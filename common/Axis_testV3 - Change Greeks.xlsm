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omments1.xml" ContentType="application/vnd.openxmlformats-officedocument.spreadsheetml.comments+xml"/>
  <Override PartName="/xl/drawings/drawing4.xml" ContentType="application/vnd.openxmlformats-officedocument.drawing+xml"/>
  <Override PartName="/xl/ctrlProps/ctrlProp4.xml" ContentType="application/vnd.ms-excel.controlproperties+xml"/>
  <Override PartName="/xl/comments2.xml" ContentType="application/vnd.openxmlformats-officedocument.spreadsheetml.comments+xml"/>
  <Override PartName="/xl/drawings/drawing5.xml" ContentType="application/vnd.openxmlformats-officedocument.drawing+xml"/>
  <Override PartName="/xl/ctrlProps/ctrlProp5.xml" ContentType="application/vnd.ms-excel.controlproperties+xml"/>
  <Override PartName="/xl/charts/chart1.xml" ContentType="application/vnd.openxmlformats-officedocument.drawingml.chart+xml"/>
  <Override PartName="/xl/drawings/drawing6.xml" ContentType="application/vnd.openxmlformats-officedocument.drawing+xml"/>
  <Override PartName="/xl/ctrlProps/ctrlProp6.xml" ContentType="application/vnd.ms-excel.controlproperties+xml"/>
  <Override PartName="/xl/comments3.xml" ContentType="application/vnd.openxmlformats-officedocument.spreadsheetml.comments+xml"/>
  <Override PartName="/xl/drawings/drawing7.xml" ContentType="application/vnd.openxmlformats-officedocument.drawing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531" codeName="{657A6CF4-780A-29F0-665F-34B82A1D2417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François Jordan\Desktop\mbaAxis\Valo\common\"/>
    </mc:Choice>
  </mc:AlternateContent>
  <xr:revisionPtr revIDLastSave="0" documentId="13_ncr:1_{29F01FE1-7CA5-4A66-BB25-676376358AF1}" xr6:coauthVersionLast="47" xr6:coauthVersionMax="47" xr10:uidLastSave="{00000000-0000-0000-0000-000000000000}"/>
  <bookViews>
    <workbookView xWindow="-120" yWindow="-120" windowWidth="29040" windowHeight="16440" activeTab="4" xr2:uid="{71AFAE33-16CD-4F47-AB4E-C8D72A89D700}"/>
  </bookViews>
  <sheets>
    <sheet name="Parametres" sheetId="3" r:id="rId1"/>
    <sheet name="Option" sheetId="2" r:id="rId2"/>
    <sheet name="IRS Strip" sheetId="4" r:id="rId3"/>
    <sheet name="CDS Strip" sheetId="6" r:id="rId4"/>
    <sheet name="CDS" sheetId="8" r:id="rId5"/>
    <sheet name="Fwd Intensity" sheetId="7" r:id="rId6"/>
    <sheet name="CDO Bespoke" sheetId="11" r:id="rId7"/>
    <sheet name="FRTB" sheetId="12" r:id="rId8"/>
    <sheet name="CDO2" sheetId="13" r:id="rId9"/>
  </sheets>
  <functionGroups builtInGroupCount="19"/>
  <externalReferences>
    <externalReference r:id="rId10"/>
    <externalReference r:id="rId11"/>
    <externalReference r:id="rId12"/>
  </externalReferences>
  <definedNames>
    <definedName name="BeSpokeStrike" localSheetId="6">#REF!</definedName>
    <definedName name="BeSpokeStrike">#REF!</definedName>
    <definedName name="CDSRollDate" localSheetId="6">'[1]CDS Strip'!$C$6</definedName>
    <definedName name="CDSRollDate">'CDS Strip'!$C$7</definedName>
    <definedName name="CDXStrike" localSheetId="6">#REF!</definedName>
    <definedName name="CDXStrike">#REF!</definedName>
    <definedName name="CorrelResult" localSheetId="6">#REF!</definedName>
    <definedName name="CorrelResult">#REF!</definedName>
    <definedName name="CorrelStart" localSheetId="6">#REF!</definedName>
    <definedName name="CorrelStart">#REF!</definedName>
    <definedName name="Currency" localSheetId="6">'[1]CDS Strip'!$D$11:$D$310</definedName>
    <definedName name="Currency">'[2]CDS Strip'!$D$11:$D$310</definedName>
    <definedName name="Currency2" localSheetId="6">'CDO Bespoke'!$B$8</definedName>
    <definedName name="Currency2">#REF!</definedName>
    <definedName name="CurrencyName">#REF!</definedName>
    <definedName name="CurvePointsList">Parametres!$D$15:$D$16</definedName>
    <definedName name="Expected_Recovery" localSheetId="6">[1]CDO2!$C$8</definedName>
    <definedName name="Expected_Recovery">#REF!</definedName>
    <definedName name="ExpLossResult" localSheetId="6">#REF!</definedName>
    <definedName name="ExpLossResult">#REF!</definedName>
    <definedName name="ExpLossStart" localSheetId="6">#REF!</definedName>
    <definedName name="ExpLossStart">#REF!</definedName>
    <definedName name="FXSpot">#REF!</definedName>
    <definedName name="iTraxxStrike" localSheetId="6">#REF!</definedName>
    <definedName name="iTraxxStrike">#REF!</definedName>
    <definedName name="kCDXStart" localSheetId="6">#REF!</definedName>
    <definedName name="kCDXStart">#REF!</definedName>
    <definedName name="kiTraxxStart" localSheetId="6">#REF!</definedName>
    <definedName name="kiTraxxStart">#REF!</definedName>
    <definedName name="MappingMethodo" localSheetId="6">#REF!</definedName>
    <definedName name="MappingMethodo">#REF!</definedName>
    <definedName name="NextCDXStrike" localSheetId="6">#REF!</definedName>
    <definedName name="NextCDXStrike">#REF!</definedName>
    <definedName name="optionFlag">Parametres!$B$3:$B$4</definedName>
    <definedName name="optionPosition">Parametres!$D$3:$D$4</definedName>
    <definedName name="Parameter_Date" localSheetId="6">'[1]IRS Strip'!$C$11</definedName>
    <definedName name="Parameter_Date">Parametres!$E$7</definedName>
    <definedName name="PM_Correl" localSheetId="6">#REF!</definedName>
    <definedName name="PM_Correl">#REF!</definedName>
    <definedName name="PM_Current" localSheetId="6">#REF!</definedName>
    <definedName name="PM_Current">#REF!</definedName>
    <definedName name="PM_Error" localSheetId="6">#REF!</definedName>
    <definedName name="PM_Error">#REF!</definedName>
    <definedName name="PM_kCDX" localSheetId="6">#REF!</definedName>
    <definedName name="PM_kCDX">#REF!</definedName>
    <definedName name="PM_kiTraxx" localSheetId="6">#REF!</definedName>
    <definedName name="PM_kiTraxx">#REF!</definedName>
    <definedName name="PM_Next" localSheetId="6">#REF!</definedName>
    <definedName name="PM_Next">#REF!</definedName>
    <definedName name="poids" localSheetId="6">'CDO Bespoke'!$M$17</definedName>
    <definedName name="poids">#REF!</definedName>
    <definedName name="_xlnm.Print_Area" localSheetId="6">'CDO Bespoke'!$A$4:$O$37</definedName>
    <definedName name="ProbaMatchBespokeStrike" localSheetId="6">#REF!</definedName>
    <definedName name="ProbaMatchBespokeStrike">#REF!</definedName>
    <definedName name="ProjectionCalculation" localSheetId="6">#REF!</definedName>
    <definedName name="ProjectionCalculation">#REF!</definedName>
    <definedName name="RatioDifference" localSheetId="6">#REF!</definedName>
    <definedName name="RatioDifference">#REF!</definedName>
    <definedName name="SpreadCurveMaturities" localSheetId="6">'[1]CDS Strip'!$E$9:$M$9</definedName>
    <definedName name="SpreadCurveMaturities">'CDS Strip'!$E$10:$M$10</definedName>
    <definedName name="StrikeStart" localSheetId="6">#REF!</definedName>
    <definedName name="StrikeStart">#REF!</definedName>
    <definedName name="StrippedDefaultProb" localSheetId="6">'[1]CDS Strip'!$N$11:$AE$310</definedName>
    <definedName name="StrippedDefaultProb">'[2]CDS Strip'!$N$11:$AE$310</definedName>
    <definedName name="sumpoi" localSheetId="6">'CDO Bespoke'!$M$17</definedName>
    <definedName name="sumpoi">#REF!</definedName>
    <definedName name="sumpoids" localSheetId="6">'CDO Bespoke'!$N$15</definedName>
    <definedName name="sumpoids">#REF!</definedName>
    <definedName name="SumWeights" localSheetId="6">'CDO Bespoke'!$B$18</definedName>
    <definedName name="SumWeights">#REF!</definedName>
    <definedName name="Swap_Convention">Parametres!$B$7:$B$11</definedName>
    <definedName name="SwapConventions" localSheetId="6">[1]Conventions!$H$16:$H$20</definedName>
    <definedName name="SwapConventions">#REF!</definedName>
    <definedName name="test" localSheetId="6">'CDO Bespoke'!#REF!</definedName>
    <definedName name="test">#REF!</definedName>
    <definedName name="TrueFalseList" localSheetId="6">[1]Conventions!$H$25:$H$26</definedName>
    <definedName name="TrueFalseList">Parametres!$B$15:$B$16</definedName>
    <definedName name="Underlying">Parametres!$F$3:$F$5</definedName>
  </definedNames>
  <calcPr calcId="191029" calcMode="manual" calcCompleted="0" calcOnSave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7" i="11" l="1" a="1"/>
  <c r="C7" i="11"/>
  <c r="C17" i="11"/>
  <c r="I8" i="11" a="1"/>
  <c r="I8" i="11"/>
  <c r="V10" i="11"/>
  <c r="P15" i="11" a="1"/>
  <c r="P15" i="11"/>
  <c r="Q13" i="11"/>
  <c r="C18" i="11"/>
  <c r="U15" i="11"/>
  <c r="V15" i="11"/>
  <c r="P16" i="11" a="1"/>
  <c r="P16" i="11"/>
  <c r="U16" i="11"/>
  <c r="V16" i="11"/>
  <c r="P17" i="11" a="1"/>
  <c r="P17" i="11"/>
  <c r="U17" i="11"/>
  <c r="V17" i="11"/>
  <c r="P18" i="11" a="1"/>
  <c r="P18" i="11"/>
  <c r="U18" i="11"/>
  <c r="V18" i="11"/>
  <c r="P19" i="11" a="1"/>
  <c r="P19" i="11"/>
  <c r="U19" i="11"/>
  <c r="V19" i="11"/>
  <c r="P20" i="11" a="1"/>
  <c r="P20" i="11"/>
  <c r="U20" i="11"/>
  <c r="V20" i="11"/>
  <c r="P21" i="11" a="1"/>
  <c r="P21" i="11"/>
  <c r="U21" i="11"/>
  <c r="V21" i="11"/>
  <c r="P22" i="11" a="1"/>
  <c r="P22" i="11"/>
  <c r="U22" i="11"/>
  <c r="V22" i="11"/>
  <c r="P23" i="11" a="1"/>
  <c r="P23" i="11"/>
  <c r="U23" i="11"/>
  <c r="V23" i="11"/>
  <c r="P24" i="11" a="1"/>
  <c r="P24" i="11"/>
  <c r="U24" i="11"/>
  <c r="V24" i="11"/>
  <c r="P25" i="11" a="1"/>
  <c r="P25" i="11"/>
  <c r="U25" i="11"/>
  <c r="V25" i="11"/>
  <c r="P26" i="11" a="1"/>
  <c r="P26" i="11"/>
  <c r="U26" i="11"/>
  <c r="V26" i="11"/>
  <c r="P27" i="11" a="1"/>
  <c r="P27" i="11"/>
  <c r="U27" i="11"/>
  <c r="V27" i="11"/>
  <c r="P28" i="11" a="1"/>
  <c r="P28" i="11"/>
  <c r="U28" i="11"/>
  <c r="V28" i="11"/>
  <c r="P29" i="11" a="1"/>
  <c r="P29" i="11"/>
  <c r="U29" i="11"/>
  <c r="V29" i="11"/>
  <c r="P30" i="11" a="1"/>
  <c r="P30" i="11"/>
  <c r="U30" i="11"/>
  <c r="V30" i="11"/>
  <c r="P31" i="11" a="1"/>
  <c r="P31" i="11"/>
  <c r="U31" i="11"/>
  <c r="V31" i="11"/>
  <c r="P32" i="11" a="1"/>
  <c r="P32" i="11"/>
  <c r="U32" i="11"/>
  <c r="V32" i="11"/>
  <c r="P33" i="11" a="1"/>
  <c r="P33" i="11"/>
  <c r="U33" i="11"/>
  <c r="V33" i="11"/>
  <c r="P34" i="11" a="1"/>
  <c r="P34" i="11"/>
  <c r="U34" i="11"/>
  <c r="V34" i="11"/>
  <c r="P35" i="11" a="1"/>
  <c r="P35" i="11"/>
  <c r="U35" i="11"/>
  <c r="V35" i="11"/>
  <c r="P36" i="11" a="1"/>
  <c r="P36" i="11"/>
  <c r="U36" i="11"/>
  <c r="V36" i="11"/>
  <c r="P37" i="11" a="1"/>
  <c r="P37" i="11"/>
  <c r="U37" i="11"/>
  <c r="V37" i="11"/>
  <c r="P38" i="11" a="1"/>
  <c r="P38" i="11"/>
  <c r="U38" i="11"/>
  <c r="V38" i="11"/>
  <c r="P39" i="11" a="1"/>
  <c r="P39" i="11"/>
  <c r="U39" i="11"/>
  <c r="V39" i="11"/>
  <c r="P40" i="11" a="1"/>
  <c r="P40" i="11"/>
  <c r="U40" i="11"/>
  <c r="V40" i="11"/>
  <c r="P41" i="11" a="1"/>
  <c r="P41" i="11"/>
  <c r="U41" i="11"/>
  <c r="V41" i="11"/>
  <c r="P42" i="11" a="1"/>
  <c r="P42" i="11"/>
  <c r="U42" i="11"/>
  <c r="V42" i="11"/>
  <c r="P43" i="11" a="1"/>
  <c r="P43" i="11"/>
  <c r="U43" i="11"/>
  <c r="V43" i="11"/>
  <c r="P44" i="11" a="1"/>
  <c r="P44" i="11"/>
  <c r="U44" i="11"/>
  <c r="V44" i="11"/>
  <c r="P45" i="11" a="1"/>
  <c r="P45" i="11"/>
  <c r="U45" i="11"/>
  <c r="V45" i="11"/>
  <c r="P46" i="11" a="1"/>
  <c r="P46" i="11"/>
  <c r="U46" i="11"/>
  <c r="V46" i="11"/>
  <c r="P47" i="11" a="1"/>
  <c r="P47" i="11"/>
  <c r="U47" i="11"/>
  <c r="V47" i="11"/>
  <c r="P48" i="11" a="1"/>
  <c r="P48" i="11"/>
  <c r="U48" i="11"/>
  <c r="V48" i="11"/>
  <c r="P49" i="11" a="1"/>
  <c r="P49" i="11"/>
  <c r="U49" i="11"/>
  <c r="V49" i="11"/>
  <c r="P50" i="11" a="1"/>
  <c r="P50" i="11"/>
  <c r="U50" i="11"/>
  <c r="V50" i="11"/>
  <c r="P51" i="11" a="1"/>
  <c r="P51" i="11"/>
  <c r="U51" i="11"/>
  <c r="V51" i="11"/>
  <c r="P52" i="11" a="1"/>
  <c r="P52" i="11"/>
  <c r="U52" i="11"/>
  <c r="V52" i="11"/>
  <c r="P53" i="11" a="1"/>
  <c r="P53" i="11"/>
  <c r="U53" i="11"/>
  <c r="V53" i="11"/>
  <c r="P54" i="11" a="1"/>
  <c r="P54" i="11"/>
  <c r="U54" i="11"/>
  <c r="V54" i="11"/>
  <c r="P55" i="11" a="1"/>
  <c r="P55" i="11"/>
  <c r="U55" i="11"/>
  <c r="V55" i="11"/>
  <c r="P56" i="11" a="1"/>
  <c r="P56" i="11"/>
  <c r="U56" i="11"/>
  <c r="V56" i="11"/>
  <c r="P57" i="11" a="1"/>
  <c r="P57" i="11"/>
  <c r="U57" i="11"/>
  <c r="V57" i="11"/>
  <c r="P58" i="11" a="1"/>
  <c r="P58" i="11"/>
  <c r="U58" i="11"/>
  <c r="V58" i="11"/>
  <c r="P59" i="11" a="1"/>
  <c r="P59" i="11"/>
  <c r="U59" i="11"/>
  <c r="V59" i="11"/>
  <c r="P60" i="11" a="1"/>
  <c r="P60" i="11"/>
  <c r="U60" i="11"/>
  <c r="V60" i="11"/>
  <c r="P61" i="11" a="1"/>
  <c r="P61" i="11"/>
  <c r="U61" i="11"/>
  <c r="V61" i="11"/>
  <c r="P62" i="11" a="1"/>
  <c r="P62" i="11"/>
  <c r="U62" i="11"/>
  <c r="V62" i="11"/>
  <c r="P63" i="11" a="1"/>
  <c r="P63" i="11"/>
  <c r="U63" i="11"/>
  <c r="V63" i="11"/>
  <c r="P64" i="11" a="1"/>
  <c r="P64" i="11"/>
  <c r="U64" i="11"/>
  <c r="V64" i="11"/>
  <c r="P65" i="11" a="1"/>
  <c r="P65" i="11"/>
  <c r="U65" i="11"/>
  <c r="V65" i="11"/>
  <c r="P66" i="11" a="1"/>
  <c r="P66" i="11"/>
  <c r="U66" i="11"/>
  <c r="V66" i="11"/>
  <c r="P67" i="11" a="1"/>
  <c r="P67" i="11"/>
  <c r="U67" i="11"/>
  <c r="V67" i="11"/>
  <c r="P68" i="11" a="1"/>
  <c r="P68" i="11"/>
  <c r="U68" i="11"/>
  <c r="V68" i="11"/>
  <c r="P69" i="11" a="1"/>
  <c r="P69" i="11"/>
  <c r="U69" i="11"/>
  <c r="V69" i="11"/>
  <c r="P70" i="11" a="1"/>
  <c r="P70" i="11"/>
  <c r="U70" i="11"/>
  <c r="V70" i="11"/>
  <c r="P71" i="11" a="1"/>
  <c r="P71" i="11"/>
  <c r="U71" i="11"/>
  <c r="V71" i="11"/>
  <c r="P72" i="11" a="1"/>
  <c r="P72" i="11"/>
  <c r="U72" i="11"/>
  <c r="V72" i="11"/>
  <c r="P73" i="11" a="1"/>
  <c r="P73" i="11"/>
  <c r="U73" i="11"/>
  <c r="V73" i="11"/>
  <c r="P74" i="11" a="1"/>
  <c r="P74" i="11"/>
  <c r="U74" i="11"/>
  <c r="V74" i="11"/>
  <c r="P75" i="11" a="1"/>
  <c r="P75" i="11"/>
  <c r="U75" i="11"/>
  <c r="V75" i="11"/>
  <c r="P76" i="11" a="1"/>
  <c r="P76" i="11"/>
  <c r="U76" i="11"/>
  <c r="V76" i="11"/>
  <c r="P77" i="11" a="1"/>
  <c r="P77" i="11"/>
  <c r="U77" i="11"/>
  <c r="V77" i="11"/>
  <c r="P78" i="11" a="1"/>
  <c r="P78" i="11"/>
  <c r="U78" i="11"/>
  <c r="V78" i="11"/>
  <c r="P79" i="11" a="1"/>
  <c r="P79" i="11"/>
  <c r="U79" i="11"/>
  <c r="V79" i="11"/>
  <c r="P80" i="11" a="1"/>
  <c r="P80" i="11"/>
  <c r="U80" i="11"/>
  <c r="V80" i="11"/>
  <c r="P81" i="11" a="1"/>
  <c r="P81" i="11"/>
  <c r="U81" i="11"/>
  <c r="V81" i="11"/>
  <c r="P82" i="11" a="1"/>
  <c r="P82" i="11"/>
  <c r="U82" i="11"/>
  <c r="V82" i="11"/>
  <c r="P83" i="11" a="1"/>
  <c r="P83" i="11"/>
  <c r="U83" i="11"/>
  <c r="V83" i="11"/>
  <c r="P84" i="11" a="1"/>
  <c r="P84" i="11"/>
  <c r="U84" i="11"/>
  <c r="V84" i="11"/>
  <c r="P85" i="11" a="1"/>
  <c r="P85" i="11"/>
  <c r="U85" i="11"/>
  <c r="V85" i="11"/>
  <c r="P86" i="11" a="1"/>
  <c r="P86" i="11"/>
  <c r="U86" i="11"/>
  <c r="V86" i="11"/>
  <c r="P87" i="11" a="1"/>
  <c r="P87" i="11"/>
  <c r="U87" i="11"/>
  <c r="V87" i="11"/>
  <c r="P88" i="11" a="1"/>
  <c r="P88" i="11"/>
  <c r="U88" i="11"/>
  <c r="V88" i="11"/>
  <c r="P89" i="11" a="1"/>
  <c r="P89" i="11"/>
  <c r="U89" i="11"/>
  <c r="V89" i="11"/>
  <c r="P90" i="11" a="1"/>
  <c r="P90" i="11"/>
  <c r="U90" i="11"/>
  <c r="V90" i="11"/>
  <c r="P91" i="11" a="1"/>
  <c r="P91" i="11"/>
  <c r="U91" i="11"/>
  <c r="V91" i="11"/>
  <c r="P92" i="11" a="1"/>
  <c r="P92" i="11"/>
  <c r="U92" i="11"/>
  <c r="V92" i="11"/>
  <c r="P93" i="11" a="1"/>
  <c r="P93" i="11"/>
  <c r="U93" i="11"/>
  <c r="V93" i="11"/>
  <c r="P94" i="11" a="1"/>
  <c r="P94" i="11"/>
  <c r="U94" i="11"/>
  <c r="V94" i="11"/>
  <c r="P95" i="11" a="1"/>
  <c r="P95" i="11"/>
  <c r="U95" i="11"/>
  <c r="V95" i="11"/>
  <c r="P96" i="11" a="1"/>
  <c r="P96" i="11"/>
  <c r="U96" i="11"/>
  <c r="V96" i="11"/>
  <c r="P97" i="11" a="1"/>
  <c r="P97" i="11"/>
  <c r="U97" i="11"/>
  <c r="V97" i="11"/>
  <c r="P98" i="11" a="1"/>
  <c r="P98" i="11"/>
  <c r="U98" i="11"/>
  <c r="V98" i="11"/>
  <c r="P99" i="11" a="1"/>
  <c r="P99" i="11"/>
  <c r="U99" i="11"/>
  <c r="V99" i="11"/>
  <c r="P100" i="11" a="1"/>
  <c r="P100" i="11"/>
  <c r="U100" i="11"/>
  <c r="V100" i="11"/>
  <c r="P101" i="11" a="1"/>
  <c r="P101" i="11"/>
  <c r="U101" i="11"/>
  <c r="V101" i="11"/>
  <c r="P102" i="11" a="1"/>
  <c r="P102" i="11"/>
  <c r="U102" i="11"/>
  <c r="V102" i="11"/>
  <c r="P103" i="11" a="1"/>
  <c r="P103" i="11"/>
  <c r="U103" i="11"/>
  <c r="V103" i="11"/>
  <c r="P104" i="11" a="1"/>
  <c r="P104" i="11"/>
  <c r="U104" i="11"/>
  <c r="V104" i="11"/>
  <c r="P105" i="11" a="1"/>
  <c r="P105" i="11"/>
  <c r="U105" i="11"/>
  <c r="V105" i="11"/>
  <c r="P106" i="11" a="1"/>
  <c r="P106" i="11"/>
  <c r="U106" i="11"/>
  <c r="V106" i="11"/>
  <c r="P107" i="11" a="1"/>
  <c r="P107" i="11"/>
  <c r="U107" i="11"/>
  <c r="V107" i="11"/>
  <c r="P108" i="11" a="1"/>
  <c r="P108" i="11"/>
  <c r="U108" i="11"/>
  <c r="V108" i="11"/>
  <c r="P109" i="11" a="1"/>
  <c r="P109" i="11"/>
  <c r="U109" i="11"/>
  <c r="V109" i="11"/>
  <c r="P110" i="11" a="1"/>
  <c r="P110" i="11"/>
  <c r="U110" i="11"/>
  <c r="V110" i="11"/>
  <c r="P111" i="11" a="1"/>
  <c r="P111" i="11"/>
  <c r="U111" i="11"/>
  <c r="V111" i="11"/>
  <c r="P112" i="11" a="1"/>
  <c r="P112" i="11"/>
  <c r="U112" i="11"/>
  <c r="V112" i="11"/>
  <c r="P113" i="11" a="1"/>
  <c r="P113" i="11"/>
  <c r="U113" i="11"/>
  <c r="V113" i="11"/>
  <c r="P114" i="11" a="1"/>
  <c r="P114" i="11"/>
  <c r="U114" i="11"/>
  <c r="V114" i="11"/>
  <c r="P115" i="11" a="1"/>
  <c r="P115" i="11"/>
  <c r="U115" i="11"/>
  <c r="V115" i="11"/>
  <c r="P116" i="11" a="1"/>
  <c r="P116" i="11"/>
  <c r="U116" i="11"/>
  <c r="V116" i="11"/>
  <c r="P117" i="11" a="1"/>
  <c r="P117" i="11"/>
  <c r="U117" i="11"/>
  <c r="V117" i="11"/>
  <c r="P118" i="11" a="1"/>
  <c r="P118" i="11"/>
  <c r="U118" i="11"/>
  <c r="V118" i="11"/>
  <c r="P119" i="11" a="1"/>
  <c r="P119" i="11"/>
  <c r="U119" i="11"/>
  <c r="V119" i="11"/>
  <c r="P120" i="11" a="1"/>
  <c r="P120" i="11"/>
  <c r="U120" i="11"/>
  <c r="V120" i="11"/>
  <c r="P121" i="11" a="1"/>
  <c r="P121" i="11"/>
  <c r="U121" i="11"/>
  <c r="V121" i="11"/>
  <c r="P122" i="11" a="1"/>
  <c r="P122" i="11"/>
  <c r="U122" i="11"/>
  <c r="V122" i="11"/>
  <c r="P123" i="11" a="1"/>
  <c r="P123" i="11"/>
  <c r="U123" i="11"/>
  <c r="V123" i="11"/>
  <c r="P124" i="11" a="1"/>
  <c r="P124" i="11"/>
  <c r="U124" i="11"/>
  <c r="V124" i="11"/>
  <c r="P125" i="11" a="1"/>
  <c r="P125" i="11"/>
  <c r="U125" i="11"/>
  <c r="V125" i="11"/>
  <c r="P126" i="11" a="1"/>
  <c r="P126" i="11"/>
  <c r="U126" i="11"/>
  <c r="V126" i="11"/>
  <c r="P127" i="11" a="1"/>
  <c r="P127" i="11"/>
  <c r="U127" i="11"/>
  <c r="V127" i="11"/>
  <c r="P128" i="11" a="1"/>
  <c r="P128" i="11"/>
  <c r="U128" i="11"/>
  <c r="V128" i="11"/>
  <c r="P129" i="11" a="1"/>
  <c r="P129" i="11"/>
  <c r="U129" i="11"/>
  <c r="V129" i="11"/>
  <c r="P130" i="11" a="1"/>
  <c r="P130" i="11"/>
  <c r="U130" i="11"/>
  <c r="V130" i="11"/>
  <c r="P131" i="11" a="1"/>
  <c r="P131" i="11"/>
  <c r="U131" i="11"/>
  <c r="V131" i="11"/>
  <c r="P132" i="11" a="1"/>
  <c r="P132" i="11"/>
  <c r="U132" i="11"/>
  <c r="V132" i="11"/>
  <c r="P133" i="11" a="1"/>
  <c r="P133" i="11"/>
  <c r="U133" i="11"/>
  <c r="V133" i="11"/>
  <c r="P134" i="11" a="1"/>
  <c r="P134" i="11"/>
  <c r="U134" i="11"/>
  <c r="V134" i="11"/>
  <c r="P135" i="11" a="1"/>
  <c r="P135" i="11"/>
  <c r="U135" i="11"/>
  <c r="V135" i="11"/>
  <c r="P136" i="11" a="1"/>
  <c r="P136" i="11"/>
  <c r="U136" i="11"/>
  <c r="V136" i="11"/>
  <c r="P137" i="11" a="1"/>
  <c r="P137" i="11"/>
  <c r="U137" i="11"/>
  <c r="V137" i="11"/>
  <c r="P138" i="11" a="1"/>
  <c r="P138" i="11"/>
  <c r="U138" i="11"/>
  <c r="V138" i="11"/>
  <c r="P139" i="11" a="1"/>
  <c r="P139" i="11"/>
  <c r="U139" i="11"/>
  <c r="V139" i="11"/>
  <c r="P140" i="11" a="1"/>
  <c r="P140" i="11"/>
  <c r="U140" i="11"/>
  <c r="V140" i="11"/>
  <c r="P141" i="11" a="1"/>
  <c r="P141" i="11"/>
  <c r="U141" i="11"/>
  <c r="V141" i="11"/>
  <c r="P142" i="11" a="1"/>
  <c r="P142" i="11"/>
  <c r="U142" i="11"/>
  <c r="V142" i="11"/>
  <c r="P143" i="11" a="1"/>
  <c r="P143" i="11"/>
  <c r="U143" i="11"/>
  <c r="V143" i="11"/>
  <c r="P144" i="11" a="1"/>
  <c r="P144" i="11"/>
  <c r="U144" i="11"/>
  <c r="V144" i="11"/>
  <c r="P145" i="11" a="1"/>
  <c r="P145" i="11"/>
  <c r="U145" i="11"/>
  <c r="V145" i="11"/>
  <c r="P146" i="11" a="1"/>
  <c r="P146" i="11"/>
  <c r="U146" i="11"/>
  <c r="V146" i="11"/>
  <c r="P147" i="11" a="1"/>
  <c r="P147" i="11"/>
  <c r="U147" i="11"/>
  <c r="V147" i="11"/>
  <c r="P148" i="11" a="1"/>
  <c r="P148" i="11"/>
  <c r="U148" i="11"/>
  <c r="V148" i="11"/>
  <c r="P149" i="11" a="1"/>
  <c r="P149" i="11"/>
  <c r="U149" i="11"/>
  <c r="V149" i="11"/>
  <c r="P150" i="11" a="1"/>
  <c r="P150" i="11"/>
  <c r="U150" i="11"/>
  <c r="V150" i="11"/>
  <c r="P151" i="11" a="1"/>
  <c r="P151" i="11"/>
  <c r="U151" i="11"/>
  <c r="V151" i="11"/>
  <c r="P152" i="11" a="1"/>
  <c r="P152" i="11"/>
  <c r="U152" i="11"/>
  <c r="V152" i="11"/>
  <c r="P153" i="11" a="1"/>
  <c r="P153" i="11"/>
  <c r="U153" i="11"/>
  <c r="V153" i="11"/>
  <c r="P154" i="11" a="1"/>
  <c r="P154" i="11"/>
  <c r="U154" i="11"/>
  <c r="V154" i="11"/>
  <c r="P155" i="11" a="1"/>
  <c r="P155" i="11"/>
  <c r="U155" i="11"/>
  <c r="V155" i="11"/>
  <c r="P156" i="11" a="1"/>
  <c r="P156" i="11"/>
  <c r="U156" i="11"/>
  <c r="V156" i="11"/>
  <c r="P157" i="11" a="1"/>
  <c r="P157" i="11"/>
  <c r="U157" i="11"/>
  <c r="V157" i="11"/>
  <c r="P158" i="11" a="1"/>
  <c r="P158" i="11"/>
  <c r="U158" i="11"/>
  <c r="V158" i="11"/>
  <c r="P159" i="11" a="1"/>
  <c r="P159" i="11"/>
  <c r="U159" i="11"/>
  <c r="V159" i="11"/>
  <c r="P160" i="11" a="1"/>
  <c r="P160" i="11"/>
  <c r="U160" i="11"/>
  <c r="V160" i="11"/>
  <c r="P161" i="11" a="1"/>
  <c r="P161" i="11"/>
  <c r="U161" i="11"/>
  <c r="V161" i="11"/>
  <c r="P162" i="11" a="1"/>
  <c r="P162" i="11"/>
  <c r="U162" i="11"/>
  <c r="V162" i="11"/>
  <c r="P163" i="11" a="1"/>
  <c r="P163" i="11"/>
  <c r="U163" i="11"/>
  <c r="V163" i="11"/>
  <c r="P164" i="11" a="1"/>
  <c r="P164" i="11"/>
  <c r="U164" i="11"/>
  <c r="V164" i="11"/>
  <c r="P165" i="11" a="1"/>
  <c r="P165" i="11"/>
  <c r="U165" i="11"/>
  <c r="V165" i="11"/>
  <c r="P166" i="11" a="1"/>
  <c r="P166" i="11"/>
  <c r="U166" i="11"/>
  <c r="V166" i="11"/>
  <c r="P167" i="11" a="1"/>
  <c r="P167" i="11"/>
  <c r="U167" i="11"/>
  <c r="V167" i="11"/>
  <c r="P168" i="11" a="1"/>
  <c r="P168" i="11"/>
  <c r="U168" i="11"/>
  <c r="V168" i="11"/>
  <c r="P169" i="11" a="1"/>
  <c r="P169" i="11"/>
  <c r="U169" i="11"/>
  <c r="V169" i="11"/>
  <c r="P170" i="11" a="1"/>
  <c r="P170" i="11"/>
  <c r="U170" i="11"/>
  <c r="V170" i="11"/>
  <c r="P171" i="11" a="1"/>
  <c r="P171" i="11"/>
  <c r="U171" i="11"/>
  <c r="V171" i="11"/>
  <c r="P172" i="11" a="1"/>
  <c r="P172" i="11"/>
  <c r="U172" i="11"/>
  <c r="V172" i="11"/>
  <c r="P173" i="11" a="1"/>
  <c r="P173" i="11"/>
  <c r="U173" i="11"/>
  <c r="V173" i="11"/>
  <c r="P174" i="11" a="1"/>
  <c r="P174" i="11"/>
  <c r="U174" i="11"/>
  <c r="V174" i="11"/>
  <c r="P175" i="11" a="1"/>
  <c r="P175" i="11"/>
  <c r="U175" i="11"/>
  <c r="V175" i="11"/>
  <c r="P176" i="11" a="1"/>
  <c r="P176" i="11"/>
  <c r="U176" i="11"/>
  <c r="V176" i="11"/>
  <c r="P177" i="11" a="1"/>
  <c r="P177" i="11"/>
  <c r="U177" i="11"/>
  <c r="V177" i="11"/>
  <c r="P178" i="11" a="1"/>
  <c r="P178" i="11"/>
  <c r="U178" i="11"/>
  <c r="V178" i="11"/>
  <c r="P179" i="11" a="1"/>
  <c r="P179" i="11"/>
  <c r="U179" i="11"/>
  <c r="V179" i="11"/>
  <c r="P180" i="11" a="1"/>
  <c r="P180" i="11"/>
  <c r="U180" i="11"/>
  <c r="V180" i="11"/>
  <c r="P181" i="11" a="1"/>
  <c r="P181" i="11"/>
  <c r="U181" i="11"/>
  <c r="V181" i="11"/>
  <c r="P182" i="11" a="1"/>
  <c r="P182" i="11"/>
  <c r="U182" i="11"/>
  <c r="V182" i="11"/>
  <c r="P183" i="11" a="1"/>
  <c r="P183" i="11"/>
  <c r="U183" i="11"/>
  <c r="V183" i="11"/>
  <c r="P184" i="11" a="1"/>
  <c r="P184" i="11"/>
  <c r="U184" i="11"/>
  <c r="V184" i="11"/>
  <c r="P185" i="11" a="1"/>
  <c r="P185" i="11"/>
  <c r="U185" i="11"/>
  <c r="V185" i="11"/>
  <c r="P186" i="11" a="1"/>
  <c r="P186" i="11"/>
  <c r="U186" i="11"/>
  <c r="V186" i="11"/>
  <c r="P187" i="11" a="1"/>
  <c r="P187" i="11"/>
  <c r="U187" i="11"/>
  <c r="V187" i="11"/>
  <c r="P188" i="11" a="1"/>
  <c r="P188" i="11"/>
  <c r="U188" i="11"/>
  <c r="V188" i="11"/>
  <c r="P189" i="11" a="1"/>
  <c r="P189" i="11"/>
  <c r="U189" i="11"/>
  <c r="V189" i="11"/>
  <c r="P190" i="11" a="1"/>
  <c r="P190" i="11"/>
  <c r="U190" i="11"/>
  <c r="V190" i="11"/>
  <c r="P191" i="11" a="1"/>
  <c r="P191" i="11"/>
  <c r="U191" i="11"/>
  <c r="V191" i="11"/>
  <c r="P192" i="11" a="1"/>
  <c r="P192" i="11"/>
  <c r="U192" i="11"/>
  <c r="V192" i="11"/>
  <c r="P193" i="11" a="1"/>
  <c r="P193" i="11"/>
  <c r="U193" i="11"/>
  <c r="V193" i="11"/>
  <c r="P194" i="11" a="1"/>
  <c r="P194" i="11"/>
  <c r="U194" i="11"/>
  <c r="V194" i="11"/>
  <c r="P195" i="11" a="1"/>
  <c r="P195" i="11"/>
  <c r="U195" i="11"/>
  <c r="V195" i="11"/>
  <c r="P196" i="11" a="1"/>
  <c r="P196" i="11"/>
  <c r="U196" i="11"/>
  <c r="V196" i="11"/>
  <c r="P197" i="11" a="1"/>
  <c r="P197" i="11"/>
  <c r="U197" i="11"/>
  <c r="V197" i="11"/>
  <c r="P198" i="11" a="1"/>
  <c r="P198" i="11"/>
  <c r="U198" i="11"/>
  <c r="V198" i="11"/>
  <c r="P199" i="11" a="1"/>
  <c r="P199" i="11"/>
  <c r="U199" i="11"/>
  <c r="V199" i="11"/>
  <c r="P200" i="11" a="1"/>
  <c r="P200" i="11"/>
  <c r="U200" i="11"/>
  <c r="V200" i="11"/>
  <c r="P201" i="11" a="1"/>
  <c r="P201" i="11"/>
  <c r="U201" i="11"/>
  <c r="V201" i="11"/>
  <c r="P202" i="11" a="1"/>
  <c r="P202" i="11"/>
  <c r="U202" i="11"/>
  <c r="V202" i="11"/>
  <c r="P203" i="11" a="1"/>
  <c r="P203" i="11"/>
  <c r="U203" i="11"/>
  <c r="V203" i="11"/>
  <c r="P204" i="11" a="1"/>
  <c r="P204" i="11"/>
  <c r="U204" i="11"/>
  <c r="V204" i="11"/>
  <c r="P205" i="11" a="1"/>
  <c r="P205" i="11"/>
  <c r="U205" i="11"/>
  <c r="V205" i="11"/>
  <c r="P206" i="11" a="1"/>
  <c r="P206" i="11"/>
  <c r="U206" i="11"/>
  <c r="V206" i="11"/>
  <c r="P207" i="11" a="1"/>
  <c r="P207" i="11"/>
  <c r="U207" i="11"/>
  <c r="V207" i="11"/>
  <c r="P208" i="11" a="1"/>
  <c r="P208" i="11"/>
  <c r="U208" i="11"/>
  <c r="V208" i="11"/>
  <c r="P209" i="11" a="1"/>
  <c r="P209" i="11"/>
  <c r="U209" i="11"/>
  <c r="V209" i="11"/>
  <c r="P210" i="11" a="1"/>
  <c r="P210" i="11"/>
  <c r="U210" i="11"/>
  <c r="V210" i="11"/>
  <c r="P211" i="11" a="1"/>
  <c r="P211" i="11"/>
  <c r="U211" i="11"/>
  <c r="V211" i="11"/>
  <c r="P212" i="11" a="1"/>
  <c r="P212" i="11"/>
  <c r="U212" i="11"/>
  <c r="V212" i="11"/>
  <c r="P213" i="11" a="1"/>
  <c r="P213" i="11"/>
  <c r="U213" i="11"/>
  <c r="V213" i="11"/>
  <c r="P214" i="11" a="1"/>
  <c r="P214" i="11"/>
  <c r="U214" i="11"/>
  <c r="V214" i="11"/>
  <c r="P215" i="11" a="1"/>
  <c r="P215" i="11"/>
  <c r="U215" i="11"/>
  <c r="V215" i="11"/>
  <c r="P216" i="11" a="1"/>
  <c r="P216" i="11"/>
  <c r="U216" i="11"/>
  <c r="V216" i="11"/>
  <c r="P217" i="11" a="1"/>
  <c r="P217" i="11"/>
  <c r="U217" i="11"/>
  <c r="V217" i="11"/>
  <c r="P218" i="11" a="1"/>
  <c r="P218" i="11"/>
  <c r="U218" i="11"/>
  <c r="V218" i="11"/>
  <c r="P219" i="11" a="1"/>
  <c r="P219" i="11"/>
  <c r="U219" i="11"/>
  <c r="V219" i="11"/>
  <c r="P220" i="11" a="1"/>
  <c r="P220" i="11"/>
  <c r="U220" i="11"/>
  <c r="V220" i="11"/>
  <c r="P221" i="11" a="1"/>
  <c r="P221" i="11"/>
  <c r="U221" i="11"/>
  <c r="V221" i="11"/>
  <c r="P222" i="11" a="1"/>
  <c r="P222" i="11"/>
  <c r="U222" i="11"/>
  <c r="V222" i="11"/>
  <c r="P223" i="11" a="1"/>
  <c r="P223" i="11"/>
  <c r="U223" i="11"/>
  <c r="V223" i="11"/>
  <c r="P224" i="11" a="1"/>
  <c r="P224" i="11"/>
  <c r="U224" i="11"/>
  <c r="V224" i="11"/>
  <c r="P225" i="11" a="1"/>
  <c r="P225" i="11"/>
  <c r="U225" i="11"/>
  <c r="V225" i="11"/>
  <c r="P226" i="11" a="1"/>
  <c r="P226" i="11"/>
  <c r="U226" i="11"/>
  <c r="V226" i="11"/>
  <c r="P227" i="11" a="1"/>
  <c r="P227" i="11"/>
  <c r="U227" i="11"/>
  <c r="V227" i="11"/>
  <c r="P228" i="11" a="1"/>
  <c r="P228" i="11"/>
  <c r="U228" i="11"/>
  <c r="V228" i="11"/>
  <c r="P229" i="11" a="1"/>
  <c r="P229" i="11"/>
  <c r="U229" i="11"/>
  <c r="V229" i="11"/>
  <c r="P230" i="11" a="1"/>
  <c r="P230" i="11"/>
  <c r="U230" i="11"/>
  <c r="V230" i="11"/>
  <c r="P231" i="11" a="1"/>
  <c r="P231" i="11"/>
  <c r="U231" i="11"/>
  <c r="V231" i="11"/>
  <c r="P232" i="11" a="1"/>
  <c r="P232" i="11"/>
  <c r="U232" i="11"/>
  <c r="V232" i="11"/>
  <c r="P233" i="11" a="1"/>
  <c r="P233" i="11"/>
  <c r="U233" i="11"/>
  <c r="V233" i="11"/>
  <c r="P234" i="11" a="1"/>
  <c r="P234" i="11"/>
  <c r="U234" i="11"/>
  <c r="V234" i="11"/>
  <c r="P235" i="11" a="1"/>
  <c r="P235" i="11"/>
  <c r="U235" i="11"/>
  <c r="V235" i="11"/>
  <c r="P236" i="11" a="1"/>
  <c r="P236" i="11"/>
  <c r="U236" i="11"/>
  <c r="V236" i="11"/>
  <c r="P237" i="11" a="1"/>
  <c r="P237" i="11"/>
  <c r="U237" i="11"/>
  <c r="V237" i="11"/>
  <c r="P238" i="11" a="1"/>
  <c r="P238" i="11"/>
  <c r="U238" i="11"/>
  <c r="V238" i="11"/>
  <c r="P239" i="11" a="1"/>
  <c r="P239" i="11"/>
  <c r="U239" i="11"/>
  <c r="V239" i="11"/>
  <c r="P240" i="11" a="1"/>
  <c r="P240" i="11"/>
  <c r="U240" i="11"/>
  <c r="V240" i="11"/>
  <c r="P241" i="11" a="1"/>
  <c r="P241" i="11"/>
  <c r="U241" i="11"/>
  <c r="V241" i="11"/>
  <c r="P242" i="11" a="1"/>
  <c r="P242" i="11"/>
  <c r="U242" i="11"/>
  <c r="V242" i="11"/>
  <c r="P243" i="11" a="1"/>
  <c r="P243" i="11"/>
  <c r="U243" i="11"/>
  <c r="V243" i="11"/>
  <c r="P244" i="11" a="1"/>
  <c r="P244" i="11"/>
  <c r="U244" i="11"/>
  <c r="V244" i="11"/>
  <c r="P245" i="11" a="1"/>
  <c r="P245" i="11"/>
  <c r="U245" i="11"/>
  <c r="V245" i="11"/>
  <c r="P246" i="11" a="1"/>
  <c r="P246" i="11"/>
  <c r="U246" i="11"/>
  <c r="V246" i="11"/>
  <c r="P247" i="11" a="1"/>
  <c r="P247" i="11"/>
  <c r="U247" i="11"/>
  <c r="V247" i="11"/>
  <c r="P248" i="11" a="1"/>
  <c r="P248" i="11"/>
  <c r="U248" i="11"/>
  <c r="V248" i="11"/>
  <c r="P249" i="11" a="1"/>
  <c r="P249" i="11"/>
  <c r="U249" i="11"/>
  <c r="V249" i="11"/>
  <c r="P250" i="11" a="1"/>
  <c r="P250" i="11"/>
  <c r="U250" i="11"/>
  <c r="V250" i="11"/>
  <c r="P251" i="11" a="1"/>
  <c r="P251" i="11"/>
  <c r="U251" i="11"/>
  <c r="V251" i="11"/>
  <c r="P252" i="11" a="1"/>
  <c r="P252" i="11"/>
  <c r="U252" i="11"/>
  <c r="V252" i="11"/>
  <c r="P253" i="11" a="1"/>
  <c r="P253" i="11"/>
  <c r="U253" i="11"/>
  <c r="V253" i="11"/>
  <c r="P254" i="11" a="1"/>
  <c r="P254" i="11"/>
  <c r="U254" i="11"/>
  <c r="V254" i="11"/>
  <c r="P255" i="11" a="1"/>
  <c r="P255" i="11"/>
  <c r="U255" i="11"/>
  <c r="V255" i="11"/>
  <c r="P256" i="11" a="1"/>
  <c r="P256" i="11"/>
  <c r="U256" i="11"/>
  <c r="V256" i="11"/>
  <c r="P257" i="11" a="1"/>
  <c r="P257" i="11"/>
  <c r="U257" i="11"/>
  <c r="V257" i="11"/>
  <c r="P258" i="11" a="1"/>
  <c r="P258" i="11"/>
  <c r="U258" i="11"/>
  <c r="V258" i="11"/>
  <c r="P259" i="11" a="1"/>
  <c r="P259" i="11"/>
  <c r="U259" i="11"/>
  <c r="V259" i="11"/>
  <c r="P260" i="11" a="1"/>
  <c r="P260" i="11"/>
  <c r="U260" i="11"/>
  <c r="V260" i="11"/>
  <c r="P261" i="11" a="1"/>
  <c r="P261" i="11"/>
  <c r="U261" i="11"/>
  <c r="V261" i="11"/>
  <c r="P262" i="11" a="1"/>
  <c r="P262" i="11"/>
  <c r="U262" i="11"/>
  <c r="V262" i="11"/>
  <c r="P263" i="11" a="1"/>
  <c r="P263" i="11"/>
  <c r="U263" i="11"/>
  <c r="V263" i="11"/>
  <c r="P264" i="11" a="1"/>
  <c r="P264" i="11"/>
  <c r="U264" i="11"/>
  <c r="V264" i="11"/>
  <c r="P265" i="11" a="1"/>
  <c r="P265" i="11"/>
  <c r="U265" i="11"/>
  <c r="V265" i="11"/>
  <c r="P266" i="11" a="1"/>
  <c r="P266" i="11"/>
  <c r="U266" i="11"/>
  <c r="V266" i="11"/>
  <c r="P267" i="11" a="1"/>
  <c r="P267" i="11"/>
  <c r="U267" i="11"/>
  <c r="V267" i="11"/>
  <c r="P268" i="11" a="1"/>
  <c r="P268" i="11"/>
  <c r="U268" i="11"/>
  <c r="V268" i="11"/>
  <c r="P269" i="11" a="1"/>
  <c r="P269" i="11"/>
  <c r="U269" i="11"/>
  <c r="V269" i="11"/>
  <c r="P270" i="11" a="1"/>
  <c r="P270" i="11"/>
  <c r="U270" i="11"/>
  <c r="V270" i="11"/>
  <c r="P271" i="11" a="1"/>
  <c r="P271" i="11"/>
  <c r="U271" i="11"/>
  <c r="V271" i="11"/>
  <c r="P272" i="11" a="1"/>
  <c r="P272" i="11"/>
  <c r="U272" i="11"/>
  <c r="V272" i="11"/>
  <c r="P273" i="11" a="1"/>
  <c r="P273" i="11"/>
  <c r="U273" i="11"/>
  <c r="V273" i="11"/>
  <c r="P274" i="11" a="1"/>
  <c r="P274" i="11"/>
  <c r="U274" i="11"/>
  <c r="V274" i="11"/>
  <c r="P275" i="11" a="1"/>
  <c r="P275" i="11"/>
  <c r="U275" i="11"/>
  <c r="V275" i="11"/>
  <c r="P276" i="11" a="1"/>
  <c r="P276" i="11"/>
  <c r="U276" i="11"/>
  <c r="V276" i="11"/>
  <c r="P277" i="11" a="1"/>
  <c r="P277" i="11"/>
  <c r="U277" i="11"/>
  <c r="V277" i="11"/>
  <c r="P278" i="11" a="1"/>
  <c r="P278" i="11"/>
  <c r="U278" i="11"/>
  <c r="V278" i="11"/>
  <c r="P279" i="11" a="1"/>
  <c r="P279" i="11"/>
  <c r="U279" i="11"/>
  <c r="V279" i="11"/>
  <c r="P280" i="11" a="1"/>
  <c r="P280" i="11"/>
  <c r="U280" i="11"/>
  <c r="V280" i="11"/>
  <c r="P281" i="11" a="1"/>
  <c r="P281" i="11"/>
  <c r="U281" i="11"/>
  <c r="V281" i="11"/>
  <c r="P282" i="11" a="1"/>
  <c r="P282" i="11"/>
  <c r="U282" i="11"/>
  <c r="V282" i="11"/>
  <c r="P283" i="11" a="1"/>
  <c r="P283" i="11"/>
  <c r="U283" i="11"/>
  <c r="V283" i="11"/>
  <c r="P284" i="11" a="1"/>
  <c r="P284" i="11"/>
  <c r="U284" i="11"/>
  <c r="V284" i="11"/>
  <c r="P285" i="11" a="1"/>
  <c r="P285" i="11"/>
  <c r="U285" i="11"/>
  <c r="V285" i="11"/>
  <c r="P286" i="11" a="1"/>
  <c r="P286" i="11"/>
  <c r="U286" i="11"/>
  <c r="V286" i="11"/>
  <c r="P287" i="11" a="1"/>
  <c r="P287" i="11"/>
  <c r="U287" i="11"/>
  <c r="V287" i="11"/>
  <c r="P288" i="11" a="1"/>
  <c r="P288" i="11"/>
  <c r="U288" i="11"/>
  <c r="V288" i="11"/>
  <c r="P289" i="11" a="1"/>
  <c r="P289" i="11"/>
  <c r="U289" i="11"/>
  <c r="V289" i="11"/>
  <c r="P290" i="11" a="1"/>
  <c r="P290" i="11"/>
  <c r="U290" i="11"/>
  <c r="V290" i="11"/>
  <c r="P291" i="11" a="1"/>
  <c r="P291" i="11"/>
  <c r="U291" i="11"/>
  <c r="V291" i="11"/>
  <c r="P292" i="11" a="1"/>
  <c r="P292" i="11"/>
  <c r="U292" i="11"/>
  <c r="V292" i="11"/>
  <c r="P293" i="11" a="1"/>
  <c r="P293" i="11"/>
  <c r="U293" i="11"/>
  <c r="V293" i="11"/>
  <c r="P294" i="11" a="1"/>
  <c r="P294" i="11"/>
  <c r="U294" i="11"/>
  <c r="V294" i="11"/>
  <c r="P295" i="11" a="1"/>
  <c r="P295" i="11"/>
  <c r="U295" i="11"/>
  <c r="V295" i="11"/>
  <c r="P296" i="11" a="1"/>
  <c r="P296" i="11"/>
  <c r="U296" i="11"/>
  <c r="V296" i="11"/>
  <c r="P297" i="11" a="1"/>
  <c r="P297" i="11"/>
  <c r="U297" i="11"/>
  <c r="V297" i="11"/>
  <c r="P298" i="11" a="1"/>
  <c r="P298" i="11"/>
  <c r="U298" i="11"/>
  <c r="V298" i="11"/>
  <c r="P299" i="11" a="1"/>
  <c r="P299" i="11"/>
  <c r="U299" i="11"/>
  <c r="V299" i="11"/>
  <c r="P300" i="11" a="1"/>
  <c r="P300" i="11"/>
  <c r="U300" i="11"/>
  <c r="V300" i="11"/>
  <c r="P301" i="11" a="1"/>
  <c r="P301" i="11"/>
  <c r="U301" i="11"/>
  <c r="V301" i="11"/>
  <c r="P302" i="11" a="1"/>
  <c r="P302" i="11"/>
  <c r="U302" i="11"/>
  <c r="V302" i="11"/>
  <c r="P303" i="11" a="1"/>
  <c r="P303" i="11"/>
  <c r="U303" i="11"/>
  <c r="V303" i="11"/>
  <c r="P304" i="11" a="1"/>
  <c r="P304" i="11"/>
  <c r="U304" i="11"/>
  <c r="V304" i="11"/>
  <c r="P305" i="11" a="1"/>
  <c r="P305" i="11"/>
  <c r="U305" i="11"/>
  <c r="V305" i="11"/>
  <c r="P306" i="11" a="1"/>
  <c r="P306" i="11"/>
  <c r="U306" i="11"/>
  <c r="V306" i="11"/>
  <c r="P307" i="11" a="1"/>
  <c r="P307" i="11"/>
  <c r="U307" i="11"/>
  <c r="V307" i="11"/>
  <c r="P308" i="11" a="1"/>
  <c r="P308" i="11"/>
  <c r="U308" i="11"/>
  <c r="V308" i="11"/>
  <c r="P309" i="11" a="1"/>
  <c r="P309" i="11"/>
  <c r="U309" i="11"/>
  <c r="V309" i="11"/>
  <c r="P310" i="11" a="1"/>
  <c r="P310" i="11"/>
  <c r="U310" i="11"/>
  <c r="V310" i="11"/>
  <c r="P311" i="11" a="1"/>
  <c r="P311" i="11"/>
  <c r="U311" i="11"/>
  <c r="V311" i="11"/>
  <c r="P312" i="11" a="1"/>
  <c r="P312" i="11"/>
  <c r="U312" i="11"/>
  <c r="V312" i="11"/>
  <c r="P313" i="11" a="1"/>
  <c r="P313" i="11"/>
  <c r="U313" i="11"/>
  <c r="V313" i="11"/>
  <c r="P314" i="11" a="1"/>
  <c r="P314" i="11"/>
  <c r="U314" i="11"/>
  <c r="V314" i="11"/>
  <c r="V11" i="11"/>
  <c r="W15" i="11"/>
  <c r="X15" i="11"/>
  <c r="Y15" i="11"/>
  <c r="W16" i="11"/>
  <c r="X16" i="11"/>
  <c r="Y16" i="11"/>
  <c r="W17" i="11"/>
  <c r="X17" i="11"/>
  <c r="Y17" i="11"/>
  <c r="W18" i="11"/>
  <c r="X18" i="11"/>
  <c r="Y18" i="11"/>
  <c r="W19" i="11"/>
  <c r="X19" i="11"/>
  <c r="Y19" i="11"/>
  <c r="W20" i="11"/>
  <c r="X20" i="11"/>
  <c r="Y20" i="11"/>
  <c r="W21" i="11"/>
  <c r="X21" i="11"/>
  <c r="Y21" i="11"/>
  <c r="W22" i="11"/>
  <c r="X22" i="11"/>
  <c r="Y22" i="11"/>
  <c r="W23" i="11"/>
  <c r="X23" i="11"/>
  <c r="Y23" i="11"/>
  <c r="W24" i="11"/>
  <c r="X24" i="11"/>
  <c r="Y24" i="11"/>
  <c r="W25" i="11"/>
  <c r="X25" i="11"/>
  <c r="Y25" i="11"/>
  <c r="W26" i="11"/>
  <c r="X26" i="11"/>
  <c r="Y26" i="11"/>
  <c r="W27" i="11"/>
  <c r="X27" i="11"/>
  <c r="Y27" i="11"/>
  <c r="W28" i="11"/>
  <c r="X28" i="11"/>
  <c r="Y28" i="11"/>
  <c r="W29" i="11"/>
  <c r="X29" i="11"/>
  <c r="Y29" i="11"/>
  <c r="W30" i="11"/>
  <c r="X30" i="11"/>
  <c r="Y30" i="11"/>
  <c r="W31" i="11"/>
  <c r="X31" i="11"/>
  <c r="Y31" i="11"/>
  <c r="W32" i="11"/>
  <c r="X32" i="11"/>
  <c r="Y32" i="11"/>
  <c r="W33" i="11"/>
  <c r="X33" i="11"/>
  <c r="Y33" i="11"/>
  <c r="W34" i="11"/>
  <c r="X34" i="11"/>
  <c r="Y34" i="11"/>
  <c r="W35" i="11"/>
  <c r="X35" i="11"/>
  <c r="Y35" i="11"/>
  <c r="W36" i="11"/>
  <c r="X36" i="11"/>
  <c r="Y36" i="11"/>
  <c r="W37" i="11"/>
  <c r="X37" i="11"/>
  <c r="Y37" i="11"/>
  <c r="W38" i="11"/>
  <c r="X38" i="11"/>
  <c r="Y38" i="11"/>
  <c r="W39" i="11"/>
  <c r="X39" i="11"/>
  <c r="Y39" i="11"/>
  <c r="W40" i="11"/>
  <c r="X40" i="11"/>
  <c r="Y40" i="11"/>
  <c r="W41" i="11"/>
  <c r="X41" i="11"/>
  <c r="Y41" i="11"/>
  <c r="W42" i="11"/>
  <c r="X42" i="11"/>
  <c r="Y42" i="11"/>
  <c r="W43" i="11"/>
  <c r="X43" i="11"/>
  <c r="Y43" i="11"/>
  <c r="W44" i="11"/>
  <c r="X44" i="11"/>
  <c r="Y44" i="11"/>
  <c r="W45" i="11"/>
  <c r="X45" i="11"/>
  <c r="Y45" i="11"/>
  <c r="W46" i="11"/>
  <c r="X46" i="11"/>
  <c r="Y46" i="11"/>
  <c r="W47" i="11"/>
  <c r="X47" i="11"/>
  <c r="Y47" i="11"/>
  <c r="W48" i="11"/>
  <c r="X48" i="11"/>
  <c r="Y48" i="11"/>
  <c r="W49" i="11"/>
  <c r="X49" i="11"/>
  <c r="Y49" i="11"/>
  <c r="W50" i="11"/>
  <c r="X50" i="11"/>
  <c r="Y50" i="11"/>
  <c r="W51" i="11"/>
  <c r="X51" i="11"/>
  <c r="Y51" i="11"/>
  <c r="W52" i="11"/>
  <c r="X52" i="11"/>
  <c r="Y52" i="11"/>
  <c r="W53" i="11"/>
  <c r="X53" i="11"/>
  <c r="Y53" i="11"/>
  <c r="W54" i="11"/>
  <c r="X54" i="11"/>
  <c r="Y54" i="11"/>
  <c r="W55" i="11"/>
  <c r="X55" i="11"/>
  <c r="Y55" i="11"/>
  <c r="W56" i="11"/>
  <c r="X56" i="11"/>
  <c r="Y56" i="11"/>
  <c r="W57" i="11"/>
  <c r="X57" i="11"/>
  <c r="Y57" i="11"/>
  <c r="W58" i="11"/>
  <c r="X58" i="11"/>
  <c r="Y58" i="11"/>
  <c r="W59" i="11"/>
  <c r="X59" i="11"/>
  <c r="Y59" i="11"/>
  <c r="W60" i="11"/>
  <c r="X60" i="11"/>
  <c r="Y60" i="11"/>
  <c r="W61" i="11"/>
  <c r="X61" i="11"/>
  <c r="Y61" i="11"/>
  <c r="W62" i="11"/>
  <c r="X62" i="11"/>
  <c r="Y62" i="11"/>
  <c r="W63" i="11"/>
  <c r="X63" i="11"/>
  <c r="Y63" i="11"/>
  <c r="W64" i="11"/>
  <c r="X64" i="11"/>
  <c r="Y64" i="11"/>
  <c r="W65" i="11"/>
  <c r="X65" i="11"/>
  <c r="Y65" i="11"/>
  <c r="W66" i="11"/>
  <c r="X66" i="11"/>
  <c r="Y66" i="11"/>
  <c r="W67" i="11"/>
  <c r="X67" i="11"/>
  <c r="Y67" i="11"/>
  <c r="W68" i="11"/>
  <c r="X68" i="11"/>
  <c r="Y68" i="11"/>
  <c r="W69" i="11"/>
  <c r="X69" i="11"/>
  <c r="Y69" i="11"/>
  <c r="W70" i="11"/>
  <c r="X70" i="11"/>
  <c r="Y70" i="11"/>
  <c r="W71" i="11"/>
  <c r="X71" i="11"/>
  <c r="Y71" i="11"/>
  <c r="W72" i="11"/>
  <c r="X72" i="11"/>
  <c r="Y72" i="11"/>
  <c r="W73" i="11"/>
  <c r="X73" i="11"/>
  <c r="Y73" i="11"/>
  <c r="W74" i="11"/>
  <c r="X74" i="11"/>
  <c r="Y74" i="11"/>
  <c r="W75" i="11"/>
  <c r="X75" i="11"/>
  <c r="Y75" i="11"/>
  <c r="W76" i="11"/>
  <c r="X76" i="11"/>
  <c r="Y76" i="11"/>
  <c r="W77" i="11"/>
  <c r="X77" i="11"/>
  <c r="Y77" i="11"/>
  <c r="W78" i="11"/>
  <c r="X78" i="11"/>
  <c r="Y78" i="11"/>
  <c r="W79" i="11"/>
  <c r="X79" i="11"/>
  <c r="Y79" i="11"/>
  <c r="W80" i="11"/>
  <c r="X80" i="11"/>
  <c r="Y80" i="11"/>
  <c r="W81" i="11"/>
  <c r="X81" i="11"/>
  <c r="Y81" i="11"/>
  <c r="W82" i="11"/>
  <c r="X82" i="11"/>
  <c r="Y82" i="11"/>
  <c r="W83" i="11"/>
  <c r="X83" i="11"/>
  <c r="Y83" i="11"/>
  <c r="W84" i="11"/>
  <c r="X84" i="11"/>
  <c r="Y84" i="11"/>
  <c r="W85" i="11"/>
  <c r="X85" i="11"/>
  <c r="Y85" i="11"/>
  <c r="W86" i="11"/>
  <c r="X86" i="11"/>
  <c r="Y86" i="11"/>
  <c r="W87" i="11"/>
  <c r="X87" i="11"/>
  <c r="Y87" i="11"/>
  <c r="W88" i="11"/>
  <c r="X88" i="11"/>
  <c r="Y88" i="11"/>
  <c r="W89" i="11"/>
  <c r="X89" i="11"/>
  <c r="Y89" i="11"/>
  <c r="W90" i="11"/>
  <c r="X90" i="11"/>
  <c r="Y90" i="11"/>
  <c r="W91" i="11"/>
  <c r="X91" i="11"/>
  <c r="Y91" i="11"/>
  <c r="W92" i="11"/>
  <c r="X92" i="11"/>
  <c r="Y92" i="11"/>
  <c r="W93" i="11"/>
  <c r="X93" i="11"/>
  <c r="Y93" i="11"/>
  <c r="W94" i="11"/>
  <c r="X94" i="11"/>
  <c r="Y94" i="11"/>
  <c r="W95" i="11"/>
  <c r="X95" i="11"/>
  <c r="Y95" i="11"/>
  <c r="W96" i="11"/>
  <c r="X96" i="11"/>
  <c r="Y96" i="11"/>
  <c r="W97" i="11"/>
  <c r="X97" i="11"/>
  <c r="Y97" i="11"/>
  <c r="W98" i="11"/>
  <c r="X98" i="11"/>
  <c r="Y98" i="11"/>
  <c r="W99" i="11"/>
  <c r="X99" i="11"/>
  <c r="Y99" i="11"/>
  <c r="W100" i="11"/>
  <c r="X100" i="11"/>
  <c r="Y100" i="11"/>
  <c r="W101" i="11"/>
  <c r="X101" i="11"/>
  <c r="Y101" i="11"/>
  <c r="W102" i="11"/>
  <c r="X102" i="11"/>
  <c r="Y102" i="11"/>
  <c r="W103" i="11"/>
  <c r="X103" i="11"/>
  <c r="Y103" i="11"/>
  <c r="W104" i="11"/>
  <c r="X104" i="11"/>
  <c r="Y104" i="11"/>
  <c r="W105" i="11"/>
  <c r="X105" i="11"/>
  <c r="Y105" i="11"/>
  <c r="W106" i="11"/>
  <c r="X106" i="11"/>
  <c r="Y106" i="11"/>
  <c r="W107" i="11"/>
  <c r="X107" i="11"/>
  <c r="Y107" i="11"/>
  <c r="W108" i="11"/>
  <c r="X108" i="11"/>
  <c r="Y108" i="11"/>
  <c r="W109" i="11"/>
  <c r="X109" i="11"/>
  <c r="Y109" i="11"/>
  <c r="W110" i="11"/>
  <c r="X110" i="11"/>
  <c r="Y110" i="11"/>
  <c r="W111" i="11"/>
  <c r="X111" i="11"/>
  <c r="Y111" i="11"/>
  <c r="W112" i="11"/>
  <c r="X112" i="11"/>
  <c r="Y112" i="11"/>
  <c r="W113" i="11"/>
  <c r="X113" i="11"/>
  <c r="Y113" i="11"/>
  <c r="W114" i="11"/>
  <c r="X114" i="11"/>
  <c r="Y114" i="11"/>
  <c r="W115" i="11"/>
  <c r="Y115" i="11"/>
  <c r="W116" i="11"/>
  <c r="Y116" i="11"/>
  <c r="W117" i="11"/>
  <c r="Y117" i="11"/>
  <c r="W118" i="11"/>
  <c r="Y118" i="11"/>
  <c r="W119" i="11"/>
  <c r="Y119" i="11"/>
  <c r="W120" i="11"/>
  <c r="Y120" i="11"/>
  <c r="W121" i="11"/>
  <c r="Y121" i="11"/>
  <c r="W122" i="11"/>
  <c r="Y122" i="11"/>
  <c r="W123" i="11"/>
  <c r="Y123" i="11"/>
  <c r="W124" i="11"/>
  <c r="Y124" i="11"/>
  <c r="W125" i="11"/>
  <c r="Y125" i="11"/>
  <c r="W126" i="11"/>
  <c r="Y126" i="11"/>
  <c r="W127" i="11"/>
  <c r="Y127" i="11"/>
  <c r="W128" i="11"/>
  <c r="Y128" i="11"/>
  <c r="W129" i="11"/>
  <c r="Y129" i="11"/>
  <c r="W130" i="11"/>
  <c r="Y130" i="11"/>
  <c r="W131" i="11"/>
  <c r="Y131" i="11"/>
  <c r="W132" i="11"/>
  <c r="Y132" i="11"/>
  <c r="W133" i="11"/>
  <c r="Y133" i="11"/>
  <c r="W134" i="11"/>
  <c r="Y134" i="11"/>
  <c r="W135" i="11"/>
  <c r="Y135" i="11"/>
  <c r="W136" i="11"/>
  <c r="Y136" i="11"/>
  <c r="W137" i="11"/>
  <c r="Y137" i="11"/>
  <c r="W138" i="11"/>
  <c r="Y138" i="11"/>
  <c r="W139" i="11"/>
  <c r="Y139" i="11"/>
  <c r="W140" i="11"/>
  <c r="Y140" i="11"/>
  <c r="W141" i="11"/>
  <c r="Y141" i="11"/>
  <c r="W142" i="11"/>
  <c r="Y142" i="11"/>
  <c r="W143" i="11"/>
  <c r="Y143" i="11"/>
  <c r="W144" i="11"/>
  <c r="Y144" i="11"/>
  <c r="W145" i="11"/>
  <c r="Y145" i="11"/>
  <c r="W146" i="11"/>
  <c r="Y146" i="11"/>
  <c r="W147" i="11"/>
  <c r="Y147" i="11"/>
  <c r="W148" i="11"/>
  <c r="Y148" i="11"/>
  <c r="W149" i="11"/>
  <c r="Y149" i="11"/>
  <c r="W150" i="11"/>
  <c r="Y150" i="11"/>
  <c r="W151" i="11"/>
  <c r="Y151" i="11"/>
  <c r="W152" i="11"/>
  <c r="Y152" i="11"/>
  <c r="W153" i="11"/>
  <c r="Y153" i="11"/>
  <c r="W154" i="11"/>
  <c r="Y154" i="11"/>
  <c r="W155" i="11"/>
  <c r="Y155" i="11"/>
  <c r="W156" i="11"/>
  <c r="Y156" i="11"/>
  <c r="W157" i="11"/>
  <c r="Y157" i="11"/>
  <c r="W158" i="11"/>
  <c r="Y158" i="11"/>
  <c r="W159" i="11"/>
  <c r="Y159" i="11"/>
  <c r="W160" i="11"/>
  <c r="Y160" i="11"/>
  <c r="W161" i="11"/>
  <c r="Y161" i="11"/>
  <c r="W162" i="11"/>
  <c r="Y162" i="11"/>
  <c r="W163" i="11"/>
  <c r="Y163" i="11"/>
  <c r="W164" i="11"/>
  <c r="Y164" i="11"/>
  <c r="W165" i="11"/>
  <c r="Y165" i="11"/>
  <c r="W166" i="11"/>
  <c r="Y166" i="11"/>
  <c r="W167" i="11"/>
  <c r="Y167" i="11"/>
  <c r="W168" i="11"/>
  <c r="Y168" i="11"/>
  <c r="W169" i="11"/>
  <c r="Y169" i="11"/>
  <c r="W170" i="11"/>
  <c r="Y170" i="11"/>
  <c r="W171" i="11"/>
  <c r="Y171" i="11"/>
  <c r="W172" i="11"/>
  <c r="Y172" i="11"/>
  <c r="W173" i="11"/>
  <c r="Y173" i="11"/>
  <c r="W174" i="11"/>
  <c r="Y174" i="11"/>
  <c r="W175" i="11"/>
  <c r="Y175" i="11"/>
  <c r="W176" i="11"/>
  <c r="Y176" i="11"/>
  <c r="W177" i="11"/>
  <c r="Y177" i="11"/>
  <c r="W178" i="11"/>
  <c r="Y178" i="11"/>
  <c r="W179" i="11"/>
  <c r="Y179" i="11"/>
  <c r="W180" i="11"/>
  <c r="Y180" i="11"/>
  <c r="W181" i="11"/>
  <c r="Y181" i="11"/>
  <c r="W182" i="11"/>
  <c r="Y182" i="11"/>
  <c r="W183" i="11"/>
  <c r="Y183" i="11"/>
  <c r="W184" i="11"/>
  <c r="Y184" i="11"/>
  <c r="W185" i="11"/>
  <c r="Y185" i="11"/>
  <c r="W186" i="11"/>
  <c r="Y186" i="11"/>
  <c r="W187" i="11"/>
  <c r="Y187" i="11"/>
  <c r="W188" i="11"/>
  <c r="Y188" i="11"/>
  <c r="W189" i="11"/>
  <c r="Y189" i="11"/>
  <c r="W190" i="11"/>
  <c r="Y190" i="11"/>
  <c r="W191" i="11"/>
  <c r="Y191" i="11"/>
  <c r="W192" i="11"/>
  <c r="Y192" i="11"/>
  <c r="W193" i="11"/>
  <c r="Y193" i="11"/>
  <c r="W194" i="11"/>
  <c r="Y194" i="11"/>
  <c r="W195" i="11"/>
  <c r="Y195" i="11"/>
  <c r="W196" i="11"/>
  <c r="Y196" i="11"/>
  <c r="W197" i="11"/>
  <c r="Y197" i="11"/>
  <c r="W198" i="11"/>
  <c r="Y198" i="11"/>
  <c r="W199" i="11"/>
  <c r="Y199" i="11"/>
  <c r="W200" i="11"/>
  <c r="Y200" i="11"/>
  <c r="W201" i="11"/>
  <c r="Y201" i="11"/>
  <c r="W202" i="11"/>
  <c r="Y202" i="11"/>
  <c r="W203" i="11"/>
  <c r="Y203" i="11"/>
  <c r="W204" i="11"/>
  <c r="Y204" i="11"/>
  <c r="W205" i="11"/>
  <c r="Y205" i="11"/>
  <c r="W206" i="11"/>
  <c r="Y206" i="11"/>
  <c r="W207" i="11"/>
  <c r="Y207" i="11"/>
  <c r="W208" i="11"/>
  <c r="Y208" i="11"/>
  <c r="W209" i="11"/>
  <c r="Y209" i="11"/>
  <c r="W210" i="11"/>
  <c r="Y210" i="11"/>
  <c r="W211" i="11"/>
  <c r="Y211" i="11"/>
  <c r="W212" i="11"/>
  <c r="Y212" i="11"/>
  <c r="W213" i="11"/>
  <c r="Y213" i="11"/>
  <c r="W214" i="11"/>
  <c r="Y214" i="11"/>
  <c r="W215" i="11"/>
  <c r="Y215" i="11"/>
  <c r="W216" i="11"/>
  <c r="Y216" i="11"/>
  <c r="W217" i="11"/>
  <c r="Y217" i="11"/>
  <c r="W218" i="11"/>
  <c r="Y218" i="11"/>
  <c r="W219" i="11"/>
  <c r="Y219" i="11"/>
  <c r="W220" i="11"/>
  <c r="Y220" i="11"/>
  <c r="W221" i="11"/>
  <c r="Y221" i="11"/>
  <c r="W222" i="11"/>
  <c r="Y222" i="11"/>
  <c r="W223" i="11"/>
  <c r="Y223" i="11"/>
  <c r="W224" i="11"/>
  <c r="Y224" i="11"/>
  <c r="W225" i="11"/>
  <c r="Y225" i="11"/>
  <c r="W226" i="11"/>
  <c r="Y226" i="11"/>
  <c r="W227" i="11"/>
  <c r="Y227" i="11"/>
  <c r="W228" i="11"/>
  <c r="Y228" i="11"/>
  <c r="W229" i="11"/>
  <c r="Y229" i="11"/>
  <c r="W230" i="11"/>
  <c r="Y230" i="11"/>
  <c r="W231" i="11"/>
  <c r="Y231" i="11"/>
  <c r="W232" i="11"/>
  <c r="Y232" i="11"/>
  <c r="W233" i="11"/>
  <c r="Y233" i="11"/>
  <c r="W234" i="11"/>
  <c r="Y234" i="11"/>
  <c r="W235" i="11"/>
  <c r="Y235" i="11"/>
  <c r="W236" i="11"/>
  <c r="Y236" i="11"/>
  <c r="W237" i="11"/>
  <c r="Y237" i="11"/>
  <c r="W238" i="11"/>
  <c r="Y238" i="11"/>
  <c r="W239" i="11"/>
  <c r="Y239" i="11"/>
  <c r="W240" i="11"/>
  <c r="Y240" i="11"/>
  <c r="W241" i="11"/>
  <c r="Y241" i="11"/>
  <c r="W242" i="11"/>
  <c r="Y242" i="11"/>
  <c r="W243" i="11"/>
  <c r="Y243" i="11"/>
  <c r="W244" i="11"/>
  <c r="Y244" i="11"/>
  <c r="W245" i="11"/>
  <c r="Y245" i="11"/>
  <c r="W246" i="11"/>
  <c r="Y246" i="11"/>
  <c r="W247" i="11"/>
  <c r="Y247" i="11"/>
  <c r="W248" i="11"/>
  <c r="Y248" i="11"/>
  <c r="W249" i="11"/>
  <c r="Y249" i="11"/>
  <c r="W250" i="11"/>
  <c r="Y250" i="11"/>
  <c r="W251" i="11"/>
  <c r="Y251" i="11"/>
  <c r="W252" i="11"/>
  <c r="Y252" i="11"/>
  <c r="W253" i="11"/>
  <c r="Y253" i="11"/>
  <c r="W254" i="11"/>
  <c r="Y254" i="11"/>
  <c r="W255" i="11"/>
  <c r="Y255" i="11"/>
  <c r="W256" i="11"/>
  <c r="Y256" i="11"/>
  <c r="W257" i="11"/>
  <c r="Y257" i="11"/>
  <c r="W258" i="11"/>
  <c r="Y258" i="11"/>
  <c r="W259" i="11"/>
  <c r="Y259" i="11"/>
  <c r="W260" i="11"/>
  <c r="Y260" i="11"/>
  <c r="W261" i="11"/>
  <c r="Y261" i="11"/>
  <c r="W262" i="11"/>
  <c r="Y262" i="11"/>
  <c r="W263" i="11"/>
  <c r="Y263" i="11"/>
  <c r="W264" i="11"/>
  <c r="Y264" i="11"/>
  <c r="W265" i="11"/>
  <c r="Y265" i="11"/>
  <c r="W266" i="11"/>
  <c r="Y266" i="11"/>
  <c r="W267" i="11"/>
  <c r="Y267" i="11"/>
  <c r="W268" i="11"/>
  <c r="Y268" i="11"/>
  <c r="W269" i="11"/>
  <c r="Y269" i="11"/>
  <c r="W270" i="11"/>
  <c r="Y270" i="11"/>
  <c r="W271" i="11"/>
  <c r="Y271" i="11"/>
  <c r="W272" i="11"/>
  <c r="Y272" i="11"/>
  <c r="W273" i="11"/>
  <c r="Y273" i="11"/>
  <c r="W274" i="11"/>
  <c r="Y274" i="11"/>
  <c r="W275" i="11"/>
  <c r="Y275" i="11"/>
  <c r="W276" i="11"/>
  <c r="Y276" i="11"/>
  <c r="W277" i="11"/>
  <c r="Y277" i="11"/>
  <c r="W278" i="11"/>
  <c r="Y278" i="11"/>
  <c r="W279" i="11"/>
  <c r="Y279" i="11"/>
  <c r="W280" i="11"/>
  <c r="Y280" i="11"/>
  <c r="W281" i="11"/>
  <c r="Y281" i="11"/>
  <c r="W282" i="11"/>
  <c r="Y282" i="11"/>
  <c r="W283" i="11"/>
  <c r="Y283" i="11"/>
  <c r="W284" i="11"/>
  <c r="Y284" i="11"/>
  <c r="W285" i="11"/>
  <c r="Y285" i="11"/>
  <c r="W286" i="11"/>
  <c r="Y286" i="11"/>
  <c r="W287" i="11"/>
  <c r="Y287" i="11"/>
  <c r="W288" i="11"/>
  <c r="Y288" i="11"/>
  <c r="W289" i="11"/>
  <c r="Y289" i="11"/>
  <c r="W290" i="11"/>
  <c r="Y290" i="11"/>
  <c r="W291" i="11"/>
  <c r="Y291" i="11"/>
  <c r="W292" i="11"/>
  <c r="Y292" i="11"/>
  <c r="W293" i="11"/>
  <c r="Y293" i="11"/>
  <c r="W294" i="11"/>
  <c r="Y294" i="11"/>
  <c r="W295" i="11"/>
  <c r="Y295" i="11"/>
  <c r="W296" i="11"/>
  <c r="Y296" i="11"/>
  <c r="W297" i="11"/>
  <c r="Y297" i="11"/>
  <c r="W298" i="11"/>
  <c r="Y298" i="11"/>
  <c r="W299" i="11"/>
  <c r="Y299" i="11"/>
  <c r="W300" i="11"/>
  <c r="Y300" i="11"/>
  <c r="W301" i="11"/>
  <c r="Y301" i="11"/>
  <c r="W302" i="11"/>
  <c r="Y302" i="11"/>
  <c r="W303" i="11"/>
  <c r="Y303" i="11"/>
  <c r="W304" i="11"/>
  <c r="Y304" i="11"/>
  <c r="W305" i="11"/>
  <c r="Y305" i="11"/>
  <c r="W306" i="11"/>
  <c r="Y306" i="11"/>
  <c r="W307" i="11"/>
  <c r="Y307" i="11"/>
  <c r="W308" i="11"/>
  <c r="Y308" i="11"/>
  <c r="W309" i="11"/>
  <c r="Y309" i="11"/>
  <c r="W310" i="11"/>
  <c r="Y310" i="11"/>
  <c r="W311" i="11"/>
  <c r="Y311" i="11"/>
  <c r="W312" i="11"/>
  <c r="Y312" i="11"/>
  <c r="W313" i="11"/>
  <c r="Y313" i="11"/>
  <c r="Y11" i="11"/>
  <c r="V12" i="11"/>
  <c r="Y12" i="11"/>
  <c r="V13" i="11"/>
  <c r="Y13" i="11"/>
  <c r="Z15" i="11"/>
  <c r="X115" i="11"/>
  <c r="X116" i="11"/>
  <c r="X117" i="11"/>
  <c r="X118" i="11"/>
  <c r="X119" i="11"/>
  <c r="X120" i="11"/>
  <c r="X121" i="11"/>
  <c r="X122" i="11"/>
  <c r="X123" i="11"/>
  <c r="X124" i="11"/>
  <c r="X125" i="11"/>
  <c r="X126" i="11"/>
  <c r="X127" i="11"/>
  <c r="X128" i="11"/>
  <c r="X129" i="11"/>
  <c r="X130" i="11"/>
  <c r="X131" i="11"/>
  <c r="X132" i="11"/>
  <c r="X133" i="11"/>
  <c r="X134" i="11"/>
  <c r="X135" i="11"/>
  <c r="X136" i="11"/>
  <c r="X137" i="11"/>
  <c r="X138" i="11"/>
  <c r="X139" i="11"/>
  <c r="X140" i="11"/>
  <c r="X141" i="11"/>
  <c r="X142" i="11"/>
  <c r="X143" i="11"/>
  <c r="X144" i="11"/>
  <c r="X145" i="11"/>
  <c r="X146" i="11"/>
  <c r="X147" i="11"/>
  <c r="X148" i="11"/>
  <c r="X149" i="11"/>
  <c r="X150" i="11"/>
  <c r="X151" i="11"/>
  <c r="X152" i="11"/>
  <c r="X153" i="11"/>
  <c r="X154" i="11"/>
  <c r="X155" i="11"/>
  <c r="X156" i="11"/>
  <c r="X157" i="11"/>
  <c r="X158" i="11"/>
  <c r="X159" i="11"/>
  <c r="X160" i="11"/>
  <c r="X161" i="11"/>
  <c r="X162" i="11"/>
  <c r="X163" i="11"/>
  <c r="X164" i="11"/>
  <c r="X165" i="11"/>
  <c r="X166" i="11"/>
  <c r="X167" i="11"/>
  <c r="X168" i="11"/>
  <c r="X169" i="11"/>
  <c r="X170" i="11"/>
  <c r="X171" i="11"/>
  <c r="X172" i="11"/>
  <c r="X173" i="11"/>
  <c r="X174" i="11"/>
  <c r="X175" i="11"/>
  <c r="X176" i="11"/>
  <c r="X177" i="11"/>
  <c r="X178" i="11"/>
  <c r="X179" i="11"/>
  <c r="X180" i="11"/>
  <c r="X181" i="11"/>
  <c r="X182" i="11"/>
  <c r="X183" i="11"/>
  <c r="X184" i="11"/>
  <c r="X185" i="11"/>
  <c r="X186" i="11"/>
  <c r="X187" i="11"/>
  <c r="X188" i="11"/>
  <c r="X189" i="11"/>
  <c r="X190" i="11"/>
  <c r="X191" i="11"/>
  <c r="X192" i="11"/>
  <c r="X193" i="11"/>
  <c r="X194" i="11"/>
  <c r="X195" i="11"/>
  <c r="X196" i="11"/>
  <c r="X197" i="11"/>
  <c r="X198" i="11"/>
  <c r="X199" i="11"/>
  <c r="X200" i="11"/>
  <c r="X201" i="11"/>
  <c r="X202" i="11"/>
  <c r="X203" i="11"/>
  <c r="X204" i="11"/>
  <c r="X205" i="11"/>
  <c r="X206" i="11"/>
  <c r="X207" i="11"/>
  <c r="X208" i="11"/>
  <c r="X209" i="11"/>
  <c r="X210" i="11"/>
  <c r="X211" i="11"/>
  <c r="X212" i="11"/>
  <c r="X213" i="11"/>
  <c r="X214" i="11"/>
  <c r="X215" i="11"/>
  <c r="X216" i="11"/>
  <c r="X217" i="11"/>
  <c r="X218" i="11"/>
  <c r="X219" i="11"/>
  <c r="X220" i="11"/>
  <c r="X221" i="11"/>
  <c r="X222" i="11"/>
  <c r="X223" i="11"/>
  <c r="X224" i="11"/>
  <c r="X225" i="11"/>
  <c r="X226" i="11"/>
  <c r="X227" i="11"/>
  <c r="X228" i="11"/>
  <c r="X229" i="11"/>
  <c r="X230" i="11"/>
  <c r="X231" i="11"/>
  <c r="X232" i="11"/>
  <c r="X233" i="11"/>
  <c r="X234" i="11"/>
  <c r="X235" i="11"/>
  <c r="X236" i="11"/>
  <c r="X237" i="11"/>
  <c r="X238" i="11"/>
  <c r="X239" i="11"/>
  <c r="X240" i="11"/>
  <c r="X241" i="11"/>
  <c r="X242" i="11"/>
  <c r="X243" i="11"/>
  <c r="X244" i="11"/>
  <c r="X245" i="11"/>
  <c r="X246" i="11"/>
  <c r="X247" i="11"/>
  <c r="X248" i="11"/>
  <c r="X249" i="11"/>
  <c r="X250" i="11"/>
  <c r="X251" i="11"/>
  <c r="X252" i="11"/>
  <c r="X253" i="11"/>
  <c r="X254" i="11"/>
  <c r="X255" i="11"/>
  <c r="X256" i="11"/>
  <c r="X257" i="11"/>
  <c r="X258" i="11"/>
  <c r="X259" i="11"/>
  <c r="X260" i="11"/>
  <c r="X261" i="11"/>
  <c r="X262" i="11"/>
  <c r="X263" i="11"/>
  <c r="X264" i="11"/>
  <c r="X265" i="11"/>
  <c r="X266" i="11"/>
  <c r="X267" i="11"/>
  <c r="X268" i="11"/>
  <c r="X269" i="11"/>
  <c r="X270" i="11"/>
  <c r="X271" i="11"/>
  <c r="X272" i="11"/>
  <c r="X273" i="11"/>
  <c r="X274" i="11"/>
  <c r="X275" i="11"/>
  <c r="X276" i="11"/>
  <c r="X277" i="11"/>
  <c r="X278" i="11"/>
  <c r="X279" i="11"/>
  <c r="X280" i="11"/>
  <c r="X281" i="11"/>
  <c r="X282" i="11"/>
  <c r="X283" i="11"/>
  <c r="X284" i="11"/>
  <c r="X285" i="11"/>
  <c r="X286" i="11"/>
  <c r="X287" i="11"/>
  <c r="X288" i="11"/>
  <c r="X289" i="11"/>
  <c r="X290" i="11"/>
  <c r="X291" i="11"/>
  <c r="X292" i="11"/>
  <c r="X293" i="11"/>
  <c r="X294" i="11"/>
  <c r="X295" i="11"/>
  <c r="X296" i="11"/>
  <c r="X297" i="11"/>
  <c r="X298" i="11"/>
  <c r="X299" i="11"/>
  <c r="X300" i="11"/>
  <c r="X301" i="11"/>
  <c r="X302" i="11"/>
  <c r="X303" i="11"/>
  <c r="X304" i="11"/>
  <c r="X305" i="11"/>
  <c r="X306" i="11"/>
  <c r="X307" i="11"/>
  <c r="X308" i="11"/>
  <c r="X309" i="11"/>
  <c r="X310" i="11"/>
  <c r="X311" i="11"/>
  <c r="X312" i="11"/>
  <c r="X313" i="11"/>
  <c r="O314" i="11"/>
  <c r="F15" i="8" a="1"/>
  <c r="F15" i="8"/>
  <c r="C7" i="6"/>
  <c r="N10" i="6"/>
  <c r="O10" i="6"/>
  <c r="P10" i="6"/>
  <c r="Q10" i="6"/>
  <c r="R10" i="6"/>
  <c r="S10" i="6"/>
  <c r="T10" i="6"/>
  <c r="U10" i="6"/>
  <c r="V10" i="6"/>
  <c r="W10" i="6"/>
  <c r="X10" i="6"/>
  <c r="Y10" i="6"/>
  <c r="Z10" i="6"/>
  <c r="AA10" i="6"/>
  <c r="AB10" i="6"/>
  <c r="AC10" i="6"/>
  <c r="AD10" i="6"/>
  <c r="AE10" i="6"/>
  <c r="E11" i="6" a="1"/>
  <c r="E11" i="6"/>
  <c r="F11" i="6" a="1"/>
  <c r="F11" i="6"/>
  <c r="G11" i="6" a="1"/>
  <c r="G11" i="6"/>
  <c r="H11" i="6" a="1"/>
  <c r="H11" i="6"/>
  <c r="I11" i="6" a="1"/>
  <c r="I11" i="6"/>
  <c r="J11" i="6" a="1"/>
  <c r="J11" i="6"/>
  <c r="K11" i="6" a="1"/>
  <c r="K11" i="6"/>
  <c r="L11" i="6" a="1"/>
  <c r="L11" i="6"/>
  <c r="M11" i="6" a="1"/>
  <c r="M11" i="6"/>
  <c r="N12" i="6" a="1"/>
  <c r="N12" i="6"/>
  <c r="O12" i="6"/>
  <c r="P12" i="6"/>
  <c r="Q12" i="6"/>
  <c r="R12" i="6"/>
  <c r="S12" i="6"/>
  <c r="T12" i="6"/>
  <c r="U12" i="6"/>
  <c r="V12" i="6"/>
  <c r="W12" i="6"/>
  <c r="X12" i="6"/>
  <c r="Y12" i="6"/>
  <c r="Z12" i="6"/>
  <c r="AA12" i="6"/>
  <c r="AB12" i="6"/>
  <c r="AC12" i="6"/>
  <c r="AD12" i="6"/>
  <c r="AE12" i="6"/>
  <c r="N13" i="6" a="1"/>
  <c r="N13" i="6"/>
  <c r="O13" i="6"/>
  <c r="P13" i="6"/>
  <c r="Q13" i="6"/>
  <c r="R13" i="6"/>
  <c r="S13" i="6"/>
  <c r="T13" i="6"/>
  <c r="U13" i="6"/>
  <c r="V13" i="6"/>
  <c r="W13" i="6"/>
  <c r="X13" i="6"/>
  <c r="Y13" i="6"/>
  <c r="Z13" i="6"/>
  <c r="AA13" i="6"/>
  <c r="AB13" i="6"/>
  <c r="AC13" i="6"/>
  <c r="AD13" i="6"/>
  <c r="AE13" i="6"/>
  <c r="A14" i="6"/>
  <c r="N14" i="6" a="1"/>
  <c r="N14" i="6"/>
  <c r="O14" i="6"/>
  <c r="P14" i="6"/>
  <c r="Q14" i="6"/>
  <c r="R14" i="6"/>
  <c r="S14" i="6"/>
  <c r="T14" i="6"/>
  <c r="U14" i="6"/>
  <c r="V14" i="6"/>
  <c r="W14" i="6"/>
  <c r="X14" i="6"/>
  <c r="Y14" i="6"/>
  <c r="Z14" i="6"/>
  <c r="AA14" i="6"/>
  <c r="AB14" i="6"/>
  <c r="AC14" i="6"/>
  <c r="AD14" i="6"/>
  <c r="AE14" i="6"/>
  <c r="A15" i="6"/>
  <c r="N15" i="6" a="1"/>
  <c r="N15" i="6"/>
  <c r="A16" i="6"/>
  <c r="N16" i="6" a="1"/>
  <c r="N16" i="6"/>
  <c r="A17" i="6"/>
  <c r="N17" i="6" a="1"/>
  <c r="N17" i="6"/>
  <c r="A18" i="6"/>
  <c r="N18" i="6" a="1"/>
  <c r="N18" i="6"/>
  <c r="A19" i="6"/>
  <c r="N19" i="6" a="1"/>
  <c r="N19" i="6"/>
  <c r="A20" i="6"/>
  <c r="N20" i="6" a="1"/>
  <c r="N20" i="6"/>
  <c r="A21" i="6"/>
  <c r="N21" i="6" a="1"/>
  <c r="N21" i="6"/>
  <c r="A22" i="6"/>
  <c r="N22" i="6" a="1"/>
  <c r="N22" i="6"/>
  <c r="A23" i="6"/>
  <c r="N23" i="6" a="1"/>
  <c r="N23" i="6"/>
  <c r="A24" i="6"/>
  <c r="N24" i="6" a="1"/>
  <c r="N24" i="6"/>
  <c r="A25" i="6"/>
  <c r="N25" i="6" a="1"/>
  <c r="N25" i="6"/>
  <c r="A26" i="6"/>
  <c r="N26" i="6" a="1"/>
  <c r="N26" i="6"/>
  <c r="A27" i="6"/>
  <c r="N27" i="6" a="1"/>
  <c r="N27" i="6"/>
  <c r="A28" i="6"/>
  <c r="N28" i="6" a="1"/>
  <c r="N28" i="6"/>
  <c r="A29" i="6"/>
  <c r="N29" i="6" a="1"/>
  <c r="N29" i="6"/>
  <c r="A30" i="6"/>
  <c r="N30" i="6" a="1"/>
  <c r="N30" i="6"/>
  <c r="A31" i="6"/>
  <c r="N31" i="6" a="1"/>
  <c r="N31" i="6"/>
  <c r="A32" i="6"/>
  <c r="N32" i="6" a="1"/>
  <c r="N32" i="6"/>
  <c r="A33" i="6"/>
  <c r="N33" i="6" a="1"/>
  <c r="N33" i="6"/>
  <c r="A34" i="6"/>
  <c r="N34" i="6" a="1"/>
  <c r="N34" i="6"/>
  <c r="A35" i="6"/>
  <c r="N35" i="6" a="1"/>
  <c r="N35" i="6"/>
  <c r="A36" i="6"/>
  <c r="N36" i="6" a="1"/>
  <c r="N36" i="6"/>
  <c r="A37" i="6"/>
  <c r="N37" i="6" a="1"/>
  <c r="N37" i="6"/>
  <c r="A38" i="6"/>
  <c r="N38" i="6" a="1"/>
  <c r="N38" i="6"/>
  <c r="A39" i="6"/>
  <c r="N39" i="6" a="1"/>
  <c r="N39" i="6"/>
  <c r="A40" i="6"/>
  <c r="N40" i="6" a="1"/>
  <c r="N40" i="6"/>
  <c r="A41" i="6"/>
  <c r="N41" i="6" a="1"/>
  <c r="N41" i="6"/>
  <c r="A42" i="6"/>
  <c r="N42" i="6" a="1"/>
  <c r="N42" i="6"/>
  <c r="A43" i="6"/>
  <c r="N43" i="6" a="1"/>
  <c r="N43" i="6"/>
  <c r="A44" i="6"/>
  <c r="N44" i="6" a="1"/>
  <c r="N44" i="6"/>
  <c r="A45" i="6"/>
  <c r="N45" i="6" a="1"/>
  <c r="N45" i="6"/>
  <c r="A46" i="6"/>
  <c r="N46" i="6" a="1"/>
  <c r="N46" i="6"/>
  <c r="A47" i="6"/>
  <c r="N47" i="6" a="1"/>
  <c r="N47" i="6"/>
  <c r="A48" i="6"/>
  <c r="N48" i="6" a="1"/>
  <c r="N48" i="6"/>
  <c r="A49" i="6"/>
  <c r="N49" i="6" a="1"/>
  <c r="N49" i="6"/>
  <c r="A50" i="6"/>
  <c r="N50" i="6" a="1"/>
  <c r="N50" i="6"/>
  <c r="A51" i="6"/>
  <c r="N51" i="6" a="1"/>
  <c r="N51" i="6"/>
  <c r="A52" i="6"/>
  <c r="N52" i="6" a="1"/>
  <c r="N52" i="6"/>
  <c r="A53" i="6"/>
  <c r="N53" i="6" a="1"/>
  <c r="N53" i="6"/>
  <c r="A54" i="6"/>
  <c r="N54" i="6" a="1"/>
  <c r="N54" i="6"/>
  <c r="A55" i="6"/>
  <c r="N55" i="6" a="1"/>
  <c r="N55" i="6"/>
  <c r="A56" i="6"/>
  <c r="N56" i="6" a="1"/>
  <c r="N56" i="6"/>
  <c r="A57" i="6"/>
  <c r="N57" i="6" a="1"/>
  <c r="N57" i="6"/>
  <c r="A58" i="6"/>
  <c r="N58" i="6" a="1"/>
  <c r="N58" i="6"/>
  <c r="A59" i="6"/>
  <c r="N59" i="6" a="1"/>
  <c r="N59" i="6"/>
  <c r="A60" i="6"/>
  <c r="N60" i="6" a="1"/>
  <c r="N60" i="6"/>
  <c r="A61" i="6"/>
  <c r="N61" i="6" a="1"/>
  <c r="N61" i="6"/>
  <c r="A62" i="6"/>
  <c r="N62" i="6" a="1"/>
  <c r="N62" i="6"/>
  <c r="A63" i="6"/>
  <c r="N63" i="6" a="1"/>
  <c r="N63" i="6"/>
  <c r="A64" i="6"/>
  <c r="N64" i="6" a="1"/>
  <c r="N64" i="6"/>
  <c r="A65" i="6"/>
  <c r="N65" i="6" a="1"/>
  <c r="N65" i="6"/>
  <c r="A66" i="6"/>
  <c r="N66" i="6" a="1"/>
  <c r="N66" i="6"/>
  <c r="A67" i="6"/>
  <c r="N67" i="6" a="1"/>
  <c r="N67" i="6"/>
  <c r="A68" i="6"/>
  <c r="N68" i="6" a="1"/>
  <c r="N68" i="6"/>
  <c r="A69" i="6"/>
  <c r="N69" i="6" a="1"/>
  <c r="N69" i="6"/>
  <c r="A70" i="6"/>
  <c r="N70" i="6" a="1"/>
  <c r="N70" i="6"/>
  <c r="A71" i="6"/>
  <c r="N71" i="6" a="1"/>
  <c r="N71" i="6"/>
  <c r="A72" i="6"/>
  <c r="N72" i="6" a="1"/>
  <c r="N72" i="6"/>
  <c r="A73" i="6"/>
  <c r="N73" i="6" a="1"/>
  <c r="N73" i="6"/>
  <c r="A74" i="6"/>
  <c r="N74" i="6" a="1"/>
  <c r="N74" i="6"/>
  <c r="A75" i="6"/>
  <c r="N75" i="6" a="1"/>
  <c r="N75" i="6"/>
  <c r="A76" i="6"/>
  <c r="N76" i="6" a="1"/>
  <c r="N76" i="6"/>
  <c r="A77" i="6"/>
  <c r="N77" i="6" a="1"/>
  <c r="N77" i="6"/>
  <c r="A78" i="6"/>
  <c r="N78" i="6" a="1"/>
  <c r="N78" i="6"/>
  <c r="A79" i="6"/>
  <c r="N79" i="6" a="1"/>
  <c r="N79" i="6"/>
  <c r="A80" i="6"/>
  <c r="N80" i="6" a="1"/>
  <c r="N80" i="6"/>
  <c r="A81" i="6"/>
  <c r="N81" i="6" a="1"/>
  <c r="N81" i="6"/>
  <c r="A82" i="6"/>
  <c r="N82" i="6" a="1"/>
  <c r="N82" i="6"/>
  <c r="A83" i="6"/>
  <c r="N83" i="6" a="1"/>
  <c r="N83" i="6"/>
  <c r="A84" i="6"/>
  <c r="N84" i="6" a="1"/>
  <c r="N84" i="6"/>
  <c r="A85" i="6"/>
  <c r="N85" i="6" a="1"/>
  <c r="N85" i="6"/>
  <c r="A86" i="6"/>
  <c r="N86" i="6" a="1"/>
  <c r="N86" i="6"/>
  <c r="A87" i="6"/>
  <c r="N87" i="6" a="1"/>
  <c r="N87" i="6"/>
  <c r="A88" i="6"/>
  <c r="N88" i="6" a="1"/>
  <c r="N88" i="6"/>
  <c r="A89" i="6"/>
  <c r="N89" i="6" a="1"/>
  <c r="N89" i="6"/>
  <c r="A90" i="6"/>
  <c r="N90" i="6" a="1"/>
  <c r="N90" i="6"/>
  <c r="A91" i="6"/>
  <c r="N91" i="6" a="1"/>
  <c r="N91" i="6"/>
  <c r="A92" i="6"/>
  <c r="N92" i="6" a="1"/>
  <c r="N92" i="6"/>
  <c r="A93" i="6"/>
  <c r="N93" i="6" a="1"/>
  <c r="N93" i="6"/>
  <c r="A94" i="6"/>
  <c r="N94" i="6" a="1"/>
  <c r="N94" i="6"/>
  <c r="A95" i="6"/>
  <c r="N95" i="6" a="1"/>
  <c r="N95" i="6"/>
  <c r="A96" i="6"/>
  <c r="N96" i="6" a="1"/>
  <c r="N96" i="6"/>
  <c r="A97" i="6"/>
  <c r="N97" i="6" a="1"/>
  <c r="N97" i="6"/>
  <c r="A98" i="6"/>
  <c r="N98" i="6" a="1"/>
  <c r="N98" i="6"/>
  <c r="A99" i="6"/>
  <c r="N99" i="6" a="1"/>
  <c r="N99" i="6"/>
  <c r="A100" i="6"/>
  <c r="N100" i="6" a="1"/>
  <c r="N100" i="6"/>
  <c r="A101" i="6"/>
  <c r="N101" i="6" a="1"/>
  <c r="N101" i="6"/>
  <c r="A102" i="6"/>
  <c r="N102" i="6" a="1"/>
  <c r="N102" i="6"/>
  <c r="A103" i="6"/>
  <c r="N103" i="6" a="1"/>
  <c r="N103" i="6"/>
  <c r="A104" i="6"/>
  <c r="N104" i="6" a="1"/>
  <c r="N104" i="6"/>
  <c r="A105" i="6"/>
  <c r="N105" i="6" a="1"/>
  <c r="N105" i="6"/>
  <c r="A106" i="6"/>
  <c r="N106" i="6" a="1"/>
  <c r="N106" i="6"/>
  <c r="A107" i="6"/>
  <c r="N107" i="6" a="1"/>
  <c r="N107" i="6"/>
  <c r="A108" i="6"/>
  <c r="N108" i="6" a="1"/>
  <c r="N108" i="6"/>
  <c r="A109" i="6"/>
  <c r="N109" i="6" a="1"/>
  <c r="N109" i="6"/>
  <c r="A110" i="6"/>
  <c r="N110" i="6" a="1"/>
  <c r="N110" i="6"/>
  <c r="A111" i="6"/>
  <c r="N111" i="6" a="1"/>
  <c r="N111" i="6"/>
  <c r="A112" i="6"/>
  <c r="N112" i="6" a="1"/>
  <c r="N112" i="6"/>
  <c r="A113" i="6"/>
  <c r="N113" i="6" a="1"/>
  <c r="N113" i="6"/>
  <c r="A114" i="6"/>
  <c r="N114" i="6" a="1"/>
  <c r="N114" i="6"/>
  <c r="A115" i="6"/>
  <c r="N115" i="6" a="1"/>
  <c r="N115" i="6"/>
  <c r="A116" i="6"/>
  <c r="N116" i="6" a="1"/>
  <c r="N116" i="6"/>
  <c r="A117" i="6"/>
  <c r="N117" i="6" a="1"/>
  <c r="N117" i="6"/>
  <c r="A118" i="6"/>
  <c r="N118" i="6" a="1"/>
  <c r="N118" i="6"/>
  <c r="A119" i="6"/>
  <c r="N119" i="6" a="1"/>
  <c r="N119" i="6"/>
  <c r="A120" i="6"/>
  <c r="N120" i="6" a="1"/>
  <c r="N120" i="6"/>
  <c r="A121" i="6"/>
  <c r="N121" i="6" a="1"/>
  <c r="N121" i="6"/>
  <c r="A122" i="6"/>
  <c r="N122" i="6" a="1"/>
  <c r="N122" i="6"/>
  <c r="A123" i="6"/>
  <c r="N123" i="6" a="1"/>
  <c r="N123" i="6"/>
  <c r="A124" i="6"/>
  <c r="N124" i="6" a="1"/>
  <c r="N124" i="6"/>
  <c r="A125" i="6"/>
  <c r="N125" i="6" a="1"/>
  <c r="N125" i="6"/>
  <c r="A126" i="6"/>
  <c r="N126" i="6" a="1"/>
  <c r="N126" i="6"/>
  <c r="A127" i="6"/>
  <c r="N127" i="6" a="1"/>
  <c r="N127" i="6"/>
  <c r="A128" i="6"/>
  <c r="N128" i="6" a="1"/>
  <c r="N128" i="6"/>
  <c r="A129" i="6"/>
  <c r="N129" i="6" a="1"/>
  <c r="N129" i="6"/>
  <c r="A130" i="6"/>
  <c r="N130" i="6" a="1"/>
  <c r="N130" i="6"/>
  <c r="A131" i="6"/>
  <c r="N131" i="6" a="1"/>
  <c r="N131" i="6"/>
  <c r="A132" i="6"/>
  <c r="N132" i="6" a="1"/>
  <c r="N132" i="6"/>
  <c r="A133" i="6"/>
  <c r="N133" i="6" a="1"/>
  <c r="N133" i="6"/>
  <c r="A134" i="6"/>
  <c r="N134" i="6" a="1"/>
  <c r="N134" i="6"/>
  <c r="A135" i="6"/>
  <c r="N135" i="6" a="1"/>
  <c r="N135" i="6"/>
  <c r="A136" i="6"/>
  <c r="N136" i="6" a="1"/>
  <c r="N136" i="6"/>
  <c r="A137" i="6"/>
  <c r="N137" i="6" a="1"/>
  <c r="N137" i="6"/>
  <c r="A138" i="6"/>
  <c r="N138" i="6" a="1"/>
  <c r="N138" i="6"/>
  <c r="A139" i="6"/>
  <c r="N139" i="6" a="1"/>
  <c r="N139" i="6"/>
  <c r="A140" i="6"/>
  <c r="N140" i="6" a="1"/>
  <c r="N140" i="6"/>
  <c r="A141" i="6"/>
  <c r="N141" i="6" a="1"/>
  <c r="N141" i="6"/>
  <c r="A142" i="6"/>
  <c r="N142" i="6" a="1"/>
  <c r="N142" i="6"/>
  <c r="A143" i="6"/>
  <c r="N143" i="6" a="1"/>
  <c r="N143" i="6"/>
  <c r="A144" i="6"/>
  <c r="N144" i="6" a="1"/>
  <c r="N144" i="6"/>
  <c r="A145" i="6"/>
  <c r="N145" i="6" a="1"/>
  <c r="N145" i="6"/>
  <c r="A146" i="6"/>
  <c r="N146" i="6" a="1"/>
  <c r="N146" i="6"/>
  <c r="A147" i="6"/>
  <c r="N147" i="6" a="1"/>
  <c r="N147" i="6"/>
  <c r="A148" i="6"/>
  <c r="N148" i="6" a="1"/>
  <c r="N148" i="6"/>
  <c r="A149" i="6"/>
  <c r="N149" i="6" a="1"/>
  <c r="N149" i="6"/>
  <c r="A150" i="6"/>
  <c r="N150" i="6" a="1"/>
  <c r="N150" i="6"/>
  <c r="A151" i="6"/>
  <c r="N151" i="6" a="1"/>
  <c r="N151" i="6"/>
  <c r="A152" i="6"/>
  <c r="N152" i="6" a="1"/>
  <c r="N152" i="6"/>
  <c r="A153" i="6"/>
  <c r="N153" i="6" a="1"/>
  <c r="N153" i="6"/>
  <c r="A154" i="6"/>
  <c r="N154" i="6" a="1"/>
  <c r="N154" i="6"/>
  <c r="A155" i="6"/>
  <c r="N155" i="6" a="1"/>
  <c r="N155" i="6"/>
  <c r="A156" i="6"/>
  <c r="N156" i="6" a="1"/>
  <c r="N156" i="6"/>
  <c r="A157" i="6"/>
  <c r="N157" i="6" a="1"/>
  <c r="N157" i="6"/>
  <c r="A158" i="6"/>
  <c r="N158" i="6" a="1"/>
  <c r="N158" i="6"/>
  <c r="A159" i="6"/>
  <c r="N159" i="6" a="1"/>
  <c r="N159" i="6"/>
  <c r="A160" i="6"/>
  <c r="N160" i="6" a="1"/>
  <c r="N160" i="6"/>
  <c r="A161" i="6"/>
  <c r="N161" i="6" a="1"/>
  <c r="N161" i="6"/>
  <c r="A162" i="6"/>
  <c r="N162" i="6" a="1"/>
  <c r="N162" i="6"/>
  <c r="A163" i="6"/>
  <c r="N163" i="6" a="1"/>
  <c r="N163" i="6"/>
  <c r="A164" i="6"/>
  <c r="N164" i="6" a="1"/>
  <c r="N164" i="6"/>
  <c r="A165" i="6"/>
  <c r="N165" i="6" a="1"/>
  <c r="N165" i="6"/>
  <c r="A166" i="6"/>
  <c r="N166" i="6" a="1"/>
  <c r="N166" i="6"/>
  <c r="A167" i="6"/>
  <c r="N167" i="6" a="1"/>
  <c r="N167" i="6"/>
  <c r="A168" i="6"/>
  <c r="N168" i="6" a="1"/>
  <c r="N168" i="6"/>
  <c r="A169" i="6"/>
  <c r="N169" i="6" a="1"/>
  <c r="N169" i="6"/>
  <c r="A170" i="6"/>
  <c r="N170" i="6" a="1"/>
  <c r="N170" i="6"/>
  <c r="A171" i="6"/>
  <c r="N171" i="6" a="1"/>
  <c r="N171" i="6"/>
  <c r="A172" i="6"/>
  <c r="N172" i="6" a="1"/>
  <c r="N172" i="6"/>
  <c r="A173" i="6"/>
  <c r="N173" i="6" a="1"/>
  <c r="N173" i="6"/>
  <c r="A174" i="6"/>
  <c r="N174" i="6" a="1"/>
  <c r="N174" i="6"/>
  <c r="A175" i="6"/>
  <c r="N175" i="6" a="1"/>
  <c r="N175" i="6"/>
  <c r="A176" i="6"/>
  <c r="N176" i="6" a="1"/>
  <c r="N176" i="6"/>
  <c r="A177" i="6"/>
  <c r="N177" i="6" a="1"/>
  <c r="N177" i="6"/>
  <c r="A178" i="6"/>
  <c r="N178" i="6" a="1"/>
  <c r="N178" i="6"/>
  <c r="A179" i="6"/>
  <c r="N179" i="6" a="1"/>
  <c r="N179" i="6"/>
  <c r="A180" i="6"/>
  <c r="N180" i="6" a="1"/>
  <c r="N180" i="6"/>
  <c r="A181" i="6"/>
  <c r="N181" i="6" a="1"/>
  <c r="N181" i="6"/>
  <c r="A182" i="6"/>
  <c r="N182" i="6" a="1"/>
  <c r="N182" i="6"/>
  <c r="A183" i="6"/>
  <c r="N183" i="6" a="1"/>
  <c r="N183" i="6"/>
  <c r="A184" i="6"/>
  <c r="N184" i="6" a="1"/>
  <c r="N184" i="6"/>
  <c r="O184" i="6"/>
  <c r="P184" i="6"/>
  <c r="Q184" i="6"/>
  <c r="R184" i="6"/>
  <c r="S184" i="6"/>
  <c r="T184" i="6"/>
  <c r="U184" i="6"/>
  <c r="V184" i="6"/>
  <c r="W184" i="6"/>
  <c r="X184" i="6"/>
  <c r="Y184" i="6"/>
  <c r="Z184" i="6"/>
  <c r="AA184" i="6"/>
  <c r="AB184" i="6"/>
  <c r="AC184" i="6"/>
  <c r="AD184" i="6"/>
  <c r="AE184" i="6"/>
  <c r="A185" i="6"/>
  <c r="N185" i="6" a="1"/>
  <c r="N185" i="6"/>
  <c r="A186" i="6"/>
  <c r="N186" i="6" a="1"/>
  <c r="N186" i="6"/>
  <c r="A187" i="6"/>
  <c r="N187" i="6" a="1"/>
  <c r="N187" i="6"/>
  <c r="A188" i="6"/>
  <c r="N188" i="6" a="1"/>
  <c r="N188" i="6"/>
  <c r="A189" i="6"/>
  <c r="N189" i="6" a="1"/>
  <c r="N189" i="6"/>
  <c r="A190" i="6"/>
  <c r="N190" i="6" a="1"/>
  <c r="N190" i="6"/>
  <c r="A191" i="6"/>
  <c r="N191" i="6" a="1"/>
  <c r="N191" i="6"/>
  <c r="A192" i="6"/>
  <c r="N192" i="6" a="1"/>
  <c r="N192" i="6"/>
  <c r="A193" i="6"/>
  <c r="N193" i="6" a="1"/>
  <c r="N193" i="6"/>
  <c r="A194" i="6"/>
  <c r="N194" i="6" a="1"/>
  <c r="N194" i="6"/>
  <c r="A195" i="6"/>
  <c r="N195" i="6" a="1"/>
  <c r="N195" i="6"/>
  <c r="A196" i="6"/>
  <c r="N196" i="6" a="1"/>
  <c r="N196" i="6"/>
  <c r="A197" i="6"/>
  <c r="N197" i="6" a="1"/>
  <c r="N197" i="6"/>
  <c r="A198" i="6"/>
  <c r="N198" i="6" a="1"/>
  <c r="N198" i="6"/>
  <c r="A199" i="6"/>
  <c r="N199" i="6" a="1"/>
  <c r="N199" i="6"/>
  <c r="A200" i="6"/>
  <c r="N200" i="6" a="1"/>
  <c r="N200" i="6"/>
  <c r="A201" i="6"/>
  <c r="N201" i="6" a="1"/>
  <c r="N201" i="6"/>
  <c r="A202" i="6"/>
  <c r="N202" i="6" a="1"/>
  <c r="N202" i="6"/>
  <c r="A203" i="6"/>
  <c r="N203" i="6" a="1"/>
  <c r="N203" i="6"/>
  <c r="A204" i="6"/>
  <c r="N204" i="6" a="1"/>
  <c r="N204" i="6"/>
  <c r="A205" i="6"/>
  <c r="N205" i="6" a="1"/>
  <c r="N205" i="6"/>
  <c r="A206" i="6"/>
  <c r="N206" i="6" a="1"/>
  <c r="N206" i="6"/>
  <c r="A207" i="6"/>
  <c r="N207" i="6" a="1"/>
  <c r="N207" i="6"/>
  <c r="A208" i="6"/>
  <c r="N208" i="6" a="1"/>
  <c r="N208" i="6"/>
  <c r="A209" i="6"/>
  <c r="N209" i="6" a="1"/>
  <c r="N209" i="6"/>
  <c r="A210" i="6"/>
  <c r="N210" i="6" a="1"/>
  <c r="N210" i="6"/>
  <c r="A211" i="6"/>
  <c r="N211" i="6" a="1"/>
  <c r="N211" i="6"/>
  <c r="A212" i="6"/>
  <c r="N212" i="6" a="1"/>
  <c r="N212" i="6"/>
  <c r="A213" i="6"/>
  <c r="N213" i="6" a="1"/>
  <c r="N213" i="6"/>
  <c r="A214" i="6"/>
  <c r="N214" i="6" a="1"/>
  <c r="N214" i="6"/>
  <c r="A215" i="6"/>
  <c r="N215" i="6" a="1"/>
  <c r="N215" i="6"/>
  <c r="A216" i="6"/>
  <c r="N216" i="6" a="1"/>
  <c r="N216" i="6"/>
  <c r="A217" i="6"/>
  <c r="N217" i="6" a="1"/>
  <c r="N217" i="6"/>
  <c r="A218" i="6"/>
  <c r="N218" i="6" a="1"/>
  <c r="N218" i="6"/>
  <c r="A219" i="6"/>
  <c r="N219" i="6" a="1"/>
  <c r="N219" i="6"/>
  <c r="A220" i="6"/>
  <c r="N220" i="6" a="1"/>
  <c r="N220" i="6"/>
  <c r="A221" i="6"/>
  <c r="N221" i="6" a="1"/>
  <c r="N221" i="6"/>
  <c r="A222" i="6"/>
  <c r="N222" i="6" a="1"/>
  <c r="N222" i="6"/>
  <c r="A223" i="6"/>
  <c r="N223" i="6" a="1"/>
  <c r="N223" i="6"/>
  <c r="A224" i="6"/>
  <c r="N224" i="6" a="1"/>
  <c r="N224" i="6"/>
  <c r="A225" i="6"/>
  <c r="N225" i="6" a="1"/>
  <c r="N225" i="6"/>
  <c r="A226" i="6"/>
  <c r="N226" i="6" a="1"/>
  <c r="N226" i="6"/>
  <c r="A227" i="6"/>
  <c r="N227" i="6" a="1"/>
  <c r="N227" i="6"/>
  <c r="A228" i="6"/>
  <c r="N228" i="6" a="1"/>
  <c r="N228" i="6"/>
  <c r="A229" i="6"/>
  <c r="N229" i="6" a="1"/>
  <c r="N229" i="6"/>
  <c r="A230" i="6"/>
  <c r="N230" i="6" a="1"/>
  <c r="N230" i="6"/>
  <c r="A231" i="6"/>
  <c r="N231" i="6" a="1"/>
  <c r="N231" i="6"/>
  <c r="A232" i="6"/>
  <c r="N232" i="6" a="1"/>
  <c r="N232" i="6"/>
  <c r="A233" i="6"/>
  <c r="N233" i="6" a="1"/>
  <c r="N233" i="6"/>
  <c r="A234" i="6"/>
  <c r="N234" i="6" a="1"/>
  <c r="N234" i="6"/>
  <c r="A235" i="6"/>
  <c r="N235" i="6" a="1"/>
  <c r="N235" i="6"/>
  <c r="A236" i="6"/>
  <c r="N236" i="6" a="1"/>
  <c r="N236" i="6"/>
  <c r="A237" i="6"/>
  <c r="N237" i="6" a="1"/>
  <c r="N237" i="6"/>
  <c r="A238" i="6"/>
  <c r="N238" i="6" a="1"/>
  <c r="N238" i="6"/>
  <c r="A239" i="6"/>
  <c r="N239" i="6" a="1"/>
  <c r="N239" i="6"/>
  <c r="A240" i="6"/>
  <c r="N240" i="6" a="1"/>
  <c r="N240" i="6"/>
  <c r="A241" i="6"/>
  <c r="N241" i="6" a="1"/>
  <c r="N241" i="6"/>
  <c r="A242" i="6"/>
  <c r="N242" i="6" a="1"/>
  <c r="N242" i="6"/>
  <c r="A243" i="6"/>
  <c r="N243" i="6" a="1"/>
  <c r="N243" i="6"/>
  <c r="A244" i="6"/>
  <c r="N244" i="6" a="1"/>
  <c r="N244" i="6"/>
  <c r="A245" i="6"/>
  <c r="N245" i="6" a="1"/>
  <c r="N245" i="6"/>
  <c r="A246" i="6"/>
  <c r="N246" i="6" a="1"/>
  <c r="N246" i="6"/>
  <c r="A247" i="6"/>
  <c r="N247" i="6" a="1"/>
  <c r="N247" i="6"/>
  <c r="A248" i="6"/>
  <c r="N248" i="6" a="1"/>
  <c r="N248" i="6"/>
  <c r="A249" i="6"/>
  <c r="N249" i="6" a="1"/>
  <c r="N249" i="6"/>
  <c r="A250" i="6"/>
  <c r="N250" i="6" a="1"/>
  <c r="N250" i="6"/>
  <c r="A251" i="6"/>
  <c r="N251" i="6" a="1"/>
  <c r="N251" i="6"/>
  <c r="A252" i="6"/>
  <c r="N252" i="6" a="1"/>
  <c r="N252" i="6"/>
  <c r="A253" i="6"/>
  <c r="N253" i="6" a="1"/>
  <c r="N253" i="6"/>
  <c r="A254" i="6"/>
  <c r="N254" i="6" a="1"/>
  <c r="N254" i="6"/>
  <c r="A255" i="6"/>
  <c r="N255" i="6" a="1"/>
  <c r="N255" i="6"/>
  <c r="A256" i="6"/>
  <c r="N256" i="6" a="1"/>
  <c r="N256" i="6"/>
  <c r="A257" i="6"/>
  <c r="N257" i="6" a="1"/>
  <c r="N257" i="6"/>
  <c r="A258" i="6"/>
  <c r="N258" i="6" a="1"/>
  <c r="N258" i="6"/>
  <c r="A259" i="6"/>
  <c r="N259" i="6" a="1"/>
  <c r="N259" i="6"/>
  <c r="A260" i="6"/>
  <c r="N260" i="6" a="1"/>
  <c r="N260" i="6"/>
  <c r="A261" i="6"/>
  <c r="N261" i="6" a="1"/>
  <c r="N261" i="6"/>
  <c r="A262" i="6"/>
  <c r="N262" i="6" a="1"/>
  <c r="N262" i="6"/>
  <c r="A263" i="6"/>
  <c r="N263" i="6" a="1"/>
  <c r="N263" i="6"/>
  <c r="A264" i="6"/>
  <c r="N264" i="6" a="1"/>
  <c r="N264" i="6"/>
  <c r="A265" i="6"/>
  <c r="N265" i="6" a="1"/>
  <c r="N265" i="6"/>
  <c r="A266" i="6"/>
  <c r="N266" i="6" a="1"/>
  <c r="N266" i="6"/>
  <c r="A267" i="6"/>
  <c r="N267" i="6" a="1"/>
  <c r="N267" i="6"/>
  <c r="A268" i="6"/>
  <c r="N268" i="6" a="1"/>
  <c r="N268" i="6"/>
  <c r="A269" i="6"/>
  <c r="N269" i="6" a="1"/>
  <c r="N269" i="6"/>
  <c r="A270" i="6"/>
  <c r="N270" i="6" a="1"/>
  <c r="N270" i="6"/>
  <c r="A271" i="6"/>
  <c r="N271" i="6" a="1"/>
  <c r="N271" i="6"/>
  <c r="A272" i="6"/>
  <c r="N272" i="6" a="1"/>
  <c r="N272" i="6"/>
  <c r="A273" i="6"/>
  <c r="N273" i="6" a="1"/>
  <c r="N273" i="6"/>
  <c r="A274" i="6"/>
  <c r="N274" i="6" a="1"/>
  <c r="N274" i="6"/>
  <c r="A275" i="6"/>
  <c r="N275" i="6" a="1"/>
  <c r="N275" i="6"/>
  <c r="A276" i="6"/>
  <c r="N276" i="6" a="1"/>
  <c r="N276" i="6"/>
  <c r="A277" i="6"/>
  <c r="N277" i="6" a="1"/>
  <c r="N277" i="6"/>
  <c r="A278" i="6"/>
  <c r="N278" i="6" a="1"/>
  <c r="N278" i="6"/>
  <c r="A279" i="6"/>
  <c r="N279" i="6" a="1"/>
  <c r="N279" i="6"/>
  <c r="A280" i="6"/>
  <c r="N280" i="6" a="1"/>
  <c r="N280" i="6"/>
  <c r="A281" i="6"/>
  <c r="N281" i="6" a="1"/>
  <c r="N281" i="6"/>
  <c r="A282" i="6"/>
  <c r="N282" i="6" a="1"/>
  <c r="N282" i="6"/>
  <c r="A283" i="6"/>
  <c r="N283" i="6" a="1"/>
  <c r="N283" i="6"/>
  <c r="A284" i="6"/>
  <c r="N284" i="6" a="1"/>
  <c r="N284" i="6"/>
  <c r="A285" i="6"/>
  <c r="N285" i="6" a="1"/>
  <c r="N285" i="6"/>
  <c r="A286" i="6"/>
  <c r="N286" i="6" a="1"/>
  <c r="N286" i="6"/>
  <c r="A287" i="6"/>
  <c r="N287" i="6" a="1"/>
  <c r="N287" i="6"/>
  <c r="A288" i="6"/>
  <c r="N288" i="6" a="1"/>
  <c r="N288" i="6"/>
  <c r="A289" i="6"/>
  <c r="N289" i="6" a="1"/>
  <c r="N289" i="6"/>
  <c r="A290" i="6"/>
  <c r="N290" i="6" a="1"/>
  <c r="N290" i="6"/>
  <c r="A291" i="6"/>
  <c r="N291" i="6" a="1"/>
  <c r="N291" i="6"/>
  <c r="A292" i="6"/>
  <c r="N292" i="6" a="1"/>
  <c r="N292" i="6"/>
  <c r="A293" i="6"/>
  <c r="N293" i="6" a="1"/>
  <c r="N293" i="6"/>
  <c r="A294" i="6"/>
  <c r="N294" i="6" a="1"/>
  <c r="N294" i="6"/>
  <c r="A295" i="6"/>
  <c r="N295" i="6" a="1"/>
  <c r="N295" i="6"/>
  <c r="A296" i="6"/>
  <c r="N296" i="6" a="1"/>
  <c r="N296" i="6"/>
  <c r="A297" i="6"/>
  <c r="N297" i="6" a="1"/>
  <c r="N297" i="6"/>
  <c r="A298" i="6"/>
  <c r="N298" i="6" a="1"/>
  <c r="N298" i="6"/>
  <c r="A299" i="6"/>
  <c r="N299" i="6" a="1"/>
  <c r="N299" i="6"/>
  <c r="A300" i="6"/>
  <c r="N300" i="6" a="1"/>
  <c r="N300" i="6"/>
  <c r="A301" i="6"/>
  <c r="N301" i="6" a="1"/>
  <c r="N301" i="6"/>
  <c r="A302" i="6"/>
  <c r="N302" i="6" a="1"/>
  <c r="N302" i="6"/>
  <c r="A303" i="6"/>
  <c r="N303" i="6" a="1"/>
  <c r="N303" i="6"/>
  <c r="A304" i="6"/>
  <c r="N304" i="6" a="1"/>
  <c r="N304" i="6"/>
  <c r="A305" i="6"/>
  <c r="N305" i="6" a="1"/>
  <c r="N305" i="6"/>
  <c r="A306" i="6"/>
  <c r="N306" i="6" a="1"/>
  <c r="N306" i="6"/>
  <c r="A307" i="6"/>
  <c r="N307" i="6" a="1"/>
  <c r="N307" i="6"/>
  <c r="A308" i="6"/>
  <c r="N308" i="6" a="1"/>
  <c r="N308" i="6"/>
  <c r="A309" i="6"/>
  <c r="N309" i="6" a="1"/>
  <c r="N309" i="6"/>
  <c r="A310" i="6"/>
  <c r="N310" i="6" a="1"/>
  <c r="N310" i="6"/>
  <c r="A311" i="6"/>
  <c r="N311" i="6" a="1"/>
  <c r="N311" i="6"/>
  <c r="A312" i="6"/>
  <c r="N312" i="6" a="1"/>
  <c r="N312" i="6"/>
  <c r="A313" i="6"/>
  <c r="N313" i="6" a="1"/>
  <c r="N313" i="6"/>
  <c r="A314" i="6"/>
  <c r="N314" i="6" a="1"/>
  <c r="N314" i="6"/>
  <c r="A315" i="6"/>
  <c r="N315" i="6" a="1"/>
  <c r="N315" i="6"/>
  <c r="A316" i="6"/>
  <c r="N316" i="6" a="1"/>
  <c r="N316" i="6"/>
  <c r="A317" i="6"/>
  <c r="N317" i="6" a="1"/>
  <c r="N317" i="6"/>
  <c r="A318" i="6"/>
  <c r="N318" i="6" a="1"/>
  <c r="N318" i="6"/>
  <c r="A319" i="6"/>
  <c r="N319" i="6" a="1"/>
  <c r="N319" i="6"/>
  <c r="A320" i="6"/>
  <c r="N320" i="6" a="1"/>
  <c r="N320" i="6"/>
  <c r="A321" i="6"/>
  <c r="N321" i="6" a="1"/>
  <c r="N321" i="6"/>
  <c r="A322" i="6"/>
  <c r="N322" i="6" a="1"/>
  <c r="N322" i="6"/>
  <c r="A323" i="6"/>
  <c r="N323" i="6" a="1"/>
  <c r="N323" i="6"/>
  <c r="A324" i="6"/>
  <c r="N324" i="6" a="1"/>
  <c r="N324" i="6"/>
  <c r="A325" i="6"/>
  <c r="N325" i="6" a="1"/>
  <c r="N325" i="6"/>
  <c r="A326" i="6"/>
  <c r="N326" i="6" a="1"/>
  <c r="N326" i="6"/>
  <c r="A327" i="6"/>
  <c r="N327" i="6" a="1"/>
  <c r="N327" i="6"/>
  <c r="A328" i="6"/>
  <c r="N328" i="6" a="1"/>
  <c r="N328" i="6"/>
  <c r="A329" i="6"/>
  <c r="N329" i="6" a="1"/>
  <c r="N329" i="6"/>
  <c r="A330" i="6"/>
  <c r="N330" i="6" a="1"/>
  <c r="N330" i="6"/>
  <c r="A331" i="6"/>
  <c r="N331" i="6" a="1"/>
  <c r="N331" i="6"/>
  <c r="A332" i="6"/>
  <c r="N332" i="6" a="1"/>
  <c r="N332" i="6"/>
  <c r="A333" i="6"/>
  <c r="N333" i="6" a="1"/>
  <c r="N333" i="6"/>
  <c r="A334" i="6"/>
  <c r="N334" i="6" a="1"/>
  <c r="N334" i="6"/>
  <c r="A335" i="6"/>
  <c r="N335" i="6" a="1"/>
  <c r="N335" i="6"/>
  <c r="A336" i="6"/>
  <c r="N336" i="6" a="1"/>
  <c r="N336" i="6"/>
  <c r="A337" i="6"/>
  <c r="N337" i="6" a="1"/>
  <c r="N337" i="6"/>
  <c r="A338" i="6"/>
  <c r="N338" i="6" a="1"/>
  <c r="N338" i="6"/>
  <c r="A339" i="6"/>
  <c r="N339" i="6" a="1"/>
  <c r="N339" i="6"/>
  <c r="A340" i="6"/>
  <c r="N340" i="6" a="1"/>
  <c r="N340" i="6"/>
  <c r="A341" i="6"/>
  <c r="N341" i="6" a="1"/>
  <c r="N341" i="6"/>
  <c r="A342" i="6"/>
  <c r="N342" i="6" a="1"/>
  <c r="N342" i="6"/>
  <c r="A343" i="6"/>
  <c r="N343" i="6" a="1"/>
  <c r="N343" i="6"/>
  <c r="A344" i="6"/>
  <c r="N344" i="6" a="1"/>
  <c r="N344" i="6"/>
  <c r="A345" i="6"/>
  <c r="N345" i="6" a="1"/>
  <c r="N345" i="6"/>
  <c r="A346" i="6"/>
  <c r="N346" i="6" a="1"/>
  <c r="N346" i="6"/>
  <c r="A347" i="6"/>
  <c r="N347" i="6" a="1"/>
  <c r="N347" i="6"/>
  <c r="A348" i="6"/>
  <c r="N348" i="6" a="1"/>
  <c r="N348" i="6"/>
  <c r="A349" i="6"/>
  <c r="N349" i="6" a="1"/>
  <c r="N349" i="6"/>
  <c r="A350" i="6"/>
  <c r="N350" i="6" a="1"/>
  <c r="N350" i="6"/>
  <c r="A351" i="6"/>
  <c r="N351" i="6" a="1"/>
  <c r="N351" i="6"/>
  <c r="A352" i="6"/>
  <c r="N352" i="6" a="1"/>
  <c r="N352" i="6"/>
  <c r="A353" i="6"/>
  <c r="N353" i="6" a="1"/>
  <c r="N353" i="6"/>
  <c r="A354" i="6"/>
  <c r="N354" i="6" a="1"/>
  <c r="N354" i="6"/>
  <c r="A355" i="6"/>
  <c r="N355" i="6" a="1"/>
  <c r="N355" i="6"/>
  <c r="A356" i="6"/>
  <c r="N356" i="6" a="1"/>
  <c r="N356" i="6"/>
  <c r="A357" i="6"/>
  <c r="N357" i="6" a="1"/>
  <c r="N357" i="6"/>
  <c r="A358" i="6"/>
  <c r="N358" i="6" a="1"/>
  <c r="N358" i="6"/>
  <c r="A359" i="6"/>
  <c r="N359" i="6" a="1"/>
  <c r="N359" i="6"/>
  <c r="A360" i="6"/>
  <c r="N360" i="6" a="1"/>
  <c r="N360" i="6"/>
  <c r="A361" i="6"/>
  <c r="N361" i="6" a="1"/>
  <c r="N361" i="6"/>
  <c r="F14" i="4" a="1"/>
  <c r="F14" i="4"/>
  <c r="G14" i="4"/>
  <c r="H14" i="4"/>
  <c r="I14" i="4"/>
  <c r="J14" i="4"/>
  <c r="K14" i="4"/>
  <c r="L14" i="4"/>
  <c r="M14" i="4"/>
  <c r="N14" i="4"/>
  <c r="O14" i="4"/>
  <c r="P14" i="4"/>
  <c r="Q14" i="4"/>
  <c r="F15" i="4" a="1"/>
  <c r="F15" i="4"/>
  <c r="G15" i="4"/>
  <c r="H15" i="4"/>
  <c r="I15" i="4"/>
  <c r="J15" i="4"/>
  <c r="K15" i="4"/>
  <c r="L15" i="4"/>
  <c r="M15" i="4"/>
  <c r="N15" i="4"/>
  <c r="O15" i="4"/>
  <c r="P15" i="4"/>
  <c r="Q15" i="4"/>
  <c r="F16" i="4" a="1"/>
  <c r="F16" i="4"/>
  <c r="G16" i="4"/>
  <c r="H16" i="4"/>
  <c r="I16" i="4"/>
  <c r="J16" i="4"/>
  <c r="K16" i="4"/>
  <c r="L16" i="4"/>
  <c r="M16" i="4"/>
  <c r="N16" i="4"/>
  <c r="O16" i="4"/>
  <c r="P16" i="4"/>
  <c r="Q16" i="4"/>
  <c r="F11" i="8"/>
  <c r="C9" i="8"/>
  <c r="F10" i="8"/>
  <c r="B10" i="7"/>
  <c r="C10" i="7"/>
  <c r="D10" i="7"/>
  <c r="C11" i="7"/>
  <c r="B11" i="7"/>
  <c r="D11" i="7"/>
  <c r="E10" i="7"/>
  <c r="E11" i="7"/>
  <c r="B12" i="7"/>
  <c r="C12" i="7"/>
  <c r="D12" i="7"/>
  <c r="E12" i="7"/>
  <c r="B13" i="7"/>
  <c r="C13" i="7"/>
  <c r="D13" i="7"/>
  <c r="E13" i="7"/>
  <c r="B14" i="7"/>
  <c r="C14" i="7"/>
  <c r="D14" i="7"/>
  <c r="E14" i="7"/>
  <c r="B15" i="7"/>
  <c r="C15" i="7"/>
  <c r="D15" i="7"/>
  <c r="E15" i="7"/>
  <c r="B16" i="7"/>
  <c r="C16" i="7"/>
  <c r="D16" i="7"/>
  <c r="E16" i="7"/>
  <c r="B17" i="7"/>
  <c r="C17" i="7"/>
  <c r="D17" i="7"/>
  <c r="E17" i="7"/>
  <c r="B18" i="7"/>
  <c r="C18" i="7"/>
  <c r="D18" i="7"/>
  <c r="E18" i="7"/>
  <c r="B19" i="7"/>
  <c r="C19" i="7"/>
  <c r="D19" i="7"/>
  <c r="E19" i="7"/>
  <c r="B20" i="7"/>
  <c r="C20" i="7"/>
  <c r="D20" i="7"/>
  <c r="E20" i="7"/>
  <c r="B21" i="7"/>
  <c r="C21" i="7"/>
  <c r="D21" i="7"/>
  <c r="E21" i="7"/>
  <c r="B22" i="7"/>
  <c r="C22" i="7"/>
  <c r="D22" i="7"/>
  <c r="E22" i="7"/>
  <c r="B23" i="7"/>
  <c r="C23" i="7"/>
  <c r="D23" i="7"/>
  <c r="E23" i="7"/>
  <c r="B24" i="7"/>
  <c r="C24" i="7"/>
  <c r="D24" i="7"/>
  <c r="E24" i="7"/>
  <c r="B25" i="7"/>
  <c r="C25" i="7"/>
  <c r="D25" i="7"/>
  <c r="E25" i="7"/>
  <c r="B26" i="7"/>
  <c r="C26" i="7"/>
  <c r="D26" i="7"/>
  <c r="E26" i="7"/>
  <c r="B27" i="7"/>
  <c r="C27" i="7"/>
  <c r="D27" i="7"/>
  <c r="E27" i="7"/>
  <c r="B28" i="7"/>
  <c r="C28" i="7"/>
  <c r="D28" i="7"/>
  <c r="E28" i="7"/>
  <c r="B29" i="7"/>
  <c r="C29" i="7"/>
  <c r="D29" i="7"/>
  <c r="E29" i="7"/>
  <c r="B30" i="7"/>
  <c r="C30" i="7"/>
  <c r="D30" i="7"/>
  <c r="E30" i="7"/>
  <c r="B31" i="7"/>
  <c r="C31" i="7"/>
  <c r="D31" i="7"/>
  <c r="E31" i="7"/>
  <c r="B32" i="7"/>
  <c r="C32" i="7"/>
  <c r="D32" i="7"/>
  <c r="E32" i="7"/>
  <c r="B33" i="7"/>
  <c r="C33" i="7"/>
  <c r="D33" i="7"/>
  <c r="E33" i="7"/>
  <c r="B34" i="7"/>
  <c r="C34" i="7"/>
  <c r="D34" i="7"/>
  <c r="E34" i="7"/>
  <c r="B35" i="7"/>
  <c r="C35" i="7"/>
  <c r="D35" i="7"/>
  <c r="E35" i="7"/>
  <c r="B36" i="7"/>
  <c r="C36" i="7"/>
  <c r="D36" i="7"/>
  <c r="E36" i="7"/>
  <c r="B37" i="7"/>
  <c r="C37" i="7"/>
  <c r="D37" i="7"/>
  <c r="E37" i="7"/>
  <c r="B38" i="7"/>
  <c r="C38" i="7"/>
  <c r="D38" i="7"/>
  <c r="E38" i="7"/>
  <c r="B39" i="7"/>
  <c r="C39" i="7"/>
  <c r="D39" i="7"/>
  <c r="E39" i="7"/>
  <c r="B40" i="7"/>
  <c r="C40" i="7"/>
  <c r="D40" i="7"/>
  <c r="E40" i="7"/>
  <c r="B41" i="7"/>
  <c r="C41" i="7"/>
  <c r="D41" i="7"/>
  <c r="E41" i="7"/>
  <c r="B42" i="7"/>
  <c r="C42" i="7"/>
  <c r="D42" i="7"/>
  <c r="E42" i="7"/>
  <c r="B43" i="7"/>
  <c r="C43" i="7"/>
  <c r="D43" i="7"/>
  <c r="E43" i="7"/>
  <c r="B44" i="7"/>
  <c r="C44" i="7"/>
  <c r="D44" i="7"/>
  <c r="E44" i="7"/>
  <c r="B45" i="7"/>
  <c r="C45" i="7"/>
  <c r="D45" i="7"/>
  <c r="E45" i="7"/>
  <c r="B46" i="7"/>
  <c r="C46" i="7"/>
  <c r="D46" i="7"/>
  <c r="E46" i="7"/>
  <c r="B47" i="7"/>
  <c r="C47" i="7"/>
  <c r="D47" i="7"/>
  <c r="E47" i="7"/>
  <c r="B48" i="7"/>
  <c r="C48" i="7"/>
  <c r="D48" i="7"/>
  <c r="E48" i="7"/>
  <c r="B49" i="7"/>
  <c r="C49" i="7"/>
  <c r="D49" i="7"/>
  <c r="E49" i="7"/>
  <c r="B50" i="7"/>
  <c r="C50" i="7"/>
  <c r="D50" i="7"/>
  <c r="E50" i="7"/>
  <c r="B51" i="7"/>
  <c r="C51" i="7"/>
  <c r="D51" i="7"/>
  <c r="E51" i="7"/>
  <c r="B52" i="7"/>
  <c r="C52" i="7"/>
  <c r="D52" i="7"/>
  <c r="E52" i="7"/>
  <c r="B53" i="7"/>
  <c r="C53" i="7"/>
  <c r="D53" i="7"/>
  <c r="E53" i="7"/>
  <c r="B54" i="7"/>
  <c r="C54" i="7"/>
  <c r="D54" i="7"/>
  <c r="E54" i="7"/>
  <c r="B55" i="7"/>
  <c r="C55" i="7"/>
  <c r="D55" i="7"/>
  <c r="E55" i="7"/>
  <c r="B56" i="7"/>
  <c r="C56" i="7"/>
  <c r="D56" i="7"/>
  <c r="E56" i="7"/>
  <c r="B57" i="7"/>
  <c r="C57" i="7"/>
  <c r="D57" i="7"/>
  <c r="E57" i="7"/>
  <c r="B58" i="7"/>
  <c r="C58" i="7"/>
  <c r="D58" i="7"/>
  <c r="E58" i="7"/>
  <c r="B59" i="7"/>
  <c r="C59" i="7"/>
  <c r="D59" i="7"/>
  <c r="E59" i="7"/>
  <c r="B60" i="7"/>
  <c r="C60" i="7"/>
  <c r="D60" i="7"/>
  <c r="E60" i="7"/>
  <c r="B61" i="7"/>
  <c r="C61" i="7"/>
  <c r="D61" i="7"/>
  <c r="E61" i="7"/>
  <c r="B62" i="7"/>
  <c r="C62" i="7"/>
  <c r="D62" i="7"/>
  <c r="E62" i="7"/>
  <c r="B63" i="7"/>
  <c r="C63" i="7"/>
  <c r="D63" i="7"/>
  <c r="E63" i="7"/>
  <c r="B64" i="7"/>
  <c r="C64" i="7"/>
  <c r="D64" i="7"/>
  <c r="E64" i="7"/>
  <c r="B65" i="7"/>
  <c r="C65" i="7"/>
  <c r="D65" i="7"/>
  <c r="E65" i="7"/>
  <c r="B66" i="7"/>
  <c r="C66" i="7"/>
  <c r="D66" i="7"/>
  <c r="E66" i="7"/>
  <c r="B67" i="7"/>
  <c r="C67" i="7"/>
  <c r="D67" i="7"/>
  <c r="E67" i="7"/>
  <c r="B68" i="7"/>
  <c r="C68" i="7"/>
  <c r="D68" i="7"/>
  <c r="E68" i="7"/>
  <c r="B69" i="7"/>
  <c r="C69" i="7"/>
  <c r="D69" i="7"/>
  <c r="E69" i="7"/>
  <c r="B70" i="7"/>
  <c r="C70" i="7"/>
  <c r="D70" i="7"/>
  <c r="E70" i="7"/>
  <c r="B71" i="7"/>
  <c r="C71" i="7"/>
  <c r="D71" i="7"/>
  <c r="E71" i="7"/>
  <c r="B72" i="7"/>
  <c r="C72" i="7"/>
  <c r="D72" i="7"/>
  <c r="E72" i="7"/>
  <c r="B73" i="7"/>
  <c r="C73" i="7"/>
  <c r="D73" i="7"/>
  <c r="E73" i="7"/>
  <c r="B74" i="7"/>
  <c r="C74" i="7"/>
  <c r="D74" i="7"/>
  <c r="E74" i="7"/>
  <c r="B75" i="7"/>
  <c r="C75" i="7"/>
  <c r="D75" i="7"/>
  <c r="E75" i="7"/>
  <c r="B76" i="7"/>
  <c r="C76" i="7"/>
  <c r="D76" i="7"/>
  <c r="E76" i="7"/>
  <c r="B77" i="7"/>
  <c r="C77" i="7"/>
  <c r="D77" i="7"/>
  <c r="E77" i="7"/>
  <c r="B78" i="7"/>
  <c r="C78" i="7"/>
  <c r="D78" i="7"/>
  <c r="E78" i="7"/>
  <c r="B79" i="7"/>
  <c r="C79" i="7"/>
  <c r="D79" i="7"/>
  <c r="E79" i="7"/>
  <c r="B80" i="7"/>
  <c r="C80" i="7"/>
  <c r="D80" i="7"/>
  <c r="E80" i="7"/>
  <c r="B81" i="7"/>
  <c r="C81" i="7"/>
  <c r="D81" i="7"/>
  <c r="E81" i="7"/>
  <c r="B82" i="7"/>
  <c r="C82" i="7"/>
  <c r="D82" i="7"/>
  <c r="E82" i="7"/>
  <c r="B83" i="7"/>
  <c r="C83" i="7"/>
  <c r="D83" i="7"/>
  <c r="E83" i="7"/>
  <c r="B84" i="7"/>
  <c r="C84" i="7"/>
  <c r="D84" i="7"/>
  <c r="E84" i="7"/>
  <c r="B85" i="7"/>
  <c r="C85" i="7"/>
  <c r="D85" i="7"/>
  <c r="E85" i="7"/>
  <c r="B86" i="7"/>
  <c r="C86" i="7"/>
  <c r="D86" i="7"/>
  <c r="E86" i="7"/>
  <c r="B87" i="7"/>
  <c r="C87" i="7"/>
  <c r="D87" i="7"/>
  <c r="E87" i="7"/>
  <c r="B88" i="7"/>
  <c r="C88" i="7"/>
  <c r="D88" i="7"/>
  <c r="E88" i="7"/>
  <c r="B89" i="7"/>
  <c r="C89" i="7"/>
  <c r="D89" i="7"/>
  <c r="E89" i="7"/>
  <c r="B90" i="7"/>
  <c r="C90" i="7"/>
  <c r="D90" i="7"/>
  <c r="E90" i="7"/>
  <c r="B91" i="7"/>
  <c r="C91" i="7"/>
  <c r="D91" i="7"/>
  <c r="E91" i="7"/>
  <c r="B92" i="7"/>
  <c r="C92" i="7"/>
  <c r="D92" i="7"/>
  <c r="E92" i="7"/>
  <c r="B93" i="7"/>
  <c r="C93" i="7"/>
  <c r="D93" i="7"/>
  <c r="E93" i="7"/>
  <c r="B94" i="7"/>
  <c r="C94" i="7"/>
  <c r="D94" i="7"/>
  <c r="E94" i="7"/>
  <c r="B95" i="7"/>
  <c r="C95" i="7"/>
  <c r="D95" i="7"/>
  <c r="E95" i="7"/>
  <c r="B96" i="7"/>
  <c r="C96" i="7"/>
  <c r="D96" i="7"/>
  <c r="E96" i="7"/>
  <c r="B97" i="7"/>
  <c r="C97" i="7"/>
  <c r="D97" i="7"/>
  <c r="E97" i="7"/>
  <c r="B98" i="7"/>
  <c r="C98" i="7"/>
  <c r="D98" i="7"/>
  <c r="E98" i="7"/>
  <c r="B99" i="7"/>
  <c r="C99" i="7"/>
  <c r="D99" i="7"/>
  <c r="E99" i="7"/>
  <c r="B100" i="7"/>
  <c r="C100" i="7"/>
  <c r="D100" i="7"/>
  <c r="E100" i="7"/>
  <c r="B101" i="7"/>
  <c r="C101" i="7"/>
  <c r="D101" i="7"/>
  <c r="E101" i="7"/>
  <c r="B102" i="7"/>
  <c r="C102" i="7"/>
  <c r="D102" i="7"/>
  <c r="E102" i="7"/>
  <c r="B103" i="7"/>
  <c r="C103" i="7"/>
  <c r="D103" i="7"/>
  <c r="E103" i="7"/>
  <c r="B104" i="7"/>
  <c r="C104" i="7"/>
  <c r="D104" i="7"/>
  <c r="E104" i="7"/>
  <c r="B105" i="7"/>
  <c r="C105" i="7"/>
  <c r="D105" i="7"/>
  <c r="E105" i="7"/>
  <c r="B106" i="7"/>
  <c r="C106" i="7"/>
  <c r="D106" i="7"/>
  <c r="E106" i="7"/>
  <c r="B107" i="7"/>
  <c r="C107" i="7"/>
  <c r="D107" i="7"/>
  <c r="E107" i="7"/>
  <c r="B108" i="7"/>
  <c r="C108" i="7"/>
  <c r="D108" i="7"/>
  <c r="E108" i="7"/>
  <c r="B109" i="7"/>
  <c r="C109" i="7"/>
  <c r="D109" i="7"/>
  <c r="E109" i="7"/>
  <c r="B110" i="7"/>
  <c r="C110" i="7"/>
  <c r="D110" i="7"/>
  <c r="E110" i="7"/>
  <c r="B111" i="7"/>
  <c r="C111" i="7"/>
  <c r="D111" i="7"/>
  <c r="E111" i="7"/>
  <c r="B112" i="7"/>
  <c r="C112" i="7"/>
  <c r="D112" i="7"/>
  <c r="E112" i="7"/>
  <c r="B113" i="7"/>
  <c r="C113" i="7"/>
  <c r="D113" i="7"/>
  <c r="E113" i="7"/>
  <c r="B114" i="7"/>
  <c r="C114" i="7"/>
  <c r="D114" i="7"/>
  <c r="E114" i="7"/>
  <c r="B115" i="7"/>
  <c r="C115" i="7"/>
  <c r="D115" i="7"/>
  <c r="E115" i="7"/>
  <c r="B116" i="7"/>
  <c r="C116" i="7"/>
  <c r="D116" i="7"/>
  <c r="E116" i="7"/>
  <c r="B117" i="7"/>
  <c r="C117" i="7"/>
  <c r="D117" i="7"/>
  <c r="E117" i="7"/>
  <c r="B118" i="7"/>
  <c r="C118" i="7"/>
  <c r="D118" i="7"/>
  <c r="E118" i="7"/>
  <c r="B119" i="7"/>
  <c r="C119" i="7"/>
  <c r="D119" i="7"/>
  <c r="E119" i="7"/>
  <c r="B120" i="7"/>
  <c r="C120" i="7"/>
  <c r="D120" i="7"/>
  <c r="E120" i="7"/>
  <c r="B121" i="7"/>
  <c r="C121" i="7"/>
  <c r="D121" i="7"/>
  <c r="E121" i="7"/>
  <c r="B122" i="7"/>
  <c r="C122" i="7"/>
  <c r="D122" i="7"/>
  <c r="E122" i="7"/>
  <c r="B123" i="7"/>
  <c r="C123" i="7"/>
  <c r="D123" i="7"/>
  <c r="E123" i="7"/>
  <c r="B124" i="7"/>
  <c r="C124" i="7"/>
  <c r="D124" i="7"/>
  <c r="E124" i="7"/>
  <c r="B125" i="7"/>
  <c r="C125" i="7"/>
  <c r="D125" i="7"/>
  <c r="E125" i="7"/>
  <c r="B126" i="7"/>
  <c r="C126" i="7"/>
  <c r="D126" i="7"/>
  <c r="E126" i="7"/>
  <c r="B127" i="7"/>
  <c r="C127" i="7"/>
  <c r="D127" i="7"/>
  <c r="E127" i="7"/>
  <c r="B128" i="7"/>
  <c r="C128" i="7"/>
  <c r="D128" i="7"/>
  <c r="E128" i="7"/>
  <c r="B129" i="7"/>
  <c r="C129" i="7"/>
  <c r="D129" i="7"/>
  <c r="E129" i="7"/>
  <c r="I7" i="7" a="1"/>
  <c r="I7" i="7"/>
  <c r="E7" i="3" l="1"/>
  <c r="C7" i="4" l="1"/>
  <c r="B42" i="13" l="1" a="1"/>
  <c r="B42" i="13"/>
  <c r="D41" i="13" l="1" a="1"/>
  <c r="D41" i="13"/>
  <c r="B47" i="13" l="1"/>
  <c r="B48" i="13" s="1"/>
  <c r="B49" i="13" s="1"/>
  <c r="B50" i="13" s="1"/>
  <c r="B51" i="13" s="1"/>
  <c r="B52" i="13" s="1"/>
  <c r="B53" i="13" s="1"/>
  <c r="B54" i="13" s="1"/>
  <c r="B55" i="13" s="1"/>
  <c r="B56" i="13" s="1"/>
  <c r="B57" i="13" s="1"/>
  <c r="B58" i="13" s="1"/>
  <c r="B59" i="13" s="1"/>
  <c r="B60" i="13" s="1"/>
  <c r="B61" i="13" s="1"/>
  <c r="B62" i="13" s="1"/>
  <c r="B63" i="13" s="1"/>
  <c r="B64" i="13" s="1"/>
  <c r="B65" i="13" s="1"/>
  <c r="B66" i="13" s="1"/>
  <c r="B67" i="13" s="1"/>
  <c r="B68" i="13" s="1"/>
  <c r="B69" i="13" s="1"/>
  <c r="B70" i="13" s="1"/>
  <c r="B71" i="13" s="1"/>
  <c r="B72" i="13" s="1"/>
  <c r="B73" i="13" s="1"/>
  <c r="B74" i="13" s="1"/>
  <c r="B75" i="13" s="1"/>
  <c r="B76" i="13" s="1"/>
  <c r="B77" i="13" s="1"/>
  <c r="B78" i="13" s="1"/>
  <c r="B79" i="13" s="1"/>
  <c r="B80" i="13" s="1"/>
  <c r="B81" i="13" s="1"/>
  <c r="B82" i="13" s="1"/>
  <c r="B83" i="13" s="1"/>
  <c r="B84" i="13" s="1"/>
  <c r="B85" i="13" s="1"/>
  <c r="B86" i="13" s="1"/>
  <c r="B87" i="13" s="1"/>
  <c r="B88" i="13" s="1"/>
  <c r="B89" i="13" s="1"/>
  <c r="B90" i="13" s="1"/>
  <c r="B91" i="13" s="1"/>
  <c r="B92" i="13" s="1"/>
  <c r="B93" i="13" s="1"/>
  <c r="B94" i="13" s="1"/>
  <c r="B95" i="13" s="1"/>
  <c r="B96" i="13" s="1"/>
  <c r="B97" i="13" s="1"/>
  <c r="B98" i="13" s="1"/>
  <c r="B99" i="13" s="1"/>
  <c r="B100" i="13" s="1"/>
  <c r="B101" i="13" s="1"/>
  <c r="B102" i="13" s="1"/>
  <c r="B103" i="13" s="1"/>
  <c r="B104" i="13" s="1"/>
  <c r="B105" i="13" s="1"/>
  <c r="B106" i="13" s="1"/>
  <c r="B107" i="13" s="1"/>
  <c r="B108" i="13" s="1"/>
  <c r="B109" i="13" s="1"/>
  <c r="B110" i="13" s="1"/>
  <c r="B111" i="13" s="1"/>
  <c r="B112" i="13" s="1"/>
  <c r="B113" i="13" s="1"/>
  <c r="B114" i="13" s="1"/>
  <c r="B115" i="13" s="1"/>
  <c r="B116" i="13" s="1"/>
  <c r="B117" i="13" s="1"/>
  <c r="B118" i="13" s="1"/>
  <c r="B119" i="13" s="1"/>
  <c r="B120" i="13" s="1"/>
  <c r="B121" i="13" s="1"/>
  <c r="B122" i="13" s="1"/>
  <c r="B123" i="13" s="1"/>
  <c r="B124" i="13" s="1"/>
  <c r="B125" i="13" s="1"/>
  <c r="B126" i="13" s="1"/>
  <c r="B127" i="13" s="1"/>
  <c r="B128" i="13" s="1"/>
  <c r="B129" i="13" s="1"/>
  <c r="B130" i="13" s="1"/>
  <c r="B131" i="13" s="1"/>
  <c r="B132" i="13" s="1"/>
  <c r="B133" i="13" s="1"/>
  <c r="B134" i="13" s="1"/>
  <c r="B135" i="13" s="1"/>
  <c r="B136" i="13" s="1"/>
  <c r="B137" i="13" s="1"/>
  <c r="B138" i="13" s="1"/>
  <c r="B139" i="13" s="1"/>
  <c r="B140" i="13" s="1"/>
  <c r="B141" i="13" s="1"/>
  <c r="B142" i="13" s="1"/>
  <c r="B143" i="13" s="1"/>
  <c r="B144" i="13" s="1"/>
  <c r="B145" i="13" s="1"/>
  <c r="B146" i="13" s="1"/>
  <c r="B147" i="13" s="1"/>
  <c r="B148" i="13" s="1"/>
  <c r="B149" i="13" s="1"/>
  <c r="B150" i="13" s="1"/>
  <c r="B151" i="13" s="1"/>
  <c r="B152" i="13" s="1"/>
  <c r="B153" i="13" s="1"/>
  <c r="B154" i="13" s="1"/>
  <c r="B155" i="13" s="1"/>
  <c r="B156" i="13" s="1"/>
  <c r="B157" i="13" s="1"/>
  <c r="B158" i="13" s="1"/>
  <c r="B159" i="13" s="1"/>
  <c r="B160" i="13" s="1"/>
  <c r="B161" i="13" s="1"/>
  <c r="B162" i="13" s="1"/>
  <c r="B163" i="13" s="1"/>
  <c r="B164" i="13" s="1"/>
  <c r="B165" i="13" s="1"/>
  <c r="B166" i="13" s="1"/>
  <c r="B167" i="13" s="1"/>
  <c r="B168" i="13" s="1"/>
  <c r="B169" i="13" s="1"/>
  <c r="B170" i="13" s="1"/>
  <c r="B171" i="13" s="1"/>
  <c r="B172" i="13" s="1"/>
  <c r="B173" i="13" s="1"/>
  <c r="B174" i="13" s="1"/>
  <c r="B175" i="13" s="1"/>
  <c r="B176" i="13" s="1"/>
  <c r="B177" i="13" s="1"/>
  <c r="B178" i="13" s="1"/>
  <c r="B179" i="13" s="1"/>
  <c r="B180" i="13" s="1"/>
  <c r="B181" i="13" s="1"/>
  <c r="B182" i="13" s="1"/>
  <c r="B183" i="13" s="1"/>
  <c r="B184" i="13" s="1"/>
  <c r="B185" i="13" s="1"/>
  <c r="B186" i="13" s="1"/>
  <c r="B187" i="13" s="1"/>
  <c r="B188" i="13" s="1"/>
  <c r="B189" i="13" s="1"/>
  <c r="B190" i="13" s="1"/>
  <c r="B191" i="13" s="1"/>
  <c r="B192" i="13" s="1"/>
  <c r="B193" i="13" s="1"/>
  <c r="B194" i="13" s="1"/>
  <c r="B195" i="13" s="1"/>
  <c r="B196" i="13" s="1"/>
  <c r="B197" i="13" s="1"/>
  <c r="B198" i="13" s="1"/>
  <c r="B199" i="13" s="1"/>
  <c r="B200" i="13" s="1"/>
  <c r="B201" i="13" s="1"/>
  <c r="B202" i="13" s="1"/>
  <c r="B203" i="13" s="1"/>
  <c r="B204" i="13" s="1"/>
  <c r="B205" i="13" s="1"/>
  <c r="B206" i="13" s="1"/>
  <c r="B207" i="13" s="1"/>
  <c r="B208" i="13" s="1"/>
  <c r="B209" i="13" s="1"/>
  <c r="B210" i="13" s="1"/>
  <c r="B211" i="13" s="1"/>
  <c r="B212" i="13" s="1"/>
  <c r="B213" i="13" s="1"/>
  <c r="B214" i="13" s="1"/>
  <c r="B215" i="13" s="1"/>
  <c r="B216" i="13" s="1"/>
  <c r="B217" i="13" s="1"/>
  <c r="B218" i="13" s="1"/>
  <c r="B219" i="13" s="1"/>
  <c r="B220" i="13" s="1"/>
  <c r="B221" i="13" s="1"/>
  <c r="B222" i="13" s="1"/>
  <c r="B223" i="13" s="1"/>
  <c r="B224" i="13" s="1"/>
  <c r="B225" i="13" s="1"/>
  <c r="B226" i="13" s="1"/>
  <c r="B227" i="13" s="1"/>
  <c r="B228" i="13" s="1"/>
  <c r="B229" i="13" s="1"/>
  <c r="B230" i="13" s="1"/>
  <c r="B231" i="13" s="1"/>
  <c r="B232" i="13" s="1"/>
  <c r="B233" i="13" s="1"/>
  <c r="B234" i="13" s="1"/>
  <c r="B235" i="13" s="1"/>
  <c r="B236" i="13" s="1"/>
  <c r="B237" i="13" s="1"/>
  <c r="B238" i="13" s="1"/>
  <c r="B239" i="13" s="1"/>
  <c r="B240" i="13" s="1"/>
  <c r="B241" i="13" s="1"/>
  <c r="B242" i="13" s="1"/>
  <c r="B243" i="13" s="1"/>
  <c r="B244" i="13" s="1"/>
  <c r="B245" i="13" s="1"/>
  <c r="B246" i="13" s="1"/>
  <c r="B247" i="13" s="1"/>
  <c r="B248" i="13" s="1"/>
  <c r="B249" i="13" s="1"/>
  <c r="B250" i="13" s="1"/>
  <c r="B251" i="13" s="1"/>
  <c r="B252" i="13" s="1"/>
  <c r="B253" i="13" s="1"/>
  <c r="B254" i="13" s="1"/>
  <c r="B255" i="13" s="1"/>
  <c r="B256" i="13" s="1"/>
  <c r="B257" i="13" s="1"/>
  <c r="B258" i="13" s="1"/>
  <c r="B259" i="13" s="1"/>
  <c r="B260" i="13" s="1"/>
  <c r="B261" i="13" s="1"/>
  <c r="B262" i="13" s="1"/>
  <c r="B263" i="13" s="1"/>
  <c r="B264" i="13" s="1"/>
  <c r="B265" i="13" s="1"/>
  <c r="B266" i="13" s="1"/>
  <c r="B267" i="13" s="1"/>
  <c r="B268" i="13" s="1"/>
  <c r="B269" i="13" s="1"/>
  <c r="B270" i="13" s="1"/>
  <c r="B271" i="13" s="1"/>
  <c r="B272" i="13" s="1"/>
  <c r="B273" i="13" s="1"/>
  <c r="B274" i="13" s="1"/>
  <c r="B275" i="13" s="1"/>
  <c r="B276" i="13" s="1"/>
  <c r="B277" i="13" s="1"/>
  <c r="B278" i="13" s="1"/>
  <c r="B279" i="13" s="1"/>
  <c r="B280" i="13" s="1"/>
  <c r="B281" i="13" s="1"/>
  <c r="B282" i="13" s="1"/>
  <c r="B283" i="13" s="1"/>
  <c r="B284" i="13" s="1"/>
  <c r="B285" i="13" s="1"/>
  <c r="B286" i="13" s="1"/>
  <c r="B287" i="13" s="1"/>
  <c r="B288" i="13" s="1"/>
  <c r="B289" i="13" s="1"/>
  <c r="B290" i="13" s="1"/>
  <c r="B291" i="13" s="1"/>
  <c r="B292" i="13" s="1"/>
  <c r="B293" i="13" s="1"/>
  <c r="B294" i="13" s="1"/>
  <c r="B295" i="13" s="1"/>
  <c r="B296" i="13" s="1"/>
  <c r="B297" i="13" s="1"/>
  <c r="B298" i="13" s="1"/>
  <c r="B299" i="13" s="1"/>
  <c r="B300" i="13" s="1"/>
  <c r="B301" i="13" s="1"/>
  <c r="B302" i="13" s="1"/>
  <c r="B303" i="13" s="1"/>
  <c r="B304" i="13" s="1"/>
  <c r="B305" i="13" s="1"/>
  <c r="B306" i="13" s="1"/>
  <c r="B307" i="13" s="1"/>
  <c r="B308" i="13" s="1"/>
  <c r="B309" i="13" s="1"/>
  <c r="B310" i="13" s="1"/>
  <c r="B311" i="13" s="1"/>
  <c r="B312" i="13" s="1"/>
  <c r="B313" i="13" s="1"/>
  <c r="B314" i="13" s="1"/>
  <c r="B315" i="13" s="1"/>
  <c r="B316" i="13" s="1"/>
  <c r="B317" i="13" s="1"/>
  <c r="B318" i="13" s="1"/>
  <c r="B319" i="13" s="1"/>
  <c r="B320" i="13" s="1"/>
  <c r="B321" i="13" s="1"/>
  <c r="B322" i="13" s="1"/>
  <c r="B323" i="13" s="1"/>
  <c r="B324" i="13" s="1"/>
  <c r="B325" i="13" s="1"/>
  <c r="B326" i="13" s="1"/>
  <c r="B327" i="13" s="1"/>
  <c r="B328" i="13" s="1"/>
  <c r="B329" i="13" s="1"/>
  <c r="B330" i="13" s="1"/>
  <c r="B331" i="13" s="1"/>
  <c r="B332" i="13" s="1"/>
  <c r="B333" i="13" s="1"/>
  <c r="B334" i="13" s="1"/>
  <c r="B335" i="13" s="1"/>
  <c r="B336" i="13" s="1"/>
  <c r="B337" i="13" s="1"/>
  <c r="B338" i="13" s="1"/>
  <c r="B339" i="13" s="1"/>
  <c r="B340" i="13" s="1"/>
  <c r="B341" i="13" s="1"/>
  <c r="B342" i="13" s="1"/>
  <c r="B343" i="13" s="1"/>
  <c r="B344" i="13" s="1"/>
  <c r="B345" i="13" s="1"/>
  <c r="F45" i="13"/>
  <c r="G45" i="13" s="1"/>
  <c r="H45" i="13" s="1"/>
  <c r="I45" i="13" s="1"/>
  <c r="J45" i="13" s="1"/>
  <c r="K45" i="13" s="1"/>
  <c r="L45" i="13" s="1"/>
  <c r="M45" i="13" s="1"/>
  <c r="N45" i="13" s="1"/>
  <c r="C39" i="13" a="1"/>
  <c r="H40" i="13" s="1"/>
  <c r="G38" i="13"/>
  <c r="H38" i="13" s="1"/>
  <c r="I38" i="13" s="1"/>
  <c r="J38" i="13" s="1"/>
  <c r="K38" i="13" s="1"/>
  <c r="L38" i="13" s="1"/>
  <c r="M38" i="13" s="1"/>
  <c r="N38" i="13" s="1"/>
  <c r="F38" i="13"/>
  <c r="F26" i="13"/>
  <c r="G26" i="13" s="1"/>
  <c r="H26" i="13" s="1"/>
  <c r="I26" i="13" s="1"/>
  <c r="J26" i="13" s="1"/>
  <c r="K26" i="13" s="1"/>
  <c r="L26" i="13" s="1"/>
  <c r="M26" i="13" s="1"/>
  <c r="N26" i="13" s="1"/>
  <c r="J23" i="13"/>
  <c r="I23" i="13"/>
  <c r="H23" i="13"/>
  <c r="G23" i="13"/>
  <c r="F23" i="13"/>
  <c r="E23" i="13"/>
  <c r="C48" i="13" a="1"/>
  <c r="C52" i="13" a="1"/>
  <c r="C56" i="13" a="1"/>
  <c r="C60" i="13" a="1"/>
  <c r="C64" i="13" a="1"/>
  <c r="C68" i="13" a="1"/>
  <c r="C72" i="13" a="1"/>
  <c r="C76" i="13" a="1"/>
  <c r="C80" i="13" a="1"/>
  <c r="C84" i="13" a="1"/>
  <c r="C88" i="13" a="1"/>
  <c r="C92" i="13" a="1"/>
  <c r="C96" i="13" a="1"/>
  <c r="C100" i="13" a="1"/>
  <c r="C104" i="13" a="1"/>
  <c r="C47" i="13" a="1"/>
  <c r="C53" i="13" a="1"/>
  <c r="C58" i="13" a="1"/>
  <c r="C63" i="13" a="1"/>
  <c r="C69" i="13" a="1"/>
  <c r="C74" i="13" a="1"/>
  <c r="C79" i="13" a="1"/>
  <c r="C85" i="13" a="1"/>
  <c r="C90" i="13" a="1"/>
  <c r="C95" i="13" a="1"/>
  <c r="C101" i="13" a="1"/>
  <c r="C106" i="13" a="1"/>
  <c r="C115" i="13" a="1"/>
  <c r="C120" i="13" a="1"/>
  <c r="C129" i="13" a="1"/>
  <c r="C138" i="13" a="1"/>
  <c r="C147" i="13" a="1"/>
  <c r="C152" i="13" a="1"/>
  <c r="C161" i="13" a="1"/>
  <c r="C170" i="13" a="1"/>
  <c r="C179" i="13" a="1"/>
  <c r="C184" i="13" a="1"/>
  <c r="C193" i="13" a="1"/>
  <c r="C202" i="13" a="1"/>
  <c r="C211" i="13" a="1"/>
  <c r="C216" i="13" a="1"/>
  <c r="C225" i="13" a="1"/>
  <c r="C234" i="13" a="1"/>
  <c r="C243" i="13" a="1"/>
  <c r="C248" i="13" a="1"/>
  <c r="C257" i="13" a="1"/>
  <c r="C266" i="13" a="1"/>
  <c r="C275" i="13" a="1"/>
  <c r="C280" i="13" a="1"/>
  <c r="C289" i="13" a="1"/>
  <c r="C298" i="13" a="1"/>
  <c r="C307" i="13" a="1"/>
  <c r="C312" i="13" a="1"/>
  <c r="C321" i="13" a="1"/>
  <c r="C330" i="13" a="1"/>
  <c r="C339" i="13" a="1"/>
  <c r="C344" i="13" a="1"/>
  <c r="C125" i="13" a="1"/>
  <c r="C134" i="13" a="1"/>
  <c r="C148" i="13" a="1"/>
  <c r="C166" i="13" a="1"/>
  <c r="C180" i="13" a="1"/>
  <c r="C198" i="13" a="1"/>
  <c r="C212" i="13" a="1"/>
  <c r="C221" i="13" a="1"/>
  <c r="C239" i="13" a="1"/>
  <c r="C253" i="13" a="1"/>
  <c r="C271" i="13" a="1"/>
  <c r="C285" i="13" a="1"/>
  <c r="C294" i="13" a="1"/>
  <c r="C308" i="13" a="1"/>
  <c r="C326" i="13" a="1"/>
  <c r="C340" i="13" a="1"/>
  <c r="C217" i="13" a="1"/>
  <c r="C249" i="13" a="1"/>
  <c r="C111" i="13" a="1"/>
  <c r="C116" i="13" a="1"/>
  <c r="C143" i="13" a="1"/>
  <c r="C157" i="13" a="1"/>
  <c r="C175" i="13" a="1"/>
  <c r="C189" i="13" a="1"/>
  <c r="C207" i="13" a="1"/>
  <c r="C230" i="13" a="1"/>
  <c r="C244" i="13" a="1"/>
  <c r="C262" i="13" a="1"/>
  <c r="C276" i="13" a="1"/>
  <c r="C303" i="13" a="1"/>
  <c r="C317" i="13" a="1"/>
  <c r="C335" i="13" a="1"/>
  <c r="C240" i="13" a="1"/>
  <c r="C49" i="13" a="1"/>
  <c r="C54" i="13" a="1"/>
  <c r="C59" i="13" a="1"/>
  <c r="C65" i="13" a="1"/>
  <c r="C70" i="13" a="1"/>
  <c r="C75" i="13" a="1"/>
  <c r="C81" i="13" a="1"/>
  <c r="C86" i="13" a="1"/>
  <c r="C91" i="13" a="1"/>
  <c r="C97" i="13" a="1"/>
  <c r="C102" i="13" a="1"/>
  <c r="C107" i="13" a="1"/>
  <c r="C112" i="13" a="1"/>
  <c r="C121" i="13" a="1"/>
  <c r="C130" i="13" a="1"/>
  <c r="C139" i="13" a="1"/>
  <c r="C144" i="13" a="1"/>
  <c r="C153" i="13" a="1"/>
  <c r="C162" i="13" a="1"/>
  <c r="C171" i="13" a="1"/>
  <c r="C176" i="13" a="1"/>
  <c r="C185" i="13" a="1"/>
  <c r="C194" i="13" a="1"/>
  <c r="C203" i="13" a="1"/>
  <c r="C208" i="13" a="1"/>
  <c r="C226" i="13" a="1"/>
  <c r="C235" i="13" a="1"/>
  <c r="C108" i="13" a="1"/>
  <c r="C117" i="13" a="1"/>
  <c r="C126" i="13" a="1"/>
  <c r="C135" i="13" a="1"/>
  <c r="C140" i="13" a="1"/>
  <c r="C149" i="13" a="1"/>
  <c r="C158" i="13" a="1"/>
  <c r="C167" i="13" a="1"/>
  <c r="C172" i="13" a="1"/>
  <c r="C181" i="13" a="1"/>
  <c r="C190" i="13" a="1"/>
  <c r="C199" i="13" a="1"/>
  <c r="C204" i="13" a="1"/>
  <c r="C213" i="13" a="1"/>
  <c r="C222" i="13" a="1"/>
  <c r="C231" i="13" a="1"/>
  <c r="C236" i="13" a="1"/>
  <c r="C245" i="13" a="1"/>
  <c r="C254" i="13" a="1"/>
  <c r="C263" i="13" a="1"/>
  <c r="C268" i="13" a="1"/>
  <c r="C277" i="13" a="1"/>
  <c r="C286" i="13" a="1"/>
  <c r="C295" i="13" a="1"/>
  <c r="C300" i="13" a="1"/>
  <c r="C309" i="13" a="1"/>
  <c r="C318" i="13" a="1"/>
  <c r="C327" i="13" a="1"/>
  <c r="C332" i="13" a="1"/>
  <c r="C341" i="13" a="1"/>
  <c r="C46" i="13" a="1"/>
  <c r="C191" i="13" a="1"/>
  <c r="C196" i="13" a="1"/>
  <c r="C205" i="13" a="1"/>
  <c r="C214" i="13" a="1"/>
  <c r="C223" i="13" a="1"/>
  <c r="C228" i="13" a="1"/>
  <c r="C237" i="13" a="1"/>
  <c r="C246" i="13" a="1"/>
  <c r="C255" i="13" a="1"/>
  <c r="C260" i="13" a="1"/>
  <c r="C269" i="13" a="1"/>
  <c r="C278" i="13" a="1"/>
  <c r="C287" i="13" a="1"/>
  <c r="C292" i="13" a="1"/>
  <c r="C301" i="13" a="1"/>
  <c r="C310" i="13" a="1"/>
  <c r="C319" i="13" a="1"/>
  <c r="C324" i="13" a="1"/>
  <c r="C333" i="13" a="1"/>
  <c r="C342" i="13" a="1"/>
  <c r="C50" i="13" a="1"/>
  <c r="C55" i="13" a="1"/>
  <c r="C61" i="13" a="1"/>
  <c r="C66" i="13" a="1"/>
  <c r="C71" i="13" a="1"/>
  <c r="C77" i="13" a="1"/>
  <c r="C82" i="13" a="1"/>
  <c r="C87" i="13" a="1"/>
  <c r="C93" i="13" a="1"/>
  <c r="C98" i="13" a="1"/>
  <c r="C103" i="13" a="1"/>
  <c r="C113" i="13" a="1"/>
  <c r="C122" i="13" a="1"/>
  <c r="C131" i="13" a="1"/>
  <c r="C136" i="13" a="1"/>
  <c r="C145" i="13" a="1"/>
  <c r="C154" i="13" a="1"/>
  <c r="C163" i="13" a="1"/>
  <c r="C168" i="13" a="1"/>
  <c r="C177" i="13" a="1"/>
  <c r="C186" i="13" a="1"/>
  <c r="C195" i="13" a="1"/>
  <c r="C200" i="13" a="1"/>
  <c r="C209" i="13" a="1"/>
  <c r="C218" i="13" a="1"/>
  <c r="C227" i="13" a="1"/>
  <c r="C232" i="13" a="1"/>
  <c r="C241" i="13" a="1"/>
  <c r="C250" i="13" a="1"/>
  <c r="C259" i="13" a="1"/>
  <c r="C264" i="13" a="1"/>
  <c r="C273" i="13" a="1"/>
  <c r="C282" i="13" a="1"/>
  <c r="C291" i="13" a="1"/>
  <c r="C296" i="13" a="1"/>
  <c r="C305" i="13" a="1"/>
  <c r="C314" i="13" a="1"/>
  <c r="C323" i="13" a="1"/>
  <c r="C328" i="13" a="1"/>
  <c r="C337" i="13" a="1"/>
  <c r="C109" i="13" a="1"/>
  <c r="C118" i="13" a="1"/>
  <c r="C127" i="13" a="1"/>
  <c r="C132" i="13" a="1"/>
  <c r="C141" i="13" a="1"/>
  <c r="C150" i="13" a="1"/>
  <c r="C159" i="13" a="1"/>
  <c r="C164" i="13" a="1"/>
  <c r="C173" i="13" a="1"/>
  <c r="C182" i="13" a="1"/>
  <c r="C51" i="13" a="1"/>
  <c r="C73" i="13" a="1"/>
  <c r="C94" i="13" a="1"/>
  <c r="C114" i="13" a="1"/>
  <c r="C169" i="13" a="1"/>
  <c r="C187" i="13" a="1"/>
  <c r="C224" i="13" a="1"/>
  <c r="C242" i="13" a="1"/>
  <c r="C281" i="13" a="1"/>
  <c r="C293" i="13" a="1"/>
  <c r="C306" i="13" a="1"/>
  <c r="C334" i="13" a="1"/>
  <c r="C105" i="13" a="1"/>
  <c r="C123" i="13" a="1"/>
  <c r="C178" i="13" a="1"/>
  <c r="C311" i="13" a="1"/>
  <c r="C142" i="13" a="1"/>
  <c r="C265" i="13" a="1"/>
  <c r="C338" i="13" a="1"/>
  <c r="C146" i="13" a="1"/>
  <c r="C290" i="13" a="1"/>
  <c r="C183" i="13" a="1"/>
  <c r="C267" i="13" a="1"/>
  <c r="C316" i="13" a="1"/>
  <c r="C133" i="13" a="1"/>
  <c r="C151" i="13" a="1"/>
  <c r="C188" i="13" a="1"/>
  <c r="C206" i="13" a="1"/>
  <c r="C258" i="13" a="1"/>
  <c r="C270" i="13" a="1"/>
  <c r="C283" i="13" a="1"/>
  <c r="C320" i="13" a="1"/>
  <c r="C331" i="13" a="1"/>
  <c r="C343" i="13" a="1"/>
  <c r="C57" i="13" a="1"/>
  <c r="C78" i="13" a="1"/>
  <c r="C99" i="13" a="1"/>
  <c r="C137" i="13" a="1"/>
  <c r="C155" i="13" a="1"/>
  <c r="C192" i="13" a="1"/>
  <c r="C210" i="13" a="1"/>
  <c r="C272" i="13" a="1"/>
  <c r="C284" i="13" a="1"/>
  <c r="C297" i="13" a="1"/>
  <c r="C345" i="13" a="1"/>
  <c r="C119" i="13" a="1"/>
  <c r="C156" i="13" a="1"/>
  <c r="C174" i="13" a="1"/>
  <c r="C229" i="13" a="1"/>
  <c r="C247" i="13" a="1"/>
  <c r="C261" i="13" a="1"/>
  <c r="C274" i="13" a="1"/>
  <c r="C322" i="13" a="1"/>
  <c r="C83" i="13" a="1"/>
  <c r="C160" i="13" a="1"/>
  <c r="C233" i="13" a="1"/>
  <c r="C288" i="13" a="1"/>
  <c r="C299" i="13" a="1"/>
  <c r="C124" i="13" a="1"/>
  <c r="C215" i="13" a="1"/>
  <c r="C252" i="13" a="1"/>
  <c r="C325" i="13" a="1"/>
  <c r="C67" i="13" a="1"/>
  <c r="C128" i="13" a="1"/>
  <c r="C219" i="13" a="1"/>
  <c r="C302" i="13" a="1"/>
  <c r="C165" i="13" a="1"/>
  <c r="C220" i="13" a="1"/>
  <c r="C256" i="13" a="1"/>
  <c r="C279" i="13" a="1"/>
  <c r="C304" i="13" a="1"/>
  <c r="C329" i="13" a="1"/>
  <c r="C62" i="13" a="1"/>
  <c r="C251" i="13" a="1"/>
  <c r="C336" i="13" a="1"/>
  <c r="C197" i="13" a="1"/>
  <c r="C313" i="13" a="1"/>
  <c r="C89" i="13" a="1"/>
  <c r="C201" i="13" a="1"/>
  <c r="C315" i="13" a="1"/>
  <c r="C110" i="13" a="1"/>
  <c r="C238" i="13" a="1"/>
  <c r="C238" i="13" l="1"/>
  <c r="C110" i="13"/>
  <c r="C315" i="13"/>
  <c r="C201" i="13"/>
  <c r="C89" i="13"/>
  <c r="C313" i="13"/>
  <c r="C197" i="13"/>
  <c r="C336" i="13"/>
  <c r="C251" i="13"/>
  <c r="C62" i="13"/>
  <c r="C329" i="13"/>
  <c r="C304" i="13"/>
  <c r="C279" i="13"/>
  <c r="C256" i="13"/>
  <c r="C220" i="13"/>
  <c r="C165" i="13"/>
  <c r="C302" i="13"/>
  <c r="C219" i="13"/>
  <c r="C128" i="13"/>
  <c r="C67" i="13"/>
  <c r="C325" i="13"/>
  <c r="C252" i="13"/>
  <c r="C215" i="13"/>
  <c r="C124" i="13"/>
  <c r="C299" i="13"/>
  <c r="C288" i="13"/>
  <c r="C233" i="13"/>
  <c r="C160" i="13"/>
  <c r="C83" i="13"/>
  <c r="C322" i="13"/>
  <c r="C274" i="13"/>
  <c r="C261" i="13"/>
  <c r="C247" i="13"/>
  <c r="C229" i="13"/>
  <c r="C174" i="13"/>
  <c r="C156" i="13"/>
  <c r="C119" i="13"/>
  <c r="C345" i="13"/>
  <c r="C297" i="13"/>
  <c r="C284" i="13"/>
  <c r="C272" i="13"/>
  <c r="C210" i="13"/>
  <c r="C192" i="13"/>
  <c r="C155" i="13"/>
  <c r="C137" i="13"/>
  <c r="C99" i="13"/>
  <c r="C78" i="13"/>
  <c r="C57" i="13"/>
  <c r="C343" i="13"/>
  <c r="C331" i="13"/>
  <c r="C320" i="13"/>
  <c r="C283" i="13"/>
  <c r="C270" i="13"/>
  <c r="C258" i="13"/>
  <c r="C206" i="13"/>
  <c r="C188" i="13"/>
  <c r="C151" i="13"/>
  <c r="C133" i="13"/>
  <c r="C316" i="13"/>
  <c r="C267" i="13"/>
  <c r="C183" i="13"/>
  <c r="C290" i="13"/>
  <c r="C146" i="13"/>
  <c r="C338" i="13"/>
  <c r="C265" i="13"/>
  <c r="C142" i="13"/>
  <c r="C311" i="13"/>
  <c r="C178" i="13"/>
  <c r="C123" i="13"/>
  <c r="C105" i="13"/>
  <c r="C334" i="13"/>
  <c r="C306" i="13"/>
  <c r="C293" i="13"/>
  <c r="C281" i="13"/>
  <c r="C242" i="13"/>
  <c r="C224" i="13"/>
  <c r="C187" i="13"/>
  <c r="C169" i="13"/>
  <c r="C114" i="13"/>
  <c r="C94" i="13"/>
  <c r="C73" i="13"/>
  <c r="C51" i="13"/>
  <c r="C182" i="13"/>
  <c r="C173" i="13"/>
  <c r="C164" i="13"/>
  <c r="C159" i="13"/>
  <c r="C150" i="13"/>
  <c r="C141" i="13"/>
  <c r="C132" i="13"/>
  <c r="C127" i="13"/>
  <c r="C118" i="13"/>
  <c r="C109" i="13"/>
  <c r="C337" i="13"/>
  <c r="C328" i="13"/>
  <c r="C323" i="13"/>
  <c r="C314" i="13"/>
  <c r="C305" i="13"/>
  <c r="C296" i="13"/>
  <c r="C291" i="13"/>
  <c r="C282" i="13"/>
  <c r="C273" i="13"/>
  <c r="C264" i="13"/>
  <c r="C259" i="13"/>
  <c r="C250" i="13"/>
  <c r="C241" i="13"/>
  <c r="C232" i="13"/>
  <c r="C227" i="13"/>
  <c r="C218" i="13"/>
  <c r="C209" i="13"/>
  <c r="C200" i="13"/>
  <c r="C195" i="13"/>
  <c r="C186" i="13"/>
  <c r="C177" i="13"/>
  <c r="C168" i="13"/>
  <c r="C163" i="13"/>
  <c r="C154" i="13"/>
  <c r="C145" i="13"/>
  <c r="C136" i="13"/>
  <c r="C131" i="13"/>
  <c r="C122" i="13"/>
  <c r="C113" i="13"/>
  <c r="C103" i="13"/>
  <c r="C98" i="13"/>
  <c r="C93" i="13"/>
  <c r="C87" i="13"/>
  <c r="C82" i="13"/>
  <c r="C77" i="13"/>
  <c r="C71" i="13"/>
  <c r="C66" i="13"/>
  <c r="C61" i="13"/>
  <c r="C55" i="13"/>
  <c r="C50" i="13"/>
  <c r="C342" i="13"/>
  <c r="C333" i="13"/>
  <c r="C324" i="13"/>
  <c r="C319" i="13"/>
  <c r="C310" i="13"/>
  <c r="C301" i="13"/>
  <c r="C292" i="13"/>
  <c r="C287" i="13"/>
  <c r="C278" i="13"/>
  <c r="C269" i="13"/>
  <c r="C260" i="13"/>
  <c r="C255" i="13"/>
  <c r="C246" i="13"/>
  <c r="C237" i="13"/>
  <c r="C228" i="13"/>
  <c r="C223" i="13"/>
  <c r="C214" i="13"/>
  <c r="C205" i="13"/>
  <c r="C196" i="13"/>
  <c r="C191" i="13"/>
  <c r="C46" i="13"/>
  <c r="C341" i="13"/>
  <c r="C332" i="13"/>
  <c r="C327" i="13"/>
  <c r="C318" i="13"/>
  <c r="C309" i="13"/>
  <c r="C300" i="13"/>
  <c r="C295" i="13"/>
  <c r="C286" i="13"/>
  <c r="C277" i="13"/>
  <c r="C268" i="13"/>
  <c r="C263" i="13"/>
  <c r="C254" i="13"/>
  <c r="C245" i="13"/>
  <c r="C236" i="13"/>
  <c r="C231" i="13"/>
  <c r="C222" i="13"/>
  <c r="C213" i="13"/>
  <c r="C204" i="13"/>
  <c r="C199" i="13"/>
  <c r="C190" i="13"/>
  <c r="C181" i="13"/>
  <c r="C172" i="13"/>
  <c r="C167" i="13"/>
  <c r="C158" i="13"/>
  <c r="C149" i="13"/>
  <c r="C140" i="13"/>
  <c r="C135" i="13"/>
  <c r="C126" i="13"/>
  <c r="C117" i="13"/>
  <c r="C108" i="13"/>
  <c r="C235" i="13"/>
  <c r="C226" i="13"/>
  <c r="C208" i="13"/>
  <c r="C203" i="13"/>
  <c r="C194" i="13"/>
  <c r="C185" i="13"/>
  <c r="C176" i="13"/>
  <c r="C171" i="13"/>
  <c r="C162" i="13"/>
  <c r="C153" i="13"/>
  <c r="C144" i="13"/>
  <c r="C139" i="13"/>
  <c r="C130" i="13"/>
  <c r="C121" i="13"/>
  <c r="C112" i="13"/>
  <c r="C107" i="13"/>
  <c r="C102" i="13"/>
  <c r="C97" i="13"/>
  <c r="C91" i="13"/>
  <c r="C86" i="13"/>
  <c r="C81" i="13"/>
  <c r="C75" i="13"/>
  <c r="C70" i="13"/>
  <c r="C65" i="13"/>
  <c r="C59" i="13"/>
  <c r="C54" i="13"/>
  <c r="C49" i="13"/>
  <c r="C240" i="13"/>
  <c r="C335" i="13"/>
  <c r="C317" i="13"/>
  <c r="C303" i="13"/>
  <c r="C276" i="13"/>
  <c r="C262" i="13"/>
  <c r="C244" i="13"/>
  <c r="C230" i="13"/>
  <c r="C207" i="13"/>
  <c r="C189" i="13"/>
  <c r="C175" i="13"/>
  <c r="C157" i="13"/>
  <c r="C143" i="13"/>
  <c r="C116" i="13"/>
  <c r="C111" i="13"/>
  <c r="C249" i="13"/>
  <c r="C217" i="13"/>
  <c r="C340" i="13"/>
  <c r="C326" i="13"/>
  <c r="C308" i="13"/>
  <c r="C294" i="13"/>
  <c r="C285" i="13"/>
  <c r="C271" i="13"/>
  <c r="C253" i="13"/>
  <c r="C239" i="13"/>
  <c r="C221" i="13"/>
  <c r="C212" i="13"/>
  <c r="C198" i="13"/>
  <c r="C180" i="13"/>
  <c r="C166" i="13"/>
  <c r="C148" i="13"/>
  <c r="C134" i="13"/>
  <c r="C125" i="13"/>
  <c r="C344" i="13"/>
  <c r="C339" i="13"/>
  <c r="C330" i="13"/>
  <c r="C321" i="13"/>
  <c r="C312" i="13"/>
  <c r="C307" i="13"/>
  <c r="C298" i="13"/>
  <c r="C289" i="13"/>
  <c r="C280" i="13"/>
  <c r="C275" i="13"/>
  <c r="C266" i="13"/>
  <c r="C257" i="13"/>
  <c r="C248" i="13"/>
  <c r="C243" i="13"/>
  <c r="C234" i="13"/>
  <c r="C225" i="13"/>
  <c r="C216" i="13"/>
  <c r="C211" i="13"/>
  <c r="C202" i="13"/>
  <c r="C193" i="13"/>
  <c r="C184" i="13"/>
  <c r="C179" i="13"/>
  <c r="C170" i="13"/>
  <c r="C161" i="13"/>
  <c r="C152" i="13"/>
  <c r="C147" i="13"/>
  <c r="C138" i="13"/>
  <c r="C129" i="13"/>
  <c r="C120" i="13"/>
  <c r="C115" i="13"/>
  <c r="C106" i="13"/>
  <c r="C101" i="13"/>
  <c r="C95" i="13"/>
  <c r="C90" i="13"/>
  <c r="C85" i="13"/>
  <c r="C79" i="13"/>
  <c r="C74" i="13"/>
  <c r="C69" i="13"/>
  <c r="C63" i="13"/>
  <c r="C58" i="13"/>
  <c r="C53" i="13"/>
  <c r="C47" i="13"/>
  <c r="C104" i="13"/>
  <c r="C100" i="13"/>
  <c r="C96" i="13"/>
  <c r="C92" i="13"/>
  <c r="C88" i="13"/>
  <c r="C84" i="13"/>
  <c r="C80" i="13"/>
  <c r="C76" i="13"/>
  <c r="C72" i="13"/>
  <c r="C68" i="13"/>
  <c r="C64" i="13"/>
  <c r="C60" i="13"/>
  <c r="C56" i="13"/>
  <c r="C52" i="13"/>
  <c r="C48" i="13"/>
  <c r="L40" i="13"/>
  <c r="K39" i="13"/>
  <c r="E39" i="13"/>
  <c r="M39" i="13"/>
  <c r="I40" i="13"/>
  <c r="C39" i="13"/>
  <c r="F39" i="13"/>
  <c r="N39" i="13"/>
  <c r="J40" i="13"/>
  <c r="H39" i="13"/>
  <c r="G39" i="13"/>
  <c r="K40" i="13"/>
  <c r="D40" i="13"/>
  <c r="I39" i="13"/>
  <c r="E40" i="13"/>
  <c r="M40" i="13"/>
  <c r="J39" i="13"/>
  <c r="F40" i="13"/>
  <c r="N40" i="13"/>
  <c r="C40" i="13"/>
  <c r="G40" i="13"/>
  <c r="D39" i="13"/>
  <c r="L39" i="13"/>
  <c r="M25" i="2" l="1" a="1"/>
  <c r="J7" i="2" a="1"/>
  <c r="G9" i="2" a="1"/>
  <c r="M24" i="2" a="1"/>
  <c r="G7" i="2" a="1"/>
  <c r="P22" i="2" a="1"/>
  <c r="M22" i="2" a="1"/>
  <c r="M27" i="2" a="1"/>
  <c r="M26" i="2" a="1"/>
  <c r="M26" i="2" l="1"/>
  <c r="M27" i="2"/>
  <c r="M22" i="2"/>
  <c r="P22" i="2"/>
  <c r="G7" i="2"/>
  <c r="M24" i="2"/>
  <c r="G9" i="2"/>
  <c r="J7" i="2"/>
  <c r="M25" i="2"/>
  <c r="AA24" i="2" l="1" a="1"/>
  <c r="AA24" i="2" s="1"/>
  <c r="AA25" i="2" a="1"/>
  <c r="AA25" i="2" s="1"/>
  <c r="AA26" i="2" a="1"/>
  <c r="AA26" i="2" s="1"/>
  <c r="AA27" i="2" a="1"/>
  <c r="AA27" i="2" s="1"/>
  <c r="AA22" i="2" a="1"/>
  <c r="AA22" i="2" s="1"/>
  <c r="V9" i="2" a="1"/>
  <c r="V9" i="2" s="1"/>
  <c r="V7" i="2" a="1"/>
  <c r="V7" i="2" s="1"/>
  <c r="C1" i="6" l="1" a="1"/>
  <c r="C1" i="6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SG - EBL</author>
    <author>AMASCIA</author>
  </authors>
  <commentList>
    <comment ref="C6" authorId="0" shapeId="0" xr:uid="{5AC1226D-ACD6-41FD-B65F-A74478D89A45}">
      <text>
        <r>
          <rPr>
            <b/>
            <sz val="8"/>
            <color indexed="81"/>
            <rFont val="Tahoma"/>
            <family val="2"/>
          </rPr>
          <t>SG:</t>
        </r>
        <r>
          <rPr>
            <sz val="8"/>
            <color indexed="81"/>
            <rFont val="Tahoma"/>
            <family val="2"/>
          </rPr>
          <t xml:space="preserve">
True for quarterly IMM date (20 March, June, Sept and Dec)
False for S/A (20 June or 20 dec)</t>
        </r>
      </text>
    </comment>
    <comment ref="B10" authorId="1" shapeId="0" xr:uid="{434CF6E8-9DBB-4271-8C6C-AC8F1213CC7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  <comment ref="B11" authorId="1" shapeId="0" xr:uid="{A77A6EAE-3B6D-463F-A97C-295298684C53}">
      <text>
        <r>
          <rPr>
            <b/>
            <sz val="8"/>
            <color indexed="81"/>
            <rFont val="Tahoma"/>
            <family val="2"/>
          </rPr>
          <t xml:space="preserve">Not used in functions at all. 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akhedher070405</author>
    <author>SG - Emmanuel</author>
  </authors>
  <commentList>
    <comment ref="C11" authorId="0" shapeId="0" xr:uid="{3066F1D6-7049-4551-AAFA-1D2CDF383C37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C12" authorId="0" shapeId="0" xr:uid="{4BD8D80D-C16C-44B6-A397-CD2C7CE23F32}">
      <text>
        <r>
          <rPr>
            <b/>
            <sz val="8"/>
            <color indexed="81"/>
            <rFont val="Tahoma"/>
            <family val="2"/>
          </rPr>
          <t>if empty, then assumed CDS impied recovery rate</t>
        </r>
      </text>
    </comment>
    <comment ref="C15" authorId="1" shapeId="0" xr:uid="{6F924B12-1FA3-43F2-8860-320D67C8E39A}">
      <text>
        <r>
          <rPr>
            <b/>
            <sz val="8"/>
            <color indexed="81"/>
            <rFont val="Tahoma"/>
            <family val="2"/>
          </rPr>
          <t>SG:
Currency of the CDS being priced.
If left blank, CDS will have the same currency as the Issuer</t>
        </r>
      </text>
    </comment>
    <comment ref="C28" authorId="0" shapeId="0" xr:uid="{2A5F2622-E357-4D11-B34F-2A612B0B498F}">
      <text>
        <r>
          <rPr>
            <b/>
            <sz val="8"/>
            <color indexed="81"/>
            <rFont val="Tahoma"/>
            <family val="2"/>
          </rPr>
          <t>if empty, then assumed ATM</t>
        </r>
      </text>
    </comment>
    <comment ref="B32" authorId="2" shapeId="0" xr:uid="{EB429E17-F46E-4F88-ABA3-50B36993D00C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  <author>E&amp;P</author>
    <author>akhedher070405</author>
    <author>TLAUNAY</author>
    <author>SG - Emmanuel</author>
  </authors>
  <commentList>
    <comment ref="I8" authorId="0" shapeId="0" xr:uid="{7D0FAF4D-D2D0-4ACC-872A-F6A9B33270AF}">
      <text>
        <r>
          <rPr>
            <b/>
            <sz val="8"/>
            <color indexed="81"/>
            <rFont val="Tahoma"/>
            <family val="2"/>
          </rPr>
          <t>In currency amount.
Not in percentage of portfolio, neither in % of tranche notional amount.</t>
        </r>
      </text>
    </comment>
    <comment ref="J8" authorId="1" shapeId="0" xr:uid="{C5FFF97F-39D3-4091-A32A-8ECE051A0175}">
      <text>
        <r>
          <rPr>
            <b/>
            <sz val="8"/>
            <color indexed="81"/>
            <rFont val="Tahoma"/>
            <family val="2"/>
          </rPr>
          <t>In % of the tranche</t>
        </r>
      </text>
    </comment>
    <comment ref="C12" authorId="0" shapeId="0" xr:uid="{D6B0B39E-5C80-47AE-B9C2-C00AE840E81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I14" authorId="0" shapeId="0" xr:uid="{47C0C90A-8741-4569-88F9-975751A61A85}">
      <text>
        <r>
          <rPr>
            <b/>
            <sz val="8"/>
            <color indexed="81"/>
            <rFont val="Tahoma"/>
            <family val="2"/>
          </rPr>
          <t>Change of NPV of CDO, when spread curve is shifted in parallel.</t>
        </r>
      </text>
    </comment>
    <comment ref="J14" authorId="0" shapeId="0" xr:uid="{8E84CE5B-348E-4F5D-9B49-9FC8D98BEAAB}">
      <text>
        <r>
          <rPr>
            <b/>
            <sz val="8"/>
            <color indexed="81"/>
            <rFont val="Tahoma"/>
            <family val="2"/>
          </rPr>
          <t>Change of NPV of hedging CDS, when spread curve is shifted in parallel.</t>
        </r>
      </text>
    </comment>
    <comment ref="K14" authorId="0" shapeId="0" xr:uid="{C254234E-DD5C-4573-B630-4DD652F1D6AA}">
      <text>
        <r>
          <rPr>
            <b/>
            <sz val="8"/>
            <color indexed="81"/>
            <rFont val="Tahoma"/>
            <family val="2"/>
          </rPr>
          <t>Delta in notional amount of CDS to sell.</t>
        </r>
      </text>
    </comment>
    <comment ref="L14" authorId="0" shapeId="0" xr:uid="{9D8A0D5E-C07E-4686-9504-5A84D244AD7D}">
      <text>
        <r>
          <rPr>
            <b/>
            <sz val="8"/>
            <color indexed="81"/>
            <rFont val="Tahoma"/>
            <family val="2"/>
          </rPr>
          <t>Delta in notional amount and in CDO currency of CDS to sell.</t>
        </r>
      </text>
    </comment>
    <comment ref="M14" authorId="2" shapeId="0" xr:uid="{B426C3B7-BCB8-4DC4-B315-E60FB476DF1C}">
      <text>
        <r>
          <rPr>
            <b/>
            <sz val="8"/>
            <color indexed="81"/>
            <rFont val="Tahoma"/>
            <family val="2"/>
          </rPr>
          <t>Change of NPV of CDO when Beta of each issuer up by 10 % point. (Not relative)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19" authorId="3" shapeId="0" xr:uid="{96C96C38-78B1-4535-A641-258CF5911870}">
      <text>
        <r>
          <rPr>
            <b/>
            <sz val="8"/>
            <color indexed="81"/>
            <rFont val="Tahoma"/>
            <family val="2"/>
          </rPr>
          <t xml:space="preserve">Attachment Point, i.e. subordination amount.
In amount of currency.
Not in % of portfolio.
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B20" authorId="3" shapeId="0" xr:uid="{8859BCCD-0458-4717-9D35-CA1234DFB44B}">
      <text>
        <r>
          <rPr>
            <b/>
            <sz val="8"/>
            <color indexed="81"/>
            <rFont val="Tahoma"/>
            <family val="2"/>
          </rPr>
          <t>Detachment Point</t>
        </r>
        <r>
          <rPr>
            <sz val="8"/>
            <color indexed="81"/>
            <rFont val="Tahoma"/>
            <family val="2"/>
          </rPr>
          <t xml:space="preserve">
In amount of currency.
Not in % of the portfolio notional amount.</t>
        </r>
      </text>
    </comment>
    <comment ref="C29" authorId="0" shapeId="0" xr:uid="{ADD8B58B-38CF-4D7F-BEE0-D6DCB09717AC}">
      <text>
        <r>
          <rPr>
            <b/>
            <sz val="8"/>
            <color indexed="81"/>
            <rFont val="Tahoma"/>
            <family val="2"/>
          </rPr>
          <t>if empty, then ATM</t>
        </r>
      </text>
    </comment>
    <comment ref="B33" authorId="4" shapeId="0" xr:uid="{7695B3EB-C9B3-4AB5-A1B9-3986D9DBF7C5}">
      <text>
        <r>
          <rPr>
            <b/>
            <sz val="8"/>
            <color indexed="81"/>
            <rFont val="Tahoma"/>
            <family val="2"/>
          </rPr>
          <t>Optional: 1m or 3m
"1m" requires more computation but give more precise result</t>
        </r>
      </text>
    </comment>
    <comment ref="B36" authorId="1" shapeId="0" xr:uid="{C19FC2BE-C06E-41F8-8D01-739C14CC8DA4}">
      <text>
        <r>
          <rPr>
            <b/>
            <sz val="8"/>
            <color indexed="81"/>
            <rFont val="Tahoma"/>
            <family val="2"/>
          </rPr>
          <t>Optional - Discretization of the loss amounts</t>
        </r>
      </text>
    </comment>
    <comment ref="E38" authorId="0" shapeId="0" xr:uid="{A76D7334-D41E-4F9C-956E-79AC85DEC06F}">
      <text>
        <r>
          <rPr>
            <b/>
            <sz val="8"/>
            <color indexed="81"/>
            <rFont val="Tahoma"/>
            <family val="2"/>
          </rPr>
          <t>Beta Addon of each issuer with respect to the systemic factor, to be added to the Base beta for low and high strikes.</t>
        </r>
      </text>
    </comment>
    <comment ref="F38" authorId="1" shapeId="0" xr:uid="{4F7E3EE9-087A-4C57-B45B-0C5F82CF1D08}">
      <text>
        <r>
          <rPr>
            <b/>
            <sz val="8"/>
            <color indexed="81"/>
            <rFont val="Tahoma"/>
            <family val="2"/>
          </rPr>
          <t>Optional. Recovery Rate upon default or, is left blank, market recovery rate</t>
        </r>
      </text>
    </comment>
    <comment ref="G38" authorId="1" shapeId="0" xr:uid="{DC82836A-370F-4188-A252-99FBCD97D406}">
      <text>
        <r>
          <rPr>
            <b/>
            <sz val="8"/>
            <color indexed="81"/>
            <rFont val="Tahoma"/>
            <family val="2"/>
          </rPr>
          <t>Standard coupon spread expressed in bps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AMASCIA</author>
  </authors>
  <commentList>
    <comment ref="C6" authorId="0" shapeId="0" xr:uid="{5BBE2892-DE2E-43AC-A24E-BF2305CE5028}">
      <text>
        <r>
          <rPr>
            <b/>
            <sz val="8"/>
            <color indexed="81"/>
            <rFont val="Tahoma"/>
            <family val="2"/>
          </rPr>
          <t>Number of Monte Carlo simulations.
2000 to 5000 is sufficient to obtain a reasonably good convergence thanks to the combination of low-discrepancy random generators combined with control variate.</t>
        </r>
      </text>
    </comment>
    <comment ref="B21" authorId="0" shapeId="0" xr:uid="{AAF79560-96AD-4C2F-B98E-8DBAC6A0A4FE}">
      <text>
        <r>
          <rPr>
            <b/>
            <sz val="8"/>
            <color indexed="81"/>
            <rFont val="Tahoma"/>
            <family val="2"/>
          </rPr>
          <t>in % of outer portfolio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1" authorId="0" shapeId="0" xr:uid="{EA639A1E-6E40-4DF1-BF9F-558597612F2B}">
      <text>
        <r>
          <rPr>
            <b/>
            <sz val="8"/>
            <color indexed="81"/>
            <rFont val="Tahoma"/>
            <family val="2"/>
          </rPr>
          <t>In percentage of inner portfolio</t>
        </r>
      </text>
    </comment>
    <comment ref="B22" authorId="0" shapeId="0" xr:uid="{956AD361-4F24-4C71-9751-853769204D00}">
      <text>
        <r>
          <rPr>
            <b/>
            <sz val="8"/>
            <color indexed="81"/>
            <rFont val="Tahoma"/>
            <family val="2"/>
          </rPr>
          <t>in % of outer portfolio</t>
        </r>
        <r>
          <rPr>
            <sz val="8"/>
            <color indexed="81"/>
            <rFont val="Tahoma"/>
            <family val="2"/>
          </rPr>
          <t xml:space="preserve">
</t>
        </r>
      </text>
    </comment>
    <comment ref="D22" authorId="0" shapeId="0" xr:uid="{7672CDA1-0BE2-453C-909B-2089BFBF1739}">
      <text>
        <r>
          <rPr>
            <b/>
            <sz val="8"/>
            <color indexed="81"/>
            <rFont val="Tahoma"/>
            <family val="2"/>
          </rPr>
          <t>In percentage of inner portfolio</t>
        </r>
      </text>
    </comment>
    <comment ref="E37" authorId="0" shapeId="0" xr:uid="{20F35853-E7CE-49A9-8469-5FCD92E697A8}">
      <text>
        <r>
          <rPr>
            <b/>
            <sz val="8"/>
            <color indexed="81"/>
            <rFont val="Tahoma"/>
            <family val="2"/>
          </rPr>
          <t>in % of inner tranche</t>
        </r>
      </text>
    </comment>
    <comment ref="D39" authorId="0" shapeId="0" xr:uid="{4B8094FE-4B98-4553-AA89-171253AF745D}">
      <text>
        <r>
          <rPr>
            <b/>
            <sz val="8"/>
            <color indexed="81"/>
            <rFont val="Tahoma"/>
            <family val="2"/>
          </rPr>
          <t>By low discrepancy quasi monte carlo, with Faure algorythm.</t>
        </r>
      </text>
    </comment>
    <comment ref="D40" authorId="0" shapeId="0" xr:uid="{B5EB228A-CD2B-4F9A-A32A-98C9864D34C0}">
      <text>
        <r>
          <rPr>
            <b/>
            <sz val="8"/>
            <color indexed="81"/>
            <rFont val="Tahoma"/>
            <family val="2"/>
          </rPr>
          <t>By variance reduction  on Sum of Inner protections computed analytically from market distributions.
The variance reduction technique works well when the outer tranche is very large.</t>
        </r>
      </text>
    </comment>
    <comment ref="D45" authorId="0" shapeId="0" xr:uid="{039692E1-3876-403B-BC8C-FD47D78AC494}">
      <text>
        <r>
          <rPr>
            <b/>
            <sz val="8"/>
            <color indexed="81"/>
            <rFont val="Tahoma"/>
            <family val="2"/>
          </rPr>
          <t>The base correlation is coming from the smile, but the beta of each issuer can be adjusted by an add-on value.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<sst xmlns="http://schemas.openxmlformats.org/spreadsheetml/2006/main" count="2153" uniqueCount="508">
  <si>
    <t>CAC40</t>
  </si>
  <si>
    <t>FTSE</t>
  </si>
  <si>
    <t>SP500</t>
  </si>
  <si>
    <t>sigma</t>
  </si>
  <si>
    <t>delta</t>
  </si>
  <si>
    <t>gamma</t>
  </si>
  <si>
    <t>theta</t>
  </si>
  <si>
    <t>Call</t>
  </si>
  <si>
    <t>rate</t>
  </si>
  <si>
    <t>strike</t>
  </si>
  <si>
    <t>maturity</t>
  </si>
  <si>
    <t>spot</t>
  </si>
  <si>
    <t>dividend ?</t>
  </si>
  <si>
    <t>underlying</t>
  </si>
  <si>
    <t>option flag</t>
  </si>
  <si>
    <t>Monte Carlo</t>
  </si>
  <si>
    <t>call</t>
  </si>
  <si>
    <t>require</t>
  </si>
  <si>
    <t>optional</t>
  </si>
  <si>
    <t>result</t>
  </si>
  <si>
    <t>put</t>
  </si>
  <si>
    <t>BS Parameters</t>
  </si>
  <si>
    <t>MC Outputs</t>
  </si>
  <si>
    <t>BS Outputs</t>
  </si>
  <si>
    <t>option price</t>
  </si>
  <si>
    <t>portofolio price</t>
  </si>
  <si>
    <t>vega</t>
  </si>
  <si>
    <t>option position</t>
  </si>
  <si>
    <t>short</t>
  </si>
  <si>
    <t>long</t>
  </si>
  <si>
    <t>Put</t>
  </si>
  <si>
    <t>Short</t>
  </si>
  <si>
    <t>Long</t>
  </si>
  <si>
    <t>Option Flag</t>
  </si>
  <si>
    <t>Underlying</t>
  </si>
  <si>
    <t xml:space="preserve">option position </t>
  </si>
  <si>
    <t>Black Scholes BS</t>
  </si>
  <si>
    <t>Portefeuille Option BS</t>
  </si>
  <si>
    <t>Portefeuille Option</t>
  </si>
  <si>
    <t>BS MD Parameters</t>
  </si>
  <si>
    <t>BS MD Outputs</t>
  </si>
  <si>
    <t>Actual/365</t>
  </si>
  <si>
    <t>European 30/360</t>
  </si>
  <si>
    <t>Actual/360</t>
  </si>
  <si>
    <t>Cell Validation List</t>
  </si>
  <si>
    <t>US (NASD) 30/360</t>
  </si>
  <si>
    <t>Actual/Actual</t>
  </si>
  <si>
    <t>Parameter Date</t>
  </si>
  <si>
    <t>Swap Rates</t>
  </si>
  <si>
    <t>Currency Name</t>
  </si>
  <si>
    <t>Swap Basis</t>
  </si>
  <si>
    <t>FX Spot vs EUR</t>
  </si>
  <si>
    <t>Swap Period (months)</t>
  </si>
  <si>
    <t>1Y</t>
  </si>
  <si>
    <t>2Y</t>
  </si>
  <si>
    <t>3Y</t>
  </si>
  <si>
    <t>4Y</t>
  </si>
  <si>
    <t>5Y</t>
  </si>
  <si>
    <t>6Y</t>
  </si>
  <si>
    <t>7Y</t>
  </si>
  <si>
    <t>8Y</t>
  </si>
  <si>
    <t>9Y</t>
  </si>
  <si>
    <t>10Y</t>
  </si>
  <si>
    <t>15Y</t>
  </si>
  <si>
    <t>20Y</t>
  </si>
  <si>
    <t>JPY</t>
  </si>
  <si>
    <t>EUR</t>
  </si>
  <si>
    <t>USD</t>
  </si>
  <si>
    <t>Stripped Zero Coupon</t>
  </si>
  <si>
    <t>-</t>
  </si>
  <si>
    <t>CDS Date Convention</t>
  </si>
  <si>
    <t>CDS Ref. Maturity Date</t>
  </si>
  <si>
    <t>Enable Calculation</t>
  </si>
  <si>
    <t>Calibration Alert mode enabled ?</t>
  </si>
  <si>
    <t>Default Intensity Step</t>
  </si>
  <si>
    <t xml:space="preserve"> </t>
  </si>
  <si>
    <t>Market Spread Curve</t>
  </si>
  <si>
    <t>Default Probabilities</t>
  </si>
  <si>
    <t>Default Probabilities with Shocked Curve</t>
  </si>
  <si>
    <t>Issuer</t>
  </si>
  <si>
    <t>Issuer Name</t>
  </si>
  <si>
    <t>Market</t>
  </si>
  <si>
    <t>Currency</t>
  </si>
  <si>
    <t>3M</t>
  </si>
  <si>
    <t>6M</t>
  </si>
  <si>
    <t>Recovery</t>
  </si>
  <si>
    <t>ABNAMRO_MMR.EUR.SU</t>
  </si>
  <si>
    <t/>
  </si>
  <si>
    <t>Accor_MMR.EUR.SU</t>
  </si>
  <si>
    <t>Adecco_MMR.EUR.SU</t>
  </si>
  <si>
    <t>Aegon_MMR.EUR.SU</t>
  </si>
  <si>
    <t>quantity</t>
  </si>
  <si>
    <t>Black Scholes MD</t>
  </si>
  <si>
    <t>AkzoNobel_MMR.EUR.SU</t>
  </si>
  <si>
    <t>Allianz_MMR.EUR.SU</t>
  </si>
  <si>
    <t>Altadis_MMR.EUR.SU</t>
  </si>
  <si>
    <t>ArcelorFinanceSca_MMR.EUR.SU</t>
  </si>
  <si>
    <t>Auchan_MMR.EUR.SU</t>
  </si>
  <si>
    <t>Aviva_MMR.EUR.SU</t>
  </si>
  <si>
    <t>AXA_MMR.EUR.SU</t>
  </si>
  <si>
    <t>BancoEspiritoSanto_MMR.EUR.SU</t>
  </si>
  <si>
    <t>Barclays_MMR.EUR.SU</t>
  </si>
  <si>
    <t>BASF_MMR.EUR.SU</t>
  </si>
  <si>
    <t>BAT_MMR.EUR.SU</t>
  </si>
  <si>
    <t>Bayer_MMR.EUR.SU</t>
  </si>
  <si>
    <t>BBVA_MMR.EUR.SU</t>
  </si>
  <si>
    <t>BertelsmannAG_MMR.EUR.SU</t>
  </si>
  <si>
    <t>BMW_MMR.EUR.SU</t>
  </si>
  <si>
    <t>BNPParibas_MMR.EUR.SU</t>
  </si>
  <si>
    <t>BritishTelecom_MMR.EUR.SU</t>
  </si>
  <si>
    <t>BSCH_MMR.EUR.SU</t>
  </si>
  <si>
    <t>CadburySchweppes_MMR.EUR.SU</t>
  </si>
  <si>
    <t>Capitalia_MMR.EUR.SU</t>
  </si>
  <si>
    <t>Carrefour_MMR.EUR.SU</t>
  </si>
  <si>
    <t>CasinoGuichard_MMR.EUR.SU</t>
  </si>
  <si>
    <t>Centrica_MMR.EUR.SU</t>
  </si>
  <si>
    <t>Cibasc_MMR.EUR.SU</t>
  </si>
  <si>
    <t>Commerzbank_MMR.EUR.SU</t>
  </si>
  <si>
    <t>Compass_MMR.EUR.SU</t>
  </si>
  <si>
    <t>Continental_MMR.EUR.SU</t>
  </si>
  <si>
    <t>CreditAgricole_MMR.EUR.SU</t>
  </si>
  <si>
    <t>CreditSuisseGroup_MMR.EUR.SU</t>
  </si>
  <si>
    <t>DaimlerChrysler_MMR.EUR.SU</t>
  </si>
  <si>
    <t>Danone_MMR.EUR.SU</t>
  </si>
  <si>
    <t>DeutscheBank_MMR.EUR.SU</t>
  </si>
  <si>
    <t>DeutschePostAG_MMR.EUR.SU</t>
  </si>
  <si>
    <t>DeutscheTelekom_MMR.EUR.SU</t>
  </si>
  <si>
    <t>Diageo_MMR.EUR.SU</t>
  </si>
  <si>
    <t>DixonsGroupPlc_MMR.EUR.SU</t>
  </si>
  <si>
    <t>DSM_MMR.EUR.SU</t>
  </si>
  <si>
    <t>EADS_MMR.EUR.SU</t>
  </si>
  <si>
    <t>EDF_MMR.EUR.SU</t>
  </si>
  <si>
    <t>Edison_MMR.EUR.SU</t>
  </si>
  <si>
    <t>ElectricitedePortugal_MMR.EUR.SU</t>
  </si>
  <si>
    <t>Electrolux_MMR.EUR.SU</t>
  </si>
  <si>
    <t>Endesa_MMR.EUR.SU</t>
  </si>
  <si>
    <t>ENEL_MMR.EUR.SU</t>
  </si>
  <si>
    <t>EnergieBadenWuerttemberg_MMR.EUR.SU</t>
  </si>
  <si>
    <t>Eon_MMR.EUR.SU</t>
  </si>
  <si>
    <t>FortumOyj_MMR.EUR.SU</t>
  </si>
  <si>
    <t>FranceTelecom_MMR.EUR.SU</t>
  </si>
  <si>
    <t>GallaherGroupPlc_MMR.EUR.SU</t>
  </si>
  <si>
    <t>GasNaturalSdgSa_MMR.EUR.SU</t>
  </si>
  <si>
    <t>GazdeFrance_MMR.EUR.SU</t>
  </si>
  <si>
    <t>Generali_MMR.EUR.SU</t>
  </si>
  <si>
    <t>GKN Holdings  Plc_MMR.EUR.SU</t>
  </si>
  <si>
    <t>GlencoreIntAG_MMR.EUR.SU</t>
  </si>
  <si>
    <t>GreatUniversalStores_MMR.EUR.SU</t>
  </si>
  <si>
    <t>HannoverRueck_MMR.EUR.SU</t>
  </si>
  <si>
    <t>Hellenic Telcom_MMR.EUR.SU</t>
  </si>
  <si>
    <t>HenkelKG_MMR.EUR.SU</t>
  </si>
  <si>
    <t>Iberdrola_MMR.EUR.SU</t>
  </si>
  <si>
    <t>ICI_MMR.EUR.SU</t>
  </si>
  <si>
    <t>Intesa_MMR.EUR.SU</t>
  </si>
  <si>
    <t>Kingfisher_MMR.EUR.SU</t>
  </si>
  <si>
    <t>Kpn_MMR.EUR.SU</t>
  </si>
  <si>
    <t>Lafarge_MMR.EUR.SU</t>
  </si>
  <si>
    <t>Linde_MMR.EUR.SU</t>
  </si>
  <si>
    <t>Lufthansa_MMR.EUR.SU</t>
  </si>
  <si>
    <t>LVMH_MMR.EUR.SU</t>
  </si>
  <si>
    <t>MarksandSpencerPLC_MMR.EUR.SU</t>
  </si>
  <si>
    <t>Metro_MMR.EUR.SU</t>
  </si>
  <si>
    <t>Michelin_MMR.EUR.SU</t>
  </si>
  <si>
    <t>MonteDeiPaschi_MMR.EUR.SU</t>
  </si>
  <si>
    <t>MunichRe_MMR.EUR.SU</t>
  </si>
  <si>
    <t>NationalGridTranscoPlc_MMR.EUR.SU</t>
  </si>
  <si>
    <t>NextPlc_MMR.EUR.SU</t>
  </si>
  <si>
    <t>Pearson_MMR.EUR.SU</t>
  </si>
  <si>
    <t>Peugeot_MMR.EUR.SU</t>
  </si>
  <si>
    <t>PhilipsElec_MMR.EUR.SU</t>
  </si>
  <si>
    <t>PinaultPrintemps_MMR.EUR.SU</t>
  </si>
  <si>
    <t>PortugalTelecom_MMR.EUR.SU</t>
  </si>
  <si>
    <t>ReedElsevier_MMR.EUR.SU</t>
  </si>
  <si>
    <t>Renault_MMR.EUR.SU</t>
  </si>
  <si>
    <t>Repsol_MMR.EUR.SU</t>
  </si>
  <si>
    <t>Reuters_MMR.EUR.SU</t>
  </si>
  <si>
    <t>RoyalBankScotland_MMR.EUR.SU</t>
  </si>
  <si>
    <t>Rwe_MMR.EUR.SU</t>
  </si>
  <si>
    <t>SafewayPlc_MMR.EUR.SU</t>
  </si>
  <si>
    <t>SanofiAventis_MMR.EUR.SU</t>
  </si>
  <si>
    <t>Siemens_MMR.EUR.SU</t>
  </si>
  <si>
    <t>SodexhoAlliance_MMR.EUR.SU</t>
  </si>
  <si>
    <t>Solvay_MMR.EUR.SU</t>
  </si>
  <si>
    <t>StGobain_MMR.EUR.SU</t>
  </si>
  <si>
    <t>StMicro_MMR.EUR.SU</t>
  </si>
  <si>
    <t>SuedzuckerAg_MMR.EUR.SU</t>
  </si>
  <si>
    <t>SuezLyonnaise_MMR.EUR.SU</t>
  </si>
  <si>
    <t>SvenskaCellulosaAB_MMR.EUR.SU</t>
  </si>
  <si>
    <t>SWISSRE_MMR.EUR.SU</t>
  </si>
  <si>
    <t>Tate&amp;Lyle_MMR.EUR.SU</t>
  </si>
  <si>
    <t>TelecomItalia_MMR.EUR.SU</t>
  </si>
  <si>
    <t>Telefonica_MMR.EUR.SU</t>
  </si>
  <si>
    <t>TelekomAustria_MMR.EUR.SU</t>
  </si>
  <si>
    <t>Telenor_MMR.EUR.SU</t>
  </si>
  <si>
    <t>Telia_MMR.EUR.SU</t>
  </si>
  <si>
    <t>Tesco_MMR.EUR.SU</t>
  </si>
  <si>
    <t>ThyssenKruppAG_MMR.EUR.SU</t>
  </si>
  <si>
    <t>UBS_MMR.EUR.SU</t>
  </si>
  <si>
    <t>UnicreditoItaliano_MMR.EUR.SU</t>
  </si>
  <si>
    <t>Unilever_MMR.EUR.SU</t>
  </si>
  <si>
    <t>UnionFenosa_MMR.EUR.SU</t>
  </si>
  <si>
    <t>UnitedUtilities_MMR.EUR.SU</t>
  </si>
  <si>
    <t>UpmKymmene_MMR.EUR.SU</t>
  </si>
  <si>
    <t>Valeo_MMR.EUR.SU</t>
  </si>
  <si>
    <t>VattenfallAB_MMR.EUR.SU</t>
  </si>
  <si>
    <t>VeoliaEnvironnement_MMR.EUR.SU</t>
  </si>
  <si>
    <t>Vinci_MMR.EUR.SU</t>
  </si>
  <si>
    <t>Vivendi_MMR.EUR.SU</t>
  </si>
  <si>
    <t>Vodafone_MMR.EUR.SU</t>
  </si>
  <si>
    <t>Volvo_MMR.EUR.SU</t>
  </si>
  <si>
    <t>VW_MMR.EUR.SU</t>
  </si>
  <si>
    <t>WoltersKluwerCVA_MMR.EUR.SU</t>
  </si>
  <si>
    <t>WPPgroup_MMR.EUR.SU</t>
  </si>
  <si>
    <t>ZurichInsurance_MMR.EUR.SU</t>
  </si>
  <si>
    <t>AceLtd_NR.USD.SU</t>
  </si>
  <si>
    <t>Aetna_NR.USD.SU</t>
  </si>
  <si>
    <t>AIG_NR.USD.SU</t>
  </si>
  <si>
    <t>Alcan_NR.USD.SU</t>
  </si>
  <si>
    <t>Alcoa_NR.USD.SU</t>
  </si>
  <si>
    <t>AllstateCorp_NR.USD.SU</t>
  </si>
  <si>
    <t>AmericanElec_NR.USD.SU</t>
  </si>
  <si>
    <t>AmericanExpress_NR.USD.SU</t>
  </si>
  <si>
    <t>Amgen_NR.USD.SU</t>
  </si>
  <si>
    <t>AnadarkoPetroleum_NR.USD.SU</t>
  </si>
  <si>
    <t>AOL_NR.USD.SU</t>
  </si>
  <si>
    <t>ArrowElectronics_NR.USD.SU</t>
  </si>
  <si>
    <t>Autozone_NR.USD.SU</t>
  </si>
  <si>
    <t>BaxterInternational_NR.USD.SU</t>
  </si>
  <si>
    <t>BeloCorp_NR.USD.SU</t>
  </si>
  <si>
    <t>BoeingCapital_NR.USD.SU</t>
  </si>
  <si>
    <t>BristolMyersSquibb_NR.USD.SU</t>
  </si>
  <si>
    <t>BurlingtonNorthSF_NR.USD.SU</t>
  </si>
  <si>
    <t>CampbellSoup_NR.USD.SU</t>
  </si>
  <si>
    <t>CapitalOnebank_NR.USD.SU</t>
  </si>
  <si>
    <t>CardinalHealth_NR.USD.SU</t>
  </si>
  <si>
    <t>Carnival_NR.USD.SU</t>
  </si>
  <si>
    <t>Caterpillar_NR.USD.SU</t>
  </si>
  <si>
    <t>CBSCorp_NR.USD.SU</t>
  </si>
  <si>
    <t>CentexCorp_NR.USD.SU</t>
  </si>
  <si>
    <t>Centurytel_NR.USD.SU</t>
  </si>
  <si>
    <t>ChubbCorp_NR.USD.SU</t>
  </si>
  <si>
    <t>CignaCorp_NR.USD.SU</t>
  </si>
  <si>
    <t>CingularWireless_NR.USD.SU</t>
  </si>
  <si>
    <t>CITgroup_NR.USD.SU</t>
  </si>
  <si>
    <t>ComcastCorp_NR.USD.SU</t>
  </si>
  <si>
    <t>ComputerSciencesCorp_NR.USD.SU</t>
  </si>
  <si>
    <t>ConAgraFoods_NR.USD.SU</t>
  </si>
  <si>
    <t>ConocoPhillips_NR.USD.SU</t>
  </si>
  <si>
    <t>ConstellationEnergyGroup_NR.USD.SU</t>
  </si>
  <si>
    <t>CountrywideHomeLoan_NR.USD.SU</t>
  </si>
  <si>
    <t>CoxCommunications_NR.USD.SU</t>
  </si>
  <si>
    <t>CSXCorp_NR.USD.SU</t>
  </si>
  <si>
    <t>CVSCorp_NR.USD.SU</t>
  </si>
  <si>
    <t>DardenRestaurantsInc_NR.USD.SU</t>
  </si>
  <si>
    <t>Deere_NR.USD.SU</t>
  </si>
  <si>
    <t>DevonEnergyCorp_NR.USD.SU</t>
  </si>
  <si>
    <t>DominionResourcesInc_NR.USD.SU</t>
  </si>
  <si>
    <t>DowChemical_NR.USD.SU</t>
  </si>
  <si>
    <t>DukeEnergy_NR.USD.SU</t>
  </si>
  <si>
    <t>DupontdeNemours_NR.USD.SU</t>
  </si>
  <si>
    <t>EastmanChemical_NR.USD.SU</t>
  </si>
  <si>
    <t>EmbarqCorp_NR.USD.SU</t>
  </si>
  <si>
    <t>FannieMae_NR.USD.SU</t>
  </si>
  <si>
    <t>FedDeptStores_NR.USD.SU</t>
  </si>
  <si>
    <t>FederalHomeLoanMortgageCorp_NR.USD.SU</t>
  </si>
  <si>
    <t>FirstEnergyCorp_NR.USD.SU</t>
  </si>
  <si>
    <t>FortuneBrandsInc_NR.USD.SU</t>
  </si>
  <si>
    <t>GannetCoInc_NR.USD.SU</t>
  </si>
  <si>
    <t>GeneralElectric_NR.USD.SU</t>
  </si>
  <si>
    <t>GeneralMillsInc_NR.USD.SU</t>
  </si>
  <si>
    <t>Goodrich_NR.USD.SU</t>
  </si>
  <si>
    <t>Halliburton_NR.USD.SU</t>
  </si>
  <si>
    <t>HartfordFinServices_NR.USD.SU</t>
  </si>
  <si>
    <t>HewlettPackard_NR.USD.SU</t>
  </si>
  <si>
    <t>HomeDepotInc_NR.USD.SU</t>
  </si>
  <si>
    <t>HoneyWellInt_NR.USD.SU</t>
  </si>
  <si>
    <t>Ibm_NR.USD.SU</t>
  </si>
  <si>
    <t>Ingersoll_NR.USD.SU</t>
  </si>
  <si>
    <t>InteractiveCorp_NR.USD.SU</t>
  </si>
  <si>
    <t>InternationalLeaseFinance_NR.USD.SU</t>
  </si>
  <si>
    <t>InternationalPaper_NR.USD.SU</t>
  </si>
  <si>
    <t>iStarFinancial_NR.USD.SU</t>
  </si>
  <si>
    <t>JCPenney_NR.USD.SU</t>
  </si>
  <si>
    <t>JonesApparelGrp_NR.USD.SU</t>
  </si>
  <si>
    <t>KraftFoodsInc_NR.USD.SU</t>
  </si>
  <si>
    <t>KrogerCo_NR.USD.SU</t>
  </si>
  <si>
    <t>LennarCorp_NR.USD.SU</t>
  </si>
  <si>
    <t>LimitedBrands_NR.USD.SU</t>
  </si>
  <si>
    <t>LizClaiborne_NR.USD.SU</t>
  </si>
  <si>
    <t>LockheedMartin_NR.USD.SU</t>
  </si>
  <si>
    <t>LoewsCorp_NR.USD.SU</t>
  </si>
  <si>
    <t>Marriott_NR.USD.SU</t>
  </si>
  <si>
    <t>Marsh&amp;MclennanCos_NR.USD.SU</t>
  </si>
  <si>
    <t>MBIAInsurance_NR.USD.SU</t>
  </si>
  <si>
    <t>McDonalds_NR.USD.SU</t>
  </si>
  <si>
    <t>McKessonCorp_NR.USD.SU</t>
  </si>
  <si>
    <t>MeadWestvaco_NR.USD.SU</t>
  </si>
  <si>
    <t>MetlifeInc_NR.USD.SU</t>
  </si>
  <si>
    <t>Motorola_NR.USD.SU</t>
  </si>
  <si>
    <t>NationalRuralUtilCoop_NR.USD.SU</t>
  </si>
  <si>
    <t>NewellRubbermaid_NR.USD.SU</t>
  </si>
  <si>
    <t>NewsAmerica_NR.USD.SU</t>
  </si>
  <si>
    <t>Nordstrom Inc_NR.USD.SU</t>
  </si>
  <si>
    <t>NorfolkSouthernCorp_NR.USD.SU</t>
  </si>
  <si>
    <t>NorthropGrummanCorp_NR.USD.SU</t>
  </si>
  <si>
    <t>Omnicom_NR.USD.SU</t>
  </si>
  <si>
    <t>PhilipMorris_NR.USD.SU</t>
  </si>
  <si>
    <t>ProgressEnergyInc_NR.USD.SU</t>
  </si>
  <si>
    <t>PulteHomesInc_NR.USD.SU</t>
  </si>
  <si>
    <t>QuestDiagnosticsInc_NR.USD.SU</t>
  </si>
  <si>
    <t>RadianGroupInc_NR.USD.SU</t>
  </si>
  <si>
    <t>Raytheon_NR.USD.SU</t>
  </si>
  <si>
    <t>RohmandHaas_NR.USD.SU</t>
  </si>
  <si>
    <t>RrDonnelley&amp;SonsCo_NR.USD.SU</t>
  </si>
  <si>
    <t>SafewayInc_NR.USD.SU</t>
  </si>
  <si>
    <t>SaraLee_NR.USD.SU</t>
  </si>
  <si>
    <t>SBCComm_NR.USD.SU</t>
  </si>
  <si>
    <t>SempraEnergy_NR.USD.SU</t>
  </si>
  <si>
    <t>SherwinWilliams_NR.USD.SU</t>
  </si>
  <si>
    <t>SimonPropertyGroupLP_NR.USD.SU</t>
  </si>
  <si>
    <t>SouthwestAirlines_NR.USD.SU</t>
  </si>
  <si>
    <t>SprintCorp_NR.USD.SU</t>
  </si>
  <si>
    <t>Starwood_NR.USD.SU</t>
  </si>
  <si>
    <t>TargetCorp_NR.USD.SU</t>
  </si>
  <si>
    <t>TextronFinancialCorp_NR.USD.SU</t>
  </si>
  <si>
    <t>TollBrothersInc_NR.USD.SU</t>
  </si>
  <si>
    <t>TransoceanSedco_NR.USD.SU</t>
  </si>
  <si>
    <t>UnionPacificCorp_NR.USD.SU</t>
  </si>
  <si>
    <t>UniversalHealthServices_NR.USD.SU</t>
  </si>
  <si>
    <t>Valero_NR.USD.SU</t>
  </si>
  <si>
    <t>VerizonCommunicationsInc_NR.USD.SU</t>
  </si>
  <si>
    <t>WalMart_NR.USD.SU</t>
  </si>
  <si>
    <t>WaltDisney_NR.USD.SU</t>
  </si>
  <si>
    <t>WashingtonMutualInc_NR.USD.SU</t>
  </si>
  <si>
    <t>WellsFargo_NR.USD.SU</t>
  </si>
  <si>
    <t>WeyerhaeuserCo_NR.USD.SU</t>
  </si>
  <si>
    <t>Whirlpool_NR.USD.SU</t>
  </si>
  <si>
    <t>Wyeth_NR.USD.SU</t>
  </si>
  <si>
    <t>XLCapitalLtd_NR.USD.SU</t>
  </si>
  <si>
    <t>TollBrothersInc.USD.SU</t>
  </si>
  <si>
    <t>LimitedBrands.USD.SU</t>
  </si>
  <si>
    <t>BritishAirways_MMR.EUR.SU</t>
  </si>
  <si>
    <t>BAA PLC_MMR.EUR.SU</t>
  </si>
  <si>
    <t>LizClaiborne.USD.SU</t>
  </si>
  <si>
    <t>FortuneBrandsInc.USD.SU</t>
  </si>
  <si>
    <t>CBSCorp.USD.SU</t>
  </si>
  <si>
    <t>CapitalOneFinancial.USD.SU</t>
  </si>
  <si>
    <t>Prologis.USD.SU</t>
  </si>
  <si>
    <t>QantasAirways.USD.SU</t>
  </si>
  <si>
    <t>PetroleosMex.USD.SU</t>
  </si>
  <si>
    <t>WashingtonMutualInc.USD.SB</t>
  </si>
  <si>
    <t>NorthernRock_MMR.EUR.SU</t>
  </si>
  <si>
    <t>IslandsbankiHF_MMR.EUR.SU</t>
  </si>
  <si>
    <t>XLCapitalLtd.USD.SU</t>
  </si>
  <si>
    <t>Carnival.USD.SU</t>
  </si>
  <si>
    <t>ResonaBank.USD.SU</t>
  </si>
  <si>
    <t>ScheringPloughCorp.USD.SU</t>
  </si>
  <si>
    <t>Bouygues_MMR.EUR.SU</t>
  </si>
  <si>
    <t>ABBIntlFinanceLtd_MMR.EUR.SU</t>
  </si>
  <si>
    <t>Scania_MMR.EUR.SU</t>
  </si>
  <si>
    <t>Omnicom.USD.SU</t>
  </si>
  <si>
    <t>CITgroup.USD.SU</t>
  </si>
  <si>
    <t>AngloIrishBankCorp_MMR.EUR.SU</t>
  </si>
  <si>
    <t>Commerzbank_MMR.EUR.SB</t>
  </si>
  <si>
    <t>UnibailHolding_MMR.EUR.SU</t>
  </si>
  <si>
    <t>Nordstrom Inc.USD.SU</t>
  </si>
  <si>
    <t>SBCComm.USD.SU</t>
  </si>
  <si>
    <t>Telstra.USD.SU</t>
  </si>
  <si>
    <t>TCNZFin.USD.SU</t>
  </si>
  <si>
    <t>KraftFoodsInc.USD.SU</t>
  </si>
  <si>
    <t>Cargill.USD.SU</t>
  </si>
  <si>
    <t>AutoStrade_MMR.EUR.SU</t>
  </si>
  <si>
    <t>Caterpillar.USD.SU</t>
  </si>
  <si>
    <t>AngloAmerican_MMR.EUR.SU</t>
  </si>
  <si>
    <t>VerizonCommunicationsInc.USD.SU</t>
  </si>
  <si>
    <t>AirLiquide_MMR.EUR.SU</t>
  </si>
  <si>
    <t>MerrillLynch.USD.SU</t>
  </si>
  <si>
    <t>AlliedIrishBanks_MMR.EUR.SB</t>
  </si>
  <si>
    <t>SuncorpMetway.USD.SU</t>
  </si>
  <si>
    <t>SumitomoBk.USD.SB</t>
  </si>
  <si>
    <t>AXA.EUR.SB</t>
  </si>
  <si>
    <t>Aegon.EUR.SB</t>
  </si>
  <si>
    <t>AmericanExpress.USD.SU</t>
  </si>
  <si>
    <t>LehmanBrosHldg.USD.SB</t>
  </si>
  <si>
    <t>Intelcorp.USD.SU</t>
  </si>
  <si>
    <t>BHPBillitonLtd.USD.SU</t>
  </si>
  <si>
    <t>BristolMyersSquibb.USD.SU</t>
  </si>
  <si>
    <t>GoldmanSachs.USD.SU</t>
  </si>
  <si>
    <t>HouseholdFinance.USD.SU</t>
  </si>
  <si>
    <t>CreditAgricole_MMR.EUR.SB</t>
  </si>
  <si>
    <t>SWISSRE.EUR.SB</t>
  </si>
  <si>
    <t>MunichRe.EUR.SB</t>
  </si>
  <si>
    <t>HannoverRueck.EUR.SB</t>
  </si>
  <si>
    <t>ZurichInsurance.EUR.SB</t>
  </si>
  <si>
    <t>JPMorganChaseCorp.USD.SB</t>
  </si>
  <si>
    <t>InternationalLeaseFinance.USD.SU</t>
  </si>
  <si>
    <t>MorganStanleyDeanWitter.USD.SB</t>
  </si>
  <si>
    <t>NordeaBk_MMR.EUR.SB</t>
  </si>
  <si>
    <t>FederalHomeLoanMortgageCorp.USD.SB</t>
  </si>
  <si>
    <t>FannieMae.USD.SB</t>
  </si>
  <si>
    <t>Medtronic.USD.SU</t>
  </si>
  <si>
    <t>Investor_MMR.EUR.SU</t>
  </si>
  <si>
    <t>Legal&amp;General_MMR.EUR.SU</t>
  </si>
  <si>
    <t>BOA.USD.SB</t>
  </si>
  <si>
    <t>Citigroup.USD.SB</t>
  </si>
  <si>
    <t>Barclays_MMR.EUR.SB</t>
  </si>
  <si>
    <t>BSCH_MMR.EUR.SB</t>
  </si>
  <si>
    <t>UBS_MMR.EUR.SB</t>
  </si>
  <si>
    <t>NatAustralianBk.USD.SB</t>
  </si>
  <si>
    <t>Generali.EUR.SB</t>
  </si>
  <si>
    <t>Allianz.EUR.SB</t>
  </si>
  <si>
    <t>AIG.USD.SU</t>
  </si>
  <si>
    <t>Dexia_MMR.EUR.SU</t>
  </si>
  <si>
    <t>AbbeyNational_MMR.EUR.SU</t>
  </si>
  <si>
    <t>INGBank_MMR.EUR.SB</t>
  </si>
  <si>
    <t>NatexisBank_MMR.EUR.SU</t>
  </si>
  <si>
    <t>BNPParibas_MMR.EUR.SB</t>
  </si>
  <si>
    <t>WellsFargo.USD.SB</t>
  </si>
  <si>
    <t>AmbacAssurance.USD.SU</t>
  </si>
  <si>
    <t>GeneralElectric.USD.SU</t>
  </si>
  <si>
    <t>TrueFalseList</t>
  </si>
  <si>
    <t>Curves Points</t>
  </si>
  <si>
    <t>Curve points</t>
  </si>
  <si>
    <t>Calculate ?</t>
  </si>
  <si>
    <t>IssuerID</t>
  </si>
  <si>
    <t>Name</t>
  </si>
  <si>
    <t>dT</t>
  </si>
  <si>
    <t>Prob Def</t>
  </si>
  <si>
    <t>Lambda</t>
  </si>
  <si>
    <t>ParamDate</t>
  </si>
  <si>
    <t>Option Position</t>
  </si>
  <si>
    <t>Issuer ID or Name</t>
  </si>
  <si>
    <t>Maturity</t>
  </si>
  <si>
    <t>Maturity Date</t>
  </si>
  <si>
    <t>Spread</t>
  </si>
  <si>
    <t>NPV (Dirty)</t>
  </si>
  <si>
    <t>FloatLeg</t>
  </si>
  <si>
    <t>FX Correl</t>
  </si>
  <si>
    <t>FixedLeg</t>
  </si>
  <si>
    <t>FX Vol</t>
  </si>
  <si>
    <t>ATM spread</t>
  </si>
  <si>
    <t>BPV</t>
  </si>
  <si>
    <t>Coupon Period</t>
  </si>
  <si>
    <t>Comp. time</t>
  </si>
  <si>
    <t>Coupon Convention</t>
  </si>
  <si>
    <t>LongFirst</t>
  </si>
  <si>
    <t>Coupon Last Settle</t>
  </si>
  <si>
    <t>IsAmericanFloatLeg</t>
  </si>
  <si>
    <t>IsAmericanFixedLeg</t>
  </si>
  <si>
    <t>With Greeks</t>
  </si>
  <si>
    <t>Hedging CDS</t>
  </si>
  <si>
    <t>Integration Period</t>
  </si>
  <si>
    <t>1m</t>
  </si>
  <si>
    <t xml:space="preserve">Calculation ? </t>
  </si>
  <si>
    <t>Inputs</t>
  </si>
  <si>
    <t>Ouputs</t>
  </si>
  <si>
    <t>CDS</t>
  </si>
  <si>
    <t>Maturity Date (FYI)</t>
  </si>
  <si>
    <t>Cpn period</t>
  </si>
  <si>
    <t>3m</t>
  </si>
  <si>
    <t>No.</t>
  </si>
  <si>
    <t>Cpn convention</t>
  </si>
  <si>
    <t>Cpn last settle</t>
  </si>
  <si>
    <t>Number of Issuers</t>
  </si>
  <si>
    <t>Sum of weights</t>
  </si>
  <si>
    <t>Low Strike</t>
  </si>
  <si>
    <t>High Strike</t>
  </si>
  <si>
    <t>Low Correl</t>
  </si>
  <si>
    <t>High Correl</t>
  </si>
  <si>
    <t>Spread Reference</t>
  </si>
  <si>
    <t>dBeta</t>
  </si>
  <si>
    <t>Def Prob Multiplier</t>
  </si>
  <si>
    <t>Loss Unit</t>
  </si>
  <si>
    <t>Nominal</t>
  </si>
  <si>
    <t>Beta Addon</t>
  </si>
  <si>
    <t>MC Path</t>
  </si>
  <si>
    <t>InterpolateBeta</t>
  </si>
  <si>
    <t>Expected Recovery</t>
  </si>
  <si>
    <t>Number Of Names</t>
  </si>
  <si>
    <t>ShortFirst</t>
  </si>
  <si>
    <t>Outer</t>
  </si>
  <si>
    <t>Inner Tranches</t>
  </si>
  <si>
    <t>Tranche ID</t>
  </si>
  <si>
    <t>high Strike</t>
  </si>
  <si>
    <t>Weight</t>
  </si>
  <si>
    <t>Correlation</t>
  </si>
  <si>
    <t>Inner Correlation Smile</t>
  </si>
  <si>
    <t>CrossSubordination</t>
  </si>
  <si>
    <t>Strike</t>
  </si>
  <si>
    <t>Inner (PV)</t>
  </si>
  <si>
    <t>PV</t>
  </si>
  <si>
    <t>Quasi MonteCarlo</t>
  </si>
  <si>
    <t>Variance Reduction</t>
  </si>
  <si>
    <t>Inner Inclusion</t>
  </si>
  <si>
    <t>Issuer ID</t>
  </si>
  <si>
    <t>Names</t>
  </si>
  <si>
    <t>Notional</t>
  </si>
  <si>
    <t>bpv</t>
  </si>
  <si>
    <t>Total value (%)</t>
  </si>
  <si>
    <t>Delta</t>
  </si>
  <si>
    <t>Total value (cash)</t>
  </si>
  <si>
    <t>NPV (ref)</t>
  </si>
  <si>
    <t>Delta from Index</t>
  </si>
  <si>
    <t>Delta PV</t>
  </si>
  <si>
    <t>Delta Single Name</t>
  </si>
  <si>
    <t>Spread Deltta</t>
  </si>
  <si>
    <t>Spread Mult.</t>
  </si>
  <si>
    <t>Delta Value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</si>
</sst>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7">
    <numFmt numFmtId="164" formatCode="0.000"/>
    <numFmt numFmtId="165" formatCode="0.000%"/>
    <numFmt numFmtId="166" formatCode="[$-409]d\-mmm\-yy;@"/>
    <numFmt numFmtId="167" formatCode="0.0000%"/>
    <numFmt numFmtId="168" formatCode="0.00000000"/>
    <numFmt numFmtId="169" formatCode="h:mm:ss;@"/>
    <numFmt numFmtId="170" formatCode="0.00000000%"/>
    <numFmt numFmtId="171" formatCode="0.000000000%"/>
    <numFmt numFmtId="172" formatCode="0.0000000000%"/>
    <numFmt numFmtId="173" formatCode="[$-409]dd\-mmm\-yy;@"/>
    <numFmt numFmtId="174" formatCode="yyyy\-mm\-dd;@"/>
    <numFmt numFmtId="175" formatCode="0.0000000000000000"/>
    <numFmt numFmtId="176" formatCode="0.0%"/>
    <numFmt numFmtId="177" formatCode="[$-F400]h:mm:ss\ AM/PM"/>
    <numFmt numFmtId="178" formatCode="0.0000"/>
    <numFmt numFmtId="179" formatCode="0.00000"/>
    <numFmt numFmtId="180" formatCode="0.000000000000000"/>
  </numFmts>
  <fonts count="44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10"/>
      <name val="Arial"/>
      <family val="2"/>
    </font>
    <font>
      <sz val="10"/>
      <color theme="1"/>
      <name val="Arial"/>
      <family val="2"/>
    </font>
    <font>
      <sz val="24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color rgb="FF00B050"/>
      <name val="Calibri"/>
      <family val="2"/>
      <scheme val="minor"/>
    </font>
    <font>
      <sz val="10"/>
      <color rgb="FFFF0000"/>
      <name val="Calibri"/>
      <family val="2"/>
      <scheme val="minor"/>
    </font>
    <font>
      <sz val="10"/>
      <color rgb="FF7030A0"/>
      <name val="Calibri"/>
      <family val="2"/>
      <scheme val="minor"/>
    </font>
    <font>
      <sz val="11"/>
      <color theme="1"/>
      <name val="Calibri Light"/>
      <family val="2"/>
      <scheme val="major"/>
    </font>
    <font>
      <b/>
      <sz val="10"/>
      <color theme="1"/>
      <name val="Calibri"/>
      <family val="2"/>
      <scheme val="minor"/>
    </font>
    <font>
      <sz val="10"/>
      <color rgb="FFFF0000"/>
      <name val="Calibri Light"/>
      <family val="2"/>
      <scheme val="major"/>
    </font>
    <font>
      <sz val="10"/>
      <color rgb="FF7030A0"/>
      <name val="Calibri Light"/>
      <family val="2"/>
      <scheme val="major"/>
    </font>
    <font>
      <sz val="11"/>
      <color rgb="FFFF0000"/>
      <name val="Calibri"/>
      <family val="2"/>
      <scheme val="minor"/>
    </font>
    <font>
      <sz val="11"/>
      <color rgb="FF7030A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000000"/>
      <name val="Calibri"/>
      <family val="2"/>
    </font>
    <font>
      <b/>
      <sz val="8"/>
      <color indexed="9"/>
      <name val="Arial"/>
      <family val="2"/>
    </font>
    <font>
      <b/>
      <sz val="8"/>
      <color indexed="10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8"/>
      <color indexed="10"/>
      <name val="Arial"/>
      <family val="2"/>
    </font>
    <font>
      <sz val="8"/>
      <color indexed="12"/>
      <name val="Arial"/>
      <family val="2"/>
    </font>
    <font>
      <sz val="8"/>
      <color indexed="17"/>
      <name val="Arial"/>
      <family val="2"/>
    </font>
    <font>
      <sz val="8"/>
      <color indexed="9"/>
      <name val="Arial"/>
      <family val="2"/>
    </font>
    <font>
      <b/>
      <sz val="8"/>
      <color theme="1"/>
      <name val="Arial"/>
      <family val="2"/>
    </font>
    <font>
      <sz val="8"/>
      <color theme="1"/>
      <name val="Arial"/>
      <family val="2"/>
    </font>
    <font>
      <sz val="10"/>
      <color theme="1"/>
      <name val="Calibri Light"/>
      <family val="2"/>
      <scheme val="major"/>
    </font>
    <font>
      <b/>
      <sz val="8"/>
      <color indexed="81"/>
      <name val="Tahoma"/>
      <family val="2"/>
    </font>
    <font>
      <sz val="8"/>
      <color indexed="81"/>
      <name val="Tahoma"/>
      <family val="2"/>
    </font>
    <font>
      <sz val="11"/>
      <color indexed="8"/>
      <name val="Calibri"/>
      <family val="2"/>
      <scheme val="minor"/>
    </font>
    <font>
      <sz val="8"/>
      <color rgb="FF0070C0"/>
      <name val="Arial"/>
      <family val="2"/>
    </font>
    <font>
      <sz val="8"/>
      <color rgb="FFFF0000"/>
      <name val="Arial"/>
      <family val="2"/>
    </font>
    <font>
      <b/>
      <sz val="12"/>
      <name val="Arial"/>
      <family val="2"/>
    </font>
    <font>
      <sz val="28"/>
      <color theme="1"/>
      <name val="Calibri"/>
      <family val="2"/>
      <scheme val="minor"/>
    </font>
    <font>
      <sz val="8"/>
      <color indexed="57"/>
      <name val="Arial"/>
      <family val="2"/>
    </font>
    <font>
      <sz val="10"/>
      <name val="Tahoma"/>
      <family val="2"/>
    </font>
    <font>
      <b/>
      <sz val="18"/>
      <color indexed="9"/>
      <name val="Georgia"/>
      <family val="1"/>
    </font>
    <font>
      <b/>
      <sz val="12"/>
      <color indexed="10"/>
      <name val="LucidaSans"/>
    </font>
    <font>
      <b/>
      <sz val="8"/>
      <color indexed="17"/>
      <name val="Arial"/>
      <family val="2"/>
    </font>
    <font>
      <u/>
      <sz val="11"/>
      <color theme="10"/>
      <name val="Calibri"/>
      <family val="2"/>
      <scheme val="minor"/>
    </font>
    <font>
      <b/>
      <sz val="8"/>
      <color indexed="12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8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rgb="FFFFFFFF"/>
        <bgColor rgb="FF000000"/>
      </patternFill>
    </fill>
  </fills>
  <borders count="50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9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7">
    <xf numFmtId="0" fontId="0" fillId="0" borderId="0"/>
    <xf numFmtId="9" fontId="2" fillId="0" borderId="0" applyFont="0" applyFill="0" applyBorder="0" applyAlignment="0" applyProtection="0"/>
    <xf numFmtId="0" fontId="3" fillId="0" borderId="0">
      <alignment horizontal="left" wrapText="1"/>
    </xf>
    <xf numFmtId="9" fontId="4" fillId="0" borderId="0" applyFont="0" applyFill="0" applyBorder="0" applyAlignment="0" applyProtection="0"/>
    <xf numFmtId="0" fontId="4" fillId="0" borderId="0">
      <alignment horizontal="left" wrapText="1"/>
    </xf>
    <xf numFmtId="9" fontId="3" fillId="0" borderId="0" applyFont="0" applyFill="0" applyBorder="0" applyAlignment="0" applyProtection="0"/>
    <xf numFmtId="0" fontId="42" fillId="0" borderId="0" applyNumberFormat="0" applyFill="0" applyBorder="0" applyAlignment="0" applyProtection="0"/>
  </cellStyleXfs>
  <cellXfs count="514">
    <xf numFmtId="0" fontId="0" fillId="0" borderId="0" xfId="0"/>
    <xf numFmtId="0" fontId="5" fillId="0" borderId="0" xfId="0" applyFont="1"/>
    <xf numFmtId="0" fontId="0" fillId="0" borderId="13" xfId="0" applyBorder="1"/>
    <xf numFmtId="0" fontId="6" fillId="0" borderId="13" xfId="0" applyFont="1" applyBorder="1"/>
    <xf numFmtId="0" fontId="7" fillId="0" borderId="0" xfId="0" applyFont="1"/>
    <xf numFmtId="164" fontId="8" fillId="3" borderId="6" xfId="0" applyNumberFormat="1" applyFont="1" applyFill="1" applyBorder="1" applyAlignment="1">
      <alignment horizontal="center"/>
    </xf>
    <xf numFmtId="9" fontId="9" fillId="0" borderId="2" xfId="1" applyFont="1" applyBorder="1" applyAlignment="1">
      <alignment horizontal="center"/>
    </xf>
    <xf numFmtId="0" fontId="7" fillId="0" borderId="0" xfId="0" applyFont="1" applyAlignment="1">
      <alignment horizontal="center"/>
    </xf>
    <xf numFmtId="9" fontId="10" fillId="0" borderId="12" xfId="2" applyNumberFormat="1" applyFont="1" applyBorder="1" applyAlignment="1">
      <alignment horizontal="center"/>
    </xf>
    <xf numFmtId="0" fontId="11" fillId="0" borderId="7" xfId="0" applyFont="1" applyBorder="1" applyAlignment="1">
      <alignment horizontal="center"/>
    </xf>
    <xf numFmtId="0" fontId="11" fillId="0" borderId="1" xfId="0" applyFont="1" applyBorder="1" applyAlignment="1">
      <alignment horizontal="center"/>
    </xf>
    <xf numFmtId="0" fontId="11" fillId="0" borderId="3" xfId="0" applyFont="1" applyBorder="1" applyAlignment="1">
      <alignment horizontal="center"/>
    </xf>
    <xf numFmtId="9" fontId="10" fillId="0" borderId="12" xfId="1" applyFont="1" applyBorder="1" applyAlignment="1">
      <alignment horizontal="center"/>
    </xf>
    <xf numFmtId="164" fontId="8" fillId="0" borderId="9" xfId="0" applyNumberFormat="1" applyFont="1" applyBorder="1" applyAlignment="1">
      <alignment horizontal="center"/>
    </xf>
    <xf numFmtId="164" fontId="8" fillId="0" borderId="10" xfId="0" applyNumberFormat="1" applyFont="1" applyBorder="1" applyAlignment="1">
      <alignment horizontal="center"/>
    </xf>
    <xf numFmtId="164" fontId="8" fillId="0" borderId="11" xfId="0" applyNumberFormat="1" applyFont="1" applyBorder="1" applyAlignment="1">
      <alignment horizontal="center"/>
    </xf>
    <xf numFmtId="0" fontId="7" fillId="0" borderId="13" xfId="0" applyFont="1" applyBorder="1"/>
    <xf numFmtId="0" fontId="7" fillId="0" borderId="7" xfId="0" applyFont="1" applyBorder="1" applyAlignment="1">
      <alignment horizontal="center"/>
    </xf>
    <xf numFmtId="0" fontId="7" fillId="0" borderId="1" xfId="0" applyFont="1" applyBorder="1" applyAlignment="1">
      <alignment horizontal="center"/>
    </xf>
    <xf numFmtId="0" fontId="7" fillId="0" borderId="3" xfId="0" applyFont="1" applyBorder="1" applyAlignment="1">
      <alignment horizontal="center"/>
    </xf>
    <xf numFmtId="0" fontId="13" fillId="0" borderId="9" xfId="0" applyFont="1" applyBorder="1" applyAlignment="1">
      <alignment horizontal="center"/>
    </xf>
    <xf numFmtId="9" fontId="13" fillId="0" borderId="9" xfId="1" applyFont="1" applyBorder="1" applyAlignment="1">
      <alignment horizontal="center"/>
    </xf>
    <xf numFmtId="9" fontId="14" fillId="0" borderId="8" xfId="1" applyFont="1" applyBorder="1" applyAlignment="1">
      <alignment horizontal="center"/>
    </xf>
    <xf numFmtId="0" fontId="13" fillId="0" borderId="10" xfId="0" applyFont="1" applyBorder="1" applyAlignment="1">
      <alignment horizontal="center"/>
    </xf>
    <xf numFmtId="9" fontId="13" fillId="0" borderId="10" xfId="1" applyFont="1" applyBorder="1" applyAlignment="1">
      <alignment horizontal="center"/>
    </xf>
    <xf numFmtId="9" fontId="14" fillId="0" borderId="2" xfId="1" applyFont="1" applyBorder="1" applyAlignment="1">
      <alignment horizontal="center"/>
    </xf>
    <xf numFmtId="0" fontId="13" fillId="0" borderId="11" xfId="0" applyFont="1" applyBorder="1" applyAlignment="1">
      <alignment horizontal="center"/>
    </xf>
    <xf numFmtId="9" fontId="13" fillId="0" borderId="11" xfId="1" applyFont="1" applyBorder="1" applyAlignment="1">
      <alignment horizontal="center"/>
    </xf>
    <xf numFmtId="9" fontId="14" fillId="0" borderId="4" xfId="1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9" fontId="9" fillId="0" borderId="8" xfId="1" applyFont="1" applyBorder="1" applyAlignment="1">
      <alignment horizontal="center"/>
    </xf>
    <xf numFmtId="9" fontId="9" fillId="0" borderId="4" xfId="1" applyFont="1" applyBorder="1" applyAlignment="1">
      <alignment horizontal="center"/>
    </xf>
    <xf numFmtId="9" fontId="10" fillId="0" borderId="8" xfId="1" applyFont="1" applyBorder="1" applyAlignment="1">
      <alignment horizontal="center"/>
    </xf>
    <xf numFmtId="9" fontId="10" fillId="0" borderId="2" xfId="1" applyFont="1" applyBorder="1" applyAlignment="1">
      <alignment horizontal="center"/>
    </xf>
    <xf numFmtId="9" fontId="10" fillId="0" borderId="4" xfId="1" applyFont="1" applyBorder="1" applyAlignment="1">
      <alignment horizontal="center"/>
    </xf>
    <xf numFmtId="0" fontId="0" fillId="0" borderId="9" xfId="0" applyBorder="1"/>
    <xf numFmtId="0" fontId="0" fillId="0" borderId="10" xfId="0" applyBorder="1"/>
    <xf numFmtId="9" fontId="9" fillId="0" borderId="10" xfId="1" applyFont="1" applyBorder="1" applyAlignment="1">
      <alignment horizontal="center"/>
    </xf>
    <xf numFmtId="0" fontId="9" fillId="0" borderId="11" xfId="1" applyNumberFormat="1" applyFont="1" applyBorder="1" applyAlignment="1">
      <alignment horizontal="center"/>
    </xf>
    <xf numFmtId="0" fontId="0" fillId="0" borderId="11" xfId="0" applyBorder="1"/>
    <xf numFmtId="0" fontId="0" fillId="0" borderId="12" xfId="0" applyBorder="1"/>
    <xf numFmtId="14" fontId="9" fillId="0" borderId="2" xfId="1" applyNumberFormat="1" applyFont="1" applyBorder="1" applyAlignment="1">
      <alignment horizontal="center"/>
    </xf>
    <xf numFmtId="14" fontId="9" fillId="0" borderId="10" xfId="0" applyNumberFormat="1" applyFont="1" applyBorder="1" applyAlignment="1">
      <alignment horizontal="center"/>
    </xf>
    <xf numFmtId="14" fontId="9" fillId="0" borderId="11" xfId="0" applyNumberFormat="1" applyFont="1" applyBorder="1" applyAlignment="1">
      <alignment horizontal="center"/>
    </xf>
    <xf numFmtId="14" fontId="9" fillId="0" borderId="10" xfId="1" applyNumberFormat="1" applyFont="1" applyBorder="1" applyAlignment="1">
      <alignment horizontal="center"/>
    </xf>
    <xf numFmtId="164" fontId="8" fillId="3" borderId="14" xfId="0" applyNumberFormat="1" applyFont="1" applyFill="1" applyBorder="1" applyAlignment="1">
      <alignment horizontal="center"/>
    </xf>
    <xf numFmtId="0" fontId="0" fillId="0" borderId="21" xfId="0" applyBorder="1"/>
    <xf numFmtId="0" fontId="0" fillId="0" borderId="22" xfId="0" applyBorder="1"/>
    <xf numFmtId="0" fontId="7" fillId="0" borderId="21" xfId="0" applyFont="1" applyBorder="1"/>
    <xf numFmtId="0" fontId="7" fillId="0" borderId="22" xfId="0" applyFont="1" applyBorder="1"/>
    <xf numFmtId="9" fontId="0" fillId="0" borderId="13" xfId="1" applyFont="1" applyBorder="1"/>
    <xf numFmtId="0" fontId="6" fillId="0" borderId="12" xfId="0" applyFont="1" applyBorder="1"/>
    <xf numFmtId="0" fontId="15" fillId="0" borderId="0" xfId="0" applyFont="1"/>
    <xf numFmtId="0" fontId="16" fillId="0" borderId="0" xfId="0" applyFont="1"/>
    <xf numFmtId="0" fontId="17" fillId="0" borderId="0" xfId="0" applyFont="1"/>
    <xf numFmtId="15" fontId="19" fillId="2" borderId="12" xfId="0" applyNumberFormat="1" applyFont="1" applyFill="1" applyBorder="1"/>
    <xf numFmtId="0" fontId="22" fillId="0" borderId="15" xfId="0" applyFont="1" applyBorder="1" applyAlignment="1">
      <alignment horizontal="center"/>
    </xf>
    <xf numFmtId="0" fontId="22" fillId="0" borderId="16" xfId="0" applyFont="1" applyBorder="1" applyAlignment="1">
      <alignment horizontal="center"/>
    </xf>
    <xf numFmtId="0" fontId="22" fillId="0" borderId="6" xfId="0" applyFont="1" applyBorder="1" applyAlignment="1">
      <alignment horizontal="center"/>
    </xf>
    <xf numFmtId="0" fontId="23" fillId="0" borderId="7" xfId="0" applyFont="1" applyBorder="1" applyAlignment="1">
      <alignment horizontal="center"/>
    </xf>
    <xf numFmtId="0" fontId="23" fillId="0" borderId="23" xfId="0" applyFont="1" applyBorder="1"/>
    <xf numFmtId="0" fontId="23" fillId="0" borderId="8" xfId="0" applyFont="1" applyBorder="1" applyAlignment="1">
      <alignment horizontal="center"/>
    </xf>
    <xf numFmtId="10" fontId="23" fillId="0" borderId="24" xfId="3" applyNumberFormat="1" applyFont="1" applyBorder="1" applyAlignment="1">
      <alignment horizontal="center"/>
    </xf>
    <xf numFmtId="10" fontId="23" fillId="0" borderId="25" xfId="3" applyNumberFormat="1" applyFont="1" applyBorder="1" applyAlignment="1">
      <alignment horizontal="center"/>
    </xf>
    <xf numFmtId="10" fontId="23" fillId="0" borderId="8" xfId="3" applyNumberFormat="1" applyFont="1" applyBorder="1" applyAlignment="1">
      <alignment horizontal="center"/>
    </xf>
    <xf numFmtId="0" fontId="23" fillId="0" borderId="1" xfId="0" applyFont="1" applyBorder="1" applyAlignment="1">
      <alignment horizontal="center"/>
    </xf>
    <xf numFmtId="0" fontId="23" fillId="0" borderId="0" xfId="0" applyFont="1"/>
    <xf numFmtId="0" fontId="23" fillId="0" borderId="2" xfId="0" applyFont="1" applyBorder="1" applyAlignment="1">
      <alignment horizontal="center"/>
    </xf>
    <xf numFmtId="10" fontId="23" fillId="0" borderId="26" xfId="3" applyNumberFormat="1" applyFont="1" applyBorder="1" applyAlignment="1">
      <alignment horizontal="center"/>
    </xf>
    <xf numFmtId="10" fontId="23" fillId="0" borderId="27" xfId="3" applyNumberFormat="1" applyFont="1" applyBorder="1" applyAlignment="1">
      <alignment horizontal="center"/>
    </xf>
    <xf numFmtId="10" fontId="23" fillId="0" borderId="2" xfId="3" applyNumberFormat="1" applyFont="1" applyBorder="1" applyAlignment="1">
      <alignment horizontal="center"/>
    </xf>
    <xf numFmtId="0" fontId="23" fillId="0" borderId="3" xfId="0" applyFont="1" applyBorder="1" applyAlignment="1">
      <alignment horizontal="center"/>
    </xf>
    <xf numFmtId="0" fontId="23" fillId="0" borderId="28" xfId="0" applyFont="1" applyBorder="1"/>
    <xf numFmtId="0" fontId="23" fillId="0" borderId="4" xfId="0" applyFont="1" applyBorder="1" applyAlignment="1">
      <alignment horizontal="center"/>
    </xf>
    <xf numFmtId="10" fontId="23" fillId="0" borderId="18" xfId="3" applyNumberFormat="1" applyFont="1" applyBorder="1" applyAlignment="1">
      <alignment horizontal="center"/>
    </xf>
    <xf numFmtId="10" fontId="23" fillId="0" borderId="19" xfId="3" applyNumberFormat="1" applyFont="1" applyBorder="1" applyAlignment="1">
      <alignment horizontal="center"/>
    </xf>
    <xf numFmtId="10" fontId="23" fillId="0" borderId="4" xfId="3" applyNumberFormat="1" applyFont="1" applyBorder="1" applyAlignment="1">
      <alignment horizontal="center"/>
    </xf>
    <xf numFmtId="0" fontId="21" fillId="0" borderId="0" xfId="0" applyFont="1"/>
    <xf numFmtId="0" fontId="24" fillId="0" borderId="7" xfId="0" applyFont="1" applyBorder="1" applyAlignment="1">
      <alignment horizontal="center"/>
    </xf>
    <xf numFmtId="0" fontId="21" fillId="0" borderId="23" xfId="0" applyFont="1" applyBorder="1"/>
    <xf numFmtId="10" fontId="25" fillId="0" borderId="25" xfId="3" applyNumberFormat="1" applyFont="1" applyBorder="1" applyAlignment="1">
      <alignment horizontal="center"/>
    </xf>
    <xf numFmtId="10" fontId="25" fillId="0" borderId="29" xfId="3" applyNumberFormat="1" applyFont="1" applyBorder="1" applyAlignment="1">
      <alignment horizontal="center"/>
    </xf>
    <xf numFmtId="0" fontId="24" fillId="0" borderId="1" xfId="0" applyFont="1" applyBorder="1" applyAlignment="1">
      <alignment horizontal="center"/>
    </xf>
    <xf numFmtId="0" fontId="21" fillId="0" borderId="0" xfId="0" applyFont="1" applyAlignment="1">
      <alignment horizontal="center"/>
    </xf>
    <xf numFmtId="10" fontId="25" fillId="0" borderId="27" xfId="3" applyNumberFormat="1" applyFont="1" applyBorder="1" applyAlignment="1">
      <alignment horizontal="center"/>
    </xf>
    <xf numFmtId="10" fontId="25" fillId="0" borderId="30" xfId="3" applyNumberFormat="1" applyFont="1" applyBorder="1" applyAlignment="1">
      <alignment horizontal="center"/>
    </xf>
    <xf numFmtId="0" fontId="24" fillId="0" borderId="3" xfId="0" applyFont="1" applyBorder="1" applyAlignment="1">
      <alignment horizontal="center"/>
    </xf>
    <xf numFmtId="0" fontId="21" fillId="0" borderId="28" xfId="0" applyFont="1" applyBorder="1"/>
    <xf numFmtId="10" fontId="25" fillId="0" borderId="19" xfId="3" applyNumberFormat="1" applyFont="1" applyBorder="1" applyAlignment="1">
      <alignment horizontal="center"/>
    </xf>
    <xf numFmtId="10" fontId="25" fillId="0" borderId="20" xfId="3" applyNumberFormat="1" applyFont="1" applyBorder="1" applyAlignment="1">
      <alignment horizontal="center"/>
    </xf>
    <xf numFmtId="15" fontId="19" fillId="2" borderId="5" xfId="0" applyNumberFormat="1" applyFont="1" applyFill="1" applyBorder="1"/>
    <xf numFmtId="15" fontId="21" fillId="0" borderId="0" xfId="0" applyNumberFormat="1" applyFont="1" applyAlignment="1">
      <alignment horizontal="center"/>
    </xf>
    <xf numFmtId="0" fontId="21" fillId="0" borderId="7" xfId="0" applyFont="1" applyBorder="1" applyAlignment="1">
      <alignment horizontal="center"/>
    </xf>
    <xf numFmtId="9" fontId="23" fillId="0" borderId="8" xfId="0" applyNumberFormat="1" applyFont="1" applyBorder="1" applyAlignment="1">
      <alignment horizontal="center"/>
    </xf>
    <xf numFmtId="0" fontId="21" fillId="0" borderId="1" xfId="0" applyFont="1" applyBorder="1" applyAlignment="1">
      <alignment horizontal="center"/>
    </xf>
    <xf numFmtId="9" fontId="23" fillId="0" borderId="2" xfId="0" applyNumberFormat="1" applyFont="1" applyBorder="1" applyAlignment="1">
      <alignment horizontal="center"/>
    </xf>
    <xf numFmtId="0" fontId="1" fillId="0" borderId="0" xfId="0" applyFont="1" applyAlignment="1">
      <alignment horizontal="center" vertical="center"/>
    </xf>
    <xf numFmtId="0" fontId="1" fillId="0" borderId="0" xfId="0" applyFont="1" applyAlignment="1">
      <alignment horizontal="center"/>
    </xf>
    <xf numFmtId="0" fontId="9" fillId="0" borderId="9" xfId="2" applyFont="1" applyBorder="1" applyAlignment="1">
      <alignment horizontal="center"/>
    </xf>
    <xf numFmtId="0" fontId="0" fillId="0" borderId="14" xfId="0" applyBorder="1"/>
    <xf numFmtId="0" fontId="0" fillId="0" borderId="6" xfId="0" applyBorder="1"/>
    <xf numFmtId="15" fontId="27" fillId="3" borderId="14" xfId="0" applyNumberFormat="1" applyFont="1" applyFill="1" applyBorder="1" applyAlignment="1">
      <alignment horizontal="center"/>
    </xf>
    <xf numFmtId="0" fontId="7" fillId="3" borderId="9" xfId="2" applyFont="1" applyFill="1" applyBorder="1" applyAlignment="1">
      <alignment horizontal="left"/>
    </xf>
    <xf numFmtId="0" fontId="7" fillId="3" borderId="10" xfId="2" applyFont="1" applyFill="1" applyBorder="1" applyAlignment="1">
      <alignment horizontal="left"/>
    </xf>
    <xf numFmtId="0" fontId="7" fillId="3" borderId="10" xfId="0" applyFont="1" applyFill="1" applyBorder="1"/>
    <xf numFmtId="0" fontId="7" fillId="3" borderId="1" xfId="0" applyFont="1" applyFill="1" applyBorder="1"/>
    <xf numFmtId="0" fontId="7" fillId="3" borderId="3" xfId="0" applyFont="1" applyFill="1" applyBorder="1"/>
    <xf numFmtId="0" fontId="27" fillId="3" borderId="12" xfId="0" applyFont="1" applyFill="1" applyBorder="1"/>
    <xf numFmtId="0" fontId="28" fillId="3" borderId="5" xfId="0" applyFont="1" applyFill="1" applyBorder="1" applyAlignment="1">
      <alignment horizontal="center"/>
    </xf>
    <xf numFmtId="0" fontId="28" fillId="3" borderId="6" xfId="0" applyFont="1" applyFill="1" applyBorder="1" applyAlignment="1">
      <alignment horizontal="center"/>
    </xf>
    <xf numFmtId="0" fontId="7" fillId="3" borderId="5" xfId="0" applyFont="1" applyFill="1" applyBorder="1"/>
    <xf numFmtId="0" fontId="7" fillId="3" borderId="12" xfId="2" applyFont="1" applyFill="1" applyBorder="1" applyAlignment="1">
      <alignment horizontal="left"/>
    </xf>
    <xf numFmtId="0" fontId="7" fillId="3" borderId="12" xfId="0" applyFont="1" applyFill="1" applyBorder="1"/>
    <xf numFmtId="0" fontId="7" fillId="3" borderId="9" xfId="0" applyFont="1" applyFill="1" applyBorder="1"/>
    <xf numFmtId="0" fontId="7" fillId="3" borderId="11" xfId="0" applyFont="1" applyFill="1" applyBorder="1"/>
    <xf numFmtId="0" fontId="29" fillId="3" borderId="5" xfId="0" applyFont="1" applyFill="1" applyBorder="1" applyAlignment="1">
      <alignment horizontal="center"/>
    </xf>
    <xf numFmtId="0" fontId="7" fillId="3" borderId="15" xfId="0" applyFont="1" applyFill="1" applyBorder="1" applyAlignment="1">
      <alignment horizontal="center"/>
    </xf>
    <xf numFmtId="0" fontId="7" fillId="3" borderId="16" xfId="0" applyFont="1" applyFill="1" applyBorder="1" applyAlignment="1">
      <alignment horizontal="center"/>
    </xf>
    <xf numFmtId="0" fontId="7" fillId="3" borderId="17" xfId="0" applyFont="1" applyFill="1" applyBorder="1" applyAlignment="1">
      <alignment horizontal="center"/>
    </xf>
    <xf numFmtId="10" fontId="25" fillId="0" borderId="31" xfId="3" applyNumberFormat="1" applyFont="1" applyBorder="1" applyAlignment="1">
      <alignment horizontal="center"/>
    </xf>
    <xf numFmtId="10" fontId="25" fillId="0" borderId="32" xfId="3" applyNumberFormat="1" applyFont="1" applyBorder="1" applyAlignment="1">
      <alignment horizontal="center"/>
    </xf>
    <xf numFmtId="10" fontId="25" fillId="0" borderId="33" xfId="3" applyNumberFormat="1" applyFont="1" applyBorder="1" applyAlignment="1">
      <alignment horizontal="center"/>
    </xf>
    <xf numFmtId="0" fontId="21" fillId="0" borderId="8" xfId="0" applyFont="1" applyBorder="1" applyAlignment="1">
      <alignment horizontal="center"/>
    </xf>
    <xf numFmtId="0" fontId="21" fillId="0" borderId="2" xfId="0" applyFont="1" applyBorder="1" applyAlignment="1">
      <alignment horizontal="center"/>
    </xf>
    <xf numFmtId="0" fontId="21" fillId="0" borderId="4" xfId="0" applyFont="1" applyBorder="1" applyAlignment="1">
      <alignment horizontal="center"/>
    </xf>
    <xf numFmtId="0" fontId="27" fillId="3" borderId="23" xfId="0" applyFont="1" applyFill="1" applyBorder="1" applyAlignment="1">
      <alignment horizontal="center" vertical="center" wrapText="1"/>
    </xf>
    <xf numFmtId="0" fontId="27" fillId="3" borderId="12" xfId="0" applyFont="1" applyFill="1" applyBorder="1" applyAlignment="1">
      <alignment horizontal="center" vertical="center" wrapText="1"/>
    </xf>
    <xf numFmtId="0" fontId="27" fillId="3" borderId="12" xfId="0" applyFont="1" applyFill="1" applyBorder="1" applyAlignment="1">
      <alignment horizontal="center" vertical="center"/>
    </xf>
    <xf numFmtId="10" fontId="23" fillId="0" borderId="7" xfId="1" applyNumberFormat="1" applyFont="1" applyBorder="1" applyAlignment="1">
      <alignment horizontal="center"/>
    </xf>
    <xf numFmtId="10" fontId="23" fillId="0" borderId="23" xfId="1" applyNumberFormat="1" applyFont="1" applyBorder="1" applyAlignment="1">
      <alignment horizontal="center"/>
    </xf>
    <xf numFmtId="165" fontId="23" fillId="0" borderId="23" xfId="1" applyNumberFormat="1" applyFont="1" applyBorder="1" applyAlignment="1">
      <alignment horizontal="center"/>
    </xf>
    <xf numFmtId="10" fontId="25" fillId="0" borderId="7" xfId="1" applyNumberFormat="1" applyFont="1" applyBorder="1"/>
    <xf numFmtId="10" fontId="25" fillId="0" borderId="23" xfId="1" applyNumberFormat="1" applyFont="1" applyBorder="1"/>
    <xf numFmtId="10" fontId="25" fillId="0" borderId="8" xfId="1" applyNumberFormat="1" applyFont="1" applyBorder="1"/>
    <xf numFmtId="10" fontId="21" fillId="0" borderId="0" xfId="0" applyNumberFormat="1" applyFont="1"/>
    <xf numFmtId="10" fontId="23" fillId="0" borderId="1" xfId="1" applyNumberFormat="1" applyFont="1" applyBorder="1" applyAlignment="1">
      <alignment horizontal="center"/>
    </xf>
    <xf numFmtId="10" fontId="25" fillId="0" borderId="1" xfId="1" applyNumberFormat="1" applyFont="1" applyBorder="1"/>
    <xf numFmtId="10" fontId="25" fillId="0" borderId="2" xfId="1" applyNumberFormat="1" applyFont="1" applyBorder="1"/>
    <xf numFmtId="14" fontId="21" fillId="0" borderId="0" xfId="0" applyNumberFormat="1" applyFont="1"/>
    <xf numFmtId="0" fontId="20" fillId="0" borderId="6" xfId="0" applyFont="1" applyBorder="1" applyAlignment="1">
      <alignment horizontal="center"/>
    </xf>
    <xf numFmtId="15" fontId="32" fillId="0" borderId="10" xfId="0" applyNumberFormat="1" applyFont="1" applyBorder="1"/>
    <xf numFmtId="0" fontId="32" fillId="0" borderId="10" xfId="0" applyFont="1" applyBorder="1"/>
    <xf numFmtId="0" fontId="32" fillId="0" borderId="11" xfId="0" applyFont="1" applyBorder="1"/>
    <xf numFmtId="15" fontId="32" fillId="0" borderId="12" xfId="0" applyNumberFormat="1" applyFont="1" applyBorder="1"/>
    <xf numFmtId="0" fontId="20" fillId="0" borderId="12" xfId="0" applyFont="1" applyBorder="1" applyAlignment="1">
      <alignment horizontal="center"/>
    </xf>
    <xf numFmtId="0" fontId="27" fillId="3" borderId="7" xfId="0" applyFont="1" applyFill="1" applyBorder="1"/>
    <xf numFmtId="0" fontId="27" fillId="3" borderId="3" xfId="0" applyFont="1" applyFill="1" applyBorder="1"/>
    <xf numFmtId="0" fontId="28" fillId="3" borderId="8" xfId="0" applyFont="1" applyFill="1" applyBorder="1"/>
    <xf numFmtId="0" fontId="28" fillId="3" borderId="9" xfId="0" applyFont="1" applyFill="1" applyBorder="1"/>
    <xf numFmtId="0" fontId="26" fillId="3" borderId="1" xfId="0" applyFont="1" applyFill="1" applyBorder="1" applyAlignment="1">
      <alignment horizontal="center"/>
    </xf>
    <xf numFmtId="0" fontId="26" fillId="3" borderId="0" xfId="0" applyFont="1" applyFill="1" applyAlignment="1">
      <alignment horizontal="center"/>
    </xf>
    <xf numFmtId="15" fontId="33" fillId="3" borderId="5" xfId="0" applyNumberFormat="1" applyFont="1" applyFill="1" applyBorder="1" applyAlignment="1">
      <alignment horizontal="center"/>
    </xf>
    <xf numFmtId="0" fontId="26" fillId="3" borderId="2" xfId="0" applyFont="1" applyFill="1" applyBorder="1" applyAlignment="1">
      <alignment horizontal="center"/>
    </xf>
    <xf numFmtId="0" fontId="28" fillId="3" borderId="14" xfId="0" applyFont="1" applyFill="1" applyBorder="1" applyAlignment="1">
      <alignment horizontal="center"/>
    </xf>
    <xf numFmtId="10" fontId="23" fillId="0" borderId="0" xfId="1" applyNumberFormat="1" applyFont="1" applyBorder="1" applyAlignment="1">
      <alignment horizontal="center"/>
    </xf>
    <xf numFmtId="0" fontId="21" fillId="0" borderId="34" xfId="0" applyFont="1" applyBorder="1" applyAlignment="1">
      <alignment horizontal="center"/>
    </xf>
    <xf numFmtId="0" fontId="23" fillId="0" borderId="13" xfId="0" applyFont="1" applyBorder="1"/>
    <xf numFmtId="9" fontId="23" fillId="0" borderId="35" xfId="0" applyNumberFormat="1" applyFont="1" applyBorder="1" applyAlignment="1">
      <alignment horizontal="center"/>
    </xf>
    <xf numFmtId="0" fontId="23" fillId="0" borderId="35" xfId="0" applyFont="1" applyBorder="1" applyAlignment="1">
      <alignment horizontal="center"/>
    </xf>
    <xf numFmtId="10" fontId="23" fillId="0" borderId="34" xfId="1" applyNumberFormat="1" applyFont="1" applyBorder="1" applyAlignment="1">
      <alignment horizontal="center"/>
    </xf>
    <xf numFmtId="10" fontId="23" fillId="0" borderId="13" xfId="1" applyNumberFormat="1" applyFont="1" applyBorder="1" applyAlignment="1">
      <alignment horizontal="center"/>
    </xf>
    <xf numFmtId="10" fontId="25" fillId="0" borderId="0" xfId="1" applyNumberFormat="1" applyFont="1" applyBorder="1"/>
    <xf numFmtId="167" fontId="0" fillId="0" borderId="0" xfId="1" applyNumberFormat="1" applyFont="1"/>
    <xf numFmtId="10" fontId="0" fillId="0" borderId="0" xfId="1" applyNumberFormat="1" applyFont="1"/>
    <xf numFmtId="0" fontId="11" fillId="3" borderId="12" xfId="0" applyFont="1" applyFill="1" applyBorder="1" applyAlignment="1">
      <alignment horizontal="center"/>
    </xf>
    <xf numFmtId="0" fontId="11" fillId="3" borderId="14" xfId="0" applyFont="1" applyFill="1" applyBorder="1" applyAlignment="1">
      <alignment horizontal="center"/>
    </xf>
    <xf numFmtId="0" fontId="11" fillId="3" borderId="6" xfId="0" applyFont="1" applyFill="1" applyBorder="1" applyAlignment="1">
      <alignment horizontal="center"/>
    </xf>
    <xf numFmtId="165" fontId="25" fillId="0" borderId="0" xfId="1" applyNumberFormat="1" applyFont="1" applyBorder="1" applyAlignment="1">
      <alignment horizontal="center"/>
    </xf>
    <xf numFmtId="168" fontId="0" fillId="0" borderId="0" xfId="0" applyNumberFormat="1"/>
    <xf numFmtId="0" fontId="21" fillId="3" borderId="14" xfId="0" applyFont="1" applyFill="1" applyBorder="1" applyAlignment="1">
      <alignment horizontal="center"/>
    </xf>
    <xf numFmtId="0" fontId="21" fillId="3" borderId="6" xfId="0" applyFont="1" applyFill="1" applyBorder="1" applyAlignment="1">
      <alignment horizontal="center"/>
    </xf>
    <xf numFmtId="166" fontId="21" fillId="3" borderId="12" xfId="0" applyNumberFormat="1" applyFont="1" applyFill="1" applyBorder="1" applyAlignment="1">
      <alignment horizontal="center"/>
    </xf>
    <xf numFmtId="14" fontId="21" fillId="3" borderId="12" xfId="0" applyNumberFormat="1" applyFont="1" applyFill="1" applyBorder="1" applyAlignment="1">
      <alignment horizontal="center"/>
    </xf>
    <xf numFmtId="0" fontId="21" fillId="3" borderId="12" xfId="0" applyFont="1" applyFill="1" applyBorder="1" applyAlignment="1">
      <alignment horizontal="center"/>
    </xf>
    <xf numFmtId="14" fontId="0" fillId="0" borderId="0" xfId="0" applyNumberFormat="1"/>
    <xf numFmtId="165" fontId="25" fillId="0" borderId="23" xfId="1" applyNumberFormat="1" applyFont="1" applyBorder="1" applyAlignment="1">
      <alignment horizontal="center"/>
    </xf>
    <xf numFmtId="10" fontId="24" fillId="0" borderId="2" xfId="1" applyNumberFormat="1" applyFont="1" applyBorder="1" applyAlignment="1">
      <alignment horizontal="center"/>
    </xf>
    <xf numFmtId="165" fontId="25" fillId="0" borderId="28" xfId="1" applyNumberFormat="1" applyFont="1" applyBorder="1" applyAlignment="1">
      <alignment horizontal="center"/>
    </xf>
    <xf numFmtId="0" fontId="22" fillId="3" borderId="12" xfId="0" applyFont="1" applyFill="1" applyBorder="1"/>
    <xf numFmtId="0" fontId="22" fillId="3" borderId="36" xfId="0" applyFont="1" applyFill="1" applyBorder="1" applyAlignment="1">
      <alignment horizontal="center"/>
    </xf>
    <xf numFmtId="0" fontId="22" fillId="3" borderId="37" xfId="0" applyFont="1" applyFill="1" applyBorder="1" applyAlignment="1">
      <alignment horizontal="center"/>
    </xf>
    <xf numFmtId="14" fontId="34" fillId="0" borderId="9" xfId="0" applyNumberFormat="1" applyFont="1" applyBorder="1" applyAlignment="1">
      <alignment horizontal="center"/>
    </xf>
    <xf numFmtId="14" fontId="34" fillId="0" borderId="10" xfId="0" applyNumberFormat="1" applyFont="1" applyBorder="1" applyAlignment="1">
      <alignment horizontal="center"/>
    </xf>
    <xf numFmtId="14" fontId="34" fillId="0" borderId="11" xfId="0" applyNumberFormat="1" applyFont="1" applyBorder="1" applyAlignment="1">
      <alignment horizontal="center"/>
    </xf>
    <xf numFmtId="0" fontId="23" fillId="0" borderId="6" xfId="0" applyFont="1" applyBorder="1" applyAlignment="1">
      <alignment horizontal="center"/>
    </xf>
    <xf numFmtId="0" fontId="28" fillId="3" borderId="10" xfId="0" applyFont="1" applyFill="1" applyBorder="1" applyAlignment="1">
      <alignment horizontal="center" wrapText="1"/>
    </xf>
    <xf numFmtId="0" fontId="28" fillId="3" borderId="11" xfId="0" applyFont="1" applyFill="1" applyBorder="1" applyAlignment="1">
      <alignment horizontal="center" wrapText="1"/>
    </xf>
    <xf numFmtId="0" fontId="34" fillId="3" borderId="11" xfId="0" applyFont="1" applyFill="1" applyBorder="1" applyAlignment="1">
      <alignment horizontal="center" wrapText="1"/>
    </xf>
    <xf numFmtId="0" fontId="28" fillId="3" borderId="11" xfId="0" applyFont="1" applyFill="1" applyBorder="1"/>
    <xf numFmtId="0" fontId="28" fillId="3" borderId="2" xfId="0" applyFont="1" applyFill="1" applyBorder="1" applyAlignment="1">
      <alignment horizontal="center" wrapText="1"/>
    </xf>
    <xf numFmtId="0" fontId="28" fillId="3" borderId="10" xfId="0" applyFont="1" applyFill="1" applyBorder="1"/>
    <xf numFmtId="0" fontId="21" fillId="3" borderId="5" xfId="0" applyFont="1" applyFill="1" applyBorder="1" applyAlignment="1">
      <alignment horizontal="center"/>
    </xf>
    <xf numFmtId="15" fontId="23" fillId="0" borderId="2" xfId="0" applyNumberFormat="1" applyFont="1" applyBorder="1" applyAlignment="1">
      <alignment horizontal="center"/>
    </xf>
    <xf numFmtId="165" fontId="23" fillId="0" borderId="2" xfId="0" applyNumberFormat="1" applyFont="1" applyBorder="1" applyAlignment="1">
      <alignment horizontal="center"/>
    </xf>
    <xf numFmtId="9" fontId="23" fillId="0" borderId="4" xfId="1" applyFont="1" applyBorder="1" applyAlignment="1">
      <alignment horizontal="center"/>
    </xf>
    <xf numFmtId="0" fontId="23" fillId="0" borderId="8" xfId="0" applyFont="1" applyBorder="1"/>
    <xf numFmtId="0" fontId="23" fillId="0" borderId="4" xfId="0" applyFont="1" applyBorder="1"/>
    <xf numFmtId="0" fontId="21" fillId="0" borderId="0" xfId="0" applyFont="1" applyAlignment="1">
      <alignment horizontal="left"/>
    </xf>
    <xf numFmtId="0" fontId="23" fillId="0" borderId="10" xfId="0" applyFont="1" applyBorder="1"/>
    <xf numFmtId="0" fontId="23" fillId="0" borderId="11" xfId="0" applyFont="1" applyBorder="1"/>
    <xf numFmtId="0" fontId="21" fillId="3" borderId="0" xfId="0" applyFont="1" applyFill="1"/>
    <xf numFmtId="0" fontId="22" fillId="3" borderId="0" xfId="0" applyFont="1" applyFill="1"/>
    <xf numFmtId="0" fontId="21" fillId="3" borderId="0" xfId="0" applyFont="1" applyFill="1" applyAlignment="1">
      <alignment horizontal="center"/>
    </xf>
    <xf numFmtId="0" fontId="22" fillId="3" borderId="1" xfId="0" applyFont="1" applyFill="1" applyBorder="1"/>
    <xf numFmtId="0" fontId="22" fillId="3" borderId="3" xfId="0" applyFont="1" applyFill="1" applyBorder="1"/>
    <xf numFmtId="0" fontId="22" fillId="3" borderId="9" xfId="0" applyFont="1" applyFill="1" applyBorder="1"/>
    <xf numFmtId="0" fontId="22" fillId="3" borderId="10" xfId="0" applyFont="1" applyFill="1" applyBorder="1"/>
    <xf numFmtId="0" fontId="22" fillId="3" borderId="11" xfId="0" applyFont="1" applyFill="1" applyBorder="1"/>
    <xf numFmtId="0" fontId="22" fillId="3" borderId="9" xfId="0" applyFont="1" applyFill="1" applyBorder="1" applyAlignment="1">
      <alignment horizontal="left"/>
    </xf>
    <xf numFmtId="0" fontId="23" fillId="0" borderId="9" xfId="0" applyFont="1" applyBorder="1"/>
    <xf numFmtId="15" fontId="24" fillId="0" borderId="9" xfId="0" applyNumberFormat="1" applyFont="1" applyBorder="1" applyAlignment="1">
      <alignment horizontal="center"/>
    </xf>
    <xf numFmtId="169" fontId="24" fillId="4" borderId="11" xfId="1" applyNumberFormat="1" applyFont="1" applyFill="1" applyBorder="1" applyAlignment="1">
      <alignment horizontal="center"/>
    </xf>
    <xf numFmtId="2" fontId="24" fillId="0" borderId="7" xfId="0" applyNumberFormat="1" applyFont="1" applyBorder="1" applyAlignment="1">
      <alignment horizontal="center"/>
    </xf>
    <xf numFmtId="10" fontId="24" fillId="0" borderId="8" xfId="1" applyNumberFormat="1" applyFont="1" applyBorder="1" applyAlignment="1">
      <alignment horizontal="center"/>
    </xf>
    <xf numFmtId="2" fontId="24" fillId="0" borderId="1" xfId="0" applyNumberFormat="1" applyFont="1" applyBorder="1" applyAlignment="1">
      <alignment horizontal="center"/>
    </xf>
    <xf numFmtId="2" fontId="24" fillId="0" borderId="3" xfId="0" applyNumberFormat="1" applyFont="1" applyBorder="1" applyAlignment="1">
      <alignment horizontal="center"/>
    </xf>
    <xf numFmtId="10" fontId="24" fillId="0" borderId="4" xfId="1" applyNumberFormat="1" applyFont="1" applyBorder="1" applyAlignment="1">
      <alignment horizontal="center"/>
    </xf>
    <xf numFmtId="15" fontId="21" fillId="5" borderId="12" xfId="0" applyNumberFormat="1" applyFont="1" applyFill="1" applyBorder="1" applyAlignment="1">
      <alignment horizontal="center"/>
    </xf>
    <xf numFmtId="15" fontId="23" fillId="5" borderId="4" xfId="0" applyNumberFormat="1" applyFont="1" applyFill="1" applyBorder="1" applyAlignment="1">
      <alignment horizontal="center"/>
    </xf>
    <xf numFmtId="0" fontId="23" fillId="0" borderId="8" xfId="0" quotePrefix="1" applyFont="1" applyBorder="1" applyAlignment="1">
      <alignment horizontal="center"/>
    </xf>
    <xf numFmtId="165" fontId="25" fillId="0" borderId="23" xfId="1" applyNumberFormat="1" applyFont="1" applyBorder="1"/>
    <xf numFmtId="170" fontId="21" fillId="0" borderId="0" xfId="0" applyNumberFormat="1" applyFont="1"/>
    <xf numFmtId="171" fontId="21" fillId="0" borderId="0" xfId="1" applyNumberFormat="1" applyFont="1"/>
    <xf numFmtId="171" fontId="21" fillId="0" borderId="0" xfId="0" applyNumberFormat="1" applyFont="1"/>
    <xf numFmtId="172" fontId="21" fillId="0" borderId="0" xfId="0" applyNumberFormat="1" applyFont="1"/>
    <xf numFmtId="10" fontId="23" fillId="0" borderId="9" xfId="0" applyNumberFormat="1" applyFont="1" applyBorder="1" applyAlignment="1">
      <alignment horizontal="center"/>
    </xf>
    <xf numFmtId="0" fontId="22" fillId="6" borderId="9" xfId="0" applyFont="1" applyFill="1" applyBorder="1" applyAlignment="1">
      <alignment horizontal="left"/>
    </xf>
    <xf numFmtId="0" fontId="22" fillId="6" borderId="10" xfId="0" applyFont="1" applyFill="1" applyBorder="1" applyAlignment="1">
      <alignment horizontal="left"/>
    </xf>
    <xf numFmtId="0" fontId="22" fillId="6" borderId="12" xfId="0" applyFont="1" applyFill="1" applyBorder="1" applyAlignment="1">
      <alignment horizontal="center"/>
    </xf>
    <xf numFmtId="0" fontId="22" fillId="6" borderId="11" xfId="0" applyFont="1" applyFill="1" applyBorder="1" applyAlignment="1">
      <alignment horizontal="center"/>
    </xf>
    <xf numFmtId="0" fontId="21" fillId="0" borderId="0" xfId="2" applyFont="1" applyAlignment="1"/>
    <xf numFmtId="0" fontId="21" fillId="0" borderId="0" xfId="2" applyFont="1" applyAlignment="1">
      <alignment horizontal="center"/>
    </xf>
    <xf numFmtId="0" fontId="23" fillId="0" borderId="6" xfId="2" applyFont="1" applyBorder="1" applyAlignment="1"/>
    <xf numFmtId="15" fontId="23" fillId="4" borderId="8" xfId="2" applyNumberFormat="1" applyFont="1" applyFill="1" applyBorder="1" applyAlignment="1">
      <alignment horizontal="center"/>
    </xf>
    <xf numFmtId="173" fontId="24" fillId="0" borderId="2" xfId="2" applyNumberFormat="1" applyFont="1" applyBorder="1" applyAlignment="1">
      <alignment horizontal="center"/>
    </xf>
    <xf numFmtId="173" fontId="24" fillId="0" borderId="0" xfId="2" applyNumberFormat="1" applyFont="1" applyAlignment="1">
      <alignment horizontal="center"/>
    </xf>
    <xf numFmtId="0" fontId="23" fillId="4" borderId="2" xfId="2" applyFont="1" applyFill="1" applyBorder="1" applyAlignment="1">
      <alignment horizontal="center"/>
    </xf>
    <xf numFmtId="9" fontId="23" fillId="4" borderId="2" xfId="2" applyNumberFormat="1" applyFont="1" applyFill="1" applyBorder="1" applyAlignment="1">
      <alignment horizontal="center"/>
    </xf>
    <xf numFmtId="9" fontId="23" fillId="4" borderId="4" xfId="5" applyFont="1" applyFill="1" applyBorder="1" applyAlignment="1">
      <alignment horizontal="center"/>
    </xf>
    <xf numFmtId="165" fontId="23" fillId="4" borderId="8" xfId="2" applyNumberFormat="1" applyFont="1" applyFill="1" applyBorder="1" applyAlignment="1">
      <alignment horizontal="center"/>
    </xf>
    <xf numFmtId="15" fontId="23" fillId="4" borderId="4" xfId="2" applyNumberFormat="1" applyFont="1" applyFill="1" applyBorder="1" applyAlignment="1">
      <alignment horizontal="center"/>
    </xf>
    <xf numFmtId="0" fontId="23" fillId="4" borderId="8" xfId="2" applyFont="1" applyFill="1" applyBorder="1" applyAlignment="1">
      <alignment horizontal="center"/>
    </xf>
    <xf numFmtId="1" fontId="24" fillId="4" borderId="2" xfId="2" applyNumberFormat="1" applyFont="1" applyFill="1" applyBorder="1" applyAlignment="1">
      <alignment horizontal="center"/>
    </xf>
    <xf numFmtId="0" fontId="21" fillId="0" borderId="0" xfId="2" applyFont="1" applyAlignment="1">
      <alignment horizontal="left"/>
    </xf>
    <xf numFmtId="2" fontId="23" fillId="4" borderId="2" xfId="2" applyNumberFormat="1" applyFont="1" applyFill="1" applyBorder="1" applyAlignment="1">
      <alignment horizontal="center"/>
    </xf>
    <xf numFmtId="10" fontId="24" fillId="0" borderId="0" xfId="5" applyNumberFormat="1" applyFont="1" applyAlignment="1">
      <alignment horizontal="left"/>
    </xf>
    <xf numFmtId="0" fontId="23" fillId="0" borderId="0" xfId="2" applyFont="1" applyAlignment="1">
      <alignment horizontal="center"/>
    </xf>
    <xf numFmtId="10" fontId="23" fillId="4" borderId="2" xfId="2" quotePrefix="1" applyNumberFormat="1" applyFont="1" applyFill="1" applyBorder="1" applyAlignment="1">
      <alignment horizontal="center"/>
    </xf>
    <xf numFmtId="10" fontId="23" fillId="0" borderId="0" xfId="2" applyNumberFormat="1" applyFont="1" applyAlignment="1">
      <alignment horizontal="center"/>
    </xf>
    <xf numFmtId="10" fontId="23" fillId="4" borderId="4" xfId="2" applyNumberFormat="1" applyFont="1" applyFill="1" applyBorder="1" applyAlignment="1">
      <alignment horizontal="center"/>
    </xf>
    <xf numFmtId="0" fontId="21" fillId="0" borderId="0" xfId="2" applyFont="1" applyAlignment="1">
      <alignment horizontal="right"/>
    </xf>
    <xf numFmtId="0" fontId="23" fillId="4" borderId="8" xfId="2" applyFont="1" applyFill="1" applyBorder="1" applyAlignment="1"/>
    <xf numFmtId="0" fontId="23" fillId="4" borderId="4" xfId="2" applyFont="1" applyFill="1" applyBorder="1" applyAlignment="1"/>
    <xf numFmtId="15" fontId="21" fillId="2" borderId="6" xfId="2" applyNumberFormat="1" applyFont="1" applyFill="1" applyBorder="1" applyAlignment="1">
      <alignment horizontal="center"/>
    </xf>
    <xf numFmtId="10" fontId="23" fillId="4" borderId="2" xfId="2" applyNumberFormat="1" applyFont="1" applyFill="1" applyBorder="1" applyAlignment="1">
      <alignment horizontal="center"/>
    </xf>
    <xf numFmtId="0" fontId="23" fillId="4" borderId="2" xfId="2" applyFont="1" applyFill="1" applyBorder="1" applyAlignment="1"/>
    <xf numFmtId="0" fontId="23" fillId="0" borderId="8" xfId="2" applyFont="1" applyBorder="1" applyAlignment="1">
      <alignment horizontal="center"/>
    </xf>
    <xf numFmtId="167" fontId="37" fillId="0" borderId="0" xfId="2" applyNumberFormat="1" applyFont="1" applyAlignment="1">
      <alignment horizontal="center"/>
    </xf>
    <xf numFmtId="10" fontId="23" fillId="4" borderId="2" xfId="5" applyNumberFormat="1" applyFont="1" applyFill="1" applyBorder="1" applyAlignment="1">
      <alignment horizontal="center"/>
    </xf>
    <xf numFmtId="0" fontId="23" fillId="0" borderId="11" xfId="2" applyFont="1" applyBorder="1" applyAlignment="1">
      <alignment horizontal="center"/>
    </xf>
    <xf numFmtId="0" fontId="19" fillId="2" borderId="6" xfId="2" applyFont="1" applyFill="1" applyBorder="1" applyAlignment="1">
      <alignment horizontal="center"/>
    </xf>
    <xf numFmtId="4" fontId="23" fillId="4" borderId="9" xfId="2" applyNumberFormat="1" applyFont="1" applyFill="1" applyBorder="1" applyAlignment="1">
      <alignment horizontal="left"/>
    </xf>
    <xf numFmtId="4" fontId="23" fillId="4" borderId="9" xfId="2" applyNumberFormat="1" applyFont="1" applyFill="1" applyBorder="1" applyAlignment="1">
      <alignment horizontal="center"/>
    </xf>
    <xf numFmtId="4" fontId="23" fillId="4" borderId="10" xfId="2" applyNumberFormat="1" applyFont="1" applyFill="1" applyBorder="1" applyAlignment="1">
      <alignment horizontal="left"/>
    </xf>
    <xf numFmtId="4" fontId="23" fillId="4" borderId="10" xfId="2" applyNumberFormat="1" applyFont="1" applyFill="1" applyBorder="1" applyAlignment="1">
      <alignment horizontal="center"/>
    </xf>
    <xf numFmtId="0" fontId="19" fillId="4" borderId="8" xfId="0" applyFont="1" applyFill="1" applyBorder="1" applyAlignment="1">
      <alignment horizontal="center"/>
    </xf>
    <xf numFmtId="0" fontId="19" fillId="4" borderId="2" xfId="0" applyFont="1" applyFill="1" applyBorder="1" applyAlignment="1">
      <alignment horizontal="center"/>
    </xf>
    <xf numFmtId="0" fontId="19" fillId="2" borderId="0" xfId="0" applyFont="1" applyFill="1" applyAlignment="1">
      <alignment horizontal="center"/>
    </xf>
    <xf numFmtId="0" fontId="19" fillId="2" borderId="2" xfId="0" applyFont="1" applyFill="1" applyBorder="1" applyAlignment="1">
      <alignment horizontal="center"/>
    </xf>
    <xf numFmtId="0" fontId="25" fillId="4" borderId="23" xfId="5" quotePrefix="1" applyNumberFormat="1" applyFont="1" applyFill="1" applyBorder="1" applyAlignment="1">
      <alignment horizontal="center"/>
    </xf>
    <xf numFmtId="0" fontId="26" fillId="4" borderId="23" xfId="5" quotePrefix="1" applyNumberFormat="1" applyFont="1" applyFill="1" applyBorder="1" applyAlignment="1">
      <alignment horizontal="center"/>
    </xf>
    <xf numFmtId="0" fontId="25" fillId="4" borderId="0" xfId="5" quotePrefix="1" applyNumberFormat="1" applyFont="1" applyFill="1" applyAlignment="1">
      <alignment horizontal="center"/>
    </xf>
    <xf numFmtId="0" fontId="26" fillId="4" borderId="0" xfId="5" quotePrefix="1" applyNumberFormat="1" applyFont="1" applyFill="1" applyAlignment="1">
      <alignment horizontal="center"/>
    </xf>
    <xf numFmtId="0" fontId="25" fillId="4" borderId="0" xfId="0" quotePrefix="1" applyFont="1" applyFill="1" applyAlignment="1">
      <alignment horizontal="center"/>
    </xf>
    <xf numFmtId="0" fontId="26" fillId="4" borderId="0" xfId="0" quotePrefix="1" applyFont="1" applyFill="1" applyAlignment="1">
      <alignment horizontal="center"/>
    </xf>
    <xf numFmtId="0" fontId="25" fillId="4" borderId="0" xfId="5" applyNumberFormat="1" applyFont="1" applyFill="1" applyAlignment="1">
      <alignment horizontal="center"/>
    </xf>
    <xf numFmtId="0" fontId="26" fillId="4" borderId="0" xfId="5" applyNumberFormat="1" applyFont="1" applyFill="1" applyAlignment="1">
      <alignment horizontal="center"/>
    </xf>
    <xf numFmtId="0" fontId="25" fillId="0" borderId="28" xfId="5" applyNumberFormat="1" applyFont="1" applyBorder="1" applyAlignment="1">
      <alignment horizontal="center"/>
    </xf>
    <xf numFmtId="0" fontId="25" fillId="0" borderId="4" xfId="5" applyNumberFormat="1" applyFont="1" applyBorder="1" applyAlignment="1">
      <alignment horizontal="center"/>
    </xf>
    <xf numFmtId="9" fontId="25" fillId="4" borderId="23" xfId="1" quotePrefix="1" applyFont="1" applyFill="1" applyBorder="1" applyAlignment="1">
      <alignment horizontal="center"/>
    </xf>
    <xf numFmtId="165" fontId="0" fillId="0" borderId="0" xfId="0" applyNumberFormat="1"/>
    <xf numFmtId="174" fontId="0" fillId="0" borderId="0" xfId="0" applyNumberFormat="1"/>
    <xf numFmtId="9" fontId="25" fillId="4" borderId="0" xfId="1" quotePrefix="1" applyFont="1" applyFill="1" applyAlignment="1">
      <alignment horizontal="center"/>
    </xf>
    <xf numFmtId="9" fontId="25" fillId="4" borderId="0" xfId="1" applyFont="1" applyFill="1" applyAlignment="1">
      <alignment horizontal="center"/>
    </xf>
    <xf numFmtId="0" fontId="0" fillId="0" borderId="0" xfId="0" quotePrefix="1"/>
    <xf numFmtId="0" fontId="22" fillId="0" borderId="5" xfId="2" applyFont="1" applyBorder="1" applyAlignment="1"/>
    <xf numFmtId="0" fontId="22" fillId="0" borderId="9" xfId="2" applyFont="1" applyBorder="1" applyAlignment="1"/>
    <xf numFmtId="0" fontId="22" fillId="0" borderId="10" xfId="2" applyFont="1" applyBorder="1" applyAlignment="1"/>
    <xf numFmtId="0" fontId="22" fillId="0" borderId="11" xfId="2" applyFont="1" applyBorder="1" applyAlignment="1"/>
    <xf numFmtId="0" fontId="22" fillId="0" borderId="9" xfId="2" applyFont="1" applyBorder="1" applyAlignment="1">
      <alignment horizontal="left"/>
    </xf>
    <xf numFmtId="0" fontId="22" fillId="0" borderId="44" xfId="2" applyFont="1" applyBorder="1" applyAlignment="1"/>
    <xf numFmtId="0" fontId="22" fillId="0" borderId="5" xfId="2" applyFont="1" applyBorder="1" applyAlignment="1">
      <alignment horizontal="center"/>
    </xf>
    <xf numFmtId="0" fontId="22" fillId="0" borderId="9" xfId="2" applyFont="1" applyBorder="1" applyAlignment="1">
      <alignment horizontal="center"/>
    </xf>
    <xf numFmtId="0" fontId="22" fillId="0" borderId="10" xfId="2" applyFont="1" applyBorder="1" applyAlignment="1">
      <alignment horizontal="center"/>
    </xf>
    <xf numFmtId="175" fontId="21" fillId="0" borderId="0" xfId="1" applyNumberFormat="1" applyFont="1"/>
    <xf numFmtId="0" fontId="38" fillId="2" borderId="0" xfId="0" applyFont="1" applyFill="1"/>
    <xf numFmtId="0" fontId="39" fillId="2" borderId="0" xfId="0" applyFont="1" applyFill="1" applyAlignment="1">
      <alignment horizontal="left" vertical="center" indent="1"/>
    </xf>
    <xf numFmtId="0" fontId="40" fillId="2" borderId="0" xfId="0" applyFont="1" applyFill="1" applyAlignment="1">
      <alignment horizontal="left" indent="1"/>
    </xf>
    <xf numFmtId="0" fontId="21" fillId="4" borderId="0" xfId="0" applyFont="1" applyFill="1"/>
    <xf numFmtId="0" fontId="21" fillId="4" borderId="0" xfId="0" applyFont="1" applyFill="1" applyAlignment="1">
      <alignment horizontal="center"/>
    </xf>
    <xf numFmtId="0" fontId="19" fillId="2" borderId="9" xfId="0" applyFont="1" applyFill="1" applyBorder="1"/>
    <xf numFmtId="14" fontId="23" fillId="4" borderId="9" xfId="0" applyNumberFormat="1" applyFont="1" applyFill="1" applyBorder="1" applyAlignment="1">
      <alignment horizontal="center"/>
    </xf>
    <xf numFmtId="0" fontId="19" fillId="2" borderId="10" xfId="0" applyFont="1" applyFill="1" applyBorder="1"/>
    <xf numFmtId="3" fontId="23" fillId="4" borderId="10" xfId="0" applyNumberFormat="1" applyFont="1" applyFill="1" applyBorder="1" applyAlignment="1">
      <alignment horizontal="center"/>
    </xf>
    <xf numFmtId="0" fontId="19" fillId="2" borderId="11" xfId="0" applyFont="1" applyFill="1" applyBorder="1"/>
    <xf numFmtId="0" fontId="23" fillId="4" borderId="10" xfId="0" applyFont="1" applyFill="1" applyBorder="1" applyAlignment="1">
      <alignment horizontal="center"/>
    </xf>
    <xf numFmtId="0" fontId="20" fillId="4" borderId="0" xfId="0" applyFont="1" applyFill="1" applyAlignment="1">
      <alignment horizontal="center"/>
    </xf>
    <xf numFmtId="9" fontId="23" fillId="4" borderId="10" xfId="0" applyNumberFormat="1" applyFont="1" applyFill="1" applyBorder="1" applyAlignment="1">
      <alignment horizontal="center"/>
    </xf>
    <xf numFmtId="0" fontId="19" fillId="4" borderId="0" xfId="0" applyFont="1" applyFill="1"/>
    <xf numFmtId="0" fontId="23" fillId="4" borderId="4" xfId="0" applyFont="1" applyFill="1" applyBorder="1" applyAlignment="1">
      <alignment horizontal="center"/>
    </xf>
    <xf numFmtId="0" fontId="22" fillId="4" borderId="0" xfId="0" applyFont="1" applyFill="1"/>
    <xf numFmtId="9" fontId="20" fillId="4" borderId="0" xfId="0" applyNumberFormat="1" applyFont="1" applyFill="1" applyAlignment="1">
      <alignment horizontal="center"/>
    </xf>
    <xf numFmtId="0" fontId="19" fillId="2" borderId="7" xfId="0" applyFont="1" applyFill="1" applyBorder="1"/>
    <xf numFmtId="0" fontId="23" fillId="4" borderId="8" xfId="0" applyFont="1" applyFill="1" applyBorder="1" applyAlignment="1">
      <alignment horizontal="center"/>
    </xf>
    <xf numFmtId="0" fontId="19" fillId="2" borderId="1" xfId="0" applyFont="1" applyFill="1" applyBorder="1"/>
    <xf numFmtId="9" fontId="23" fillId="4" borderId="2" xfId="0" applyNumberFormat="1" applyFont="1" applyFill="1" applyBorder="1" applyAlignment="1">
      <alignment horizontal="center"/>
    </xf>
    <xf numFmtId="0" fontId="19" fillId="2" borderId="3" xfId="0" applyFont="1" applyFill="1" applyBorder="1"/>
    <xf numFmtId="0" fontId="22" fillId="4" borderId="0" xfId="0" applyFont="1" applyFill="1" applyAlignment="1">
      <alignment horizontal="left"/>
    </xf>
    <xf numFmtId="0" fontId="22" fillId="0" borderId="0" xfId="0" applyFont="1"/>
    <xf numFmtId="9" fontId="20" fillId="0" borderId="0" xfId="0" applyNumberFormat="1" applyFont="1" applyAlignment="1">
      <alignment horizontal="center"/>
    </xf>
    <xf numFmtId="9" fontId="23" fillId="4" borderId="9" xfId="0" applyNumberFormat="1" applyFont="1" applyFill="1" applyBorder="1" applyAlignment="1">
      <alignment horizontal="center"/>
    </xf>
    <xf numFmtId="0" fontId="23" fillId="4" borderId="2" xfId="0" applyFont="1" applyFill="1" applyBorder="1" applyAlignment="1">
      <alignment horizontal="center"/>
    </xf>
    <xf numFmtId="15" fontId="23" fillId="4" borderId="4" xfId="0" applyNumberFormat="1" applyFont="1" applyFill="1" applyBorder="1" applyAlignment="1">
      <alignment horizontal="center"/>
    </xf>
    <xf numFmtId="0" fontId="23" fillId="4" borderId="0" xfId="0" applyFont="1" applyFill="1" applyAlignment="1">
      <alignment horizontal="center"/>
    </xf>
    <xf numFmtId="0" fontId="26" fillId="2" borderId="23" xfId="0" applyFont="1" applyFill="1" applyBorder="1"/>
    <xf numFmtId="0" fontId="26" fillId="2" borderId="45" xfId="0" applyFont="1" applyFill="1" applyBorder="1" applyAlignment="1">
      <alignment horizontal="center"/>
    </xf>
    <xf numFmtId="0" fontId="19" fillId="2" borderId="8" xfId="0" applyFont="1" applyFill="1" applyBorder="1" applyAlignment="1">
      <alignment horizontal="center"/>
    </xf>
    <xf numFmtId="0" fontId="19" fillId="4" borderId="5" xfId="0" applyFont="1" applyFill="1" applyBorder="1"/>
    <xf numFmtId="0" fontId="26" fillId="4" borderId="6" xfId="0" applyFont="1" applyFill="1" applyBorder="1"/>
    <xf numFmtId="0" fontId="19" fillId="2" borderId="7" xfId="0" applyFont="1" applyFill="1" applyBorder="1" applyAlignment="1">
      <alignment horizontal="center"/>
    </xf>
    <xf numFmtId="0" fontId="21" fillId="4" borderId="23" xfId="0" applyFont="1" applyFill="1" applyBorder="1" applyAlignment="1">
      <alignment horizontal="center"/>
    </xf>
    <xf numFmtId="0" fontId="21" fillId="4" borderId="25" xfId="0" applyFont="1" applyFill="1" applyBorder="1" applyAlignment="1">
      <alignment horizontal="center"/>
    </xf>
    <xf numFmtId="0" fontId="21" fillId="4" borderId="46" xfId="0" applyFont="1" applyFill="1" applyBorder="1" applyAlignment="1">
      <alignment horizontal="center"/>
    </xf>
    <xf numFmtId="0" fontId="21" fillId="4" borderId="29" xfId="0" applyFont="1" applyFill="1" applyBorder="1" applyAlignment="1">
      <alignment horizontal="center"/>
    </xf>
    <xf numFmtId="9" fontId="23" fillId="4" borderId="8" xfId="0" applyNumberFormat="1" applyFont="1" applyFill="1" applyBorder="1" applyAlignment="1">
      <alignment horizontal="center"/>
    </xf>
    <xf numFmtId="9" fontId="19" fillId="2" borderId="1" xfId="0" applyNumberFormat="1" applyFont="1" applyFill="1" applyBorder="1" applyAlignment="1">
      <alignment horizontal="center"/>
    </xf>
    <xf numFmtId="10" fontId="23" fillId="4" borderId="7" xfId="0" applyNumberFormat="1" applyFont="1" applyFill="1" applyBorder="1" applyAlignment="1">
      <alignment horizontal="center"/>
    </xf>
    <xf numFmtId="10" fontId="23" fillId="4" borderId="46" xfId="0" applyNumberFormat="1" applyFont="1" applyFill="1" applyBorder="1" applyAlignment="1">
      <alignment horizontal="center"/>
    </xf>
    <xf numFmtId="9" fontId="23" fillId="4" borderId="46" xfId="0" applyNumberFormat="1" applyFont="1" applyFill="1" applyBorder="1" applyAlignment="1">
      <alignment horizontal="center"/>
    </xf>
    <xf numFmtId="9" fontId="23" fillId="4" borderId="25" xfId="0" applyNumberFormat="1" applyFont="1" applyFill="1" applyBorder="1" applyAlignment="1">
      <alignment horizontal="center"/>
    </xf>
    <xf numFmtId="9" fontId="23" fillId="4" borderId="29" xfId="0" applyNumberFormat="1" applyFont="1" applyFill="1" applyBorder="1" applyAlignment="1">
      <alignment horizontal="center"/>
    </xf>
    <xf numFmtId="9" fontId="23" fillId="4" borderId="4" xfId="0" applyNumberFormat="1" applyFont="1" applyFill="1" applyBorder="1" applyAlignment="1">
      <alignment horizontal="center"/>
    </xf>
    <xf numFmtId="10" fontId="23" fillId="4" borderId="3" xfId="0" applyNumberFormat="1" applyFont="1" applyFill="1" applyBorder="1" applyAlignment="1">
      <alignment horizontal="center"/>
    </xf>
    <xf numFmtId="10" fontId="23" fillId="4" borderId="47" xfId="0" applyNumberFormat="1" applyFont="1" applyFill="1" applyBorder="1" applyAlignment="1">
      <alignment horizontal="center"/>
    </xf>
    <xf numFmtId="9" fontId="23" fillId="4" borderId="47" xfId="0" applyNumberFormat="1" applyFont="1" applyFill="1" applyBorder="1" applyAlignment="1">
      <alignment horizontal="center"/>
    </xf>
    <xf numFmtId="9" fontId="23" fillId="4" borderId="19" xfId="0" applyNumberFormat="1" applyFont="1" applyFill="1" applyBorder="1" applyAlignment="1">
      <alignment horizontal="center"/>
    </xf>
    <xf numFmtId="9" fontId="23" fillId="4" borderId="20" xfId="0" applyNumberFormat="1" applyFont="1" applyFill="1" applyBorder="1" applyAlignment="1">
      <alignment horizontal="center"/>
    </xf>
    <xf numFmtId="165" fontId="21" fillId="4" borderId="0" xfId="5" applyNumberFormat="1" applyFont="1" applyFill="1"/>
    <xf numFmtId="0" fontId="19" fillId="4" borderId="1" xfId="0" applyFont="1" applyFill="1" applyBorder="1"/>
    <xf numFmtId="0" fontId="26" fillId="4" borderId="0" xfId="0" applyFont="1" applyFill="1"/>
    <xf numFmtId="9" fontId="19" fillId="2" borderId="3" xfId="0" applyNumberFormat="1" applyFont="1" applyFill="1" applyBorder="1" applyAlignment="1">
      <alignment horizontal="center"/>
    </xf>
    <xf numFmtId="10" fontId="23" fillId="4" borderId="28" xfId="0" applyNumberFormat="1" applyFont="1" applyFill="1" applyBorder="1" applyAlignment="1">
      <alignment horizontal="center"/>
    </xf>
    <xf numFmtId="0" fontId="21" fillId="0" borderId="3" xfId="0" applyFont="1" applyBorder="1" applyAlignment="1">
      <alignment horizontal="center"/>
    </xf>
    <xf numFmtId="0" fontId="21" fillId="0" borderId="28" xfId="0" applyFont="1" applyBorder="1" applyAlignment="1">
      <alignment horizontal="left"/>
    </xf>
    <xf numFmtId="0" fontId="21" fillId="0" borderId="28" xfId="0" applyFont="1" applyBorder="1" applyAlignment="1">
      <alignment horizontal="center"/>
    </xf>
    <xf numFmtId="10" fontId="23" fillId="4" borderId="9" xfId="0" applyNumberFormat="1" applyFont="1" applyFill="1" applyBorder="1" applyAlignment="1">
      <alignment horizontal="center"/>
    </xf>
    <xf numFmtId="0" fontId="26" fillId="2" borderId="5" xfId="0" applyFont="1" applyFill="1" applyBorder="1" applyAlignment="1">
      <alignment horizontal="center"/>
    </xf>
    <xf numFmtId="0" fontId="23" fillId="4" borderId="11" xfId="0" applyFont="1" applyFill="1" applyBorder="1"/>
    <xf numFmtId="0" fontId="22" fillId="0" borderId="5" xfId="0" applyFont="1" applyBorder="1" applyAlignment="1">
      <alignment horizontal="center"/>
    </xf>
    <xf numFmtId="0" fontId="22" fillId="0" borderId="14" xfId="0" applyFont="1" applyBorder="1" applyAlignment="1">
      <alignment horizontal="center"/>
    </xf>
    <xf numFmtId="0" fontId="22" fillId="0" borderId="48" xfId="0" applyFont="1" applyBorder="1" applyAlignment="1">
      <alignment horizontal="center"/>
    </xf>
    <xf numFmtId="0" fontId="22" fillId="0" borderId="17" xfId="0" applyFont="1" applyBorder="1" applyAlignment="1">
      <alignment horizontal="center"/>
    </xf>
    <xf numFmtId="176" fontId="23" fillId="4" borderId="9" xfId="0" applyNumberFormat="1" applyFont="1" applyFill="1" applyBorder="1" applyAlignment="1">
      <alignment horizontal="center"/>
    </xf>
    <xf numFmtId="176" fontId="23" fillId="4" borderId="0" xfId="0" applyNumberFormat="1" applyFont="1" applyFill="1" applyAlignment="1">
      <alignment horizontal="center"/>
    </xf>
    <xf numFmtId="176" fontId="23" fillId="4" borderId="46" xfId="0" applyNumberFormat="1" applyFont="1" applyFill="1" applyBorder="1" applyAlignment="1">
      <alignment horizontal="center"/>
    </xf>
    <xf numFmtId="176" fontId="23" fillId="4" borderId="25" xfId="0" applyNumberFormat="1" applyFont="1" applyFill="1" applyBorder="1" applyAlignment="1">
      <alignment horizontal="center"/>
    </xf>
    <xf numFmtId="176" fontId="23" fillId="4" borderId="31" xfId="0" applyNumberFormat="1" applyFont="1" applyFill="1" applyBorder="1" applyAlignment="1">
      <alignment horizontal="center"/>
    </xf>
    <xf numFmtId="9" fontId="23" fillId="4" borderId="0" xfId="0" applyNumberFormat="1" applyFont="1" applyFill="1" applyAlignment="1">
      <alignment horizontal="center"/>
    </xf>
    <xf numFmtId="176" fontId="23" fillId="4" borderId="10" xfId="0" applyNumberFormat="1" applyFont="1" applyFill="1" applyBorder="1" applyAlignment="1">
      <alignment horizontal="center"/>
    </xf>
    <xf numFmtId="176" fontId="23" fillId="4" borderId="21" xfId="0" applyNumberFormat="1" applyFont="1" applyFill="1" applyBorder="1" applyAlignment="1">
      <alignment horizontal="center"/>
    </xf>
    <xf numFmtId="176" fontId="23" fillId="4" borderId="27" xfId="0" applyNumberFormat="1" applyFont="1" applyFill="1" applyBorder="1" applyAlignment="1">
      <alignment horizontal="center"/>
    </xf>
    <xf numFmtId="176" fontId="23" fillId="4" borderId="32" xfId="0" applyNumberFormat="1" applyFont="1" applyFill="1" applyBorder="1" applyAlignment="1">
      <alignment horizontal="center"/>
    </xf>
    <xf numFmtId="10" fontId="23" fillId="4" borderId="32" xfId="0" applyNumberFormat="1" applyFont="1" applyFill="1" applyBorder="1" applyAlignment="1">
      <alignment horizontal="center"/>
    </xf>
    <xf numFmtId="0" fontId="19" fillId="4" borderId="3" xfId="0" applyFont="1" applyFill="1" applyBorder="1"/>
    <xf numFmtId="0" fontId="21" fillId="4" borderId="28" xfId="0" applyFont="1" applyFill="1" applyBorder="1"/>
    <xf numFmtId="176" fontId="23" fillId="4" borderId="11" xfId="0" applyNumberFormat="1" applyFont="1" applyFill="1" applyBorder="1" applyAlignment="1">
      <alignment horizontal="center"/>
    </xf>
    <xf numFmtId="176" fontId="23" fillId="4" borderId="28" xfId="0" applyNumberFormat="1" applyFont="1" applyFill="1" applyBorder="1" applyAlignment="1">
      <alignment horizontal="center"/>
    </xf>
    <xf numFmtId="176" fontId="23" fillId="4" borderId="47" xfId="0" applyNumberFormat="1" applyFont="1" applyFill="1" applyBorder="1" applyAlignment="1">
      <alignment horizontal="center"/>
    </xf>
    <xf numFmtId="176" fontId="23" fillId="4" borderId="19" xfId="0" applyNumberFormat="1" applyFont="1" applyFill="1" applyBorder="1" applyAlignment="1">
      <alignment horizontal="center"/>
    </xf>
    <xf numFmtId="176" fontId="23" fillId="4" borderId="33" xfId="0" applyNumberFormat="1" applyFont="1" applyFill="1" applyBorder="1" applyAlignment="1">
      <alignment horizontal="center"/>
    </xf>
    <xf numFmtId="9" fontId="23" fillId="4" borderId="28" xfId="0" applyNumberFormat="1" applyFont="1" applyFill="1" applyBorder="1" applyAlignment="1">
      <alignment horizontal="center"/>
    </xf>
    <xf numFmtId="0" fontId="22" fillId="4" borderId="12" xfId="0" applyFont="1" applyFill="1" applyBorder="1"/>
    <xf numFmtId="0" fontId="23" fillId="4" borderId="6" xfId="0" applyFont="1" applyFill="1" applyBorder="1"/>
    <xf numFmtId="0" fontId="22" fillId="4" borderId="0" xfId="0" applyFont="1" applyFill="1" applyAlignment="1">
      <alignment horizontal="center"/>
    </xf>
    <xf numFmtId="0" fontId="19" fillId="2" borderId="5" xfId="0" applyFont="1" applyFill="1" applyBorder="1" applyAlignment="1">
      <alignment horizontal="center"/>
    </xf>
    <xf numFmtId="0" fontId="19" fillId="2" borderId="12" xfId="0" applyFont="1" applyFill="1" applyBorder="1" applyAlignment="1">
      <alignment horizontal="center"/>
    </xf>
    <xf numFmtId="0" fontId="21" fillId="4" borderId="2" xfId="0" applyFont="1" applyFill="1" applyBorder="1" applyAlignment="1">
      <alignment horizontal="center"/>
    </xf>
    <xf numFmtId="10" fontId="25" fillId="0" borderId="38" xfId="5" applyNumberFormat="1" applyFont="1" applyBorder="1" applyAlignment="1">
      <alignment horizontal="center"/>
    </xf>
    <xf numFmtId="165" fontId="25" fillId="4" borderId="36" xfId="5" applyNumberFormat="1" applyFont="1" applyFill="1" applyBorder="1" applyAlignment="1">
      <alignment horizontal="center"/>
    </xf>
    <xf numFmtId="10" fontId="25" fillId="4" borderId="39" xfId="5" applyNumberFormat="1" applyFont="1" applyFill="1" applyBorder="1" applyAlignment="1">
      <alignment horizontal="center"/>
    </xf>
    <xf numFmtId="10" fontId="25" fillId="4" borderId="40" xfId="5" applyNumberFormat="1" applyFont="1" applyFill="1" applyBorder="1" applyAlignment="1">
      <alignment horizontal="center"/>
    </xf>
    <xf numFmtId="10" fontId="25" fillId="0" borderId="41" xfId="5" applyNumberFormat="1" applyFont="1" applyBorder="1" applyAlignment="1">
      <alignment horizontal="center"/>
    </xf>
    <xf numFmtId="165" fontId="41" fillId="4" borderId="37" xfId="5" applyNumberFormat="1" applyFont="1" applyFill="1" applyBorder="1" applyAlignment="1">
      <alignment horizontal="center"/>
    </xf>
    <xf numFmtId="10" fontId="25" fillId="4" borderId="42" xfId="5" applyNumberFormat="1" applyFont="1" applyFill="1" applyBorder="1" applyAlignment="1">
      <alignment horizontal="center"/>
    </xf>
    <xf numFmtId="10" fontId="25" fillId="4" borderId="43" xfId="5" applyNumberFormat="1" applyFont="1" applyFill="1" applyBorder="1" applyAlignment="1">
      <alignment horizontal="center"/>
    </xf>
    <xf numFmtId="10" fontId="25" fillId="4" borderId="0" xfId="5" applyNumberFormat="1" applyFont="1" applyFill="1" applyAlignment="1">
      <alignment horizontal="center"/>
    </xf>
    <xf numFmtId="165" fontId="25" fillId="4" borderId="0" xfId="5" applyNumberFormat="1" applyFont="1" applyFill="1" applyAlignment="1">
      <alignment horizontal="center"/>
    </xf>
    <xf numFmtId="177" fontId="25" fillId="4" borderId="0" xfId="5" applyNumberFormat="1" applyFont="1" applyFill="1" applyAlignment="1">
      <alignment horizontal="center"/>
    </xf>
    <xf numFmtId="176" fontId="20" fillId="4" borderId="0" xfId="0" applyNumberFormat="1" applyFont="1" applyFill="1" applyAlignment="1">
      <alignment horizontal="center"/>
    </xf>
    <xf numFmtId="0" fontId="26" fillId="4" borderId="0" xfId="0" applyFont="1" applyFill="1" applyAlignment="1">
      <alignment horizontal="center"/>
    </xf>
    <xf numFmtId="0" fontId="21" fillId="4" borderId="48" xfId="0" applyFont="1" applyFill="1" applyBorder="1" applyAlignment="1">
      <alignment horizontal="center"/>
    </xf>
    <xf numFmtId="0" fontId="21" fillId="4" borderId="14" xfId="0" applyFont="1" applyFill="1" applyBorder="1" applyAlignment="1">
      <alignment horizontal="center"/>
    </xf>
    <xf numFmtId="0" fontId="21" fillId="4" borderId="6" xfId="0" applyFont="1" applyFill="1" applyBorder="1" applyAlignment="1">
      <alignment horizontal="center"/>
    </xf>
    <xf numFmtId="0" fontId="19" fillId="2" borderId="1" xfId="0" applyFont="1" applyFill="1" applyBorder="1" applyAlignment="1">
      <alignment horizontal="center"/>
    </xf>
    <xf numFmtId="0" fontId="23" fillId="4" borderId="21" xfId="0" applyFont="1" applyFill="1" applyBorder="1" applyAlignment="1">
      <alignment horizontal="center"/>
    </xf>
    <xf numFmtId="0" fontId="23" fillId="4" borderId="32" xfId="0" applyFont="1" applyFill="1" applyBorder="1" applyAlignment="1">
      <alignment horizontal="center"/>
    </xf>
    <xf numFmtId="0" fontId="19" fillId="2" borderId="3" xfId="0" applyFont="1" applyFill="1" applyBorder="1" applyAlignment="1">
      <alignment horizontal="center"/>
    </xf>
    <xf numFmtId="176" fontId="23" fillId="4" borderId="49" xfId="0" applyNumberFormat="1" applyFont="1" applyFill="1" applyBorder="1" applyAlignment="1">
      <alignment horizontal="center"/>
    </xf>
    <xf numFmtId="0" fontId="23" fillId="4" borderId="22" xfId="0" applyFont="1" applyFill="1" applyBorder="1" applyAlignment="1">
      <alignment horizontal="center"/>
    </xf>
    <xf numFmtId="0" fontId="23" fillId="4" borderId="13" xfId="0" applyFont="1" applyFill="1" applyBorder="1" applyAlignment="1">
      <alignment horizontal="center"/>
    </xf>
    <xf numFmtId="0" fontId="23" fillId="4" borderId="49" xfId="0" applyFont="1" applyFill="1" applyBorder="1" applyAlignment="1">
      <alignment horizontal="center"/>
    </xf>
    <xf numFmtId="0" fontId="42" fillId="4" borderId="10" xfId="6" applyFill="1" applyBorder="1" applyAlignment="1">
      <alignment horizontal="left"/>
    </xf>
    <xf numFmtId="173" fontId="21" fillId="0" borderId="0" xfId="2" applyNumberFormat="1" applyFont="1" applyAlignment="1">
      <alignment horizontal="center"/>
    </xf>
    <xf numFmtId="169" fontId="24" fillId="4" borderId="0" xfId="1" applyNumberFormat="1" applyFont="1" applyFill="1" applyBorder="1" applyAlignment="1">
      <alignment horizontal="center"/>
    </xf>
    <xf numFmtId="0" fontId="0" fillId="0" borderId="0" xfId="0" applyAlignment="1">
      <alignment horizontal="left" indent="1"/>
    </xf>
    <xf numFmtId="2" fontId="0" fillId="0" borderId="0" xfId="0" applyNumberFormat="1" applyAlignment="1">
      <alignment horizontal="left" indent="1"/>
    </xf>
    <xf numFmtId="164" fontId="37" fillId="4" borderId="23" xfId="0" applyNumberFormat="1" applyFont="1" applyFill="1" applyBorder="1" applyAlignment="1">
      <alignment horizontal="center"/>
    </xf>
    <xf numFmtId="165" fontId="37" fillId="4" borderId="23" xfId="0" applyNumberFormat="1" applyFont="1" applyFill="1" applyBorder="1" applyAlignment="1">
      <alignment horizontal="center"/>
    </xf>
    <xf numFmtId="164" fontId="37" fillId="4" borderId="0" xfId="0" quotePrefix="1" applyNumberFormat="1" applyFont="1" applyFill="1" applyAlignment="1">
      <alignment horizontal="center"/>
    </xf>
    <xf numFmtId="165" fontId="37" fillId="4" borderId="0" xfId="0" applyNumberFormat="1" applyFont="1" applyFill="1" applyAlignment="1">
      <alignment horizontal="center"/>
    </xf>
    <xf numFmtId="164" fontId="37" fillId="4" borderId="0" xfId="0" applyNumberFormat="1" applyFont="1" applyFill="1" applyAlignment="1">
      <alignment horizontal="center"/>
    </xf>
    <xf numFmtId="165" fontId="37" fillId="4" borderId="0" xfId="5" applyNumberFormat="1" applyFont="1" applyFill="1" applyAlignment="1">
      <alignment horizontal="center"/>
    </xf>
    <xf numFmtId="178" fontId="37" fillId="4" borderId="0" xfId="0" applyNumberFormat="1" applyFont="1" applyFill="1" applyAlignment="1">
      <alignment horizontal="center"/>
    </xf>
    <xf numFmtId="169" fontId="37" fillId="4" borderId="0" xfId="5" applyNumberFormat="1" applyFont="1" applyFill="1" applyAlignment="1">
      <alignment horizontal="center"/>
    </xf>
    <xf numFmtId="0" fontId="26" fillId="2" borderId="0" xfId="0" applyFont="1" applyFill="1" applyAlignment="1">
      <alignment horizontal="center"/>
    </xf>
    <xf numFmtId="178" fontId="26" fillId="2" borderId="0" xfId="0" applyNumberFormat="1" applyFont="1" applyFill="1" applyAlignment="1">
      <alignment horizontal="center"/>
    </xf>
    <xf numFmtId="166" fontId="26" fillId="4" borderId="23" xfId="0" applyNumberFormat="1" applyFont="1" applyFill="1" applyBorder="1"/>
    <xf numFmtId="0" fontId="26" fillId="4" borderId="23" xfId="0" applyFont="1" applyFill="1" applyBorder="1"/>
    <xf numFmtId="0" fontId="26" fillId="4" borderId="8" xfId="0" applyFont="1" applyFill="1" applyBorder="1"/>
    <xf numFmtId="178" fontId="26" fillId="4" borderId="0" xfId="0" applyNumberFormat="1" applyFont="1" applyFill="1"/>
    <xf numFmtId="0" fontId="26" fillId="4" borderId="2" xfId="0" applyFont="1" applyFill="1" applyBorder="1"/>
    <xf numFmtId="178" fontId="37" fillId="4" borderId="0" xfId="0" applyNumberFormat="1" applyFont="1" applyFill="1" applyAlignment="1">
      <alignment horizontal="right"/>
    </xf>
    <xf numFmtId="2" fontId="37" fillId="4" borderId="0" xfId="0" applyNumberFormat="1" applyFont="1" applyFill="1" applyAlignment="1">
      <alignment horizontal="center"/>
    </xf>
    <xf numFmtId="0" fontId="26" fillId="2" borderId="2" xfId="0" applyFont="1" applyFill="1" applyBorder="1" applyAlignment="1">
      <alignment horizontal="center"/>
    </xf>
    <xf numFmtId="179" fontId="37" fillId="4" borderId="0" xfId="0" applyNumberFormat="1" applyFont="1" applyFill="1" applyAlignment="1">
      <alignment horizontal="center"/>
    </xf>
    <xf numFmtId="179" fontId="37" fillId="4" borderId="2" xfId="0" applyNumberFormat="1" applyFont="1" applyFill="1" applyBorder="1" applyAlignment="1">
      <alignment horizontal="center"/>
    </xf>
    <xf numFmtId="178" fontId="37" fillId="4" borderId="2" xfId="0" applyNumberFormat="1" applyFont="1" applyFill="1" applyBorder="1" applyAlignment="1">
      <alignment horizontal="center"/>
    </xf>
    <xf numFmtId="178" fontId="37" fillId="4" borderId="28" xfId="0" applyNumberFormat="1" applyFont="1" applyFill="1" applyBorder="1" applyAlignment="1">
      <alignment horizontal="center"/>
    </xf>
    <xf numFmtId="179" fontId="37" fillId="4" borderId="28" xfId="0" applyNumberFormat="1" applyFont="1" applyFill="1" applyBorder="1" applyAlignment="1">
      <alignment horizontal="center"/>
    </xf>
    <xf numFmtId="179" fontId="37" fillId="4" borderId="4" xfId="0" applyNumberFormat="1" applyFont="1" applyFill="1" applyBorder="1" applyAlignment="1">
      <alignment horizontal="center"/>
    </xf>
    <xf numFmtId="0" fontId="21" fillId="0" borderId="1" xfId="0" applyFont="1" applyBorder="1"/>
    <xf numFmtId="165" fontId="43" fillId="0" borderId="2" xfId="0" applyNumberFormat="1" applyFont="1" applyBorder="1"/>
    <xf numFmtId="2" fontId="23" fillId="4" borderId="4" xfId="0" applyNumberFormat="1" applyFont="1" applyFill="1" applyBorder="1" applyAlignment="1">
      <alignment horizontal="center"/>
    </xf>
    <xf numFmtId="179" fontId="21" fillId="0" borderId="0" xfId="0" applyNumberFormat="1" applyFont="1"/>
    <xf numFmtId="0" fontId="21" fillId="0" borderId="3" xfId="0" applyFont="1" applyBorder="1"/>
    <xf numFmtId="179" fontId="24" fillId="0" borderId="4" xfId="0" applyNumberFormat="1" applyFont="1" applyBorder="1"/>
    <xf numFmtId="179" fontId="24" fillId="0" borderId="2" xfId="0" applyNumberFormat="1" applyFont="1" applyBorder="1"/>
    <xf numFmtId="0" fontId="22" fillId="0" borderId="3" xfId="0" applyFont="1" applyBorder="1" applyAlignment="1">
      <alignment horizontal="center"/>
    </xf>
    <xf numFmtId="0" fontId="21" fillId="0" borderId="14" xfId="0" applyFont="1" applyBorder="1" applyAlignment="1">
      <alignment horizontal="center"/>
    </xf>
    <xf numFmtId="0" fontId="21" fillId="0" borderId="4" xfId="0" applyFont="1" applyBorder="1"/>
    <xf numFmtId="0" fontId="21" fillId="0" borderId="5" xfId="0" applyFont="1" applyBorder="1"/>
    <xf numFmtId="0" fontId="21" fillId="0" borderId="14" xfId="0" applyFont="1" applyBorder="1"/>
    <xf numFmtId="0" fontId="21" fillId="0" borderId="6" xfId="0" applyFont="1" applyBorder="1"/>
    <xf numFmtId="165" fontId="25" fillId="0" borderId="1" xfId="5" applyNumberFormat="1" applyFont="1" applyBorder="1" applyAlignment="1">
      <alignment horizontal="center"/>
    </xf>
    <xf numFmtId="165" fontId="25" fillId="0" borderId="0" xfId="5" applyNumberFormat="1" applyFont="1" applyAlignment="1">
      <alignment horizontal="center"/>
    </xf>
    <xf numFmtId="167" fontId="25" fillId="0" borderId="0" xfId="5" applyNumberFormat="1" applyFont="1" applyAlignment="1">
      <alignment horizontal="center"/>
    </xf>
    <xf numFmtId="164" fontId="25" fillId="0" borderId="0" xfId="0" applyNumberFormat="1" applyFont="1" applyAlignment="1">
      <alignment horizontal="center"/>
    </xf>
    <xf numFmtId="10" fontId="24" fillId="0" borderId="1" xfId="5" applyNumberFormat="1" applyFont="1" applyBorder="1"/>
    <xf numFmtId="165" fontId="24" fillId="0" borderId="2" xfId="5" applyNumberFormat="1" applyFont="1" applyBorder="1"/>
    <xf numFmtId="165" fontId="23" fillId="0" borderId="0" xfId="5" applyNumberFormat="1" applyFont="1"/>
    <xf numFmtId="165" fontId="25" fillId="0" borderId="28" xfId="5" applyNumberFormat="1" applyFont="1" applyBorder="1" applyAlignment="1">
      <alignment horizontal="center"/>
    </xf>
    <xf numFmtId="167" fontId="25" fillId="0" borderId="28" xfId="5" applyNumberFormat="1" applyFont="1" applyBorder="1" applyAlignment="1">
      <alignment horizontal="center"/>
    </xf>
    <xf numFmtId="164" fontId="25" fillId="0" borderId="28" xfId="0" applyNumberFormat="1" applyFont="1" applyBorder="1" applyAlignment="1">
      <alignment horizontal="center"/>
    </xf>
    <xf numFmtId="0" fontId="21" fillId="0" borderId="7" xfId="0" applyFont="1" applyBorder="1"/>
    <xf numFmtId="10" fontId="20" fillId="0" borderId="8" xfId="0" applyNumberFormat="1" applyFont="1" applyBorder="1"/>
    <xf numFmtId="165" fontId="24" fillId="0" borderId="2" xfId="0" applyNumberFormat="1" applyFont="1" applyBorder="1"/>
    <xf numFmtId="180" fontId="21" fillId="0" borderId="0" xfId="0" applyNumberFormat="1" applyFont="1"/>
    <xf numFmtId="1" fontId="23" fillId="4" borderId="2" xfId="2" applyNumberFormat="1" applyFont="1" applyFill="1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1" fillId="0" borderId="6" xfId="0" applyFont="1" applyBorder="1" applyAlignment="1">
      <alignment horizontal="center"/>
    </xf>
    <xf numFmtId="0" fontId="1" fillId="0" borderId="5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1" fillId="0" borderId="14" xfId="0" applyFont="1" applyBorder="1" applyAlignment="1">
      <alignment horizontal="center" vertical="center"/>
    </xf>
    <xf numFmtId="0" fontId="12" fillId="0" borderId="5" xfId="0" applyFont="1" applyBorder="1" applyAlignment="1">
      <alignment horizontal="center" vertical="center"/>
    </xf>
    <xf numFmtId="0" fontId="12" fillId="0" borderId="14" xfId="0" applyFont="1" applyBorder="1" applyAlignment="1">
      <alignment horizontal="center" vertical="center"/>
    </xf>
    <xf numFmtId="0" fontId="12" fillId="0" borderId="6" xfId="0" applyFont="1" applyBorder="1" applyAlignment="1">
      <alignment horizontal="center" vertical="center"/>
    </xf>
    <xf numFmtId="0" fontId="27" fillId="3" borderId="7" xfId="0" applyFont="1" applyFill="1" applyBorder="1" applyAlignment="1">
      <alignment horizontal="center"/>
    </xf>
    <xf numFmtId="0" fontId="27" fillId="3" borderId="23" xfId="0" applyFont="1" applyFill="1" applyBorder="1" applyAlignment="1">
      <alignment horizontal="center"/>
    </xf>
    <xf numFmtId="0" fontId="27" fillId="3" borderId="8" xfId="0" applyFont="1" applyFill="1" applyBorder="1" applyAlignment="1">
      <alignment horizontal="center"/>
    </xf>
    <xf numFmtId="0" fontId="27" fillId="3" borderId="5" xfId="0" applyFont="1" applyFill="1" applyBorder="1" applyAlignment="1">
      <alignment horizontal="center"/>
    </xf>
    <xf numFmtId="0" fontId="27" fillId="3" borderId="14" xfId="0" applyFont="1" applyFill="1" applyBorder="1" applyAlignment="1">
      <alignment horizontal="center"/>
    </xf>
    <xf numFmtId="0" fontId="27" fillId="3" borderId="6" xfId="0" applyFont="1" applyFill="1" applyBorder="1" applyAlignment="1">
      <alignment horizontal="center"/>
    </xf>
    <xf numFmtId="0" fontId="22" fillId="3" borderId="5" xfId="0" applyFont="1" applyFill="1" applyBorder="1" applyAlignment="1">
      <alignment horizontal="center"/>
    </xf>
    <xf numFmtId="0" fontId="22" fillId="3" borderId="14" xfId="0" applyFont="1" applyFill="1" applyBorder="1" applyAlignment="1">
      <alignment horizontal="center"/>
    </xf>
    <xf numFmtId="0" fontId="22" fillId="3" borderId="6" xfId="0" applyFont="1" applyFill="1" applyBorder="1" applyAlignment="1">
      <alignment horizontal="center"/>
    </xf>
    <xf numFmtId="0" fontId="20" fillId="0" borderId="7" xfId="0" applyFont="1" applyBorder="1" applyAlignment="1">
      <alignment horizontal="center"/>
    </xf>
    <xf numFmtId="0" fontId="20" fillId="0" borderId="8" xfId="0" applyFont="1" applyBorder="1" applyAlignment="1">
      <alignment horizontal="center"/>
    </xf>
    <xf numFmtId="15" fontId="20" fillId="4" borderId="3" xfId="0" applyNumberFormat="1" applyFont="1" applyFill="1" applyBorder="1" applyAlignment="1">
      <alignment horizontal="center"/>
    </xf>
    <xf numFmtId="15" fontId="20" fillId="4" borderId="4" xfId="0" applyNumberFormat="1" applyFont="1" applyFill="1" applyBorder="1" applyAlignment="1">
      <alignment horizontal="center"/>
    </xf>
    <xf numFmtId="0" fontId="35" fillId="0" borderId="5" xfId="0" applyFont="1" applyBorder="1" applyAlignment="1">
      <alignment horizontal="center"/>
    </xf>
    <xf numFmtId="0" fontId="35" fillId="0" borderId="6" xfId="0" applyFont="1" applyBorder="1" applyAlignment="1">
      <alignment horizontal="center"/>
    </xf>
    <xf numFmtId="0" fontId="36" fillId="0" borderId="7" xfId="0" applyFont="1" applyBorder="1" applyAlignment="1">
      <alignment horizontal="center" vertical="center"/>
    </xf>
    <xf numFmtId="0" fontId="36" fillId="0" borderId="23" xfId="0" applyFont="1" applyBorder="1" applyAlignment="1">
      <alignment horizontal="center" vertical="center"/>
    </xf>
    <xf numFmtId="0" fontId="36" fillId="0" borderId="8" xfId="0" applyFont="1" applyBorder="1" applyAlignment="1">
      <alignment horizontal="center" vertical="center"/>
    </xf>
    <xf numFmtId="0" fontId="36" fillId="0" borderId="1" xfId="0" applyFont="1" applyBorder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2" xfId="0" applyFont="1" applyBorder="1" applyAlignment="1">
      <alignment horizontal="center" vertical="center"/>
    </xf>
    <xf numFmtId="0" fontId="36" fillId="0" borderId="3" xfId="0" applyFont="1" applyBorder="1" applyAlignment="1">
      <alignment horizontal="center" vertical="center"/>
    </xf>
    <xf numFmtId="0" fontId="36" fillId="0" borderId="28" xfId="0" applyFont="1" applyBorder="1" applyAlignment="1">
      <alignment horizontal="center" vertical="center"/>
    </xf>
    <xf numFmtId="0" fontId="36" fillId="0" borderId="4" xfId="0" applyFont="1" applyBorder="1" applyAlignment="1">
      <alignment horizontal="center" vertical="center"/>
    </xf>
    <xf numFmtId="0" fontId="20" fillId="0" borderId="38" xfId="0" applyFont="1" applyBorder="1" applyAlignment="1">
      <alignment horizontal="center"/>
    </xf>
    <xf numFmtId="0" fontId="20" fillId="0" borderId="39" xfId="0" applyFont="1" applyBorder="1" applyAlignment="1">
      <alignment horizontal="center"/>
    </xf>
    <xf numFmtId="0" fontId="20" fillId="0" borderId="40" xfId="0" applyFont="1" applyBorder="1" applyAlignment="1">
      <alignment horizontal="center"/>
    </xf>
    <xf numFmtId="0" fontId="24" fillId="0" borderId="41" xfId="0" applyFont="1" applyBorder="1" applyAlignment="1">
      <alignment horizontal="center"/>
    </xf>
    <xf numFmtId="0" fontId="24" fillId="0" borderId="42" xfId="0" applyFont="1" applyBorder="1" applyAlignment="1">
      <alignment horizontal="center"/>
    </xf>
    <xf numFmtId="0" fontId="24" fillId="0" borderId="43" xfId="0" applyFont="1" applyBorder="1" applyAlignment="1">
      <alignment horizontal="center"/>
    </xf>
    <xf numFmtId="0" fontId="19" fillId="2" borderId="5" xfId="0" applyFont="1" applyFill="1" applyBorder="1" applyAlignment="1">
      <alignment horizontal="center"/>
    </xf>
    <xf numFmtId="0" fontId="19" fillId="2" borderId="6" xfId="0" applyFont="1" applyFill="1" applyBorder="1" applyAlignment="1">
      <alignment horizontal="center"/>
    </xf>
    <xf numFmtId="0" fontId="19" fillId="2" borderId="14" xfId="0" applyFont="1" applyFill="1" applyBorder="1" applyAlignment="1">
      <alignment horizontal="center"/>
    </xf>
    <xf numFmtId="0" fontId="21" fillId="4" borderId="0" xfId="0" applyFont="1" applyFill="1"/>
    <xf numFmtId="0" fontId="19" fillId="2" borderId="23" xfId="0" applyFont="1" applyFill="1" applyBorder="1" applyAlignment="1">
      <alignment horizontal="center"/>
    </xf>
    <xf numFmtId="0" fontId="19" fillId="2" borderId="8" xfId="0" applyFont="1" applyFill="1" applyBorder="1" applyAlignment="1">
      <alignment horizontal="center"/>
    </xf>
  </cellXfs>
  <cellStyles count="7">
    <cellStyle name="Hyperlink" xfId="6" builtinId="8"/>
    <cellStyle name="Normal" xfId="0" builtinId="0"/>
    <cellStyle name="Normal 2" xfId="2" xr:uid="{43EB118B-06AD-4387-B81B-417ECB34FEB0}"/>
    <cellStyle name="Normal 3" xfId="4" xr:uid="{E238EBB5-48B8-4FED-9264-711ACF85AE28}"/>
    <cellStyle name="Percent" xfId="1" builtinId="5"/>
    <cellStyle name="Pourcentage 2" xfId="3" xr:uid="{F7D3DB99-EE94-4E9D-955A-FA3CDEDC7187}"/>
    <cellStyle name="Pourcentage 3" xfId="5" xr:uid="{EA01CF52-6D51-473C-AE6C-2549AA0659B6}"/>
  </cellStyles>
  <dxfs count="2">
    <dxf>
      <font>
        <condense val="0"/>
        <extend val="0"/>
        <color auto="1"/>
      </font>
      <fill>
        <patternFill>
          <bgColor indexed="10"/>
        </patternFill>
      </fill>
    </dxf>
    <dxf>
      <font>
        <condense val="0"/>
        <extend val="0"/>
        <color auto="1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1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21" Type="http://schemas.microsoft.com/office/2006/relationships/vbaProject" Target="vbaProject.bin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sheetMetadata" Target="metadata.xml"/><Relationship Id="rId20" Type="http://schemas.openxmlformats.org/officeDocument/2006/relationships/customXml" Target="../customXml/item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externalLink" Target="externalLinks/externalLink1.xml"/><Relationship Id="rId19" Type="http://schemas.openxmlformats.org/officeDocument/2006/relationships/customXml" Target="../customXml/item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00" b="1" i="0" u="none" strike="noStrike" baseline="0">
                <a:solidFill>
                  <a:srgbClr val="FFFFFF"/>
                </a:solidFill>
                <a:latin typeface="Arial"/>
                <a:ea typeface="Arial"/>
                <a:cs typeface="Arial"/>
              </a:defRPr>
            </a:pPr>
            <a:r>
              <a:rPr lang="fr-FR">
                <a:solidFill>
                  <a:schemeClr val="tx1"/>
                </a:solidFill>
              </a:rPr>
              <a:t>Forward</a:t>
            </a:r>
            <a:r>
              <a:rPr lang="fr-FR"/>
              <a:t> </a:t>
            </a:r>
            <a:r>
              <a:rPr lang="fr-FR">
                <a:solidFill>
                  <a:schemeClr val="tx1"/>
                </a:solidFill>
              </a:rPr>
              <a:t>Default Intensity Curve Stripped from CDS Curves    </a:t>
            </a:r>
          </a:p>
        </c:rich>
      </c:tx>
      <c:layout>
        <c:manualLayout>
          <c:xMode val="edge"/>
          <c:yMode val="edge"/>
          <c:x val="3.0330804979652775E-2"/>
          <c:y val="1.4285624100921332E-2"/>
        </c:manualLayout>
      </c:layout>
      <c:overlay val="0"/>
      <c:spPr>
        <a:solidFill>
          <a:schemeClr val="bg1"/>
        </a:solidFill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904411764705882E-2"/>
          <c:y val="0.13376623376623376"/>
          <c:w val="0.90992647058823528"/>
          <c:h val="0.80389610389610389"/>
        </c:manualLayout>
      </c:layout>
      <c:lineChart>
        <c:grouping val="standard"/>
        <c:varyColors val="0"/>
        <c:ser>
          <c:idx val="0"/>
          <c:order val="0"/>
          <c:spPr>
            <a:ln w="25400">
              <a:solidFill>
                <a:srgbClr val="FF0000"/>
              </a:solidFill>
              <a:prstDash val="solid"/>
            </a:ln>
          </c:spPr>
          <c:marker>
            <c:symbol val="none"/>
          </c:marker>
          <c:val>
            <c:numRef>
              <c:f>'Fwd Intensity'!$E$10:$E$129</c:f>
              <c:numCache>
                <c:formatCode>0.00%</c:formatCode>
                <c:ptCount val="120"/>
                <c:pt idx="0">
                  <c:v>2.2319585960524635E-3</c:v>
                </c:pt>
                <c:pt idx="1">
                  <c:v>2.2319585960516638E-3</c:v>
                </c:pt>
                <c:pt idx="2">
                  <c:v>2.23195859605297E-3</c:v>
                </c:pt>
                <c:pt idx="3">
                  <c:v>2.2319585960533838E-3</c:v>
                </c:pt>
                <c:pt idx="4">
                  <c:v>2.2319585960516638E-3</c:v>
                </c:pt>
                <c:pt idx="5">
                  <c:v>2.2319585960520324E-3</c:v>
                </c:pt>
                <c:pt idx="6">
                  <c:v>4.73167589247945E-3</c:v>
                </c:pt>
                <c:pt idx="7">
                  <c:v>4.73167589247945E-3</c:v>
                </c:pt>
                <c:pt idx="8">
                  <c:v>4.7316758924795324E-3</c:v>
                </c:pt>
                <c:pt idx="9">
                  <c:v>4.7316758924781429E-3</c:v>
                </c:pt>
                <c:pt idx="10">
                  <c:v>4.7316758924806565E-3</c:v>
                </c:pt>
                <c:pt idx="11">
                  <c:v>4.7316758924781429E-3</c:v>
                </c:pt>
                <c:pt idx="12">
                  <c:v>5.5212840404597532E-3</c:v>
                </c:pt>
                <c:pt idx="13">
                  <c:v>5.5212840404622113E-3</c:v>
                </c:pt>
                <c:pt idx="14">
                  <c:v>5.5212840404595953E-3</c:v>
                </c:pt>
                <c:pt idx="15">
                  <c:v>5.5212840404597384E-3</c:v>
                </c:pt>
                <c:pt idx="16">
                  <c:v>5.5212840404609033E-3</c:v>
                </c:pt>
                <c:pt idx="17">
                  <c:v>5.5212840404611045E-3</c:v>
                </c:pt>
                <c:pt idx="18">
                  <c:v>5.5212840404608885E-3</c:v>
                </c:pt>
                <c:pt idx="19">
                  <c:v>5.5212840404595953E-3</c:v>
                </c:pt>
                <c:pt idx="20">
                  <c:v>5.5212840404594678E-3</c:v>
                </c:pt>
                <c:pt idx="21">
                  <c:v>5.5212840404609033E-3</c:v>
                </c:pt>
                <c:pt idx="22">
                  <c:v>5.5212840404611045E-3</c:v>
                </c:pt>
                <c:pt idx="23">
                  <c:v>5.5212840404595953E-3</c:v>
                </c:pt>
                <c:pt idx="24">
                  <c:v>7.4265147716911176E-3</c:v>
                </c:pt>
                <c:pt idx="25">
                  <c:v>7.426514771692168E-3</c:v>
                </c:pt>
                <c:pt idx="26">
                  <c:v>7.4265147716908592E-3</c:v>
                </c:pt>
                <c:pt idx="27">
                  <c:v>7.4265147716911575E-3</c:v>
                </c:pt>
                <c:pt idx="28">
                  <c:v>7.426514771692168E-3</c:v>
                </c:pt>
                <c:pt idx="29">
                  <c:v>7.4265147716911575E-3</c:v>
                </c:pt>
                <c:pt idx="30">
                  <c:v>7.4265147716908592E-3</c:v>
                </c:pt>
                <c:pt idx="31">
                  <c:v>7.426514771692168E-3</c:v>
                </c:pt>
                <c:pt idx="32">
                  <c:v>7.4265147716913952E-3</c:v>
                </c:pt>
                <c:pt idx="33">
                  <c:v>7.4265147716908592E-3</c:v>
                </c:pt>
                <c:pt idx="34">
                  <c:v>7.426514771692508E-3</c:v>
                </c:pt>
                <c:pt idx="35">
                  <c:v>7.4265147716908592E-3</c:v>
                </c:pt>
                <c:pt idx="36">
                  <c:v>9.1938572467715265E-3</c:v>
                </c:pt>
                <c:pt idx="37">
                  <c:v>9.1938572467706314E-3</c:v>
                </c:pt>
                <c:pt idx="38">
                  <c:v>9.1938572467706314E-3</c:v>
                </c:pt>
                <c:pt idx="39">
                  <c:v>9.1938572467715769E-3</c:v>
                </c:pt>
                <c:pt idx="40">
                  <c:v>9.1938572467719411E-3</c:v>
                </c:pt>
                <c:pt idx="41">
                  <c:v>9.1938572467702238E-3</c:v>
                </c:pt>
                <c:pt idx="42">
                  <c:v>9.1938572467719411E-3</c:v>
                </c:pt>
                <c:pt idx="43">
                  <c:v>9.1938572467719411E-3</c:v>
                </c:pt>
                <c:pt idx="44">
                  <c:v>9.1938572467707112E-3</c:v>
                </c:pt>
                <c:pt idx="45">
                  <c:v>9.1938572467719411E-3</c:v>
                </c:pt>
                <c:pt idx="46">
                  <c:v>9.1938572467701752E-3</c:v>
                </c:pt>
                <c:pt idx="47">
                  <c:v>9.1938572467732977E-3</c:v>
                </c:pt>
                <c:pt idx="48">
                  <c:v>9.1938572467701752E-3</c:v>
                </c:pt>
                <c:pt idx="49">
                  <c:v>9.19385724677068E-3</c:v>
                </c:pt>
                <c:pt idx="50">
                  <c:v>9.1938572467718926E-3</c:v>
                </c:pt>
                <c:pt idx="51">
                  <c:v>9.1938572467716254E-3</c:v>
                </c:pt>
                <c:pt idx="52">
                  <c:v>9.1938572467705846E-3</c:v>
                </c:pt>
                <c:pt idx="53">
                  <c:v>9.1938572467715265E-3</c:v>
                </c:pt>
                <c:pt idx="54">
                  <c:v>9.19385724677068E-3</c:v>
                </c:pt>
                <c:pt idx="55">
                  <c:v>9.1938572467705846E-3</c:v>
                </c:pt>
                <c:pt idx="56">
                  <c:v>9.1938572467707216E-3</c:v>
                </c:pt>
                <c:pt idx="57">
                  <c:v>9.1938572467718926E-3</c:v>
                </c:pt>
                <c:pt idx="58">
                  <c:v>9.1938572467715265E-3</c:v>
                </c:pt>
                <c:pt idx="59">
                  <c:v>9.19385724677068E-3</c:v>
                </c:pt>
                <c:pt idx="60">
                  <c:v>9.4507082520838351E-3</c:v>
                </c:pt>
                <c:pt idx="61">
                  <c:v>9.450708252083757E-3</c:v>
                </c:pt>
                <c:pt idx="62">
                  <c:v>9.4507082520836581E-3</c:v>
                </c:pt>
                <c:pt idx="63">
                  <c:v>9.4507082520852888E-3</c:v>
                </c:pt>
                <c:pt idx="64">
                  <c:v>9.4507082520836581E-3</c:v>
                </c:pt>
                <c:pt idx="65">
                  <c:v>9.4507082520838351E-3</c:v>
                </c:pt>
                <c:pt idx="66">
                  <c:v>9.450708252085065E-3</c:v>
                </c:pt>
                <c:pt idx="67">
                  <c:v>9.4507082520849661E-3</c:v>
                </c:pt>
                <c:pt idx="68">
                  <c:v>9.4507082520838195E-3</c:v>
                </c:pt>
                <c:pt idx="69">
                  <c:v>9.4507082520849661E-3</c:v>
                </c:pt>
                <c:pt idx="70">
                  <c:v>9.4507082520838351E-3</c:v>
                </c:pt>
                <c:pt idx="71">
                  <c:v>9.450708252083757E-3</c:v>
                </c:pt>
                <c:pt idx="72">
                  <c:v>9.4507082520838351E-3</c:v>
                </c:pt>
                <c:pt idx="73">
                  <c:v>9.450708252085065E-3</c:v>
                </c:pt>
                <c:pt idx="74">
                  <c:v>9.4507082520823502E-3</c:v>
                </c:pt>
                <c:pt idx="75">
                  <c:v>9.4507082520839357E-3</c:v>
                </c:pt>
                <c:pt idx="76">
                  <c:v>9.4507082520836581E-3</c:v>
                </c:pt>
                <c:pt idx="77">
                  <c:v>9.4507082520838351E-3</c:v>
                </c:pt>
                <c:pt idx="78">
                  <c:v>9.450708252085065E-3</c:v>
                </c:pt>
                <c:pt idx="79">
                  <c:v>9.4507082520836581E-3</c:v>
                </c:pt>
                <c:pt idx="80">
                  <c:v>9.450708252082371E-3</c:v>
                </c:pt>
                <c:pt idx="81">
                  <c:v>9.4507082520836581E-3</c:v>
                </c:pt>
                <c:pt idx="82">
                  <c:v>9.4507082520851864E-3</c:v>
                </c:pt>
                <c:pt idx="83">
                  <c:v>9.450708252082449E-3</c:v>
                </c:pt>
                <c:pt idx="84">
                  <c:v>1.0158293403183022E-2</c:v>
                </c:pt>
                <c:pt idx="85">
                  <c:v>1.0158293403183727E-2</c:v>
                </c:pt>
                <c:pt idx="86">
                  <c:v>1.0158293403183621E-2</c:v>
                </c:pt>
                <c:pt idx="87">
                  <c:v>1.0158293403183132E-2</c:v>
                </c:pt>
                <c:pt idx="88">
                  <c:v>1.0158293403182313E-2</c:v>
                </c:pt>
                <c:pt idx="89">
                  <c:v>1.0158293403184375E-2</c:v>
                </c:pt>
                <c:pt idx="90">
                  <c:v>1.0158293403183727E-2</c:v>
                </c:pt>
                <c:pt idx="91">
                  <c:v>1.0158293403182313E-2</c:v>
                </c:pt>
                <c:pt idx="92">
                  <c:v>1.0158293403184061E-2</c:v>
                </c:pt>
                <c:pt idx="93">
                  <c:v>1.0158293403183621E-2</c:v>
                </c:pt>
                <c:pt idx="94">
                  <c:v>1.0158293403183132E-2</c:v>
                </c:pt>
                <c:pt idx="95">
                  <c:v>1.0158293403183621E-2</c:v>
                </c:pt>
                <c:pt idx="96">
                  <c:v>1.0158293403183132E-2</c:v>
                </c:pt>
                <c:pt idx="97">
                  <c:v>1.0158293403183621E-2</c:v>
                </c:pt>
                <c:pt idx="98">
                  <c:v>1.0158293403183621E-2</c:v>
                </c:pt>
                <c:pt idx="99">
                  <c:v>1.0158293403183132E-2</c:v>
                </c:pt>
                <c:pt idx="100">
                  <c:v>1.0158293403182313E-2</c:v>
                </c:pt>
                <c:pt idx="101">
                  <c:v>1.0158293403183132E-2</c:v>
                </c:pt>
                <c:pt idx="102">
                  <c:v>1.0158293403183621E-2</c:v>
                </c:pt>
                <c:pt idx="103">
                  <c:v>1.0158293403183621E-2</c:v>
                </c:pt>
                <c:pt idx="104">
                  <c:v>1.0158293403183792E-2</c:v>
                </c:pt>
                <c:pt idx="105">
                  <c:v>1.0158293403183621E-2</c:v>
                </c:pt>
                <c:pt idx="106">
                  <c:v>1.015829340318178E-2</c:v>
                </c:pt>
                <c:pt idx="107">
                  <c:v>1.0158293403183621E-2</c:v>
                </c:pt>
                <c:pt idx="108">
                  <c:v>1.0158293403183132E-2</c:v>
                </c:pt>
                <c:pt idx="109">
                  <c:v>1.0158293403183621E-2</c:v>
                </c:pt>
                <c:pt idx="110">
                  <c:v>1.0158293403183621E-2</c:v>
                </c:pt>
                <c:pt idx="111">
                  <c:v>1.0158293403184485E-2</c:v>
                </c:pt>
                <c:pt idx="112">
                  <c:v>1.0158293403182313E-2</c:v>
                </c:pt>
                <c:pt idx="113">
                  <c:v>1.0158293403183132E-2</c:v>
                </c:pt>
                <c:pt idx="114">
                  <c:v>1.0158293403183621E-2</c:v>
                </c:pt>
                <c:pt idx="115">
                  <c:v>1.0158293403183621E-2</c:v>
                </c:pt>
                <c:pt idx="116">
                  <c:v>1.0158293403183792E-2</c:v>
                </c:pt>
                <c:pt idx="117">
                  <c:v>1.0158293403183621E-2</c:v>
                </c:pt>
                <c:pt idx="118">
                  <c:v>1.0158293403183132E-2</c:v>
                </c:pt>
                <c:pt idx="119">
                  <c:v>1.0158293403183621E-2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B1F-4713-8FE2-053A5B70CE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83234320"/>
        <c:axId val="1"/>
      </c:lineChart>
      <c:catAx>
        <c:axId val="6832343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575" b="1" i="0" u="none" strike="noStrike" baseline="0">
                    <a:solidFill>
                      <a:srgbClr val="008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fr-FR"/>
                  <a:t>months</a:t>
                </a:r>
              </a:p>
            </c:rich>
          </c:tx>
          <c:layout>
            <c:manualLayout>
              <c:xMode val="edge"/>
              <c:yMode val="edge"/>
              <c:x val="0.91636032651881816"/>
              <c:y val="0.8610388401984676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1" i="0" u="none" strike="noStrike" baseline="0">
                <a:solidFill>
                  <a:srgbClr val="008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1"/>
        <c:crosses val="autoZero"/>
        <c:auto val="1"/>
        <c:lblAlgn val="ctr"/>
        <c:lblOffset val="100"/>
        <c:tickLblSkip val="12"/>
        <c:tickMarkSkip val="1"/>
        <c:noMultiLvlLbl val="0"/>
      </c:cat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numFmt formatCode="0.00%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fr-FR"/>
          </a:p>
        </c:txPr>
        <c:crossAx val="683234320"/>
        <c:crosses val="autoZero"/>
        <c:crossBetween val="between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6350">
      <a:solidFill>
        <a:schemeClr val="tx1"/>
      </a:solidFill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fr-FR"/>
    </a:p>
  </c:txPr>
  <c:printSettings>
    <c:headerFooter alignWithMargins="0"/>
    <c:pageMargins b="0.984251969" l="0.78740157499999996" r="0.78740157499999996" t="0.984251969" header="0.5" footer="0.5"/>
    <c:pageSetup paperSize="9" orientation="landscape"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47625</xdr:colOff>
          <xdr:row>10</xdr:row>
          <xdr:rowOff>76200</xdr:rowOff>
        </xdr:from>
        <xdr:to>
          <xdr:col>10</xdr:col>
          <xdr:colOff>485775</xdr:colOff>
          <xdr:row>12</xdr:row>
          <xdr:rowOff>104775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id="{00000000-0008-0000-01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581025</xdr:colOff>
          <xdr:row>18</xdr:row>
          <xdr:rowOff>180975</xdr:rowOff>
        </xdr:from>
        <xdr:to>
          <xdr:col>6</xdr:col>
          <xdr:colOff>161925</xdr:colOff>
          <xdr:row>21</xdr:row>
          <xdr:rowOff>9525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2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Strip IRS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104775</xdr:colOff>
          <xdr:row>3</xdr:row>
          <xdr:rowOff>28575</xdr:rowOff>
        </xdr:from>
        <xdr:to>
          <xdr:col>13</xdr:col>
          <xdr:colOff>28575</xdr:colOff>
          <xdr:row>5</xdr:row>
          <xdr:rowOff>0</xdr:rowOff>
        </xdr:to>
        <xdr:sp macro="" textlink="">
          <xdr:nvSpPr>
            <xdr:cNvPr id="5124" name="Button 4" hidden="1">
              <a:extLst>
                <a:ext uri="{63B3BB69-23CF-44E3-9099-C40C66FF867C}">
                  <a14:compatExt spid="_x0000_s5124"/>
                </a:ext>
                <a:ext uri="{FF2B5EF4-FFF2-40B4-BE49-F238E27FC236}">
                  <a16:creationId xmlns:a16="http://schemas.microsoft.com/office/drawing/2014/main" id="{00000000-0008-0000-0300-0000041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Strip CDS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200025</xdr:colOff>
          <xdr:row>6</xdr:row>
          <xdr:rowOff>9525</xdr:rowOff>
        </xdr:from>
        <xdr:to>
          <xdr:col>8</xdr:col>
          <xdr:colOff>581025</xdr:colOff>
          <xdr:row>8</xdr:row>
          <xdr:rowOff>28575</xdr:rowOff>
        </xdr:to>
        <xdr:sp macro="" textlink="">
          <xdr:nvSpPr>
            <xdr:cNvPr id="8204" name="Button 12" hidden="1">
              <a:extLst>
                <a:ext uri="{63B3BB69-23CF-44E3-9099-C40C66FF867C}">
                  <a14:compatExt spid="_x0000_s8204"/>
                </a:ext>
                <a:ext uri="{FF2B5EF4-FFF2-40B4-BE49-F238E27FC236}">
                  <a16:creationId xmlns:a16="http://schemas.microsoft.com/office/drawing/2014/main" id="{00000000-0008-0000-0400-00000C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123825</xdr:colOff>
      <xdr:row>7</xdr:row>
      <xdr:rowOff>76200</xdr:rowOff>
    </xdr:from>
    <xdr:to>
      <xdr:col>14</xdr:col>
      <xdr:colOff>123825</xdr:colOff>
      <xdr:row>30</xdr:row>
      <xdr:rowOff>19050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600075</xdr:colOff>
          <xdr:row>3</xdr:row>
          <xdr:rowOff>28575</xdr:rowOff>
        </xdr:from>
        <xdr:to>
          <xdr:col>6</xdr:col>
          <xdr:colOff>190500</xdr:colOff>
          <xdr:row>5</xdr:row>
          <xdr:rowOff>47625</xdr:rowOff>
        </xdr:to>
        <xdr:sp macro="" textlink="">
          <xdr:nvSpPr>
            <xdr:cNvPr id="6152" name="Button 8" hidden="1">
              <a:extLst>
                <a:ext uri="{63B3BB69-23CF-44E3-9099-C40C66FF867C}">
                  <a14:compatExt spid="_x0000_s6152"/>
                </a:ext>
                <a:ext uri="{FF2B5EF4-FFF2-40B4-BE49-F238E27FC236}">
                  <a16:creationId xmlns:a16="http://schemas.microsoft.com/office/drawing/2014/main" id="{00000000-0008-0000-0500-000008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8</xdr:row>
          <xdr:rowOff>180975</xdr:rowOff>
        </xdr:from>
        <xdr:to>
          <xdr:col>4</xdr:col>
          <xdr:colOff>609600</xdr:colOff>
          <xdr:row>10</xdr:row>
          <xdr:rowOff>19050</xdr:rowOff>
        </xdr:to>
        <xdr:sp macro="" textlink="">
          <xdr:nvSpPr>
            <xdr:cNvPr id="11292" name="Button 28" hidden="1">
              <a:extLst>
                <a:ext uri="{63B3BB69-23CF-44E3-9099-C40C66FF867C}">
                  <a14:compatExt spid="_x0000_s11292"/>
                </a:ext>
                <a:ext uri="{FF2B5EF4-FFF2-40B4-BE49-F238E27FC236}">
                  <a16:creationId xmlns:a16="http://schemas.microsoft.com/office/drawing/2014/main" id="{00000000-0008-0000-0600-00001C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Pricing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142875</xdr:colOff>
      <xdr:row>1</xdr:row>
      <xdr:rowOff>47625</xdr:rowOff>
    </xdr:from>
    <xdr:to>
      <xdr:col>14</xdr:col>
      <xdr:colOff>161925</xdr:colOff>
      <xdr:row>2</xdr:row>
      <xdr:rowOff>28575</xdr:rowOff>
    </xdr:to>
    <xdr:sp macro="" textlink="">
      <xdr:nvSpPr>
        <xdr:cNvPr id="2" name="Text Box 10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 txBox="1">
          <a:spLocks noChangeArrowheads="1"/>
        </xdr:cNvSpPr>
      </xdr:nvSpPr>
      <xdr:spPr bwMode="auto">
        <a:xfrm>
          <a:off x="1533525" y="415925"/>
          <a:ext cx="9537700" cy="673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xmlns:mc="http://schemas.openxmlformats.org/markup-compatibility/2006" val="FFFFFF" mc:Ignorable="a14" a14:legacySpreadsheetColorIndex="65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xmlns:mc="http://schemas.openxmlformats.org/markup-compatibility/2006" val="000000" mc:Ignorable="a14" a14:legacySpreadsheetColorIndex="64"/>
              </a:solidFill>
              <a:miter lim="800000"/>
              <a:headEnd/>
              <a:tailEnd/>
            </a14:hiddenLine>
          </a:ext>
        </a:extLst>
      </xdr:spPr>
      <xdr:txBody>
        <a:bodyPr vertOverflow="clip" wrap="square" lIns="109728" tIns="91440" rIns="109728" bIns="0" anchor="t" upright="1"/>
        <a:lstStyle/>
        <a:p>
          <a:pPr algn="ctr" rtl="0">
            <a:defRPr sz="1000"/>
          </a:pPr>
          <a:r>
            <a:rPr lang="fr-FR" sz="2800" b="1" i="0" u="none" strike="noStrike" baseline="0">
              <a:solidFill>
                <a:srgbClr val="FF0000"/>
              </a:solidFill>
              <a:latin typeface="Arial"/>
              <a:cs typeface="Arial"/>
            </a:rPr>
            <a:t>European CDO</a:t>
          </a:r>
          <a:r>
            <a:rPr lang="fr-FR" sz="2800" b="1" i="0" u="none" strike="noStrike" baseline="30000">
              <a:solidFill>
                <a:srgbClr val="FF0000"/>
              </a:solidFill>
              <a:latin typeface="Arial"/>
              <a:cs typeface="Arial"/>
            </a:rPr>
            <a:t>2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AppData\Local\Microsoft\Windows\INetCache\Content.Outlook\E6ISMNHN\OpenCredit%20Release%202007-11-01.xlsm" TargetMode="External"/><Relationship Id="rId1" Type="http://schemas.openxmlformats.org/officeDocument/2006/relationships/externalLinkPath" Target="https://axisalternatives1-my.sharepoint.com/Users/l.baduet/AppData/Local/Microsoft/Windows/INetCache/Content.Outlook/E6ISMNHN/OpenCredit%20Release%202007-11-01.xlsm" TargetMode="External"/></Relationships>
</file>

<file path=xl/externalLinks/_rels/externalLink2.xml.rels><?xml version="1.0" encoding="UTF-8" standalone="yes"?>
<Relationships xmlns="http://schemas.openxmlformats.org/package/2006/relationships"><Relationship Id="rId2" Type="http://schemas.openxmlformats.org/officeDocument/2006/relationships/externalLinkPath" Target="https://axisalternatives1-my.sharepoint.com/personal/l_baduet_axisalternatives_com/Documents/Bureau/cas%203.xlsm" TargetMode="External"/><Relationship Id="rId1" Type="http://schemas.openxmlformats.org/officeDocument/2006/relationships/externalLinkPath" Target="https://axisalternatives1-my.sharepoint.com/personal/f_jordan-stagiaire_axisalternatives_com/Documents/Bureau/github%20environnement/Valo/common/cas%203.xlsm" TargetMode="External"/></Relationships>
</file>

<file path=xl/externalLinks/_rels/externalLink3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.baduet\OneDrive%20-%20AXIS%20ALTERNATIVES\Bureau\Valo_Add_In.xlam" TargetMode="External"/><Relationship Id="rId1" Type="http://schemas.openxmlformats.org/officeDocument/2006/relationships/externalLinkPath" Target="https://axisalternatives1-my.sharepoint.com/Users/l.baduet/OneDrive%20-%20AXIS%20ALTERNATIVES/Bureau/Valo_Add_In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CDO Bespoke"/>
      <sheetName val="Sheet1"/>
      <sheetName val="Forward Intensity"/>
      <sheetName val="Sheet3"/>
    </sheetNames>
    <sheetDataSet>
      <sheetData sheetId="0" refreshError="1">
        <row r="16">
          <cell r="H16" t="str">
            <v>US (NASD) 30/360</v>
          </cell>
        </row>
        <row r="17">
          <cell r="H17" t="str">
            <v>Actual/Actual</v>
          </cell>
        </row>
        <row r="18">
          <cell r="H18" t="str">
            <v>Actual/360</v>
          </cell>
        </row>
        <row r="19">
          <cell r="H19" t="str">
            <v>Actual/365</v>
          </cell>
        </row>
        <row r="20">
          <cell r="H20" t="str">
            <v>European 30/360</v>
          </cell>
        </row>
        <row r="25">
          <cell r="H25" t="b">
            <v>1</v>
          </cell>
        </row>
        <row r="26">
          <cell r="H26" t="b">
            <v>0</v>
          </cell>
        </row>
      </sheetData>
      <sheetData sheetId="1" refreshError="1">
        <row r="11">
          <cell r="C11">
            <v>43563</v>
          </cell>
        </row>
      </sheetData>
      <sheetData sheetId="2" refreshError="1">
        <row r="6">
          <cell r="C6">
            <v>43636</v>
          </cell>
        </row>
        <row r="9">
          <cell r="E9" t="str">
            <v>3M</v>
          </cell>
          <cell r="F9" t="str">
            <v>6M</v>
          </cell>
          <cell r="G9" t="str">
            <v>1Y</v>
          </cell>
          <cell r="H9" t="str">
            <v>2Y</v>
          </cell>
          <cell r="I9" t="str">
            <v>3Y</v>
          </cell>
          <cell r="J9" t="str">
            <v>4Y</v>
          </cell>
          <cell r="K9" t="str">
            <v>5Y</v>
          </cell>
          <cell r="L9" t="str">
            <v>7Y</v>
          </cell>
          <cell r="M9" t="str">
            <v>10Y</v>
          </cell>
        </row>
        <row r="11">
          <cell r="D11" t="str">
            <v>EUR</v>
          </cell>
          <cell r="N11" t="str">
            <v/>
          </cell>
          <cell r="O11">
            <v>1.5639376191282084E-3</v>
          </cell>
          <cell r="P11">
            <v>4.0526021023299386E-3</v>
          </cell>
          <cell r="Q11">
            <v>9.6425643792422688E-3</v>
          </cell>
          <cell r="R11">
            <v>1.7106947461375754E-2</v>
          </cell>
          <cell r="S11" t="str">
            <v/>
          </cell>
          <cell r="T11">
            <v>3.5238278398387113E-2</v>
          </cell>
          <cell r="U11">
            <v>5.3394585163264452E-2</v>
          </cell>
          <cell r="V11">
            <v>8.1990955061536974E-2</v>
          </cell>
          <cell r="W11" t="str">
            <v/>
          </cell>
          <cell r="X11">
            <v>1.6814212966349551E-3</v>
          </cell>
          <cell r="Y11">
            <v>4.2536485665237711E-3</v>
          </cell>
          <cell r="Z11">
            <v>1.01232231964129E-2</v>
          </cell>
          <cell r="AA11">
            <v>1.7955422425637746E-2</v>
          </cell>
          <cell r="AB11" t="str">
            <v/>
          </cell>
          <cell r="AC11">
            <v>3.6974393997123989E-2</v>
          </cell>
          <cell r="AD11">
            <v>5.6000406759761256E-2</v>
          </cell>
          <cell r="AE11">
            <v>8.5938335356395723E-2</v>
          </cell>
        </row>
        <row r="12">
          <cell r="D12" t="str">
            <v>EUR</v>
          </cell>
          <cell r="N12" t="str">
            <v/>
          </cell>
          <cell r="O12">
            <v>9.4100633706173387E-4</v>
          </cell>
          <cell r="P12">
            <v>2.228284751959464E-3</v>
          </cell>
          <cell r="Q12">
            <v>5.9639435030418575E-3</v>
          </cell>
          <cell r="R12">
            <v>1.2569096459324469E-2</v>
          </cell>
          <cell r="S12" t="str">
            <v/>
          </cell>
          <cell r="T12">
            <v>3.2230673549960009E-2</v>
          </cell>
          <cell r="U12">
            <v>5.3132562507917758E-2</v>
          </cell>
          <cell r="V12">
            <v>9.3172742526791419E-2</v>
          </cell>
          <cell r="W12" t="str">
            <v/>
          </cell>
          <cell r="X12">
            <v>1.0585674487949559E-3</v>
          </cell>
          <cell r="Y12">
            <v>2.4296489701292057E-3</v>
          </cell>
          <cell r="Z12">
            <v>6.3315368536315253E-3</v>
          </cell>
          <cell r="AA12">
            <v>1.3185108428036885E-2</v>
          </cell>
          <cell r="AB12" t="str">
            <v/>
          </cell>
          <cell r="AC12">
            <v>3.3817903070479827E-2</v>
          </cell>
          <cell r="AD12">
            <v>5.5722730143630494E-2</v>
          </cell>
          <cell r="AE12">
            <v>9.7660002994953365E-2</v>
          </cell>
        </row>
        <row r="13">
          <cell r="D13" t="str">
            <v>EUR</v>
          </cell>
          <cell r="N13" t="str">
            <v/>
          </cell>
          <cell r="O13">
            <v>7.0583742388907744E-4</v>
          </cell>
          <cell r="P13">
            <v>2.0304567700080156E-3</v>
          </cell>
          <cell r="Q13">
            <v>6.7391246623260681E-3</v>
          </cell>
          <cell r="R13">
            <v>1.4794385971696467E-2</v>
          </cell>
          <cell r="S13" t="str">
            <v/>
          </cell>
          <cell r="T13">
            <v>3.5716665736367115E-2</v>
          </cell>
          <cell r="U13">
            <v>6.3208699467098395E-2</v>
          </cell>
          <cell r="V13">
            <v>0.10820435355782332</v>
          </cell>
          <cell r="W13" t="str">
            <v/>
          </cell>
          <cell r="X13">
            <v>8.2342719960870614E-4</v>
          </cell>
          <cell r="Y13">
            <v>2.2318745001562723E-3</v>
          </cell>
          <cell r="Z13">
            <v>7.1065788038230382E-3</v>
          </cell>
          <cell r="AA13">
            <v>1.5522087675874041E-2</v>
          </cell>
          <cell r="AB13" t="str">
            <v/>
          </cell>
          <cell r="AC13">
            <v>3.747079792266006E-2</v>
          </cell>
          <cell r="AD13">
            <v>6.6286832132582907E-2</v>
          </cell>
          <cell r="AE13">
            <v>0.11337775693919061</v>
          </cell>
        </row>
        <row r="14">
          <cell r="D14" t="str">
            <v>EUR</v>
          </cell>
          <cell r="N14" t="str">
            <v/>
          </cell>
          <cell r="O14">
            <v>1.4816858337847183E-3</v>
          </cell>
          <cell r="P14">
            <v>3.584320117853701E-3</v>
          </cell>
          <cell r="Q14">
            <v>8.9177451639731453E-3</v>
          </cell>
          <cell r="R14">
            <v>1.5766880570418973E-2</v>
          </cell>
          <cell r="S14" t="str">
            <v/>
          </cell>
          <cell r="T14">
            <v>3.3586872644830734E-2</v>
          </cell>
          <cell r="U14">
            <v>5.1907613002356467E-2</v>
          </cell>
          <cell r="V14">
            <v>7.8707926653956539E-2</v>
          </cell>
          <cell r="W14" t="str">
            <v/>
          </cell>
          <cell r="X14">
            <v>1.5991798639143351E-3</v>
          </cell>
          <cell r="Y14">
            <v>3.7854391165837997E-3</v>
          </cell>
          <cell r="Z14">
            <v>9.3604601351430228E-3</v>
          </cell>
          <cell r="AA14">
            <v>1.6548053443376842E-2</v>
          </cell>
          <cell r="AB14" t="str">
            <v/>
          </cell>
          <cell r="AC14">
            <v>3.5241256859172898E-2</v>
          </cell>
          <cell r="AD14">
            <v>5.4442658950080602E-2</v>
          </cell>
          <cell r="AE14">
            <v>8.2500837596500398E-2</v>
          </cell>
        </row>
        <row r="15">
          <cell r="D15" t="str">
            <v>EUR</v>
          </cell>
          <cell r="N15" t="str">
            <v/>
          </cell>
          <cell r="O15">
            <v>5.8823230557913941E-4</v>
          </cell>
          <cell r="P15">
            <v>1.2136782726757112E-3</v>
          </cell>
          <cell r="Q15">
            <v>4.1211426005131058E-3</v>
          </cell>
          <cell r="R15">
            <v>8.2069072352251027E-3</v>
          </cell>
          <cell r="S15" t="str">
            <v/>
          </cell>
          <cell r="T15">
            <v>2.2552212957030027E-2</v>
          </cell>
          <cell r="U15">
            <v>4.0079475431500367E-2</v>
          </cell>
          <cell r="V15">
            <v>6.9331311406127027E-2</v>
          </cell>
          <cell r="W15" t="str">
            <v/>
          </cell>
          <cell r="X15">
            <v>7.0583630213449933E-4</v>
          </cell>
          <cell r="Y15">
            <v>1.4152199353631989E-3</v>
          </cell>
          <cell r="Z15">
            <v>4.4894063052328681E-3</v>
          </cell>
          <cell r="AA15">
            <v>8.7404860384591165E-3</v>
          </cell>
          <cell r="AB15" t="str">
            <v/>
          </cell>
          <cell r="AC15">
            <v>2.3643156502229257E-2</v>
          </cell>
          <cell r="AD15">
            <v>4.2029725773224502E-2</v>
          </cell>
          <cell r="AE15">
            <v>7.2652699708143031E-2</v>
          </cell>
        </row>
        <row r="16">
          <cell r="D16" t="str">
            <v>EUR</v>
          </cell>
          <cell r="N16" t="str">
            <v/>
          </cell>
          <cell r="O16">
            <v>1.4464330047678775E-3</v>
          </cell>
          <cell r="P16">
            <v>3.2167770518466421E-3</v>
          </cell>
          <cell r="Q16">
            <v>8.2204718764988804E-3</v>
          </cell>
          <cell r="R16">
            <v>1.3627494922296757E-2</v>
          </cell>
          <cell r="S16" t="str">
            <v/>
          </cell>
          <cell r="T16">
            <v>2.8276663938974655E-2</v>
          </cell>
          <cell r="U16">
            <v>4.4355381780164627E-2</v>
          </cell>
          <cell r="V16">
            <v>7.1021389579442928E-2</v>
          </cell>
          <cell r="W16" t="str">
            <v/>
          </cell>
          <cell r="X16">
            <v>1.5639314599198428E-3</v>
          </cell>
          <cell r="Y16">
            <v>3.4179499387164691E-3</v>
          </cell>
          <cell r="Z16">
            <v>8.6272212858831132E-3</v>
          </cell>
          <cell r="AA16">
            <v>1.4302159638263756E-2</v>
          </cell>
          <cell r="AB16" t="str">
            <v/>
          </cell>
          <cell r="AC16">
            <v>2.9670788475398835E-2</v>
          </cell>
          <cell r="AD16">
            <v>4.6527841207411491E-2</v>
          </cell>
          <cell r="AE16">
            <v>7.4459119526914863E-2</v>
          </cell>
        </row>
        <row r="17">
          <cell r="D17" t="str">
            <v>EUR</v>
          </cell>
          <cell r="N17" t="str">
            <v/>
          </cell>
          <cell r="O17">
            <v>5.8823230557913941E-4</v>
          </cell>
          <cell r="P17">
            <v>2.8534032246134711E-3</v>
          </cell>
          <cell r="Q17">
            <v>8.9609786632356414E-3</v>
          </cell>
          <cell r="R17">
            <v>1.913181641022077E-2</v>
          </cell>
          <cell r="S17" t="str">
            <v/>
          </cell>
          <cell r="T17">
            <v>5.0892347632382151E-2</v>
          </cell>
          <cell r="U17">
            <v>8.5872930875140252E-2</v>
          </cell>
          <cell r="V17">
            <v>0.14629965793337629</v>
          </cell>
          <cell r="W17" t="str">
            <v/>
          </cell>
          <cell r="X17">
            <v>7.0583630213449933E-4</v>
          </cell>
          <cell r="Y17">
            <v>3.054722216919048E-3</v>
          </cell>
          <cell r="Z17">
            <v>9.4041172430280318E-3</v>
          </cell>
          <cell r="AA17">
            <v>2.0077120180788555E-2</v>
          </cell>
          <cell r="AB17" t="str">
            <v/>
          </cell>
          <cell r="AC17">
            <v>5.3386940922055093E-2</v>
          </cell>
          <cell r="AD17">
            <v>9.002312433188997E-2</v>
          </cell>
          <cell r="AE17">
            <v>0.1531888203487205</v>
          </cell>
        </row>
        <row r="18">
          <cell r="D18" t="str">
            <v>EUR</v>
          </cell>
          <cell r="N18" t="str">
            <v/>
          </cell>
          <cell r="O18">
            <v>1.5286876794723403E-3</v>
          </cell>
          <cell r="P18">
            <v>2.8248725841196753E-3</v>
          </cell>
          <cell r="Q18">
            <v>9.716967170259605E-3</v>
          </cell>
          <cell r="R18">
            <v>1.7928999263620793E-2</v>
          </cell>
          <cell r="S18" t="str">
            <v/>
          </cell>
          <cell r="T18">
            <v>4.6425505213876894E-2</v>
          </cell>
          <cell r="U18">
            <v>8.1249338887171341E-2</v>
          </cell>
          <cell r="V18">
            <v>0.13627854725386113</v>
          </cell>
          <cell r="W18" t="str">
            <v/>
          </cell>
          <cell r="X18">
            <v>1.6461757985832826E-3</v>
          </cell>
          <cell r="Y18">
            <v>3.0260890010609387E-3</v>
          </cell>
          <cell r="Z18">
            <v>1.0196975522922869E-2</v>
          </cell>
          <cell r="AA18">
            <v>1.8816304446065746E-2</v>
          </cell>
          <cell r="AB18" t="str">
            <v/>
          </cell>
          <cell r="AC18">
            <v>4.8703171261545442E-2</v>
          </cell>
          <cell r="AD18">
            <v>8.5185820310333171E-2</v>
          </cell>
          <cell r="AE18">
            <v>0.14271820541571145</v>
          </cell>
        </row>
        <row r="19">
          <cell r="D19" t="str">
            <v>EUR</v>
          </cell>
          <cell r="N19" t="str">
            <v/>
          </cell>
          <cell r="O19">
            <v>3.5298073341860636E-4</v>
          </cell>
          <cell r="P19">
            <v>1.2208539223919068E-3</v>
          </cell>
          <cell r="Q19">
            <v>4.123935497890252E-3</v>
          </cell>
          <cell r="R19">
            <v>8.7783663323022232E-3</v>
          </cell>
          <cell r="S19" t="str">
            <v/>
          </cell>
          <cell r="T19">
            <v>2.0604178510189142E-2</v>
          </cell>
          <cell r="U19">
            <v>3.4865337027082943E-2</v>
          </cell>
          <cell r="V19">
            <v>6.6344521035236248E-2</v>
          </cell>
          <cell r="W19" t="str">
            <v/>
          </cell>
          <cell r="X19">
            <v>4.7061295331773945E-4</v>
          </cell>
          <cell r="Y19">
            <v>1.4224213278153375E-3</v>
          </cell>
          <cell r="Z19">
            <v>4.4922097838737685E-3</v>
          </cell>
          <cell r="AA19">
            <v>9.3117786043441786E-3</v>
          </cell>
          <cell r="AB19" t="str">
            <v/>
          </cell>
          <cell r="AC19">
            <v>2.1603671283013548E-2</v>
          </cell>
          <cell r="AD19">
            <v>3.6562116279202028E-2</v>
          </cell>
          <cell r="AE19">
            <v>6.9557274202168395E-2</v>
          </cell>
        </row>
        <row r="20">
          <cell r="D20" t="str">
            <v>EUR</v>
          </cell>
          <cell r="N20" t="str">
            <v/>
          </cell>
          <cell r="O20">
            <v>1.3994273063662188E-3</v>
          </cell>
          <cell r="P20">
            <v>2.8904321844521741E-3</v>
          </cell>
          <cell r="Q20">
            <v>7.100026329779574E-3</v>
          </cell>
          <cell r="R20">
            <v>1.2579891298190815E-2</v>
          </cell>
          <cell r="S20" t="str">
            <v/>
          </cell>
          <cell r="T20">
            <v>2.7507090377209331E-2</v>
          </cell>
          <cell r="U20">
            <v>4.3000298665031411E-2</v>
          </cell>
          <cell r="V20">
            <v>6.7535031634661569E-2</v>
          </cell>
          <cell r="W20" t="str">
            <v/>
          </cell>
          <cell r="X20">
            <v>1.5169316504912711E-3</v>
          </cell>
          <cell r="Y20">
            <v>3.0916544221913922E-3</v>
          </cell>
          <cell r="Z20">
            <v>7.4671868450216783E-3</v>
          </cell>
          <cell r="AA20">
            <v>1.3201270400565512E-2</v>
          </cell>
          <cell r="AB20" t="str">
            <v/>
          </cell>
          <cell r="AC20">
            <v>2.886253388555382E-2</v>
          </cell>
          <cell r="AD20">
            <v>4.5106457123454402E-2</v>
          </cell>
          <cell r="AE20">
            <v>7.0807276637600558E-2</v>
          </cell>
        </row>
        <row r="21">
          <cell r="D21" t="str">
            <v>EUR</v>
          </cell>
          <cell r="N21" t="str">
            <v/>
          </cell>
          <cell r="O21">
            <v>1.4699350283743362E-3</v>
          </cell>
          <cell r="P21">
            <v>3.2979810442269608E-3</v>
          </cell>
          <cell r="Q21">
            <v>8.4052696578684749E-3</v>
          </cell>
          <cell r="R21">
            <v>1.4288968594326379E-2</v>
          </cell>
          <cell r="S21" t="str">
            <v/>
          </cell>
          <cell r="T21">
            <v>3.0062671725761825E-2</v>
          </cell>
          <cell r="U21">
            <v>4.7018942404155273E-2</v>
          </cell>
          <cell r="V21">
            <v>7.4245797311850215E-2</v>
          </cell>
          <cell r="W21" t="str">
            <v/>
          </cell>
          <cell r="X21">
            <v>1.5874305343255291E-3</v>
          </cell>
          <cell r="Y21">
            <v>3.4991402731774368E-3</v>
          </cell>
          <cell r="Z21">
            <v>8.8214671580415516E-3</v>
          </cell>
          <cell r="AA21">
            <v>1.4996531294378279E-2</v>
          </cell>
          <cell r="AB21" t="str">
            <v/>
          </cell>
          <cell r="AC21">
            <v>3.154425554045992E-2</v>
          </cell>
          <cell r="AD21">
            <v>4.9319658217518825E-2</v>
          </cell>
          <cell r="AE21">
            <v>7.7833938035195671E-2</v>
          </cell>
        </row>
        <row r="22">
          <cell r="D22" t="str">
            <v>EUR</v>
          </cell>
          <cell r="N22" t="str">
            <v/>
          </cell>
          <cell r="O22">
            <v>1.2348900220263692E-3</v>
          </cell>
          <cell r="P22">
            <v>4.1647156251154449E-3</v>
          </cell>
          <cell r="Q22">
            <v>1.1587819939738453E-2</v>
          </cell>
          <cell r="R22">
            <v>1.9976629544339097E-2</v>
          </cell>
          <cell r="S22" t="str">
            <v/>
          </cell>
          <cell r="T22">
            <v>3.9518814591197882E-2</v>
          </cell>
          <cell r="U22">
            <v>6.1186619650882568E-2</v>
          </cell>
          <cell r="V22">
            <v>9.4450703671174807E-2</v>
          </cell>
          <cell r="W22" t="str">
            <v/>
          </cell>
          <cell r="X22">
            <v>1.3524148790723389E-3</v>
          </cell>
          <cell r="Y22">
            <v>4.3708973359244396E-3</v>
          </cell>
          <cell r="Z22">
            <v>1.2163766129696496E-2</v>
          </cell>
          <cell r="AA22">
            <v>2.0965888930840282E-2</v>
          </cell>
          <cell r="AB22" t="str">
            <v/>
          </cell>
          <cell r="AC22">
            <v>4.1462313974853005E-2</v>
          </cell>
          <cell r="AD22">
            <v>6.4162866914371564E-2</v>
          </cell>
          <cell r="AE22">
            <v>9.8974370952264246E-2</v>
          </cell>
        </row>
        <row r="23">
          <cell r="D23" t="str">
            <v>EUR</v>
          </cell>
          <cell r="N23" t="str">
            <v/>
          </cell>
          <cell r="O23">
            <v>1.8106525310161992E-3</v>
          </cell>
          <cell r="P23">
            <v>4.7815604474717999E-3</v>
          </cell>
          <cell r="Q23">
            <v>1.1412182151562811E-2</v>
          </cell>
          <cell r="R23">
            <v>1.8204651365238966E-2</v>
          </cell>
          <cell r="S23" t="str">
            <v/>
          </cell>
          <cell r="T23">
            <v>3.5037006539825111E-2</v>
          </cell>
          <cell r="U23">
            <v>5.3185763377253448E-2</v>
          </cell>
          <cell r="V23">
            <v>8.5780686786718796E-2</v>
          </cell>
          <cell r="W23" t="str">
            <v/>
          </cell>
          <cell r="X23">
            <v>1.9281049158355046E-3</v>
          </cell>
          <cell r="Y23">
            <v>5.0192835649431888E-3</v>
          </cell>
          <cell r="Z23">
            <v>1.1980148097215371E-2</v>
          </cell>
          <cell r="AA23">
            <v>1.9106754928880809E-2</v>
          </cell>
          <cell r="AB23" t="str">
            <v/>
          </cell>
          <cell r="AC23">
            <v>3.6761329381372887E-2</v>
          </cell>
          <cell r="AD23">
            <v>5.5779879489309847E-2</v>
          </cell>
          <cell r="AE23">
            <v>8.9908481498503057E-2</v>
          </cell>
        </row>
        <row r="24">
          <cell r="D24" t="str">
            <v>EUR</v>
          </cell>
          <cell r="N24" t="str">
            <v/>
          </cell>
          <cell r="O24">
            <v>5.8823230557913941E-4</v>
          </cell>
          <cell r="P24">
            <v>1.2136782726757112E-3</v>
          </cell>
          <cell r="Q24">
            <v>2.9787866515398331E-3</v>
          </cell>
          <cell r="R24">
            <v>6.5743902366108831E-3</v>
          </cell>
          <cell r="S24" t="str">
            <v/>
          </cell>
          <cell r="T24">
            <v>1.7099793757952231E-2</v>
          </cell>
          <cell r="U24">
            <v>3.0093908530758218E-2</v>
          </cell>
          <cell r="V24">
            <v>5.5745983365923735E-2</v>
          </cell>
          <cell r="W24" t="str">
            <v/>
          </cell>
          <cell r="X24">
            <v>7.0583630213449933E-4</v>
          </cell>
          <cell r="Y24">
            <v>1.4152199353631989E-3</v>
          </cell>
          <cell r="Z24">
            <v>3.3473306858188279E-3</v>
          </cell>
          <cell r="AA24">
            <v>7.1087339174695785E-3</v>
          </cell>
          <cell r="AB24" t="str">
            <v/>
          </cell>
          <cell r="AC24">
            <v>1.7960614747763559E-2</v>
          </cell>
          <cell r="AD24">
            <v>3.1543851545928758E-2</v>
          </cell>
          <cell r="AE24">
            <v>5.8435258801426415E-2</v>
          </cell>
        </row>
        <row r="25">
          <cell r="D25" t="str">
            <v>EUR</v>
          </cell>
          <cell r="N25" t="str">
            <v/>
          </cell>
          <cell r="O25">
            <v>3.5298073341860636E-4</v>
          </cell>
          <cell r="P25">
            <v>1.8360018497242114E-3</v>
          </cell>
          <cell r="Q25">
            <v>5.6064173684181595E-3</v>
          </cell>
          <cell r="R25">
            <v>1.0928916837393277E-2</v>
          </cell>
          <cell r="S25" t="str">
            <v/>
          </cell>
          <cell r="T25">
            <v>2.9680474419323755E-2</v>
          </cell>
          <cell r="U25">
            <v>5.0983411548791824E-2</v>
          </cell>
          <cell r="V25">
            <v>9.2141321886150429E-2</v>
          </cell>
          <cell r="W25" t="str">
            <v/>
          </cell>
          <cell r="X25">
            <v>4.7061295331773945E-4</v>
          </cell>
          <cell r="Y25">
            <v>2.0374857662349699E-3</v>
          </cell>
          <cell r="Z25">
            <v>5.97420595109599E-3</v>
          </cell>
          <cell r="AA25">
            <v>1.1461242476734745E-2</v>
          </cell>
          <cell r="AB25" t="str">
            <v/>
          </cell>
          <cell r="AC25">
            <v>3.1140559457224604E-2</v>
          </cell>
          <cell r="AD25">
            <v>5.3472871373774988E-2</v>
          </cell>
          <cell r="AE25">
            <v>9.6586242828172519E-2</v>
          </cell>
        </row>
        <row r="26">
          <cell r="D26" t="str">
            <v>EUR</v>
          </cell>
          <cell r="N26" t="str">
            <v/>
          </cell>
          <cell r="O26">
            <v>7.0583742388907744E-4</v>
          </cell>
          <cell r="P26">
            <v>1.2108584765612163E-3</v>
          </cell>
          <cell r="Q26">
            <v>4.11804756661871E-3</v>
          </cell>
          <cell r="R26">
            <v>8.2030992906927391E-3</v>
          </cell>
          <cell r="S26" t="str">
            <v/>
          </cell>
          <cell r="T26">
            <v>2.2547246710555524E-2</v>
          </cell>
          <cell r="U26">
            <v>4.141510604943377E-2</v>
          </cell>
          <cell r="V26">
            <v>7.7092987261884183E-2</v>
          </cell>
          <cell r="W26" t="str">
            <v/>
          </cell>
          <cell r="X26">
            <v>8.2342719960870614E-4</v>
          </cell>
          <cell r="Y26">
            <v>1.4123961831609133E-3</v>
          </cell>
          <cell r="Z26">
            <v>4.4863062361032435E-3</v>
          </cell>
          <cell r="AA26">
            <v>8.7366692247563549E-3</v>
          </cell>
          <cell r="AB26" t="str">
            <v/>
          </cell>
          <cell r="AC26">
            <v>2.3637946445606905E-2</v>
          </cell>
          <cell r="AD26">
            <v>4.3431782888732506E-2</v>
          </cell>
          <cell r="AE26">
            <v>8.0810321048824463E-2</v>
          </cell>
        </row>
        <row r="27">
          <cell r="D27" t="str">
            <v>EUR</v>
          </cell>
          <cell r="N27" t="str">
            <v/>
          </cell>
          <cell r="O27">
            <v>1.3289146304011901E-3</v>
          </cell>
          <cell r="P27">
            <v>3.7117946786874301E-3</v>
          </cell>
          <cell r="Q27">
            <v>9.7813037289248284E-3</v>
          </cell>
          <cell r="R27">
            <v>1.5659634790897936E-2</v>
          </cell>
          <cell r="S27" t="str">
            <v/>
          </cell>
          <cell r="T27">
            <v>2.8921429757158279E-2</v>
          </cell>
          <cell r="U27">
            <v>4.4288282950943891E-2</v>
          </cell>
          <cell r="V27">
            <v>7.059013058699759E-2</v>
          </cell>
          <cell r="W27" t="str">
            <v/>
          </cell>
          <cell r="X27">
            <v>1.4464277844392637E-3</v>
          </cell>
          <cell r="Y27">
            <v>3.9129136768183415E-3</v>
          </cell>
          <cell r="Z27">
            <v>1.0267690092424786E-2</v>
          </cell>
          <cell r="AA27">
            <v>1.6435033578250935E-2</v>
          </cell>
          <cell r="AB27" t="str">
            <v/>
          </cell>
          <cell r="AC27">
            <v>3.0346242695156733E-2</v>
          </cell>
          <cell r="AD27">
            <v>4.6456510935826034E-2</v>
          </cell>
          <cell r="AE27">
            <v>7.400777798710656E-2</v>
          </cell>
        </row>
        <row r="28">
          <cell r="D28" t="str">
            <v>EUR</v>
          </cell>
          <cell r="N28" t="str">
            <v/>
          </cell>
          <cell r="O28">
            <v>8.2342876691621214E-4</v>
          </cell>
          <cell r="P28">
            <v>1.6167208634250141E-3</v>
          </cell>
          <cell r="Q28">
            <v>5.2377459952359651E-3</v>
          </cell>
          <cell r="R28">
            <v>1.0381058673023635E-2</v>
          </cell>
          <cell r="S28" t="str">
            <v/>
          </cell>
          <cell r="T28">
            <v>2.7880014926948249E-2</v>
          </cell>
          <cell r="U28">
            <v>4.8590011486137064E-2</v>
          </cell>
          <cell r="V28">
            <v>9.4878748097881771E-2</v>
          </cell>
          <cell r="W28" t="str">
            <v/>
          </cell>
          <cell r="X28">
            <v>9.4100424795140469E-4</v>
          </cell>
          <cell r="Y28">
            <v>1.8181813004158887E-3</v>
          </cell>
          <cell r="Z28">
            <v>5.6056443391415689E-3</v>
          </cell>
          <cell r="AA28">
            <v>1.0913625366104962E-2</v>
          </cell>
          <cell r="AB28" t="str">
            <v/>
          </cell>
          <cell r="AC28">
            <v>2.9245871021287173E-2</v>
          </cell>
          <cell r="AD28">
            <v>5.096220272549945E-2</v>
          </cell>
          <cell r="AE28">
            <v>9.9454515226909512E-2</v>
          </cell>
        </row>
        <row r="29">
          <cell r="D29" t="str">
            <v>EUR</v>
          </cell>
          <cell r="N29" t="str">
            <v/>
          </cell>
          <cell r="O29">
            <v>5.8823230557913941E-4</v>
          </cell>
          <cell r="P29">
            <v>1.6239484894734479E-3</v>
          </cell>
          <cell r="Q29">
            <v>4.4791277113699346E-3</v>
          </cell>
          <cell r="R29">
            <v>8.7367484251980043E-3</v>
          </cell>
          <cell r="S29" t="str">
            <v/>
          </cell>
          <cell r="T29">
            <v>2.3401570611768396E-2</v>
          </cell>
          <cell r="U29">
            <v>3.9864059245481198E-2</v>
          </cell>
          <cell r="V29">
            <v>6.3140467760286034E-2</v>
          </cell>
          <cell r="W29" t="str">
            <v/>
          </cell>
          <cell r="X29">
            <v>7.0583630213449933E-4</v>
          </cell>
          <cell r="Y29">
            <v>1.8254344543299217E-3</v>
          </cell>
          <cell r="Z29">
            <v>4.8472226288700515E-3</v>
          </cell>
          <cell r="AA29">
            <v>9.2700260187572603E-3</v>
          </cell>
          <cell r="AB29" t="str">
            <v/>
          </cell>
          <cell r="AC29">
            <v>2.4539497451869008E-2</v>
          </cell>
          <cell r="AD29">
            <v>4.1805444290906935E-2</v>
          </cell>
          <cell r="AE29">
            <v>6.6192567349111053E-2</v>
          </cell>
        </row>
        <row r="30">
          <cell r="D30" t="str">
            <v>EUR</v>
          </cell>
          <cell r="N30" t="str">
            <v/>
          </cell>
          <cell r="O30">
            <v>7.5287561400072534E-4</v>
          </cell>
          <cell r="P30">
            <v>2.3979495799548722E-3</v>
          </cell>
          <cell r="Q30">
            <v>6.1792416835568797E-3</v>
          </cell>
          <cell r="R30">
            <v>1.1483718003105214E-2</v>
          </cell>
          <cell r="S30" t="str">
            <v/>
          </cell>
          <cell r="T30">
            <v>2.6743660297700478E-2</v>
          </cell>
          <cell r="U30">
            <v>4.4503998390133637E-2</v>
          </cell>
          <cell r="V30">
            <v>6.5473048748914242E-2</v>
          </cell>
          <cell r="W30" t="str">
            <v/>
          </cell>
          <cell r="X30">
            <v>8.7045968073762303E-4</v>
          </cell>
          <cell r="Y30">
            <v>2.5993125419682128E-3</v>
          </cell>
          <cell r="Z30">
            <v>6.5467583805853824E-3</v>
          </cell>
          <cell r="AA30">
            <v>1.2046579316037143E-2</v>
          </cell>
          <cell r="AB30" t="str">
            <v/>
          </cell>
          <cell r="AC30">
            <v>2.8062011137155118E-2</v>
          </cell>
          <cell r="AD30">
            <v>4.6680649048028267E-2</v>
          </cell>
          <cell r="AE30">
            <v>6.8646856036845727E-2</v>
          </cell>
        </row>
        <row r="31">
          <cell r="D31" t="str">
            <v>EUR</v>
          </cell>
          <cell r="N31" t="str">
            <v/>
          </cell>
          <cell r="O31">
            <v>1.2936564344949719E-3</v>
          </cell>
          <cell r="P31">
            <v>3.2419657329573193E-3</v>
          </cell>
          <cell r="Q31">
            <v>7.7990145600658201E-3</v>
          </cell>
          <cell r="R31">
            <v>1.634972251787592E-2</v>
          </cell>
          <cell r="S31" t="str">
            <v/>
          </cell>
          <cell r="T31">
            <v>3.4468063630986756E-2</v>
          </cell>
          <cell r="U31">
            <v>5.6397405620010277E-2</v>
          </cell>
          <cell r="V31">
            <v>9.9424300658692122E-2</v>
          </cell>
          <cell r="W31" t="str">
            <v/>
          </cell>
          <cell r="X31">
            <v>1.4111739830211523E-3</v>
          </cell>
          <cell r="Y31">
            <v>3.4431523976948819E-3</v>
          </cell>
          <cell r="Z31">
            <v>8.1849938817835088E-3</v>
          </cell>
          <cell r="AA31">
            <v>1.7158853032845478E-2</v>
          </cell>
          <cell r="AB31" t="str">
            <v/>
          </cell>
          <cell r="AC31">
            <v>3.6163813269820322E-2</v>
          </cell>
          <cell r="AD31">
            <v>5.9149639719770941E-2</v>
          </cell>
          <cell r="AE31">
            <v>0.10419566547303949</v>
          </cell>
        </row>
        <row r="32">
          <cell r="D32" t="str">
            <v>EUR</v>
          </cell>
          <cell r="N32" t="str">
            <v/>
          </cell>
          <cell r="O32">
            <v>9.1749192474521735E-4</v>
          </cell>
          <cell r="P32">
            <v>2.7822713845637725E-3</v>
          </cell>
          <cell r="Q32">
            <v>8.5922517872727422E-3</v>
          </cell>
          <cell r="R32">
            <v>1.4650445511066201E-2</v>
          </cell>
          <cell r="S32" t="str">
            <v/>
          </cell>
          <cell r="T32">
            <v>2.9125003200833333E-2</v>
          </cell>
          <cell r="U32">
            <v>4.513761559546825E-2</v>
          </cell>
          <cell r="V32">
            <v>6.8678595273497955E-2</v>
          </cell>
          <cell r="W32" t="str">
            <v/>
          </cell>
          <cell r="X32">
            <v>1.0350559163603279E-3</v>
          </cell>
          <cell r="Y32">
            <v>2.9835632932604383E-3</v>
          </cell>
          <cell r="Z32">
            <v>9.0162165190794674E-3</v>
          </cell>
          <cell r="AA32">
            <v>1.53743952308113E-2</v>
          </cell>
          <cell r="AB32" t="str">
            <v/>
          </cell>
          <cell r="AC32">
            <v>3.055892619833378E-2</v>
          </cell>
          <cell r="AD32">
            <v>4.7345920722389523E-2</v>
          </cell>
          <cell r="AE32">
            <v>7.1999271772797635E-2</v>
          </cell>
        </row>
        <row r="33">
          <cell r="D33" t="str">
            <v>EUR</v>
          </cell>
          <cell r="N33" t="str">
            <v/>
          </cell>
          <cell r="O33">
            <v>5.8823230557913941E-4</v>
          </cell>
          <cell r="P33">
            <v>1.8289988054900341E-3</v>
          </cell>
          <cell r="Q33">
            <v>5.9905821050399988E-3</v>
          </cell>
          <cell r="R33">
            <v>1.3157466858802369E-2</v>
          </cell>
          <cell r="S33" t="str">
            <v/>
          </cell>
          <cell r="T33">
            <v>3.2185792733684382E-2</v>
          </cell>
          <cell r="U33">
            <v>5.7168049843522084E-2</v>
          </cell>
          <cell r="V33">
            <v>0.1021163662568072</v>
          </cell>
          <cell r="W33" t="str">
            <v/>
          </cell>
          <cell r="X33">
            <v>7.0583630213449933E-4</v>
          </cell>
          <cell r="Y33">
            <v>2.0304569294128383E-3</v>
          </cell>
          <cell r="Z33">
            <v>6.3582656908192092E-3</v>
          </cell>
          <cell r="AA33">
            <v>1.3801554021832474E-2</v>
          </cell>
          <cell r="AB33" t="str">
            <v/>
          </cell>
          <cell r="AC33">
            <v>3.3788054278094837E-2</v>
          </cell>
          <cell r="AD33">
            <v>5.9954007789057018E-2</v>
          </cell>
          <cell r="AE33">
            <v>0.10702222659933647</v>
          </cell>
        </row>
        <row r="34">
          <cell r="D34" t="str">
            <v>EUR</v>
          </cell>
          <cell r="N34" t="str">
            <v/>
          </cell>
          <cell r="O34">
            <v>1.3524194061996786E-3</v>
          </cell>
          <cell r="P34">
            <v>3.6701481797429825E-3</v>
          </cell>
          <cell r="Q34">
            <v>1.0432744395999949E-2</v>
          </cell>
          <cell r="R34">
            <v>1.8995315771529242E-2</v>
          </cell>
          <cell r="S34" t="str">
            <v/>
          </cell>
          <cell r="T34">
            <v>4.0620578708481236E-2</v>
          </cell>
          <cell r="U34">
            <v>6.3201332464938309E-2</v>
          </cell>
          <cell r="V34">
            <v>9.7145057233841925E-2</v>
          </cell>
          <cell r="W34" t="str">
            <v/>
          </cell>
          <cell r="X34">
            <v>1.469929626734201E-3</v>
          </cell>
          <cell r="Y34">
            <v>3.8712697541007923E-3</v>
          </cell>
          <cell r="Z34">
            <v>1.0951161564709655E-2</v>
          </cell>
          <cell r="AA34">
            <v>1.9935790208543525E-2</v>
          </cell>
          <cell r="AB34" t="str">
            <v/>
          </cell>
          <cell r="AC34">
            <v>4.2617000633239588E-2</v>
          </cell>
          <cell r="AD34">
            <v>6.6273770411026556E-2</v>
          </cell>
          <cell r="AE34">
            <v>0.10178972388410457</v>
          </cell>
        </row>
        <row r="35">
          <cell r="D35" t="str">
            <v>EUR</v>
          </cell>
          <cell r="N35" t="str">
            <v/>
          </cell>
          <cell r="O35">
            <v>5.8823230557913941E-4</v>
          </cell>
          <cell r="P35">
            <v>1.4188416515668045E-3</v>
          </cell>
          <cell r="Q35">
            <v>4.1104573390305932E-3</v>
          </cell>
          <cell r="R35">
            <v>8.7650818374521711E-3</v>
          </cell>
          <cell r="S35" t="str">
            <v/>
          </cell>
          <cell r="T35">
            <v>2.0583078376538055E-2</v>
          </cell>
          <cell r="U35">
            <v>3.6205653292685658E-2</v>
          </cell>
          <cell r="V35">
            <v>6.6038478227618991E-2</v>
          </cell>
          <cell r="W35" t="str">
            <v/>
          </cell>
          <cell r="X35">
            <v>7.0583630213449933E-4</v>
          </cell>
          <cell r="Y35">
            <v>1.6203554628971828E-3</v>
          </cell>
          <cell r="Z35">
            <v>4.4786833056158493E-3</v>
          </cell>
          <cell r="AA35">
            <v>9.2984532235906858E-3</v>
          </cell>
          <cell r="AB35" t="str">
            <v/>
          </cell>
          <cell r="AC35">
            <v>2.1582662708471312E-2</v>
          </cell>
          <cell r="AD35">
            <v>3.7968843122891727E-2</v>
          </cell>
          <cell r="AE35">
            <v>6.9234528803700846E-2</v>
          </cell>
        </row>
        <row r="36">
          <cell r="D36" t="str">
            <v>EUR</v>
          </cell>
          <cell r="N36" t="str">
            <v/>
          </cell>
          <cell r="O36">
            <v>1.0585701367545886E-3</v>
          </cell>
          <cell r="P36">
            <v>4.4765011050097447E-3</v>
          </cell>
          <cell r="Q36">
            <v>1.2293398507305597E-2</v>
          </cell>
          <cell r="R36">
            <v>2.4455150137394521E-2</v>
          </cell>
          <cell r="S36" t="str">
            <v/>
          </cell>
          <cell r="T36">
            <v>6.0180594554914202E-2</v>
          </cell>
          <cell r="U36">
            <v>0.10220030686087744</v>
          </cell>
          <cell r="V36">
            <v>0.17136069655264063</v>
          </cell>
          <cell r="W36" t="str">
            <v/>
          </cell>
          <cell r="X36">
            <v>1.1761168038567638E-3</v>
          </cell>
          <cell r="Y36">
            <v>4.6979849531030293E-3</v>
          </cell>
          <cell r="Z36">
            <v>1.2904160972644907E-2</v>
          </cell>
          <cell r="AA36">
            <v>2.5666103114801886E-2</v>
          </cell>
          <cell r="AB36" t="str">
            <v/>
          </cell>
          <cell r="AC36">
            <v>6.3123621570422617E-2</v>
          </cell>
          <cell r="AD36">
            <v>0.10710800724958536</v>
          </cell>
          <cell r="AE36">
            <v>0.17933942469367448</v>
          </cell>
        </row>
        <row r="37">
          <cell r="D37" t="str">
            <v>EUR</v>
          </cell>
          <cell r="N37" t="str">
            <v/>
          </cell>
          <cell r="O37">
            <v>5.8823230557913941E-4</v>
          </cell>
          <cell r="P37">
            <v>1.2136782726757112E-3</v>
          </cell>
          <cell r="Q37">
            <v>4.5015416184586154E-3</v>
          </cell>
          <cell r="R37">
            <v>8.7493051440935554E-3</v>
          </cell>
          <cell r="S37" t="str">
            <v/>
          </cell>
          <cell r="T37">
            <v>2.0610088901978907E-2</v>
          </cell>
          <cell r="U37">
            <v>3.3473665368464078E-2</v>
          </cell>
          <cell r="V37">
            <v>5.8604457265159837E-2</v>
          </cell>
          <cell r="W37" t="str">
            <v/>
          </cell>
          <cell r="X37">
            <v>7.0583630213449933E-4</v>
          </cell>
          <cell r="Y37">
            <v>1.4152199353631989E-3</v>
          </cell>
          <cell r="Z37">
            <v>4.8697119408149803E-3</v>
          </cell>
          <cell r="AA37">
            <v>9.282629509412943E-3</v>
          </cell>
          <cell r="AB37" t="str">
            <v/>
          </cell>
          <cell r="AC37">
            <v>2.1608500916757478E-2</v>
          </cell>
          <cell r="AD37">
            <v>3.5103491726639513E-2</v>
          </cell>
          <cell r="AE37">
            <v>6.1441391875898477E-2</v>
          </cell>
        </row>
        <row r="38">
          <cell r="D38" t="str">
            <v>EUR</v>
          </cell>
          <cell r="N38" t="str">
            <v/>
          </cell>
          <cell r="O38">
            <v>1.1761201684514777E-3</v>
          </cell>
          <cell r="P38">
            <v>2.6309721823427612E-3</v>
          </cell>
          <cell r="Q38">
            <v>8.5998532326374555E-3</v>
          </cell>
          <cell r="R38">
            <v>1.8589098221264533E-2</v>
          </cell>
          <cell r="S38" t="str">
            <v/>
          </cell>
          <cell r="T38">
            <v>4.5404190741026529E-2</v>
          </cell>
          <cell r="U38">
            <v>8.0084933348924525E-2</v>
          </cell>
          <cell r="V38">
            <v>0.13055492676188907</v>
          </cell>
          <cell r="W38" t="str">
            <v/>
          </cell>
          <cell r="X38">
            <v>1.293652314683702E-3</v>
          </cell>
          <cell r="Y38">
            <v>2.8322549756158999E-3</v>
          </cell>
          <cell r="Z38">
            <v>9.0236456786928487E-3</v>
          </cell>
          <cell r="AA38">
            <v>1.9496922671881634E-2</v>
          </cell>
          <cell r="AB38" t="str">
            <v/>
          </cell>
          <cell r="AC38">
            <v>4.7629144305646687E-2</v>
          </cell>
          <cell r="AD38">
            <v>8.3966955003944244E-2</v>
          </cell>
          <cell r="AE38">
            <v>0.1367307172362584</v>
          </cell>
        </row>
        <row r="39">
          <cell r="D39" t="str">
            <v>EUR</v>
          </cell>
          <cell r="N39" t="str">
            <v/>
          </cell>
          <cell r="O39">
            <v>2.24519315793692E-3</v>
          </cell>
          <cell r="P39">
            <v>4.3997388513687952E-3</v>
          </cell>
          <cell r="Q39">
            <v>1.0799433008717219E-2</v>
          </cell>
          <cell r="R39">
            <v>1.8805201182836684E-2</v>
          </cell>
          <cell r="S39" t="str">
            <v/>
          </cell>
          <cell r="T39">
            <v>3.7784926967585175E-2</v>
          </cell>
          <cell r="U39">
            <v>5.7500501725248121E-2</v>
          </cell>
          <cell r="V39">
            <v>8.6612653123948613E-2</v>
          </cell>
          <cell r="W39" t="str">
            <v/>
          </cell>
          <cell r="X39">
            <v>2.3625895332998192E-3</v>
          </cell>
          <cell r="Y39">
            <v>4.6190814530473467E-3</v>
          </cell>
          <cell r="Z39">
            <v>1.1336810562699529E-2</v>
          </cell>
          <cell r="AA39">
            <v>1.9737725748657287E-2</v>
          </cell>
          <cell r="AB39" t="str">
            <v/>
          </cell>
          <cell r="AC39">
            <v>3.9643747002788943E-2</v>
          </cell>
          <cell r="AD39">
            <v>6.0301949004120226E-2</v>
          </cell>
          <cell r="AE39">
            <v>9.0769823544266548E-2</v>
          </cell>
        </row>
        <row r="40">
          <cell r="D40" t="str">
            <v>EUR</v>
          </cell>
          <cell r="N40" t="str">
            <v/>
          </cell>
          <cell r="O40">
            <v>4.7061340958476361E-4</v>
          </cell>
          <cell r="P40">
            <v>1.4224212190881991E-3</v>
          </cell>
          <cell r="Q40">
            <v>4.4922095327908362E-3</v>
          </cell>
          <cell r="R40">
            <v>1.0439784850016953E-2</v>
          </cell>
          <cell r="S40" t="str">
            <v/>
          </cell>
          <cell r="T40">
            <v>2.5083489617726329E-2</v>
          </cell>
          <cell r="U40">
            <v>4.494226673872781E-2</v>
          </cell>
          <cell r="V40">
            <v>7.7751351024654802E-2</v>
          </cell>
          <cell r="W40" t="str">
            <v/>
          </cell>
          <cell r="X40">
            <v>5.8823155392451199E-4</v>
          </cell>
          <cell r="Y40">
            <v>1.6239482287041529E-3</v>
          </cell>
          <cell r="Z40">
            <v>4.8603470128968373E-3</v>
          </cell>
          <cell r="AA40">
            <v>1.0972542465652046E-2</v>
          </cell>
          <cell r="AB40" t="str">
            <v/>
          </cell>
          <cell r="AC40">
            <v>2.6313505829569817E-2</v>
          </cell>
          <cell r="AD40">
            <v>4.7138589260877994E-2</v>
          </cell>
          <cell r="AE40">
            <v>8.1513011542288849E-2</v>
          </cell>
        </row>
        <row r="41">
          <cell r="D41" t="str">
            <v>EUR</v>
          </cell>
          <cell r="N41" t="str">
            <v/>
          </cell>
          <cell r="O41">
            <v>1.0585701367545886E-3</v>
          </cell>
          <cell r="P41">
            <v>3.6584369447157927E-3</v>
          </cell>
          <cell r="Q41">
            <v>1.3094076279633882E-2</v>
          </cell>
          <cell r="R41">
            <v>2.2199900427662067E-2</v>
          </cell>
          <cell r="S41" t="str">
            <v/>
          </cell>
          <cell r="T41">
            <v>5.2274792970804174E-2</v>
          </cell>
          <cell r="U41">
            <v>8.7760447334585434E-2</v>
          </cell>
          <cell r="V41">
            <v>0.14517359591962664</v>
          </cell>
          <cell r="W41" t="str">
            <v/>
          </cell>
          <cell r="X41">
            <v>1.1761168038567638E-3</v>
          </cell>
          <cell r="Y41">
            <v>3.8595942604000566E-3</v>
          </cell>
          <cell r="Z41">
            <v>1.3744736474248453E-2</v>
          </cell>
          <cell r="AA41">
            <v>2.3295666824855177E-2</v>
          </cell>
          <cell r="AB41" t="str">
            <v/>
          </cell>
          <cell r="AC41">
            <v>5.4836285664417894E-2</v>
          </cell>
          <cell r="AD41">
            <v>9.1995584631936245E-2</v>
          </cell>
          <cell r="AE41">
            <v>0.15200214712283455</v>
          </cell>
        </row>
        <row r="42">
          <cell r="D42" t="str">
            <v>EUR</v>
          </cell>
          <cell r="N42" t="str">
            <v/>
          </cell>
          <cell r="O42">
            <v>3.8827198331981005E-4</v>
          </cell>
          <cell r="P42">
            <v>1.8554589371482244E-3</v>
          </cell>
          <cell r="Q42">
            <v>6.1401003298200418E-3</v>
          </cell>
          <cell r="R42">
            <v>1.1913415806219296E-2</v>
          </cell>
          <cell r="S42" t="str">
            <v/>
          </cell>
          <cell r="T42">
            <v>2.6743204782313956E-2</v>
          </cell>
          <cell r="U42">
            <v>4.2487965361904245E-2</v>
          </cell>
          <cell r="V42">
            <v>6.5887616025787077E-2</v>
          </cell>
          <cell r="W42" t="str">
            <v/>
          </cell>
          <cell r="X42">
            <v>5.058999881245585E-4</v>
          </cell>
          <cell r="Y42">
            <v>2.0569365819519403E-3</v>
          </cell>
          <cell r="Z42">
            <v>6.5077522351598693E-3</v>
          </cell>
          <cell r="AA42">
            <v>1.2496016087531592E-2</v>
          </cell>
          <cell r="AB42" t="str">
            <v/>
          </cell>
          <cell r="AC42">
            <v>2.8058432170045666E-2</v>
          </cell>
          <cell r="AD42">
            <v>4.4564381867312819E-2</v>
          </cell>
          <cell r="AE42">
            <v>6.9080336738494341E-2</v>
          </cell>
        </row>
        <row r="43">
          <cell r="D43" t="str">
            <v>EUR</v>
          </cell>
          <cell r="N43" t="str">
            <v/>
          </cell>
          <cell r="O43">
            <v>9.7627692276858191E-4</v>
          </cell>
          <cell r="P43">
            <v>3.5789943257183987E-3</v>
          </cell>
          <cell r="Q43">
            <v>1.0546563968439338E-2</v>
          </cell>
          <cell r="R43">
            <v>1.9059025660346673E-2</v>
          </cell>
          <cell r="S43" t="str">
            <v/>
          </cell>
          <cell r="T43">
            <v>4.2482145724178855E-2</v>
          </cell>
          <cell r="U43">
            <v>6.4295218840913604E-2</v>
          </cell>
          <cell r="V43">
            <v>9.68386449330364E-2</v>
          </cell>
          <cell r="W43" t="str">
            <v/>
          </cell>
          <cell r="X43">
            <v>1.0938337090613537E-3</v>
          </cell>
          <cell r="Y43">
            <v>3.7801711243370395E-3</v>
          </cell>
          <cell r="Z43">
            <v>1.1071112895901014E-2</v>
          </cell>
          <cell r="AA43">
            <v>2.0002084143024401E-2</v>
          </cell>
          <cell r="AB43" t="str">
            <v/>
          </cell>
          <cell r="AC43">
            <v>4.4568937220610394E-2</v>
          </cell>
          <cell r="AD43">
            <v>6.7418645628377627E-2</v>
          </cell>
          <cell r="AE43">
            <v>0.10146690562273109</v>
          </cell>
        </row>
        <row r="44">
          <cell r="D44" t="str">
            <v>EUR</v>
          </cell>
          <cell r="N44" t="str">
            <v/>
          </cell>
          <cell r="O44">
            <v>1.4111789373691952E-3</v>
          </cell>
          <cell r="P44">
            <v>2.8285845959358236E-3</v>
          </cell>
          <cell r="Q44">
            <v>6.6851811094795766E-3</v>
          </cell>
          <cell r="R44">
            <v>1.2492661922517967E-2</v>
          </cell>
          <cell r="S44" t="str">
            <v/>
          </cell>
          <cell r="T44">
            <v>2.3771729443184397E-2</v>
          </cell>
          <cell r="U44">
            <v>4.0692473817563135E-2</v>
          </cell>
          <cell r="V44">
            <v>7.218324771076523E-2</v>
          </cell>
          <cell r="W44" t="str">
            <v/>
          </cell>
          <cell r="X44">
            <v>1.5286818104438549E-3</v>
          </cell>
          <cell r="Y44">
            <v>3.029814015234944E-3</v>
          </cell>
          <cell r="Z44">
            <v>7.052454994905144E-3</v>
          </cell>
          <cell r="AA44">
            <v>1.310846542031463E-2</v>
          </cell>
          <cell r="AB44" t="str">
            <v/>
          </cell>
          <cell r="AC44">
            <v>2.4943165614515372E-2</v>
          </cell>
          <cell r="AD44">
            <v>4.2688005970319187E-2</v>
          </cell>
          <cell r="AE44">
            <v>7.5685274844176975E-2</v>
          </cell>
        </row>
        <row r="45">
          <cell r="D45" t="str">
            <v>EUR</v>
          </cell>
          <cell r="N45" t="str">
            <v/>
          </cell>
          <cell r="O45">
            <v>4.7061340958476361E-4</v>
          </cell>
          <cell r="P45">
            <v>1.8325206103344538E-3</v>
          </cell>
          <cell r="Q45">
            <v>5.2267332050037751E-3</v>
          </cell>
          <cell r="R45">
            <v>9.819022376512887E-3</v>
          </cell>
          <cell r="S45" t="str">
            <v/>
          </cell>
          <cell r="T45">
            <v>2.4191060911671003E-2</v>
          </cell>
          <cell r="U45">
            <v>4.2354420733060838E-2</v>
          </cell>
          <cell r="V45">
            <v>7.2430216599879804E-2</v>
          </cell>
          <cell r="W45" t="str">
            <v/>
          </cell>
          <cell r="X45">
            <v>5.8823155392451199E-4</v>
          </cell>
          <cell r="Y45">
            <v>2.0339921687133611E-3</v>
          </cell>
          <cell r="Z45">
            <v>5.594609537902473E-3</v>
          </cell>
          <cell r="AA45">
            <v>1.0351777232896042E-2</v>
          </cell>
          <cell r="AB45" t="str">
            <v/>
          </cell>
          <cell r="AC45">
            <v>2.5375058048162979E-2</v>
          </cell>
          <cell r="AD45">
            <v>4.4422119677380745E-2</v>
          </cell>
          <cell r="AE45">
            <v>7.5935265006450758E-2</v>
          </cell>
        </row>
        <row r="46">
          <cell r="D46" t="str">
            <v>EUR</v>
          </cell>
          <cell r="N46" t="str">
            <v/>
          </cell>
          <cell r="O46">
            <v>2.1747398951207364E-3</v>
          </cell>
          <cell r="P46">
            <v>4.1767989776523295E-3</v>
          </cell>
          <cell r="Q46">
            <v>1.0433735662038979E-2</v>
          </cell>
          <cell r="R46">
            <v>1.7600298522391422E-2</v>
          </cell>
          <cell r="S46" t="str">
            <v/>
          </cell>
          <cell r="T46">
            <v>3.6086366698584671E-2</v>
          </cell>
          <cell r="U46">
            <v>5.5840719444435472E-2</v>
          </cell>
          <cell r="V46">
            <v>8.5312814576500973E-2</v>
          </cell>
          <cell r="W46" t="str">
            <v/>
          </cell>
          <cell r="X46">
            <v>2.2921454301566557E-3</v>
          </cell>
          <cell r="Y46">
            <v>4.3849240758833119E-3</v>
          </cell>
          <cell r="Z46">
            <v>1.0952913528134101E-2</v>
          </cell>
          <cell r="AA46">
            <v>1.8473118099054386E-2</v>
          </cell>
          <cell r="AB46" t="str">
            <v/>
          </cell>
          <cell r="AC46">
            <v>3.7862120060957682E-2</v>
          </cell>
          <cell r="AD46">
            <v>5.858634593618739E-2</v>
          </cell>
          <cell r="AE46">
            <v>8.9408608581944216E-2</v>
          </cell>
        </row>
        <row r="47">
          <cell r="D47" t="str">
            <v>EUR</v>
          </cell>
          <cell r="N47" t="str">
            <v/>
          </cell>
          <cell r="O47">
            <v>5.8823230557913941E-4</v>
          </cell>
          <cell r="P47">
            <v>1.4188416515668045E-3</v>
          </cell>
          <cell r="Q47">
            <v>4.1104573390305932E-3</v>
          </cell>
          <cell r="R47">
            <v>8.2004739960540585E-3</v>
          </cell>
          <cell r="S47" t="str">
            <v/>
          </cell>
          <cell r="T47">
            <v>2.1604803722366839E-2</v>
          </cell>
          <cell r="U47">
            <v>3.8829384378924914E-2</v>
          </cell>
          <cell r="V47">
            <v>7.1603135987629019E-2</v>
          </cell>
          <cell r="W47" t="str">
            <v/>
          </cell>
          <cell r="X47">
            <v>7.0583630213449933E-4</v>
          </cell>
          <cell r="Y47">
            <v>1.6203554628971828E-3</v>
          </cell>
          <cell r="Z47">
            <v>4.4786833056158493E-3</v>
          </cell>
          <cell r="AA47">
            <v>8.734029213848804E-3</v>
          </cell>
          <cell r="AB47" t="str">
            <v/>
          </cell>
          <cell r="AC47">
            <v>2.2650270344072854E-2</v>
          </cell>
          <cell r="AD47">
            <v>4.0719683763051573E-2</v>
          </cell>
          <cell r="AE47">
            <v>7.5062850058797315E-2</v>
          </cell>
        </row>
        <row r="48">
          <cell r="D48" t="str">
            <v>EUR</v>
          </cell>
          <cell r="N48" t="str">
            <v/>
          </cell>
          <cell r="O48">
            <v>1.2936564344949719E-3</v>
          </cell>
          <cell r="P48">
            <v>3.2419657329573193E-3</v>
          </cell>
          <cell r="Q48">
            <v>7.4177263808794525E-3</v>
          </cell>
          <cell r="R48">
            <v>1.5245045550931202E-2</v>
          </cell>
          <cell r="S48" t="str">
            <v/>
          </cell>
          <cell r="T48">
            <v>3.460989176827034E-2</v>
          </cell>
          <cell r="U48">
            <v>5.6479424568010583E-2</v>
          </cell>
          <cell r="V48">
            <v>9.7636050186695522E-2</v>
          </cell>
          <cell r="W48" t="str">
            <v/>
          </cell>
          <cell r="X48">
            <v>1.4111739830211523E-3</v>
          </cell>
          <cell r="Y48">
            <v>3.4431523976948819E-3</v>
          </cell>
          <cell r="Z48">
            <v>7.78474444864663E-3</v>
          </cell>
          <cell r="AA48">
            <v>1.5999449974483659E-2</v>
          </cell>
          <cell r="AB48" t="str">
            <v/>
          </cell>
          <cell r="AC48">
            <v>3.6313585072826782E-2</v>
          </cell>
          <cell r="AD48">
            <v>5.9235632755419543E-2</v>
          </cell>
          <cell r="AE48">
            <v>0.10232384305766984</v>
          </cell>
        </row>
        <row r="49">
          <cell r="D49" t="str">
            <v>EUR</v>
          </cell>
          <cell r="N49" t="str">
            <v/>
          </cell>
          <cell r="O49">
            <v>8.2342876691621214E-4</v>
          </cell>
          <cell r="P49">
            <v>1.8218285837172665E-3</v>
          </cell>
          <cell r="Q49">
            <v>4.8467731924392021E-3</v>
          </cell>
          <cell r="R49">
            <v>9.8315375064832455E-3</v>
          </cell>
          <cell r="S49" t="str">
            <v/>
          </cell>
          <cell r="T49">
            <v>2.6064599916965747E-2</v>
          </cell>
          <cell r="U49">
            <v>4.481346221736604E-2</v>
          </cell>
          <cell r="V49">
            <v>7.783749086492886E-2</v>
          </cell>
          <cell r="W49" t="str">
            <v/>
          </cell>
          <cell r="X49">
            <v>9.4100424795140469E-4</v>
          </cell>
          <cell r="Y49">
            <v>2.0232613221308204E-3</v>
          </cell>
          <cell r="Z49">
            <v>5.2147267725027868E-3</v>
          </cell>
          <cell r="AA49">
            <v>1.0364335105939815E-2</v>
          </cell>
          <cell r="AB49" t="str">
            <v/>
          </cell>
          <cell r="AC49">
            <v>2.7341362892103649E-2</v>
          </cell>
          <cell r="AD49">
            <v>4.6998045361279273E-2</v>
          </cell>
          <cell r="AE49">
            <v>8.1600106941085659E-2</v>
          </cell>
        </row>
        <row r="50">
          <cell r="D50" t="str">
            <v>EUR</v>
          </cell>
          <cell r="N50" t="str">
            <v/>
          </cell>
          <cell r="O50">
            <v>1.4111789373691952E-3</v>
          </cell>
          <cell r="P50">
            <v>4.8751696354448759E-3</v>
          </cell>
          <cell r="Q50">
            <v>1.4159192050532177E-2</v>
          </cell>
          <cell r="R50">
            <v>2.9356492083043917E-2</v>
          </cell>
          <cell r="S50" t="str">
            <v/>
          </cell>
          <cell r="T50">
            <v>7.0486266261249764E-2</v>
          </cell>
          <cell r="U50">
            <v>0.11574984066228156</v>
          </cell>
          <cell r="V50">
            <v>0.18722311104196221</v>
          </cell>
          <cell r="W50" t="str">
            <v/>
          </cell>
          <cell r="X50">
            <v>1.5286818104438549E-3</v>
          </cell>
          <cell r="Y50">
            <v>5.1169906939083631E-3</v>
          </cell>
          <cell r="Z50">
            <v>1.4862625066904611E-2</v>
          </cell>
          <cell r="AA50">
            <v>3.0808082413036564E-2</v>
          </cell>
          <cell r="AB50" t="str">
            <v/>
          </cell>
          <cell r="AC50">
            <v>7.391889374715388E-2</v>
          </cell>
          <cell r="AD50">
            <v>0.12127151391863378</v>
          </cell>
          <cell r="AE50">
            <v>0.19585018701143997</v>
          </cell>
        </row>
        <row r="51">
          <cell r="D51" t="str">
            <v>EUR</v>
          </cell>
          <cell r="N51" t="str">
            <v/>
          </cell>
          <cell r="O51">
            <v>7.0583742388907744E-4</v>
          </cell>
          <cell r="P51">
            <v>1.4152198693172524E-3</v>
          </cell>
          <cell r="Q51">
            <v>4.4894063326089695E-3</v>
          </cell>
          <cell r="R51">
            <v>9.8706094274730871E-3</v>
          </cell>
          <cell r="S51" t="str">
            <v/>
          </cell>
          <cell r="T51">
            <v>2.5154733686432174E-2</v>
          </cell>
          <cell r="U51">
            <v>4.3635267708081793E-2</v>
          </cell>
          <cell r="V51">
            <v>7.815301965448318E-2</v>
          </cell>
          <cell r="W51" t="str">
            <v/>
          </cell>
          <cell r="X51">
            <v>8.2342719960870614E-4</v>
          </cell>
          <cell r="Y51">
            <v>1.6167209125957926E-3</v>
          </cell>
          <cell r="Z51">
            <v>4.8575339699230557E-3</v>
          </cell>
          <cell r="AA51">
            <v>1.040353298454888E-2</v>
          </cell>
          <cell r="AB51" t="str">
            <v/>
          </cell>
          <cell r="AC51">
            <v>2.638577341576942E-2</v>
          </cell>
          <cell r="AD51">
            <v>4.5762685136851777E-2</v>
          </cell>
          <cell r="AE51">
            <v>8.192964486089882E-2</v>
          </cell>
        </row>
        <row r="52">
          <cell r="D52" t="str">
            <v>EUR</v>
          </cell>
          <cell r="N52" t="str">
            <v/>
          </cell>
          <cell r="O52">
            <v>8.2342876691621214E-4</v>
          </cell>
          <cell r="P52">
            <v>1.6167208634250141E-3</v>
          </cell>
          <cell r="Q52">
            <v>4.0965300833587515E-3</v>
          </cell>
          <cell r="R52">
            <v>9.3158294452674317E-3</v>
          </cell>
          <cell r="S52" t="str">
            <v/>
          </cell>
          <cell r="T52">
            <v>2.5190071933670177E-2</v>
          </cell>
          <cell r="U52">
            <v>4.5031603338221982E-2</v>
          </cell>
          <cell r="V52">
            <v>7.9926118650817668E-2</v>
          </cell>
          <cell r="W52" t="str">
            <v/>
          </cell>
          <cell r="X52">
            <v>9.4100424795140469E-4</v>
          </cell>
          <cell r="Y52">
            <v>1.8181813004158887E-3</v>
          </cell>
          <cell r="Z52">
            <v>4.4647082467120791E-3</v>
          </cell>
          <cell r="AA52">
            <v>9.8489754735843205E-3</v>
          </cell>
          <cell r="AB52" t="str">
            <v/>
          </cell>
          <cell r="AC52">
            <v>2.6422570908529952E-2</v>
          </cell>
          <cell r="AD52">
            <v>4.7225801021429481E-2</v>
          </cell>
          <cell r="AE52">
            <v>8.3785826679433018E-2</v>
          </cell>
        </row>
        <row r="53">
          <cell r="D53" t="str">
            <v>EUR</v>
          </cell>
          <cell r="N53" t="str">
            <v/>
          </cell>
          <cell r="O53">
            <v>4.7061340958476361E-4</v>
          </cell>
          <cell r="P53">
            <v>1.2172867430008116E-3</v>
          </cell>
          <cell r="Q53">
            <v>3.7420953470101992E-3</v>
          </cell>
          <cell r="R53">
            <v>7.6666318397365929E-3</v>
          </cell>
          <cell r="S53" t="str">
            <v/>
          </cell>
          <cell r="T53">
            <v>1.8863608454825598E-2</v>
          </cell>
          <cell r="U53">
            <v>2.9745692718493699E-2</v>
          </cell>
          <cell r="V53">
            <v>5.152202074451917E-2</v>
          </cell>
          <cell r="W53" t="str">
            <v/>
          </cell>
          <cell r="X53">
            <v>5.8823155392451199E-4</v>
          </cell>
          <cell r="Y53">
            <v>1.4188414855879072E-3</v>
          </cell>
          <cell r="Z53">
            <v>4.1104575327085557E-3</v>
          </cell>
          <cell r="AA53">
            <v>8.200474057898588E-3</v>
          </cell>
          <cell r="AB53" t="str">
            <v/>
          </cell>
          <cell r="AC53">
            <v>1.9770115486853368E-2</v>
          </cell>
          <cell r="AD53">
            <v>3.1188945862053896E-2</v>
          </cell>
          <cell r="AE53">
            <v>5.4012015127105295E-2</v>
          </cell>
        </row>
        <row r="54">
          <cell r="D54" t="str">
            <v>EUR</v>
          </cell>
          <cell r="N54" t="str">
            <v/>
          </cell>
          <cell r="O54">
            <v>7.0583742388907744E-4</v>
          </cell>
          <cell r="P54">
            <v>2.2354227158818407E-3</v>
          </cell>
          <cell r="Q54">
            <v>6.7252789095330057E-3</v>
          </cell>
          <cell r="R54">
            <v>1.3659796889292863E-2</v>
          </cell>
          <cell r="S54" t="str">
            <v/>
          </cell>
          <cell r="T54">
            <v>3.0235807558503525E-2</v>
          </cell>
          <cell r="U54">
            <v>5.1933406855471542E-2</v>
          </cell>
          <cell r="V54">
            <v>8.73379290601769E-2</v>
          </cell>
          <cell r="W54" t="str">
            <v/>
          </cell>
          <cell r="X54">
            <v>8.2342719960870614E-4</v>
          </cell>
          <cell r="Y54">
            <v>2.4368126847228444E-3</v>
          </cell>
          <cell r="Z54">
            <v>7.0926962245758673E-3</v>
          </cell>
          <cell r="AA54">
            <v>1.433157124992368E-2</v>
          </cell>
          <cell r="AB54" t="str">
            <v/>
          </cell>
          <cell r="AC54">
            <v>3.1722452718901062E-2</v>
          </cell>
          <cell r="AD54">
            <v>5.447001703983545E-2</v>
          </cell>
          <cell r="AE54">
            <v>9.1544392539487318E-2</v>
          </cell>
        </row>
        <row r="55">
          <cell r="D55" t="str">
            <v>EUR</v>
          </cell>
          <cell r="N55" t="str">
            <v/>
          </cell>
          <cell r="O55">
            <v>7.0583742388907744E-4</v>
          </cell>
          <cell r="P55">
            <v>2.8499817577419817E-3</v>
          </cell>
          <cell r="Q55">
            <v>7.8189240868918874E-3</v>
          </cell>
          <cell r="R55">
            <v>1.4696787477016304E-2</v>
          </cell>
          <cell r="S55" t="str">
            <v/>
          </cell>
          <cell r="T55">
            <v>3.1921393842674117E-2</v>
          </cell>
          <cell r="U55">
            <v>5.4223994977966594E-2</v>
          </cell>
          <cell r="V55">
            <v>9.048941558431467E-2</v>
          </cell>
          <cell r="W55" t="str">
            <v/>
          </cell>
          <cell r="X55">
            <v>8.2342719960870614E-4</v>
          </cell>
          <cell r="Y55">
            <v>3.0512884736265677E-3</v>
          </cell>
          <cell r="Z55">
            <v>8.2050573545081606E-3</v>
          </cell>
          <cell r="AA55">
            <v>1.5422839962618951E-2</v>
          </cell>
          <cell r="AB55" t="str">
            <v/>
          </cell>
          <cell r="AC55">
            <v>3.3492019189597655E-2</v>
          </cell>
          <cell r="AD55">
            <v>5.6872126519064481E-2</v>
          </cell>
          <cell r="AE55">
            <v>9.48413665611193E-2</v>
          </cell>
        </row>
        <row r="56">
          <cell r="D56" t="str">
            <v>EUR</v>
          </cell>
          <cell r="N56" t="str">
            <v/>
          </cell>
          <cell r="O56">
            <v>5.8823230557913941E-4</v>
          </cell>
          <cell r="P56">
            <v>1.6239484894734479E-3</v>
          </cell>
          <cell r="Q56">
            <v>5.2413729864030367E-3</v>
          </cell>
          <cell r="R56">
            <v>1.2079900237925822E-2</v>
          </cell>
          <cell r="S56" t="str">
            <v/>
          </cell>
          <cell r="T56">
            <v>3.1402817312322528E-2</v>
          </cell>
          <cell r="U56">
            <v>5.3377747925267838E-2</v>
          </cell>
          <cell r="V56">
            <v>9.329321101929744E-2</v>
          </cell>
          <cell r="W56" t="str">
            <v/>
          </cell>
          <cell r="X56">
            <v>7.0583630213449933E-4</v>
          </cell>
          <cell r="Y56">
            <v>1.8254344543299217E-3</v>
          </cell>
          <cell r="Z56">
            <v>5.6092809464522997E-3</v>
          </cell>
          <cell r="AA56">
            <v>1.2668247651419384E-2</v>
          </cell>
          <cell r="AB56" t="str">
            <v/>
          </cell>
          <cell r="AC56">
            <v>3.2949487310384606E-2</v>
          </cell>
          <cell r="AD56">
            <v>5.5978945786590351E-2</v>
          </cell>
          <cell r="AE56">
            <v>9.7780722169312217E-2</v>
          </cell>
        </row>
        <row r="57">
          <cell r="D57" t="str">
            <v>EUR</v>
          </cell>
          <cell r="N57" t="str">
            <v/>
          </cell>
          <cell r="O57">
            <v>1.4111789373691952E-3</v>
          </cell>
          <cell r="P57">
            <v>3.4431525528769713E-3</v>
          </cell>
          <cell r="Q57">
            <v>1.0449032536976599E-2</v>
          </cell>
          <cell r="R57">
            <v>1.8999814037624074E-2</v>
          </cell>
          <cell r="S57" t="str">
            <v/>
          </cell>
          <cell r="T57">
            <v>3.9709005219032423E-2</v>
          </cell>
          <cell r="U57">
            <v>6.3346468853093585E-2</v>
          </cell>
          <cell r="V57">
            <v>0.10707149788298254</v>
          </cell>
          <cell r="W57" t="str">
            <v/>
          </cell>
          <cell r="X57">
            <v>1.5286818104438549E-3</v>
          </cell>
          <cell r="Y57">
            <v>3.6442988133077447E-3</v>
          </cell>
          <cell r="Z57">
            <v>1.0967183165382255E-2</v>
          </cell>
          <cell r="AA57">
            <v>1.9940099735572203E-2</v>
          </cell>
          <cell r="AB57" t="str">
            <v/>
          </cell>
          <cell r="AC57">
            <v>4.1659749120524281E-2</v>
          </cell>
          <cell r="AD57">
            <v>6.6427452002481679E-2</v>
          </cell>
          <cell r="AE57">
            <v>0.11218628176922074</v>
          </cell>
        </row>
        <row r="58">
          <cell r="D58" t="str">
            <v>EUR</v>
          </cell>
          <cell r="N58" t="str">
            <v/>
          </cell>
          <cell r="O58">
            <v>9.4100633706173387E-4</v>
          </cell>
          <cell r="P58">
            <v>2.6381622423573559E-3</v>
          </cell>
          <cell r="Q58">
            <v>8.6023536257356925E-3</v>
          </cell>
          <cell r="R58">
            <v>1.5780676454810294E-2</v>
          </cell>
          <cell r="S58" t="str">
            <v/>
          </cell>
          <cell r="T58">
            <v>3.3671733100789525E-2</v>
          </cell>
          <cell r="U58">
            <v>5.5216876932850933E-2</v>
          </cell>
          <cell r="V58">
            <v>9.5998167845032678E-2</v>
          </cell>
          <cell r="W58" t="str">
            <v/>
          </cell>
          <cell r="X58">
            <v>1.0585674487949559E-3</v>
          </cell>
          <cell r="Y58">
            <v>2.8394709859616007E-3</v>
          </cell>
          <cell r="Z58">
            <v>9.0262781767683764E-3</v>
          </cell>
          <cell r="AA58">
            <v>1.6560570740987712E-2</v>
          </cell>
          <cell r="AB58" t="str">
            <v/>
          </cell>
          <cell r="AC58">
            <v>3.5327621603871706E-2</v>
          </cell>
          <cell r="AD58">
            <v>5.7911278843384317E-2</v>
          </cell>
          <cell r="AE58">
            <v>0.10060775128713106</v>
          </cell>
        </row>
        <row r="59">
          <cell r="D59" t="str">
            <v>EUR</v>
          </cell>
          <cell r="N59" t="str">
            <v/>
          </cell>
          <cell r="O59">
            <v>7.0583742388907744E-4</v>
          </cell>
          <cell r="P59">
            <v>1.8254343260272199E-3</v>
          </cell>
          <cell r="Q59">
            <v>4.8472226218999603E-3</v>
          </cell>
          <cell r="R59">
            <v>9.270025871779386E-3</v>
          </cell>
          <cell r="S59" t="str">
            <v/>
          </cell>
          <cell r="T59">
            <v>1.9550479393187881E-2</v>
          </cell>
          <cell r="U59">
            <v>3.2164656108149225E-2</v>
          </cell>
          <cell r="V59">
            <v>5.6711247902592077E-2</v>
          </cell>
          <cell r="W59" t="str">
            <v/>
          </cell>
          <cell r="X59">
            <v>8.2342719960870614E-4</v>
          </cell>
          <cell r="Y59">
            <v>2.0268798220722806E-3</v>
          </cell>
          <cell r="Z59">
            <v>5.2151817618720786E-3</v>
          </cell>
          <cell r="AA59">
            <v>9.8030166328254564E-3</v>
          </cell>
          <cell r="AB59" t="str">
            <v/>
          </cell>
          <cell r="AC59">
            <v>2.0503026419437687E-2</v>
          </cell>
          <cell r="AD59">
            <v>3.373401002880716E-2</v>
          </cell>
          <cell r="AE59">
            <v>5.9464803306415348E-2</v>
          </cell>
        </row>
        <row r="60">
          <cell r="D60" t="str">
            <v>EUR</v>
          </cell>
          <cell r="N60" t="str">
            <v/>
          </cell>
          <cell r="O60">
            <v>9.4100633706173387E-4</v>
          </cell>
          <cell r="P60">
            <v>2.228284751959464E-3</v>
          </cell>
          <cell r="Q60">
            <v>5.9639435030418575E-3</v>
          </cell>
          <cell r="R60">
            <v>9.7498149812619284E-3</v>
          </cell>
          <cell r="S60" t="str">
            <v/>
          </cell>
          <cell r="T60">
            <v>2.1334232226911998E-2</v>
          </cell>
          <cell r="U60">
            <v>3.4514796901735978E-2</v>
          </cell>
          <cell r="V60">
            <v>6.2125556807420712E-2</v>
          </cell>
          <cell r="W60" t="str">
            <v/>
          </cell>
          <cell r="X60">
            <v>1.0585674487949559E-3</v>
          </cell>
          <cell r="Y60">
            <v>2.4296489701292057E-3</v>
          </cell>
          <cell r="Z60">
            <v>6.3315368536315253E-3</v>
          </cell>
          <cell r="AA60">
            <v>1.0282345523237368E-2</v>
          </cell>
          <cell r="AB60" t="str">
            <v/>
          </cell>
          <cell r="AC60">
            <v>2.2377821202693049E-2</v>
          </cell>
          <cell r="AD60">
            <v>3.6203377100475942E-2</v>
          </cell>
          <cell r="AE60">
            <v>6.5141992451992925E-2</v>
          </cell>
        </row>
        <row r="61">
          <cell r="D61" t="str">
            <v>EUR</v>
          </cell>
          <cell r="N61" t="str">
            <v/>
          </cell>
          <cell r="O61">
            <v>5.8823230557913941E-4</v>
          </cell>
          <cell r="P61">
            <v>1.2136782726757112E-3</v>
          </cell>
          <cell r="Q61">
            <v>4.5015416184586154E-3</v>
          </cell>
          <cell r="R61">
            <v>9.3150653491943514E-3</v>
          </cell>
          <cell r="S61" t="str">
            <v/>
          </cell>
          <cell r="T61">
            <v>2.4301372183932468E-2</v>
          </cell>
          <cell r="U61">
            <v>4.1078942906148885E-2</v>
          </cell>
          <cell r="V61">
            <v>7.0855611624579318E-2</v>
          </cell>
          <cell r="W61" t="str">
            <v/>
          </cell>
          <cell r="X61">
            <v>7.0583630213449933E-4</v>
          </cell>
          <cell r="Y61">
            <v>1.4152199353631989E-3</v>
          </cell>
          <cell r="Z61">
            <v>4.8697119408149803E-3</v>
          </cell>
          <cell r="AA61">
            <v>9.8482054684705389E-3</v>
          </cell>
          <cell r="AB61" t="str">
            <v/>
          </cell>
          <cell r="AC61">
            <v>2.548451280691999E-2</v>
          </cell>
          <cell r="AD61">
            <v>4.310384446891169E-2</v>
          </cell>
          <cell r="AE61">
            <v>7.4275241872123532E-2</v>
          </cell>
        </row>
        <row r="62">
          <cell r="D62" t="str">
            <v>EUR</v>
          </cell>
          <cell r="N62" t="str">
            <v/>
          </cell>
          <cell r="O62">
            <v>1.1761201684514777E-3</v>
          </cell>
          <cell r="P62">
            <v>2.4260042269160786E-3</v>
          </cell>
          <cell r="Q62">
            <v>5.5695943130954495E-3</v>
          </cell>
          <cell r="R62">
            <v>1.2011194061628094E-2</v>
          </cell>
          <cell r="S62" t="str">
            <v/>
          </cell>
          <cell r="T62">
            <v>2.6673185979083414E-2</v>
          </cell>
          <cell r="U62">
            <v>4.4468661456919745E-2</v>
          </cell>
          <cell r="V62">
            <v>8.1374336642258016E-2</v>
          </cell>
          <cell r="W62" t="str">
            <v/>
          </cell>
          <cell r="X62">
            <v>1.293652314683702E-3</v>
          </cell>
          <cell r="Y62">
            <v>2.6273148019655412E-3</v>
          </cell>
          <cell r="Z62">
            <v>5.9372332042343379E-3</v>
          </cell>
          <cell r="AA62">
            <v>1.2599238733387086E-2</v>
          </cell>
          <cell r="AB62" t="str">
            <v/>
          </cell>
          <cell r="AC62">
            <v>2.7987243201566869E-2</v>
          </cell>
          <cell r="AD62">
            <v>4.6646287665605857E-2</v>
          </cell>
          <cell r="AE62">
            <v>8.5317762074716197E-2</v>
          </cell>
        </row>
        <row r="63">
          <cell r="D63" t="str">
            <v>EUR</v>
          </cell>
          <cell r="N63" t="str">
            <v/>
          </cell>
          <cell r="O63">
            <v>3.5298073341860636E-4</v>
          </cell>
          <cell r="P63">
            <v>1.0156915748593676E-3</v>
          </cell>
          <cell r="Q63">
            <v>3.7546895494418031E-3</v>
          </cell>
          <cell r="R63">
            <v>8.2418200402932795E-3</v>
          </cell>
          <cell r="S63" t="str">
            <v/>
          </cell>
          <cell r="T63">
            <v>2.0692560978524455E-2</v>
          </cell>
          <cell r="U63">
            <v>3.6283275248537472E-2</v>
          </cell>
          <cell r="V63">
            <v>6.0108974833144924E-2</v>
          </cell>
          <cell r="W63" t="str">
            <v/>
          </cell>
          <cell r="X63">
            <v>4.7061295331773945E-4</v>
          </cell>
          <cell r="Y63">
            <v>1.2172868200731601E-3</v>
          </cell>
          <cell r="Z63">
            <v>4.1230943948105114E-3</v>
          </cell>
          <cell r="AA63">
            <v>8.7755102330853152E-3</v>
          </cell>
          <cell r="AB63" t="str">
            <v/>
          </cell>
          <cell r="AC63">
            <v>2.1692045117180259E-2</v>
          </cell>
          <cell r="AD63">
            <v>3.8047039913793324E-2</v>
          </cell>
          <cell r="AE63">
            <v>6.3010247852536283E-2</v>
          </cell>
        </row>
        <row r="64">
          <cell r="D64" t="str">
            <v>EUR</v>
          </cell>
          <cell r="N64" t="str">
            <v/>
          </cell>
          <cell r="O64">
            <v>3.5298073341860636E-4</v>
          </cell>
          <cell r="P64">
            <v>1.0156915748593676E-3</v>
          </cell>
          <cell r="Q64">
            <v>3.7546895494418031E-3</v>
          </cell>
          <cell r="R64">
            <v>7.1108393671827086E-3</v>
          </cell>
          <cell r="S64" t="str">
            <v/>
          </cell>
          <cell r="T64">
            <v>1.8000305488940938E-2</v>
          </cell>
          <cell r="U64">
            <v>2.9900609008937651E-2</v>
          </cell>
          <cell r="V64">
            <v>5.1661148408771229E-2</v>
          </cell>
          <cell r="W64" t="str">
            <v/>
          </cell>
          <cell r="X64">
            <v>4.7061295331773945E-4</v>
          </cell>
          <cell r="Y64">
            <v>1.2172868200731601E-3</v>
          </cell>
          <cell r="Z64">
            <v>4.1230943948105114E-3</v>
          </cell>
          <cell r="AA64">
            <v>7.6448978183254468E-3</v>
          </cell>
          <cell r="AB64" t="str">
            <v/>
          </cell>
          <cell r="AC64">
            <v>1.8860487512877833E-2</v>
          </cell>
          <cell r="AD64">
            <v>3.1351759975824289E-2</v>
          </cell>
          <cell r="AE64">
            <v>5.4151657906849282E-2</v>
          </cell>
        </row>
        <row r="65">
          <cell r="D65" t="str">
            <v>EUR</v>
          </cell>
          <cell r="N65" t="str">
            <v/>
          </cell>
          <cell r="O65">
            <v>2.3533427473454438E-4</v>
          </cell>
          <cell r="P65">
            <v>1.0192455533220013E-3</v>
          </cell>
          <cell r="Q65">
            <v>4.1368320388789348E-3</v>
          </cell>
          <cell r="R65">
            <v>7.6576576755230663E-3</v>
          </cell>
          <cell r="S65" t="str">
            <v/>
          </cell>
          <cell r="T65">
            <v>1.8872250426433812E-2</v>
          </cell>
          <cell r="U65">
            <v>3.1113140078738777E-2</v>
          </cell>
          <cell r="V65">
            <v>5.3312882132831363E-2</v>
          </cell>
          <cell r="W65" t="str">
            <v/>
          </cell>
          <cell r="X65">
            <v>3.5298049865262193E-4</v>
          </cell>
          <cell r="Y65">
            <v>1.2208537424306387E-3</v>
          </cell>
          <cell r="Z65">
            <v>4.505148542573445E-3</v>
          </cell>
          <cell r="AA65">
            <v>8.1914702055539967E-3</v>
          </cell>
          <cell r="AB65" t="str">
            <v/>
          </cell>
          <cell r="AC65">
            <v>1.9778519110842052E-2</v>
          </cell>
          <cell r="AD65">
            <v>3.2622943720843733E-2</v>
          </cell>
          <cell r="AE65">
            <v>5.5886614136365864E-2</v>
          </cell>
        </row>
        <row r="66">
          <cell r="D66" t="str">
            <v>EUR</v>
          </cell>
          <cell r="N66" t="str">
            <v/>
          </cell>
          <cell r="O66">
            <v>1.011546269175656E-3</v>
          </cell>
          <cell r="P66">
            <v>2.6360227155570737E-3</v>
          </cell>
          <cell r="Q66">
            <v>7.3842534800772075E-3</v>
          </cell>
          <cell r="R66">
            <v>1.3091347912023932E-2</v>
          </cell>
          <cell r="S66" t="str">
            <v/>
          </cell>
          <cell r="T66">
            <v>2.7467992000804853E-2</v>
          </cell>
          <cell r="U66">
            <v>4.3389600809497608E-2</v>
          </cell>
          <cell r="V66">
            <v>6.9394842129471335E-2</v>
          </cell>
          <cell r="W66" t="str">
            <v/>
          </cell>
          <cell r="X66">
            <v>1.1290987232305261E-3</v>
          </cell>
          <cell r="Y66">
            <v>2.8373238780706744E-3</v>
          </cell>
          <cell r="Z66">
            <v>7.7514143176310446E-3</v>
          </cell>
          <cell r="AA66">
            <v>1.3737945995514145E-2</v>
          </cell>
          <cell r="AB66" t="str">
            <v/>
          </cell>
          <cell r="AC66">
            <v>2.8820204672314276E-2</v>
          </cell>
          <cell r="AD66">
            <v>4.5514846990678981E-2</v>
          </cell>
          <cell r="AE66">
            <v>7.2754156297768491E-2</v>
          </cell>
        </row>
        <row r="67">
          <cell r="D67" t="str">
            <v>EUR</v>
          </cell>
          <cell r="N67" t="str">
            <v/>
          </cell>
          <cell r="O67">
            <v>1.1761201684514777E-3</v>
          </cell>
          <cell r="P67">
            <v>3.6549648898838161E-3</v>
          </cell>
          <cell r="Q67">
            <v>9.2862209204216395E-3</v>
          </cell>
          <cell r="R67">
            <v>2.0175588405137224E-2</v>
          </cell>
          <cell r="S67" t="str">
            <v/>
          </cell>
          <cell r="T67">
            <v>4.8811886223631196E-2</v>
          </cell>
          <cell r="U67">
            <v>8.4662764950106606E-2</v>
          </cell>
          <cell r="V67">
            <v>0.14244869822792405</v>
          </cell>
          <cell r="W67" t="str">
            <v/>
          </cell>
          <cell r="X67">
            <v>1.293652314683702E-3</v>
          </cell>
          <cell r="Y67">
            <v>3.8561088492904405E-3</v>
          </cell>
          <cell r="Z67">
            <v>9.7481378643363703E-3</v>
          </cell>
          <cell r="AA67">
            <v>2.1174767480599321E-2</v>
          </cell>
          <cell r="AB67" t="str">
            <v/>
          </cell>
          <cell r="AC67">
            <v>5.1206820477145421E-2</v>
          </cell>
          <cell r="AD67">
            <v>8.8758817845373872E-2</v>
          </cell>
          <cell r="AE67">
            <v>0.14916482619332194</v>
          </cell>
        </row>
        <row r="68">
          <cell r="D68" t="str">
            <v>EUR</v>
          </cell>
          <cell r="N68" t="str">
            <v/>
          </cell>
          <cell r="O68">
            <v>1.9985850884319811E-3</v>
          </cell>
          <cell r="P68">
            <v>4.243815408205065E-3</v>
          </cell>
          <cell r="Q68">
            <v>1.0773655634979007E-2</v>
          </cell>
          <cell r="R68">
            <v>2.3975489858646615E-2</v>
          </cell>
          <cell r="S68" t="str">
            <v/>
          </cell>
          <cell r="T68">
            <v>5.2868392480975746E-2</v>
          </cell>
          <cell r="U68">
            <v>9.1535160493357526E-2</v>
          </cell>
          <cell r="V68">
            <v>0.15713213304724372</v>
          </cell>
          <cell r="W68" t="str">
            <v/>
          </cell>
          <cell r="X68">
            <v>2.1160133915253398E-3</v>
          </cell>
          <cell r="Y68">
            <v>4.4550195324684072E-3</v>
          </cell>
          <cell r="Z68">
            <v>1.1309783001861695E-2</v>
          </cell>
          <cell r="AA68">
            <v>2.5163474871359615E-2</v>
          </cell>
          <cell r="AB68" t="str">
            <v/>
          </cell>
          <cell r="AC68">
            <v>5.5457078766282364E-2</v>
          </cell>
          <cell r="AD68">
            <v>9.5950599888214305E-2</v>
          </cell>
          <cell r="AE68">
            <v>0.16449679358151215</v>
          </cell>
        </row>
        <row r="69">
          <cell r="D69" t="str">
            <v>EUR</v>
          </cell>
          <cell r="N69" t="str">
            <v/>
          </cell>
          <cell r="O69">
            <v>4.7061340958476361E-4</v>
          </cell>
          <cell r="P69">
            <v>1.8325206103344538E-3</v>
          </cell>
          <cell r="Q69">
            <v>5.6084819271284836E-3</v>
          </cell>
          <cell r="R69">
            <v>1.2053045200797974E-2</v>
          </cell>
          <cell r="S69" t="str">
            <v/>
          </cell>
          <cell r="T69">
            <v>3.1396275814939312E-2</v>
          </cell>
          <cell r="U69">
            <v>5.6046100490466544E-2</v>
          </cell>
          <cell r="V69">
            <v>9.8664696641655336E-2</v>
          </cell>
          <cell r="W69" t="str">
            <v/>
          </cell>
          <cell r="X69">
            <v>5.8823155392451199E-4</v>
          </cell>
          <cell r="Y69">
            <v>2.0339921687133611E-3</v>
          </cell>
          <cell r="Z69">
            <v>5.9762646726673196E-3</v>
          </cell>
          <cell r="AA69">
            <v>1.2641262658800834E-2</v>
          </cell>
          <cell r="AB69" t="str">
            <v/>
          </cell>
          <cell r="AC69">
            <v>3.2942535822128027E-2</v>
          </cell>
          <cell r="AD69">
            <v>5.8779341346733682E-2</v>
          </cell>
          <cell r="AE69">
            <v>0.10341092697828502</v>
          </cell>
        </row>
        <row r="70">
          <cell r="D70" t="str">
            <v>EUR</v>
          </cell>
          <cell r="N70" t="str">
            <v/>
          </cell>
          <cell r="O70">
            <v>1.3524194061996786E-3</v>
          </cell>
          <cell r="P70">
            <v>2.9123909407012816E-3</v>
          </cell>
          <cell r="Q70">
            <v>7.4794592183067277E-3</v>
          </cell>
          <cell r="R70">
            <v>1.2783606998079788E-2</v>
          </cell>
          <cell r="S70" t="str">
            <v/>
          </cell>
          <cell r="T70">
            <v>2.6542288286854787E-2</v>
          </cell>
          <cell r="U70">
            <v>4.2017104510385539E-2</v>
          </cell>
          <cell r="V70">
            <v>6.7743701308214166E-2</v>
          </cell>
          <cell r="W70" t="str">
            <v/>
          </cell>
          <cell r="X70">
            <v>1.469929626734201E-3</v>
          </cell>
          <cell r="Y70">
            <v>3.1136154283487594E-3</v>
          </cell>
          <cell r="Z70">
            <v>7.8484259818007995E-3</v>
          </cell>
          <cell r="AA70">
            <v>1.3416055068409816E-2</v>
          </cell>
          <cell r="AB70" t="str">
            <v/>
          </cell>
          <cell r="AC70">
            <v>2.7850727312433654E-2</v>
          </cell>
          <cell r="AD70">
            <v>4.4077096749100764E-2</v>
          </cell>
          <cell r="AE70">
            <v>7.1026915747499531E-2</v>
          </cell>
        </row>
        <row r="71">
          <cell r="D71" t="str">
            <v>EUR</v>
          </cell>
          <cell r="N71" t="str">
            <v/>
          </cell>
          <cell r="O71">
            <v>8.2342876691621214E-4</v>
          </cell>
          <cell r="P71">
            <v>2.4368126355408526E-3</v>
          </cell>
          <cell r="Q71">
            <v>8.9961545331354031E-3</v>
          </cell>
          <cell r="R71">
            <v>1.7456049033307108E-2</v>
          </cell>
          <cell r="S71" t="str">
            <v/>
          </cell>
          <cell r="T71">
            <v>4.1851333141611713E-2</v>
          </cell>
          <cell r="U71">
            <v>6.8687749954220334E-2</v>
          </cell>
          <cell r="V71">
            <v>0.12388921721830937</v>
          </cell>
          <cell r="W71" t="str">
            <v/>
          </cell>
          <cell r="X71">
            <v>9.4100424795140469E-4</v>
          </cell>
          <cell r="Y71">
            <v>2.6381623096690676E-3</v>
          </cell>
          <cell r="Z71">
            <v>9.4389879557645884E-3</v>
          </cell>
          <cell r="AA71">
            <v>1.8318493105628275E-2</v>
          </cell>
          <cell r="AB71" t="str">
            <v/>
          </cell>
          <cell r="AC71">
            <v>4.3906959499948273E-2</v>
          </cell>
          <cell r="AD71">
            <v>7.2023610295936513E-2</v>
          </cell>
          <cell r="AE71">
            <v>0.12978219397929081</v>
          </cell>
        </row>
        <row r="72">
          <cell r="D72" t="str">
            <v>EUR</v>
          </cell>
          <cell r="N72" t="str">
            <v/>
          </cell>
          <cell r="O72">
            <v>4.7061340958476361E-4</v>
          </cell>
          <cell r="P72">
            <v>1.2172867430008116E-3</v>
          </cell>
          <cell r="Q72">
            <v>4.1230943714871682E-3</v>
          </cell>
          <cell r="R72">
            <v>7.6448978760804698E-3</v>
          </cell>
          <cell r="S72" t="str">
            <v/>
          </cell>
          <cell r="T72">
            <v>2.169402549227939E-2</v>
          </cell>
          <cell r="U72">
            <v>4.0237841810820796E-2</v>
          </cell>
          <cell r="V72">
            <v>7.3468674844032189E-2</v>
          </cell>
          <cell r="W72" t="str">
            <v/>
          </cell>
          <cell r="X72">
            <v>5.8823155392451199E-4</v>
          </cell>
          <cell r="Y72">
            <v>1.4188414855879072E-3</v>
          </cell>
          <cell r="Z72">
            <v>4.4913630143923466E-3</v>
          </cell>
          <cell r="AA72">
            <v>8.1786694198114906E-3</v>
          </cell>
          <cell r="AB72" t="str">
            <v/>
          </cell>
          <cell r="AC72">
            <v>2.2739973537908464E-2</v>
          </cell>
          <cell r="AD72">
            <v>4.2194775941482576E-2</v>
          </cell>
          <cell r="AE72">
            <v>7.7008829312246174E-2</v>
          </cell>
        </row>
        <row r="73">
          <cell r="D73" t="str">
            <v>EUR</v>
          </cell>
          <cell r="N73" t="str">
            <v/>
          </cell>
          <cell r="O73">
            <v>7.0583742388907744E-4</v>
          </cell>
          <cell r="P73">
            <v>2.2354227158818407E-3</v>
          </cell>
          <cell r="Q73">
            <v>7.4874308387082866E-3</v>
          </cell>
          <cell r="R73">
            <v>1.4179726753817068E-2</v>
          </cell>
          <cell r="S73" t="str">
            <v/>
          </cell>
          <cell r="T73">
            <v>3.0175745489502304E-2</v>
          </cell>
          <cell r="U73">
            <v>5.052594761649587E-2</v>
          </cell>
          <cell r="V73">
            <v>8.5576100341500205E-2</v>
          </cell>
          <cell r="W73" t="str">
            <v/>
          </cell>
          <cell r="X73">
            <v>8.2342719960870614E-4</v>
          </cell>
          <cell r="Y73">
            <v>2.4368126847228444E-3</v>
          </cell>
          <cell r="Z73">
            <v>7.8546612157210927E-3</v>
          </cell>
          <cell r="AA73">
            <v>1.4879613044648021E-2</v>
          </cell>
          <cell r="AB73" t="str">
            <v/>
          </cell>
          <cell r="AC73">
            <v>3.1658211957758531E-2</v>
          </cell>
          <cell r="AD73">
            <v>5.2995090014304247E-2</v>
          </cell>
          <cell r="AE73">
            <v>8.9694097582031396E-2</v>
          </cell>
        </row>
        <row r="74">
          <cell r="D74" t="str">
            <v>EUR</v>
          </cell>
          <cell r="N74" t="str">
            <v/>
          </cell>
          <cell r="O74">
            <v>2.3533427473454438E-4</v>
          </cell>
          <cell r="P74">
            <v>6.0880878601543564E-4</v>
          </cell>
          <cell r="Q74">
            <v>2.2535957106949445E-3</v>
          </cell>
          <cell r="R74">
            <v>4.9497085014804654E-3</v>
          </cell>
          <cell r="S74" t="str">
            <v/>
          </cell>
          <cell r="T74">
            <v>1.169418927974053E-2</v>
          </cell>
          <cell r="U74">
            <v>2.27876409794876E-2</v>
          </cell>
          <cell r="V74">
            <v>4.5602730802482339E-2</v>
          </cell>
          <cell r="W74" t="str">
            <v/>
          </cell>
          <cell r="X74">
            <v>3.5298049865262193E-4</v>
          </cell>
          <cell r="Y74">
            <v>8.1047262140243603E-4</v>
          </cell>
          <cell r="Z74">
            <v>2.6224552520615063E-3</v>
          </cell>
          <cell r="AA74">
            <v>5.4848436196131001E-3</v>
          </cell>
          <cell r="AB74" t="str">
            <v/>
          </cell>
          <cell r="AC74">
            <v>1.2558819112284292E-2</v>
          </cell>
          <cell r="AD74">
            <v>2.3973719885177269E-2</v>
          </cell>
          <cell r="AE74">
            <v>4.7763358098112274E-2</v>
          </cell>
        </row>
        <row r="75">
          <cell r="D75" t="str">
            <v>EUR</v>
          </cell>
          <cell r="N75" t="str">
            <v/>
          </cell>
          <cell r="O75">
            <v>1.0820812444618522E-3</v>
          </cell>
          <cell r="P75">
            <v>2.8182704002565062E-3</v>
          </cell>
          <cell r="Q75">
            <v>7.7525981806861877E-3</v>
          </cell>
          <cell r="R75">
            <v>1.3511780179939592E-2</v>
          </cell>
          <cell r="S75" t="str">
            <v/>
          </cell>
          <cell r="T75">
            <v>2.6463989866959858E-2</v>
          </cell>
          <cell r="U75">
            <v>4.0894456564315007E-2</v>
          </cell>
          <cell r="V75">
            <v>6.384842901299348E-2</v>
          </cell>
          <cell r="W75" t="str">
            <v/>
          </cell>
          <cell r="X75">
            <v>1.1996250135098974E-3</v>
          </cell>
          <cell r="Y75">
            <v>3.0195382967451723E-3</v>
          </cell>
          <cell r="Z75">
            <v>8.1348610438796154E-3</v>
          </cell>
          <cell r="AA75">
            <v>1.4179734077533812E-2</v>
          </cell>
          <cell r="AB75" t="str">
            <v/>
          </cell>
          <cell r="AC75">
            <v>2.7766699840809816E-2</v>
          </cell>
          <cell r="AD75">
            <v>4.2898510654502453E-2</v>
          </cell>
          <cell r="AE75">
            <v>6.6943033579338174E-2</v>
          </cell>
        </row>
        <row r="76">
          <cell r="D76" t="str">
            <v>EUR</v>
          </cell>
          <cell r="N76" t="str">
            <v/>
          </cell>
          <cell r="O76">
            <v>2.8203763221921196E-3</v>
          </cell>
          <cell r="P76">
            <v>6.4672863553858484E-3</v>
          </cell>
          <cell r="Q76">
            <v>1.820033754496142E-2</v>
          </cell>
          <cell r="R76">
            <v>3.625356409624314E-2</v>
          </cell>
          <cell r="S76" t="str">
            <v/>
          </cell>
          <cell r="T76">
            <v>9.0306506476492188E-2</v>
          </cell>
          <cell r="U76">
            <v>0.14648354385462536</v>
          </cell>
          <cell r="V76">
            <v>0.23239109804790081</v>
          </cell>
          <cell r="W76" t="str">
            <v/>
          </cell>
          <cell r="X76">
            <v>2.9611634611057536E-3</v>
          </cell>
          <cell r="Y76">
            <v>6.7896642832134813E-3</v>
          </cell>
          <cell r="Z76">
            <v>1.9103711287292269E-2</v>
          </cell>
          <cell r="AA76">
            <v>3.8041524396111859E-2</v>
          </cell>
          <cell r="AB76" t="str">
            <v/>
          </cell>
          <cell r="AC76">
            <v>9.46731896887133E-2</v>
          </cell>
          <cell r="AD76">
            <v>0.15338082600433323</v>
          </cell>
          <cell r="AE76">
            <v>0.24285398614868314</v>
          </cell>
        </row>
        <row r="77">
          <cell r="D77" t="str">
            <v>EUR</v>
          </cell>
          <cell r="N77" t="str">
            <v/>
          </cell>
          <cell r="O77">
            <v>7.0583742388907744E-4</v>
          </cell>
          <cell r="P77">
            <v>2.2354227158818407E-3</v>
          </cell>
          <cell r="Q77">
            <v>7.868215801130507E-3</v>
          </cell>
          <cell r="R77">
            <v>1.5283868490628572E-2</v>
          </cell>
          <cell r="S77" t="str">
            <v/>
          </cell>
          <cell r="T77">
            <v>3.5639288119184154E-2</v>
          </cell>
          <cell r="U77">
            <v>5.9077659818916661E-2</v>
          </cell>
          <cell r="V77">
            <v>0.10708959610386959</v>
          </cell>
          <cell r="W77" t="str">
            <v/>
          </cell>
          <cell r="X77">
            <v>8.2342719960870614E-4</v>
          </cell>
          <cell r="Y77">
            <v>2.4368126847228444E-3</v>
          </cell>
          <cell r="Z77">
            <v>8.2543822422438407E-3</v>
          </cell>
          <cell r="AA77">
            <v>1.6038462293124667E-2</v>
          </cell>
          <cell r="AB77" t="str">
            <v/>
          </cell>
          <cell r="AC77">
            <v>3.7390740577953441E-2</v>
          </cell>
          <cell r="AD77">
            <v>6.1957780435557996E-2</v>
          </cell>
          <cell r="AE77">
            <v>0.1122159710732088</v>
          </cell>
        </row>
        <row r="78">
          <cell r="D78" t="str">
            <v>EUR</v>
          </cell>
          <cell r="N78" t="str">
            <v/>
          </cell>
          <cell r="O78">
            <v>1.1761201684514777E-3</v>
          </cell>
          <cell r="P78">
            <v>2.8358836412837318E-3</v>
          </cell>
          <cell r="Q78">
            <v>8.2081269908855781E-3</v>
          </cell>
          <cell r="R78">
            <v>1.8039317982199599E-2</v>
          </cell>
          <cell r="S78" t="str">
            <v/>
          </cell>
          <cell r="T78">
            <v>4.5464499825555116E-2</v>
          </cell>
          <cell r="U78">
            <v>7.7467459181736031E-2</v>
          </cell>
          <cell r="V78">
            <v>0.13123739226878028</v>
          </cell>
          <cell r="W78" t="str">
            <v/>
          </cell>
          <cell r="X78">
            <v>1.293652314683702E-3</v>
          </cell>
          <cell r="Y78">
            <v>3.0371386578909032E-3</v>
          </cell>
          <cell r="Z78">
            <v>8.6130666090672436E-3</v>
          </cell>
          <cell r="AA78">
            <v>1.8931354050590099E-2</v>
          </cell>
          <cell r="AB78" t="str">
            <v/>
          </cell>
          <cell r="AC78">
            <v>4.7695261667875299E-2</v>
          </cell>
          <cell r="AD78">
            <v>8.1223722923831732E-2</v>
          </cell>
          <cell r="AE78">
            <v>0.13745160742665696</v>
          </cell>
        </row>
        <row r="79">
          <cell r="D79" t="str">
            <v>EUR</v>
          </cell>
          <cell r="N79" t="str">
            <v/>
          </cell>
          <cell r="O79">
            <v>5.8823230557913941E-4</v>
          </cell>
          <cell r="P79">
            <v>1.0092775173019541E-3</v>
          </cell>
          <cell r="Q79">
            <v>3.7496532589399445E-3</v>
          </cell>
          <cell r="R79">
            <v>9.9306999908209681E-3</v>
          </cell>
          <cell r="S79" t="str">
            <v/>
          </cell>
          <cell r="T79">
            <v>2.4241958937759822E-2</v>
          </cell>
          <cell r="U79">
            <v>4.3815457748399789E-2</v>
          </cell>
          <cell r="V79">
            <v>8.0166351659363255E-2</v>
          </cell>
          <cell r="W79" t="str">
            <v/>
          </cell>
          <cell r="X79">
            <v>7.0583630213449933E-4</v>
          </cell>
          <cell r="Y79">
            <v>1.2108565538985205E-3</v>
          </cell>
          <cell r="Z79">
            <v>4.1180478663638276E-3</v>
          </cell>
          <cell r="AA79">
            <v>1.0463819986548217E-2</v>
          </cell>
          <cell r="AB79" t="str">
            <v/>
          </cell>
          <cell r="AC79">
            <v>2.5426055836184958E-2</v>
          </cell>
          <cell r="AD79">
            <v>4.5929541855125766E-2</v>
          </cell>
          <cell r="AE79">
            <v>8.4046916247105141E-2</v>
          </cell>
        </row>
        <row r="80">
          <cell r="D80" t="str">
            <v>EUR</v>
          </cell>
          <cell r="N80" t="str">
            <v/>
          </cell>
          <cell r="O80">
            <v>1.1761201684514777E-3</v>
          </cell>
          <cell r="P80">
            <v>2.0167767433040273E-3</v>
          </cell>
          <cell r="Q80">
            <v>6.7285536945660418E-3</v>
          </cell>
          <cell r="R80">
            <v>1.5909365922130103E-2</v>
          </cell>
          <cell r="S80" t="str">
            <v/>
          </cell>
          <cell r="T80">
            <v>3.837063245813821E-2</v>
          </cell>
          <cell r="U80">
            <v>6.6752839338821812E-2</v>
          </cell>
          <cell r="V80">
            <v>0.12083847921268964</v>
          </cell>
          <cell r="W80" t="str">
            <v/>
          </cell>
          <cell r="X80">
            <v>1.293652314683702E-3</v>
          </cell>
          <cell r="Y80">
            <v>2.218147906744905E-3</v>
          </cell>
          <cell r="Z80">
            <v>7.0959884309272914E-3</v>
          </cell>
          <cell r="AA80">
            <v>1.6693160281737729E-2</v>
          </cell>
          <cell r="AB80" t="str">
            <v/>
          </cell>
          <cell r="AC80">
            <v>4.0253687723516118E-2</v>
          </cell>
          <cell r="AD80">
            <v>6.9998527482515338E-2</v>
          </cell>
          <cell r="AE80">
            <v>0.12659601963241784</v>
          </cell>
        </row>
        <row r="81">
          <cell r="D81" t="str">
            <v>EUR</v>
          </cell>
          <cell r="N81" t="str">
            <v/>
          </cell>
          <cell r="O81">
            <v>4.7061340958476361E-4</v>
          </cell>
          <cell r="P81">
            <v>1.8325206103344538E-3</v>
          </cell>
          <cell r="Q81">
            <v>4.8447899781817183E-3</v>
          </cell>
          <cell r="R81">
            <v>9.8377686288169119E-3</v>
          </cell>
          <cell r="S81" t="str">
            <v/>
          </cell>
          <cell r="T81">
            <v>2.5110655994270648E-2</v>
          </cell>
          <cell r="U81">
            <v>4.3606181880270323E-2</v>
          </cell>
          <cell r="V81">
            <v>7.6116803908849007E-2</v>
          </cell>
          <cell r="W81" t="str">
            <v/>
          </cell>
          <cell r="X81">
            <v>5.8823155392451199E-4</v>
          </cell>
          <cell r="Y81">
            <v>2.0339921687133611E-3</v>
          </cell>
          <cell r="Z81">
            <v>5.2127599325659801E-3</v>
          </cell>
          <cell r="AA81">
            <v>1.0370595101421021E-2</v>
          </cell>
          <cell r="AB81" t="str">
            <v/>
          </cell>
          <cell r="AC81">
            <v>2.6342738939741484E-2</v>
          </cell>
          <cell r="AD81">
            <v>4.5733462746676001E-2</v>
          </cell>
          <cell r="AE81">
            <v>7.9798266717160504E-2</v>
          </cell>
        </row>
        <row r="82">
          <cell r="D82" t="str">
            <v>EUR</v>
          </cell>
          <cell r="N82" t="str">
            <v/>
          </cell>
          <cell r="O82">
            <v>7.0583742388907744E-4</v>
          </cell>
          <cell r="P82">
            <v>2.6451851910358481E-3</v>
          </cell>
          <cell r="Q82">
            <v>7.0736086334732828E-3</v>
          </cell>
          <cell r="R82">
            <v>1.3620720997893576E-2</v>
          </cell>
          <cell r="S82" t="str">
            <v/>
          </cell>
          <cell r="T82">
            <v>3.5811645964870853E-2</v>
          </cell>
          <cell r="U82">
            <v>6.3228171963070623E-2</v>
          </cell>
          <cell r="V82">
            <v>0.108371091223745</v>
          </cell>
          <cell r="W82" t="str">
            <v/>
          </cell>
          <cell r="X82">
            <v>8.2342719960870614E-4</v>
          </cell>
          <cell r="Y82">
            <v>2.8465196519359415E-3</v>
          </cell>
          <cell r="Z82">
            <v>7.4408601377257133E-3</v>
          </cell>
          <cell r="AA82">
            <v>1.4292139475147847E-2</v>
          </cell>
          <cell r="AB82" t="str">
            <v/>
          </cell>
          <cell r="AC82">
            <v>3.7573531854821041E-2</v>
          </cell>
          <cell r="AD82">
            <v>6.6309499155964069E-2</v>
          </cell>
          <cell r="AE82">
            <v>0.11355665095604373</v>
          </cell>
        </row>
        <row r="83">
          <cell r="D83" t="str">
            <v>EUR</v>
          </cell>
          <cell r="N83" t="str">
            <v/>
          </cell>
          <cell r="O83">
            <v>3.5298073341860636E-4</v>
          </cell>
          <cell r="P83">
            <v>1.8360018497242114E-3</v>
          </cell>
          <cell r="Q83">
            <v>5.6064173684181595E-3</v>
          </cell>
          <cell r="R83">
            <v>1.205480582923979E-2</v>
          </cell>
          <cell r="S83" t="str">
            <v/>
          </cell>
          <cell r="T83">
            <v>2.7661360228453558E-2</v>
          </cell>
          <cell r="U83">
            <v>4.9812017871672998E-2</v>
          </cell>
          <cell r="V83">
            <v>9.0238094955672588E-2</v>
          </cell>
          <cell r="W83" t="str">
            <v/>
          </cell>
          <cell r="X83">
            <v>4.7061295331773945E-4</v>
          </cell>
          <cell r="Y83">
            <v>2.0374857662349699E-3</v>
          </cell>
          <cell r="Z83">
            <v>5.97420595109599E-3</v>
          </cell>
          <cell r="AA83">
            <v>1.2642999176146974E-2</v>
          </cell>
          <cell r="AB83" t="str">
            <v/>
          </cell>
          <cell r="AC83">
            <v>2.9021812914784118E-2</v>
          </cell>
          <cell r="AD83">
            <v>5.2245360546262498E-2</v>
          </cell>
          <cell r="AE83">
            <v>9.4592936433431252E-2</v>
          </cell>
        </row>
        <row r="84">
          <cell r="D84" t="str">
            <v>EUR</v>
          </cell>
          <cell r="N84" t="str">
            <v/>
          </cell>
          <cell r="O84">
            <v>1.1761201684514777E-3</v>
          </cell>
          <cell r="P84">
            <v>2.2209797554582078E-3</v>
          </cell>
          <cell r="Q84">
            <v>7.1003186264176898E-3</v>
          </cell>
          <cell r="R84">
            <v>1.362322140890182E-2</v>
          </cell>
          <cell r="S84" t="str">
            <v/>
          </cell>
          <cell r="T84">
            <v>3.5856457877294634E-2</v>
          </cell>
          <cell r="U84">
            <v>6.1910779619233192E-2</v>
          </cell>
          <cell r="V84">
            <v>9.6857602315229552E-2</v>
          </cell>
          <cell r="W84" t="str">
            <v/>
          </cell>
          <cell r="X84">
            <v>1.293652314683702E-3</v>
          </cell>
          <cell r="Y84">
            <v>2.4223181174968245E-3</v>
          </cell>
          <cell r="Z84">
            <v>7.467622014547981E-3</v>
          </cell>
          <cell r="AA84">
            <v>1.429540143503838E-2</v>
          </cell>
          <cell r="AB84" t="str">
            <v/>
          </cell>
          <cell r="AC84">
            <v>3.7618799942238268E-2</v>
          </cell>
          <cell r="AD84">
            <v>6.4928538800085978E-2</v>
          </cell>
          <cell r="AE84">
            <v>0.10149681567323776</v>
          </cell>
        </row>
        <row r="85">
          <cell r="D85" t="str">
            <v>EUR</v>
          </cell>
          <cell r="N85" t="str">
            <v/>
          </cell>
          <cell r="O85">
            <v>2.0690507228052768E-3</v>
          </cell>
          <cell r="P85">
            <v>4.2211179019083778E-3</v>
          </cell>
          <cell r="Q85">
            <v>1.0129061683736729E-2</v>
          </cell>
          <cell r="R85">
            <v>1.6722044119525492E-2</v>
          </cell>
          <cell r="S85" t="str">
            <v/>
          </cell>
          <cell r="T85">
            <v>3.2475642137572924E-2</v>
          </cell>
          <cell r="U85">
            <v>4.9042138669325941E-2</v>
          </cell>
          <cell r="V85">
            <v>7.515315470635453E-2</v>
          </cell>
          <cell r="W85" t="str">
            <v/>
          </cell>
          <cell r="X85">
            <v>2.1864699410448774E-3</v>
          </cell>
          <cell r="Y85">
            <v>4.4312945147685356E-3</v>
          </cell>
          <cell r="Z85">
            <v>1.0633172425266291E-2</v>
          </cell>
          <cell r="AA85">
            <v>1.7551435366953139E-2</v>
          </cell>
          <cell r="AB85" t="str">
            <v/>
          </cell>
          <cell r="AC85">
            <v>3.4075798578479977E-2</v>
          </cell>
          <cell r="AD85">
            <v>5.1439185772273577E-2</v>
          </cell>
          <cell r="AE85">
            <v>7.8780619478540759E-2</v>
          </cell>
        </row>
        <row r="86">
          <cell r="D86" t="str">
            <v>EUR</v>
          </cell>
          <cell r="N86" t="str">
            <v/>
          </cell>
          <cell r="O86">
            <v>1.3641715876676619E-3</v>
          </cell>
          <cell r="P86">
            <v>3.0554457045692818E-3</v>
          </cell>
          <cell r="Q86">
            <v>7.5463703753376743E-3</v>
          </cell>
          <cell r="R86">
            <v>1.2886959970809353E-2</v>
          </cell>
          <cell r="S86" t="str">
            <v/>
          </cell>
          <cell r="T86">
            <v>2.558257584859791E-2</v>
          </cell>
          <cell r="U86">
            <v>4.0235956995704258E-2</v>
          </cell>
          <cell r="V86">
            <v>6.4107590481533139E-2</v>
          </cell>
          <cell r="W86" t="str">
            <v/>
          </cell>
          <cell r="X86">
            <v>1.4816803402574186E-3</v>
          </cell>
          <cell r="Y86">
            <v>3.2566497717982923E-3</v>
          </cell>
          <cell r="Z86">
            <v>7.9190987001090951E-3</v>
          </cell>
          <cell r="AA86">
            <v>1.3524669705709647E-2</v>
          </cell>
          <cell r="AB86" t="str">
            <v/>
          </cell>
          <cell r="AC86">
            <v>2.684321845298665E-2</v>
          </cell>
          <cell r="AD86">
            <v>4.2209565328419019E-2</v>
          </cell>
          <cell r="AE86">
            <v>6.7217587342212282E-2</v>
          </cell>
        </row>
        <row r="87">
          <cell r="D87" t="str">
            <v>EUR</v>
          </cell>
          <cell r="N87" t="str">
            <v/>
          </cell>
          <cell r="O87">
            <v>8.2342876691621214E-4</v>
          </cell>
          <cell r="P87">
            <v>2.0268797729209309E-3</v>
          </cell>
          <cell r="Q87">
            <v>5.97705299138096E-3</v>
          </cell>
          <cell r="R87">
            <v>1.1452960400101131E-2</v>
          </cell>
          <cell r="S87" t="str">
            <v/>
          </cell>
          <cell r="T87">
            <v>2.9593365949801997E-2</v>
          </cell>
          <cell r="U87">
            <v>4.956213666167919E-2</v>
          </cell>
          <cell r="V87">
            <v>8.4361803361274967E-2</v>
          </cell>
          <cell r="W87" t="str">
            <v/>
          </cell>
          <cell r="X87">
            <v>9.4100424795140469E-4</v>
          </cell>
          <cell r="Y87">
            <v>2.2282848186230275E-3</v>
          </cell>
          <cell r="Z87">
            <v>6.3446888383446032E-3</v>
          </cell>
          <cell r="AA87">
            <v>1.2013170037099008E-2</v>
          </cell>
          <cell r="AB87" t="str">
            <v/>
          </cell>
          <cell r="AC87">
            <v>3.1048718441633705E-2</v>
          </cell>
          <cell r="AD87">
            <v>5.1983642152434895E-2</v>
          </cell>
          <cell r="AE87">
            <v>8.8434557942412173E-2</v>
          </cell>
        </row>
        <row r="88">
          <cell r="D88" t="str">
            <v>EUR</v>
          </cell>
          <cell r="N88" t="str">
            <v/>
          </cell>
          <cell r="O88">
            <v>1.9985850884319811E-3</v>
          </cell>
          <cell r="P88">
            <v>3.6294939646501767E-3</v>
          </cell>
          <cell r="Q88">
            <v>1.0047294904644732E-2</v>
          </cell>
          <cell r="R88">
            <v>2.123703174553393E-2</v>
          </cell>
          <cell r="S88" t="str">
            <v/>
          </cell>
          <cell r="T88">
            <v>5.3301964251863398E-2</v>
          </cell>
          <cell r="U88">
            <v>8.7833501762284882E-2</v>
          </cell>
          <cell r="V88">
            <v>0.14905922407659877</v>
          </cell>
          <cell r="W88" t="str">
            <v/>
          </cell>
          <cell r="X88">
            <v>2.1160133915253398E-3</v>
          </cell>
          <cell r="Y88">
            <v>3.8305481639375749E-3</v>
          </cell>
          <cell r="Z88">
            <v>1.0546023633094759E-2</v>
          </cell>
          <cell r="AA88">
            <v>2.2301040121397331E-2</v>
          </cell>
          <cell r="AB88" t="str">
            <v/>
          </cell>
          <cell r="AC88">
            <v>5.5910845235296214E-2</v>
          </cell>
          <cell r="AD88">
            <v>9.2073244227543372E-2</v>
          </cell>
          <cell r="AE88">
            <v>0.15606375752188861</v>
          </cell>
        </row>
        <row r="89">
          <cell r="D89" t="str">
            <v>EUR</v>
          </cell>
          <cell r="N89" t="str">
            <v/>
          </cell>
          <cell r="O89">
            <v>4.7061340958476361E-4</v>
          </cell>
          <cell r="P89">
            <v>1.4224212190881991E-3</v>
          </cell>
          <cell r="Q89">
            <v>5.6349865097781171E-3</v>
          </cell>
          <cell r="R89">
            <v>1.2069312303711666E-2</v>
          </cell>
          <cell r="S89" t="str">
            <v/>
          </cell>
          <cell r="T89">
            <v>3.0510857920124645E-2</v>
          </cell>
          <cell r="U89">
            <v>5.2141550840897777E-2</v>
          </cell>
          <cell r="V89">
            <v>9.7651174000317198E-2</v>
          </cell>
          <cell r="W89" t="str">
            <v/>
          </cell>
          <cell r="X89">
            <v>5.8823155392451199E-4</v>
          </cell>
          <cell r="Y89">
            <v>1.6239482287041529E-3</v>
          </cell>
          <cell r="Z89">
            <v>6.0028436650338968E-3</v>
          </cell>
          <cell r="AA89">
            <v>1.2657742114997039E-2</v>
          </cell>
          <cell r="AB89" t="str">
            <v/>
          </cell>
          <cell r="AC89">
            <v>3.2009743716882366E-2</v>
          </cell>
          <cell r="AD89">
            <v>5.4683302602570594E-2</v>
          </cell>
          <cell r="AE89">
            <v>0.10235302726200746</v>
          </cell>
        </row>
        <row r="90">
          <cell r="D90" t="str">
            <v>EUR</v>
          </cell>
          <cell r="N90" t="str">
            <v/>
          </cell>
          <cell r="O90">
            <v>1.2936564344949719E-3</v>
          </cell>
          <cell r="P90">
            <v>2.2181549650379662E-3</v>
          </cell>
          <cell r="Q90">
            <v>5.9579779752720885E-3</v>
          </cell>
          <cell r="R90">
            <v>1.2561450087907322E-2</v>
          </cell>
          <cell r="S90" t="str">
            <v/>
          </cell>
          <cell r="T90">
            <v>3.318045080738552E-2</v>
          </cell>
          <cell r="U90">
            <v>5.3009593169728975E-2</v>
          </cell>
          <cell r="V90">
            <v>9.5164718684715432E-2</v>
          </cell>
          <cell r="W90" t="str">
            <v/>
          </cell>
          <cell r="X90">
            <v>1.4111739830211523E-3</v>
          </cell>
          <cell r="Y90">
            <v>2.4194841805483813E-3</v>
          </cell>
          <cell r="Z90">
            <v>6.325556754443018E-3</v>
          </cell>
          <cell r="AA90">
            <v>1.3177583749595878E-2</v>
          </cell>
          <cell r="AB90" t="str">
            <v/>
          </cell>
          <cell r="AC90">
            <v>3.4813306584796311E-2</v>
          </cell>
          <cell r="AD90">
            <v>5.5595829026690025E-2</v>
          </cell>
          <cell r="AE90">
            <v>9.9745852995137607E-2</v>
          </cell>
        </row>
        <row r="91">
          <cell r="D91" t="str">
            <v>EUR</v>
          </cell>
          <cell r="N91" t="str">
            <v/>
          </cell>
          <cell r="O91">
            <v>7.0583742388907744E-4</v>
          </cell>
          <cell r="P91">
            <v>1.4152198693172524E-3</v>
          </cell>
          <cell r="Q91">
            <v>4.4894063326089695E-3</v>
          </cell>
          <cell r="R91">
            <v>9.3057444619324414E-3</v>
          </cell>
          <cell r="S91" t="str">
            <v/>
          </cell>
          <cell r="T91">
            <v>2.4288505993311449E-2</v>
          </cell>
          <cell r="U91">
            <v>4.3791047641592362E-2</v>
          </cell>
          <cell r="V91">
            <v>8.2273002004070839E-2</v>
          </cell>
          <cell r="W91" t="str">
            <v/>
          </cell>
          <cell r="X91">
            <v>8.2342719960870614E-4</v>
          </cell>
          <cell r="Y91">
            <v>1.6167209125957926E-3</v>
          </cell>
          <cell r="Z91">
            <v>4.8575339699230557E-3</v>
          </cell>
          <cell r="AA91">
            <v>9.8388519972031352E-3</v>
          </cell>
          <cell r="AB91" t="str">
            <v/>
          </cell>
          <cell r="AC91">
            <v>2.547227160060439E-2</v>
          </cell>
          <cell r="AD91">
            <v>4.5925656666833237E-2</v>
          </cell>
          <cell r="AE91">
            <v>8.6244612762986117E-2</v>
          </cell>
        </row>
        <row r="92">
          <cell r="D92" t="str">
            <v>EUR</v>
          </cell>
          <cell r="N92" t="str">
            <v/>
          </cell>
          <cell r="O92">
            <v>1.0585701367545886E-3</v>
          </cell>
          <cell r="P92">
            <v>4.8851952355756234E-3</v>
          </cell>
          <cell r="Q92">
            <v>1.3027989424154063E-2</v>
          </cell>
          <cell r="R92">
            <v>2.4392505965141198E-2</v>
          </cell>
          <cell r="S92" t="str">
            <v/>
          </cell>
          <cell r="T92">
            <v>6.0134079819668007E-2</v>
          </cell>
          <cell r="U92">
            <v>9.9514044731724982E-2</v>
          </cell>
          <cell r="V92">
            <v>0.168183216535016</v>
          </cell>
          <cell r="W92" t="str">
            <v/>
          </cell>
          <cell r="X92">
            <v>1.1761168038567638E-3</v>
          </cell>
          <cell r="Y92">
            <v>5.1270379504751995E-3</v>
          </cell>
          <cell r="Z92">
            <v>1.3675068430423098E-2</v>
          </cell>
          <cell r="AA92">
            <v>2.5599884133007733E-2</v>
          </cell>
          <cell r="AB92" t="str">
            <v/>
          </cell>
          <cell r="AC92">
            <v>6.3077214383202795E-2</v>
          </cell>
          <cell r="AD92">
            <v>0.10429384325743696</v>
          </cell>
          <cell r="AE92">
            <v>0.17602481628221045</v>
          </cell>
        </row>
        <row r="93">
          <cell r="D93" t="str">
            <v>EUR</v>
          </cell>
          <cell r="N93" t="str">
            <v/>
          </cell>
          <cell r="O93">
            <v>8.2342876691621214E-4</v>
          </cell>
          <cell r="P93">
            <v>2.0268797729209309E-3</v>
          </cell>
          <cell r="Q93">
            <v>7.4984733809777548E-3</v>
          </cell>
          <cell r="R93">
            <v>1.7000270700021858E-2</v>
          </cell>
          <cell r="S93" t="str">
            <v/>
          </cell>
          <cell r="T93">
            <v>4.2879846988283954E-2</v>
          </cell>
          <cell r="U93">
            <v>7.268951072684704E-2</v>
          </cell>
          <cell r="V93">
            <v>0.12690029283017068</v>
          </cell>
          <cell r="W93" t="str">
            <v/>
          </cell>
          <cell r="X93">
            <v>9.4100424795140469E-4</v>
          </cell>
          <cell r="Y93">
            <v>2.2282848186230275E-3</v>
          </cell>
          <cell r="Z93">
            <v>7.8657359293518025E-3</v>
          </cell>
          <cell r="AA93">
            <v>1.783969476687508E-2</v>
          </cell>
          <cell r="AB93" t="str">
            <v/>
          </cell>
          <cell r="AC93">
            <v>4.4976979302184916E-2</v>
          </cell>
          <cell r="AD93">
            <v>7.6219677460711233E-2</v>
          </cell>
          <cell r="AE93">
            <v>0.13292563745209041</v>
          </cell>
        </row>
        <row r="94">
          <cell r="D94" t="str">
            <v>EUR</v>
          </cell>
          <cell r="N94" t="str">
            <v/>
          </cell>
          <cell r="O94">
            <v>5.8823230557913941E-4</v>
          </cell>
          <cell r="P94">
            <v>1.2136782726757112E-3</v>
          </cell>
          <cell r="Q94">
            <v>5.2617609228132745E-3</v>
          </cell>
          <cell r="R94">
            <v>1.0397843760764136E-2</v>
          </cell>
          <cell r="S94" t="str">
            <v/>
          </cell>
          <cell r="T94">
            <v>2.6993550401426036E-2</v>
          </cell>
          <cell r="U94">
            <v>4.7386589094374543E-2</v>
          </cell>
          <cell r="V94">
            <v>8.9245353410433492E-2</v>
          </cell>
          <cell r="W94" t="str">
            <v/>
          </cell>
          <cell r="X94">
            <v>7.0583630213449933E-4</v>
          </cell>
          <cell r="Y94">
            <v>1.4152199353631989E-3</v>
          </cell>
          <cell r="Z94">
            <v>5.62974456943377E-3</v>
          </cell>
          <cell r="AA94">
            <v>1.0930476221019725E-2</v>
          </cell>
          <cell r="AB94" t="str">
            <v/>
          </cell>
          <cell r="AC94">
            <v>2.8316261862172731E-2</v>
          </cell>
          <cell r="AD94">
            <v>4.9699393145533621E-2</v>
          </cell>
          <cell r="AE94">
            <v>9.3551381458354288E-2</v>
          </cell>
        </row>
        <row r="95">
          <cell r="D95" t="str">
            <v>EUR</v>
          </cell>
          <cell r="N95" t="str">
            <v/>
          </cell>
          <cell r="O95">
            <v>1.0585701367545886E-3</v>
          </cell>
          <cell r="P95">
            <v>1.8153579930627606E-3</v>
          </cell>
          <cell r="Q95">
            <v>6.7401227082872772E-3</v>
          </cell>
          <cell r="R95">
            <v>1.2528807306661505E-2</v>
          </cell>
          <cell r="S95" t="str">
            <v/>
          </cell>
          <cell r="T95">
            <v>3.3232200468662487E-2</v>
          </cell>
          <cell r="U95">
            <v>5.3000134000670052E-2</v>
          </cell>
          <cell r="V95">
            <v>9.3286820490321887E-2</v>
          </cell>
          <cell r="W95" t="str">
            <v/>
          </cell>
          <cell r="X95">
            <v>1.1761168038567638E-3</v>
          </cell>
          <cell r="Y95">
            <v>2.016770978406135E-3</v>
          </cell>
          <cell r="Z95">
            <v>7.1076003742251981E-3</v>
          </cell>
          <cell r="AA95">
            <v>1.3145230968133137E-2</v>
          </cell>
          <cell r="AB95" t="str">
            <v/>
          </cell>
          <cell r="AC95">
            <v>3.4865172733012151E-2</v>
          </cell>
          <cell r="AD95">
            <v>5.558633102691346E-2</v>
          </cell>
          <cell r="AE95">
            <v>9.7773276186208347E-2</v>
          </cell>
        </row>
        <row r="96">
          <cell r="D96" t="str">
            <v>EUR</v>
          </cell>
          <cell r="N96" t="str">
            <v/>
          </cell>
          <cell r="O96">
            <v>8.2342876691621214E-4</v>
          </cell>
          <cell r="P96">
            <v>3.4606568338814148E-3</v>
          </cell>
          <cell r="Q96">
            <v>1.0078644592176E-2</v>
          </cell>
          <cell r="R96">
            <v>1.9037352896351001E-2</v>
          </cell>
          <cell r="S96" t="str">
            <v/>
          </cell>
          <cell r="T96">
            <v>4.247791035973647E-2</v>
          </cell>
          <cell r="U96">
            <v>6.9673509902647424E-2</v>
          </cell>
          <cell r="V96">
            <v>0.11727397906890991</v>
          </cell>
          <cell r="W96" t="str">
            <v/>
          </cell>
          <cell r="X96">
            <v>9.4100424795140469E-4</v>
          </cell>
          <cell r="Y96">
            <v>3.6618681667324182E-3</v>
          </cell>
          <cell r="Z96">
            <v>1.0577815251505251E-2</v>
          </cell>
          <cell r="AA96">
            <v>1.9979402211943276E-2</v>
          </cell>
          <cell r="AB96" t="str">
            <v/>
          </cell>
          <cell r="AC96">
            <v>4.4564739726809299E-2</v>
          </cell>
          <cell r="AD96">
            <v>7.3056522789913703E-2</v>
          </cell>
          <cell r="AE96">
            <v>0.12285540702287101</v>
          </cell>
        </row>
        <row r="97">
          <cell r="D97" t="str">
            <v>EUR</v>
          </cell>
          <cell r="N97" t="str">
            <v/>
          </cell>
          <cell r="O97">
            <v>3.5298073341860636E-4</v>
          </cell>
          <cell r="P97">
            <v>1.0156915748593676E-3</v>
          </cell>
          <cell r="Q97">
            <v>3.373597070148171E-3</v>
          </cell>
          <cell r="R97">
            <v>7.132502399384677E-3</v>
          </cell>
          <cell r="S97" t="str">
            <v/>
          </cell>
          <cell r="T97">
            <v>1.8945925804614627E-2</v>
          </cell>
          <cell r="U97">
            <v>3.3892675729570776E-2</v>
          </cell>
          <cell r="V97">
            <v>6.0889340903988898E-2</v>
          </cell>
          <cell r="W97" t="str">
            <v/>
          </cell>
          <cell r="X97">
            <v>4.7061295331773945E-4</v>
          </cell>
          <cell r="Y97">
            <v>1.2172868200731601E-3</v>
          </cell>
          <cell r="Z97">
            <v>3.7420954075987334E-3</v>
          </cell>
          <cell r="AA97">
            <v>7.6666318262728073E-3</v>
          </cell>
          <cell r="AB97" t="str">
            <v/>
          </cell>
          <cell r="AC97">
            <v>1.9852644152935417E-2</v>
          </cell>
          <cell r="AD97">
            <v>3.5537007756944461E-2</v>
          </cell>
          <cell r="AE97">
            <v>6.3827684797867157E-2</v>
          </cell>
        </row>
        <row r="98">
          <cell r="D98" t="str">
            <v>EUR</v>
          </cell>
          <cell r="N98" t="str">
            <v/>
          </cell>
          <cell r="O98">
            <v>1.9398599456070809E-3</v>
          </cell>
          <cell r="P98">
            <v>5.1252391843702449E-3</v>
          </cell>
          <cell r="Q98">
            <v>1.1976426184707401E-2</v>
          </cell>
          <cell r="R98">
            <v>1.9051182530354982E-2</v>
          </cell>
          <cell r="S98" t="str">
            <v/>
          </cell>
          <cell r="T98">
            <v>3.6759319660346845E-2</v>
          </cell>
          <cell r="U98">
            <v>5.5509451609813354E-2</v>
          </cell>
          <cell r="V98">
            <v>8.4988354920911946E-2</v>
          </cell>
          <cell r="W98" t="str">
            <v/>
          </cell>
          <cell r="X98">
            <v>2.0572957967218697E-3</v>
          </cell>
          <cell r="Y98">
            <v>5.3802615121524289E-3</v>
          </cell>
          <cell r="Z98">
            <v>1.2571813740434146E-2</v>
          </cell>
          <cell r="AA98">
            <v>1.9995057265573823E-2</v>
          </cell>
          <cell r="AB98" t="str">
            <v/>
          </cell>
          <cell r="AC98">
            <v>3.8567227778797508E-2</v>
          </cell>
          <cell r="AD98">
            <v>5.8213833079576949E-2</v>
          </cell>
          <cell r="AE98">
            <v>8.9070639899303194E-2</v>
          </cell>
        </row>
        <row r="99">
          <cell r="D99" t="str">
            <v>EUR</v>
          </cell>
          <cell r="N99" t="str">
            <v/>
          </cell>
          <cell r="O99">
            <v>4.7061340958476361E-4</v>
          </cell>
          <cell r="P99">
            <v>1.4224212190881991E-3</v>
          </cell>
          <cell r="Q99">
            <v>4.4922095327908362E-3</v>
          </cell>
          <cell r="R99">
            <v>7.6168264407817654E-3</v>
          </cell>
          <cell r="S99" t="str">
            <v/>
          </cell>
          <cell r="T99">
            <v>1.8858402310388045E-2</v>
          </cell>
          <cell r="U99">
            <v>3.1071190418961336E-2</v>
          </cell>
          <cell r="V99">
            <v>5.329383332293125E-2</v>
          </cell>
          <cell r="W99" t="str">
            <v/>
          </cell>
          <cell r="X99">
            <v>5.8823155392451199E-4</v>
          </cell>
          <cell r="Y99">
            <v>1.6239482287041529E-3</v>
          </cell>
          <cell r="Z99">
            <v>4.8603470128968373E-3</v>
          </cell>
          <cell r="AA99">
            <v>8.1505038788247663E-3</v>
          </cell>
          <cell r="AB99" t="str">
            <v/>
          </cell>
          <cell r="AC99">
            <v>1.9764841150333501E-2</v>
          </cell>
          <cell r="AD99">
            <v>3.2580823881962373E-2</v>
          </cell>
          <cell r="AE99">
            <v>5.5867490680912346E-2</v>
          </cell>
        </row>
        <row r="100">
          <cell r="D100" t="str">
            <v>EUR</v>
          </cell>
          <cell r="N100" t="str">
            <v/>
          </cell>
          <cell r="O100">
            <v>7.0583742388907744E-4</v>
          </cell>
          <cell r="P100">
            <v>3.0547219040794049E-3</v>
          </cell>
          <cell r="Q100">
            <v>8.584178125501607E-3</v>
          </cell>
          <cell r="R100">
            <v>1.8573458922412134E-2</v>
          </cell>
          <cell r="S100" t="str">
            <v/>
          </cell>
          <cell r="T100">
            <v>4.7230775134812997E-2</v>
          </cell>
          <cell r="U100">
            <v>8.1138801510036607E-2</v>
          </cell>
          <cell r="V100">
            <v>0.14184205690704177</v>
          </cell>
          <cell r="W100" t="str">
            <v/>
          </cell>
          <cell r="X100">
            <v>8.2342719960870614E-4</v>
          </cell>
          <cell r="Y100">
            <v>3.2560008761441939E-3</v>
          </cell>
          <cell r="Z100">
            <v>9.0079443166394269E-3</v>
          </cell>
          <cell r="AA100">
            <v>1.9491676272471059E-2</v>
          </cell>
          <cell r="AB100" t="str">
            <v/>
          </cell>
          <cell r="AC100">
            <v>4.9548187637270313E-2</v>
          </cell>
          <cell r="AD100">
            <v>8.5068366038181908E-2</v>
          </cell>
          <cell r="AE100">
            <v>0.14854174099407547</v>
          </cell>
        </row>
        <row r="101">
          <cell r="D101" t="str">
            <v>EUR</v>
          </cell>
          <cell r="N101" t="str">
            <v/>
          </cell>
          <cell r="O101">
            <v>4.7061340958476361E-4</v>
          </cell>
          <cell r="P101">
            <v>1.0120957209085457E-3</v>
          </cell>
          <cell r="Q101">
            <v>3.3720572714528441E-3</v>
          </cell>
          <cell r="R101">
            <v>6.5638006302503049E-3</v>
          </cell>
          <cell r="S101" t="str">
            <v/>
          </cell>
          <cell r="T101">
            <v>1.8065292848925885E-2</v>
          </cell>
          <cell r="U101">
            <v>3.1329992159820463E-2</v>
          </cell>
          <cell r="V101">
            <v>5.9559803579402493E-2</v>
          </cell>
          <cell r="W101" t="str">
            <v/>
          </cell>
          <cell r="X101">
            <v>5.8823155392451199E-4</v>
          </cell>
          <cell r="Y101">
            <v>1.2136782015391701E-3</v>
          </cell>
          <cell r="Z101">
            <v>3.7405505500123226E-3</v>
          </cell>
          <cell r="AA101">
            <v>7.098105425095369E-3</v>
          </cell>
          <cell r="AB101" t="str">
            <v/>
          </cell>
          <cell r="AC101">
            <v>1.8925669939722112E-2</v>
          </cell>
          <cell r="AD101">
            <v>3.282561553722696E-2</v>
          </cell>
          <cell r="AE101">
            <v>6.2434578138544472E-2</v>
          </cell>
        </row>
        <row r="102">
          <cell r="D102" t="str">
            <v>EUR</v>
          </cell>
          <cell r="N102" t="str">
            <v/>
          </cell>
          <cell r="O102">
            <v>5.8823230557913941E-4</v>
          </cell>
          <cell r="P102">
            <v>1.0092775173019541E-3</v>
          </cell>
          <cell r="Q102">
            <v>3.3693718486148549E-3</v>
          </cell>
          <cell r="R102">
            <v>7.1261788833826278E-3</v>
          </cell>
          <cell r="S102" t="str">
            <v/>
          </cell>
          <cell r="T102">
            <v>1.8005211470009108E-2</v>
          </cell>
          <cell r="U102">
            <v>3.1289000191555782E-2</v>
          </cell>
          <cell r="V102">
            <v>4.9320831911941032E-2</v>
          </cell>
          <cell r="W102" t="str">
            <v/>
          </cell>
          <cell r="X102">
            <v>7.0583630213449933E-4</v>
          </cell>
          <cell r="Y102">
            <v>1.2108565538985205E-3</v>
          </cell>
          <cell r="Z102">
            <v>3.7378598219922621E-3</v>
          </cell>
          <cell r="AA102">
            <v>7.6602906247977831E-3</v>
          </cell>
          <cell r="AB102" t="str">
            <v/>
          </cell>
          <cell r="AC102">
            <v>1.88653764929817E-2</v>
          </cell>
          <cell r="AD102">
            <v>3.2806158826913401E-2</v>
          </cell>
          <cell r="AE102">
            <v>5.169322574693902E-2</v>
          </cell>
        </row>
        <row r="103">
          <cell r="D103" t="str">
            <v>EUR</v>
          </cell>
          <cell r="N103" t="str">
            <v/>
          </cell>
          <cell r="O103">
            <v>3.5298073341860636E-4</v>
          </cell>
          <cell r="P103">
            <v>2.2458180625392066E-3</v>
          </cell>
          <cell r="Q103">
            <v>5.592581996368029E-3</v>
          </cell>
          <cell r="R103">
            <v>1.0905510826810683E-2</v>
          </cell>
          <cell r="S103" t="str">
            <v/>
          </cell>
          <cell r="T103">
            <v>2.5893506291545187E-2</v>
          </cell>
          <cell r="U103">
            <v>4.4708803939628838E-2</v>
          </cell>
          <cell r="V103">
            <v>7.9601058296869365E-2</v>
          </cell>
          <cell r="W103" t="str">
            <v/>
          </cell>
          <cell r="X103">
            <v>4.7061295331773945E-4</v>
          </cell>
          <cell r="Y103">
            <v>2.447246344793208E-3</v>
          </cell>
          <cell r="Z103">
            <v>5.9602926243533805E-3</v>
          </cell>
          <cell r="AA103">
            <v>1.1437790769815992E-2</v>
          </cell>
          <cell r="AB103" t="str">
            <v/>
          </cell>
          <cell r="AC103">
            <v>2.7169253601022847E-2</v>
          </cell>
          <cell r="AD103">
            <v>4.6896871888982061E-2</v>
          </cell>
          <cell r="AE103">
            <v>8.346059978808118E-2</v>
          </cell>
        </row>
        <row r="104">
          <cell r="D104" t="str">
            <v>EUR</v>
          </cell>
          <cell r="N104" t="str">
            <v/>
          </cell>
          <cell r="O104">
            <v>3.5298073341860636E-4</v>
          </cell>
          <cell r="P104">
            <v>1.0156915748593676E-3</v>
          </cell>
          <cell r="Q104">
            <v>3.373597070148171E-3</v>
          </cell>
          <cell r="R104">
            <v>7.132502399384677E-3</v>
          </cell>
          <cell r="S104" t="str">
            <v/>
          </cell>
          <cell r="T104">
            <v>1.8945925804614627E-2</v>
          </cell>
          <cell r="U104">
            <v>3.3892675729570776E-2</v>
          </cell>
          <cell r="V104">
            <v>6.0889340903988898E-2</v>
          </cell>
          <cell r="W104" t="str">
            <v/>
          </cell>
          <cell r="X104">
            <v>4.7061295331773945E-4</v>
          </cell>
          <cell r="Y104">
            <v>1.2172868200731601E-3</v>
          </cell>
          <cell r="Z104">
            <v>3.7420954075987334E-3</v>
          </cell>
          <cell r="AA104">
            <v>7.6666318262728073E-3</v>
          </cell>
          <cell r="AB104" t="str">
            <v/>
          </cell>
          <cell r="AC104">
            <v>1.9852644152935417E-2</v>
          </cell>
          <cell r="AD104">
            <v>3.5537007756944461E-2</v>
          </cell>
          <cell r="AE104">
            <v>6.3827684797867157E-2</v>
          </cell>
        </row>
        <row r="105">
          <cell r="D105" t="str">
            <v>EUR</v>
          </cell>
          <cell r="N105" t="str">
            <v/>
          </cell>
          <cell r="O105">
            <v>1.0585701367545886E-3</v>
          </cell>
          <cell r="P105">
            <v>1.8153579930627606E-3</v>
          </cell>
          <cell r="Q105">
            <v>6.7401227082872772E-3</v>
          </cell>
          <cell r="R105">
            <v>1.4225903945556784E-2</v>
          </cell>
          <cell r="S105" t="str">
            <v/>
          </cell>
          <cell r="T105">
            <v>3.8615309005143539E-2</v>
          </cell>
          <cell r="U105">
            <v>6.6889563470720614E-2</v>
          </cell>
          <cell r="V105">
            <v>0.11136683099144618</v>
          </cell>
          <cell r="W105" t="str">
            <v/>
          </cell>
          <cell r="X105">
            <v>1.1761168038567638E-3</v>
          </cell>
          <cell r="Y105">
            <v>2.016770978406135E-3</v>
          </cell>
          <cell r="Z105">
            <v>7.1076003742251981E-3</v>
          </cell>
          <cell r="AA105">
            <v>1.4926322619330135E-2</v>
          </cell>
          <cell r="AB105" t="str">
            <v/>
          </cell>
          <cell r="AC105">
            <v>4.0511133070740724E-2</v>
          </cell>
          <cell r="AD105">
            <v>7.0143508468543003E-2</v>
          </cell>
          <cell r="AE105">
            <v>0.11667971314697645</v>
          </cell>
        </row>
        <row r="106">
          <cell r="D106" t="str">
            <v>EUR</v>
          </cell>
          <cell r="N106" t="str">
            <v/>
          </cell>
          <cell r="O106">
            <v>3.5298073341860636E-4</v>
          </cell>
          <cell r="P106">
            <v>1.0156915748593676E-3</v>
          </cell>
          <cell r="Q106">
            <v>4.5162941892838981E-3</v>
          </cell>
          <cell r="R106">
            <v>8.7619064501087696E-3</v>
          </cell>
          <cell r="S106" t="str">
            <v/>
          </cell>
          <cell r="T106">
            <v>2.3456858573985939E-2</v>
          </cell>
          <cell r="U106">
            <v>4.2626801601451048E-2</v>
          </cell>
          <cell r="V106">
            <v>7.8733190609869941E-2</v>
          </cell>
          <cell r="W106" t="str">
            <v/>
          </cell>
          <cell r="X106">
            <v>4.7061295331773945E-4</v>
          </cell>
          <cell r="Y106">
            <v>1.2172868200731601E-3</v>
          </cell>
          <cell r="Z106">
            <v>4.8845121411535963E-3</v>
          </cell>
          <cell r="AA106">
            <v>9.2952713529557141E-3</v>
          </cell>
          <cell r="AB106" t="str">
            <v/>
          </cell>
          <cell r="AC106">
            <v>2.4595201697532043E-2</v>
          </cell>
          <cell r="AD106">
            <v>4.4702830396828763E-2</v>
          </cell>
          <cell r="AE106">
            <v>8.2530346042216651E-2</v>
          </cell>
        </row>
        <row r="107">
          <cell r="D107" t="str">
            <v>EUR</v>
          </cell>
          <cell r="N107" t="str">
            <v/>
          </cell>
          <cell r="O107">
            <v>8.2342876691621214E-4</v>
          </cell>
          <cell r="P107">
            <v>2.2318744509897126E-3</v>
          </cell>
          <cell r="Q107">
            <v>7.4871506912410624E-3</v>
          </cell>
          <cell r="R107">
            <v>1.5866667630694997E-2</v>
          </cell>
          <cell r="S107" t="str">
            <v/>
          </cell>
          <cell r="T107">
            <v>4.3951601095804205E-2</v>
          </cell>
          <cell r="U107">
            <v>7.3961842840870373E-2</v>
          </cell>
          <cell r="V107">
            <v>0.12484421789835021</v>
          </cell>
          <cell r="W107" t="str">
            <v/>
          </cell>
          <cell r="X107">
            <v>9.4100424795140469E-4</v>
          </cell>
          <cell r="Y107">
            <v>2.4332518078210574E-3</v>
          </cell>
          <cell r="Z107">
            <v>7.8543757142207626E-3</v>
          </cell>
          <cell r="AA107">
            <v>1.6650145409727091E-2</v>
          </cell>
          <cell r="AB107" t="str">
            <v/>
          </cell>
          <cell r="AC107">
            <v>4.6109588257717271E-2</v>
          </cell>
          <cell r="AD107">
            <v>7.7551596029075909E-2</v>
          </cell>
          <cell r="AE107">
            <v>0.13076994963843402</v>
          </cell>
        </row>
        <row r="108">
          <cell r="D108" t="str">
            <v>EUR</v>
          </cell>
          <cell r="N108" t="str">
            <v/>
          </cell>
          <cell r="O108">
            <v>4.7061340958476361E-4</v>
          </cell>
          <cell r="P108">
            <v>1.8325206103344538E-3</v>
          </cell>
          <cell r="Q108">
            <v>5.2267332050037751E-3</v>
          </cell>
          <cell r="R108">
            <v>9.2550798794751588E-3</v>
          </cell>
          <cell r="S108" t="str">
            <v/>
          </cell>
          <cell r="T108">
            <v>2.2381632505259486E-2</v>
          </cell>
          <cell r="U108">
            <v>3.5864247207541777E-2</v>
          </cell>
          <cell r="V108">
            <v>5.9898378843788458E-2</v>
          </cell>
          <cell r="W108" t="str">
            <v/>
          </cell>
          <cell r="X108">
            <v>5.8823155392451199E-4</v>
          </cell>
          <cell r="Y108">
            <v>2.0339921687133611E-3</v>
          </cell>
          <cell r="Z108">
            <v>5.594609537902473E-3</v>
          </cell>
          <cell r="AA108">
            <v>9.7880184419169014E-3</v>
          </cell>
          <cell r="AB108" t="str">
            <v/>
          </cell>
          <cell r="AC108">
            <v>2.3472566029238973E-2</v>
          </cell>
          <cell r="AD108">
            <v>3.7614251189173165E-2</v>
          </cell>
          <cell r="AE108">
            <v>6.2801051728235802E-2</v>
          </cell>
        </row>
        <row r="109">
          <cell r="D109" t="str">
            <v>EUR</v>
          </cell>
          <cell r="N109" t="str">
            <v/>
          </cell>
          <cell r="O109">
            <v>9.4100633706173387E-4</v>
          </cell>
          <cell r="P109">
            <v>1.6138987049141296E-3</v>
          </cell>
          <cell r="Q109">
            <v>6.3725085588677288E-3</v>
          </cell>
          <cell r="R109">
            <v>1.2563288836881514E-2</v>
          </cell>
          <cell r="S109" t="str">
            <v/>
          </cell>
          <cell r="T109">
            <v>3.7919184516906124E-2</v>
          </cell>
          <cell r="U109">
            <v>6.5823428654855909E-2</v>
          </cell>
          <cell r="V109">
            <v>0.11399398215304823</v>
          </cell>
          <cell r="W109" t="str">
            <v/>
          </cell>
          <cell r="X109">
            <v>1.0585674487949559E-3</v>
          </cell>
          <cell r="Y109">
            <v>1.815353387123575E-3</v>
          </cell>
          <cell r="Z109">
            <v>6.740122166288165E-3</v>
          </cell>
          <cell r="AA109">
            <v>1.3179782938892881E-2</v>
          </cell>
          <cell r="AB109" t="str">
            <v/>
          </cell>
          <cell r="AC109">
            <v>3.9781962180993502E-2</v>
          </cell>
          <cell r="AD109">
            <v>6.9026611373250613E-2</v>
          </cell>
          <cell r="AE109">
            <v>0.11943761053451563</v>
          </cell>
        </row>
        <row r="110">
          <cell r="D110" t="str">
            <v>EUR</v>
          </cell>
          <cell r="N110" t="str">
            <v/>
          </cell>
          <cell r="O110">
            <v>1.8811313652714601E-3</v>
          </cell>
          <cell r="P110">
            <v>3.8380588661446335E-3</v>
          </cell>
          <cell r="Q110">
            <v>8.9008870316632516E-3</v>
          </cell>
          <cell r="R110">
            <v>1.4565223773973068E-2</v>
          </cell>
          <cell r="S110" t="str">
            <v/>
          </cell>
          <cell r="T110">
            <v>2.9045783144187154E-2</v>
          </cell>
          <cell r="U110">
            <v>4.4371852656723165E-2</v>
          </cell>
          <cell r="V110">
            <v>7.0742326751350282E-2</v>
          </cell>
          <cell r="W110" t="str">
            <v/>
          </cell>
          <cell r="X110">
            <v>1.9985747439534851E-3</v>
          </cell>
          <cell r="Y110">
            <v>4.0390981183110464E-3</v>
          </cell>
          <cell r="Z110">
            <v>9.3433911108494749E-3</v>
          </cell>
          <cell r="AA110">
            <v>1.5287678548561834E-2</v>
          </cell>
          <cell r="AB110" t="str">
            <v/>
          </cell>
          <cell r="AC110">
            <v>3.0478694461554934E-2</v>
          </cell>
          <cell r="AD110">
            <v>4.6545155446763964E-2</v>
          </cell>
          <cell r="AE110">
            <v>7.4168572972566849E-2</v>
          </cell>
        </row>
        <row r="111">
          <cell r="D111" t="str">
            <v>EUR</v>
          </cell>
          <cell r="N111" t="str">
            <v/>
          </cell>
          <cell r="O111">
            <v>8.2342876691621214E-4</v>
          </cell>
          <cell r="P111">
            <v>2.8465196034316298E-3</v>
          </cell>
          <cell r="Q111">
            <v>9.3484363887806898E-3</v>
          </cell>
          <cell r="R111">
            <v>1.9669585554483171E-2</v>
          </cell>
          <cell r="S111" t="str">
            <v/>
          </cell>
          <cell r="T111">
            <v>4.9886581084836013E-2</v>
          </cell>
          <cell r="U111">
            <v>8.5935569257326039E-2</v>
          </cell>
          <cell r="V111">
            <v>0.1481621210676104</v>
          </cell>
          <cell r="W111" t="str">
            <v/>
          </cell>
          <cell r="X111">
            <v>9.4100424795140469E-4</v>
          </cell>
          <cell r="Y111">
            <v>3.0478139257948955E-3</v>
          </cell>
          <cell r="Z111">
            <v>9.8103109106891795E-3</v>
          </cell>
          <cell r="AA111">
            <v>2.0641800500786123E-2</v>
          </cell>
          <cell r="AB111" t="str">
            <v/>
          </cell>
          <cell r="AC111">
            <v>5.2329943320532868E-2</v>
          </cell>
          <cell r="AD111">
            <v>9.0090081406438705E-2</v>
          </cell>
          <cell r="AE111">
            <v>0.15513687167434842</v>
          </cell>
        </row>
        <row r="112">
          <cell r="D112" t="str">
            <v>EUR</v>
          </cell>
          <cell r="N112" t="str">
            <v/>
          </cell>
          <cell r="O112">
            <v>1.4111789373691952E-3</v>
          </cell>
          <cell r="P112">
            <v>3.4431525528769713E-3</v>
          </cell>
          <cell r="Q112">
            <v>1.1587964981512711E-2</v>
          </cell>
          <cell r="R112">
            <v>2.2298842022660414E-2</v>
          </cell>
          <cell r="S112" t="str">
            <v/>
          </cell>
          <cell r="T112">
            <v>4.4851991336675612E-2</v>
          </cell>
          <cell r="U112">
            <v>7.4277711923350642E-2</v>
          </cell>
          <cell r="V112">
            <v>0.13306972199037626</v>
          </cell>
          <cell r="W112" t="str">
            <v/>
          </cell>
          <cell r="X112">
            <v>1.5286818104438549E-3</v>
          </cell>
          <cell r="Y112">
            <v>3.6442988133077447E-3</v>
          </cell>
          <cell r="Z112">
            <v>1.2162479452711317E-2</v>
          </cell>
          <cell r="AA112">
            <v>2.340176713111497E-2</v>
          </cell>
          <cell r="AB112" t="str">
            <v/>
          </cell>
          <cell r="AC112">
            <v>4.7050350733778945E-2</v>
          </cell>
          <cell r="AD112">
            <v>7.7897750766785179E-2</v>
          </cell>
          <cell r="AE112">
            <v>0.13936646820738163</v>
          </cell>
        </row>
        <row r="113">
          <cell r="D113" t="str">
            <v>EUR</v>
          </cell>
          <cell r="N113" t="str">
            <v/>
          </cell>
          <cell r="O113">
            <v>2.116025062917859E-3</v>
          </cell>
          <cell r="P113">
            <v>4.2400963005428949E-3</v>
          </cell>
          <cell r="Q113">
            <v>8.4931684784033123E-3</v>
          </cell>
          <cell r="R113">
            <v>1.4563474051236924E-2</v>
          </cell>
          <cell r="S113" t="str">
            <v/>
          </cell>
          <cell r="T113">
            <v>3.3674379780990749E-2</v>
          </cell>
          <cell r="U113">
            <v>5.6524584838238745E-2</v>
          </cell>
          <cell r="V113">
            <v>9.9713548962372722E-2</v>
          </cell>
          <cell r="W113" t="str">
            <v/>
          </cell>
          <cell r="X113">
            <v>2.2334382080247961E-3</v>
          </cell>
          <cell r="Y113">
            <v>4.4512890237272673E-3</v>
          </cell>
          <cell r="Z113">
            <v>8.9160025821544142E-3</v>
          </cell>
          <cell r="AA113">
            <v>1.528657293319613E-2</v>
          </cell>
          <cell r="AB113" t="str">
            <v/>
          </cell>
          <cell r="AC113">
            <v>3.5335812508259568E-2</v>
          </cell>
          <cell r="AD113">
            <v>5.9286318130780891E-2</v>
          </cell>
          <cell r="AE113">
            <v>0.10450551783057715</v>
          </cell>
        </row>
        <row r="114">
          <cell r="D114" t="str">
            <v>EUR</v>
          </cell>
          <cell r="N114" t="str">
            <v/>
          </cell>
          <cell r="O114">
            <v>7.0583742388907744E-4</v>
          </cell>
          <cell r="P114">
            <v>1.6203553656132241E-3</v>
          </cell>
          <cell r="Q114">
            <v>5.240114054658962E-3</v>
          </cell>
          <cell r="R114">
            <v>1.0384717920422615E-2</v>
          </cell>
          <cell r="S114" t="str">
            <v/>
          </cell>
          <cell r="T114">
            <v>2.6949983360335716E-2</v>
          </cell>
          <cell r="U114">
            <v>4.6014236064543468E-2</v>
          </cell>
          <cell r="V114">
            <v>8.7488509716368235E-2</v>
          </cell>
          <cell r="W114" t="str">
            <v/>
          </cell>
          <cell r="X114">
            <v>8.2342719960870614E-4</v>
          </cell>
          <cell r="Y114">
            <v>1.821828632852851E-3</v>
          </cell>
          <cell r="Z114">
            <v>5.6080169511395495E-3</v>
          </cell>
          <cell r="AA114">
            <v>1.0917293122402971E-2</v>
          </cell>
          <cell r="AB114" t="str">
            <v/>
          </cell>
          <cell r="AC114">
            <v>2.8270822292461473E-2</v>
          </cell>
          <cell r="AD114">
            <v>4.826109666875289E-2</v>
          </cell>
          <cell r="AE114">
            <v>9.1714854377564659E-2</v>
          </cell>
        </row>
        <row r="115">
          <cell r="D115" t="str">
            <v>EUR</v>
          </cell>
          <cell r="N115" t="str">
            <v/>
          </cell>
          <cell r="O115">
            <v>1.0585701367545886E-3</v>
          </cell>
          <cell r="P115">
            <v>2.0196007985324727E-3</v>
          </cell>
          <cell r="Q115">
            <v>6.7328788018000685E-3</v>
          </cell>
          <cell r="R115">
            <v>1.139493581320894E-2</v>
          </cell>
          <cell r="S115" t="str">
            <v/>
          </cell>
          <cell r="T115">
            <v>2.9614531503692199E-2</v>
          </cell>
          <cell r="U115">
            <v>5.0870925720800764E-2</v>
          </cell>
          <cell r="V115">
            <v>9.2117256047173024E-2</v>
          </cell>
          <cell r="W115" t="str">
            <v/>
          </cell>
          <cell r="X115">
            <v>1.1761168038567638E-3</v>
          </cell>
          <cell r="Y115">
            <v>2.2209798623785693E-3</v>
          </cell>
          <cell r="Z115">
            <v>7.1003184774716122E-3</v>
          </cell>
          <cell r="AA115">
            <v>1.1955094510662789E-2</v>
          </cell>
          <cell r="AB115" t="str">
            <v/>
          </cell>
          <cell r="AC115">
            <v>3.1071276442571905E-2</v>
          </cell>
          <cell r="AD115">
            <v>5.3357874119617899E-2</v>
          </cell>
          <cell r="AE115">
            <v>9.6556269125790073E-2</v>
          </cell>
        </row>
        <row r="116">
          <cell r="D116" t="str">
            <v>EUR</v>
          </cell>
          <cell r="N116" t="str">
            <v/>
          </cell>
          <cell r="O116">
            <v>5.8823230557913941E-4</v>
          </cell>
          <cell r="P116">
            <v>1.4188416515668045E-3</v>
          </cell>
          <cell r="Q116">
            <v>4.4913629325150639E-3</v>
          </cell>
          <cell r="R116">
            <v>9.8734462293066372E-3</v>
          </cell>
          <cell r="S116" t="str">
            <v/>
          </cell>
          <cell r="T116">
            <v>2.6092330030474176E-2</v>
          </cell>
          <cell r="U116">
            <v>4.3504361468853392E-2</v>
          </cell>
          <cell r="V116">
            <v>8.4164102154035803E-2</v>
          </cell>
          <cell r="W116" t="str">
            <v/>
          </cell>
          <cell r="X116">
            <v>7.0583630213449933E-4</v>
          </cell>
          <cell r="Y116">
            <v>1.6203554628971828E-3</v>
          </cell>
          <cell r="Z116">
            <v>4.8594953973825072E-3</v>
          </cell>
          <cell r="AA116">
            <v>1.0406378538608041E-2</v>
          </cell>
          <cell r="AB116" t="str">
            <v/>
          </cell>
          <cell r="AC116">
            <v>2.7369808295400699E-2</v>
          </cell>
          <cell r="AD116">
            <v>4.5622656813135265E-2</v>
          </cell>
          <cell r="AE116">
            <v>8.8232578511087456E-2</v>
          </cell>
        </row>
        <row r="117">
          <cell r="D117" t="str">
            <v>EUR</v>
          </cell>
          <cell r="N117" t="str">
            <v/>
          </cell>
          <cell r="O117">
            <v>2.3533427473454438E-4</v>
          </cell>
          <cell r="P117">
            <v>1.0192455533220013E-3</v>
          </cell>
          <cell r="Q117">
            <v>3.7555256192154385E-3</v>
          </cell>
          <cell r="R117">
            <v>8.2446671693005014E-3</v>
          </cell>
          <cell r="S117" t="str">
            <v/>
          </cell>
          <cell r="T117">
            <v>2.0689361400891393E-2</v>
          </cell>
          <cell r="U117">
            <v>3.4927685869413971E-2</v>
          </cell>
          <cell r="V117">
            <v>6.2408479207001766E-2</v>
          </cell>
          <cell r="W117" t="str">
            <v/>
          </cell>
          <cell r="X117">
            <v>3.5298049865262193E-4</v>
          </cell>
          <cell r="Y117">
            <v>1.2208537424306387E-3</v>
          </cell>
          <cell r="Z117">
            <v>4.1239356948976624E-3</v>
          </cell>
          <cell r="AA117">
            <v>8.7783664169903686E-3</v>
          </cell>
          <cell r="AB117" t="str">
            <v/>
          </cell>
          <cell r="AC117">
            <v>2.1689001218092585E-2</v>
          </cell>
          <cell r="AD117">
            <v>3.6624726966610455E-2</v>
          </cell>
          <cell r="AE117">
            <v>6.5426908323910737E-2</v>
          </cell>
        </row>
        <row r="118">
          <cell r="D118" t="str">
            <v>EUR</v>
          </cell>
          <cell r="N118" t="str">
            <v/>
          </cell>
          <cell r="O118">
            <v>7.0583742388907744E-4</v>
          </cell>
          <cell r="P118">
            <v>1.8254343260272199E-3</v>
          </cell>
          <cell r="Q118">
            <v>6.3705647759617623E-3</v>
          </cell>
          <cell r="R118">
            <v>1.3133013698367391E-2</v>
          </cell>
          <cell r="S118" t="str">
            <v/>
          </cell>
          <cell r="T118">
            <v>3.4080447442536244E-2</v>
          </cell>
          <cell r="U118">
            <v>6.0917000235163887E-2</v>
          </cell>
          <cell r="V118">
            <v>0.11312916820515884</v>
          </cell>
          <cell r="W118" t="str">
            <v/>
          </cell>
          <cell r="X118">
            <v>8.2342719960870614E-4</v>
          </cell>
          <cell r="Y118">
            <v>2.0268798220722806E-3</v>
          </cell>
          <cell r="Z118">
            <v>6.7381499081161644E-3</v>
          </cell>
          <cell r="AA118">
            <v>1.3777229889441411E-2</v>
          </cell>
          <cell r="AB118" t="str">
            <v/>
          </cell>
          <cell r="AC118">
            <v>3.5755359794659158E-2</v>
          </cell>
          <cell r="AD118">
            <v>6.3885202363445082E-2</v>
          </cell>
          <cell r="AE118">
            <v>0.11854541866504631</v>
          </cell>
        </row>
        <row r="119">
          <cell r="D119" t="str">
            <v>EUR</v>
          </cell>
          <cell r="N119" t="str">
            <v/>
          </cell>
          <cell r="O119">
            <v>1.3406670871113358E-3</v>
          </cell>
          <cell r="P119">
            <v>3.3224455523571672E-3</v>
          </cell>
          <cell r="Q119">
            <v>8.7838682572192184E-3</v>
          </cell>
          <cell r="R119">
            <v>1.5845646047529027E-2</v>
          </cell>
          <cell r="S119" t="str">
            <v/>
          </cell>
          <cell r="T119">
            <v>3.5469261019733023E-2</v>
          </cell>
          <cell r="U119">
            <v>5.356387753935743E-2</v>
          </cell>
          <cell r="V119">
            <v>8.0293095495867828E-2</v>
          </cell>
          <cell r="W119" t="str">
            <v/>
          </cell>
          <cell r="X119">
            <v>1.4581787747859343E-3</v>
          </cell>
          <cell r="Y119">
            <v>3.5236159899748598E-3</v>
          </cell>
          <cell r="Z119">
            <v>9.2190453920866222E-3</v>
          </cell>
          <cell r="AA119">
            <v>1.6630137608647289E-2</v>
          </cell>
          <cell r="AB119" t="str">
            <v/>
          </cell>
          <cell r="AC119">
            <v>3.7214915505261903E-2</v>
          </cell>
          <cell r="AD119">
            <v>5.6177506891201823E-2</v>
          </cell>
          <cell r="AE119">
            <v>8.415757833909121E-2</v>
          </cell>
        </row>
        <row r="120">
          <cell r="D120" t="str">
            <v>EUR</v>
          </cell>
          <cell r="N120" t="str">
            <v/>
          </cell>
          <cell r="O120">
            <v>1.3524194061996786E-3</v>
          </cell>
          <cell r="P120">
            <v>3.6701481797429825E-3</v>
          </cell>
          <cell r="Q120">
            <v>1.0432744395999949E-2</v>
          </cell>
          <cell r="R120">
            <v>1.8995315771529242E-2</v>
          </cell>
          <cell r="S120" t="str">
            <v/>
          </cell>
          <cell r="T120">
            <v>4.0620578708481236E-2</v>
          </cell>
          <cell r="U120">
            <v>6.3201332464938309E-2</v>
          </cell>
          <cell r="V120">
            <v>9.7145057233841925E-2</v>
          </cell>
          <cell r="W120" t="str">
            <v/>
          </cell>
          <cell r="X120">
            <v>1.469929626734201E-3</v>
          </cell>
          <cell r="Y120">
            <v>3.8712697541007923E-3</v>
          </cell>
          <cell r="Z120">
            <v>1.0951161564709655E-2</v>
          </cell>
          <cell r="AA120">
            <v>1.9935790208543525E-2</v>
          </cell>
          <cell r="AB120" t="str">
            <v/>
          </cell>
          <cell r="AC120">
            <v>4.2617000633239588E-2</v>
          </cell>
          <cell r="AD120">
            <v>6.6273770411026556E-2</v>
          </cell>
          <cell r="AE120">
            <v>0.10178972388410457</v>
          </cell>
        </row>
        <row r="121">
          <cell r="D121" t="str">
            <v>EUR</v>
          </cell>
          <cell r="N121" t="str">
            <v/>
          </cell>
          <cell r="O121">
            <v>3.5298073341860636E-4</v>
          </cell>
          <cell r="P121">
            <v>6.0599386093529439E-4</v>
          </cell>
          <cell r="Q121">
            <v>2.6319870233595388E-3</v>
          </cell>
          <cell r="R121">
            <v>5.4906936531087247E-3</v>
          </cell>
          <cell r="S121" t="str">
            <v/>
          </cell>
          <cell r="T121">
            <v>1.5399163583588615E-2</v>
          </cell>
          <cell r="U121">
            <v>2.7713907214462097E-2</v>
          </cell>
          <cell r="V121">
            <v>5.0502649602034877E-2</v>
          </cell>
          <cell r="W121" t="str">
            <v/>
          </cell>
          <cell r="X121">
            <v>4.7061295331773945E-4</v>
          </cell>
          <cell r="Y121">
            <v>8.0765519981518263E-4</v>
          </cell>
          <cell r="Z121">
            <v>3.0007474895722419E-3</v>
          </cell>
          <cell r="AA121">
            <v>6.0255645128544089E-3</v>
          </cell>
          <cell r="AB121" t="str">
            <v/>
          </cell>
          <cell r="AC121">
            <v>1.6261562713842381E-2</v>
          </cell>
          <cell r="AD121">
            <v>2.9031635284855639E-2</v>
          </cell>
          <cell r="AE121">
            <v>5.2925820173771232E-2</v>
          </cell>
        </row>
        <row r="122">
          <cell r="D122" t="str">
            <v>EUR</v>
          </cell>
          <cell r="N122" t="str">
            <v/>
          </cell>
          <cell r="O122">
            <v>8.2342876691621214E-4</v>
          </cell>
          <cell r="P122">
            <v>2.4368126355408526E-3</v>
          </cell>
          <cell r="Q122">
            <v>7.0926963340878224E-3</v>
          </cell>
          <cell r="R122">
            <v>1.4190919267916935E-2</v>
          </cell>
          <cell r="S122" t="str">
            <v/>
          </cell>
          <cell r="T122">
            <v>3.3883362063104272E-2</v>
          </cell>
          <cell r="U122">
            <v>5.675366974699092E-2</v>
          </cell>
          <cell r="V122">
            <v>9.5950122414247052E-2</v>
          </cell>
          <cell r="W122" t="str">
            <v/>
          </cell>
          <cell r="X122">
            <v>9.4100424795140469E-4</v>
          </cell>
          <cell r="Y122">
            <v>2.6381623096690676E-3</v>
          </cell>
          <cell r="Z122">
            <v>7.4599781392162834E-3</v>
          </cell>
          <cell r="AA122">
            <v>1.4890480221281477E-2</v>
          </cell>
          <cell r="AB122" t="str">
            <v/>
          </cell>
          <cell r="AC122">
            <v>3.5547776118726615E-2</v>
          </cell>
          <cell r="AD122">
            <v>5.9522917396869324E-2</v>
          </cell>
          <cell r="AE122">
            <v>0.10055665830178284</v>
          </cell>
        </row>
        <row r="123">
          <cell r="D123" t="str">
            <v>EUR</v>
          </cell>
          <cell r="N123" t="str">
            <v/>
          </cell>
          <cell r="O123">
            <v>7.0583742388907744E-4</v>
          </cell>
          <cell r="P123">
            <v>1.6203553656132241E-3</v>
          </cell>
          <cell r="Q123">
            <v>5.240114054658962E-3</v>
          </cell>
          <cell r="R123">
            <v>1.0949384192589395E-2</v>
          </cell>
          <cell r="S123" t="str">
            <v/>
          </cell>
          <cell r="T123">
            <v>2.7821234762287705E-2</v>
          </cell>
          <cell r="U123">
            <v>4.8549559034487655E-2</v>
          </cell>
          <cell r="V123">
            <v>8.2778874179221029E-2</v>
          </cell>
          <cell r="W123" t="str">
            <v/>
          </cell>
          <cell r="X123">
            <v>8.2342719960870614E-4</v>
          </cell>
          <cell r="Y123">
            <v>1.821828632852851E-3</v>
          </cell>
          <cell r="Z123">
            <v>5.6080169511395495E-3</v>
          </cell>
          <cell r="AA123">
            <v>1.1481775460040033E-2</v>
          </cell>
          <cell r="AB123" t="str">
            <v/>
          </cell>
          <cell r="AC123">
            <v>2.9189604156688032E-2</v>
          </cell>
          <cell r="AD123">
            <v>5.0918787607948102E-2</v>
          </cell>
          <cell r="AE123">
            <v>8.6778785736504327E-2</v>
          </cell>
        </row>
        <row r="124">
          <cell r="D124" t="str">
            <v>EUR</v>
          </cell>
          <cell r="N124" t="str">
            <v/>
          </cell>
          <cell r="O124">
            <v>2.4682625182449458E-3</v>
          </cell>
          <cell r="P124">
            <v>4.2297102132068387E-3</v>
          </cell>
          <cell r="Q124">
            <v>1.417889403322603E-2</v>
          </cell>
          <cell r="R124">
            <v>3.8852825170581529E-2</v>
          </cell>
          <cell r="S124" t="str">
            <v/>
          </cell>
          <cell r="T124">
            <v>8.3755459579684999E-2</v>
          </cell>
          <cell r="U124">
            <v>0.1374009716508966</v>
          </cell>
          <cell r="V124">
            <v>0.21617817612923018</v>
          </cell>
          <cell r="W124" t="str">
            <v/>
          </cell>
          <cell r="X124">
            <v>2.5914984913087968E-3</v>
          </cell>
          <cell r="Y124">
            <v>4.4406581676131873E-3</v>
          </cell>
          <cell r="Z124">
            <v>1.4884157825194699E-2</v>
          </cell>
          <cell r="AA124">
            <v>4.0772122949615297E-2</v>
          </cell>
          <cell r="AB124" t="str">
            <v/>
          </cell>
          <cell r="AC124">
            <v>8.7806768311458283E-2</v>
          </cell>
          <cell r="AD124">
            <v>0.14389505553359849</v>
          </cell>
          <cell r="AE124">
            <v>0.22596750273959076</v>
          </cell>
        </row>
        <row r="125">
          <cell r="D125" t="str">
            <v>EUR</v>
          </cell>
          <cell r="N125" t="str">
            <v/>
          </cell>
          <cell r="O125">
            <v>1.6461826632304666E-3</v>
          </cell>
          <cell r="P125">
            <v>3.435859550890874E-3</v>
          </cell>
          <cell r="Q125">
            <v>1.1960630707458786E-2</v>
          </cell>
          <cell r="R125">
            <v>2.3949834797393987E-2</v>
          </cell>
          <cell r="S125" t="str">
            <v/>
          </cell>
          <cell r="T125">
            <v>5.6653162010776636E-2</v>
          </cell>
          <cell r="U125">
            <v>9.7578341311126526E-2</v>
          </cell>
          <cell r="V125">
            <v>0.15761152701849823</v>
          </cell>
          <cell r="W125" t="str">
            <v/>
          </cell>
          <cell r="X125">
            <v>1.7636559491273074E-3</v>
          </cell>
          <cell r="Y125">
            <v>3.6369797177154828E-3</v>
          </cell>
          <cell r="Z125">
            <v>1.2553398718471165E-2</v>
          </cell>
          <cell r="AA125">
            <v>2.5134560783563242E-2</v>
          </cell>
          <cell r="AB125" t="str">
            <v/>
          </cell>
          <cell r="AC125">
            <v>5.9423774586556455E-2</v>
          </cell>
          <cell r="AD125">
            <v>0.10227391879090586</v>
          </cell>
          <cell r="AE125">
            <v>0.16497468108268898</v>
          </cell>
        </row>
        <row r="126">
          <cell r="D126" t="str">
            <v>EUR</v>
          </cell>
          <cell r="N126" t="str">
            <v/>
          </cell>
          <cell r="O126">
            <v>3.5298073341860636E-4</v>
          </cell>
          <cell r="P126">
            <v>1.2208539223919068E-3</v>
          </cell>
          <cell r="Q126">
            <v>4.123935497890252E-3</v>
          </cell>
          <cell r="R126">
            <v>7.648423164965501E-3</v>
          </cell>
          <cell r="S126" t="str">
            <v/>
          </cell>
          <cell r="T126">
            <v>1.9801682225534245E-2</v>
          </cell>
          <cell r="U126">
            <v>3.2339928564466103E-2</v>
          </cell>
          <cell r="V126">
            <v>5.5023660883515735E-2</v>
          </cell>
          <cell r="W126" t="str">
            <v/>
          </cell>
          <cell r="X126">
            <v>4.7061295331773945E-4</v>
          </cell>
          <cell r="Y126">
            <v>1.4224213278153375E-3</v>
          </cell>
          <cell r="Z126">
            <v>4.4922097838737685E-3</v>
          </cell>
          <cell r="AA126">
            <v>8.1822034376266561E-3</v>
          </cell>
          <cell r="AB126" t="str">
            <v/>
          </cell>
          <cell r="AC126">
            <v>2.0754258109140111E-2</v>
          </cell>
          <cell r="AD126">
            <v>3.3910112555006866E-2</v>
          </cell>
          <cell r="AE126">
            <v>5.7680219282712053E-2</v>
          </cell>
        </row>
        <row r="127">
          <cell r="D127" t="str">
            <v>EUR</v>
          </cell>
          <cell r="N127" t="str">
            <v/>
          </cell>
          <cell r="O127">
            <v>5.8823230557913941E-4</v>
          </cell>
          <cell r="P127">
            <v>2.238929948600088E-3</v>
          </cell>
          <cell r="Q127">
            <v>7.105217439385636E-3</v>
          </cell>
          <cell r="R127">
            <v>1.3641800002347826E-2</v>
          </cell>
          <cell r="S127" t="str">
            <v/>
          </cell>
          <cell r="T127">
            <v>3.3981164227445571E-2</v>
          </cell>
          <cell r="U127">
            <v>5.6806706246515737E-2</v>
          </cell>
          <cell r="V127">
            <v>9.8071106659522012E-2</v>
          </cell>
          <cell r="W127" t="str">
            <v/>
          </cell>
          <cell r="X127">
            <v>7.0583630213449933E-4</v>
          </cell>
          <cell r="Y127">
            <v>2.4403324045400021E-3</v>
          </cell>
          <cell r="Z127">
            <v>7.4725469509047127E-3</v>
          </cell>
          <cell r="AA127">
            <v>1.4313606564944403E-2</v>
          </cell>
          <cell r="AB127" t="str">
            <v/>
          </cell>
          <cell r="AC127">
            <v>3.5652093094143411E-2</v>
          </cell>
          <cell r="AD127">
            <v>5.957784302676139E-2</v>
          </cell>
          <cell r="AE127">
            <v>0.10277854509873774</v>
          </cell>
        </row>
        <row r="128">
          <cell r="D128" t="str">
            <v>EUR</v>
          </cell>
          <cell r="N128" t="str">
            <v/>
          </cell>
          <cell r="O128">
            <v>1.1761201684514777E-3</v>
          </cell>
          <cell r="P128">
            <v>3.2455371452223547E-3</v>
          </cell>
          <cell r="Q128">
            <v>8.9405072195574142E-3</v>
          </cell>
          <cell r="R128">
            <v>1.6856351470665221E-2</v>
          </cell>
          <cell r="S128" t="str">
            <v/>
          </cell>
          <cell r="T128">
            <v>4.6505047419776013E-2</v>
          </cell>
          <cell r="U128">
            <v>7.7358311781463907E-2</v>
          </cell>
          <cell r="V128">
            <v>0.12363881047229486</v>
          </cell>
          <cell r="W128" t="str">
            <v/>
          </cell>
          <cell r="X128">
            <v>1.293652314683702E-3</v>
          </cell>
          <cell r="Y128">
            <v>3.4467366220021223E-3</v>
          </cell>
          <cell r="Z128">
            <v>9.3833389957745927E-3</v>
          </cell>
          <cell r="AA128">
            <v>1.7690540757743789E-2</v>
          </cell>
          <cell r="AB128" t="str">
            <v/>
          </cell>
          <cell r="AC128">
            <v>4.878935088683789E-2</v>
          </cell>
          <cell r="AD128">
            <v>8.1109189293386619E-2</v>
          </cell>
          <cell r="AE128">
            <v>0.12950190662062955</v>
          </cell>
        </row>
        <row r="129">
          <cell r="D129" t="str">
            <v>EUR</v>
          </cell>
          <cell r="N129" t="str">
            <v/>
          </cell>
          <cell r="O129">
            <v>8.2342876691621214E-4</v>
          </cell>
          <cell r="P129">
            <v>2.0268797729209309E-3</v>
          </cell>
          <cell r="Q129">
            <v>6.3576981734468907E-3</v>
          </cell>
          <cell r="R129">
            <v>1.3122910386147879E-2</v>
          </cell>
          <cell r="S129" t="str">
            <v/>
          </cell>
          <cell r="T129">
            <v>3.406457849150446E-2</v>
          </cell>
          <cell r="U129">
            <v>5.9558796559453508E-2</v>
          </cell>
          <cell r="V129">
            <v>0.10546871267091851</v>
          </cell>
          <cell r="W129" t="str">
            <v/>
          </cell>
          <cell r="X129">
            <v>9.4100424795140469E-4</v>
          </cell>
          <cell r="Y129">
            <v>2.2282848186230275E-3</v>
          </cell>
          <cell r="Z129">
            <v>6.7252406506083107E-3</v>
          </cell>
          <cell r="AA129">
            <v>1.3766994293333279E-2</v>
          </cell>
          <cell r="AB129" t="str">
            <v/>
          </cell>
          <cell r="AC129">
            <v>3.5739324453170296E-2</v>
          </cell>
          <cell r="AD129">
            <v>6.2461122885851039E-2</v>
          </cell>
          <cell r="AE129">
            <v>0.11055008279062928</v>
          </cell>
        </row>
        <row r="130">
          <cell r="D130" t="str">
            <v>EUR</v>
          </cell>
          <cell r="N130" t="str">
            <v/>
          </cell>
          <cell r="O130">
            <v>1.2936564344949719E-3</v>
          </cell>
          <cell r="P130">
            <v>3.0371385243767035E-3</v>
          </cell>
          <cell r="Q130">
            <v>7.0523081357990458E-3</v>
          </cell>
          <cell r="R130">
            <v>1.4152379480836363E-2</v>
          </cell>
          <cell r="S130" t="str">
            <v/>
          </cell>
          <cell r="T130">
            <v>3.3836434234451929E-2</v>
          </cell>
          <cell r="U130">
            <v>5.8057670574571452E-2</v>
          </cell>
          <cell r="V130">
            <v>9.953756197822039E-2</v>
          </cell>
          <cell r="W130" t="str">
            <v/>
          </cell>
          <cell r="X130">
            <v>1.4111739830211523E-3</v>
          </cell>
          <cell r="Y130">
            <v>3.2383529486319507E-3</v>
          </cell>
          <cell r="Z130">
            <v>7.4194568097494251E-3</v>
          </cell>
          <cell r="AA130">
            <v>1.4851488418520242E-2</v>
          </cell>
          <cell r="AB130" t="str">
            <v/>
          </cell>
          <cell r="AC130">
            <v>3.5502549369802572E-2</v>
          </cell>
          <cell r="AD130">
            <v>6.0891743334757109E-2</v>
          </cell>
          <cell r="AE130">
            <v>0.10431506579013672</v>
          </cell>
        </row>
        <row r="131">
          <cell r="D131" t="str">
            <v>EUR</v>
          </cell>
          <cell r="N131" t="str">
            <v/>
          </cell>
          <cell r="O131">
            <v>9.4100633706173387E-4</v>
          </cell>
          <cell r="P131">
            <v>2.0232612561962293E-3</v>
          </cell>
          <cell r="Q131">
            <v>7.1159203209344435E-3</v>
          </cell>
          <cell r="R131">
            <v>1.3070807781553895E-2</v>
          </cell>
          <cell r="S131" t="str">
            <v/>
          </cell>
          <cell r="T131">
            <v>3.4079363455269962E-2</v>
          </cell>
          <cell r="U131">
            <v>5.5502030521142998E-2</v>
          </cell>
          <cell r="V131">
            <v>9.4553893679440892E-2</v>
          </cell>
          <cell r="W131" t="str">
            <v/>
          </cell>
          <cell r="X131">
            <v>1.0585674487949559E-3</v>
          </cell>
          <cell r="Y131">
            <v>2.2246532190236534E-3</v>
          </cell>
          <cell r="Z131">
            <v>7.483271245583456E-3</v>
          </cell>
          <cell r="AA131">
            <v>1.3715095125287124E-2</v>
          </cell>
          <cell r="AB131" t="str">
            <v/>
          </cell>
          <cell r="AC131">
            <v>3.5754115520358454E-2</v>
          </cell>
          <cell r="AD131">
            <v>5.8209914058552803E-2</v>
          </cell>
          <cell r="AE131">
            <v>9.909506455409367E-2</v>
          </cell>
        </row>
        <row r="132">
          <cell r="D132" t="str">
            <v>EUR</v>
          </cell>
          <cell r="N132" t="str">
            <v/>
          </cell>
          <cell r="O132">
            <v>8.2342876691621214E-4</v>
          </cell>
          <cell r="P132">
            <v>1.6167208634250141E-3</v>
          </cell>
          <cell r="Q132">
            <v>4.8575337401989271E-3</v>
          </cell>
          <cell r="R132">
            <v>9.273777812558559E-3</v>
          </cell>
          <cell r="S132" t="str">
            <v/>
          </cell>
          <cell r="T132">
            <v>2.4265834130403174E-2</v>
          </cell>
          <cell r="U132">
            <v>3.8352434172192806E-2</v>
          </cell>
          <cell r="V132">
            <v>6.9400357679895275E-2</v>
          </cell>
          <cell r="W132" t="str">
            <v/>
          </cell>
          <cell r="X132">
            <v>9.4100424795140469E-4</v>
          </cell>
          <cell r="Y132">
            <v>1.8181813004158887E-3</v>
          </cell>
          <cell r="Z132">
            <v>5.2255253273290059E-3</v>
          </cell>
          <cell r="AA132">
            <v>9.8067826997725316E-3</v>
          </cell>
          <cell r="AB132" t="str">
            <v/>
          </cell>
          <cell r="AC132">
            <v>2.5448407006464779E-2</v>
          </cell>
          <cell r="AD132">
            <v>4.0222457671734158E-2</v>
          </cell>
          <cell r="AE132">
            <v>7.2759135688670762E-2</v>
          </cell>
        </row>
        <row r="133">
          <cell r="D133" t="str">
            <v>EUR</v>
          </cell>
          <cell r="N133" t="str">
            <v/>
          </cell>
          <cell r="O133">
            <v>3.5298073341860636E-4</v>
          </cell>
          <cell r="P133">
            <v>1.2208539223919068E-3</v>
          </cell>
          <cell r="Q133">
            <v>4.886167594088775E-3</v>
          </cell>
          <cell r="R133">
            <v>9.8648452119589614E-3</v>
          </cell>
          <cell r="S133" t="str">
            <v/>
          </cell>
          <cell r="T133">
            <v>2.6108792573296902E-2</v>
          </cell>
          <cell r="U133">
            <v>4.3514280364233993E-2</v>
          </cell>
          <cell r="V133">
            <v>8.0203730790926686E-2</v>
          </cell>
          <cell r="W133" t="str">
            <v/>
          </cell>
          <cell r="X133">
            <v>4.7061295331773945E-4</v>
          </cell>
          <cell r="Y133">
            <v>1.4224213278153375E-3</v>
          </cell>
          <cell r="Z133">
            <v>5.2542545514108197E-3</v>
          </cell>
          <cell r="AA133">
            <v>1.0397747849486771E-2</v>
          </cell>
          <cell r="AB133" t="str">
            <v/>
          </cell>
          <cell r="AC133">
            <v>2.7383553898836954E-2</v>
          </cell>
          <cell r="AD133">
            <v>4.5636104376191033E-2</v>
          </cell>
          <cell r="AE133">
            <v>8.407879708433974E-2</v>
          </cell>
        </row>
        <row r="134">
          <cell r="D134" t="str">
            <v>EUR</v>
          </cell>
          <cell r="N134" t="str">
            <v/>
          </cell>
          <cell r="O134">
            <v>7.0583742388907744E-4</v>
          </cell>
          <cell r="P134">
            <v>1.8254343260272199E-3</v>
          </cell>
          <cell r="Q134">
            <v>6.750916565127496E-3</v>
          </cell>
          <cell r="R134">
            <v>1.3673906778123412E-2</v>
          </cell>
          <cell r="S134" t="str">
            <v/>
          </cell>
          <cell r="T134">
            <v>3.4940642929513155E-2</v>
          </cell>
          <cell r="U134">
            <v>5.9402592939701626E-2</v>
          </cell>
          <cell r="V134">
            <v>0.11136303056779184</v>
          </cell>
          <cell r="W134" t="str">
            <v/>
          </cell>
          <cell r="X134">
            <v>8.2342719960870614E-4</v>
          </cell>
          <cell r="Y134">
            <v>2.0268798220722806E-3</v>
          </cell>
          <cell r="Z134">
            <v>7.1184082708035668E-3</v>
          </cell>
          <cell r="AA134">
            <v>1.434614498467135E-2</v>
          </cell>
          <cell r="AB134" t="str">
            <v/>
          </cell>
          <cell r="AC134">
            <v>3.6658208823718508E-2</v>
          </cell>
          <cell r="AD134">
            <v>6.2297330489652802E-2</v>
          </cell>
          <cell r="AE134">
            <v>0.11669553352754247</v>
          </cell>
        </row>
        <row r="135">
          <cell r="D135" t="str">
            <v>EUR</v>
          </cell>
          <cell r="N135" t="str">
            <v/>
          </cell>
          <cell r="O135">
            <v>1.3876755377493222E-3</v>
          </cell>
          <cell r="P135">
            <v>3.0956898864663573E-3</v>
          </cell>
          <cell r="Q135">
            <v>7.6959023535093651E-3</v>
          </cell>
          <cell r="R135">
            <v>1.349573977561902E-2</v>
          </cell>
          <cell r="S135" t="str">
            <v/>
          </cell>
          <cell r="T135">
            <v>2.8311378813561827E-2</v>
          </cell>
          <cell r="U135">
            <v>4.4272216177437818E-2</v>
          </cell>
          <cell r="V135">
            <v>6.9045019391116735E-2</v>
          </cell>
          <cell r="W135" t="str">
            <v/>
          </cell>
          <cell r="X135">
            <v>1.5051813521484991E-3</v>
          </cell>
          <cell r="Y135">
            <v>3.2968857258888207E-3</v>
          </cell>
          <cell r="Z135">
            <v>8.0761933437346611E-3</v>
          </cell>
          <cell r="AA135">
            <v>1.4163694764106283E-2</v>
          </cell>
          <cell r="AB135" t="str">
            <v/>
          </cell>
          <cell r="AC135">
            <v>2.9706065265419856E-2</v>
          </cell>
          <cell r="AD135">
            <v>4.6440997125220762E-2</v>
          </cell>
          <cell r="AE135">
            <v>7.2387312861410313E-2</v>
          </cell>
        </row>
        <row r="136">
          <cell r="D136" t="str">
            <v>USD</v>
          </cell>
          <cell r="N136" t="str">
            <v/>
          </cell>
          <cell r="O136" t="str">
            <v/>
          </cell>
          <cell r="P136">
            <v>1.4417852808435994E-3</v>
          </cell>
          <cell r="Q136" t="str">
            <v/>
          </cell>
          <cell r="R136">
            <v>9.9443383060753288E-3</v>
          </cell>
          <cell r="S136" t="str">
            <v/>
          </cell>
          <cell r="T136">
            <v>2.4715784739627544E-2</v>
          </cell>
          <cell r="U136">
            <v>3.8105676173523895E-2</v>
          </cell>
          <cell r="V136">
            <v>6.4269597008724588E-2</v>
          </cell>
          <cell r="W136" t="str">
            <v/>
          </cell>
          <cell r="X136" t="str">
            <v/>
          </cell>
          <cell r="Y136">
            <v>1.6432576046871983E-3</v>
          </cell>
          <cell r="Z136" t="str">
            <v/>
          </cell>
          <cell r="AA136">
            <v>1.0477141156735481E-2</v>
          </cell>
          <cell r="AB136" t="str">
            <v/>
          </cell>
          <cell r="AC136">
            <v>2.592661557973075E-2</v>
          </cell>
          <cell r="AD136">
            <v>3.9960162254173537E-2</v>
          </cell>
          <cell r="AE136">
            <v>6.7387286779377775E-2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2.8654126701049831E-3</v>
          </cell>
          <cell r="Q137" t="str">
            <v/>
          </cell>
          <cell r="R137">
            <v>1.438374924461483E-2</v>
          </cell>
          <cell r="S137" t="str">
            <v/>
          </cell>
          <cell r="T137">
            <v>3.4446281882520746E-2</v>
          </cell>
          <cell r="U137">
            <v>5.9194485720789114E-2</v>
          </cell>
          <cell r="V137">
            <v>9.973004380247974E-2</v>
          </cell>
          <cell r="W137" t="str">
            <v/>
          </cell>
          <cell r="X137" t="str">
            <v/>
          </cell>
          <cell r="Y137">
            <v>3.0665691911095916E-3</v>
          </cell>
          <cell r="Z137" t="str">
            <v/>
          </cell>
          <cell r="AA137">
            <v>1.5091980139947614E-2</v>
          </cell>
          <cell r="AB137" t="str">
            <v/>
          </cell>
          <cell r="AC137">
            <v>3.6143197232566204E-2</v>
          </cell>
          <cell r="AD137">
            <v>6.2080374660919646E-2</v>
          </cell>
          <cell r="AE137">
            <v>0.10451907605604105</v>
          </cell>
        </row>
        <row r="138">
          <cell r="D138" t="str">
            <v>USD</v>
          </cell>
          <cell r="N138" t="str">
            <v>IRS Curve missing</v>
          </cell>
          <cell r="O138" t="str">
            <v>IRS Curve missing</v>
          </cell>
          <cell r="P138" t="str">
            <v>IRS Curve missing</v>
          </cell>
          <cell r="Q138" t="str">
            <v>IRS Curve missing</v>
          </cell>
          <cell r="R138" t="str">
            <v>IRS Curve missing</v>
          </cell>
          <cell r="S138" t="str">
            <v>IRS Curve missing</v>
          </cell>
          <cell r="T138" t="str">
            <v>IRS Curve missing</v>
          </cell>
          <cell r="U138" t="str">
            <v>IRS Curve missing</v>
          </cell>
          <cell r="V138" t="str">
            <v>IRS Curve missing</v>
          </cell>
          <cell r="W138" t="str">
            <v>IRS Curve missing</v>
          </cell>
          <cell r="X138" t="str">
            <v>IRS Curve missing</v>
          </cell>
          <cell r="Y138" t="str">
            <v>IRS Curve missing</v>
          </cell>
          <cell r="Z138" t="str">
            <v>IRS Curve missing</v>
          </cell>
          <cell r="AA138" t="str">
            <v>IRS Curve missing</v>
          </cell>
          <cell r="AB138" t="str">
            <v>IRS Curve missing</v>
          </cell>
          <cell r="AC138" t="str">
            <v>IRS Curve missing</v>
          </cell>
          <cell r="AD138" t="str">
            <v>IRS Curve missing</v>
          </cell>
          <cell r="AE138" t="str">
            <v>IRS Curve missing</v>
          </cell>
        </row>
        <row r="139">
          <cell r="D139" t="str">
            <v>USD</v>
          </cell>
          <cell r="N139" t="str">
            <v>IRS Curve missing</v>
          </cell>
          <cell r="O139" t="str">
            <v>IRS Curve missing</v>
          </cell>
          <cell r="P139" t="str">
            <v>IRS Curve missing</v>
          </cell>
          <cell r="Q139" t="str">
            <v>IRS Curve missing</v>
          </cell>
          <cell r="R139" t="str">
            <v>IRS Curve missing</v>
          </cell>
          <cell r="S139" t="str">
            <v>IRS Curve missing</v>
          </cell>
          <cell r="T139" t="str">
            <v>IRS Curve missing</v>
          </cell>
          <cell r="U139" t="str">
            <v>IRS Curve missing</v>
          </cell>
          <cell r="V139" t="str">
            <v>IRS Curve missing</v>
          </cell>
          <cell r="W139" t="str">
            <v>IRS Curve missing</v>
          </cell>
          <cell r="X139" t="str">
            <v>IRS Curve missing</v>
          </cell>
          <cell r="Y139" t="str">
            <v>IRS Curve missing</v>
          </cell>
          <cell r="Z139" t="str">
            <v>IRS Curve missing</v>
          </cell>
          <cell r="AA139" t="str">
            <v>IRS Curve missing</v>
          </cell>
          <cell r="AB139" t="str">
            <v>IRS Curve missing</v>
          </cell>
          <cell r="AC139" t="str">
            <v>IRS Curve missing</v>
          </cell>
          <cell r="AD139" t="str">
            <v>IRS Curve missing</v>
          </cell>
          <cell r="AE139" t="str">
            <v>IRS Curve missing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1.9011098925197922E-3</v>
          </cell>
          <cell r="Q140" t="str">
            <v/>
          </cell>
          <cell r="R140">
            <v>1.4837469975772732E-2</v>
          </cell>
          <cell r="S140" t="str">
            <v/>
          </cell>
          <cell r="T140">
            <v>3.4922048968180075E-2</v>
          </cell>
          <cell r="U140">
            <v>5.7263319262240264E-2</v>
          </cell>
          <cell r="V140">
            <v>0.10030600428353376</v>
          </cell>
          <cell r="W140" t="str">
            <v/>
          </cell>
          <cell r="X140" t="str">
            <v/>
          </cell>
          <cell r="Y140">
            <v>2.1024825237333511E-3</v>
          </cell>
          <cell r="Z140" t="str">
            <v/>
          </cell>
          <cell r="AA140">
            <v>1.5562929231549338E-2</v>
          </cell>
          <cell r="AB140" t="str">
            <v/>
          </cell>
          <cell r="AC140">
            <v>3.6638264389218134E-2</v>
          </cell>
          <cell r="AD140">
            <v>6.0051897279190802E-2</v>
          </cell>
          <cell r="AE140">
            <v>0.10512080458311834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2.430684816614237E-3</v>
          </cell>
          <cell r="Q141" t="str">
            <v/>
          </cell>
          <cell r="R141">
            <v>1.041827335199097E-2</v>
          </cell>
          <cell r="S141" t="str">
            <v/>
          </cell>
          <cell r="T141">
            <v>2.1381977196019197E-2</v>
          </cell>
          <cell r="U141">
            <v>3.2929078008642088E-2</v>
          </cell>
          <cell r="V141">
            <v>5.6904200036376751E-2</v>
          </cell>
          <cell r="W141" t="str">
            <v/>
          </cell>
          <cell r="X141" t="str">
            <v/>
          </cell>
          <cell r="Y141">
            <v>2.6319399267051846E-3</v>
          </cell>
          <cell r="Z141" t="str">
            <v/>
          </cell>
          <cell r="AA141">
            <v>1.0950493464163991E-2</v>
          </cell>
          <cell r="AB141" t="str">
            <v/>
          </cell>
          <cell r="AC141">
            <v>2.2434150185474899E-2</v>
          </cell>
          <cell r="AD141">
            <v>3.4541458411541326E-2</v>
          </cell>
          <cell r="AE141">
            <v>5.9674098220997562E-2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2.374317460802633E-3</v>
          </cell>
          <cell r="Q142" t="str">
            <v/>
          </cell>
          <cell r="R142">
            <v>1.2555011758394463E-2</v>
          </cell>
          <cell r="S142" t="str">
            <v/>
          </cell>
          <cell r="T142">
            <v>3.0207092995187423E-2</v>
          </cell>
          <cell r="U142">
            <v>5.4399078685967384E-2</v>
          </cell>
          <cell r="V142">
            <v>9.4412042189432333E-2</v>
          </cell>
          <cell r="W142" t="str">
            <v/>
          </cell>
          <cell r="X142" t="str">
            <v/>
          </cell>
          <cell r="Y142">
            <v>2.5755852132772761E-3</v>
          </cell>
          <cell r="Z142" t="str">
            <v/>
          </cell>
          <cell r="AA142">
            <v>1.3169983167942378E-2</v>
          </cell>
          <cell r="AB142" t="str">
            <v/>
          </cell>
          <cell r="AC142">
            <v>3.1696159998372941E-2</v>
          </cell>
          <cell r="AD142">
            <v>5.7056137250050543E-2</v>
          </cell>
          <cell r="AE142">
            <v>9.8959467263074918E-2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2.3984752853675184E-3</v>
          </cell>
          <cell r="Q143" t="str">
            <v/>
          </cell>
          <cell r="R143">
            <v>1.3251772070081991E-2</v>
          </cell>
          <cell r="S143" t="str">
            <v/>
          </cell>
          <cell r="T143">
            <v>3.1459253800616982E-2</v>
          </cell>
          <cell r="U143">
            <v>4.4668331614529766E-2</v>
          </cell>
          <cell r="V143">
            <v>6.621900576173545E-2</v>
          </cell>
          <cell r="W143" t="str">
            <v/>
          </cell>
          <cell r="X143" t="str">
            <v/>
          </cell>
          <cell r="Y143">
            <v>2.5997376235268321E-3</v>
          </cell>
          <cell r="Z143" t="str">
            <v/>
          </cell>
          <cell r="AA143">
            <v>1.3901400113600526E-2</v>
          </cell>
          <cell r="AB143" t="str">
            <v/>
          </cell>
          <cell r="AC143">
            <v>3.3009802689089929E-2</v>
          </cell>
          <cell r="AD143">
            <v>4.6848296501434183E-2</v>
          </cell>
          <cell r="AE143">
            <v>6.942711697105286E-2</v>
          </cell>
        </row>
        <row r="144">
          <cell r="D144" t="str">
            <v>USD</v>
          </cell>
          <cell r="N144" t="str">
            <v>IRS Curve missing</v>
          </cell>
          <cell r="O144" t="str">
            <v>IRS Curve missing</v>
          </cell>
          <cell r="P144" t="str">
            <v>IRS Curve missing</v>
          </cell>
          <cell r="Q144" t="str">
            <v>IRS Curve missing</v>
          </cell>
          <cell r="R144" t="str">
            <v>IRS Curve missing</v>
          </cell>
          <cell r="S144" t="str">
            <v>IRS Curve missing</v>
          </cell>
          <cell r="T144" t="str">
            <v>IRS Curve missing</v>
          </cell>
          <cell r="U144" t="str">
            <v>IRS Curve missing</v>
          </cell>
          <cell r="V144" t="str">
            <v>IRS Curve missing</v>
          </cell>
          <cell r="W144" t="str">
            <v>IRS Curve missing</v>
          </cell>
          <cell r="X144" t="str">
            <v>IRS Curve missing</v>
          </cell>
          <cell r="Y144" t="str">
            <v>IRS Curve missing</v>
          </cell>
          <cell r="Z144" t="str">
            <v>IRS Curve missing</v>
          </cell>
          <cell r="AA144" t="str">
            <v>IRS Curve missing</v>
          </cell>
          <cell r="AB144" t="str">
            <v>IRS Curve missing</v>
          </cell>
          <cell r="AC144" t="str">
            <v>IRS Curve missing</v>
          </cell>
          <cell r="AD144" t="str">
            <v>IRS Curve missing</v>
          </cell>
          <cell r="AE144" t="str">
            <v>IRS Curve missing</v>
          </cell>
        </row>
        <row r="145">
          <cell r="D145" t="str">
            <v>USD</v>
          </cell>
          <cell r="N145" t="str">
            <v>IRS Curve missing</v>
          </cell>
          <cell r="O145" t="str">
            <v>IRS Curve missing</v>
          </cell>
          <cell r="P145" t="str">
            <v>IRS Curve missing</v>
          </cell>
          <cell r="Q145" t="str">
            <v>IRS Curve missing</v>
          </cell>
          <cell r="R145" t="str">
            <v>IRS Curve missing</v>
          </cell>
          <cell r="S145" t="str">
            <v>IRS Curve missing</v>
          </cell>
          <cell r="T145" t="str">
            <v>IRS Curve missing</v>
          </cell>
          <cell r="U145" t="str">
            <v>IRS Curve missing</v>
          </cell>
          <cell r="V145" t="str">
            <v>IRS Curve missing</v>
          </cell>
          <cell r="W145" t="str">
            <v>IRS Curve missing</v>
          </cell>
          <cell r="X145" t="str">
            <v>IRS Curve missing</v>
          </cell>
          <cell r="Y145" t="str">
            <v>IRS Curve missing</v>
          </cell>
          <cell r="Z145" t="str">
            <v>IRS Curve missing</v>
          </cell>
          <cell r="AA145" t="str">
            <v>IRS Curve missing</v>
          </cell>
          <cell r="AB145" t="str">
            <v>IRS Curve missing</v>
          </cell>
          <cell r="AC145" t="str">
            <v>IRS Curve missing</v>
          </cell>
          <cell r="AD145" t="str">
            <v>IRS Curve missing</v>
          </cell>
          <cell r="AE145" t="str">
            <v>IRS Curve missing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2.0924333443231857E-3</v>
          </cell>
          <cell r="Q146" t="str">
            <v/>
          </cell>
          <cell r="R146">
            <v>1.5619054007528055E-2</v>
          </cell>
          <cell r="S146" t="str">
            <v/>
          </cell>
          <cell r="T146">
            <v>3.8883234490645124E-2</v>
          </cell>
          <cell r="U146">
            <v>6.7711426327713653E-2</v>
          </cell>
          <cell r="V146">
            <v>0.12753596709427517</v>
          </cell>
          <cell r="W146" t="str">
            <v/>
          </cell>
          <cell r="X146" t="str">
            <v/>
          </cell>
          <cell r="Y146">
            <v>2.2937638403187632E-3</v>
          </cell>
          <cell r="Z146" t="str">
            <v/>
          </cell>
          <cell r="AA146">
            <v>1.638423892606955E-2</v>
          </cell>
          <cell r="AB146" t="str">
            <v/>
          </cell>
          <cell r="AC146">
            <v>4.0793606575475372E-2</v>
          </cell>
          <cell r="AD146">
            <v>7.1002270298137549E-2</v>
          </cell>
          <cell r="AE146">
            <v>0.13361184567159745</v>
          </cell>
        </row>
        <row r="147">
          <cell r="D147" t="str">
            <v>USD</v>
          </cell>
          <cell r="N147" t="str">
            <v>IRS Curve missing</v>
          </cell>
          <cell r="O147" t="str">
            <v>IRS Curve missing</v>
          </cell>
          <cell r="P147" t="str">
            <v>IRS Curve missing</v>
          </cell>
          <cell r="Q147" t="str">
            <v>IRS Curve missing</v>
          </cell>
          <cell r="R147" t="str">
            <v>IRS Curve missing</v>
          </cell>
          <cell r="S147" t="str">
            <v>IRS Curve missing</v>
          </cell>
          <cell r="T147" t="str">
            <v>IRS Curve missing</v>
          </cell>
          <cell r="U147" t="str">
            <v>IRS Curve missing</v>
          </cell>
          <cell r="V147" t="str">
            <v>IRS Curve missing</v>
          </cell>
          <cell r="W147" t="str">
            <v>IRS Curve missing</v>
          </cell>
          <cell r="X147" t="str">
            <v>IRS Curve missing</v>
          </cell>
          <cell r="Y147" t="str">
            <v>IRS Curve missing</v>
          </cell>
          <cell r="Z147" t="str">
            <v>IRS Curve missing</v>
          </cell>
          <cell r="AA147" t="str">
            <v>IRS Curve missing</v>
          </cell>
          <cell r="AB147" t="str">
            <v>IRS Curve missing</v>
          </cell>
          <cell r="AC147" t="str">
            <v>IRS Curve missing</v>
          </cell>
          <cell r="AD147" t="str">
            <v>IRS Curve missing</v>
          </cell>
          <cell r="AE147" t="str">
            <v>IRS Curve missing</v>
          </cell>
        </row>
        <row r="148">
          <cell r="D148" t="str">
            <v>USD</v>
          </cell>
          <cell r="N148" t="str">
            <v>IRS Curve missing</v>
          </cell>
          <cell r="O148" t="str">
            <v>IRS Curve missing</v>
          </cell>
          <cell r="P148" t="str">
            <v>IRS Curve missing</v>
          </cell>
          <cell r="Q148" t="str">
            <v>IRS Curve missing</v>
          </cell>
          <cell r="R148" t="str">
            <v>IRS Curve missing</v>
          </cell>
          <cell r="S148" t="str">
            <v>IRS Curve missing</v>
          </cell>
          <cell r="T148" t="str">
            <v>IRS Curve missing</v>
          </cell>
          <cell r="U148" t="str">
            <v>IRS Curve missing</v>
          </cell>
          <cell r="V148" t="str">
            <v>IRS Curve missing</v>
          </cell>
          <cell r="W148" t="str">
            <v>IRS Curve missing</v>
          </cell>
          <cell r="X148" t="str">
            <v>IRS Curve missing</v>
          </cell>
          <cell r="Y148" t="str">
            <v>IRS Curve missing</v>
          </cell>
          <cell r="Z148" t="str">
            <v>IRS Curve missing</v>
          </cell>
          <cell r="AA148" t="str">
            <v>IRS Curve missing</v>
          </cell>
          <cell r="AB148" t="str">
            <v>IRS Curve missing</v>
          </cell>
          <cell r="AC148" t="str">
            <v>IRS Curve missing</v>
          </cell>
          <cell r="AD148" t="str">
            <v>IRS Curve missing</v>
          </cell>
          <cell r="AE148" t="str">
            <v>IRS Curve missing</v>
          </cell>
        </row>
        <row r="149">
          <cell r="D149" t="str">
            <v>USD</v>
          </cell>
          <cell r="N149" t="str">
            <v>IRS Curve missing</v>
          </cell>
          <cell r="O149" t="str">
            <v>IRS Curve missing</v>
          </cell>
          <cell r="P149" t="str">
            <v>IRS Curve missing</v>
          </cell>
          <cell r="Q149" t="str">
            <v>IRS Curve missing</v>
          </cell>
          <cell r="R149" t="str">
            <v>IRS Curve missing</v>
          </cell>
          <cell r="S149" t="str">
            <v>IRS Curve missing</v>
          </cell>
          <cell r="T149" t="str">
            <v>IRS Curve missing</v>
          </cell>
          <cell r="U149" t="str">
            <v>IRS Curve missing</v>
          </cell>
          <cell r="V149" t="str">
            <v>IRS Curve missing</v>
          </cell>
          <cell r="W149" t="str">
            <v>IRS Curve missing</v>
          </cell>
          <cell r="X149" t="str">
            <v>IRS Curve missing</v>
          </cell>
          <cell r="Y149" t="str">
            <v>IRS Curve missing</v>
          </cell>
          <cell r="Z149" t="str">
            <v>IRS Curve missing</v>
          </cell>
          <cell r="AA149" t="str">
            <v>IRS Curve missing</v>
          </cell>
          <cell r="AB149" t="str">
            <v>IRS Curve missing</v>
          </cell>
          <cell r="AC149" t="str">
            <v>IRS Curve missing</v>
          </cell>
          <cell r="AD149" t="str">
            <v>IRS Curve missing</v>
          </cell>
          <cell r="AE149" t="str">
            <v>IRS Curve missing</v>
          </cell>
        </row>
        <row r="150">
          <cell r="D150" t="str">
            <v>USD</v>
          </cell>
          <cell r="N150" t="str">
            <v>IRS Curve missing</v>
          </cell>
          <cell r="O150" t="str">
            <v>IRS Curve missing</v>
          </cell>
          <cell r="P150" t="str">
            <v>IRS Curve missing</v>
          </cell>
          <cell r="Q150" t="str">
            <v>IRS Curve missing</v>
          </cell>
          <cell r="R150" t="str">
            <v>IRS Curve missing</v>
          </cell>
          <cell r="S150" t="str">
            <v>IRS Curve missing</v>
          </cell>
          <cell r="T150" t="str">
            <v>IRS Curve missing</v>
          </cell>
          <cell r="U150" t="str">
            <v>IRS Curve missing</v>
          </cell>
          <cell r="V150" t="str">
            <v>IRS Curve missing</v>
          </cell>
          <cell r="W150" t="str">
            <v>IRS Curve missing</v>
          </cell>
          <cell r="X150" t="str">
            <v>IRS Curve missing</v>
          </cell>
          <cell r="Y150" t="str">
            <v>IRS Curve missing</v>
          </cell>
          <cell r="Z150" t="str">
            <v>IRS Curve missing</v>
          </cell>
          <cell r="AA150" t="str">
            <v>IRS Curve missing</v>
          </cell>
          <cell r="AB150" t="str">
            <v>IRS Curve missing</v>
          </cell>
          <cell r="AC150" t="str">
            <v>IRS Curve missing</v>
          </cell>
          <cell r="AD150" t="str">
            <v>IRS Curve missing</v>
          </cell>
          <cell r="AE150" t="str">
            <v>IRS Curve missing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1.0709494977400036E-3</v>
          </cell>
          <cell r="Q151" t="str">
            <v/>
          </cell>
          <cell r="R151">
            <v>3.6582486596276054E-3</v>
          </cell>
          <cell r="S151" t="str">
            <v/>
          </cell>
          <cell r="T151">
            <v>1.0493052839478323E-2</v>
          </cell>
          <cell r="U151">
            <v>1.8932211628110096E-2</v>
          </cell>
          <cell r="V151">
            <v>3.6347374118500531E-2</v>
          </cell>
          <cell r="W151" t="str">
            <v/>
          </cell>
          <cell r="X151" t="str">
            <v/>
          </cell>
          <cell r="Y151">
            <v>1.2725008256738723E-3</v>
          </cell>
          <cell r="Z151" t="str">
            <v/>
          </cell>
          <cell r="AA151">
            <v>4.1936126670124585E-3</v>
          </cell>
          <cell r="AB151" t="str">
            <v/>
          </cell>
          <cell r="AC151">
            <v>1.1358370444644383E-2</v>
          </cell>
          <cell r="AD151">
            <v>2.0121076273872163E-2</v>
          </cell>
          <cell r="AE151">
            <v>3.800731368296395E-2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9.6612333957823981E-4</v>
          </cell>
          <cell r="Q152" t="str">
            <v/>
          </cell>
          <cell r="R152">
            <v>6.8346387205835413E-3</v>
          </cell>
          <cell r="S152" t="str">
            <v/>
          </cell>
          <cell r="T152">
            <v>1.8795633157873026E-2</v>
          </cell>
          <cell r="U152">
            <v>3.2478808737708365E-2</v>
          </cell>
          <cell r="V152">
            <v>5.5319510681466344E-2</v>
          </cell>
          <cell r="W152" t="str">
            <v/>
          </cell>
          <cell r="X152" t="str">
            <v/>
          </cell>
          <cell r="Y152">
            <v>1.1676967638273306E-3</v>
          </cell>
          <cell r="Z152" t="str">
            <v/>
          </cell>
          <cell r="AA152">
            <v>7.3688282379235082E-3</v>
          </cell>
          <cell r="AB152" t="str">
            <v/>
          </cell>
          <cell r="AC152">
            <v>1.9690735172208651E-2</v>
          </cell>
          <cell r="AD152">
            <v>3.4050588472420928E-2</v>
          </cell>
          <cell r="AE152">
            <v>5.7985375154159358E-2</v>
          </cell>
        </row>
        <row r="153">
          <cell r="D153" t="str">
            <v>USD</v>
          </cell>
          <cell r="N153" t="str">
            <v>IRS Curve missing</v>
          </cell>
          <cell r="O153" t="str">
            <v>IRS Curve missing</v>
          </cell>
          <cell r="P153" t="str">
            <v>IRS Curve missing</v>
          </cell>
          <cell r="Q153" t="str">
            <v>IRS Curve missing</v>
          </cell>
          <cell r="R153" t="str">
            <v>IRS Curve missing</v>
          </cell>
          <cell r="S153" t="str">
            <v>IRS Curve missing</v>
          </cell>
          <cell r="T153" t="str">
            <v>IRS Curve missing</v>
          </cell>
          <cell r="U153" t="str">
            <v>IRS Curve missing</v>
          </cell>
          <cell r="V153" t="str">
            <v>IRS Curve missing</v>
          </cell>
          <cell r="W153" t="str">
            <v>IRS Curve missing</v>
          </cell>
          <cell r="X153" t="str">
            <v>IRS Curve missing</v>
          </cell>
          <cell r="Y153" t="str">
            <v>IRS Curve missing</v>
          </cell>
          <cell r="Z153" t="str">
            <v>IRS Curve missing</v>
          </cell>
          <cell r="AA153" t="str">
            <v>IRS Curve missing</v>
          </cell>
          <cell r="AB153" t="str">
            <v>IRS Curve missing</v>
          </cell>
          <cell r="AC153" t="str">
            <v>IRS Curve missing</v>
          </cell>
          <cell r="AD153" t="str">
            <v>IRS Curve missing</v>
          </cell>
          <cell r="AE153" t="str">
            <v>IRS Curve missing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8.2499398109781019E-4</v>
          </cell>
          <cell r="Q154" t="str">
            <v/>
          </cell>
          <cell r="R154">
            <v>6.9932488214158317E-3</v>
          </cell>
          <cell r="S154" t="str">
            <v/>
          </cell>
          <cell r="T154">
            <v>1.6944047880950386E-2</v>
          </cell>
          <cell r="U154">
            <v>3.433313528067794E-2</v>
          </cell>
          <cell r="V154">
            <v>5.9494167035703316E-2</v>
          </cell>
          <cell r="W154" t="str">
            <v/>
          </cell>
          <cell r="X154" t="str">
            <v/>
          </cell>
          <cell r="Y154">
            <v>1.0265969912727213E-3</v>
          </cell>
          <cell r="Z154" t="str">
            <v/>
          </cell>
          <cell r="AA154">
            <v>7.5274346476272846E-3</v>
          </cell>
          <cell r="AB154" t="str">
            <v/>
          </cell>
          <cell r="AC154">
            <v>1.780450675401235E-2</v>
          </cell>
          <cell r="AD154">
            <v>3.5987715751378935E-2</v>
          </cell>
          <cell r="AE154">
            <v>6.2359287676621022E-2</v>
          </cell>
        </row>
        <row r="155">
          <cell r="D155" t="str">
            <v>USD</v>
          </cell>
          <cell r="N155" t="str">
            <v>IRS Curve missing</v>
          </cell>
          <cell r="O155" t="str">
            <v>IRS Curve missing</v>
          </cell>
          <cell r="P155" t="str">
            <v>IRS Curve missing</v>
          </cell>
          <cell r="Q155" t="str">
            <v>IRS Curve missing</v>
          </cell>
          <cell r="R155" t="str">
            <v>IRS Curve missing</v>
          </cell>
          <cell r="S155" t="str">
            <v>IRS Curve missing</v>
          </cell>
          <cell r="T155" t="str">
            <v>IRS Curve missing</v>
          </cell>
          <cell r="U155" t="str">
            <v>IRS Curve missing</v>
          </cell>
          <cell r="V155" t="str">
            <v>IRS Curve missing</v>
          </cell>
          <cell r="W155" t="str">
            <v>IRS Curve missing</v>
          </cell>
          <cell r="X155" t="str">
            <v>IRS Curve missing</v>
          </cell>
          <cell r="Y155" t="str">
            <v>IRS Curve missing</v>
          </cell>
          <cell r="Z155" t="str">
            <v>IRS Curve missing</v>
          </cell>
          <cell r="AA155" t="str">
            <v>IRS Curve missing</v>
          </cell>
          <cell r="AB155" t="str">
            <v>IRS Curve missing</v>
          </cell>
          <cell r="AC155" t="str">
            <v>IRS Curve missing</v>
          </cell>
          <cell r="AD155" t="str">
            <v>IRS Curve missing</v>
          </cell>
          <cell r="AE155" t="str">
            <v>IRS Curve missing</v>
          </cell>
        </row>
        <row r="156">
          <cell r="D156" t="str">
            <v>USD</v>
          </cell>
          <cell r="N156" t="str">
            <v>IRS Curve missing</v>
          </cell>
          <cell r="O156" t="str">
            <v>IRS Curve missing</v>
          </cell>
          <cell r="P156" t="str">
            <v>IRS Curve missing</v>
          </cell>
          <cell r="Q156" t="str">
            <v>IRS Curve missing</v>
          </cell>
          <cell r="R156" t="str">
            <v>IRS Curve missing</v>
          </cell>
          <cell r="S156" t="str">
            <v>IRS Curve missing</v>
          </cell>
          <cell r="T156" t="str">
            <v>IRS Curve missing</v>
          </cell>
          <cell r="U156" t="str">
            <v>IRS Curve missing</v>
          </cell>
          <cell r="V156" t="str">
            <v>IRS Curve missing</v>
          </cell>
          <cell r="W156" t="str">
            <v>IRS Curve missing</v>
          </cell>
          <cell r="X156" t="str">
            <v>IRS Curve missing</v>
          </cell>
          <cell r="Y156" t="str">
            <v>IRS Curve missing</v>
          </cell>
          <cell r="Z156" t="str">
            <v>IRS Curve missing</v>
          </cell>
          <cell r="AA156" t="str">
            <v>IRS Curve missing</v>
          </cell>
          <cell r="AB156" t="str">
            <v>IRS Curve missing</v>
          </cell>
          <cell r="AC156" t="str">
            <v>IRS Curve missing</v>
          </cell>
          <cell r="AD156" t="str">
            <v>IRS Curve missing</v>
          </cell>
          <cell r="AE156" t="str">
            <v>IRS Curve missing</v>
          </cell>
        </row>
        <row r="157">
          <cell r="D157" t="str">
            <v>USD</v>
          </cell>
          <cell r="N157" t="str">
            <v>IRS Curve missing</v>
          </cell>
          <cell r="O157" t="str">
            <v>IRS Curve missing</v>
          </cell>
          <cell r="P157" t="str">
            <v>IRS Curve missing</v>
          </cell>
          <cell r="Q157" t="str">
            <v>IRS Curve missing</v>
          </cell>
          <cell r="R157" t="str">
            <v>IRS Curve missing</v>
          </cell>
          <cell r="S157" t="str">
            <v>IRS Curve missing</v>
          </cell>
          <cell r="T157" t="str">
            <v>IRS Curve missing</v>
          </cell>
          <cell r="U157" t="str">
            <v>IRS Curve missing</v>
          </cell>
          <cell r="V157" t="str">
            <v>IRS Curve missing</v>
          </cell>
          <cell r="W157" t="str">
            <v>IRS Curve missing</v>
          </cell>
          <cell r="X157" t="str">
            <v>IRS Curve missing</v>
          </cell>
          <cell r="Y157" t="str">
            <v>IRS Curve missing</v>
          </cell>
          <cell r="Z157" t="str">
            <v>IRS Curve missing</v>
          </cell>
          <cell r="AA157" t="str">
            <v>IRS Curve missing</v>
          </cell>
          <cell r="AB157" t="str">
            <v>IRS Curve missing</v>
          </cell>
          <cell r="AC157" t="str">
            <v>IRS Curve missing</v>
          </cell>
          <cell r="AD157" t="str">
            <v>IRS Curve missing</v>
          </cell>
          <cell r="AE157" t="str">
            <v>IRS Curve missing</v>
          </cell>
        </row>
        <row r="158">
          <cell r="D158" t="str">
            <v>USD</v>
          </cell>
          <cell r="N158" t="str">
            <v>IRS Curve missing</v>
          </cell>
          <cell r="O158" t="str">
            <v>IRS Curve missing</v>
          </cell>
          <cell r="P158" t="str">
            <v>IRS Curve missing</v>
          </cell>
          <cell r="Q158" t="str">
            <v>IRS Curve missing</v>
          </cell>
          <cell r="R158" t="str">
            <v>IRS Curve missing</v>
          </cell>
          <cell r="S158" t="str">
            <v>IRS Curve missing</v>
          </cell>
          <cell r="T158" t="str">
            <v>IRS Curve missing</v>
          </cell>
          <cell r="U158" t="str">
            <v>IRS Curve missing</v>
          </cell>
          <cell r="V158" t="str">
            <v>IRS Curve missing</v>
          </cell>
          <cell r="W158" t="str">
            <v>IRS Curve missing</v>
          </cell>
          <cell r="X158" t="str">
            <v>IRS Curve missing</v>
          </cell>
          <cell r="Y158" t="str">
            <v>IRS Curve missing</v>
          </cell>
          <cell r="Z158" t="str">
            <v>IRS Curve missing</v>
          </cell>
          <cell r="AA158" t="str">
            <v>IRS Curve missing</v>
          </cell>
          <cell r="AB158" t="str">
            <v>IRS Curve missing</v>
          </cell>
          <cell r="AC158" t="str">
            <v>IRS Curve missing</v>
          </cell>
          <cell r="AD158" t="str">
            <v>IRS Curve missing</v>
          </cell>
          <cell r="AE158" t="str">
            <v>IRS Curve missing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2.4951007882807463E-3</v>
          </cell>
          <cell r="Q159" t="str">
            <v/>
          </cell>
          <cell r="R159">
            <v>2.2248777242270035E-2</v>
          </cell>
          <cell r="S159" t="str">
            <v/>
          </cell>
          <cell r="T159">
            <v>5.0522353628274952E-2</v>
          </cell>
          <cell r="U159">
            <v>9.180703620137376E-2</v>
          </cell>
          <cell r="V159">
            <v>0.16226863908604106</v>
          </cell>
          <cell r="W159" t="str">
            <v/>
          </cell>
          <cell r="X159" t="str">
            <v/>
          </cell>
          <cell r="Y159">
            <v>2.6963414115018791E-3</v>
          </cell>
          <cell r="Z159" t="str">
            <v/>
          </cell>
          <cell r="AA159">
            <v>2.3343728942719411E-2</v>
          </cell>
          <cell r="AB159" t="str">
            <v/>
          </cell>
          <cell r="AC159">
            <v>5.2995026447220872E-2</v>
          </cell>
          <cell r="AD159">
            <v>9.6235237121206629E-2</v>
          </cell>
          <cell r="AE159">
            <v>0.16987878765756992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6.7120682086468486E-2</v>
          </cell>
          <cell r="Q160" t="str">
            <v/>
          </cell>
          <cell r="R160">
            <v>0.1664817975797438</v>
          </cell>
          <cell r="S160" t="str">
            <v/>
          </cell>
          <cell r="T160">
            <v>0.2252387106924274</v>
          </cell>
          <cell r="U160">
            <v>0.2786820615167509</v>
          </cell>
          <cell r="V160">
            <v>0.35827815920548711</v>
          </cell>
          <cell r="W160" t="str">
            <v/>
          </cell>
          <cell r="X160" t="str">
            <v/>
          </cell>
          <cell r="Y160">
            <v>7.0355777407017261E-2</v>
          </cell>
          <cell r="Z160" t="str">
            <v/>
          </cell>
          <cell r="AA160">
            <v>0.17402942482743455</v>
          </cell>
          <cell r="AB160" t="str">
            <v/>
          </cell>
          <cell r="AC160">
            <v>0.23489069449327926</v>
          </cell>
          <cell r="AD160">
            <v>0.29009261559678245</v>
          </cell>
          <cell r="AE160">
            <v>0.37195900689341244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2.1830475583241027E-3</v>
          </cell>
          <cell r="Q161" t="str">
            <v/>
          </cell>
          <cell r="R161">
            <v>1.6711702164048825E-2</v>
          </cell>
          <cell r="S161" t="str">
            <v/>
          </cell>
          <cell r="T161">
            <v>4.3671281240727056E-2</v>
          </cell>
          <cell r="U161">
            <v>8.1007624028897274E-2</v>
          </cell>
          <cell r="V161">
            <v>0.15241216925824352</v>
          </cell>
          <cell r="W161" t="str">
            <v/>
          </cell>
          <cell r="X161" t="str">
            <v/>
          </cell>
          <cell r="Y161">
            <v>2.3843579715424612E-3</v>
          </cell>
          <cell r="Z161" t="str">
            <v/>
          </cell>
          <cell r="AA161">
            <v>1.7531438974737079E-2</v>
          </cell>
          <cell r="AB161" t="str">
            <v/>
          </cell>
          <cell r="AC161">
            <v>4.5817797123247517E-2</v>
          </cell>
          <cell r="AD161">
            <v>8.493396857508706E-2</v>
          </cell>
          <cell r="AE161">
            <v>0.15962171597286179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2.211236984336451E-3</v>
          </cell>
          <cell r="Q162" t="str">
            <v/>
          </cell>
          <cell r="R162">
            <v>8.9233108558210983E-3</v>
          </cell>
          <cell r="S162" t="str">
            <v/>
          </cell>
          <cell r="T162">
            <v>2.1612912256365857E-2</v>
          </cell>
          <cell r="U162">
            <v>3.2910604311973235E-2</v>
          </cell>
          <cell r="V162">
            <v>5.8665063799728356E-2</v>
          </cell>
          <cell r="W162" t="str">
            <v/>
          </cell>
          <cell r="X162" t="str">
            <v/>
          </cell>
          <cell r="Y162">
            <v>2.4125411332461821E-3</v>
          </cell>
          <cell r="Z162" t="str">
            <v/>
          </cell>
          <cell r="AA162">
            <v>9.4561926847041011E-3</v>
          </cell>
          <cell r="AB162" t="str">
            <v/>
          </cell>
          <cell r="AC162">
            <v>2.2664902110341889E-2</v>
          </cell>
          <cell r="AD162">
            <v>3.4515304044457351E-2</v>
          </cell>
          <cell r="AE162">
            <v>6.1510006900054703E-2</v>
          </cell>
        </row>
        <row r="163">
          <cell r="D163" t="str">
            <v>USD</v>
          </cell>
          <cell r="N163" t="str">
            <v>IRS Curve missing</v>
          </cell>
          <cell r="O163" t="str">
            <v>IRS Curve missing</v>
          </cell>
          <cell r="P163" t="str">
            <v>IRS Curve missing</v>
          </cell>
          <cell r="Q163" t="str">
            <v>IRS Curve missing</v>
          </cell>
          <cell r="R163" t="str">
            <v>IRS Curve missing</v>
          </cell>
          <cell r="S163" t="str">
            <v>IRS Curve missing</v>
          </cell>
          <cell r="T163" t="str">
            <v>IRS Curve missing</v>
          </cell>
          <cell r="U163" t="str">
            <v>IRS Curve missing</v>
          </cell>
          <cell r="V163" t="str">
            <v>IRS Curve missing</v>
          </cell>
          <cell r="W163" t="str">
            <v>IRS Curve missing</v>
          </cell>
          <cell r="X163" t="str">
            <v>IRS Curve missing</v>
          </cell>
          <cell r="Y163" t="str">
            <v>IRS Curve missing</v>
          </cell>
          <cell r="Z163" t="str">
            <v>IRS Curve missing</v>
          </cell>
          <cell r="AA163" t="str">
            <v>IRS Curve missing</v>
          </cell>
          <cell r="AB163" t="str">
            <v>IRS Curve missing</v>
          </cell>
          <cell r="AC163" t="str">
            <v>IRS Curve missing</v>
          </cell>
          <cell r="AD163" t="str">
            <v>IRS Curve missing</v>
          </cell>
          <cell r="AE163" t="str">
            <v>IRS Curve missing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1.0709494977400036E-3</v>
          </cell>
          <cell r="Q164" t="str">
            <v/>
          </cell>
          <cell r="R164">
            <v>7.9497911526319465E-3</v>
          </cell>
          <cell r="S164" t="str">
            <v/>
          </cell>
          <cell r="T164">
            <v>1.9080763486208685E-2</v>
          </cell>
          <cell r="U164">
            <v>3.5315292517827612E-2</v>
          </cell>
          <cell r="V164">
            <v>7.2437306825421155E-2</v>
          </cell>
          <cell r="W164" t="str">
            <v/>
          </cell>
          <cell r="X164" t="str">
            <v/>
          </cell>
          <cell r="Y164">
            <v>1.2725008256738723E-3</v>
          </cell>
          <cell r="Z164" t="str">
            <v/>
          </cell>
          <cell r="AA164">
            <v>8.483509958719937E-3</v>
          </cell>
          <cell r="AB164" t="str">
            <v/>
          </cell>
          <cell r="AC164">
            <v>1.9998148620848255E-2</v>
          </cell>
          <cell r="AD164">
            <v>3.702883421870351E-2</v>
          </cell>
          <cell r="AE164">
            <v>7.5936332879266932E-2</v>
          </cell>
        </row>
        <row r="165">
          <cell r="D165" t="str">
            <v>USD</v>
          </cell>
          <cell r="N165" t="str">
            <v>IRS Curve missing</v>
          </cell>
          <cell r="O165" t="str">
            <v>IRS Curve missing</v>
          </cell>
          <cell r="P165" t="str">
            <v>IRS Curve missing</v>
          </cell>
          <cell r="Q165" t="str">
            <v>IRS Curve missing</v>
          </cell>
          <cell r="R165" t="str">
            <v>IRS Curve missing</v>
          </cell>
          <cell r="S165" t="str">
            <v>IRS Curve missing</v>
          </cell>
          <cell r="T165" t="str">
            <v>IRS Curve missing</v>
          </cell>
          <cell r="U165" t="str">
            <v>IRS Curve missing</v>
          </cell>
          <cell r="V165" t="str">
            <v>IRS Curve missing</v>
          </cell>
          <cell r="W165" t="str">
            <v>IRS Curve missing</v>
          </cell>
          <cell r="X165" t="str">
            <v>IRS Curve missing</v>
          </cell>
          <cell r="Y165" t="str">
            <v>IRS Curve missing</v>
          </cell>
          <cell r="Z165" t="str">
            <v>IRS Curve missing</v>
          </cell>
          <cell r="AA165" t="str">
            <v>IRS Curve missing</v>
          </cell>
          <cell r="AB165" t="str">
            <v>IRS Curve missing</v>
          </cell>
          <cell r="AC165" t="str">
            <v>IRS Curve missing</v>
          </cell>
          <cell r="AD165" t="str">
            <v>IRS Curve missing</v>
          </cell>
          <cell r="AE165" t="str">
            <v>IRS Curve missing</v>
          </cell>
        </row>
        <row r="166">
          <cell r="D166" t="str">
            <v>USD</v>
          </cell>
          <cell r="N166" t="str">
            <v>IRS Curve missing</v>
          </cell>
          <cell r="O166" t="str">
            <v>IRS Curve missing</v>
          </cell>
          <cell r="P166" t="str">
            <v>IRS Curve missing</v>
          </cell>
          <cell r="Q166" t="str">
            <v>IRS Curve missing</v>
          </cell>
          <cell r="R166" t="str">
            <v>IRS Curve missing</v>
          </cell>
          <cell r="S166" t="str">
            <v>IRS Curve missing</v>
          </cell>
          <cell r="T166" t="str">
            <v>IRS Curve missing</v>
          </cell>
          <cell r="U166" t="str">
            <v>IRS Curve missing</v>
          </cell>
          <cell r="V166" t="str">
            <v>IRS Curve missing</v>
          </cell>
          <cell r="W166" t="str">
            <v>IRS Curve missing</v>
          </cell>
          <cell r="X166" t="str">
            <v>IRS Curve missing</v>
          </cell>
          <cell r="Y166" t="str">
            <v>IRS Curve missing</v>
          </cell>
          <cell r="Z166" t="str">
            <v>IRS Curve missing</v>
          </cell>
          <cell r="AA166" t="str">
            <v>IRS Curve missing</v>
          </cell>
          <cell r="AB166" t="str">
            <v>IRS Curve missing</v>
          </cell>
          <cell r="AC166" t="str">
            <v>IRS Curve missing</v>
          </cell>
          <cell r="AD166" t="str">
            <v>IRS Curve missing</v>
          </cell>
          <cell r="AE166" t="str">
            <v>IRS Curve missing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1.3813322372171477E-3</v>
          </cell>
          <cell r="Q167" t="str">
            <v/>
          </cell>
          <cell r="R167">
            <v>1.2483334977525962E-2</v>
          </cell>
          <cell r="S167" t="str">
            <v/>
          </cell>
          <cell r="T167">
            <v>3.0760654881714422E-2</v>
          </cell>
          <cell r="U167">
            <v>6.1726299327182765E-2</v>
          </cell>
          <cell r="V167">
            <v>0.11430015873781108</v>
          </cell>
          <cell r="W167" t="str">
            <v/>
          </cell>
          <cell r="X167" t="str">
            <v/>
          </cell>
          <cell r="Y167">
            <v>1.5828175297013525E-3</v>
          </cell>
          <cell r="Z167" t="str">
            <v/>
          </cell>
          <cell r="AA167">
            <v>1.3089357711353777E-2</v>
          </cell>
          <cell r="AB167" t="str">
            <v/>
          </cell>
          <cell r="AC167">
            <v>3.2272753978837887E-2</v>
          </cell>
          <cell r="AD167">
            <v>6.4734339755960879E-2</v>
          </cell>
          <cell r="AE167">
            <v>0.11977998532266154</v>
          </cell>
        </row>
        <row r="168">
          <cell r="D168" t="str">
            <v>USD</v>
          </cell>
          <cell r="N168" t="str">
            <v>IRS Curve missing</v>
          </cell>
          <cell r="O168" t="str">
            <v>IRS Curve missing</v>
          </cell>
          <cell r="P168" t="str">
            <v>IRS Curve missing</v>
          </cell>
          <cell r="Q168" t="str">
            <v>IRS Curve missing</v>
          </cell>
          <cell r="R168" t="str">
            <v>IRS Curve missing</v>
          </cell>
          <cell r="S168" t="str">
            <v>IRS Curve missing</v>
          </cell>
          <cell r="T168" t="str">
            <v>IRS Curve missing</v>
          </cell>
          <cell r="U168" t="str">
            <v>IRS Curve missing</v>
          </cell>
          <cell r="V168" t="str">
            <v>IRS Curve missing</v>
          </cell>
          <cell r="W168" t="str">
            <v>IRS Curve missing</v>
          </cell>
          <cell r="X168" t="str">
            <v>IRS Curve missing</v>
          </cell>
          <cell r="Y168" t="str">
            <v>IRS Curve missing</v>
          </cell>
          <cell r="Z168" t="str">
            <v>IRS Curve missing</v>
          </cell>
          <cell r="AA168" t="str">
            <v>IRS Curve missing</v>
          </cell>
          <cell r="AB168" t="str">
            <v>IRS Curve missing</v>
          </cell>
          <cell r="AC168" t="str">
            <v>IRS Curve missing</v>
          </cell>
          <cell r="AD168" t="str">
            <v>IRS Curve missing</v>
          </cell>
          <cell r="AE168" t="str">
            <v>IRS Curve missing</v>
          </cell>
        </row>
        <row r="169">
          <cell r="D169" t="str">
            <v>USD</v>
          </cell>
          <cell r="N169" t="str">
            <v>IRS Curve missing</v>
          </cell>
          <cell r="O169" t="str">
            <v>IRS Curve missing</v>
          </cell>
          <cell r="P169" t="str">
            <v>IRS Curve missing</v>
          </cell>
          <cell r="Q169" t="str">
            <v>IRS Curve missing</v>
          </cell>
          <cell r="R169" t="str">
            <v>IRS Curve missing</v>
          </cell>
          <cell r="S169" t="str">
            <v>IRS Curve missing</v>
          </cell>
          <cell r="T169" t="str">
            <v>IRS Curve missing</v>
          </cell>
          <cell r="U169" t="str">
            <v>IRS Curve missing</v>
          </cell>
          <cell r="V169" t="str">
            <v>IRS Curve missing</v>
          </cell>
          <cell r="W169" t="str">
            <v>IRS Curve missing</v>
          </cell>
          <cell r="X169" t="str">
            <v>IRS Curve missing</v>
          </cell>
          <cell r="Y169" t="str">
            <v>IRS Curve missing</v>
          </cell>
          <cell r="Z169" t="str">
            <v>IRS Curve missing</v>
          </cell>
          <cell r="AA169" t="str">
            <v>IRS Curve missing</v>
          </cell>
          <cell r="AB169" t="str">
            <v>IRS Curve missing</v>
          </cell>
          <cell r="AC169" t="str">
            <v>IRS Curve missing</v>
          </cell>
          <cell r="AD169" t="str">
            <v>IRS Curve missing</v>
          </cell>
          <cell r="AE169" t="str">
            <v>IRS Curve missing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1.965559746215928E-3</v>
          </cell>
          <cell r="Q170" t="str">
            <v/>
          </cell>
          <cell r="R170">
            <v>1.699306267742362E-2</v>
          </cell>
          <cell r="S170" t="str">
            <v/>
          </cell>
          <cell r="T170">
            <v>4.3669542787211246E-2</v>
          </cell>
          <cell r="U170">
            <v>7.4599881230603571E-2</v>
          </cell>
          <cell r="V170">
            <v>0.12284073313515353</v>
          </cell>
          <cell r="W170" t="str">
            <v/>
          </cell>
          <cell r="X170" t="str">
            <v/>
          </cell>
          <cell r="Y170">
            <v>2.1669182240416918E-3</v>
          </cell>
          <cell r="Z170" t="str">
            <v/>
          </cell>
          <cell r="AA170">
            <v>1.7825536097109462E-2</v>
          </cell>
          <cell r="AB170" t="str">
            <v/>
          </cell>
          <cell r="AC170">
            <v>4.581250743515386E-2</v>
          </cell>
          <cell r="AD170">
            <v>7.8231303423523357E-2</v>
          </cell>
          <cell r="AE170">
            <v>0.12867683101507355</v>
          </cell>
        </row>
        <row r="171">
          <cell r="D171" t="str">
            <v>USD</v>
          </cell>
          <cell r="N171" t="str">
            <v>IRS Curve missing</v>
          </cell>
          <cell r="O171" t="str">
            <v>IRS Curve missing</v>
          </cell>
          <cell r="P171" t="str">
            <v>IRS Curve missing</v>
          </cell>
          <cell r="Q171" t="str">
            <v>IRS Curve missing</v>
          </cell>
          <cell r="R171" t="str">
            <v>IRS Curve missing</v>
          </cell>
          <cell r="S171" t="str">
            <v>IRS Curve missing</v>
          </cell>
          <cell r="T171" t="str">
            <v>IRS Curve missing</v>
          </cell>
          <cell r="U171" t="str">
            <v>IRS Curve missing</v>
          </cell>
          <cell r="V171" t="str">
            <v>IRS Curve missing</v>
          </cell>
          <cell r="W171" t="str">
            <v>IRS Curve missing</v>
          </cell>
          <cell r="X171" t="str">
            <v>IRS Curve missing</v>
          </cell>
          <cell r="Y171" t="str">
            <v>IRS Curve missing</v>
          </cell>
          <cell r="Z171" t="str">
            <v>IRS Curve missing</v>
          </cell>
          <cell r="AA171" t="str">
            <v>IRS Curve missing</v>
          </cell>
          <cell r="AB171" t="str">
            <v>IRS Curve missing</v>
          </cell>
          <cell r="AC171" t="str">
            <v>IRS Curve missing</v>
          </cell>
          <cell r="AD171" t="str">
            <v>IRS Curve missing</v>
          </cell>
          <cell r="AE171" t="str">
            <v>IRS Curve missing</v>
          </cell>
        </row>
        <row r="172">
          <cell r="D172" t="str">
            <v>USD</v>
          </cell>
          <cell r="N172" t="str">
            <v>IRS Curve missing</v>
          </cell>
          <cell r="O172" t="str">
            <v>IRS Curve missing</v>
          </cell>
          <cell r="P172" t="str">
            <v>IRS Curve missing</v>
          </cell>
          <cell r="Q172" t="str">
            <v>IRS Curve missing</v>
          </cell>
          <cell r="R172" t="str">
            <v>IRS Curve missing</v>
          </cell>
          <cell r="S172" t="str">
            <v>IRS Curve missing</v>
          </cell>
          <cell r="T172" t="str">
            <v>IRS Curve missing</v>
          </cell>
          <cell r="U172" t="str">
            <v>IRS Curve missing</v>
          </cell>
          <cell r="V172" t="str">
            <v>IRS Curve missing</v>
          </cell>
          <cell r="W172" t="str">
            <v>IRS Curve missing</v>
          </cell>
          <cell r="X172" t="str">
            <v>IRS Curve missing</v>
          </cell>
          <cell r="Y172" t="str">
            <v>IRS Curve missing</v>
          </cell>
          <cell r="Z172" t="str">
            <v>IRS Curve missing</v>
          </cell>
          <cell r="AA172" t="str">
            <v>IRS Curve missing</v>
          </cell>
          <cell r="AB172" t="str">
            <v>IRS Curve missing</v>
          </cell>
          <cell r="AC172" t="str">
            <v>IRS Curve missing</v>
          </cell>
          <cell r="AD172" t="str">
            <v>IRS Curve missing</v>
          </cell>
          <cell r="AE172" t="str">
            <v>IRS Curve missing</v>
          </cell>
        </row>
        <row r="173">
          <cell r="D173" t="str">
            <v>USD</v>
          </cell>
          <cell r="N173" t="str">
            <v>IRS Curve missing</v>
          </cell>
          <cell r="O173" t="str">
            <v>IRS Curve missing</v>
          </cell>
          <cell r="P173" t="str">
            <v>IRS Curve missing</v>
          </cell>
          <cell r="Q173" t="str">
            <v>IRS Curve missing</v>
          </cell>
          <cell r="R173" t="str">
            <v>IRS Curve missing</v>
          </cell>
          <cell r="S173" t="str">
            <v>IRS Curve missing</v>
          </cell>
          <cell r="T173" t="str">
            <v>IRS Curve missing</v>
          </cell>
          <cell r="U173" t="str">
            <v>IRS Curve missing</v>
          </cell>
          <cell r="V173" t="str">
            <v>IRS Curve missing</v>
          </cell>
          <cell r="W173" t="str">
            <v>IRS Curve missing</v>
          </cell>
          <cell r="X173" t="str">
            <v>IRS Curve missing</v>
          </cell>
          <cell r="Y173" t="str">
            <v>IRS Curve missing</v>
          </cell>
          <cell r="Z173" t="str">
            <v>IRS Curve missing</v>
          </cell>
          <cell r="AA173" t="str">
            <v>IRS Curve missing</v>
          </cell>
          <cell r="AB173" t="str">
            <v>IRS Curve missing</v>
          </cell>
          <cell r="AC173" t="str">
            <v>IRS Curve missing</v>
          </cell>
          <cell r="AD173" t="str">
            <v>IRS Curve missing</v>
          </cell>
          <cell r="AE173" t="str">
            <v>IRS Curve missing</v>
          </cell>
        </row>
        <row r="174">
          <cell r="D174" t="str">
            <v>USD</v>
          </cell>
          <cell r="N174" t="str">
            <v>IRS Curve missing</v>
          </cell>
          <cell r="O174" t="str">
            <v>IRS Curve missing</v>
          </cell>
          <cell r="P174" t="str">
            <v>IRS Curve missing</v>
          </cell>
          <cell r="Q174" t="str">
            <v>IRS Curve missing</v>
          </cell>
          <cell r="R174" t="str">
            <v>IRS Curve missing</v>
          </cell>
          <cell r="S174" t="str">
            <v>IRS Curve missing</v>
          </cell>
          <cell r="T174" t="str">
            <v>IRS Curve missing</v>
          </cell>
          <cell r="U174" t="str">
            <v>IRS Curve missing</v>
          </cell>
          <cell r="V174" t="str">
            <v>IRS Curve missing</v>
          </cell>
          <cell r="W174" t="str">
            <v>IRS Curve missing</v>
          </cell>
          <cell r="X174" t="str">
            <v>IRS Curve missing</v>
          </cell>
          <cell r="Y174" t="str">
            <v>IRS Curve missing</v>
          </cell>
          <cell r="Z174" t="str">
            <v>IRS Curve missing</v>
          </cell>
          <cell r="AA174" t="str">
            <v>IRS Curve missing</v>
          </cell>
          <cell r="AB174" t="str">
            <v>IRS Curve missing</v>
          </cell>
          <cell r="AC174" t="str">
            <v>IRS Curve missing</v>
          </cell>
          <cell r="AD174" t="str">
            <v>IRS Curve missing</v>
          </cell>
          <cell r="AE174" t="str">
            <v>IRS Curve missing</v>
          </cell>
        </row>
        <row r="175">
          <cell r="D175" t="str">
            <v>USD</v>
          </cell>
          <cell r="N175" t="str">
            <v>IRS Curve missing</v>
          </cell>
          <cell r="O175" t="str">
            <v>IRS Curve missing</v>
          </cell>
          <cell r="P175" t="str">
            <v>IRS Curve missing</v>
          </cell>
          <cell r="Q175" t="str">
            <v>IRS Curve missing</v>
          </cell>
          <cell r="R175" t="str">
            <v>IRS Curve missing</v>
          </cell>
          <cell r="S175" t="str">
            <v>IRS Curve missing</v>
          </cell>
          <cell r="T175" t="str">
            <v>IRS Curve missing</v>
          </cell>
          <cell r="U175" t="str">
            <v>IRS Curve missing</v>
          </cell>
          <cell r="V175" t="str">
            <v>IRS Curve missing</v>
          </cell>
          <cell r="W175" t="str">
            <v>IRS Curve missing</v>
          </cell>
          <cell r="X175" t="str">
            <v>IRS Curve missing</v>
          </cell>
          <cell r="Y175" t="str">
            <v>IRS Curve missing</v>
          </cell>
          <cell r="Z175" t="str">
            <v>IRS Curve missing</v>
          </cell>
          <cell r="AA175" t="str">
            <v>IRS Curve missing</v>
          </cell>
          <cell r="AB175" t="str">
            <v>IRS Curve missing</v>
          </cell>
          <cell r="AC175" t="str">
            <v>IRS Curve missing</v>
          </cell>
          <cell r="AD175" t="str">
            <v>IRS Curve missing</v>
          </cell>
          <cell r="AE175" t="str">
            <v>IRS Curve missing</v>
          </cell>
        </row>
        <row r="176">
          <cell r="D176" t="str">
            <v>USD</v>
          </cell>
          <cell r="N176" t="str">
            <v>IRS Curve missing</v>
          </cell>
          <cell r="O176" t="str">
            <v>IRS Curve missing</v>
          </cell>
          <cell r="P176" t="str">
            <v>IRS Curve missing</v>
          </cell>
          <cell r="Q176" t="str">
            <v>IRS Curve missing</v>
          </cell>
          <cell r="R176" t="str">
            <v>IRS Curve missing</v>
          </cell>
          <cell r="S176" t="str">
            <v>IRS Curve missing</v>
          </cell>
          <cell r="T176" t="str">
            <v>IRS Curve missing</v>
          </cell>
          <cell r="U176" t="str">
            <v>IRS Curve missing</v>
          </cell>
          <cell r="V176" t="str">
            <v>IRS Curve missing</v>
          </cell>
          <cell r="W176" t="str">
            <v>IRS Curve missing</v>
          </cell>
          <cell r="X176" t="str">
            <v>IRS Curve missing</v>
          </cell>
          <cell r="Y176" t="str">
            <v>IRS Curve missing</v>
          </cell>
          <cell r="Z176" t="str">
            <v>IRS Curve missing</v>
          </cell>
          <cell r="AA176" t="str">
            <v>IRS Curve missing</v>
          </cell>
          <cell r="AB176" t="str">
            <v>IRS Curve missing</v>
          </cell>
          <cell r="AC176" t="str">
            <v>IRS Curve missing</v>
          </cell>
          <cell r="AD176" t="str">
            <v>IRS Curve missing</v>
          </cell>
          <cell r="AE176" t="str">
            <v>IRS Curve missing</v>
          </cell>
        </row>
        <row r="177">
          <cell r="D177" t="str">
            <v>USD</v>
          </cell>
          <cell r="N177" t="str">
            <v>IRS Curve missing</v>
          </cell>
          <cell r="O177" t="str">
            <v>IRS Curve missing</v>
          </cell>
          <cell r="P177" t="str">
            <v>IRS Curve missing</v>
          </cell>
          <cell r="Q177" t="str">
            <v>IRS Curve missing</v>
          </cell>
          <cell r="R177" t="str">
            <v>IRS Curve missing</v>
          </cell>
          <cell r="S177" t="str">
            <v>IRS Curve missing</v>
          </cell>
          <cell r="T177" t="str">
            <v>IRS Curve missing</v>
          </cell>
          <cell r="U177" t="str">
            <v>IRS Curve missing</v>
          </cell>
          <cell r="V177" t="str">
            <v>IRS Curve missing</v>
          </cell>
          <cell r="W177" t="str">
            <v>IRS Curve missing</v>
          </cell>
          <cell r="X177" t="str">
            <v>IRS Curve missing</v>
          </cell>
          <cell r="Y177" t="str">
            <v>IRS Curve missing</v>
          </cell>
          <cell r="Z177" t="str">
            <v>IRS Curve missing</v>
          </cell>
          <cell r="AA177" t="str">
            <v>IRS Curve missing</v>
          </cell>
          <cell r="AB177" t="str">
            <v>IRS Curve missing</v>
          </cell>
          <cell r="AC177" t="str">
            <v>IRS Curve missing</v>
          </cell>
          <cell r="AD177" t="str">
            <v>IRS Curve missing</v>
          </cell>
          <cell r="AE177" t="str">
            <v>IRS Curve missing</v>
          </cell>
        </row>
        <row r="178">
          <cell r="D178" t="str">
            <v>USD</v>
          </cell>
          <cell r="N178" t="str">
            <v>IRS Curve missing</v>
          </cell>
          <cell r="O178" t="str">
            <v>IRS Curve missing</v>
          </cell>
          <cell r="P178" t="str">
            <v>IRS Curve missing</v>
          </cell>
          <cell r="Q178" t="str">
            <v>IRS Curve missing</v>
          </cell>
          <cell r="R178" t="str">
            <v>IRS Curve missing</v>
          </cell>
          <cell r="S178" t="str">
            <v>IRS Curve missing</v>
          </cell>
          <cell r="T178" t="str">
            <v>IRS Curve missing</v>
          </cell>
          <cell r="U178" t="str">
            <v>IRS Curve missing</v>
          </cell>
          <cell r="V178" t="str">
            <v>IRS Curve missing</v>
          </cell>
          <cell r="W178" t="str">
            <v>IRS Curve missing</v>
          </cell>
          <cell r="X178" t="str">
            <v>IRS Curve missing</v>
          </cell>
          <cell r="Y178" t="str">
            <v>IRS Curve missing</v>
          </cell>
          <cell r="Z178" t="str">
            <v>IRS Curve missing</v>
          </cell>
          <cell r="AA178" t="str">
            <v>IRS Curve missing</v>
          </cell>
          <cell r="AB178" t="str">
            <v>IRS Curve missing</v>
          </cell>
          <cell r="AC178" t="str">
            <v>IRS Curve missing</v>
          </cell>
          <cell r="AD178" t="str">
            <v>IRS Curve missing</v>
          </cell>
          <cell r="AE178" t="str">
            <v>IRS Curve missing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7.3627398125475363E-4</v>
          </cell>
          <cell r="Q179" t="str">
            <v/>
          </cell>
          <cell r="R179">
            <v>1.3193201599616344E-2</v>
          </cell>
          <cell r="S179" t="str">
            <v/>
          </cell>
          <cell r="T179">
            <v>2.7072953274400846E-2</v>
          </cell>
          <cell r="U179">
            <v>4.8800730185148744E-2</v>
          </cell>
          <cell r="V179">
            <v>8.7336815382760724E-2</v>
          </cell>
          <cell r="W179" t="str">
            <v/>
          </cell>
          <cell r="X179" t="str">
            <v/>
          </cell>
          <cell r="Y179">
            <v>9.3789549536638095E-4</v>
          </cell>
          <cell r="Z179" t="str">
            <v/>
          </cell>
          <cell r="AA179">
            <v>1.3830898358970445E-2</v>
          </cell>
          <cell r="AB179" t="str">
            <v/>
          </cell>
          <cell r="AC179">
            <v>2.8401081471731149E-2</v>
          </cell>
          <cell r="AD179">
            <v>5.1178474407987062E-2</v>
          </cell>
          <cell r="AE179">
            <v>9.155491241175584E-2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2.7627855202966289E-3</v>
          </cell>
          <cell r="Q180" t="str">
            <v/>
          </cell>
          <cell r="R180">
            <v>1.0487976419550238E-2</v>
          </cell>
          <cell r="S180" t="str">
            <v/>
          </cell>
          <cell r="T180">
            <v>2.9988952446872275E-2</v>
          </cell>
          <cell r="U180">
            <v>5.5506999910999499E-2</v>
          </cell>
          <cell r="V180">
            <v>9.4205911523607799E-2</v>
          </cell>
          <cell r="W180" t="str">
            <v/>
          </cell>
          <cell r="X180" t="str">
            <v/>
          </cell>
          <cell r="Y180">
            <v>2.9639654898850898E-3</v>
          </cell>
          <cell r="Z180" t="str">
            <v/>
          </cell>
          <cell r="AA180">
            <v>1.1020035113406546E-2</v>
          </cell>
          <cell r="AB180" t="str">
            <v/>
          </cell>
          <cell r="AC180">
            <v>3.1487143887045321E-2</v>
          </cell>
          <cell r="AD180">
            <v>5.8216382655377874E-2</v>
          </cell>
          <cell r="AE180">
            <v>9.8738718100872314E-2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8.8951271176029856E-4</v>
          </cell>
          <cell r="Q181" t="str">
            <v/>
          </cell>
          <cell r="R181">
            <v>7.9679697596870547E-3</v>
          </cell>
          <cell r="S181" t="str">
            <v/>
          </cell>
          <cell r="T181">
            <v>1.8193537585517561E-2</v>
          </cell>
          <cell r="U181">
            <v>3.4801979313501152E-2</v>
          </cell>
          <cell r="V181">
            <v>6.5608321691602023E-2</v>
          </cell>
          <cell r="W181" t="str">
            <v/>
          </cell>
          <cell r="X181" t="str">
            <v/>
          </cell>
          <cell r="Y181">
            <v>1.0911022195048137E-3</v>
          </cell>
          <cell r="Z181" t="str">
            <v/>
          </cell>
          <cell r="AA181">
            <v>8.5017555228126263E-3</v>
          </cell>
          <cell r="AB181" t="str">
            <v/>
          </cell>
          <cell r="AC181">
            <v>1.9065679490067766E-2</v>
          </cell>
          <cell r="AD181">
            <v>3.6491086555231256E-2</v>
          </cell>
          <cell r="AE181">
            <v>6.8778402421956319E-2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1.5445471303380254E-3</v>
          </cell>
          <cell r="Q182" t="str">
            <v/>
          </cell>
          <cell r="R182">
            <v>1.3780729139747261E-2</v>
          </cell>
          <cell r="S182" t="str">
            <v/>
          </cell>
          <cell r="T182">
            <v>2.8743298544407492E-2</v>
          </cell>
          <cell r="U182">
            <v>5.2938335165781947E-2</v>
          </cell>
          <cell r="V182">
            <v>9.0754808376618534E-2</v>
          </cell>
          <cell r="W182" t="str">
            <v/>
          </cell>
          <cell r="X182" t="str">
            <v/>
          </cell>
          <cell r="Y182">
            <v>1.7459973284162933E-3</v>
          </cell>
          <cell r="Z182" t="str">
            <v/>
          </cell>
          <cell r="AA182">
            <v>1.4451922136720863E-2</v>
          </cell>
          <cell r="AB182" t="str">
            <v/>
          </cell>
          <cell r="AC182">
            <v>3.0155619793825195E-2</v>
          </cell>
          <cell r="AD182">
            <v>5.5520030841742507E-2</v>
          </cell>
          <cell r="AE182">
            <v>9.5128424158073543E-2</v>
          </cell>
        </row>
        <row r="183">
          <cell r="D183" t="str">
            <v>USD</v>
          </cell>
          <cell r="N183" t="str">
            <v>IRS Curve missing</v>
          </cell>
          <cell r="O183" t="str">
            <v>IRS Curve missing</v>
          </cell>
          <cell r="P183" t="str">
            <v>IRS Curve missing</v>
          </cell>
          <cell r="Q183" t="str">
            <v>IRS Curve missing</v>
          </cell>
          <cell r="R183" t="str">
            <v>IRS Curve missing</v>
          </cell>
          <cell r="S183" t="str">
            <v>IRS Curve missing</v>
          </cell>
          <cell r="T183" t="str">
            <v>IRS Curve missing</v>
          </cell>
          <cell r="U183" t="str">
            <v>IRS Curve missing</v>
          </cell>
          <cell r="V183" t="str">
            <v>IRS Curve missing</v>
          </cell>
          <cell r="W183" t="str">
            <v>IRS Curve missing</v>
          </cell>
          <cell r="X183" t="str">
            <v>IRS Curve missing</v>
          </cell>
          <cell r="Y183" t="str">
            <v>IRS Curve missing</v>
          </cell>
          <cell r="Z183" t="str">
            <v>IRS Curve missing</v>
          </cell>
          <cell r="AA183" t="str">
            <v>IRS Curve missing</v>
          </cell>
          <cell r="AB183" t="str">
            <v>IRS Curve missing</v>
          </cell>
          <cell r="AC183" t="str">
            <v>IRS Curve missing</v>
          </cell>
          <cell r="AD183" t="str">
            <v>IRS Curve missing</v>
          </cell>
          <cell r="AE183" t="str">
            <v>IRS Curve missing</v>
          </cell>
        </row>
        <row r="184">
          <cell r="D184" t="str">
            <v>USD</v>
          </cell>
          <cell r="N184" t="str">
            <v/>
          </cell>
          <cell r="O184">
            <v>6.5879470752538971E-4</v>
          </cell>
          <cell r="P184">
            <v>1.4166691516551699E-3</v>
          </cell>
          <cell r="Q184">
            <v>4.1857029131547874E-3</v>
          </cell>
          <cell r="R184">
            <v>8.4226756769574251E-3</v>
          </cell>
          <cell r="S184" t="str">
            <v/>
          </cell>
          <cell r="T184">
            <v>2.1343626692695628E-2</v>
          </cell>
          <cell r="U184">
            <v>3.2832726558384207E-2</v>
          </cell>
          <cell r="V184">
            <v>5.4414423389753774E-2</v>
          </cell>
          <cell r="W184" t="str">
            <v/>
          </cell>
          <cell r="X184">
            <v>7.7638976550165051E-4</v>
          </cell>
          <cell r="Y184">
            <v>1.6181743616614508E-3</v>
          </cell>
          <cell r="Z184">
            <v>4.5538868475430982E-3</v>
          </cell>
          <cell r="AA184">
            <v>8.9560283859606571E-3</v>
          </cell>
          <cell r="AB184" t="str">
            <v/>
          </cell>
          <cell r="AC184">
            <v>2.2376001459280093E-2</v>
          </cell>
          <cell r="AD184">
            <v>3.4428137581027252E-2</v>
          </cell>
          <cell r="AE184">
            <v>5.7046172130904904E-2</v>
          </cell>
        </row>
        <row r="185">
          <cell r="D185" t="str">
            <v>USD</v>
          </cell>
          <cell r="N185" t="str">
            <v>IRS Curve missing</v>
          </cell>
          <cell r="O185" t="str">
            <v>IRS Curve missing</v>
          </cell>
          <cell r="P185" t="str">
            <v>IRS Curve missing</v>
          </cell>
          <cell r="Q185" t="str">
            <v>IRS Curve missing</v>
          </cell>
          <cell r="R185" t="str">
            <v>IRS Curve missing</v>
          </cell>
          <cell r="S185" t="str">
            <v>IRS Curve missing</v>
          </cell>
          <cell r="T185" t="str">
            <v>IRS Curve missing</v>
          </cell>
          <cell r="U185" t="str">
            <v>IRS Curve missing</v>
          </cell>
          <cell r="V185" t="str">
            <v>IRS Curve missing</v>
          </cell>
          <cell r="W185" t="str">
            <v>IRS Curve missing</v>
          </cell>
          <cell r="X185" t="str">
            <v>IRS Curve missing</v>
          </cell>
          <cell r="Y185" t="str">
            <v>IRS Curve missing</v>
          </cell>
          <cell r="Z185" t="str">
            <v>IRS Curve missing</v>
          </cell>
          <cell r="AA185" t="str">
            <v>IRS Curve missing</v>
          </cell>
          <cell r="AB185" t="str">
            <v>IRS Curve missing</v>
          </cell>
          <cell r="AC185" t="str">
            <v>IRS Curve missing</v>
          </cell>
          <cell r="AD185" t="str">
            <v>IRS Curve missing</v>
          </cell>
          <cell r="AE185" t="str">
            <v>IRS Curve missing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2.1327073348914594E-3</v>
          </cell>
          <cell r="Q186" t="str">
            <v/>
          </cell>
          <cell r="R186">
            <v>1.0643103308262791E-2</v>
          </cell>
          <cell r="S186" t="str">
            <v/>
          </cell>
          <cell r="T186">
            <v>2.3198430020153094E-2</v>
          </cell>
          <cell r="U186">
            <v>3.3875334973316296E-2</v>
          </cell>
          <cell r="V186">
            <v>5.5712618263337732E-2</v>
          </cell>
          <cell r="W186" t="str">
            <v/>
          </cell>
          <cell r="X186" t="str">
            <v/>
          </cell>
          <cell r="Y186">
            <v>2.3340289150790561E-3</v>
          </cell>
          <cell r="Z186" t="str">
            <v/>
          </cell>
          <cell r="AA186">
            <v>1.1175358115757095E-2</v>
          </cell>
          <cell r="AB186" t="str">
            <v/>
          </cell>
          <cell r="AC186">
            <v>2.434126844988227E-2</v>
          </cell>
          <cell r="AD186">
            <v>3.5530602719762494E-2</v>
          </cell>
          <cell r="AE186">
            <v>5.8427716106593253E-2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2.430684816614237E-3</v>
          </cell>
          <cell r="Q187" t="str">
            <v/>
          </cell>
          <cell r="R187">
            <v>1.6615226807230599E-2</v>
          </cell>
          <cell r="S187" t="str">
            <v/>
          </cell>
          <cell r="T187">
            <v>4.3220189377393359E-2</v>
          </cell>
          <cell r="U187">
            <v>7.1851304473422029E-2</v>
          </cell>
          <cell r="V187">
            <v>0.11841835453791949</v>
          </cell>
          <cell r="W187" t="str">
            <v/>
          </cell>
          <cell r="X187" t="str">
            <v/>
          </cell>
          <cell r="Y187">
            <v>2.6319399267051846E-3</v>
          </cell>
          <cell r="Z187" t="str">
            <v/>
          </cell>
          <cell r="AA187">
            <v>1.7431534900161805E-2</v>
          </cell>
          <cell r="AB187" t="str">
            <v/>
          </cell>
          <cell r="AC187">
            <v>4.5344718987314958E-2</v>
          </cell>
          <cell r="AD187">
            <v>7.53323767403411E-2</v>
          </cell>
          <cell r="AE187">
            <v>0.12405597312595396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5.3313514715268573E-3</v>
          </cell>
          <cell r="Q188" t="str">
            <v/>
          </cell>
          <cell r="R188">
            <v>2.6327169853889498E-2</v>
          </cell>
          <cell r="S188" t="str">
            <v/>
          </cell>
          <cell r="T188">
            <v>6.4436076090808592E-2</v>
          </cell>
          <cell r="U188">
            <v>0.10177890355996277</v>
          </cell>
          <cell r="V188">
            <v>0.16022064352841314</v>
          </cell>
          <cell r="W188" t="str">
            <v/>
          </cell>
          <cell r="X188" t="str">
            <v/>
          </cell>
          <cell r="Y188">
            <v>5.5970276673805719E-3</v>
          </cell>
          <cell r="Z188" t="str">
            <v/>
          </cell>
          <cell r="AA188">
            <v>2.7630064209828165E-2</v>
          </cell>
          <cell r="AB188" t="str">
            <v/>
          </cell>
          <cell r="AC188">
            <v>6.7580758819195563E-2</v>
          </cell>
          <cell r="AD188">
            <v>0.1066574315020713</v>
          </cell>
          <cell r="AE188">
            <v>0.16767996400410723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2.923764619232605E-3</v>
          </cell>
          <cell r="Q189" t="str">
            <v/>
          </cell>
          <cell r="R189">
            <v>2.4062834617871287E-2</v>
          </cell>
          <cell r="S189" t="str">
            <v/>
          </cell>
          <cell r="T189">
            <v>6.0541426886821403E-2</v>
          </cell>
          <cell r="U189">
            <v>9.9561942229041689E-2</v>
          </cell>
          <cell r="V189">
            <v>0.17049567522731723</v>
          </cell>
          <cell r="W189" t="str">
            <v/>
          </cell>
          <cell r="X189" t="str">
            <v/>
          </cell>
          <cell r="Y189">
            <v>3.1249077593297203E-3</v>
          </cell>
          <cell r="Z189" t="str">
            <v/>
          </cell>
          <cell r="AA189">
            <v>2.5249559682413714E-2</v>
          </cell>
          <cell r="AB189" t="str">
            <v/>
          </cell>
          <cell r="AC189">
            <v>6.3499696592622557E-2</v>
          </cell>
          <cell r="AD189">
            <v>0.10434181286035993</v>
          </cell>
          <cell r="AE189">
            <v>0.17844571544246179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3.4025252788481009E-3</v>
          </cell>
          <cell r="Q190" t="str">
            <v/>
          </cell>
          <cell r="R190">
            <v>1.4377482180427337E-2</v>
          </cell>
          <cell r="S190" t="str">
            <v/>
          </cell>
          <cell r="T190">
            <v>2.8937433165076687E-2</v>
          </cell>
          <cell r="U190">
            <v>4.0184109670431623E-2</v>
          </cell>
          <cell r="V190">
            <v>5.9223638692127323E-2</v>
          </cell>
          <cell r="W190" t="str">
            <v/>
          </cell>
          <cell r="X190" t="str">
            <v/>
          </cell>
          <cell r="Y190">
            <v>3.6035572916115477E-3</v>
          </cell>
          <cell r="Z190" t="str">
            <v/>
          </cell>
          <cell r="AA190">
            <v>1.5088048793085673E-2</v>
          </cell>
          <cell r="AB190" t="str">
            <v/>
          </cell>
          <cell r="AC190">
            <v>3.0364631708454493E-2</v>
          </cell>
          <cell r="AD190">
            <v>4.215086301928006E-2</v>
          </cell>
          <cell r="AE190">
            <v>6.2099971779362884E-2</v>
          </cell>
        </row>
        <row r="191">
          <cell r="D191" t="str">
            <v>USD</v>
          </cell>
          <cell r="N191" t="str">
            <v>IRS Curve missing</v>
          </cell>
          <cell r="O191" t="str">
            <v>IRS Curve missing</v>
          </cell>
          <cell r="P191" t="str">
            <v>IRS Curve missing</v>
          </cell>
          <cell r="Q191" t="str">
            <v>IRS Curve missing</v>
          </cell>
          <cell r="R191" t="str">
            <v>IRS Curve missing</v>
          </cell>
          <cell r="S191" t="str">
            <v>IRS Curve missing</v>
          </cell>
          <cell r="T191" t="str">
            <v>IRS Curve missing</v>
          </cell>
          <cell r="U191" t="str">
            <v>IRS Curve missing</v>
          </cell>
          <cell r="V191" t="str">
            <v>IRS Curve missing</v>
          </cell>
          <cell r="W191" t="str">
            <v>IRS Curve missing</v>
          </cell>
          <cell r="X191" t="str">
            <v>IRS Curve missing</v>
          </cell>
          <cell r="Y191" t="str">
            <v>IRS Curve missing</v>
          </cell>
          <cell r="Z191" t="str">
            <v>IRS Curve missing</v>
          </cell>
          <cell r="AA191" t="str">
            <v>IRS Curve missing</v>
          </cell>
          <cell r="AB191" t="str">
            <v>IRS Curve missing</v>
          </cell>
          <cell r="AC191" t="str">
            <v>IRS Curve missing</v>
          </cell>
          <cell r="AD191" t="str">
            <v>IRS Curve missing</v>
          </cell>
          <cell r="AE191" t="str">
            <v>IRS Curve missing</v>
          </cell>
        </row>
        <row r="192">
          <cell r="D192" t="str">
            <v>USD</v>
          </cell>
          <cell r="N192" t="str">
            <v>IRS Curve missing</v>
          </cell>
          <cell r="O192" t="str">
            <v>IRS Curve missing</v>
          </cell>
          <cell r="P192" t="str">
            <v>IRS Curve missing</v>
          </cell>
          <cell r="Q192" t="str">
            <v>IRS Curve missing</v>
          </cell>
          <cell r="R192" t="str">
            <v>IRS Curve missing</v>
          </cell>
          <cell r="S192" t="str">
            <v>IRS Curve missing</v>
          </cell>
          <cell r="T192" t="str">
            <v>IRS Curve missing</v>
          </cell>
          <cell r="U192" t="str">
            <v>IRS Curve missing</v>
          </cell>
          <cell r="V192" t="str">
            <v>IRS Curve missing</v>
          </cell>
          <cell r="W192" t="str">
            <v>IRS Curve missing</v>
          </cell>
          <cell r="X192" t="str">
            <v>IRS Curve missing</v>
          </cell>
          <cell r="Y192" t="str">
            <v>IRS Curve missing</v>
          </cell>
          <cell r="Z192" t="str">
            <v>IRS Curve missing</v>
          </cell>
          <cell r="AA192" t="str">
            <v>IRS Curve missing</v>
          </cell>
          <cell r="AB192" t="str">
            <v>IRS Curve missing</v>
          </cell>
          <cell r="AC192" t="str">
            <v>IRS Curve missing</v>
          </cell>
          <cell r="AD192" t="str">
            <v>IRS Curve missing</v>
          </cell>
          <cell r="AE192" t="str">
            <v>IRS Curve missing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9.6612333957823981E-4</v>
          </cell>
          <cell r="Q193" t="str">
            <v/>
          </cell>
          <cell r="R193">
            <v>7.8772075165041144E-3</v>
          </cell>
          <cell r="S193" t="str">
            <v/>
          </cell>
          <cell r="T193">
            <v>1.8640104853173134E-2</v>
          </cell>
          <cell r="U193">
            <v>3.4938070559253576E-2</v>
          </cell>
          <cell r="V193">
            <v>6.4282623289265373E-2</v>
          </cell>
          <cell r="W193" t="str">
            <v/>
          </cell>
          <cell r="X193" t="str">
            <v/>
          </cell>
          <cell r="Y193">
            <v>1.1676967638273306E-3</v>
          </cell>
          <cell r="Z193" t="str">
            <v/>
          </cell>
          <cell r="AA193">
            <v>8.4109971381526316E-3</v>
          </cell>
          <cell r="AB193" t="str">
            <v/>
          </cell>
          <cell r="AC193">
            <v>1.9534969335792685E-2</v>
          </cell>
          <cell r="AD193">
            <v>3.6631991740183167E-2</v>
          </cell>
          <cell r="AE193">
            <v>6.7387789480011007E-2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1.7238515274753397E-3</v>
          </cell>
          <cell r="Q194" t="str">
            <v/>
          </cell>
          <cell r="R194">
            <v>1.0065344779827901E-2</v>
          </cell>
          <cell r="S194" t="str">
            <v/>
          </cell>
          <cell r="T194">
            <v>2.6054380004187583E-2</v>
          </cell>
          <cell r="U194">
            <v>3.8938375490016552E-2</v>
          </cell>
          <cell r="V194">
            <v>6.7270227101430491E-2</v>
          </cell>
          <cell r="W194" t="str">
            <v/>
          </cell>
          <cell r="X194" t="str">
            <v/>
          </cell>
          <cell r="Y194">
            <v>1.9252628746349032E-3</v>
          </cell>
          <cell r="Z194" t="str">
            <v/>
          </cell>
          <cell r="AA194">
            <v>1.0597986849731678E-2</v>
          </cell>
          <cell r="AB194" t="str">
            <v/>
          </cell>
          <cell r="AC194">
            <v>2.7331894000117041E-2</v>
          </cell>
          <cell r="AD194">
            <v>4.0837248913671242E-2</v>
          </cell>
          <cell r="AE194">
            <v>7.0532702315207585E-2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8.3709155775113508E-4</v>
          </cell>
          <cell r="Q195" t="str">
            <v/>
          </cell>
          <cell r="R195">
            <v>8.7915772767681588E-3</v>
          </cell>
          <cell r="S195" t="str">
            <v/>
          </cell>
          <cell r="T195">
            <v>1.8541158140313097E-2</v>
          </cell>
          <cell r="U195">
            <v>3.4673938054318287E-2</v>
          </cell>
          <cell r="V195">
            <v>6.3434375175391078E-2</v>
          </cell>
          <cell r="W195" t="str">
            <v/>
          </cell>
          <cell r="X195" t="str">
            <v/>
          </cell>
          <cell r="Y195">
            <v>1.0386920390824672E-3</v>
          </cell>
          <cell r="Z195" t="str">
            <v/>
          </cell>
          <cell r="AA195">
            <v>9.3250706913460268E-3</v>
          </cell>
          <cell r="AB195" t="str">
            <v/>
          </cell>
          <cell r="AC195">
            <v>1.9435507171679745E-2</v>
          </cell>
          <cell r="AD195">
            <v>3.6359250553433475E-2</v>
          </cell>
          <cell r="AE195">
            <v>6.6506003006661318E-2</v>
          </cell>
        </row>
        <row r="196">
          <cell r="D196" t="str">
            <v>USD</v>
          </cell>
          <cell r="N196" t="str">
            <v>IRS Curve missing</v>
          </cell>
          <cell r="O196" t="str">
            <v>IRS Curve missing</v>
          </cell>
          <cell r="P196" t="str">
            <v>IRS Curve missing</v>
          </cell>
          <cell r="Q196" t="str">
            <v>IRS Curve missing</v>
          </cell>
          <cell r="R196" t="str">
            <v>IRS Curve missing</v>
          </cell>
          <cell r="S196" t="str">
            <v>IRS Curve missing</v>
          </cell>
          <cell r="T196" t="str">
            <v>IRS Curve missing</v>
          </cell>
          <cell r="U196" t="str">
            <v>IRS Curve missing</v>
          </cell>
          <cell r="V196" t="str">
            <v>IRS Curve missing</v>
          </cell>
          <cell r="W196" t="str">
            <v>IRS Curve missing</v>
          </cell>
          <cell r="X196" t="str">
            <v>IRS Curve missing</v>
          </cell>
          <cell r="Y196" t="str">
            <v>IRS Curve missing</v>
          </cell>
          <cell r="Z196" t="str">
            <v>IRS Curve missing</v>
          </cell>
          <cell r="AA196" t="str">
            <v>IRS Curve missing</v>
          </cell>
          <cell r="AB196" t="str">
            <v>IRS Curve missing</v>
          </cell>
          <cell r="AC196" t="str">
            <v>IRS Curve missing</v>
          </cell>
          <cell r="AD196" t="str">
            <v>IRS Curve missing</v>
          </cell>
          <cell r="AE196" t="str">
            <v>IRS Curve missing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9.882990132455971E-4</v>
          </cell>
          <cell r="Q197" t="str">
            <v/>
          </cell>
          <cell r="R197">
            <v>8.4898391056841271E-3</v>
          </cell>
          <cell r="S197" t="str">
            <v/>
          </cell>
          <cell r="T197">
            <v>1.902496981127777E-2</v>
          </cell>
          <cell r="U197">
            <v>3.5290156629826708E-2</v>
          </cell>
          <cell r="V197">
            <v>6.6326234086783065E-2</v>
          </cell>
          <cell r="W197" t="str">
            <v/>
          </cell>
          <cell r="X197" t="str">
            <v/>
          </cell>
          <cell r="Y197">
            <v>1.1898677717000483E-3</v>
          </cell>
          <cell r="Z197" t="str">
            <v/>
          </cell>
          <cell r="AA197">
            <v>9.0233844138579711E-3</v>
          </cell>
          <cell r="AB197" t="str">
            <v/>
          </cell>
          <cell r="AC197">
            <v>1.9941887484487886E-2</v>
          </cell>
          <cell r="AD197">
            <v>3.7005178709440978E-2</v>
          </cell>
          <cell r="AE197">
            <v>6.9534928220692516E-2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1.6432692302187357E-3</v>
          </cell>
          <cell r="Q198" t="str">
            <v/>
          </cell>
          <cell r="R198">
            <v>8.5784897869075616E-3</v>
          </cell>
          <cell r="S198" t="str">
            <v/>
          </cell>
          <cell r="T198">
            <v>1.7570658602433786E-2</v>
          </cell>
          <cell r="U198">
            <v>3.2480566703167457E-2</v>
          </cell>
          <cell r="V198">
            <v>5.931319175586125E-2</v>
          </cell>
          <cell r="W198" t="str">
            <v/>
          </cell>
          <cell r="X198" t="str">
            <v/>
          </cell>
          <cell r="Y198">
            <v>1.8446980763300314E-3</v>
          </cell>
          <cell r="Z198" t="str">
            <v/>
          </cell>
          <cell r="AA198">
            <v>9.1117346600193549E-3</v>
          </cell>
          <cell r="AB198" t="str">
            <v/>
          </cell>
          <cell r="AC198">
            <v>1.8429864101366822E-2</v>
          </cell>
          <cell r="AD198">
            <v>3.4060539756877284E-2</v>
          </cell>
          <cell r="AE198">
            <v>6.218708910342563E-2</v>
          </cell>
        </row>
        <row r="199">
          <cell r="D199" t="str">
            <v>USD</v>
          </cell>
          <cell r="N199" t="str">
            <v>IRS Curve missing</v>
          </cell>
          <cell r="O199" t="str">
            <v>IRS Curve missing</v>
          </cell>
          <cell r="P199" t="str">
            <v>IRS Curve missing</v>
          </cell>
          <cell r="Q199" t="str">
            <v>IRS Curve missing</v>
          </cell>
          <cell r="R199" t="str">
            <v>IRS Curve missing</v>
          </cell>
          <cell r="S199" t="str">
            <v>IRS Curve missing</v>
          </cell>
          <cell r="T199" t="str">
            <v>IRS Curve missing</v>
          </cell>
          <cell r="U199" t="str">
            <v>IRS Curve missing</v>
          </cell>
          <cell r="V199" t="str">
            <v>IRS Curve missing</v>
          </cell>
          <cell r="W199" t="str">
            <v>IRS Curve missing</v>
          </cell>
          <cell r="X199" t="str">
            <v>IRS Curve missing</v>
          </cell>
          <cell r="Y199" t="str">
            <v>IRS Curve missing</v>
          </cell>
          <cell r="Z199" t="str">
            <v>IRS Curve missing</v>
          </cell>
          <cell r="AA199" t="str">
            <v>IRS Curve missing</v>
          </cell>
          <cell r="AB199" t="str">
            <v>IRS Curve missing</v>
          </cell>
          <cell r="AC199" t="str">
            <v>IRS Curve missing</v>
          </cell>
          <cell r="AD199" t="str">
            <v>IRS Curve missing</v>
          </cell>
          <cell r="AE199" t="str">
            <v>IRS Curve missing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5.3413877648088581E-3</v>
          </cell>
          <cell r="Q200" t="str">
            <v/>
          </cell>
          <cell r="R200">
            <v>3.7456560948923801E-2</v>
          </cell>
          <cell r="S200" t="str">
            <v/>
          </cell>
          <cell r="T200">
            <v>9.3301245252862985E-2</v>
          </cell>
          <cell r="U200">
            <v>0.14607908466267239</v>
          </cell>
          <cell r="V200">
            <v>0.24929657870328081</v>
          </cell>
          <cell r="W200" t="str">
            <v/>
          </cell>
          <cell r="X200" t="str">
            <v/>
          </cell>
          <cell r="Y200">
            <v>5.6075623838572897E-3</v>
          </cell>
          <cell r="Z200" t="str">
            <v/>
          </cell>
          <cell r="AA200">
            <v>3.9305362373480812E-2</v>
          </cell>
          <cell r="AB200" t="str">
            <v/>
          </cell>
          <cell r="AC200">
            <v>9.7810116458190266E-2</v>
          </cell>
          <cell r="AD200">
            <v>0.15295146107795099</v>
          </cell>
          <cell r="AE200">
            <v>0.26050182598231264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3.4025252788481009E-3</v>
          </cell>
          <cell r="Q201" t="str">
            <v/>
          </cell>
          <cell r="R201">
            <v>1.7062664485745116E-2</v>
          </cell>
          <cell r="S201" t="str">
            <v/>
          </cell>
          <cell r="T201">
            <v>3.6285451300672733E-2</v>
          </cell>
          <cell r="U201">
            <v>5.4629172843093654E-2</v>
          </cell>
          <cell r="V201">
            <v>8.1540639566513362E-2</v>
          </cell>
          <cell r="W201" t="str">
            <v/>
          </cell>
          <cell r="X201" t="str">
            <v/>
          </cell>
          <cell r="Y201">
            <v>3.6035572916115477E-3</v>
          </cell>
          <cell r="Z201" t="str">
            <v/>
          </cell>
          <cell r="AA201">
            <v>1.7906374854483542E-2</v>
          </cell>
          <cell r="AB201" t="str">
            <v/>
          </cell>
          <cell r="AC201">
            <v>3.807089206851777E-2</v>
          </cell>
          <cell r="AD201">
            <v>5.7292313040517739E-2</v>
          </cell>
          <cell r="AE201">
            <v>8.5463535543588653E-2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2.9257766950425701E-3</v>
          </cell>
          <cell r="Q202" t="str">
            <v/>
          </cell>
          <cell r="R202">
            <v>1.0292908951280877E-2</v>
          </cell>
          <cell r="S202" t="str">
            <v/>
          </cell>
          <cell r="T202">
            <v>3.457897997813919E-2</v>
          </cell>
          <cell r="U202">
            <v>6.6302213890194861E-2</v>
          </cell>
          <cell r="V202">
            <v>0.11514261260781788</v>
          </cell>
          <cell r="W202" t="str">
            <v/>
          </cell>
          <cell r="X202" t="str">
            <v/>
          </cell>
          <cell r="Y202">
            <v>3.1269193731213729E-3</v>
          </cell>
          <cell r="Z202" t="str">
            <v/>
          </cell>
          <cell r="AA202">
            <v>1.0824976586735091E-2</v>
          </cell>
          <cell r="AB202" t="str">
            <v/>
          </cell>
          <cell r="AC202">
            <v>3.6281517397945828E-2</v>
          </cell>
          <cell r="AD202">
            <v>6.9535487332799462E-2</v>
          </cell>
          <cell r="AE202">
            <v>0.12064950778168082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9.1172505497045142E-2</v>
          </cell>
          <cell r="Q203" t="str">
            <v/>
          </cell>
          <cell r="R203">
            <v>0.19383716201387924</v>
          </cell>
          <cell r="S203" t="str">
            <v/>
          </cell>
          <cell r="T203">
            <v>0.24748158197229297</v>
          </cell>
          <cell r="U203">
            <v>0.2943500753840318</v>
          </cell>
          <cell r="V203">
            <v>0.34571857870185985</v>
          </cell>
          <cell r="W203" t="str">
            <v/>
          </cell>
          <cell r="X203" t="str">
            <v/>
          </cell>
          <cell r="Y203">
            <v>9.5506201215288078E-2</v>
          </cell>
          <cell r="Z203" t="str">
            <v/>
          </cell>
          <cell r="AA203">
            <v>0.20236967198648859</v>
          </cell>
          <cell r="AB203" t="str">
            <v/>
          </cell>
          <cell r="AC203">
            <v>0.25775544655461047</v>
          </cell>
          <cell r="AD203">
            <v>0.30601129566811425</v>
          </cell>
          <cell r="AE203">
            <v>0.35855179497385559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5.6705226632512984E-3</v>
          </cell>
          <cell r="Q204" t="str">
            <v/>
          </cell>
          <cell r="R204">
            <v>2.9222237258932582E-2</v>
          </cell>
          <cell r="S204" t="str">
            <v/>
          </cell>
          <cell r="T204">
            <v>7.8412264301117807E-2</v>
          </cell>
          <cell r="U204">
            <v>0.12766410739467204</v>
          </cell>
          <cell r="V204">
            <v>0.21580775235099692</v>
          </cell>
          <cell r="W204" t="str">
            <v/>
          </cell>
          <cell r="X204" t="str">
            <v/>
          </cell>
          <cell r="Y204">
            <v>5.9530391770094004E-3</v>
          </cell>
          <cell r="Z204" t="str">
            <v/>
          </cell>
          <cell r="AA204">
            <v>3.0667035203781445E-2</v>
          </cell>
          <cell r="AB204" t="str">
            <v/>
          </cell>
          <cell r="AC204">
            <v>8.2225387576896902E-2</v>
          </cell>
          <cell r="AD204">
            <v>0.13373007962590289</v>
          </cell>
          <cell r="AE204">
            <v>0.22566560406723257</v>
          </cell>
        </row>
        <row r="205">
          <cell r="D205" t="str">
            <v>USD</v>
          </cell>
          <cell r="N205" t="str">
            <v>IRS Curve missing</v>
          </cell>
          <cell r="O205" t="str">
            <v>IRS Curve missing</v>
          </cell>
          <cell r="P205" t="str">
            <v>IRS Curve missing</v>
          </cell>
          <cell r="Q205" t="str">
            <v>IRS Curve missing</v>
          </cell>
          <cell r="R205" t="str">
            <v>IRS Curve missing</v>
          </cell>
          <cell r="S205" t="str">
            <v>IRS Curve missing</v>
          </cell>
          <cell r="T205" t="str">
            <v>IRS Curve missing</v>
          </cell>
          <cell r="U205" t="str">
            <v>IRS Curve missing</v>
          </cell>
          <cell r="V205" t="str">
            <v>IRS Curve missing</v>
          </cell>
          <cell r="W205" t="str">
            <v>IRS Curve missing</v>
          </cell>
          <cell r="X205" t="str">
            <v>IRS Curve missing</v>
          </cell>
          <cell r="Y205" t="str">
            <v>IRS Curve missing</v>
          </cell>
          <cell r="Z205" t="str">
            <v>IRS Curve missing</v>
          </cell>
          <cell r="AA205" t="str">
            <v>IRS Curve missing</v>
          </cell>
          <cell r="AB205" t="str">
            <v>IRS Curve missing</v>
          </cell>
          <cell r="AC205" t="str">
            <v>IRS Curve missing</v>
          </cell>
          <cell r="AD205" t="str">
            <v>IRS Curve missing</v>
          </cell>
          <cell r="AE205" t="str">
            <v>IRS Curve missing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9.4999527037498144E-4</v>
          </cell>
          <cell r="Q206" t="str">
            <v/>
          </cell>
          <cell r="R206">
            <v>1.0392854739641577E-2</v>
          </cell>
          <cell r="S206" t="str">
            <v/>
          </cell>
          <cell r="T206">
            <v>2.2878371616929738E-2</v>
          </cell>
          <cell r="U206">
            <v>4.317006674533308E-2</v>
          </cell>
          <cell r="V206">
            <v>7.8780778784644845E-2</v>
          </cell>
          <cell r="W206" t="str">
            <v/>
          </cell>
          <cell r="X206" t="str">
            <v/>
          </cell>
          <cell r="Y206">
            <v>1.1515720850577837E-3</v>
          </cell>
          <cell r="Z206" t="str">
            <v/>
          </cell>
          <cell r="AA206">
            <v>1.0925688496963182E-2</v>
          </cell>
          <cell r="AB206" t="str">
            <v/>
          </cell>
          <cell r="AC206">
            <v>2.399752299300939E-2</v>
          </cell>
          <cell r="AD206">
            <v>4.5275805785746193E-2</v>
          </cell>
          <cell r="AE206">
            <v>8.2595670754915251E-2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2.2615732825216339E-3</v>
          </cell>
          <cell r="Q207" t="str">
            <v/>
          </cell>
          <cell r="R207">
            <v>1.0530142611629989E-2</v>
          </cell>
          <cell r="S207" t="str">
            <v/>
          </cell>
          <cell r="T207">
            <v>2.6862944067914118E-2</v>
          </cell>
          <cell r="U207">
            <v>4.9701295742896723E-2</v>
          </cell>
          <cell r="V207">
            <v>9.1469710293454187E-2</v>
          </cell>
          <cell r="W207" t="str">
            <v/>
          </cell>
          <cell r="X207" t="str">
            <v/>
          </cell>
          <cell r="Y207">
            <v>2.4628662257890621E-3</v>
          </cell>
          <cell r="Z207" t="str">
            <v/>
          </cell>
          <cell r="AA207">
            <v>1.1062388263382905E-2</v>
          </cell>
          <cell r="AB207" t="str">
            <v/>
          </cell>
          <cell r="AC207">
            <v>2.8184281721619242E-2</v>
          </cell>
          <cell r="AD207">
            <v>5.2130285706210699E-2</v>
          </cell>
          <cell r="AE207">
            <v>9.5887018856449013E-2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7.6056571069598178E-2</v>
          </cell>
          <cell r="Q208" t="str">
            <v/>
          </cell>
          <cell r="R208">
            <v>0.19076107061121883</v>
          </cell>
          <cell r="S208" t="str">
            <v/>
          </cell>
          <cell r="T208">
            <v>0.25250111425107558</v>
          </cell>
          <cell r="U208">
            <v>0.3085819866902676</v>
          </cell>
          <cell r="V208">
            <v>0.38042632700039791</v>
          </cell>
          <cell r="W208" t="str">
            <v/>
          </cell>
          <cell r="X208" t="str">
            <v/>
          </cell>
          <cell r="Y208">
            <v>7.9703657144072682E-2</v>
          </cell>
          <cell r="Z208" t="str">
            <v/>
          </cell>
          <cell r="AA208">
            <v>0.19928277595717925</v>
          </cell>
          <cell r="AB208" t="str">
            <v/>
          </cell>
          <cell r="AC208">
            <v>0.26306041900078603</v>
          </cell>
          <cell r="AD208">
            <v>0.32084536562459287</v>
          </cell>
          <cell r="AE208">
            <v>0.39441516622875072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8.589881721862036E-3</v>
          </cell>
          <cell r="Q209" t="str">
            <v/>
          </cell>
          <cell r="R209">
            <v>4.0818568979215653E-2</v>
          </cell>
          <cell r="S209" t="str">
            <v/>
          </cell>
          <cell r="T209">
            <v>0.10425680008425842</v>
          </cell>
          <cell r="U209">
            <v>0.16641105831245928</v>
          </cell>
          <cell r="V209">
            <v>0.27704682213303611</v>
          </cell>
          <cell r="W209" t="str">
            <v/>
          </cell>
          <cell r="X209" t="str">
            <v/>
          </cell>
          <cell r="Y209">
            <v>9.0170362552461913E-3</v>
          </cell>
          <cell r="Z209" t="str">
            <v/>
          </cell>
          <cell r="AA209">
            <v>4.2826525882811661E-2</v>
          </cell>
          <cell r="AB209" t="str">
            <v/>
          </cell>
          <cell r="AC209">
            <v>0.10927186219301632</v>
          </cell>
          <cell r="AD209">
            <v>0.17417354214756442</v>
          </cell>
          <cell r="AE209">
            <v>0.28931044553297403</v>
          </cell>
        </row>
        <row r="210">
          <cell r="D210" t="str">
            <v>USD</v>
          </cell>
          <cell r="N210" t="str">
            <v>IRS Curve missing</v>
          </cell>
          <cell r="O210" t="str">
            <v>IRS Curve missing</v>
          </cell>
          <cell r="P210" t="str">
            <v>IRS Curve missing</v>
          </cell>
          <cell r="Q210" t="str">
            <v>IRS Curve missing</v>
          </cell>
          <cell r="R210" t="str">
            <v>IRS Curve missing</v>
          </cell>
          <cell r="S210" t="str">
            <v>IRS Curve missing</v>
          </cell>
          <cell r="T210" t="str">
            <v>IRS Curve missing</v>
          </cell>
          <cell r="U210" t="str">
            <v>IRS Curve missing</v>
          </cell>
          <cell r="V210" t="str">
            <v>IRS Curve missing</v>
          </cell>
          <cell r="W210" t="str">
            <v>IRS Curve missing</v>
          </cell>
          <cell r="X210" t="str">
            <v>IRS Curve missing</v>
          </cell>
          <cell r="Y210" t="str">
            <v>IRS Curve missing</v>
          </cell>
          <cell r="Z210" t="str">
            <v>IRS Curve missing</v>
          </cell>
          <cell r="AA210" t="str">
            <v>IRS Curve missing</v>
          </cell>
          <cell r="AB210" t="str">
            <v>IRS Curve missing</v>
          </cell>
          <cell r="AC210" t="str">
            <v>IRS Curve missing</v>
          </cell>
          <cell r="AD210" t="str">
            <v>IRS Curve missing</v>
          </cell>
          <cell r="AE210" t="str">
            <v>IRS Curve missing</v>
          </cell>
        </row>
        <row r="211">
          <cell r="D211" t="str">
            <v>USD</v>
          </cell>
          <cell r="N211" t="str">
            <v>IRS Curve missing</v>
          </cell>
          <cell r="O211" t="str">
            <v>IRS Curve missing</v>
          </cell>
          <cell r="P211" t="str">
            <v>IRS Curve missing</v>
          </cell>
          <cell r="Q211" t="str">
            <v>IRS Curve missing</v>
          </cell>
          <cell r="R211" t="str">
            <v>IRS Curve missing</v>
          </cell>
          <cell r="S211" t="str">
            <v>IRS Curve missing</v>
          </cell>
          <cell r="T211" t="str">
            <v>IRS Curve missing</v>
          </cell>
          <cell r="U211" t="str">
            <v>IRS Curve missing</v>
          </cell>
          <cell r="V211" t="str">
            <v>IRS Curve missing</v>
          </cell>
          <cell r="W211" t="str">
            <v>IRS Curve missing</v>
          </cell>
          <cell r="X211" t="str">
            <v>IRS Curve missing</v>
          </cell>
          <cell r="Y211" t="str">
            <v>IRS Curve missing</v>
          </cell>
          <cell r="Z211" t="str">
            <v>IRS Curve missing</v>
          </cell>
          <cell r="AA211" t="str">
            <v>IRS Curve missing</v>
          </cell>
          <cell r="AB211" t="str">
            <v>IRS Curve missing</v>
          </cell>
          <cell r="AC211" t="str">
            <v>IRS Curve missing</v>
          </cell>
          <cell r="AD211" t="str">
            <v>IRS Curve missing</v>
          </cell>
          <cell r="AE211" t="str">
            <v>IRS Curve missing</v>
          </cell>
        </row>
        <row r="212">
          <cell r="D212" t="str">
            <v>USD</v>
          </cell>
          <cell r="N212" t="str">
            <v>IRS Curve missing</v>
          </cell>
          <cell r="O212" t="str">
            <v>IRS Curve missing</v>
          </cell>
          <cell r="P212" t="str">
            <v>IRS Curve missing</v>
          </cell>
          <cell r="Q212" t="str">
            <v>IRS Curve missing</v>
          </cell>
          <cell r="R212" t="str">
            <v>IRS Curve missing</v>
          </cell>
          <cell r="S212" t="str">
            <v>IRS Curve missing</v>
          </cell>
          <cell r="T212" t="str">
            <v>IRS Curve missing</v>
          </cell>
          <cell r="U212" t="str">
            <v>IRS Curve missing</v>
          </cell>
          <cell r="V212" t="str">
            <v>IRS Curve missing</v>
          </cell>
          <cell r="W212" t="str">
            <v>IRS Curve missing</v>
          </cell>
          <cell r="X212" t="str">
            <v>IRS Curve missing</v>
          </cell>
          <cell r="Y212" t="str">
            <v>IRS Curve missing</v>
          </cell>
          <cell r="Z212" t="str">
            <v>IRS Curve missing</v>
          </cell>
          <cell r="AA212" t="str">
            <v>IRS Curve missing</v>
          </cell>
          <cell r="AB212" t="str">
            <v>IRS Curve missing</v>
          </cell>
          <cell r="AC212" t="str">
            <v>IRS Curve missing</v>
          </cell>
          <cell r="AD212" t="str">
            <v>IRS Curve missing</v>
          </cell>
          <cell r="AE212" t="str">
            <v>IRS Curve missing</v>
          </cell>
        </row>
        <row r="213">
          <cell r="D213" t="str">
            <v>USD</v>
          </cell>
          <cell r="N213" t="str">
            <v>IRS Curve missing</v>
          </cell>
          <cell r="O213" t="str">
            <v>IRS Curve missing</v>
          </cell>
          <cell r="P213" t="str">
            <v>IRS Curve missing</v>
          </cell>
          <cell r="Q213" t="str">
            <v>IRS Curve missing</v>
          </cell>
          <cell r="R213" t="str">
            <v>IRS Curve missing</v>
          </cell>
          <cell r="S213" t="str">
            <v>IRS Curve missing</v>
          </cell>
          <cell r="T213" t="str">
            <v>IRS Curve missing</v>
          </cell>
          <cell r="U213" t="str">
            <v>IRS Curve missing</v>
          </cell>
          <cell r="V213" t="str">
            <v>IRS Curve missing</v>
          </cell>
          <cell r="W213" t="str">
            <v>IRS Curve missing</v>
          </cell>
          <cell r="X213" t="str">
            <v>IRS Curve missing</v>
          </cell>
          <cell r="Y213" t="str">
            <v>IRS Curve missing</v>
          </cell>
          <cell r="Z213" t="str">
            <v>IRS Curve missing</v>
          </cell>
          <cell r="AA213" t="str">
            <v>IRS Curve missing</v>
          </cell>
          <cell r="AB213" t="str">
            <v>IRS Curve missing</v>
          </cell>
          <cell r="AC213" t="str">
            <v>IRS Curve missing</v>
          </cell>
          <cell r="AD213" t="str">
            <v>IRS Curve missing</v>
          </cell>
          <cell r="AE213" t="str">
            <v>IRS Curve missing</v>
          </cell>
        </row>
        <row r="214">
          <cell r="D214" t="str">
            <v>USD</v>
          </cell>
          <cell r="N214" t="str">
            <v>IRS Curve missing</v>
          </cell>
          <cell r="O214" t="str">
            <v>IRS Curve missing</v>
          </cell>
          <cell r="P214" t="str">
            <v>IRS Curve missing</v>
          </cell>
          <cell r="Q214" t="str">
            <v>IRS Curve missing</v>
          </cell>
          <cell r="R214" t="str">
            <v>IRS Curve missing</v>
          </cell>
          <cell r="S214" t="str">
            <v>IRS Curve missing</v>
          </cell>
          <cell r="T214" t="str">
            <v>IRS Curve missing</v>
          </cell>
          <cell r="U214" t="str">
            <v>IRS Curve missing</v>
          </cell>
          <cell r="V214" t="str">
            <v>IRS Curve missing</v>
          </cell>
          <cell r="W214" t="str">
            <v>IRS Curve missing</v>
          </cell>
          <cell r="X214" t="str">
            <v>IRS Curve missing</v>
          </cell>
          <cell r="Y214" t="str">
            <v>IRS Curve missing</v>
          </cell>
          <cell r="Z214" t="str">
            <v>IRS Curve missing</v>
          </cell>
          <cell r="AA214" t="str">
            <v>IRS Curve missing</v>
          </cell>
          <cell r="AB214" t="str">
            <v>IRS Curve missing</v>
          </cell>
          <cell r="AC214" t="str">
            <v>IRS Curve missing</v>
          </cell>
          <cell r="AD214" t="str">
            <v>IRS Curve missing</v>
          </cell>
          <cell r="AE214" t="str">
            <v>IRS Curve missing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5.8700613948554747E-2</v>
          </cell>
          <cell r="Q215" t="str">
            <v/>
          </cell>
          <cell r="R215">
            <v>0.13813154035865449</v>
          </cell>
          <cell r="S215" t="str">
            <v/>
          </cell>
          <cell r="T215">
            <v>0.19262100938942417</v>
          </cell>
          <cell r="U215">
            <v>0.21557812441278645</v>
          </cell>
          <cell r="V215">
            <v>0.24569625644492032</v>
          </cell>
          <cell r="W215" t="str">
            <v/>
          </cell>
          <cell r="X215" t="str">
            <v/>
          </cell>
          <cell r="Y215">
            <v>6.1543400514753044E-2</v>
          </cell>
          <cell r="Z215" t="str">
            <v/>
          </cell>
          <cell r="AA215">
            <v>0.14448909115679986</v>
          </cell>
          <cell r="AB215" t="str">
            <v/>
          </cell>
          <cell r="AC215">
            <v>0.2010994097447113</v>
          </cell>
          <cell r="AD215">
            <v>0.22472488155334291</v>
          </cell>
          <cell r="AE215">
            <v>0.25572473858889877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2.3723042826202523E-3</v>
          </cell>
          <cell r="Q216" t="str">
            <v/>
          </cell>
          <cell r="R216">
            <v>1.0756515190307181E-2</v>
          </cell>
          <cell r="S216" t="str">
            <v/>
          </cell>
          <cell r="T216">
            <v>2.178905633430106E-2</v>
          </cell>
          <cell r="U216">
            <v>4.0131116671097367E-2</v>
          </cell>
          <cell r="V216">
            <v>7.1552828036251404E-2</v>
          </cell>
          <cell r="W216" t="str">
            <v/>
          </cell>
          <cell r="X216" t="str">
            <v/>
          </cell>
          <cell r="Y216">
            <v>2.5735724859701214E-3</v>
          </cell>
          <cell r="Z216" t="str">
            <v/>
          </cell>
          <cell r="AA216">
            <v>1.128862862701574E-2</v>
          </cell>
          <cell r="AB216" t="str">
            <v/>
          </cell>
          <cell r="AC216">
            <v>2.2863868687942435E-2</v>
          </cell>
          <cell r="AD216">
            <v>4.2097390511993571E-2</v>
          </cell>
          <cell r="AE216">
            <v>7.5029306533029638E-2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1.2261528195539606E-3</v>
          </cell>
          <cell r="Q217" t="str">
            <v/>
          </cell>
          <cell r="R217">
            <v>9.2632687711572403E-3</v>
          </cell>
          <cell r="S217" t="str">
            <v/>
          </cell>
          <cell r="T217">
            <v>2.2542988277071019E-2</v>
          </cell>
          <cell r="U217">
            <v>4.2389916506482606E-2</v>
          </cell>
          <cell r="V217">
            <v>7.5544232759135688E-2</v>
          </cell>
          <cell r="W217" t="str">
            <v/>
          </cell>
          <cell r="X217" t="str">
            <v/>
          </cell>
          <cell r="Y217">
            <v>1.4276712417764514E-3</v>
          </cell>
          <cell r="Z217" t="str">
            <v/>
          </cell>
          <cell r="AA217">
            <v>9.7964206460221526E-3</v>
          </cell>
          <cell r="AB217" t="str">
            <v/>
          </cell>
          <cell r="AC217">
            <v>2.3641403029080021E-2</v>
          </cell>
          <cell r="AD217">
            <v>4.4455565090372851E-2</v>
          </cell>
          <cell r="AE217">
            <v>7.9194920567489557E-2</v>
          </cell>
        </row>
        <row r="218">
          <cell r="D218" t="str">
            <v>USD</v>
          </cell>
          <cell r="N218" t="str">
            <v>IRS Curve missing</v>
          </cell>
          <cell r="O218" t="str">
            <v>IRS Curve missing</v>
          </cell>
          <cell r="P218" t="str">
            <v>IRS Curve missing</v>
          </cell>
          <cell r="Q218" t="str">
            <v>IRS Curve missing</v>
          </cell>
          <cell r="R218" t="str">
            <v>IRS Curve missing</v>
          </cell>
          <cell r="S218" t="str">
            <v>IRS Curve missing</v>
          </cell>
          <cell r="T218" t="str">
            <v>IRS Curve missing</v>
          </cell>
          <cell r="U218" t="str">
            <v>IRS Curve missing</v>
          </cell>
          <cell r="V218" t="str">
            <v>IRS Curve missing</v>
          </cell>
          <cell r="W218" t="str">
            <v>IRS Curve missing</v>
          </cell>
          <cell r="X218" t="str">
            <v>IRS Curve missing</v>
          </cell>
          <cell r="Y218" t="str">
            <v>IRS Curve missing</v>
          </cell>
          <cell r="Z218" t="str">
            <v>IRS Curve missing</v>
          </cell>
          <cell r="AA218" t="str">
            <v>IRS Curve missing</v>
          </cell>
          <cell r="AB218" t="str">
            <v>IRS Curve missing</v>
          </cell>
          <cell r="AC218" t="str">
            <v>IRS Curve missing</v>
          </cell>
          <cell r="AD218" t="str">
            <v>IRS Curve missing</v>
          </cell>
          <cell r="AE218" t="str">
            <v>IRS Curve missing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2.3602251288440401E-3</v>
          </cell>
          <cell r="Q219" t="str">
            <v/>
          </cell>
          <cell r="R219">
            <v>1.1747511093835761E-2</v>
          </cell>
          <cell r="S219" t="str">
            <v/>
          </cell>
          <cell r="T219">
            <v>2.9865405686491098E-2</v>
          </cell>
          <cell r="U219">
            <v>4.2986442489396648E-2</v>
          </cell>
          <cell r="V219">
            <v>7.0686902919414596E-2</v>
          </cell>
          <cell r="W219" t="str">
            <v/>
          </cell>
          <cell r="X219" t="str">
            <v/>
          </cell>
          <cell r="Y219">
            <v>2.5614960369805262E-3</v>
          </cell>
          <cell r="Z219" t="str">
            <v/>
          </cell>
          <cell r="AA219">
            <v>1.2322881472078384E-2</v>
          </cell>
          <cell r="AB219" t="str">
            <v/>
          </cell>
          <cell r="AC219">
            <v>3.1337074447519653E-2</v>
          </cell>
          <cell r="AD219">
            <v>4.5086451601540456E-2</v>
          </cell>
          <cell r="AE219">
            <v>7.4114914550395095E-2</v>
          </cell>
        </row>
        <row r="220">
          <cell r="D220" t="str">
            <v>USD</v>
          </cell>
          <cell r="N220" t="str">
            <v>IRS Curve missing</v>
          </cell>
          <cell r="O220" t="str">
            <v>IRS Curve missing</v>
          </cell>
          <cell r="P220" t="str">
            <v>IRS Curve missing</v>
          </cell>
          <cell r="Q220" t="str">
            <v>IRS Curve missing</v>
          </cell>
          <cell r="R220" t="str">
            <v>IRS Curve missing</v>
          </cell>
          <cell r="S220" t="str">
            <v>IRS Curve missing</v>
          </cell>
          <cell r="T220" t="str">
            <v>IRS Curve missing</v>
          </cell>
          <cell r="U220" t="str">
            <v>IRS Curve missing</v>
          </cell>
          <cell r="V220" t="str">
            <v>IRS Curve missing</v>
          </cell>
          <cell r="W220" t="str">
            <v>IRS Curve missing</v>
          </cell>
          <cell r="X220" t="str">
            <v>IRS Curve missing</v>
          </cell>
          <cell r="Y220" t="str">
            <v>IRS Curve missing</v>
          </cell>
          <cell r="Z220" t="str">
            <v>IRS Curve missing</v>
          </cell>
          <cell r="AA220" t="str">
            <v>IRS Curve missing</v>
          </cell>
          <cell r="AB220" t="str">
            <v>IRS Curve missing</v>
          </cell>
          <cell r="AC220" t="str">
            <v>IRS Curve missing</v>
          </cell>
          <cell r="AD220" t="str">
            <v>IRS Curve missing</v>
          </cell>
          <cell r="AE220" t="str">
            <v>IRS Curve missing</v>
          </cell>
        </row>
        <row r="221">
          <cell r="D221" t="str">
            <v>USD</v>
          </cell>
          <cell r="N221" t="str">
            <v>IRS Curve missing</v>
          </cell>
          <cell r="O221" t="str">
            <v>IRS Curve missing</v>
          </cell>
          <cell r="P221" t="str">
            <v>IRS Curve missing</v>
          </cell>
          <cell r="Q221" t="str">
            <v>IRS Curve missing</v>
          </cell>
          <cell r="R221" t="str">
            <v>IRS Curve missing</v>
          </cell>
          <cell r="S221" t="str">
            <v>IRS Curve missing</v>
          </cell>
          <cell r="T221" t="str">
            <v>IRS Curve missing</v>
          </cell>
          <cell r="U221" t="str">
            <v>IRS Curve missing</v>
          </cell>
          <cell r="V221" t="str">
            <v>IRS Curve missing</v>
          </cell>
          <cell r="W221" t="str">
            <v>IRS Curve missing</v>
          </cell>
          <cell r="X221" t="str">
            <v>IRS Curve missing</v>
          </cell>
          <cell r="Y221" t="str">
            <v>IRS Curve missing</v>
          </cell>
          <cell r="Z221" t="str">
            <v>IRS Curve missing</v>
          </cell>
          <cell r="AA221" t="str">
            <v>IRS Curve missing</v>
          </cell>
          <cell r="AB221" t="str">
            <v>IRS Curve missing</v>
          </cell>
          <cell r="AC221" t="str">
            <v>IRS Curve missing</v>
          </cell>
          <cell r="AD221" t="str">
            <v>IRS Curve missing</v>
          </cell>
          <cell r="AE221" t="str">
            <v>IRS Curve missing</v>
          </cell>
        </row>
        <row r="222">
          <cell r="D222" t="str">
            <v>USD</v>
          </cell>
          <cell r="N222" t="str">
            <v>IRS Curve missing</v>
          </cell>
          <cell r="O222" t="str">
            <v>IRS Curve missing</v>
          </cell>
          <cell r="P222" t="str">
            <v>IRS Curve missing</v>
          </cell>
          <cell r="Q222" t="str">
            <v>IRS Curve missing</v>
          </cell>
          <cell r="R222" t="str">
            <v>IRS Curve missing</v>
          </cell>
          <cell r="S222" t="str">
            <v>IRS Curve missing</v>
          </cell>
          <cell r="T222" t="str">
            <v>IRS Curve missing</v>
          </cell>
          <cell r="U222" t="str">
            <v>IRS Curve missing</v>
          </cell>
          <cell r="V222" t="str">
            <v>IRS Curve missing</v>
          </cell>
          <cell r="W222" t="str">
            <v>IRS Curve missing</v>
          </cell>
          <cell r="X222" t="str">
            <v>IRS Curve missing</v>
          </cell>
          <cell r="Y222" t="str">
            <v>IRS Curve missing</v>
          </cell>
          <cell r="Z222" t="str">
            <v>IRS Curve missing</v>
          </cell>
          <cell r="AA222" t="str">
            <v>IRS Curve missing</v>
          </cell>
          <cell r="AB222" t="str">
            <v>IRS Curve missing</v>
          </cell>
          <cell r="AC222" t="str">
            <v>IRS Curve missing</v>
          </cell>
          <cell r="AD222" t="str">
            <v>IRS Curve missing</v>
          </cell>
          <cell r="AE222" t="str">
            <v>IRS Curve missing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7.5442188936469812E-4</v>
          </cell>
          <cell r="Q223" t="str">
            <v/>
          </cell>
          <cell r="R223">
            <v>9.3412705242884586E-3</v>
          </cell>
          <cell r="S223" t="str">
            <v/>
          </cell>
          <cell r="T223">
            <v>2.3957863946446389E-2</v>
          </cell>
          <cell r="U223">
            <v>4.8454206430957547E-2</v>
          </cell>
          <cell r="V223">
            <v>9.1564654499143971E-2</v>
          </cell>
          <cell r="W223" t="str">
            <v/>
          </cell>
          <cell r="X223" t="str">
            <v/>
          </cell>
          <cell r="Y223">
            <v>9.5603962438817192E-4</v>
          </cell>
          <cell r="Z223" t="str">
            <v/>
          </cell>
          <cell r="AA223">
            <v>9.8745870732641627E-3</v>
          </cell>
          <cell r="AB223" t="str">
            <v/>
          </cell>
          <cell r="AC223">
            <v>2.5122891949288961E-2</v>
          </cell>
          <cell r="AD223">
            <v>5.0813018597291371E-2</v>
          </cell>
          <cell r="AE223">
            <v>9.5976234296347163E-2</v>
          </cell>
        </row>
        <row r="224">
          <cell r="D224" t="str">
            <v>USD</v>
          </cell>
          <cell r="N224" t="str">
            <v>IRS Curve missing</v>
          </cell>
          <cell r="O224" t="str">
            <v>IRS Curve missing</v>
          </cell>
          <cell r="P224" t="str">
            <v>IRS Curve missing</v>
          </cell>
          <cell r="Q224" t="str">
            <v>IRS Curve missing</v>
          </cell>
          <cell r="R224" t="str">
            <v>IRS Curve missing</v>
          </cell>
          <cell r="S224" t="str">
            <v>IRS Curve missing</v>
          </cell>
          <cell r="T224" t="str">
            <v>IRS Curve missing</v>
          </cell>
          <cell r="U224" t="str">
            <v>IRS Curve missing</v>
          </cell>
          <cell r="V224" t="str">
            <v>IRS Curve missing</v>
          </cell>
          <cell r="W224" t="str">
            <v>IRS Curve missing</v>
          </cell>
          <cell r="X224" t="str">
            <v>IRS Curve missing</v>
          </cell>
          <cell r="Y224" t="str">
            <v>IRS Curve missing</v>
          </cell>
          <cell r="Z224" t="str">
            <v>IRS Curve missing</v>
          </cell>
          <cell r="AA224" t="str">
            <v>IRS Curve missing</v>
          </cell>
          <cell r="AB224" t="str">
            <v>IRS Curve missing</v>
          </cell>
          <cell r="AC224" t="str">
            <v>IRS Curve missing</v>
          </cell>
          <cell r="AD224" t="str">
            <v>IRS Curve missing</v>
          </cell>
          <cell r="AE224" t="str">
            <v>IRS Curve missing</v>
          </cell>
        </row>
        <row r="225">
          <cell r="D225" t="str">
            <v>USD</v>
          </cell>
          <cell r="N225" t="str">
            <v>IRS Curve missing</v>
          </cell>
          <cell r="O225" t="str">
            <v>IRS Curve missing</v>
          </cell>
          <cell r="P225" t="str">
            <v>IRS Curve missing</v>
          </cell>
          <cell r="Q225" t="str">
            <v>IRS Curve missing</v>
          </cell>
          <cell r="R225" t="str">
            <v>IRS Curve missing</v>
          </cell>
          <cell r="S225" t="str">
            <v>IRS Curve missing</v>
          </cell>
          <cell r="T225" t="str">
            <v>IRS Curve missing</v>
          </cell>
          <cell r="U225" t="str">
            <v>IRS Curve missing</v>
          </cell>
          <cell r="V225" t="str">
            <v>IRS Curve missing</v>
          </cell>
          <cell r="W225" t="str">
            <v>IRS Curve missing</v>
          </cell>
          <cell r="X225" t="str">
            <v>IRS Curve missing</v>
          </cell>
          <cell r="Y225" t="str">
            <v>IRS Curve missing</v>
          </cell>
          <cell r="Z225" t="str">
            <v>IRS Curve missing</v>
          </cell>
          <cell r="AA225" t="str">
            <v>IRS Curve missing</v>
          </cell>
          <cell r="AB225" t="str">
            <v>IRS Curve missing</v>
          </cell>
          <cell r="AC225" t="str">
            <v>IRS Curve missing</v>
          </cell>
          <cell r="AD225" t="str">
            <v>IRS Curve missing</v>
          </cell>
          <cell r="AE225" t="str">
            <v>IRS Curve missing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9.0765786053303987E-4</v>
          </cell>
          <cell r="Q226" t="str">
            <v/>
          </cell>
          <cell r="R226">
            <v>6.3576765683606151E-3</v>
          </cell>
          <cell r="S226" t="str">
            <v/>
          </cell>
          <cell r="T226">
            <v>1.8410525844752335E-2</v>
          </cell>
          <cell r="U226">
            <v>3.360057709684916E-2</v>
          </cell>
          <cell r="V226">
            <v>6.5244559000430025E-2</v>
          </cell>
          <cell r="W226" t="str">
            <v/>
          </cell>
          <cell r="X226" t="str">
            <v/>
          </cell>
          <cell r="Y226">
            <v>1.1092435638834219E-3</v>
          </cell>
          <cell r="Z226" t="str">
            <v/>
          </cell>
          <cell r="AA226">
            <v>6.892072718253206E-3</v>
          </cell>
          <cell r="AB226" t="str">
            <v/>
          </cell>
          <cell r="AC226">
            <v>1.9283256499426527E-2</v>
          </cell>
          <cell r="AD226">
            <v>3.5226036893962864E-2</v>
          </cell>
          <cell r="AE226">
            <v>6.8362146081688557E-2</v>
          </cell>
        </row>
        <row r="227">
          <cell r="D227" t="str">
            <v>USD</v>
          </cell>
          <cell r="N227" t="str">
            <v>IRS Curve missing</v>
          </cell>
          <cell r="O227" t="str">
            <v>IRS Curve missing</v>
          </cell>
          <cell r="P227" t="str">
            <v>IRS Curve missing</v>
          </cell>
          <cell r="Q227" t="str">
            <v>IRS Curve missing</v>
          </cell>
          <cell r="R227" t="str">
            <v>IRS Curve missing</v>
          </cell>
          <cell r="S227" t="str">
            <v>IRS Curve missing</v>
          </cell>
          <cell r="T227" t="str">
            <v>IRS Curve missing</v>
          </cell>
          <cell r="U227" t="str">
            <v>IRS Curve missing</v>
          </cell>
          <cell r="V227" t="str">
            <v>IRS Curve missing</v>
          </cell>
          <cell r="W227" t="str">
            <v>IRS Curve missing</v>
          </cell>
          <cell r="X227" t="str">
            <v>IRS Curve missing</v>
          </cell>
          <cell r="Y227" t="str">
            <v>IRS Curve missing</v>
          </cell>
          <cell r="Z227" t="str">
            <v>IRS Curve missing</v>
          </cell>
          <cell r="AA227" t="str">
            <v>IRS Curve missing</v>
          </cell>
          <cell r="AB227" t="str">
            <v>IRS Curve missing</v>
          </cell>
          <cell r="AC227" t="str">
            <v>IRS Curve missing</v>
          </cell>
          <cell r="AD227" t="str">
            <v>IRS Curve missing</v>
          </cell>
          <cell r="AE227" t="str">
            <v>IRS Curve missing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3.1108704707385471E-3</v>
          </cell>
          <cell r="Q228" t="str">
            <v/>
          </cell>
          <cell r="R228">
            <v>1.20113964082319E-2</v>
          </cell>
          <cell r="S228" t="str">
            <v/>
          </cell>
          <cell r="T228">
            <v>2.6584203090438407E-2</v>
          </cell>
          <cell r="U228">
            <v>4.9437515551906341E-2</v>
          </cell>
          <cell r="V228">
            <v>9.3354659189089029E-2</v>
          </cell>
          <cell r="W228" t="str">
            <v/>
          </cell>
          <cell r="X228" t="str">
            <v/>
          </cell>
          <cell r="Y228">
            <v>3.3119704664700267E-3</v>
          </cell>
          <cell r="Z228" t="str">
            <v/>
          </cell>
          <cell r="AA228">
            <v>1.260354591250612E-2</v>
          </cell>
          <cell r="AB228" t="str">
            <v/>
          </cell>
          <cell r="AC228">
            <v>2.7896237697635606E-2</v>
          </cell>
          <cell r="AD228">
            <v>5.1859728112806147E-2</v>
          </cell>
          <cell r="AE228">
            <v>9.7863510586892799E-2</v>
          </cell>
        </row>
        <row r="229">
          <cell r="D229" t="str">
            <v>USD</v>
          </cell>
          <cell r="N229" t="str">
            <v>IRS Curve missing</v>
          </cell>
          <cell r="O229" t="str">
            <v>IRS Curve missing</v>
          </cell>
          <cell r="P229" t="str">
            <v>IRS Curve missing</v>
          </cell>
          <cell r="Q229" t="str">
            <v>IRS Curve missing</v>
          </cell>
          <cell r="R229" t="str">
            <v>IRS Curve missing</v>
          </cell>
          <cell r="S229" t="str">
            <v>IRS Curve missing</v>
          </cell>
          <cell r="T229" t="str">
            <v>IRS Curve missing</v>
          </cell>
          <cell r="U229" t="str">
            <v>IRS Curve missing</v>
          </cell>
          <cell r="V229" t="str">
            <v>IRS Curve missing</v>
          </cell>
          <cell r="W229" t="str">
            <v>IRS Curve missing</v>
          </cell>
          <cell r="X229" t="str">
            <v>IRS Curve missing</v>
          </cell>
          <cell r="Y229" t="str">
            <v>IRS Curve missing</v>
          </cell>
          <cell r="Z229" t="str">
            <v>IRS Curve missing</v>
          </cell>
          <cell r="AA229" t="str">
            <v>IRS Curve missing</v>
          </cell>
          <cell r="AB229" t="str">
            <v>IRS Curve missing</v>
          </cell>
          <cell r="AC229" t="str">
            <v>IRS Curve missing</v>
          </cell>
          <cell r="AD229" t="str">
            <v>IRS Curve missing</v>
          </cell>
          <cell r="AE229" t="str">
            <v>IRS Curve missing</v>
          </cell>
        </row>
        <row r="230">
          <cell r="D230" t="str">
            <v>USD</v>
          </cell>
          <cell r="N230" t="str">
            <v>IRS Curve missing</v>
          </cell>
          <cell r="O230" t="str">
            <v>IRS Curve missing</v>
          </cell>
          <cell r="P230" t="str">
            <v>IRS Curve missing</v>
          </cell>
          <cell r="Q230" t="str">
            <v>IRS Curve missing</v>
          </cell>
          <cell r="R230" t="str">
            <v>IRS Curve missing</v>
          </cell>
          <cell r="S230" t="str">
            <v>IRS Curve missing</v>
          </cell>
          <cell r="T230" t="str">
            <v>IRS Curve missing</v>
          </cell>
          <cell r="U230" t="str">
            <v>IRS Curve missing</v>
          </cell>
          <cell r="V230" t="str">
            <v>IRS Curve missing</v>
          </cell>
          <cell r="W230" t="str">
            <v>IRS Curve missing</v>
          </cell>
          <cell r="X230" t="str">
            <v>IRS Curve missing</v>
          </cell>
          <cell r="Y230" t="str">
            <v>IRS Curve missing</v>
          </cell>
          <cell r="Z230" t="str">
            <v>IRS Curve missing</v>
          </cell>
          <cell r="AA230" t="str">
            <v>IRS Curve missing</v>
          </cell>
          <cell r="AB230" t="str">
            <v>IRS Curve missing</v>
          </cell>
          <cell r="AC230" t="str">
            <v>IRS Curve missing</v>
          </cell>
          <cell r="AD230" t="str">
            <v>IRS Curve missing</v>
          </cell>
          <cell r="AE230" t="str">
            <v>IRS Curve missing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2.2132504845696621E-3</v>
          </cell>
          <cell r="Q231" t="str">
            <v/>
          </cell>
          <cell r="R231">
            <v>1.1966850470858437E-2</v>
          </cell>
          <cell r="S231" t="str">
            <v/>
          </cell>
          <cell r="T231">
            <v>3.9853832726288507E-2</v>
          </cell>
          <cell r="U231">
            <v>7.0291505128049714E-2</v>
          </cell>
          <cell r="V231">
            <v>0.12197597619423672</v>
          </cell>
          <cell r="W231" t="str">
            <v/>
          </cell>
          <cell r="X231" t="str">
            <v/>
          </cell>
          <cell r="Y231">
            <v>2.4145541857339969E-3</v>
          </cell>
          <cell r="Z231" t="str">
            <v/>
          </cell>
          <cell r="AA231">
            <v>1.2571083953783035E-2</v>
          </cell>
          <cell r="AB231" t="str">
            <v/>
          </cell>
          <cell r="AC231">
            <v>4.1812955885693004E-2</v>
          </cell>
          <cell r="AD231">
            <v>7.370745200496942E-2</v>
          </cell>
          <cell r="AE231">
            <v>0.12779146838634781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0.22865610831083993</v>
          </cell>
          <cell r="Q232" t="str">
            <v/>
          </cell>
          <cell r="R232">
            <v>0.35919176093750027</v>
          </cell>
          <cell r="S232" t="str">
            <v/>
          </cell>
          <cell r="T232">
            <v>0.38808527159810169</v>
          </cell>
          <cell r="U232">
            <v>0.46115607383087986</v>
          </cell>
          <cell r="V232">
            <v>0.53739996228825393</v>
          </cell>
          <cell r="W232" t="str">
            <v/>
          </cell>
          <cell r="X232" t="str">
            <v/>
          </cell>
          <cell r="Y232">
            <v>0.23860382063224239</v>
          </cell>
          <cell r="Z232" t="str">
            <v/>
          </cell>
          <cell r="AA232">
            <v>0.37217444545179945</v>
          </cell>
          <cell r="AB232" t="str">
            <v/>
          </cell>
          <cell r="AC232">
            <v>0.40097335414089441</v>
          </cell>
          <cell r="AD232">
            <v>0.47556592889051075</v>
          </cell>
          <cell r="AE232">
            <v>0.55229368620553854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1.1435150655496606E-3</v>
          </cell>
          <cell r="Q233" t="str">
            <v/>
          </cell>
          <cell r="R233">
            <v>6.8718741904666425E-3</v>
          </cell>
          <cell r="S233" t="str">
            <v/>
          </cell>
          <cell r="T233">
            <v>1.8321133346867247E-2</v>
          </cell>
          <cell r="U233">
            <v>3.4861362698807463E-2</v>
          </cell>
          <cell r="V233">
            <v>6.6801482729193506E-2</v>
          </cell>
          <cell r="W233" t="str">
            <v/>
          </cell>
          <cell r="X233" t="str">
            <v/>
          </cell>
          <cell r="Y233">
            <v>1.3450510367698509E-3</v>
          </cell>
          <cell r="Z233" t="str">
            <v/>
          </cell>
          <cell r="AA233">
            <v>7.4059770533559943E-3</v>
          </cell>
          <cell r="AB233" t="str">
            <v/>
          </cell>
          <cell r="AC233">
            <v>1.9193629282896918E-2</v>
          </cell>
          <cell r="AD233">
            <v>3.6550397263598322E-2</v>
          </cell>
          <cell r="AE233">
            <v>7.0016906698835313E-2</v>
          </cell>
        </row>
        <row r="234">
          <cell r="D234" t="str">
            <v>USD</v>
          </cell>
          <cell r="N234" t="str">
            <v>IRS Curve missing</v>
          </cell>
          <cell r="O234" t="str">
            <v>IRS Curve missing</v>
          </cell>
          <cell r="P234" t="str">
            <v>IRS Curve missing</v>
          </cell>
          <cell r="Q234" t="str">
            <v>IRS Curve missing</v>
          </cell>
          <cell r="R234" t="str">
            <v>IRS Curve missing</v>
          </cell>
          <cell r="S234" t="str">
            <v>IRS Curve missing</v>
          </cell>
          <cell r="T234" t="str">
            <v>IRS Curve missing</v>
          </cell>
          <cell r="U234" t="str">
            <v>IRS Curve missing</v>
          </cell>
          <cell r="V234" t="str">
            <v>IRS Curve missing</v>
          </cell>
          <cell r="W234" t="str">
            <v>IRS Curve missing</v>
          </cell>
          <cell r="X234" t="str">
            <v>IRS Curve missing</v>
          </cell>
          <cell r="Y234" t="str">
            <v>IRS Curve missing</v>
          </cell>
          <cell r="Z234" t="str">
            <v>IRS Curve missing</v>
          </cell>
          <cell r="AA234" t="str">
            <v>IRS Curve missing</v>
          </cell>
          <cell r="AB234" t="str">
            <v>IRS Curve missing</v>
          </cell>
          <cell r="AC234" t="str">
            <v>IRS Curve missing</v>
          </cell>
          <cell r="AD234" t="str">
            <v>IRS Curve missing</v>
          </cell>
          <cell r="AE234" t="str">
            <v>IRS Curve missing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2.3340531319328006E-3</v>
          </cell>
          <cell r="Q235" t="str">
            <v/>
          </cell>
          <cell r="R235">
            <v>1.8150908405714761E-2</v>
          </cell>
          <cell r="S235" t="str">
            <v/>
          </cell>
          <cell r="T235">
            <v>4.1206160013789739E-2</v>
          </cell>
          <cell r="U235">
            <v>7.5789592832580244E-2</v>
          </cell>
          <cell r="V235">
            <v>0.13124103615241489</v>
          </cell>
          <cell r="W235" t="str">
            <v/>
          </cell>
          <cell r="X235" t="str">
            <v/>
          </cell>
          <cell r="Y235">
            <v>2.5353298954418069E-3</v>
          </cell>
          <cell r="Z235" t="str">
            <v/>
          </cell>
          <cell r="AA235">
            <v>1.9042628004754869E-2</v>
          </cell>
          <cell r="AB235" t="str">
            <v/>
          </cell>
          <cell r="AC235">
            <v>4.3228419535463636E-2</v>
          </cell>
          <cell r="AD235">
            <v>7.9465608487886752E-2</v>
          </cell>
          <cell r="AE235">
            <v>0.13746916152933231</v>
          </cell>
        </row>
        <row r="236">
          <cell r="D236" t="str">
            <v>USD</v>
          </cell>
          <cell r="N236" t="str">
            <v>IRS Curve missing</v>
          </cell>
          <cell r="O236" t="str">
            <v>IRS Curve missing</v>
          </cell>
          <cell r="P236" t="str">
            <v>IRS Curve missing</v>
          </cell>
          <cell r="Q236" t="str">
            <v>IRS Curve missing</v>
          </cell>
          <cell r="R236" t="str">
            <v>IRS Curve missing</v>
          </cell>
          <cell r="S236" t="str">
            <v>IRS Curve missing</v>
          </cell>
          <cell r="T236" t="str">
            <v>IRS Curve missing</v>
          </cell>
          <cell r="U236" t="str">
            <v>IRS Curve missing</v>
          </cell>
          <cell r="V236" t="str">
            <v>IRS Curve missing</v>
          </cell>
          <cell r="W236" t="str">
            <v>IRS Curve missing</v>
          </cell>
          <cell r="X236" t="str">
            <v>IRS Curve missing</v>
          </cell>
          <cell r="Y236" t="str">
            <v>IRS Curve missing</v>
          </cell>
          <cell r="Z236" t="str">
            <v>IRS Curve missing</v>
          </cell>
          <cell r="AA236" t="str">
            <v>IRS Curve missing</v>
          </cell>
          <cell r="AB236" t="str">
            <v>IRS Curve missing</v>
          </cell>
          <cell r="AC236" t="str">
            <v>IRS Curve missing</v>
          </cell>
          <cell r="AD236" t="str">
            <v>IRS Curve missing</v>
          </cell>
          <cell r="AE236" t="str">
            <v>IRS Curve missing</v>
          </cell>
        </row>
        <row r="237">
          <cell r="D237" t="str">
            <v>USD</v>
          </cell>
          <cell r="N237" t="str">
            <v>IRS Curve missing</v>
          </cell>
          <cell r="O237" t="str">
            <v>IRS Curve missing</v>
          </cell>
          <cell r="P237" t="str">
            <v>IRS Curve missing</v>
          </cell>
          <cell r="Q237" t="str">
            <v>IRS Curve missing</v>
          </cell>
          <cell r="R237" t="str">
            <v>IRS Curve missing</v>
          </cell>
          <cell r="S237" t="str">
            <v>IRS Curve missing</v>
          </cell>
          <cell r="T237" t="str">
            <v>IRS Curve missing</v>
          </cell>
          <cell r="U237" t="str">
            <v>IRS Curve missing</v>
          </cell>
          <cell r="V237" t="str">
            <v>IRS Curve missing</v>
          </cell>
          <cell r="W237" t="str">
            <v>IRS Curve missing</v>
          </cell>
          <cell r="X237" t="str">
            <v>IRS Curve missing</v>
          </cell>
          <cell r="Y237" t="str">
            <v>IRS Curve missing</v>
          </cell>
          <cell r="Z237" t="str">
            <v>IRS Curve missing</v>
          </cell>
          <cell r="AA237" t="str">
            <v>IRS Curve missing</v>
          </cell>
          <cell r="AB237" t="str">
            <v>IRS Curve missing</v>
          </cell>
          <cell r="AC237" t="str">
            <v>IRS Curve missing</v>
          </cell>
          <cell r="AD237" t="str">
            <v>IRS Curve missing</v>
          </cell>
          <cell r="AE237" t="str">
            <v>IRS Curve missing</v>
          </cell>
        </row>
        <row r="238">
          <cell r="D238" t="str">
            <v>USD</v>
          </cell>
          <cell r="N238" t="str">
            <v>IRS Curve missing</v>
          </cell>
          <cell r="O238" t="str">
            <v>IRS Curve missing</v>
          </cell>
          <cell r="P238" t="str">
            <v>IRS Curve missing</v>
          </cell>
          <cell r="Q238" t="str">
            <v>IRS Curve missing</v>
          </cell>
          <cell r="R238" t="str">
            <v>IRS Curve missing</v>
          </cell>
          <cell r="S238" t="str">
            <v>IRS Curve missing</v>
          </cell>
          <cell r="T238" t="str">
            <v>IRS Curve missing</v>
          </cell>
          <cell r="U238" t="str">
            <v>IRS Curve missing</v>
          </cell>
          <cell r="V238" t="str">
            <v>IRS Curve missing</v>
          </cell>
          <cell r="W238" t="str">
            <v>IRS Curve missing</v>
          </cell>
          <cell r="X238" t="str">
            <v>IRS Curve missing</v>
          </cell>
          <cell r="Y238" t="str">
            <v>IRS Curve missing</v>
          </cell>
          <cell r="Z238" t="str">
            <v>IRS Curve missing</v>
          </cell>
          <cell r="AA238" t="str">
            <v>IRS Curve missing</v>
          </cell>
          <cell r="AB238" t="str">
            <v>IRS Curve missing</v>
          </cell>
          <cell r="AC238" t="str">
            <v>IRS Curve missing</v>
          </cell>
          <cell r="AD238" t="str">
            <v>IRS Curve missing</v>
          </cell>
          <cell r="AE238" t="str">
            <v>IRS Curve missing</v>
          </cell>
        </row>
        <row r="239">
          <cell r="D239" t="str">
            <v>USD</v>
          </cell>
          <cell r="N239" t="str">
            <v>IRS Curve missing</v>
          </cell>
          <cell r="O239" t="str">
            <v>IRS Curve missing</v>
          </cell>
          <cell r="P239" t="str">
            <v>IRS Curve missing</v>
          </cell>
          <cell r="Q239" t="str">
            <v>IRS Curve missing</v>
          </cell>
          <cell r="R239" t="str">
            <v>IRS Curve missing</v>
          </cell>
          <cell r="S239" t="str">
            <v>IRS Curve missing</v>
          </cell>
          <cell r="T239" t="str">
            <v>IRS Curve missing</v>
          </cell>
          <cell r="U239" t="str">
            <v>IRS Curve missing</v>
          </cell>
          <cell r="V239" t="str">
            <v>IRS Curve missing</v>
          </cell>
          <cell r="W239" t="str">
            <v>IRS Curve missing</v>
          </cell>
          <cell r="X239" t="str">
            <v>IRS Curve missing</v>
          </cell>
          <cell r="Y239" t="str">
            <v>IRS Curve missing</v>
          </cell>
          <cell r="Z239" t="str">
            <v>IRS Curve missing</v>
          </cell>
          <cell r="AA239" t="str">
            <v>IRS Curve missing</v>
          </cell>
          <cell r="AB239" t="str">
            <v>IRS Curve missing</v>
          </cell>
          <cell r="AC239" t="str">
            <v>IRS Curve missing</v>
          </cell>
          <cell r="AD239" t="str">
            <v>IRS Curve missing</v>
          </cell>
          <cell r="AE239" t="str">
            <v>IRS Curve missing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2.0300054759556652E-3</v>
          </cell>
          <cell r="Q240" t="str">
            <v/>
          </cell>
          <cell r="R240">
            <v>1.3417634703849379E-2</v>
          </cell>
          <cell r="S240" t="str">
            <v/>
          </cell>
          <cell r="T240">
            <v>2.4657317387425048E-2</v>
          </cell>
          <cell r="U240">
            <v>4.1921504653806396E-2</v>
          </cell>
          <cell r="V240">
            <v>6.5634504401173688E-2</v>
          </cell>
          <cell r="W240" t="str">
            <v/>
          </cell>
          <cell r="X240" t="str">
            <v/>
          </cell>
          <cell r="Y240">
            <v>2.231349760281387E-3</v>
          </cell>
          <cell r="Z240" t="str">
            <v/>
          </cell>
          <cell r="AA240">
            <v>1.4073478010793061E-2</v>
          </cell>
          <cell r="AB240" t="str">
            <v/>
          </cell>
          <cell r="AC240">
            <v>2.5870115268499361E-2</v>
          </cell>
          <cell r="AD240">
            <v>4.3971000298561491E-2</v>
          </cell>
          <cell r="AE240">
            <v>6.8819456572785098E-2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4.1865569949527393E-3</v>
          </cell>
          <cell r="Q241" t="str">
            <v/>
          </cell>
          <cell r="R241">
            <v>1.9058870212797285E-2</v>
          </cell>
          <cell r="S241" t="str">
            <v/>
          </cell>
          <cell r="T241">
            <v>4.5878524620400873E-2</v>
          </cell>
          <cell r="U241">
            <v>7.4789467208857818E-2</v>
          </cell>
          <cell r="V241">
            <v>0.1204006023866111</v>
          </cell>
          <cell r="W241" t="str">
            <v/>
          </cell>
          <cell r="X241" t="str">
            <v/>
          </cell>
          <cell r="Y241">
            <v>4.3953375312154597E-3</v>
          </cell>
          <cell r="Z241" t="str">
            <v/>
          </cell>
          <cell r="AA241">
            <v>2.0004522026394023E-2</v>
          </cell>
          <cell r="AB241" t="str">
            <v/>
          </cell>
          <cell r="AC241">
            <v>4.8132830446742214E-2</v>
          </cell>
          <cell r="AD241">
            <v>7.8417671467603922E-2</v>
          </cell>
          <cell r="AE241">
            <v>0.1261175444745638</v>
          </cell>
        </row>
        <row r="242">
          <cell r="D242" t="str">
            <v>USD</v>
          </cell>
          <cell r="N242" t="str">
            <v>IRS Curve missing</v>
          </cell>
          <cell r="O242" t="str">
            <v>IRS Curve missing</v>
          </cell>
          <cell r="P242" t="str">
            <v>IRS Curve missing</v>
          </cell>
          <cell r="Q242" t="str">
            <v>IRS Curve missing</v>
          </cell>
          <cell r="R242" t="str">
            <v>IRS Curve missing</v>
          </cell>
          <cell r="S242" t="str">
            <v>IRS Curve missing</v>
          </cell>
          <cell r="T242" t="str">
            <v>IRS Curve missing</v>
          </cell>
          <cell r="U242" t="str">
            <v>IRS Curve missing</v>
          </cell>
          <cell r="V242" t="str">
            <v>IRS Curve missing</v>
          </cell>
          <cell r="W242" t="str">
            <v>IRS Curve missing</v>
          </cell>
          <cell r="X242" t="str">
            <v>IRS Curve missing</v>
          </cell>
          <cell r="Y242" t="str">
            <v>IRS Curve missing</v>
          </cell>
          <cell r="Z242" t="str">
            <v>IRS Curve missing</v>
          </cell>
          <cell r="AA242" t="str">
            <v>IRS Curve missing</v>
          </cell>
          <cell r="AB242" t="str">
            <v>IRS Curve missing</v>
          </cell>
          <cell r="AC242" t="str">
            <v>IRS Curve missing</v>
          </cell>
          <cell r="AD242" t="str">
            <v>IRS Curve missing</v>
          </cell>
          <cell r="AE242" t="str">
            <v>IRS Curve missing</v>
          </cell>
        </row>
        <row r="243">
          <cell r="D243" t="str">
            <v>USD</v>
          </cell>
          <cell r="N243" t="str">
            <v>IRS Curve missing</v>
          </cell>
          <cell r="O243" t="str">
            <v>IRS Curve missing</v>
          </cell>
          <cell r="P243" t="str">
            <v>IRS Curve missing</v>
          </cell>
          <cell r="Q243" t="str">
            <v>IRS Curve missing</v>
          </cell>
          <cell r="R243" t="str">
            <v>IRS Curve missing</v>
          </cell>
          <cell r="S243" t="str">
            <v>IRS Curve missing</v>
          </cell>
          <cell r="T243" t="str">
            <v>IRS Curve missing</v>
          </cell>
          <cell r="U243" t="str">
            <v>IRS Curve missing</v>
          </cell>
          <cell r="V243" t="str">
            <v>IRS Curve missing</v>
          </cell>
          <cell r="W243" t="str">
            <v>IRS Curve missing</v>
          </cell>
          <cell r="X243" t="str">
            <v>IRS Curve missing</v>
          </cell>
          <cell r="Y243" t="str">
            <v>IRS Curve missing</v>
          </cell>
          <cell r="Z243" t="str">
            <v>IRS Curve missing</v>
          </cell>
          <cell r="AA243" t="str">
            <v>IRS Curve missing</v>
          </cell>
          <cell r="AB243" t="str">
            <v>IRS Curve missing</v>
          </cell>
          <cell r="AC243" t="str">
            <v>IRS Curve missing</v>
          </cell>
          <cell r="AD243" t="str">
            <v>IRS Curve missing</v>
          </cell>
          <cell r="AE243" t="str">
            <v>IRS Curve missing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6.3003950553840449E-3</v>
          </cell>
          <cell r="Q244" t="str">
            <v/>
          </cell>
          <cell r="R244">
            <v>3.8470866117576219E-2</v>
          </cell>
          <cell r="S244" t="str">
            <v/>
          </cell>
          <cell r="T244">
            <v>0.1015577089954588</v>
          </cell>
          <cell r="U244">
            <v>0.15872385944575718</v>
          </cell>
          <cell r="V244">
            <v>0.25339341856047992</v>
          </cell>
          <cell r="W244" t="str">
            <v/>
          </cell>
          <cell r="X244" t="str">
            <v/>
          </cell>
          <cell r="Y244">
            <v>6.6141657063703008E-3</v>
          </cell>
          <cell r="Z244" t="str">
            <v/>
          </cell>
          <cell r="AA244">
            <v>4.0367835500575877E-2</v>
          </cell>
          <cell r="AB244" t="str">
            <v/>
          </cell>
          <cell r="AC244">
            <v>0.10645508257125924</v>
          </cell>
          <cell r="AD244">
            <v>0.16615294391456681</v>
          </cell>
          <cell r="AE244">
            <v>0.26469602409409221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1.288630524351797E-3</v>
          </cell>
          <cell r="Q245" t="str">
            <v/>
          </cell>
          <cell r="R245">
            <v>7.9276538063852708E-3</v>
          </cell>
          <cell r="S245" t="str">
            <v/>
          </cell>
          <cell r="T245">
            <v>2.3189821929304855E-2</v>
          </cell>
          <cell r="U245">
            <v>4.1984995273877113E-2</v>
          </cell>
          <cell r="V245">
            <v>7.8590254859764119E-2</v>
          </cell>
          <cell r="W245" t="str">
            <v/>
          </cell>
          <cell r="X245" t="str">
            <v/>
          </cell>
          <cell r="Y245">
            <v>1.4901356356779027E-3</v>
          </cell>
          <cell r="Z245" t="str">
            <v/>
          </cell>
          <cell r="AA245">
            <v>8.4612926270571931E-3</v>
          </cell>
          <cell r="AB245" t="str">
            <v/>
          </cell>
          <cell r="AC245">
            <v>2.4309787681346617E-2</v>
          </cell>
          <cell r="AD245">
            <v>4.4025548979984563E-2</v>
          </cell>
          <cell r="AE245">
            <v>8.2377106587859683E-2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1.2301837561460305E-3</v>
          </cell>
          <cell r="Q246" t="str">
            <v/>
          </cell>
          <cell r="R246">
            <v>1.2773505570352173E-2</v>
          </cell>
          <cell r="S246" t="str">
            <v/>
          </cell>
          <cell r="T246">
            <v>2.3897271010740462E-2</v>
          </cell>
          <cell r="U246">
            <v>4.472551157811655E-2</v>
          </cell>
          <cell r="V246">
            <v>8.6725432185104534E-2</v>
          </cell>
          <cell r="W246" t="str">
            <v/>
          </cell>
          <cell r="X246" t="str">
            <v/>
          </cell>
          <cell r="Y246">
            <v>1.4317013206799345E-3</v>
          </cell>
          <cell r="Z246" t="str">
            <v/>
          </cell>
          <cell r="AA246">
            <v>1.3393088014390653E-2</v>
          </cell>
          <cell r="AB246" t="str">
            <v/>
          </cell>
          <cell r="AC246">
            <v>2.5070644853956492E-2</v>
          </cell>
          <cell r="AD246">
            <v>4.6909326736040202E-2</v>
          </cell>
          <cell r="AE246">
            <v>9.0923293976113428E-2</v>
          </cell>
        </row>
        <row r="247">
          <cell r="D247" t="str">
            <v>USD</v>
          </cell>
          <cell r="N247" t="str">
            <v>IRS Curve missing</v>
          </cell>
          <cell r="O247" t="str">
            <v>IRS Curve missing</v>
          </cell>
          <cell r="P247" t="str">
            <v>IRS Curve missing</v>
          </cell>
          <cell r="Q247" t="str">
            <v>IRS Curve missing</v>
          </cell>
          <cell r="R247" t="str">
            <v>IRS Curve missing</v>
          </cell>
          <cell r="S247" t="str">
            <v>IRS Curve missing</v>
          </cell>
          <cell r="T247" t="str">
            <v>IRS Curve missing</v>
          </cell>
          <cell r="U247" t="str">
            <v>IRS Curve missing</v>
          </cell>
          <cell r="V247" t="str">
            <v>IRS Curve missing</v>
          </cell>
          <cell r="W247" t="str">
            <v>IRS Curve missing</v>
          </cell>
          <cell r="X247" t="str">
            <v>IRS Curve missing</v>
          </cell>
          <cell r="Y247" t="str">
            <v>IRS Curve missing</v>
          </cell>
          <cell r="Z247" t="str">
            <v>IRS Curve missing</v>
          </cell>
          <cell r="AA247" t="str">
            <v>IRS Curve missing</v>
          </cell>
          <cell r="AB247" t="str">
            <v>IRS Curve missing</v>
          </cell>
          <cell r="AC247" t="str">
            <v>IRS Curve missing</v>
          </cell>
          <cell r="AD247" t="str">
            <v>IRS Curve missing</v>
          </cell>
          <cell r="AE247" t="str">
            <v>IRS Curve missing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3.1551269838189233E-3</v>
          </cell>
          <cell r="Q248" t="str">
            <v/>
          </cell>
          <cell r="R248">
            <v>1.2730886267290686E-2</v>
          </cell>
          <cell r="S248" t="str">
            <v/>
          </cell>
          <cell r="T248">
            <v>2.4179592491641033E-2</v>
          </cell>
          <cell r="U248">
            <v>4.4125309806996582E-2</v>
          </cell>
          <cell r="V248">
            <v>7.5037004881767899E-2</v>
          </cell>
          <cell r="W248" t="str">
            <v/>
          </cell>
          <cell r="X248" t="str">
            <v/>
          </cell>
          <cell r="Y248">
            <v>3.356216721142502E-3</v>
          </cell>
          <cell r="Z248" t="str">
            <v/>
          </cell>
          <cell r="AA248">
            <v>1.3358860511562876E-2</v>
          </cell>
          <cell r="AB248" t="str">
            <v/>
          </cell>
          <cell r="AC248">
            <v>2.5373289361192652E-2</v>
          </cell>
          <cell r="AD248">
            <v>4.6288843330107077E-2</v>
          </cell>
          <cell r="AE248">
            <v>7.8674409102123088E-2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1.4075290015195252E-3</v>
          </cell>
          <cell r="Q249" t="str">
            <v/>
          </cell>
          <cell r="R249">
            <v>8.9184736426617395E-3</v>
          </cell>
          <cell r="S249" t="str">
            <v/>
          </cell>
          <cell r="T249">
            <v>2.3960788199934413E-2</v>
          </cell>
          <cell r="U249">
            <v>4.6002535788142729E-2</v>
          </cell>
          <cell r="V249">
            <v>8.8072585358592193E-2</v>
          </cell>
          <cell r="W249" t="str">
            <v/>
          </cell>
          <cell r="X249" t="str">
            <v/>
          </cell>
          <cell r="Y249">
            <v>1.609008678443602E-3</v>
          </cell>
          <cell r="Z249" t="str">
            <v/>
          </cell>
          <cell r="AA249">
            <v>9.451684001491989E-3</v>
          </cell>
          <cell r="AB249" t="str">
            <v/>
          </cell>
          <cell r="AC249">
            <v>2.5126229147690582E-2</v>
          </cell>
          <cell r="AD249">
            <v>4.8243336324412689E-2</v>
          </cell>
          <cell r="AE249">
            <v>9.2317477349771582E-2</v>
          </cell>
        </row>
        <row r="250">
          <cell r="D250" t="str">
            <v>USD</v>
          </cell>
          <cell r="N250" t="str">
            <v>IRS Curve missing</v>
          </cell>
          <cell r="O250" t="str">
            <v>IRS Curve missing</v>
          </cell>
          <cell r="P250" t="str">
            <v>IRS Curve missing</v>
          </cell>
          <cell r="Q250" t="str">
            <v>IRS Curve missing</v>
          </cell>
          <cell r="R250" t="str">
            <v>IRS Curve missing</v>
          </cell>
          <cell r="S250" t="str">
            <v>IRS Curve missing</v>
          </cell>
          <cell r="T250" t="str">
            <v>IRS Curve missing</v>
          </cell>
          <cell r="U250" t="str">
            <v>IRS Curve missing</v>
          </cell>
          <cell r="V250" t="str">
            <v>IRS Curve missing</v>
          </cell>
          <cell r="W250" t="str">
            <v>IRS Curve missing</v>
          </cell>
          <cell r="X250" t="str">
            <v>IRS Curve missing</v>
          </cell>
          <cell r="Y250" t="str">
            <v>IRS Curve missing</v>
          </cell>
          <cell r="Z250" t="str">
            <v>IRS Curve missing</v>
          </cell>
          <cell r="AA250" t="str">
            <v>IRS Curve missing</v>
          </cell>
          <cell r="AB250" t="str">
            <v>IRS Curve missing</v>
          </cell>
          <cell r="AC250" t="str">
            <v>IRS Curve missing</v>
          </cell>
          <cell r="AD250" t="str">
            <v>IRS Curve missing</v>
          </cell>
          <cell r="AE250" t="str">
            <v>IRS Curve missing</v>
          </cell>
        </row>
        <row r="251">
          <cell r="D251" t="str">
            <v>USD</v>
          </cell>
          <cell r="N251" t="str">
            <v>IRS Curve missing</v>
          </cell>
          <cell r="O251" t="str">
            <v>IRS Curve missing</v>
          </cell>
          <cell r="P251" t="str">
            <v>IRS Curve missing</v>
          </cell>
          <cell r="Q251" t="str">
            <v>IRS Curve missing</v>
          </cell>
          <cell r="R251" t="str">
            <v>IRS Curve missing</v>
          </cell>
          <cell r="S251" t="str">
            <v>IRS Curve missing</v>
          </cell>
          <cell r="T251" t="str">
            <v>IRS Curve missing</v>
          </cell>
          <cell r="U251" t="str">
            <v>IRS Curve missing</v>
          </cell>
          <cell r="V251" t="str">
            <v>IRS Curve missing</v>
          </cell>
          <cell r="W251" t="str">
            <v>IRS Curve missing</v>
          </cell>
          <cell r="X251" t="str">
            <v>IRS Curve missing</v>
          </cell>
          <cell r="Y251" t="str">
            <v>IRS Curve missing</v>
          </cell>
          <cell r="Z251" t="str">
            <v>IRS Curve missing</v>
          </cell>
          <cell r="AA251" t="str">
            <v>IRS Curve missing</v>
          </cell>
          <cell r="AB251" t="str">
            <v>IRS Curve missing</v>
          </cell>
          <cell r="AC251" t="str">
            <v>IRS Curve missing</v>
          </cell>
          <cell r="AD251" t="str">
            <v>IRS Curve missing</v>
          </cell>
          <cell r="AE251" t="str">
            <v>IRS Curve missing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7.5442188936469812E-4</v>
          </cell>
          <cell r="Q252" t="str">
            <v/>
          </cell>
          <cell r="R252">
            <v>6.9116144446548233E-3</v>
          </cell>
          <cell r="S252" t="str">
            <v/>
          </cell>
          <cell r="T252">
            <v>1.7418152726178082E-2</v>
          </cell>
          <cell r="U252">
            <v>3.8384917571397281E-2</v>
          </cell>
          <cell r="V252">
            <v>6.2011297141047361E-2</v>
          </cell>
          <cell r="W252" t="str">
            <v/>
          </cell>
          <cell r="X252" t="str">
            <v/>
          </cell>
          <cell r="Y252">
            <v>9.5603962438817192E-4</v>
          </cell>
          <cell r="Z252" t="str">
            <v/>
          </cell>
          <cell r="AA252">
            <v>7.4458608741746479E-3</v>
          </cell>
          <cell r="AB252" t="str">
            <v/>
          </cell>
          <cell r="AC252">
            <v>1.8278411723131049E-2</v>
          </cell>
          <cell r="AD252">
            <v>4.0241088826309501E-2</v>
          </cell>
          <cell r="AE252">
            <v>6.4993075275925904E-2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2.1890882160586767E-3</v>
          </cell>
          <cell r="Q253" t="str">
            <v/>
          </cell>
          <cell r="R253">
            <v>7.026393940761877E-3</v>
          </cell>
          <cell r="S253" t="str">
            <v/>
          </cell>
          <cell r="T253">
            <v>1.9565775547467079E-2</v>
          </cell>
          <cell r="U253">
            <v>3.6526736804563309E-2</v>
          </cell>
          <cell r="V253">
            <v>6.0230663675062468E-2</v>
          </cell>
          <cell r="W253" t="str">
            <v/>
          </cell>
          <cell r="X253" t="str">
            <v/>
          </cell>
          <cell r="Y253">
            <v>2.3903972875585211E-3</v>
          </cell>
          <cell r="Z253" t="str">
            <v/>
          </cell>
          <cell r="AA253">
            <v>7.5600119750234285E-3</v>
          </cell>
          <cell r="AB253" t="str">
            <v/>
          </cell>
          <cell r="AC253">
            <v>2.0504993487473477E-2</v>
          </cell>
          <cell r="AD253">
            <v>3.8303293793267468E-2</v>
          </cell>
          <cell r="AE253">
            <v>6.31315601164818E-2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1.4014836548597032E-3</v>
          </cell>
          <cell r="Q254" t="str">
            <v/>
          </cell>
          <cell r="R254">
            <v>8.4482200609220515E-3</v>
          </cell>
          <cell r="S254" t="str">
            <v/>
          </cell>
          <cell r="T254">
            <v>2.0821795703014456E-2</v>
          </cell>
          <cell r="U254">
            <v>4.0289555135754829E-2</v>
          </cell>
          <cell r="V254">
            <v>8.194544239724999E-2</v>
          </cell>
          <cell r="W254" t="str">
            <v/>
          </cell>
          <cell r="X254" t="str">
            <v/>
          </cell>
          <cell r="Y254">
            <v>1.6029646282487153E-3</v>
          </cell>
          <cell r="Z254" t="str">
            <v/>
          </cell>
          <cell r="AA254">
            <v>8.9816137683808028E-3</v>
          </cell>
          <cell r="AB254" t="str">
            <v/>
          </cell>
          <cell r="AC254">
            <v>2.1829430283145435E-2</v>
          </cell>
          <cell r="AD254">
            <v>4.225027336183973E-2</v>
          </cell>
          <cell r="AE254">
            <v>8.5899925697334623E-2</v>
          </cell>
        </row>
        <row r="255">
          <cell r="D255" t="str">
            <v>USD</v>
          </cell>
          <cell r="N255" t="str">
            <v>IRS Curve missing</v>
          </cell>
          <cell r="O255" t="str">
            <v>IRS Curve missing</v>
          </cell>
          <cell r="P255" t="str">
            <v>IRS Curve missing</v>
          </cell>
          <cell r="Q255" t="str">
            <v>IRS Curve missing</v>
          </cell>
          <cell r="R255" t="str">
            <v>IRS Curve missing</v>
          </cell>
          <cell r="S255" t="str">
            <v>IRS Curve missing</v>
          </cell>
          <cell r="T255" t="str">
            <v>IRS Curve missing</v>
          </cell>
          <cell r="U255" t="str">
            <v>IRS Curve missing</v>
          </cell>
          <cell r="V255" t="str">
            <v>IRS Curve missing</v>
          </cell>
          <cell r="W255" t="str">
            <v>IRS Curve missing</v>
          </cell>
          <cell r="X255" t="str">
            <v>IRS Curve missing</v>
          </cell>
          <cell r="Y255" t="str">
            <v>IRS Curve missing</v>
          </cell>
          <cell r="Z255" t="str">
            <v>IRS Curve missing</v>
          </cell>
          <cell r="AA255" t="str">
            <v>IRS Curve missing</v>
          </cell>
          <cell r="AB255" t="str">
            <v>IRS Curve missing</v>
          </cell>
          <cell r="AC255" t="str">
            <v>IRS Curve missing</v>
          </cell>
          <cell r="AD255" t="str">
            <v>IRS Curve missing</v>
          </cell>
          <cell r="AE255" t="str">
            <v>IRS Curve missing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2.7044242396441209E-3</v>
          </cell>
          <cell r="Q256" t="str">
            <v/>
          </cell>
          <cell r="R256">
            <v>1.3809308351501737E-2</v>
          </cell>
          <cell r="S256" t="str">
            <v/>
          </cell>
          <cell r="T256">
            <v>2.9545621665487798E-2</v>
          </cell>
          <cell r="U256">
            <v>4.1616492913399639E-2</v>
          </cell>
          <cell r="V256">
            <v>6.0147682927427448E-2</v>
          </cell>
          <cell r="W256" t="str">
            <v/>
          </cell>
          <cell r="X256" t="str">
            <v/>
          </cell>
          <cell r="Y256">
            <v>2.9056174955355285E-3</v>
          </cell>
          <cell r="Z256" t="str">
            <v/>
          </cell>
          <cell r="AA256">
            <v>1.4488216919255725E-2</v>
          </cell>
          <cell r="AB256" t="str">
            <v/>
          </cell>
          <cell r="AC256">
            <v>3.1000803437270408E-2</v>
          </cell>
          <cell r="AD256">
            <v>4.3648896288946526E-2</v>
          </cell>
          <cell r="AE256">
            <v>6.3067034666072441E-2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5.7267056591765453E-3</v>
          </cell>
          <cell r="Q257" t="str">
            <v/>
          </cell>
          <cell r="R257">
            <v>2.3681719766461495E-2</v>
          </cell>
          <cell r="S257" t="str">
            <v/>
          </cell>
          <cell r="T257">
            <v>6.3025824284445364E-2</v>
          </cell>
          <cell r="U257">
            <v>0.10390937313393478</v>
          </cell>
          <cell r="V257">
            <v>0.17535407869361019</v>
          </cell>
          <cell r="W257" t="str">
            <v/>
          </cell>
          <cell r="X257" t="str">
            <v/>
          </cell>
          <cell r="Y257">
            <v>6.0120110134633808E-3</v>
          </cell>
          <cell r="Z257" t="str">
            <v/>
          </cell>
          <cell r="AA257">
            <v>2.4854050164546337E-2</v>
          </cell>
          <cell r="AB257" t="str">
            <v/>
          </cell>
          <cell r="AC257">
            <v>6.6106307667599729E-2</v>
          </cell>
          <cell r="AD257">
            <v>0.10889492190461192</v>
          </cell>
          <cell r="AE257">
            <v>0.18350781471960953</v>
          </cell>
        </row>
        <row r="258">
          <cell r="D258" t="str">
            <v>USD</v>
          </cell>
          <cell r="N258" t="str">
            <v>IRS Curve missing</v>
          </cell>
          <cell r="O258" t="str">
            <v>IRS Curve missing</v>
          </cell>
          <cell r="P258" t="str">
            <v>IRS Curve missing</v>
          </cell>
          <cell r="Q258" t="str">
            <v>IRS Curve missing</v>
          </cell>
          <cell r="R258" t="str">
            <v>IRS Curve missing</v>
          </cell>
          <cell r="S258" t="str">
            <v>IRS Curve missing</v>
          </cell>
          <cell r="T258" t="str">
            <v>IRS Curve missing</v>
          </cell>
          <cell r="U258" t="str">
            <v>IRS Curve missing</v>
          </cell>
          <cell r="V258" t="str">
            <v>IRS Curve missing</v>
          </cell>
          <cell r="W258" t="str">
            <v>IRS Curve missing</v>
          </cell>
          <cell r="X258" t="str">
            <v>IRS Curve missing</v>
          </cell>
          <cell r="Y258" t="str">
            <v>IRS Curve missing</v>
          </cell>
          <cell r="Z258" t="str">
            <v>IRS Curve missing</v>
          </cell>
          <cell r="AA258" t="str">
            <v>IRS Curve missing</v>
          </cell>
          <cell r="AB258" t="str">
            <v>IRS Curve missing</v>
          </cell>
          <cell r="AC258" t="str">
            <v>IRS Curve missing</v>
          </cell>
          <cell r="AD258" t="str">
            <v>IRS Curve missing</v>
          </cell>
          <cell r="AE258" t="str">
            <v>IRS Curve missing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1.1636712402797178E-3</v>
          </cell>
          <cell r="Q259" t="str">
            <v/>
          </cell>
          <cell r="R259">
            <v>6.286632063772668E-3</v>
          </cell>
          <cell r="S259" t="str">
            <v/>
          </cell>
          <cell r="T259">
            <v>1.7933878130825143E-2</v>
          </cell>
          <cell r="U259">
            <v>3.256220666541676E-2</v>
          </cell>
          <cell r="V259">
            <v>6.105979657364391E-2</v>
          </cell>
          <cell r="W259" t="str">
            <v/>
          </cell>
          <cell r="X259" t="str">
            <v/>
          </cell>
          <cell r="Y259">
            <v>1.3652029370825325E-3</v>
          </cell>
          <cell r="Z259" t="str">
            <v/>
          </cell>
          <cell r="AA259">
            <v>6.8209509955957648E-3</v>
          </cell>
          <cell r="AB259" t="str">
            <v/>
          </cell>
          <cell r="AC259">
            <v>1.8794013401269294E-2</v>
          </cell>
          <cell r="AD259">
            <v>3.4137045747139161E-2</v>
          </cell>
          <cell r="AE259">
            <v>6.40047005958152E-2</v>
          </cell>
        </row>
        <row r="260">
          <cell r="D260" t="str">
            <v>USD</v>
          </cell>
          <cell r="N260" t="str">
            <v>IRS Curve missing</v>
          </cell>
          <cell r="O260" t="str">
            <v>IRS Curve missing</v>
          </cell>
          <cell r="P260" t="str">
            <v>IRS Curve missing</v>
          </cell>
          <cell r="Q260" t="str">
            <v>IRS Curve missing</v>
          </cell>
          <cell r="R260" t="str">
            <v>IRS Curve missing</v>
          </cell>
          <cell r="S260" t="str">
            <v>IRS Curve missing</v>
          </cell>
          <cell r="T260" t="str">
            <v>IRS Curve missing</v>
          </cell>
          <cell r="U260" t="str">
            <v>IRS Curve missing</v>
          </cell>
          <cell r="V260" t="str">
            <v>IRS Curve missing</v>
          </cell>
          <cell r="W260" t="str">
            <v>IRS Curve missing</v>
          </cell>
          <cell r="X260" t="str">
            <v>IRS Curve missing</v>
          </cell>
          <cell r="Y260" t="str">
            <v>IRS Curve missing</v>
          </cell>
          <cell r="Z260" t="str">
            <v>IRS Curve missing</v>
          </cell>
          <cell r="AA260" t="str">
            <v>IRS Curve missing</v>
          </cell>
          <cell r="AB260" t="str">
            <v>IRS Curve missing</v>
          </cell>
          <cell r="AC260" t="str">
            <v>IRS Curve missing</v>
          </cell>
          <cell r="AD260" t="str">
            <v>IRS Curve missing</v>
          </cell>
          <cell r="AE260" t="str">
            <v>IRS Curve missing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4.9516208278297391E-2</v>
          </cell>
          <cell r="Q261" t="str">
            <v/>
          </cell>
          <cell r="R261">
            <v>0.12568469774890634</v>
          </cell>
          <cell r="S261" t="str">
            <v/>
          </cell>
          <cell r="T261">
            <v>0.17634753798093239</v>
          </cell>
          <cell r="U261">
            <v>0.22601891475764768</v>
          </cell>
          <cell r="V261">
            <v>0.28963037096873234</v>
          </cell>
          <cell r="W261" t="str">
            <v/>
          </cell>
          <cell r="X261" t="str">
            <v/>
          </cell>
          <cell r="Y261">
            <v>5.1926577983977928E-2</v>
          </cell>
          <cell r="Z261" t="str">
            <v/>
          </cell>
          <cell r="AA261">
            <v>0.13153496424752664</v>
          </cell>
          <cell r="AB261" t="str">
            <v/>
          </cell>
          <cell r="AC261">
            <v>0.18421773314007406</v>
          </cell>
          <cell r="AD261">
            <v>0.23575086547497326</v>
          </cell>
          <cell r="AE261">
            <v>0.30143087055731543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8.8999530039307606E-3</v>
          </cell>
          <cell r="Q262" t="str">
            <v/>
          </cell>
          <cell r="R262">
            <v>4.2276022155377624E-2</v>
          </cell>
          <cell r="S262" t="str">
            <v/>
          </cell>
          <cell r="T262">
            <v>0.10789403095349992</v>
          </cell>
          <cell r="U262">
            <v>0.17204704382053904</v>
          </cell>
          <cell r="V262">
            <v>0.28595834642094098</v>
          </cell>
          <cell r="W262" t="str">
            <v/>
          </cell>
          <cell r="X262" t="str">
            <v/>
          </cell>
          <cell r="Y262">
            <v>9.3424366404609716E-3</v>
          </cell>
          <cell r="Z262" t="str">
            <v/>
          </cell>
          <cell r="AA262">
            <v>4.4354440111249671E-2</v>
          </cell>
          <cell r="AB262" t="str">
            <v/>
          </cell>
          <cell r="AC262">
            <v>0.11307668285762207</v>
          </cell>
          <cell r="AD262">
            <v>0.18005187513884935</v>
          </cell>
          <cell r="AE262">
            <v>0.29855864725422532</v>
          </cell>
        </row>
        <row r="263">
          <cell r="D263" t="str">
            <v>EUR</v>
          </cell>
          <cell r="N263" t="str">
            <v/>
          </cell>
          <cell r="O263">
            <v>2.5856475220602526E-3</v>
          </cell>
          <cell r="P263">
            <v>5.8616600377566774E-3</v>
          </cell>
          <cell r="Q263">
            <v>1.7864770769911442E-2</v>
          </cell>
          <cell r="R263">
            <v>3.7425991247063251E-2</v>
          </cell>
          <cell r="S263">
            <v>6.917877787002813E-2</v>
          </cell>
          <cell r="T263">
            <v>0.10541290555033767</v>
          </cell>
          <cell r="U263">
            <v>0.17970078972603942</v>
          </cell>
          <cell r="V263">
            <v>0.27993141812135047</v>
          </cell>
          <cell r="W263" t="str">
            <v/>
          </cell>
          <cell r="X263">
            <v>2.7147353867564838E-3</v>
          </cell>
          <cell r="Y263">
            <v>6.153931053225925E-3</v>
          </cell>
          <cell r="Z263">
            <v>1.8751965839392759E-2</v>
          </cell>
          <cell r="AA263">
            <v>3.9272164149566025E-2</v>
          </cell>
          <cell r="AB263">
            <v>7.2557293332457751E-2</v>
          </cell>
          <cell r="AC263">
            <v>0.11049388446578989</v>
          </cell>
          <cell r="AD263">
            <v>0.18808308566049947</v>
          </cell>
          <cell r="AE263">
            <v>0.29225414209453671</v>
          </cell>
        </row>
        <row r="264">
          <cell r="D264" t="str">
            <v>EUR</v>
          </cell>
          <cell r="N264" t="str">
            <v/>
          </cell>
          <cell r="O264">
            <v>6.3347278335050827E-3</v>
          </cell>
          <cell r="P264">
            <v>1.0839213365448352E-2</v>
          </cell>
          <cell r="Q264">
            <v>2.9911651644947579E-2</v>
          </cell>
          <cell r="R264">
            <v>5.2323941449163969E-2</v>
          </cell>
          <cell r="S264" t="str">
            <v/>
          </cell>
          <cell r="T264">
            <v>0.10716352600248547</v>
          </cell>
          <cell r="U264">
            <v>0.17256075287419792</v>
          </cell>
          <cell r="V264">
            <v>0.25268641312278461</v>
          </cell>
          <cell r="W264" t="str">
            <v/>
          </cell>
          <cell r="X264">
            <v>6.6502799465575357E-3</v>
          </cell>
          <cell r="Y264">
            <v>1.1377821773205898E-2</v>
          </cell>
          <cell r="Z264">
            <v>3.1388964222029969E-2</v>
          </cell>
          <cell r="AA264">
            <v>5.4882700635059067E-2</v>
          </cell>
          <cell r="AB264" t="str">
            <v/>
          </cell>
          <cell r="AC264">
            <v>0.1122804076630558</v>
          </cell>
          <cell r="AD264">
            <v>0.18055560167481355</v>
          </cell>
          <cell r="AE264">
            <v>0.26380640864180871</v>
          </cell>
        </row>
        <row r="265">
          <cell r="D265" t="str">
            <v>USD</v>
          </cell>
          <cell r="N265" t="str">
            <v>IRS Curve missing</v>
          </cell>
          <cell r="O265" t="str">
            <v>IRS Curve missing</v>
          </cell>
          <cell r="P265" t="str">
            <v>IRS Curve missing</v>
          </cell>
          <cell r="Q265" t="str">
            <v>IRS Curve missing</v>
          </cell>
          <cell r="R265" t="str">
            <v>IRS Curve missing</v>
          </cell>
          <cell r="S265" t="str">
            <v>IRS Curve missing</v>
          </cell>
          <cell r="T265" t="str">
            <v>IRS Curve missing</v>
          </cell>
          <cell r="U265" t="str">
            <v>IRS Curve missing</v>
          </cell>
          <cell r="V265" t="str">
            <v>IRS Curve missing</v>
          </cell>
          <cell r="W265" t="str">
            <v>IRS Curve missing</v>
          </cell>
          <cell r="X265" t="str">
            <v>IRS Curve missing</v>
          </cell>
          <cell r="Y265" t="str">
            <v>IRS Curve missing</v>
          </cell>
          <cell r="Z265" t="str">
            <v>IRS Curve missing</v>
          </cell>
          <cell r="AA265" t="str">
            <v>IRS Curve missing</v>
          </cell>
          <cell r="AB265" t="str">
            <v>IRS Curve missing</v>
          </cell>
          <cell r="AC265" t="str">
            <v>IRS Curve missing</v>
          </cell>
          <cell r="AD265" t="str">
            <v>IRS Curve missing</v>
          </cell>
          <cell r="AE265" t="str">
            <v>IRS Curve missing</v>
          </cell>
        </row>
        <row r="266">
          <cell r="D266" t="str">
            <v>USD</v>
          </cell>
          <cell r="N266" t="str">
            <v>IRS Curve missing</v>
          </cell>
          <cell r="O266" t="str">
            <v>IRS Curve missing</v>
          </cell>
          <cell r="P266" t="str">
            <v>IRS Curve missing</v>
          </cell>
          <cell r="Q266" t="str">
            <v>IRS Curve missing</v>
          </cell>
          <cell r="R266" t="str">
            <v>IRS Curve missing</v>
          </cell>
          <cell r="S266" t="str">
            <v>IRS Curve missing</v>
          </cell>
          <cell r="T266" t="str">
            <v>IRS Curve missing</v>
          </cell>
          <cell r="U266" t="str">
            <v>IRS Curve missing</v>
          </cell>
          <cell r="V266" t="str">
            <v>IRS Curve missing</v>
          </cell>
          <cell r="W266" t="str">
            <v>IRS Curve missing</v>
          </cell>
          <cell r="X266" t="str">
            <v>IRS Curve missing</v>
          </cell>
          <cell r="Y266" t="str">
            <v>IRS Curve missing</v>
          </cell>
          <cell r="Z266" t="str">
            <v>IRS Curve missing</v>
          </cell>
          <cell r="AA266" t="str">
            <v>IRS Curve missing</v>
          </cell>
          <cell r="AB266" t="str">
            <v>IRS Curve missing</v>
          </cell>
          <cell r="AC266" t="str">
            <v>IRS Curve missing</v>
          </cell>
          <cell r="AD266" t="str">
            <v>IRS Curve missing</v>
          </cell>
          <cell r="AE266" t="str">
            <v>IRS Curve missing</v>
          </cell>
        </row>
        <row r="267">
          <cell r="D267" t="str">
            <v>USD</v>
          </cell>
          <cell r="N267" t="str">
            <v>IRS Curve missing</v>
          </cell>
          <cell r="O267" t="str">
            <v>IRS Curve missing</v>
          </cell>
          <cell r="P267" t="str">
            <v>IRS Curve missing</v>
          </cell>
          <cell r="Q267" t="str">
            <v>IRS Curve missing</v>
          </cell>
          <cell r="R267" t="str">
            <v>IRS Curve missing</v>
          </cell>
          <cell r="S267" t="str">
            <v>IRS Curve missing</v>
          </cell>
          <cell r="T267" t="str">
            <v>IRS Curve missing</v>
          </cell>
          <cell r="U267" t="str">
            <v>IRS Curve missing</v>
          </cell>
          <cell r="V267" t="str">
            <v>IRS Curve missing</v>
          </cell>
          <cell r="W267" t="str">
            <v>IRS Curve missing</v>
          </cell>
          <cell r="X267" t="str">
            <v>IRS Curve missing</v>
          </cell>
          <cell r="Y267" t="str">
            <v>IRS Curve missing</v>
          </cell>
          <cell r="Z267" t="str">
            <v>IRS Curve missing</v>
          </cell>
          <cell r="AA267" t="str">
            <v>IRS Curve missing</v>
          </cell>
          <cell r="AB267" t="str">
            <v>IRS Curve missing</v>
          </cell>
          <cell r="AC267" t="str">
            <v>IRS Curve missing</v>
          </cell>
          <cell r="AD267" t="str">
            <v>IRS Curve missing</v>
          </cell>
          <cell r="AE267" t="str">
            <v>IRS Curve missing</v>
          </cell>
        </row>
        <row r="268">
          <cell r="D268" t="str">
            <v>EUR</v>
          </cell>
          <cell r="N268" t="str">
            <v/>
          </cell>
          <cell r="O268">
            <v>8.2342876691621214E-4</v>
          </cell>
          <cell r="P268">
            <v>2.8465196034316298E-3</v>
          </cell>
          <cell r="Q268">
            <v>9.3484363887806898E-3</v>
          </cell>
          <cell r="R268">
            <v>1.9669585554483171E-2</v>
          </cell>
          <cell r="S268" t="str">
            <v/>
          </cell>
          <cell r="T268">
            <v>4.9886581084836013E-2</v>
          </cell>
          <cell r="U268">
            <v>8.5935569257326039E-2</v>
          </cell>
          <cell r="V268">
            <v>0.1481621210676104</v>
          </cell>
          <cell r="W268" t="str">
            <v/>
          </cell>
          <cell r="X268">
            <v>9.4100424795140469E-4</v>
          </cell>
          <cell r="Y268">
            <v>3.0478139257948955E-3</v>
          </cell>
          <cell r="Z268">
            <v>9.8103109106891795E-3</v>
          </cell>
          <cell r="AA268">
            <v>2.0641800500786123E-2</v>
          </cell>
          <cell r="AB268" t="str">
            <v/>
          </cell>
          <cell r="AC268">
            <v>5.2329943320532868E-2</v>
          </cell>
          <cell r="AD268">
            <v>9.0090081406438705E-2</v>
          </cell>
          <cell r="AE268">
            <v>0.15513687167434842</v>
          </cell>
        </row>
        <row r="269">
          <cell r="D269" t="str">
            <v>USD</v>
          </cell>
          <cell r="N269" t="str">
            <v/>
          </cell>
          <cell r="O269" t="str">
            <v/>
          </cell>
          <cell r="P269">
            <v>5.7848918807545946E-3</v>
          </cell>
          <cell r="Q269" t="str">
            <v/>
          </cell>
          <cell r="R269">
            <v>6.1469108989470667E-2</v>
          </cell>
          <cell r="S269" t="str">
            <v/>
          </cell>
          <cell r="T269">
            <v>9.7166521135520711E-2</v>
          </cell>
          <cell r="U269">
            <v>0.12513967036949947</v>
          </cell>
          <cell r="V269">
            <v>0.16520871286333116</v>
          </cell>
          <cell r="W269" t="str">
            <v/>
          </cell>
          <cell r="X269" t="str">
            <v/>
          </cell>
          <cell r="Y269">
            <v>6.0730852957645576E-3</v>
          </cell>
          <cell r="Z269" t="str">
            <v/>
          </cell>
          <cell r="AA269">
            <v>6.4484532223203161E-2</v>
          </cell>
          <cell r="AB269" t="str">
            <v/>
          </cell>
          <cell r="AC269">
            <v>0.10179590519460846</v>
          </cell>
          <cell r="AD269">
            <v>0.13098296962391409</v>
          </cell>
          <cell r="AE269">
            <v>0.17268860425311161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3.953421640488286E-3</v>
          </cell>
          <cell r="Q270" t="str">
            <v/>
          </cell>
          <cell r="R270">
            <v>2.3524520405212246E-2</v>
          </cell>
          <cell r="S270" t="str">
            <v/>
          </cell>
          <cell r="T270">
            <v>6.3751228557995754E-2</v>
          </cell>
          <cell r="U270">
            <v>9.7269076420579248E-2</v>
          </cell>
          <cell r="V270">
            <v>0.15714793392335069</v>
          </cell>
          <cell r="W270" t="str">
            <v/>
          </cell>
          <cell r="X270" t="str">
            <v/>
          </cell>
          <cell r="Y270">
            <v>4.1543227734222032E-3</v>
          </cell>
          <cell r="Z270" t="str">
            <v/>
          </cell>
          <cell r="AA270">
            <v>2.4690278684539102E-2</v>
          </cell>
          <cell r="AB270" t="str">
            <v/>
          </cell>
          <cell r="AC270">
            <v>6.6868856257451315E-2</v>
          </cell>
          <cell r="AD270">
            <v>0.10194023393073348</v>
          </cell>
          <cell r="AE270">
            <v>0.1644901774419415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4.0277896470178876E-3</v>
          </cell>
          <cell r="Q271" t="str">
            <v/>
          </cell>
          <cell r="R271">
            <v>1.900093404651837E-2</v>
          </cell>
          <cell r="S271" t="str">
            <v/>
          </cell>
          <cell r="T271">
            <v>4.4369755084560092E-2</v>
          </cell>
          <cell r="U271">
            <v>8.4452997677122665E-2</v>
          </cell>
          <cell r="V271">
            <v>0.15211759107653977</v>
          </cell>
          <cell r="W271" t="str">
            <v/>
          </cell>
          <cell r="X271" t="str">
            <v/>
          </cell>
          <cell r="Y271">
            <v>4.2286728609549629E-3</v>
          </cell>
          <cell r="Z271" t="str">
            <v/>
          </cell>
          <cell r="AA271">
            <v>1.9943842499609343E-2</v>
          </cell>
          <cell r="AB271" t="str">
            <v/>
          </cell>
          <cell r="AC271">
            <v>4.6550259889424184E-2</v>
          </cell>
          <cell r="AD271">
            <v>8.8549100261641533E-2</v>
          </cell>
          <cell r="AE271">
            <v>0.15929360187011488</v>
          </cell>
        </row>
        <row r="272">
          <cell r="D272" t="str">
            <v>USD</v>
          </cell>
          <cell r="N272" t="str">
            <v>IRS Curve missing</v>
          </cell>
          <cell r="O272" t="str">
            <v>IRS Curve missing</v>
          </cell>
          <cell r="P272" t="str">
            <v>IRS Curve missing</v>
          </cell>
          <cell r="Q272" t="str">
            <v>IRS Curve missing</v>
          </cell>
          <cell r="R272" t="str">
            <v>IRS Curve missing</v>
          </cell>
          <cell r="S272" t="str">
            <v>IRS Curve missing</v>
          </cell>
          <cell r="T272" t="str">
            <v>IRS Curve missing</v>
          </cell>
          <cell r="U272" t="str">
            <v>IRS Curve missing</v>
          </cell>
          <cell r="V272" t="str">
            <v>IRS Curve missing</v>
          </cell>
          <cell r="W272" t="str">
            <v>IRS Curve missing</v>
          </cell>
          <cell r="X272" t="str">
            <v>IRS Curve missing</v>
          </cell>
          <cell r="Y272" t="str">
            <v>IRS Curve missing</v>
          </cell>
          <cell r="Z272" t="str">
            <v>IRS Curve missing</v>
          </cell>
          <cell r="AA272" t="str">
            <v>IRS Curve missing</v>
          </cell>
          <cell r="AB272" t="str">
            <v>IRS Curve missing</v>
          </cell>
          <cell r="AC272" t="str">
            <v>IRS Curve missing</v>
          </cell>
          <cell r="AD272" t="str">
            <v>IRS Curve missing</v>
          </cell>
          <cell r="AE272" t="str">
            <v>IRS Curve missing</v>
          </cell>
        </row>
        <row r="273">
          <cell r="D273" t="str">
            <v>EUR</v>
          </cell>
          <cell r="N273" t="str">
            <v/>
          </cell>
          <cell r="O273">
            <v>1.1761201684514777E-3</v>
          </cell>
          <cell r="P273">
            <v>3.2455371452223547E-3</v>
          </cell>
          <cell r="Q273">
            <v>8.9405072195574142E-3</v>
          </cell>
          <cell r="R273">
            <v>1.6856351470665221E-2</v>
          </cell>
          <cell r="S273" t="str">
            <v/>
          </cell>
          <cell r="T273">
            <v>4.6505047419776013E-2</v>
          </cell>
          <cell r="U273">
            <v>7.7358311781463907E-2</v>
          </cell>
          <cell r="V273">
            <v>0.12363881047229486</v>
          </cell>
          <cell r="W273" t="str">
            <v/>
          </cell>
          <cell r="X273">
            <v>1.293652314683702E-3</v>
          </cell>
          <cell r="Y273">
            <v>3.4467366220021223E-3</v>
          </cell>
          <cell r="Z273">
            <v>9.3833389957745927E-3</v>
          </cell>
          <cell r="AA273">
            <v>1.7690540757743789E-2</v>
          </cell>
          <cell r="AB273" t="str">
            <v/>
          </cell>
          <cell r="AC273">
            <v>4.878935088683789E-2</v>
          </cell>
          <cell r="AD273">
            <v>8.1109189293386619E-2</v>
          </cell>
          <cell r="AE273">
            <v>0.12950190662062955</v>
          </cell>
        </row>
        <row r="274">
          <cell r="D274" t="str">
            <v>USD</v>
          </cell>
          <cell r="N274" t="str">
            <v>IRS Curve missing</v>
          </cell>
          <cell r="O274" t="str">
            <v>IRS Curve missing</v>
          </cell>
          <cell r="P274" t="str">
            <v>IRS Curve missing</v>
          </cell>
          <cell r="Q274" t="str">
            <v>IRS Curve missing</v>
          </cell>
          <cell r="R274" t="str">
            <v>IRS Curve missing</v>
          </cell>
          <cell r="S274" t="str">
            <v>IRS Curve missing</v>
          </cell>
          <cell r="T274" t="str">
            <v>IRS Curve missing</v>
          </cell>
          <cell r="U274" t="str">
            <v>IRS Curve missing</v>
          </cell>
          <cell r="V274" t="str">
            <v>IRS Curve missing</v>
          </cell>
          <cell r="W274" t="str">
            <v>IRS Curve missing</v>
          </cell>
          <cell r="X274" t="str">
            <v>IRS Curve missing</v>
          </cell>
          <cell r="Y274" t="str">
            <v>IRS Curve missing</v>
          </cell>
          <cell r="Z274" t="str">
            <v>IRS Curve missing</v>
          </cell>
          <cell r="AA274" t="str">
            <v>IRS Curve missing</v>
          </cell>
          <cell r="AB274" t="str">
            <v>IRS Curve missing</v>
          </cell>
          <cell r="AC274" t="str">
            <v>IRS Curve missing</v>
          </cell>
          <cell r="AD274" t="str">
            <v>IRS Curve missing</v>
          </cell>
          <cell r="AE274" t="str">
            <v>IRS Curve missing</v>
          </cell>
        </row>
        <row r="275">
          <cell r="D275" t="str">
            <v>EUR</v>
          </cell>
          <cell r="N275" t="str">
            <v/>
          </cell>
          <cell r="O275">
            <v>2.1825408327398543E-2</v>
          </cell>
          <cell r="P275">
            <v>3.713532583524759E-2</v>
          </cell>
          <cell r="Q275">
            <v>6.1465138088080518E-2</v>
          </cell>
          <cell r="R275">
            <v>8.4302816954063164E-2</v>
          </cell>
          <cell r="S275" t="str">
            <v/>
          </cell>
          <cell r="T275">
            <v>0.12072295355551577</v>
          </cell>
          <cell r="U275">
            <v>0.16424796212343096</v>
          </cell>
          <cell r="V275">
            <v>0.22451832002221528</v>
          </cell>
          <cell r="W275" t="str">
            <v/>
          </cell>
          <cell r="X275">
            <v>2.2901901414331682E-2</v>
          </cell>
          <cell r="Y275">
            <v>3.8951735466038251E-2</v>
          </cell>
          <cell r="Z275">
            <v>6.4430503119396021E-2</v>
          </cell>
          <cell r="AA275">
            <v>8.8314593798215046E-2</v>
          </cell>
          <cell r="AB275" t="str">
            <v/>
          </cell>
          <cell r="AC275">
            <v>0.12631799876629857</v>
          </cell>
          <cell r="AD275">
            <v>0.1716788253042465</v>
          </cell>
          <cell r="AE275">
            <v>0.23427079455824884</v>
          </cell>
        </row>
        <row r="276">
          <cell r="D276" t="str">
            <v>EUR</v>
          </cell>
          <cell r="N276" t="str">
            <v/>
          </cell>
          <cell r="O276">
            <v>1.0069820504806648E-2</v>
          </cell>
          <cell r="P276">
            <v>1.7206708673479842E-2</v>
          </cell>
          <cell r="Q276">
            <v>3.1291137588252971E-2</v>
          </cell>
          <cell r="R276">
            <v>4.6711278825774638E-2</v>
          </cell>
          <cell r="S276" t="str">
            <v/>
          </cell>
          <cell r="T276">
            <v>8.0287269930523042E-2</v>
          </cell>
          <cell r="U276">
            <v>0.1090857935665307</v>
          </cell>
          <cell r="V276">
            <v>0.15092360876265321</v>
          </cell>
          <cell r="W276" t="str">
            <v/>
          </cell>
          <cell r="X276">
            <v>1.0570281369692514E-2</v>
          </cell>
          <cell r="Y276">
            <v>1.8058579626424431E-2</v>
          </cell>
          <cell r="Z276">
            <v>3.2828371298317727E-2</v>
          </cell>
          <cell r="AA276">
            <v>4.8990289355096861E-2</v>
          </cell>
          <cell r="AB276" t="str">
            <v/>
          </cell>
          <cell r="AC276">
            <v>8.413755989934768E-2</v>
          </cell>
          <cell r="AD276">
            <v>0.11422488175560319</v>
          </cell>
          <cell r="AE276">
            <v>0.15785186378721838</v>
          </cell>
        </row>
        <row r="277">
          <cell r="D277" t="str">
            <v>USD</v>
          </cell>
          <cell r="N277" t="str">
            <v>IRS Curve missing</v>
          </cell>
          <cell r="O277" t="str">
            <v>IRS Curve missing</v>
          </cell>
          <cell r="P277" t="str">
            <v>IRS Curve missing</v>
          </cell>
          <cell r="Q277" t="str">
            <v>IRS Curve missing</v>
          </cell>
          <cell r="R277" t="str">
            <v>IRS Curve missing</v>
          </cell>
          <cell r="S277" t="str">
            <v>IRS Curve missing</v>
          </cell>
          <cell r="T277" t="str">
            <v>IRS Curve missing</v>
          </cell>
          <cell r="U277" t="str">
            <v>IRS Curve missing</v>
          </cell>
          <cell r="V277" t="str">
            <v>IRS Curve missing</v>
          </cell>
          <cell r="W277" t="str">
            <v>IRS Curve missing</v>
          </cell>
          <cell r="X277" t="str">
            <v>IRS Curve missing</v>
          </cell>
          <cell r="Y277" t="str">
            <v>IRS Curve missing</v>
          </cell>
          <cell r="Z277" t="str">
            <v>IRS Curve missing</v>
          </cell>
          <cell r="AA277" t="str">
            <v>IRS Curve missing</v>
          </cell>
          <cell r="AB277" t="str">
            <v>IRS Curve missing</v>
          </cell>
          <cell r="AC277" t="str">
            <v>IRS Curve missing</v>
          </cell>
          <cell r="AD277" t="str">
            <v>IRS Curve missing</v>
          </cell>
          <cell r="AE277" t="str">
            <v>IRS Curve missing</v>
          </cell>
        </row>
        <row r="278">
          <cell r="D278" t="str">
            <v>EUR</v>
          </cell>
          <cell r="N278" t="str">
            <v/>
          </cell>
          <cell r="O278">
            <v>1.4111789373691952E-3</v>
          </cell>
          <cell r="P278">
            <v>3.4431525528769713E-3</v>
          </cell>
          <cell r="Q278">
            <v>1.0449032536976599E-2</v>
          </cell>
          <cell r="R278">
            <v>1.8999814037624074E-2</v>
          </cell>
          <cell r="S278" t="str">
            <v/>
          </cell>
          <cell r="T278">
            <v>3.9709005219032423E-2</v>
          </cell>
          <cell r="U278">
            <v>6.3346468853093585E-2</v>
          </cell>
          <cell r="V278">
            <v>0.10707149788298254</v>
          </cell>
          <cell r="W278" t="str">
            <v/>
          </cell>
          <cell r="X278">
            <v>1.5286818104438549E-3</v>
          </cell>
          <cell r="Y278">
            <v>3.6442988133077447E-3</v>
          </cell>
          <cell r="Z278">
            <v>1.0967183165382255E-2</v>
          </cell>
          <cell r="AA278">
            <v>1.9940099735572203E-2</v>
          </cell>
          <cell r="AB278" t="str">
            <v/>
          </cell>
          <cell r="AC278">
            <v>4.1659749120524281E-2</v>
          </cell>
          <cell r="AD278">
            <v>6.6427452002481679E-2</v>
          </cell>
          <cell r="AE278">
            <v>0.11218628176922074</v>
          </cell>
        </row>
        <row r="279">
          <cell r="D279" t="str">
            <v>EUR</v>
          </cell>
          <cell r="N279" t="str">
            <v/>
          </cell>
          <cell r="O279">
            <v>1.2936564344949719E-3</v>
          </cell>
          <cell r="P279">
            <v>3.0371385243767035E-3</v>
          </cell>
          <cell r="Q279">
            <v>7.0523081357990458E-3</v>
          </cell>
          <cell r="R279">
            <v>1.4152379480836363E-2</v>
          </cell>
          <cell r="S279" t="str">
            <v/>
          </cell>
          <cell r="T279">
            <v>3.3836434234451929E-2</v>
          </cell>
          <cell r="U279">
            <v>5.8057670574571452E-2</v>
          </cell>
          <cell r="V279">
            <v>9.953756197822039E-2</v>
          </cell>
          <cell r="W279" t="str">
            <v/>
          </cell>
          <cell r="X279">
            <v>1.4111739830211523E-3</v>
          </cell>
          <cell r="Y279">
            <v>3.2383529486319507E-3</v>
          </cell>
          <cell r="Z279">
            <v>7.4194568097494251E-3</v>
          </cell>
          <cell r="AA279">
            <v>1.4851488418520242E-2</v>
          </cell>
          <cell r="AB279" t="str">
            <v/>
          </cell>
          <cell r="AC279">
            <v>3.5502549369802572E-2</v>
          </cell>
          <cell r="AD279">
            <v>6.0891743334757109E-2</v>
          </cell>
          <cell r="AE279">
            <v>0.10431506579013672</v>
          </cell>
        </row>
        <row r="280">
          <cell r="D280" t="str">
            <v>EUR</v>
          </cell>
          <cell r="N280" t="str">
            <v/>
          </cell>
          <cell r="O280">
            <v>1.2936564344949719E-3</v>
          </cell>
          <cell r="P280">
            <v>3.2419657329573193E-3</v>
          </cell>
          <cell r="Q280">
            <v>7.4177263808794525E-3</v>
          </cell>
          <cell r="R280">
            <v>1.5245045550931202E-2</v>
          </cell>
          <cell r="S280" t="str">
            <v/>
          </cell>
          <cell r="T280">
            <v>3.460989176827034E-2</v>
          </cell>
          <cell r="U280">
            <v>5.6479424568010583E-2</v>
          </cell>
          <cell r="V280">
            <v>9.7636050186695522E-2</v>
          </cell>
          <cell r="W280" t="str">
            <v/>
          </cell>
          <cell r="X280">
            <v>1.4111739830211523E-3</v>
          </cell>
          <cell r="Y280">
            <v>3.4431523976948819E-3</v>
          </cell>
          <cell r="Z280">
            <v>7.78474444864663E-3</v>
          </cell>
          <cell r="AA280">
            <v>1.5999449974483659E-2</v>
          </cell>
          <cell r="AB280" t="str">
            <v/>
          </cell>
          <cell r="AC280">
            <v>3.6313585072826782E-2</v>
          </cell>
          <cell r="AD280">
            <v>5.9235632755419543E-2</v>
          </cell>
          <cell r="AE280">
            <v>0.10232384305766984</v>
          </cell>
        </row>
        <row r="281">
          <cell r="D281" t="str">
            <v>USD</v>
          </cell>
          <cell r="N281" t="str">
            <v>IRS Curve missing</v>
          </cell>
          <cell r="O281" t="str">
            <v>IRS Curve missing</v>
          </cell>
          <cell r="P281" t="str">
            <v>IRS Curve missing</v>
          </cell>
          <cell r="Q281" t="str">
            <v>IRS Curve missing</v>
          </cell>
          <cell r="R281" t="str">
            <v>IRS Curve missing</v>
          </cell>
          <cell r="S281" t="str">
            <v>IRS Curve missing</v>
          </cell>
          <cell r="T281" t="str">
            <v>IRS Curve missing</v>
          </cell>
          <cell r="U281" t="str">
            <v>IRS Curve missing</v>
          </cell>
          <cell r="V281" t="str">
            <v>IRS Curve missing</v>
          </cell>
          <cell r="W281" t="str">
            <v>IRS Curve missing</v>
          </cell>
          <cell r="X281" t="str">
            <v>IRS Curve missing</v>
          </cell>
          <cell r="Y281" t="str">
            <v>IRS Curve missing</v>
          </cell>
          <cell r="Z281" t="str">
            <v>IRS Curve missing</v>
          </cell>
          <cell r="AA281" t="str">
            <v>IRS Curve missing</v>
          </cell>
          <cell r="AB281" t="str">
            <v>IRS Curve missing</v>
          </cell>
          <cell r="AC281" t="str">
            <v>IRS Curve missing</v>
          </cell>
          <cell r="AD281" t="str">
            <v>IRS Curve missing</v>
          </cell>
          <cell r="AE281" t="str">
            <v>IRS Curve missing</v>
          </cell>
        </row>
        <row r="282">
          <cell r="D282" t="str">
            <v>EUR</v>
          </cell>
          <cell r="N282" t="str">
            <v/>
          </cell>
          <cell r="O282">
            <v>9.4100633706173387E-4</v>
          </cell>
          <cell r="P282">
            <v>2.0232612561962293E-3</v>
          </cell>
          <cell r="Q282">
            <v>7.1159203209344435E-3</v>
          </cell>
          <cell r="R282">
            <v>1.3070807781553895E-2</v>
          </cell>
          <cell r="S282" t="str">
            <v/>
          </cell>
          <cell r="T282">
            <v>3.4079363455269962E-2</v>
          </cell>
          <cell r="U282">
            <v>5.5502030521142998E-2</v>
          </cell>
          <cell r="V282">
            <v>9.4553893679440892E-2</v>
          </cell>
          <cell r="W282" t="str">
            <v/>
          </cell>
          <cell r="X282">
            <v>1.0585674487949559E-3</v>
          </cell>
          <cell r="Y282">
            <v>2.2246532190236534E-3</v>
          </cell>
          <cell r="Z282">
            <v>7.483271245583456E-3</v>
          </cell>
          <cell r="AA282">
            <v>1.3715095125287124E-2</v>
          </cell>
          <cell r="AB282" t="str">
            <v/>
          </cell>
          <cell r="AC282">
            <v>3.5754115520358454E-2</v>
          </cell>
          <cell r="AD282">
            <v>5.8209914058552803E-2</v>
          </cell>
          <cell r="AE282">
            <v>9.909506455409367E-2</v>
          </cell>
        </row>
        <row r="283">
          <cell r="D283" t="str">
            <v>USD</v>
          </cell>
          <cell r="N283" t="str">
            <v>IRS Curve missing</v>
          </cell>
          <cell r="O283" t="str">
            <v>IRS Curve missing</v>
          </cell>
          <cell r="P283" t="str">
            <v>IRS Curve missing</v>
          </cell>
          <cell r="Q283" t="str">
            <v>IRS Curve missing</v>
          </cell>
          <cell r="R283" t="str">
            <v>IRS Curve missing</v>
          </cell>
          <cell r="S283" t="str">
            <v>IRS Curve missing</v>
          </cell>
          <cell r="T283" t="str">
            <v>IRS Curve missing</v>
          </cell>
          <cell r="U283" t="str">
            <v>IRS Curve missing</v>
          </cell>
          <cell r="V283" t="str">
            <v>IRS Curve missing</v>
          </cell>
          <cell r="W283" t="str">
            <v>IRS Curve missing</v>
          </cell>
          <cell r="X283" t="str">
            <v>IRS Curve missing</v>
          </cell>
          <cell r="Y283" t="str">
            <v>IRS Curve missing</v>
          </cell>
          <cell r="Z283" t="str">
            <v>IRS Curve missing</v>
          </cell>
          <cell r="AA283" t="str">
            <v>IRS Curve missing</v>
          </cell>
          <cell r="AB283" t="str">
            <v>IRS Curve missing</v>
          </cell>
          <cell r="AC283" t="str">
            <v>IRS Curve missing</v>
          </cell>
          <cell r="AD283" t="str">
            <v>IRS Curve missing</v>
          </cell>
          <cell r="AE283" t="str">
            <v>IRS Curve missing</v>
          </cell>
        </row>
        <row r="284">
          <cell r="D284" t="str">
            <v>USD</v>
          </cell>
          <cell r="N284" t="str">
            <v>IRS Curve missing</v>
          </cell>
          <cell r="O284" t="str">
            <v>IRS Curve missing</v>
          </cell>
          <cell r="P284" t="str">
            <v>IRS Curve missing</v>
          </cell>
          <cell r="Q284" t="str">
            <v>IRS Curve missing</v>
          </cell>
          <cell r="R284" t="str">
            <v>IRS Curve missing</v>
          </cell>
          <cell r="S284" t="str">
            <v>IRS Curve missing</v>
          </cell>
          <cell r="T284" t="str">
            <v>IRS Curve missing</v>
          </cell>
          <cell r="U284" t="str">
            <v>IRS Curve missing</v>
          </cell>
          <cell r="V284" t="str">
            <v>IRS Curve missing</v>
          </cell>
          <cell r="W284" t="str">
            <v>IRS Curve missing</v>
          </cell>
          <cell r="X284" t="str">
            <v>IRS Curve missing</v>
          </cell>
          <cell r="Y284" t="str">
            <v>IRS Curve missing</v>
          </cell>
          <cell r="Z284" t="str">
            <v>IRS Curve missing</v>
          </cell>
          <cell r="AA284" t="str">
            <v>IRS Curve missing</v>
          </cell>
          <cell r="AB284" t="str">
            <v>IRS Curve missing</v>
          </cell>
          <cell r="AC284" t="str">
            <v>IRS Curve missing</v>
          </cell>
          <cell r="AD284" t="str">
            <v>IRS Curve missing</v>
          </cell>
          <cell r="AE284" t="str">
            <v>IRS Curve missing</v>
          </cell>
        </row>
        <row r="285">
          <cell r="D285" t="str">
            <v>EUR</v>
          </cell>
          <cell r="N285" t="str">
            <v/>
          </cell>
          <cell r="O285">
            <v>7.0583742388907744E-4</v>
          </cell>
          <cell r="P285">
            <v>1.6203553656132241E-3</v>
          </cell>
          <cell r="Q285">
            <v>4.8594954258025513E-3</v>
          </cell>
          <cell r="R285">
            <v>1.0406378585976039E-2</v>
          </cell>
          <cell r="S285" t="str">
            <v/>
          </cell>
          <cell r="T285">
            <v>2.7886487593409948E-2</v>
          </cell>
          <cell r="U285">
            <v>4.9953150970014071E-2</v>
          </cell>
          <cell r="V285">
            <v>8.8557199083157512E-2</v>
          </cell>
          <cell r="W285" t="str">
            <v/>
          </cell>
          <cell r="X285">
            <v>8.2342719960870614E-4</v>
          </cell>
          <cell r="Y285">
            <v>1.821828632852851E-3</v>
          </cell>
          <cell r="Z285">
            <v>5.2274917330524806E-3</v>
          </cell>
          <cell r="AA285">
            <v>1.093902425339055E-2</v>
          </cell>
          <cell r="AB285" t="str">
            <v/>
          </cell>
          <cell r="AC285">
            <v>2.9255775658190264E-2</v>
          </cell>
          <cell r="AD285">
            <v>5.2388830169672551E-2</v>
          </cell>
          <cell r="AE285">
            <v>9.2828008996462041E-2</v>
          </cell>
        </row>
        <row r="286">
          <cell r="D286" t="str">
            <v>EUR</v>
          </cell>
          <cell r="N286" t="str">
            <v/>
          </cell>
          <cell r="O286">
            <v>5.8823230557913941E-4</v>
          </cell>
          <cell r="P286">
            <v>1.4188416515668045E-3</v>
          </cell>
          <cell r="Q286">
            <v>4.8720751068437318E-3</v>
          </cell>
          <cell r="R286">
            <v>9.2866124978218112E-3</v>
          </cell>
          <cell r="S286" t="str">
            <v/>
          </cell>
          <cell r="T286">
            <v>2.6173399538956255E-2</v>
          </cell>
          <cell r="U286">
            <v>4.8941354748073596E-2</v>
          </cell>
          <cell r="V286">
            <v>8.7108326374756628E-2</v>
          </cell>
          <cell r="W286" t="str">
            <v/>
          </cell>
          <cell r="X286">
            <v>7.0583630213449933E-4</v>
          </cell>
          <cell r="Y286">
            <v>1.6203554628971828E-3</v>
          </cell>
          <cell r="Z286">
            <v>5.2401141001492402E-3</v>
          </cell>
          <cell r="AA286">
            <v>9.8196585523828706E-3</v>
          </cell>
          <cell r="AB286" t="str">
            <v/>
          </cell>
          <cell r="AC286">
            <v>2.7450358945815601E-2</v>
          </cell>
          <cell r="AD286">
            <v>5.1327541220227868E-2</v>
          </cell>
          <cell r="AE286">
            <v>9.130332016713516E-2</v>
          </cell>
        </row>
        <row r="287">
          <cell r="D287" t="str">
            <v>EUR</v>
          </cell>
          <cell r="N287" t="str">
            <v/>
          </cell>
          <cell r="O287">
            <v>8.2342876691621214E-4</v>
          </cell>
          <cell r="P287">
            <v>1.6167208634250141E-3</v>
          </cell>
          <cell r="Q287">
            <v>4.8575337401989271E-3</v>
          </cell>
          <cell r="R287">
            <v>1.0967821178666237E-2</v>
          </cell>
          <cell r="S287" t="str">
            <v/>
          </cell>
          <cell r="T287">
            <v>2.968685097722612E-2</v>
          </cell>
          <cell r="U287">
            <v>4.9652563994517007E-2</v>
          </cell>
          <cell r="V287">
            <v>8.6442398773325047E-2</v>
          </cell>
          <cell r="W287" t="str">
            <v/>
          </cell>
          <cell r="X287">
            <v>9.4100424795140469E-4</v>
          </cell>
          <cell r="Y287">
            <v>1.8181813004158887E-3</v>
          </cell>
          <cell r="Z287">
            <v>5.2255253273290059E-3</v>
          </cell>
          <cell r="AA287">
            <v>1.1500274234566121E-2</v>
          </cell>
          <cell r="AB287" t="str">
            <v/>
          </cell>
          <cell r="AC287">
            <v>3.1149158528609888E-2</v>
          </cell>
          <cell r="AD287">
            <v>5.209321679049328E-2</v>
          </cell>
          <cell r="AE287">
            <v>9.0613224268349724E-2</v>
          </cell>
        </row>
        <row r="288">
          <cell r="D288" t="str">
            <v>USD</v>
          </cell>
          <cell r="N288" t="str">
            <v>IRS Curve missing</v>
          </cell>
          <cell r="O288" t="str">
            <v>IRS Curve missing</v>
          </cell>
          <cell r="P288" t="str">
            <v>IRS Curve missing</v>
          </cell>
          <cell r="Q288" t="str">
            <v>IRS Curve missing</v>
          </cell>
          <cell r="R288" t="str">
            <v>IRS Curve missing</v>
          </cell>
          <cell r="S288" t="str">
            <v>IRS Curve missing</v>
          </cell>
          <cell r="T288" t="str">
            <v>IRS Curve missing</v>
          </cell>
          <cell r="U288" t="str">
            <v>IRS Curve missing</v>
          </cell>
          <cell r="V288" t="str">
            <v>IRS Curve missing</v>
          </cell>
          <cell r="W288" t="str">
            <v>IRS Curve missing</v>
          </cell>
          <cell r="X288" t="str">
            <v>IRS Curve missing</v>
          </cell>
          <cell r="Y288" t="str">
            <v>IRS Curve missing</v>
          </cell>
          <cell r="Z288" t="str">
            <v>IRS Curve missing</v>
          </cell>
          <cell r="AA288" t="str">
            <v>IRS Curve missing</v>
          </cell>
          <cell r="AB288" t="str">
            <v>IRS Curve missing</v>
          </cell>
          <cell r="AC288" t="str">
            <v>IRS Curve missing</v>
          </cell>
          <cell r="AD288" t="str">
            <v>IRS Curve missing</v>
          </cell>
          <cell r="AE288" t="str">
            <v>IRS Curve missing</v>
          </cell>
        </row>
        <row r="289">
          <cell r="D289" t="str">
            <v>EUR</v>
          </cell>
          <cell r="N289" t="str">
            <v/>
          </cell>
          <cell r="O289">
            <v>8.2342876691621214E-4</v>
          </cell>
          <cell r="P289">
            <v>1.8218285837172665E-3</v>
          </cell>
          <cell r="Q289">
            <v>4.8467731924392021E-3</v>
          </cell>
          <cell r="R289">
            <v>9.8315375064832455E-3</v>
          </cell>
          <cell r="S289" t="str">
            <v/>
          </cell>
          <cell r="T289">
            <v>2.6064599916965747E-2</v>
          </cell>
          <cell r="U289">
            <v>4.481346221736604E-2</v>
          </cell>
          <cell r="V289">
            <v>7.783749086492886E-2</v>
          </cell>
          <cell r="W289" t="str">
            <v/>
          </cell>
          <cell r="X289">
            <v>9.4100424795140469E-4</v>
          </cell>
          <cell r="Y289">
            <v>2.0232613221308204E-3</v>
          </cell>
          <cell r="Z289">
            <v>5.2147267725027868E-3</v>
          </cell>
          <cell r="AA289">
            <v>1.0364335105939815E-2</v>
          </cell>
          <cell r="AB289" t="str">
            <v/>
          </cell>
          <cell r="AC289">
            <v>2.7341362892103649E-2</v>
          </cell>
          <cell r="AD289">
            <v>4.6998045361279273E-2</v>
          </cell>
          <cell r="AE289">
            <v>8.1600106941085659E-2</v>
          </cell>
        </row>
        <row r="290">
          <cell r="D290" t="str">
            <v>EUR</v>
          </cell>
          <cell r="N290" t="str">
            <v/>
          </cell>
          <cell r="O290">
            <v>7.0583742388907744E-4</v>
          </cell>
          <cell r="P290">
            <v>1.4152198693172524E-3</v>
          </cell>
          <cell r="Q290">
            <v>4.4894063326089695E-3</v>
          </cell>
          <cell r="R290">
            <v>9.8706094274730871E-3</v>
          </cell>
          <cell r="S290" t="str">
            <v/>
          </cell>
          <cell r="T290">
            <v>2.5154733686432174E-2</v>
          </cell>
          <cell r="U290">
            <v>4.3635267708081793E-2</v>
          </cell>
          <cell r="V290">
            <v>7.815301965448318E-2</v>
          </cell>
          <cell r="W290" t="str">
            <v/>
          </cell>
          <cell r="X290">
            <v>8.2342719960870614E-4</v>
          </cell>
          <cell r="Y290">
            <v>1.6167209125957926E-3</v>
          </cell>
          <cell r="Z290">
            <v>4.8575339699230557E-3</v>
          </cell>
          <cell r="AA290">
            <v>1.040353298454888E-2</v>
          </cell>
          <cell r="AB290" t="str">
            <v/>
          </cell>
          <cell r="AC290">
            <v>2.638577341576942E-2</v>
          </cell>
          <cell r="AD290">
            <v>4.5762685136851777E-2</v>
          </cell>
          <cell r="AE290">
            <v>8.192964486089882E-2</v>
          </cell>
        </row>
        <row r="291">
          <cell r="D291" t="str">
            <v>USD</v>
          </cell>
          <cell r="N291" t="str">
            <v>IRS Curve missing</v>
          </cell>
          <cell r="O291" t="str">
            <v>IRS Curve missing</v>
          </cell>
          <cell r="P291" t="str">
            <v>IRS Curve missing</v>
          </cell>
          <cell r="Q291" t="str">
            <v>IRS Curve missing</v>
          </cell>
          <cell r="R291" t="str">
            <v>IRS Curve missing</v>
          </cell>
          <cell r="S291" t="str">
            <v>IRS Curve missing</v>
          </cell>
          <cell r="T291" t="str">
            <v>IRS Curve missing</v>
          </cell>
          <cell r="U291" t="str">
            <v>IRS Curve missing</v>
          </cell>
          <cell r="V291" t="str">
            <v>IRS Curve missing</v>
          </cell>
          <cell r="W291" t="str">
            <v>IRS Curve missing</v>
          </cell>
          <cell r="X291" t="str">
            <v>IRS Curve missing</v>
          </cell>
          <cell r="Y291" t="str">
            <v>IRS Curve missing</v>
          </cell>
          <cell r="Z291" t="str">
            <v>IRS Curve missing</v>
          </cell>
          <cell r="AA291" t="str">
            <v>IRS Curve missing</v>
          </cell>
          <cell r="AB291" t="str">
            <v>IRS Curve missing</v>
          </cell>
          <cell r="AC291" t="str">
            <v>IRS Curve missing</v>
          </cell>
          <cell r="AD291" t="str">
            <v>IRS Curve missing</v>
          </cell>
          <cell r="AE291" t="str">
            <v>IRS Curve missing</v>
          </cell>
        </row>
        <row r="292">
          <cell r="D292" t="str">
            <v>EUR</v>
          </cell>
          <cell r="N292" t="str">
            <v/>
          </cell>
          <cell r="O292">
            <v>5.3402458774353123E-3</v>
          </cell>
          <cell r="P292">
            <v>1.1442577284638378E-2</v>
          </cell>
          <cell r="Q292">
            <v>2.9322740431260041E-2</v>
          </cell>
          <cell r="R292">
            <v>5.2480295536506238E-2</v>
          </cell>
          <cell r="S292" t="str">
            <v/>
          </cell>
          <cell r="T292">
            <v>0.10704829912234537</v>
          </cell>
          <cell r="U292">
            <v>0.1497436956447149</v>
          </cell>
          <cell r="V292">
            <v>0.21317690122346111</v>
          </cell>
          <cell r="W292" t="str">
            <v/>
          </cell>
          <cell r="X292">
            <v>5.6064194613227869E-3</v>
          </cell>
          <cell r="Y292">
            <v>1.201157626022975E-2</v>
          </cell>
          <cell r="Z292">
            <v>3.0770579561296363E-2</v>
          </cell>
          <cell r="AA292">
            <v>5.5047283556154181E-2</v>
          </cell>
          <cell r="AB292" t="str">
            <v/>
          </cell>
          <cell r="AC292">
            <v>0.11215763052270766</v>
          </cell>
          <cell r="AD292">
            <v>0.15669681102393851</v>
          </cell>
          <cell r="AE292">
            <v>0.22269283062839884</v>
          </cell>
        </row>
        <row r="293">
          <cell r="D293" t="str">
            <v>EUR</v>
          </cell>
          <cell r="N293" t="str">
            <v/>
          </cell>
          <cell r="O293">
            <v>1.1908129544474511E-3</v>
          </cell>
          <cell r="P293">
            <v>3.5317206595276707E-3</v>
          </cell>
          <cell r="Q293">
            <v>1.077486328266164E-2</v>
          </cell>
          <cell r="R293">
            <v>2.1820607849739937E-2</v>
          </cell>
          <cell r="S293" t="str">
            <v/>
          </cell>
          <cell r="T293">
            <v>4.7684443609287808E-2</v>
          </cell>
          <cell r="U293">
            <v>7.2647316610652712E-2</v>
          </cell>
          <cell r="V293">
            <v>0.10670857449507598</v>
          </cell>
          <cell r="W293" t="str">
            <v/>
          </cell>
          <cell r="X293">
            <v>1.2789611338758222E-3</v>
          </cell>
          <cell r="Y293">
            <v>3.7071549238550938E-3</v>
          </cell>
          <cell r="Z293">
            <v>1.1311594331910979E-2</v>
          </cell>
          <cell r="AA293">
            <v>2.2902325311945249E-2</v>
          </cell>
          <cell r="AB293" t="str">
            <v/>
          </cell>
          <cell r="AC293">
            <v>5.0024336047996054E-2</v>
          </cell>
          <cell r="AD293">
            <v>7.6166548596017569E-2</v>
          </cell>
          <cell r="AE293">
            <v>0.11178077759494665</v>
          </cell>
        </row>
        <row r="294">
          <cell r="D294" t="str">
            <v>EUR</v>
          </cell>
          <cell r="N294" t="str">
            <v/>
          </cell>
          <cell r="O294">
            <v>6.7055733490284375E-4</v>
          </cell>
          <cell r="P294">
            <v>2.5233247252822721E-3</v>
          </cell>
          <cell r="Q294">
            <v>7.2743690251495519E-3</v>
          </cell>
          <cell r="R294">
            <v>1.4573708600293722E-2</v>
          </cell>
          <cell r="S294" t="str">
            <v/>
          </cell>
          <cell r="T294">
            <v>3.5689008465109251E-2</v>
          </cell>
          <cell r="U294">
            <v>6.062707353289587E-2</v>
          </cell>
          <cell r="V294">
            <v>0.11056936043467502</v>
          </cell>
          <cell r="W294" t="str">
            <v/>
          </cell>
          <cell r="X294">
            <v>7.8815138458854239E-4</v>
          </cell>
          <cell r="Y294">
            <v>2.7246796965905151E-3</v>
          </cell>
          <cell r="Z294">
            <v>7.6415965891124538E-3</v>
          </cell>
          <cell r="AA294">
            <v>1.5292560124031795E-2</v>
          </cell>
          <cell r="AB294" t="str">
            <v/>
          </cell>
          <cell r="AC294">
            <v>3.7441381372949833E-2</v>
          </cell>
          <cell r="AD294">
            <v>6.3582916796199207E-2</v>
          </cell>
          <cell r="AE294">
            <v>0.11586163876168776</v>
          </cell>
        </row>
        <row r="295">
          <cell r="D295" t="str">
            <v>USD</v>
          </cell>
          <cell r="N295" t="str">
            <v/>
          </cell>
          <cell r="O295" t="str">
            <v/>
          </cell>
          <cell r="P295">
            <v>1.2987072106885877E-3</v>
          </cell>
          <cell r="Q295" t="str">
            <v/>
          </cell>
          <cell r="R295">
            <v>1.3387749100235657E-2</v>
          </cell>
          <cell r="S295" t="str">
            <v/>
          </cell>
          <cell r="T295">
            <v>2.9923147780582027E-2</v>
          </cell>
          <cell r="U295">
            <v>5.4695927926464494E-2</v>
          </cell>
          <cell r="V295">
            <v>9.4378136591054207E-2</v>
          </cell>
          <cell r="W295" t="str">
            <v/>
          </cell>
          <cell r="X295" t="str">
            <v/>
          </cell>
          <cell r="Y295">
            <v>1.5002101717112026E-3</v>
          </cell>
          <cell r="Z295" t="str">
            <v/>
          </cell>
          <cell r="AA295">
            <v>1.4038139513314118E-2</v>
          </cell>
          <cell r="AB295" t="str">
            <v/>
          </cell>
          <cell r="AC295">
            <v>3.1393097207592535E-2</v>
          </cell>
          <cell r="AD295">
            <v>5.7361278635626678E-2</v>
          </cell>
          <cell r="AE295">
            <v>9.8921798691581242E-2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1.2583998606884306E-3</v>
          </cell>
          <cell r="Q296" t="str">
            <v/>
          </cell>
          <cell r="R296">
            <v>1.156943101520036E-2</v>
          </cell>
          <cell r="S296" t="str">
            <v/>
          </cell>
          <cell r="T296">
            <v>2.3097204433489171E-2</v>
          </cell>
          <cell r="U296">
            <v>4.536659525329112E-2</v>
          </cell>
          <cell r="V296">
            <v>8.2244448706255135E-2</v>
          </cell>
          <cell r="W296" t="str">
            <v/>
          </cell>
          <cell r="X296" t="str">
            <v/>
          </cell>
          <cell r="Y296">
            <v>1.4599114172699768E-3</v>
          </cell>
          <cell r="Z296" t="str">
            <v/>
          </cell>
          <cell r="AA296">
            <v>1.2129479609795046E-2</v>
          </cell>
          <cell r="AB296" t="str">
            <v/>
          </cell>
          <cell r="AC296">
            <v>2.423192592925516E-2</v>
          </cell>
          <cell r="AD296">
            <v>4.7583320217393088E-2</v>
          </cell>
          <cell r="AE296">
            <v>8.6227828222165348E-2</v>
          </cell>
        </row>
        <row r="297">
          <cell r="D297" t="str">
            <v>USD</v>
          </cell>
          <cell r="N297" t="str">
            <v>IRS Curve missing</v>
          </cell>
          <cell r="O297" t="str">
            <v>IRS Curve missing</v>
          </cell>
          <cell r="P297" t="str">
            <v>IRS Curve missing</v>
          </cell>
          <cell r="Q297" t="str">
            <v>IRS Curve missing</v>
          </cell>
          <cell r="R297" t="str">
            <v>IRS Curve missing</v>
          </cell>
          <cell r="S297" t="str">
            <v>IRS Curve missing</v>
          </cell>
          <cell r="T297" t="str">
            <v>IRS Curve missing</v>
          </cell>
          <cell r="U297" t="str">
            <v>IRS Curve missing</v>
          </cell>
          <cell r="V297" t="str">
            <v>IRS Curve missing</v>
          </cell>
          <cell r="W297" t="str">
            <v>IRS Curve missing</v>
          </cell>
          <cell r="X297" t="str">
            <v>IRS Curve missing</v>
          </cell>
          <cell r="Y297" t="str">
            <v>IRS Curve missing</v>
          </cell>
          <cell r="Z297" t="str">
            <v>IRS Curve missing</v>
          </cell>
          <cell r="AA297" t="str">
            <v>IRS Curve missing</v>
          </cell>
          <cell r="AB297" t="str">
            <v>IRS Curve missing</v>
          </cell>
          <cell r="AC297" t="str">
            <v>IRS Curve missing</v>
          </cell>
          <cell r="AD297" t="str">
            <v>IRS Curve missing</v>
          </cell>
          <cell r="AE297" t="str">
            <v>IRS Curve missing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2.418606363132958E-3</v>
          </cell>
          <cell r="Q298" t="str">
            <v/>
          </cell>
          <cell r="R298">
            <v>1.0867860177012467E-2</v>
          </cell>
          <cell r="S298" t="str">
            <v/>
          </cell>
          <cell r="T298">
            <v>2.6878134161793965E-2</v>
          </cell>
          <cell r="U298">
            <v>5.020504347264787E-2</v>
          </cell>
          <cell r="V298">
            <v>9.9388944843031846E-2</v>
          </cell>
          <cell r="W298" t="str">
            <v/>
          </cell>
          <cell r="X298" t="str">
            <v/>
          </cell>
          <cell r="Y298">
            <v>2.6198641849348725E-3</v>
          </cell>
          <cell r="Z298" t="str">
            <v/>
          </cell>
          <cell r="AA298">
            <v>1.1399912592475525E-2</v>
          </cell>
          <cell r="AB298" t="str">
            <v/>
          </cell>
          <cell r="AC298">
            <v>2.82031212097833E-2</v>
          </cell>
          <cell r="AD298">
            <v>5.2661349414527825E-2</v>
          </cell>
          <cell r="AE298">
            <v>0.10418551860643799</v>
          </cell>
        </row>
        <row r="299">
          <cell r="D299" t="str">
            <v>USD</v>
          </cell>
          <cell r="N299" t="str">
            <v>IRS Curve missing</v>
          </cell>
          <cell r="O299" t="str">
            <v>IRS Curve missing</v>
          </cell>
          <cell r="P299" t="str">
            <v>IRS Curve missing</v>
          </cell>
          <cell r="Q299" t="str">
            <v>IRS Curve missing</v>
          </cell>
          <cell r="R299" t="str">
            <v>IRS Curve missing</v>
          </cell>
          <cell r="S299" t="str">
            <v>IRS Curve missing</v>
          </cell>
          <cell r="T299" t="str">
            <v>IRS Curve missing</v>
          </cell>
          <cell r="U299" t="str">
            <v>IRS Curve missing</v>
          </cell>
          <cell r="V299" t="str">
            <v>IRS Curve missing</v>
          </cell>
          <cell r="W299" t="str">
            <v>IRS Curve missing</v>
          </cell>
          <cell r="X299" t="str">
            <v>IRS Curve missing</v>
          </cell>
          <cell r="Y299" t="str">
            <v>IRS Curve missing</v>
          </cell>
          <cell r="Z299" t="str">
            <v>IRS Curve missing</v>
          </cell>
          <cell r="AA299" t="str">
            <v>IRS Curve missing</v>
          </cell>
          <cell r="AB299" t="str">
            <v>IRS Curve missing</v>
          </cell>
          <cell r="AC299" t="str">
            <v>IRS Curve missing</v>
          </cell>
          <cell r="AD299" t="str">
            <v>IRS Curve missing</v>
          </cell>
          <cell r="AE299" t="str">
            <v>IRS Curve missing</v>
          </cell>
        </row>
        <row r="300">
          <cell r="D300" t="str">
            <v>USD</v>
          </cell>
          <cell r="N300" t="str">
            <v>IRS Curve missing</v>
          </cell>
          <cell r="O300" t="str">
            <v>IRS Curve missing</v>
          </cell>
          <cell r="P300" t="str">
            <v>IRS Curve missing</v>
          </cell>
          <cell r="Q300" t="str">
            <v>IRS Curve missing</v>
          </cell>
          <cell r="R300" t="str">
            <v>IRS Curve missing</v>
          </cell>
          <cell r="S300" t="str">
            <v>IRS Curve missing</v>
          </cell>
          <cell r="T300" t="str">
            <v>IRS Curve missing</v>
          </cell>
          <cell r="U300" t="str">
            <v>IRS Curve missing</v>
          </cell>
          <cell r="V300" t="str">
            <v>IRS Curve missing</v>
          </cell>
          <cell r="W300" t="str">
            <v>IRS Curve missing</v>
          </cell>
          <cell r="X300" t="str">
            <v>IRS Curve missing</v>
          </cell>
          <cell r="Y300" t="str">
            <v>IRS Curve missing</v>
          </cell>
          <cell r="Z300" t="str">
            <v>IRS Curve missing</v>
          </cell>
          <cell r="AA300" t="str">
            <v>IRS Curve missing</v>
          </cell>
          <cell r="AB300" t="str">
            <v>IRS Curve missing</v>
          </cell>
          <cell r="AC300" t="str">
            <v>IRS Curve missing</v>
          </cell>
          <cell r="AD300" t="str">
            <v>IRS Curve missing</v>
          </cell>
          <cell r="AE300" t="str">
            <v>IRS Curve missing</v>
          </cell>
        </row>
        <row r="301">
          <cell r="D301" t="str">
            <v>EUR</v>
          </cell>
          <cell r="N301" t="str">
            <v/>
          </cell>
          <cell r="O301">
            <v>7.0583742388907744E-4</v>
          </cell>
          <cell r="P301">
            <v>1.2108584765612163E-3</v>
          </cell>
          <cell r="Q301">
            <v>4.4980428822751772E-3</v>
          </cell>
          <cell r="R301">
            <v>9.8768059276036491E-3</v>
          </cell>
          <cell r="S301" t="str">
            <v/>
          </cell>
          <cell r="T301">
            <v>2.6112586819173722E-2</v>
          </cell>
          <cell r="U301">
            <v>4.3523355702255517E-2</v>
          </cell>
          <cell r="V301">
            <v>8.0186083374209294E-2</v>
          </cell>
          <cell r="W301" t="str">
            <v/>
          </cell>
          <cell r="X301">
            <v>8.2342719960870614E-4</v>
          </cell>
          <cell r="Y301">
            <v>1.4123961831609133E-3</v>
          </cell>
          <cell r="Z301">
            <v>4.8662082932021677E-3</v>
          </cell>
          <cell r="AA301">
            <v>1.0409753065379612E-2</v>
          </cell>
          <cell r="AB301" t="str">
            <v/>
          </cell>
          <cell r="AC301">
            <v>2.7388332733006893E-2</v>
          </cell>
          <cell r="AD301">
            <v>4.5645087522733552E-2</v>
          </cell>
          <cell r="AE301">
            <v>8.4061081875949628E-2</v>
          </cell>
        </row>
        <row r="302">
          <cell r="D302" t="str">
            <v>USD</v>
          </cell>
          <cell r="N302" t="str">
            <v>IRS Curve missing</v>
          </cell>
          <cell r="O302" t="str">
            <v>IRS Curve missing</v>
          </cell>
          <cell r="P302" t="str">
            <v>IRS Curve missing</v>
          </cell>
          <cell r="Q302" t="str">
            <v>IRS Curve missing</v>
          </cell>
          <cell r="R302" t="str">
            <v>IRS Curve missing</v>
          </cell>
          <cell r="S302" t="str">
            <v>IRS Curve missing</v>
          </cell>
          <cell r="T302" t="str">
            <v>IRS Curve missing</v>
          </cell>
          <cell r="U302" t="str">
            <v>IRS Curve missing</v>
          </cell>
          <cell r="V302" t="str">
            <v>IRS Curve missing</v>
          </cell>
          <cell r="W302" t="str">
            <v>IRS Curve missing</v>
          </cell>
          <cell r="X302" t="str">
            <v>IRS Curve missing</v>
          </cell>
          <cell r="Y302" t="str">
            <v>IRS Curve missing</v>
          </cell>
          <cell r="Z302" t="str">
            <v>IRS Curve missing</v>
          </cell>
          <cell r="AA302" t="str">
            <v>IRS Curve missing</v>
          </cell>
          <cell r="AB302" t="str">
            <v>IRS Curve missing</v>
          </cell>
          <cell r="AC302" t="str">
            <v>IRS Curve missing</v>
          </cell>
          <cell r="AD302" t="str">
            <v>IRS Curve missing</v>
          </cell>
          <cell r="AE302" t="str">
            <v>IRS Curve missing</v>
          </cell>
        </row>
        <row r="303">
          <cell r="D303" t="str">
            <v>EUR</v>
          </cell>
          <cell r="N303" t="str">
            <v/>
          </cell>
          <cell r="O303">
            <v>5.8823230557913941E-4</v>
          </cell>
          <cell r="P303">
            <v>1.0092775173019541E-3</v>
          </cell>
          <cell r="Q303">
            <v>3.7496532589399445E-3</v>
          </cell>
          <cell r="R303">
            <v>8.235196994171301E-3</v>
          </cell>
          <cell r="S303" t="str">
            <v/>
          </cell>
          <cell r="T303">
            <v>2.3511021816254307E-2</v>
          </cell>
          <cell r="U303">
            <v>4.1338044053659928E-2</v>
          </cell>
          <cell r="V303">
            <v>7.1045152057749195E-2</v>
          </cell>
          <cell r="W303" t="str">
            <v/>
          </cell>
          <cell r="X303">
            <v>7.0583630213449933E-4</v>
          </cell>
          <cell r="Y303">
            <v>1.2108565538985205E-3</v>
          </cell>
          <cell r="Z303">
            <v>4.1180478663638276E-3</v>
          </cell>
          <cell r="AA303">
            <v>8.768869769026022E-3</v>
          </cell>
          <cell r="AB303" t="str">
            <v/>
          </cell>
          <cell r="AC303">
            <v>2.4648593879456615E-2</v>
          </cell>
          <cell r="AD303">
            <v>4.3348130675000651E-2</v>
          </cell>
          <cell r="AE303">
            <v>7.4470777636892027E-2</v>
          </cell>
        </row>
        <row r="304">
          <cell r="D304" t="str">
            <v>EUR</v>
          </cell>
          <cell r="N304" t="str">
            <v/>
          </cell>
          <cell r="O304">
            <v>4.7061340958476361E-4</v>
          </cell>
          <cell r="P304">
            <v>1.2172867430008116E-3</v>
          </cell>
          <cell r="Q304">
            <v>4.1230943714871682E-3</v>
          </cell>
          <cell r="R304">
            <v>7.6448978760804698E-3</v>
          </cell>
          <cell r="S304" t="str">
            <v/>
          </cell>
          <cell r="T304">
            <v>2.169402549227939E-2</v>
          </cell>
          <cell r="U304">
            <v>4.0237841810820796E-2</v>
          </cell>
          <cell r="V304">
            <v>7.3468674844032189E-2</v>
          </cell>
          <cell r="W304" t="str">
            <v/>
          </cell>
          <cell r="X304">
            <v>5.8823155392451199E-4</v>
          </cell>
          <cell r="Y304">
            <v>1.4188414855879072E-3</v>
          </cell>
          <cell r="Z304">
            <v>4.4913630143923466E-3</v>
          </cell>
          <cell r="AA304">
            <v>8.1786694198114906E-3</v>
          </cell>
          <cell r="AB304" t="str">
            <v/>
          </cell>
          <cell r="AC304">
            <v>2.2739973537908464E-2</v>
          </cell>
          <cell r="AD304">
            <v>4.2194775941482576E-2</v>
          </cell>
          <cell r="AE304">
            <v>7.7008829312246174E-2</v>
          </cell>
        </row>
        <row r="305">
          <cell r="D305" t="str">
            <v>USD</v>
          </cell>
          <cell r="N305" t="str">
            <v>IRS Curve missing</v>
          </cell>
          <cell r="O305" t="str">
            <v>IRS Curve missing</v>
          </cell>
          <cell r="P305" t="str">
            <v>IRS Curve missing</v>
          </cell>
          <cell r="Q305" t="str">
            <v>IRS Curve missing</v>
          </cell>
          <cell r="R305" t="str">
            <v>IRS Curve missing</v>
          </cell>
          <cell r="S305" t="str">
            <v>IRS Curve missing</v>
          </cell>
          <cell r="T305" t="str">
            <v>IRS Curve missing</v>
          </cell>
          <cell r="U305" t="str">
            <v>IRS Curve missing</v>
          </cell>
          <cell r="V305" t="str">
            <v>IRS Curve missing</v>
          </cell>
          <cell r="W305" t="str">
            <v>IRS Curve missing</v>
          </cell>
          <cell r="X305" t="str">
            <v>IRS Curve missing</v>
          </cell>
          <cell r="Y305" t="str">
            <v>IRS Curve missing</v>
          </cell>
          <cell r="Z305" t="str">
            <v>IRS Curve missing</v>
          </cell>
          <cell r="AA305" t="str">
            <v>IRS Curve missing</v>
          </cell>
          <cell r="AB305" t="str">
            <v>IRS Curve missing</v>
          </cell>
          <cell r="AC305" t="str">
            <v>IRS Curve missing</v>
          </cell>
          <cell r="AD305" t="str">
            <v>IRS Curve missing</v>
          </cell>
          <cell r="AE305" t="str">
            <v>IRS Curve missing</v>
          </cell>
        </row>
        <row r="306">
          <cell r="D306" t="str">
            <v>EUR</v>
          </cell>
          <cell r="N306" t="str">
            <v/>
          </cell>
          <cell r="O306">
            <v>4.7061340958476361E-4</v>
          </cell>
          <cell r="P306">
            <v>1.8325206103344538E-3</v>
          </cell>
          <cell r="Q306">
            <v>5.2267332050037751E-3</v>
          </cell>
          <cell r="R306">
            <v>9.2550798794751588E-3</v>
          </cell>
          <cell r="S306" t="str">
            <v/>
          </cell>
          <cell r="T306">
            <v>2.2381632505259486E-2</v>
          </cell>
          <cell r="U306">
            <v>3.5864247207541777E-2</v>
          </cell>
          <cell r="V306">
            <v>5.9898378843788458E-2</v>
          </cell>
          <cell r="W306" t="str">
            <v/>
          </cell>
          <cell r="X306">
            <v>5.8823155392451199E-4</v>
          </cell>
          <cell r="Y306">
            <v>2.0339921687133611E-3</v>
          </cell>
          <cell r="Z306">
            <v>5.594609537902473E-3</v>
          </cell>
          <cell r="AA306">
            <v>9.7880184419169014E-3</v>
          </cell>
          <cell r="AB306" t="str">
            <v/>
          </cell>
          <cell r="AC306">
            <v>2.3472566029238973E-2</v>
          </cell>
          <cell r="AD306">
            <v>3.7614251189173165E-2</v>
          </cell>
          <cell r="AE306">
            <v>6.2801051728235802E-2</v>
          </cell>
        </row>
        <row r="307">
          <cell r="D307" t="str">
            <v>EUR</v>
          </cell>
          <cell r="N307" t="str">
            <v/>
          </cell>
          <cell r="O307">
            <v>5.8823230557913941E-4</v>
          </cell>
          <cell r="P307">
            <v>1.4188416515668045E-3</v>
          </cell>
          <cell r="Q307">
            <v>4.1104573390305932E-3</v>
          </cell>
          <cell r="R307">
            <v>8.7650818374521711E-3</v>
          </cell>
          <cell r="S307" t="str">
            <v/>
          </cell>
          <cell r="T307">
            <v>2.0583078376538055E-2</v>
          </cell>
          <cell r="U307">
            <v>3.6205653292685658E-2</v>
          </cell>
          <cell r="V307">
            <v>6.6038478227618991E-2</v>
          </cell>
          <cell r="W307" t="str">
            <v/>
          </cell>
          <cell r="X307">
            <v>7.0583630213449933E-4</v>
          </cell>
          <cell r="Y307">
            <v>1.6203554628971828E-3</v>
          </cell>
          <cell r="Z307">
            <v>4.4786833056158493E-3</v>
          </cell>
          <cell r="AA307">
            <v>9.2984532235906858E-3</v>
          </cell>
          <cell r="AB307" t="str">
            <v/>
          </cell>
          <cell r="AC307">
            <v>2.1582662708471312E-2</v>
          </cell>
          <cell r="AD307">
            <v>3.7968843122891727E-2</v>
          </cell>
          <cell r="AE307">
            <v>6.9234528803700846E-2</v>
          </cell>
        </row>
        <row r="308">
          <cell r="D308" t="str">
            <v>EUR</v>
          </cell>
          <cell r="N308" t="str">
            <v/>
          </cell>
          <cell r="O308">
            <v>4.7061340958476361E-4</v>
          </cell>
          <cell r="P308">
            <v>1.0120957209085457E-3</v>
          </cell>
          <cell r="Q308">
            <v>3.3720572714528441E-3</v>
          </cell>
          <cell r="R308">
            <v>7.6948121318956009E-3</v>
          </cell>
          <cell r="S308" t="str">
            <v/>
          </cell>
          <cell r="T308">
            <v>1.8870263037939927E-2</v>
          </cell>
          <cell r="U308">
            <v>3.5211426579380256E-2</v>
          </cell>
          <cell r="V308">
            <v>6.0502405310022489E-2</v>
          </cell>
          <cell r="W308" t="str">
            <v/>
          </cell>
          <cell r="X308">
            <v>5.8823155392451199E-4</v>
          </cell>
          <cell r="Y308">
            <v>1.2136782015391701E-3</v>
          </cell>
          <cell r="Z308">
            <v>3.7405505500123226E-3</v>
          </cell>
          <cell r="AA308">
            <v>8.2287484708186698E-3</v>
          </cell>
          <cell r="AB308" t="str">
            <v/>
          </cell>
          <cell r="AC308">
            <v>1.97769229274809E-2</v>
          </cell>
          <cell r="AD308">
            <v>3.6920390309270301E-2</v>
          </cell>
          <cell r="AE308">
            <v>6.3423677194190176E-2</v>
          </cell>
        </row>
        <row r="309">
          <cell r="D309" t="str">
            <v>EUR</v>
          </cell>
          <cell r="N309" t="str">
            <v/>
          </cell>
          <cell r="O309">
            <v>5.8823230557913941E-4</v>
          </cell>
          <cell r="P309">
            <v>1.2136782726757112E-3</v>
          </cell>
          <cell r="Q309">
            <v>4.5015416184586154E-3</v>
          </cell>
          <cell r="R309">
            <v>8.7493051440935554E-3</v>
          </cell>
          <cell r="S309" t="str">
            <v/>
          </cell>
          <cell r="T309">
            <v>2.0610088901978907E-2</v>
          </cell>
          <cell r="U309">
            <v>3.3473665368464078E-2</v>
          </cell>
          <cell r="V309">
            <v>5.8604457265159837E-2</v>
          </cell>
          <cell r="W309" t="str">
            <v/>
          </cell>
          <cell r="X309">
            <v>7.0583630213449933E-4</v>
          </cell>
          <cell r="Y309">
            <v>1.4152199353631989E-3</v>
          </cell>
          <cell r="Z309">
            <v>4.8697119408149803E-3</v>
          </cell>
          <cell r="AA309">
            <v>9.282629509412943E-3</v>
          </cell>
          <cell r="AB309" t="str">
            <v/>
          </cell>
          <cell r="AC309">
            <v>2.1608500916757478E-2</v>
          </cell>
          <cell r="AD309">
            <v>3.5103491726639513E-2</v>
          </cell>
          <cell r="AE309">
            <v>6.1441391875898477E-2</v>
          </cell>
        </row>
        <row r="310">
          <cell r="D310" t="str">
            <v>EUR</v>
          </cell>
          <cell r="N310" t="str">
            <v/>
          </cell>
          <cell r="O310">
            <v>3.5298073341860636E-4</v>
          </cell>
          <cell r="P310">
            <v>1.0156915748593676E-3</v>
          </cell>
          <cell r="Q310">
            <v>3.373597070148171E-3</v>
          </cell>
          <cell r="R310">
            <v>7.132502399384677E-3</v>
          </cell>
          <cell r="S310" t="str">
            <v/>
          </cell>
          <cell r="T310">
            <v>1.8945925804614627E-2</v>
          </cell>
          <cell r="U310">
            <v>3.3892675729570776E-2</v>
          </cell>
          <cell r="V310">
            <v>6.0889340903988898E-2</v>
          </cell>
          <cell r="W310" t="str">
            <v/>
          </cell>
          <cell r="X310">
            <v>4.7061295331773945E-4</v>
          </cell>
          <cell r="Y310">
            <v>1.2172868200731601E-3</v>
          </cell>
          <cell r="Z310">
            <v>3.7420954075987334E-3</v>
          </cell>
          <cell r="AA310">
            <v>7.6666318262728073E-3</v>
          </cell>
          <cell r="AB310" t="str">
            <v/>
          </cell>
          <cell r="AC310">
            <v>1.9852644152935417E-2</v>
          </cell>
          <cell r="AD310">
            <v>3.5537007756944461E-2</v>
          </cell>
          <cell r="AE310">
            <v>6.3827684797867157E-2</v>
          </cell>
        </row>
      </sheetData>
      <sheetData sheetId="3" refreshError="1"/>
      <sheetData sheetId="4" refreshError="1">
        <row r="8">
          <cell r="C8">
            <v>0.3</v>
          </cell>
        </row>
      </sheetData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Conventions"/>
      <sheetName val="IRS Strip"/>
      <sheetName val="CDS Strip"/>
      <sheetName val="CDS"/>
      <sheetName val="CDO2"/>
      <sheetName val="Forward Intensity"/>
    </sheetNames>
    <sheetDataSet>
      <sheetData sheetId="0" refreshError="1"/>
      <sheetData sheetId="1" refreshError="1"/>
      <sheetData sheetId="2" refreshError="1">
        <row r="12">
          <cell r="D12" t="str">
            <v>EUR</v>
          </cell>
          <cell r="N12" t="str">
            <v/>
          </cell>
          <cell r="O12">
            <v>1.2097732365761171E-3</v>
          </cell>
          <cell r="P12">
            <v>3.4934285216857708E-3</v>
          </cell>
          <cell r="Q12">
            <v>8.9211308332199923E-3</v>
          </cell>
          <cell r="R12">
            <v>1.6196450816232111E-2</v>
          </cell>
          <cell r="S12" t="str">
            <v/>
          </cell>
          <cell r="T12">
            <v>3.4053120580619822E-2</v>
          </cell>
          <cell r="U12">
            <v>5.2090780118823843E-2</v>
          </cell>
          <cell r="V12">
            <v>8.0512767402816099E-2</v>
          </cell>
          <cell r="W12" t="str">
            <v/>
          </cell>
          <cell r="X12">
            <v>1.2930022875429215E-3</v>
          </cell>
          <cell r="Y12">
            <v>3.6594991106708719E-3</v>
          </cell>
          <cell r="Z12">
            <v>9.350505305327772E-3</v>
          </cell>
          <cell r="AA12">
            <v>1.700081578627799E-2</v>
          </cell>
          <cell r="AB12" t="str">
            <v/>
          </cell>
          <cell r="AC12">
            <v>3.5728528299768025E-2</v>
          </cell>
          <cell r="AD12">
            <v>5.4632579463672171E-2</v>
          </cell>
          <cell r="AE12">
            <v>8.4378634611709136E-2</v>
          </cell>
        </row>
        <row r="13">
          <cell r="D13" t="str">
            <v>EUR</v>
          </cell>
          <cell r="N13" t="str">
            <v/>
          </cell>
          <cell r="O13">
            <v>7.2785822158416558E-4</v>
          </cell>
          <cell r="P13">
            <v>1.9210954044108774E-3</v>
          </cell>
          <cell r="Q13">
            <v>5.5063578023649695E-3</v>
          </cell>
          <cell r="R13">
            <v>1.1884705436899679E-2</v>
          </cell>
          <cell r="S13" t="str">
            <v/>
          </cell>
          <cell r="T13">
            <v>3.1089687978344327E-2</v>
          </cell>
          <cell r="U13">
            <v>5.1774222307277906E-2</v>
          </cell>
          <cell r="V13">
            <v>9.1178802467290487E-2</v>
          </cell>
          <cell r="W13" t="str">
            <v/>
          </cell>
          <cell r="X13">
            <v>8.1112743046984903E-4</v>
          </cell>
          <cell r="Y13">
            <v>2.0874280270694046E-3</v>
          </cell>
          <cell r="Z13">
            <v>5.8378004395733818E-3</v>
          </cell>
          <cell r="AA13">
            <v>1.2452708414755431E-2</v>
          </cell>
          <cell r="AB13" t="str">
            <v/>
          </cell>
          <cell r="AC13">
            <v>3.2617367422235199E-2</v>
          </cell>
          <cell r="AD13">
            <v>5.4300816242691785E-2</v>
          </cell>
          <cell r="AE13">
            <v>9.5543962728230514E-2</v>
          </cell>
        </row>
        <row r="14">
          <cell r="D14" t="str">
            <v>EUR</v>
          </cell>
          <cell r="N14" t="str">
            <v/>
          </cell>
          <cell r="O14">
            <v>5.4594323121426314E-4</v>
          </cell>
          <cell r="P14">
            <v>1.7494169585348107E-3</v>
          </cell>
          <cell r="Q14">
            <v>6.214556435516827E-3</v>
          </cell>
          <cell r="R14">
            <v>1.3980901535377011E-2</v>
          </cell>
          <cell r="S14" t="str">
            <v/>
          </cell>
          <cell r="T14">
            <v>3.4461686778176404E-2</v>
          </cell>
          <cell r="U14">
            <v>6.1506914708782556E-2</v>
          </cell>
          <cell r="V14">
            <v>0.10612486553264233</v>
          </cell>
          <cell r="W14" t="str">
            <v/>
          </cell>
          <cell r="X14">
            <v>6.2922759904748826E-4</v>
          </cell>
          <cell r="Y14">
            <v>1.9157781918792693E-3</v>
          </cell>
          <cell r="Z14">
            <v>6.5457630458530813E-3</v>
          </cell>
          <cell r="AA14">
            <v>1.4670548097620029E-2</v>
          </cell>
          <cell r="AB14" t="str">
            <v/>
          </cell>
          <cell r="AC14">
            <v>3.615287547154078E-2</v>
          </cell>
          <cell r="AD14">
            <v>6.4498009477011786E-2</v>
          </cell>
          <cell r="AE14">
            <v>0.11120347820496479</v>
          </cell>
        </row>
        <row r="15">
          <cell r="D15" t="str">
            <v>EUR</v>
          </cell>
          <cell r="N15" t="str">
            <v/>
          </cell>
          <cell r="O15">
            <v>1.1461373716102896E-3</v>
          </cell>
          <cell r="P15">
            <v>3.0902962713841298E-3</v>
          </cell>
          <cell r="Q15">
            <v>8.241348134218951E-3</v>
          </cell>
          <cell r="R15">
            <v>1.4925721179537832E-2</v>
          </cell>
          <cell r="S15" t="str">
            <v/>
          </cell>
          <cell r="T15">
            <v>3.2430433068463715E-2</v>
          </cell>
          <cell r="U15">
            <v>5.0629438006189909E-2</v>
          </cell>
          <cell r="V15">
            <v>7.7295869470929035E-2</v>
          </cell>
          <cell r="W15" t="str">
            <v/>
          </cell>
          <cell r="X15">
            <v>1.2293717253490932E-3</v>
          </cell>
          <cell r="Y15">
            <v>3.2564340434825256E-3</v>
          </cell>
          <cell r="Z15">
            <v>8.6379722648687318E-3</v>
          </cell>
          <cell r="AA15">
            <v>1.5666538051201662E-2</v>
          </cell>
          <cell r="AB15" t="str">
            <v/>
          </cell>
          <cell r="AC15">
            <v>3.4026637141478022E-2</v>
          </cell>
          <cell r="AD15">
            <v>5.3101846440223976E-2</v>
          </cell>
          <cell r="AE15">
            <v>8.1013501695818779E-2</v>
          </cell>
        </row>
        <row r="16">
          <cell r="D16" t="str">
            <v>EUR</v>
          </cell>
          <cell r="N16" t="str">
            <v/>
          </cell>
          <cell r="O16">
            <v>4.5497334759936336E-4</v>
          </cell>
          <cell r="P16">
            <v>1.0468631450375465E-3</v>
          </cell>
          <cell r="Q16">
            <v>3.7988489935746328E-3</v>
          </cell>
          <cell r="R16">
            <v>7.7611056355625374E-3</v>
          </cell>
          <cell r="S16" t="str">
            <v/>
          </cell>
          <cell r="T16">
            <v>2.1713136515577047E-2</v>
          </cell>
          <cell r="U16">
            <v>3.9000479896582285E-2</v>
          </cell>
          <cell r="V16">
            <v>6.7881677795304185E-2</v>
          </cell>
          <cell r="W16" t="str">
            <v/>
          </cell>
          <cell r="X16">
            <v>5.3826529594969141E-4</v>
          </cell>
          <cell r="Y16">
            <v>1.2133414609432069E-3</v>
          </cell>
          <cell r="Z16">
            <v>4.13086070555857E-3</v>
          </cell>
          <cell r="AA16">
            <v>8.2571010735466022E-3</v>
          </cell>
          <cell r="AB16" t="str">
            <v/>
          </cell>
          <cell r="AC16">
            <v>2.2767050791879684E-2</v>
          </cell>
          <cell r="AD16">
            <v>4.0897940335740235E-2</v>
          </cell>
          <cell r="AE16">
            <v>7.1152571050652536E-2</v>
          </cell>
        </row>
        <row r="17">
          <cell r="D17" t="str">
            <v>EUR</v>
          </cell>
          <cell r="N17" t="str">
            <v/>
          </cell>
          <cell r="O17">
            <v>1.1188636202652535E-3</v>
          </cell>
          <cell r="P17">
            <v>2.7741662475643247E-3</v>
          </cell>
          <cell r="Q17">
            <v>7.5918644557023685E-3</v>
          </cell>
          <cell r="R17">
            <v>1.2907033210865393E-2</v>
          </cell>
          <cell r="S17" t="str">
            <v/>
          </cell>
          <cell r="T17">
            <v>2.7295782486677189E-2</v>
          </cell>
          <cell r="U17">
            <v>4.3258282847865592E-2</v>
          </cell>
          <cell r="V17">
            <v>6.9632461847284E-2</v>
          </cell>
          <cell r="W17" t="str">
            <v/>
          </cell>
          <cell r="X17">
            <v>1.2021002467269559E-3</v>
          </cell>
          <cell r="Y17">
            <v>2.9403567036020428E-3</v>
          </cell>
          <cell r="Z17">
            <v>7.9573341408427645E-3</v>
          </cell>
          <cell r="AA17">
            <v>1.3547368722276798E-2</v>
          </cell>
          <cell r="AB17" t="str">
            <v/>
          </cell>
          <cell r="AC17">
            <v>2.8641522474605607E-2</v>
          </cell>
          <cell r="AD17">
            <v>4.5377135060839624E-2</v>
          </cell>
          <cell r="AE17">
            <v>7.2996392495283891E-2</v>
          </cell>
        </row>
        <row r="18">
          <cell r="D18" t="str">
            <v>EUR</v>
          </cell>
          <cell r="N18" t="str">
            <v/>
          </cell>
          <cell r="O18">
            <v>4.5497334759936336E-4</v>
          </cell>
          <cell r="P18">
            <v>2.4561942082753641E-3</v>
          </cell>
          <cell r="Q18">
            <v>8.2825480497696891E-3</v>
          </cell>
          <cell r="R18">
            <v>1.8085997102995632E-2</v>
          </cell>
          <cell r="S18" t="str">
            <v/>
          </cell>
          <cell r="T18">
            <v>4.9041704443203771E-2</v>
          </cell>
          <cell r="U18">
            <v>8.3623600334491788E-2</v>
          </cell>
          <cell r="V18">
            <v>0.14321779911119348</v>
          </cell>
          <cell r="W18" t="str">
            <v/>
          </cell>
          <cell r="X18">
            <v>5.3826529594969141E-4</v>
          </cell>
          <cell r="Y18">
            <v>2.6224376552265172E-3</v>
          </cell>
          <cell r="Z18">
            <v>8.6791557037404488E-3</v>
          </cell>
          <cell r="AA18">
            <v>1.8981238719376847E-2</v>
          </cell>
          <cell r="AB18" t="str">
            <v/>
          </cell>
          <cell r="AC18">
            <v>5.1438336565219123E-2</v>
          </cell>
          <cell r="AD18">
            <v>8.7655936359025466E-2</v>
          </cell>
          <cell r="AE18">
            <v>0.14996599619556295</v>
          </cell>
        </row>
        <row r="19">
          <cell r="D19" t="str">
            <v>EUR</v>
          </cell>
          <cell r="N19" t="str">
            <v/>
          </cell>
          <cell r="O19">
            <v>1.1825012181198025E-3</v>
          </cell>
          <cell r="P19">
            <v>2.4381160183138961E-3</v>
          </cell>
          <cell r="Q19">
            <v>8.9601608943382649E-3</v>
          </cell>
          <cell r="R19">
            <v>1.6975721373186259E-2</v>
          </cell>
          <cell r="S19" t="str">
            <v/>
          </cell>
          <cell r="T19">
            <v>4.4657137065839958E-2</v>
          </cell>
          <cell r="U19">
            <v>7.9070414531581479E-2</v>
          </cell>
          <cell r="V19">
            <v>0.13342519450121804</v>
          </cell>
          <cell r="W19" t="str">
            <v/>
          </cell>
          <cell r="X19">
            <v>1.2657325416649545E-3</v>
          </cell>
          <cell r="Y19">
            <v>2.6043624780491825E-3</v>
          </cell>
          <cell r="Z19">
            <v>9.3895184570955692E-3</v>
          </cell>
          <cell r="AA19">
            <v>1.7816864427046331E-2</v>
          </cell>
          <cell r="AB19" t="str">
            <v/>
          </cell>
          <cell r="AC19">
            <v>4.6843746953628917E-2</v>
          </cell>
          <cell r="AD19">
            <v>8.2891759760151618E-2</v>
          </cell>
          <cell r="AE19">
            <v>0.13973747288659033</v>
          </cell>
        </row>
        <row r="20">
          <cell r="D20" t="str">
            <v>EUR</v>
          </cell>
          <cell r="N20" t="str">
            <v/>
          </cell>
          <cell r="O20">
            <v>2.7300879781333443E-4</v>
          </cell>
          <cell r="P20">
            <v>1.0512575945389457E-3</v>
          </cell>
          <cell r="Q20">
            <v>3.8033174080542853E-3</v>
          </cell>
          <cell r="R20">
            <v>8.296604741187541E-3</v>
          </cell>
          <cell r="S20" t="str">
            <v/>
          </cell>
          <cell r="T20">
            <v>1.9889630927399815E-2</v>
          </cell>
          <cell r="U20">
            <v>3.3945530667263246E-2</v>
          </cell>
          <cell r="V20">
            <v>6.4893521841106194E-2</v>
          </cell>
          <cell r="W20" t="str">
            <v/>
          </cell>
          <cell r="X20">
            <v>3.5631590924090073E-4</v>
          </cell>
          <cell r="Y20">
            <v>1.2177351780808809E-3</v>
          </cell>
          <cell r="Z20">
            <v>4.1353276307973807E-3</v>
          </cell>
          <cell r="AA20">
            <v>8.7923324965399896E-3</v>
          </cell>
          <cell r="AB20" t="str">
            <v/>
          </cell>
          <cell r="AC20">
            <v>2.0855656446274073E-2</v>
          </cell>
          <cell r="AD20">
            <v>3.5598659454389336E-2</v>
          </cell>
          <cell r="AE20">
            <v>6.8025652863848651E-2</v>
          </cell>
        </row>
        <row r="21">
          <cell r="D21" t="str">
            <v>EUR</v>
          </cell>
          <cell r="N21" t="str">
            <v/>
          </cell>
          <cell r="O21">
            <v>1.0824974631862272E-3</v>
          </cell>
          <cell r="P21">
            <v>2.493416445884078E-3</v>
          </cell>
          <cell r="Q21">
            <v>6.557700622374818E-3</v>
          </cell>
          <cell r="R21">
            <v>1.1909312629609925E-2</v>
          </cell>
          <cell r="S21" t="str">
            <v/>
          </cell>
          <cell r="T21">
            <v>2.6545793718598443E-2</v>
          </cell>
          <cell r="U21">
            <v>4.1938858161149728E-2</v>
          </cell>
          <cell r="V21">
            <v>6.6243512406457983E-2</v>
          </cell>
          <cell r="W21" t="str">
            <v/>
          </cell>
          <cell r="X21">
            <v>1.1657371200340938E-3</v>
          </cell>
          <cell r="Y21">
            <v>2.6596536896519307E-3</v>
          </cell>
          <cell r="Z21">
            <v>6.8887928703894596E-3</v>
          </cell>
          <cell r="AA21">
            <v>1.2482239063538403E-2</v>
          </cell>
          <cell r="AB21" t="str">
            <v/>
          </cell>
          <cell r="AC21">
            <v>2.7855245434884046E-2</v>
          </cell>
          <cell r="AD21">
            <v>4.3994788213444935E-2</v>
          </cell>
          <cell r="AE21">
            <v>6.9449006217710663E-2</v>
          </cell>
        </row>
        <row r="22">
          <cell r="D22" t="str">
            <v>EUR</v>
          </cell>
          <cell r="N22" t="str">
            <v/>
          </cell>
          <cell r="O22">
            <v>1.137046203671388E-3</v>
          </cell>
          <cell r="P22">
            <v>2.8441185373755395E-3</v>
          </cell>
          <cell r="Q22">
            <v>7.7630010863392052E-3</v>
          </cell>
          <cell r="R22">
            <v>1.3530582594944662E-2</v>
          </cell>
          <cell r="S22" t="str">
            <v/>
          </cell>
          <cell r="T22">
            <v>2.9016649226020763E-2</v>
          </cell>
          <cell r="U22">
            <v>4.5856898240887012E-2</v>
          </cell>
          <cell r="V22">
            <v>7.2821770400505303E-2</v>
          </cell>
          <cell r="W22" t="str">
            <v/>
          </cell>
          <cell r="X22">
            <v>1.2202813149703173E-3</v>
          </cell>
          <cell r="Y22">
            <v>3.0102973356620488E-3</v>
          </cell>
          <cell r="Z22">
            <v>8.1366733098922062E-3</v>
          </cell>
          <cell r="AA22">
            <v>1.4201937924953834E-2</v>
          </cell>
          <cell r="AB22" t="str">
            <v/>
          </cell>
          <cell r="AC22">
            <v>3.0446431562482501E-2</v>
          </cell>
          <cell r="AD22">
            <v>4.8100716167969071E-2</v>
          </cell>
          <cell r="AE22">
            <v>7.6333876797122446E-2</v>
          </cell>
        </row>
        <row r="23">
          <cell r="D23" t="str">
            <v>EUR</v>
          </cell>
          <cell r="N23" t="str">
            <v/>
          </cell>
          <cell r="O23">
            <v>9.5520551445549273E-4</v>
          </cell>
          <cell r="P23">
            <v>3.5878740301338308E-3</v>
          </cell>
          <cell r="Q23">
            <v>1.0698319493405717E-2</v>
          </cell>
          <cell r="R23">
            <v>1.8910036694558485E-2</v>
          </cell>
          <cell r="S23" t="str">
            <v/>
          </cell>
          <cell r="T23">
            <v>3.8180048292045909E-2</v>
          </cell>
          <cell r="U23">
            <v>5.9659800888807291E-2</v>
          </cell>
          <cell r="V23">
            <v>9.2770080262687848E-2</v>
          </cell>
          <cell r="W23" t="str">
            <v/>
          </cell>
          <cell r="X23">
            <v>1.038455778510472E-3</v>
          </cell>
          <cell r="Y23">
            <v>3.7580798961506234E-3</v>
          </cell>
          <cell r="Z23">
            <v>1.1230047344652383E-2</v>
          </cell>
          <cell r="AA23">
            <v>1.984703014033018E-2</v>
          </cell>
          <cell r="AB23" t="str">
            <v/>
          </cell>
          <cell r="AC23">
            <v>4.0053252551105145E-2</v>
          </cell>
          <cell r="AD23">
            <v>6.2559278223453196E-2</v>
          </cell>
          <cell r="AE23">
            <v>9.719555714039485E-2</v>
          </cell>
        </row>
        <row r="24">
          <cell r="D24" t="str">
            <v>EUR</v>
          </cell>
          <cell r="N24" t="str">
            <v/>
          </cell>
          <cell r="O24">
            <v>1.4006565747575195E-3</v>
          </cell>
          <cell r="P24">
            <v>4.1218672635487952E-3</v>
          </cell>
          <cell r="Q24">
            <v>1.0562228928115092E-2</v>
          </cell>
          <cell r="R24">
            <v>1.7247463864810464E-2</v>
          </cell>
          <cell r="S24" t="str">
            <v/>
          </cell>
          <cell r="T24">
            <v>3.3852379699911728E-2</v>
          </cell>
          <cell r="U24">
            <v>5.1890504811482274E-2</v>
          </cell>
          <cell r="V24">
            <v>8.4116972780619692E-2</v>
          </cell>
          <cell r="W24" t="str">
            <v/>
          </cell>
          <cell r="X24">
            <v>1.4838697194510253E-3</v>
          </cell>
          <cell r="Y24">
            <v>4.3177040384045906E-3</v>
          </cell>
          <cell r="Z24">
            <v>1.1070009975640338E-2</v>
          </cell>
          <cell r="AA24">
            <v>1.8103705963551597E-2</v>
          </cell>
          <cell r="AB24" t="str">
            <v/>
          </cell>
          <cell r="AC24">
            <v>3.5517419355730384E-2</v>
          </cell>
          <cell r="AD24">
            <v>5.4421564325961347E-2</v>
          </cell>
          <cell r="AE24">
            <v>8.814962898695522E-2</v>
          </cell>
        </row>
        <row r="25">
          <cell r="D25" t="str">
            <v>EUR</v>
          </cell>
          <cell r="N25" t="str">
            <v/>
          </cell>
          <cell r="O25">
            <v>4.5497334759936336E-4</v>
          </cell>
          <cell r="P25">
            <v>1.0468631450375465E-3</v>
          </cell>
          <cell r="Q25">
            <v>2.7510313672685083E-3</v>
          </cell>
          <cell r="R25">
            <v>6.2156561456440107E-3</v>
          </cell>
          <cell r="S25" t="str">
            <v/>
          </cell>
          <cell r="T25">
            <v>1.6502694702977383E-2</v>
          </cell>
          <cell r="U25">
            <v>2.9291035412695177E-2</v>
          </cell>
          <cell r="V25">
            <v>5.4564818457260245E-2</v>
          </cell>
          <cell r="W25" t="str">
            <v/>
          </cell>
          <cell r="X25">
            <v>5.3826529594969141E-4</v>
          </cell>
          <cell r="Y25">
            <v>1.2133414609432069E-3</v>
          </cell>
          <cell r="Z25">
            <v>3.083392293561138E-3</v>
          </cell>
          <cell r="AA25">
            <v>6.7124241152325403E-3</v>
          </cell>
          <cell r="AB25" t="str">
            <v/>
          </cell>
          <cell r="AC25">
            <v>1.7321934393446203E-2</v>
          </cell>
          <cell r="AD25">
            <v>3.0705536920233256E-2</v>
          </cell>
          <cell r="AE25">
            <v>5.7195760214440949E-2</v>
          </cell>
        </row>
        <row r="26">
          <cell r="D26" t="str">
            <v>EUR</v>
          </cell>
          <cell r="N26" t="str">
            <v/>
          </cell>
          <cell r="O26">
            <v>2.7300879781333443E-4</v>
          </cell>
          <cell r="P26">
            <v>1.5799139583937416E-3</v>
          </cell>
          <cell r="Q26">
            <v>5.181191906571736E-3</v>
          </cell>
          <cell r="R26">
            <v>1.0335094455867666E-2</v>
          </cell>
          <cell r="S26" t="str">
            <v/>
          </cell>
          <cell r="T26">
            <v>2.8579320199637603E-2</v>
          </cell>
          <cell r="U26">
            <v>4.9638757637926911E-2</v>
          </cell>
          <cell r="V26">
            <v>9.0073953234885984E-2</v>
          </cell>
          <cell r="W26" t="str">
            <v/>
          </cell>
          <cell r="X26">
            <v>3.5631590924090073E-4</v>
          </cell>
          <cell r="Y26">
            <v>1.7463034398864652E-3</v>
          </cell>
          <cell r="Z26">
            <v>5.5127429143683182E-3</v>
          </cell>
          <cell r="AA26">
            <v>1.0829803221134582E-2</v>
          </cell>
          <cell r="AB26" t="str">
            <v/>
          </cell>
          <cell r="AC26">
            <v>2.9982493989267889E-2</v>
          </cell>
          <cell r="AD26">
            <v>5.2061957979781526E-2</v>
          </cell>
          <cell r="AE26">
            <v>9.4414966949036505E-2</v>
          </cell>
        </row>
        <row r="27">
          <cell r="D27" t="str">
            <v>EUR</v>
          </cell>
          <cell r="N27" t="str">
            <v/>
          </cell>
          <cell r="O27">
            <v>5.4594323121426314E-4</v>
          </cell>
          <cell r="P27">
            <v>1.0446661685874492E-3</v>
          </cell>
          <cell r="Q27">
            <v>3.7966149877642907E-3</v>
          </cell>
          <cell r="R27">
            <v>7.7588442933870239E-3</v>
          </cell>
          <cell r="S27" t="str">
            <v/>
          </cell>
          <cell r="T27">
            <v>2.1710810665616753E-2</v>
          </cell>
          <cell r="U27">
            <v>4.0297902755733972E-2</v>
          </cell>
          <cell r="V27">
            <v>7.5390231460192747E-2</v>
          </cell>
          <cell r="W27" t="str">
            <v/>
          </cell>
          <cell r="X27">
            <v>6.2922759904748826E-4</v>
          </cell>
          <cell r="Y27">
            <v>1.2111448506226807E-3</v>
          </cell>
          <cell r="Z27">
            <v>4.1286274442705606E-3</v>
          </cell>
          <cell r="AA27">
            <v>8.2548408617612035E-3</v>
          </cell>
          <cell r="AB27" t="str">
            <v/>
          </cell>
          <cell r="AC27">
            <v>2.2764715670153812E-2</v>
          </cell>
          <cell r="AD27">
            <v>4.2258548471097557E-2</v>
          </cell>
          <cell r="AE27">
            <v>7.9015292556477212E-2</v>
          </cell>
        </row>
        <row r="28">
          <cell r="D28" t="str">
            <v>EUR</v>
          </cell>
          <cell r="N28" t="str">
            <v/>
          </cell>
          <cell r="O28">
            <v>1.0279457517016199E-3</v>
          </cell>
          <cell r="P28">
            <v>3.1988711607446874E-3</v>
          </cell>
          <cell r="Q28">
            <v>9.0410761394333905E-3</v>
          </cell>
          <cell r="R28">
            <v>1.4833127198884855E-2</v>
          </cell>
          <cell r="S28" t="str">
            <v/>
          </cell>
          <cell r="T28">
            <v>2.7951370792482E-2</v>
          </cell>
          <cell r="U28">
            <v>4.3189572854932079E-2</v>
          </cell>
          <cell r="V28">
            <v>6.9270557320612935E-2</v>
          </cell>
          <cell r="W28" t="str">
            <v/>
          </cell>
          <cell r="X28">
            <v>1.1111899543241321E-3</v>
          </cell>
          <cell r="Y28">
            <v>3.3649908385338101E-3</v>
          </cell>
          <cell r="Z28">
            <v>9.4753512821403874E-3</v>
          </cell>
          <cell r="AA28">
            <v>1.5569332680694936E-2</v>
          </cell>
          <cell r="AB28" t="str">
            <v/>
          </cell>
          <cell r="AC28">
            <v>2.9329064053555176E-2</v>
          </cell>
          <cell r="AD28">
            <v>4.5304032986384524E-2</v>
          </cell>
          <cell r="AE28">
            <v>7.2615688399075617E-2</v>
          </cell>
        </row>
        <row r="29">
          <cell r="D29" t="str">
            <v>EUR</v>
          </cell>
          <cell r="N29" t="str">
            <v/>
          </cell>
          <cell r="O29">
            <v>6.3690485549472431E-4</v>
          </cell>
          <cell r="P29">
            <v>1.3948581478229194E-3</v>
          </cell>
          <cell r="Q29">
            <v>4.8293652543733856E-3</v>
          </cell>
          <cell r="R29">
            <v>9.8182156257848874E-3</v>
          </cell>
          <cell r="S29" t="str">
            <v/>
          </cell>
          <cell r="T29">
            <v>2.6849378312817529E-2</v>
          </cell>
          <cell r="U29">
            <v>4.7294561605297991E-2</v>
          </cell>
          <cell r="V29">
            <v>9.2591327935122036E-2</v>
          </cell>
          <cell r="W29" t="str">
            <v/>
          </cell>
          <cell r="X29">
            <v>7.2018164349907376E-4</v>
          </cell>
          <cell r="Y29">
            <v>1.5612784693798121E-3</v>
          </cell>
          <cell r="Z29">
            <v>5.1610335181753175E-3</v>
          </cell>
          <cell r="AA29">
            <v>1.031318276586024E-2</v>
          </cell>
          <cell r="AB29" t="str">
            <v/>
          </cell>
          <cell r="AC29">
            <v>2.816548842760036E-2</v>
          </cell>
          <cell r="AD29">
            <v>4.9602707886440056E-2</v>
          </cell>
          <cell r="AE29">
            <v>9.7054667301305519E-2</v>
          </cell>
        </row>
        <row r="30">
          <cell r="D30" t="str">
            <v>EUR</v>
          </cell>
          <cell r="N30" t="str">
            <v/>
          </cell>
          <cell r="O30">
            <v>4.5497334759936336E-4</v>
          </cell>
          <cell r="P30">
            <v>1.3992836384263407E-3</v>
          </cell>
          <cell r="Q30">
            <v>4.1358284162490433E-3</v>
          </cell>
          <cell r="R30">
            <v>8.2635274722652197E-3</v>
          </cell>
          <cell r="S30" t="str">
            <v/>
          </cell>
          <cell r="T30">
            <v>2.2539472720640163E-2</v>
          </cell>
          <cell r="U30">
            <v>3.883933690179997E-2</v>
          </cell>
          <cell r="V30">
            <v>6.1942140614012375E-2</v>
          </cell>
          <cell r="W30" t="str">
            <v/>
          </cell>
          <cell r="X30">
            <v>5.3826529594969141E-4</v>
          </cell>
          <cell r="Y30">
            <v>1.5657032224634104E-3</v>
          </cell>
          <cell r="Z30">
            <v>4.4677278204747761E-3</v>
          </cell>
          <cell r="AA30">
            <v>8.7592717621126637E-3</v>
          </cell>
          <cell r="AB30" t="str">
            <v/>
          </cell>
          <cell r="AC30">
            <v>2.3637127424469107E-2</v>
          </cell>
          <cell r="AD30">
            <v>4.0731755235325351E-2</v>
          </cell>
          <cell r="AE30">
            <v>6.4933475420183795E-2</v>
          </cell>
        </row>
        <row r="31">
          <cell r="D31" t="str">
            <v>EUR</v>
          </cell>
          <cell r="N31" t="str">
            <v/>
          </cell>
          <cell r="O31">
            <v>5.8232887199149985E-4</v>
          </cell>
          <cell r="P31">
            <v>2.0655813650071186E-3</v>
          </cell>
          <cell r="Q31">
            <v>5.7142961046711127E-3</v>
          </cell>
          <cell r="R31">
            <v>1.0866563658184614E-2</v>
          </cell>
          <cell r="S31" t="str">
            <v/>
          </cell>
          <cell r="T31">
            <v>2.5807962989541355E-2</v>
          </cell>
          <cell r="U31">
            <v>4.3352180177922861E-2</v>
          </cell>
          <cell r="V31">
            <v>6.4407512212216522E-2</v>
          </cell>
          <cell r="W31" t="str">
            <v/>
          </cell>
          <cell r="X31">
            <v>6.656102078149706E-4</v>
          </cell>
          <cell r="Y31">
            <v>2.2318899086841704E-3</v>
          </cell>
          <cell r="Z31">
            <v>6.0456694406660905E-3</v>
          </cell>
          <cell r="AA31">
            <v>1.1388193953755787E-2</v>
          </cell>
          <cell r="AB31" t="str">
            <v/>
          </cell>
          <cell r="AC31">
            <v>2.7078048829710211E-2</v>
          </cell>
          <cell r="AD31">
            <v>4.547412568912379E-2</v>
          </cell>
          <cell r="AE31">
            <v>6.7523628278057579E-2</v>
          </cell>
        </row>
        <row r="32">
          <cell r="D32" t="str">
            <v>EUR</v>
          </cell>
          <cell r="N32" t="str">
            <v/>
          </cell>
          <cell r="O32">
            <v>1.0006687817649684E-3</v>
          </cell>
          <cell r="P32">
            <v>2.7947261130725209E-3</v>
          </cell>
          <cell r="Q32">
            <v>7.2111077393919309E-3</v>
          </cell>
          <cell r="R32">
            <v>1.5467238879111833E-2</v>
          </cell>
          <cell r="S32" t="str">
            <v/>
          </cell>
          <cell r="T32">
            <v>3.3348910436248769E-2</v>
          </cell>
          <cell r="U32">
            <v>5.4944225160039606E-2</v>
          </cell>
          <cell r="V32">
            <v>9.7482385614446887E-2</v>
          </cell>
          <cell r="W32" t="str">
            <v/>
          </cell>
          <cell r="X32">
            <v>1.0839152573786093E-3</v>
          </cell>
          <cell r="Y32">
            <v>2.9609131427482671E-3</v>
          </cell>
          <cell r="Z32">
            <v>7.5585230504505718E-3</v>
          </cell>
          <cell r="AA32">
            <v>1.6234277091737748E-2</v>
          </cell>
          <cell r="AB32" t="str">
            <v/>
          </cell>
          <cell r="AC32">
            <v>3.4989302908546072E-2</v>
          </cell>
          <cell r="AD32">
            <v>5.7623328968287701E-2</v>
          </cell>
          <cell r="AE32">
            <v>0.10216407859452792</v>
          </cell>
        </row>
        <row r="33">
          <cell r="D33" t="str">
            <v>EUR</v>
          </cell>
          <cell r="N33" t="str">
            <v/>
          </cell>
          <cell r="O33">
            <v>7.0966820896456451E-4</v>
          </cell>
          <cell r="P33">
            <v>2.3970392244803129E-3</v>
          </cell>
          <cell r="Q33">
            <v>7.9296522055524177E-3</v>
          </cell>
          <cell r="R33">
            <v>1.38688765300925E-2</v>
          </cell>
          <cell r="S33" t="str">
            <v/>
          </cell>
          <cell r="T33">
            <v>2.8124372732021508E-2</v>
          </cell>
          <cell r="U33">
            <v>4.4009015483154168E-2</v>
          </cell>
          <cell r="V33">
            <v>6.7436704849241802E-2</v>
          </cell>
          <cell r="W33" t="str">
            <v/>
          </cell>
          <cell r="X33">
            <v>7.9293893361020995E-4</v>
          </cell>
          <cell r="Y33">
            <v>2.5632925297894849E-3</v>
          </cell>
          <cell r="Z33">
            <v>8.3098729585614484E-3</v>
          </cell>
          <cell r="AA33">
            <v>1.4555732590385562E-2</v>
          </cell>
          <cell r="AB33" t="str">
            <v/>
          </cell>
          <cell r="AC33">
            <v>2.9509268173051328E-2</v>
          </cell>
          <cell r="AD33">
            <v>4.6162283054634323E-2</v>
          </cell>
          <cell r="AE33">
            <v>7.069433145298909E-2</v>
          </cell>
        </row>
        <row r="34">
          <cell r="D34" t="str">
            <v>EUR</v>
          </cell>
          <cell r="N34" t="str">
            <v/>
          </cell>
          <cell r="O34">
            <v>4.5497334759936336E-4</v>
          </cell>
          <cell r="P34">
            <v>1.5754719486696933E-3</v>
          </cell>
          <cell r="Q34">
            <v>5.525520950825924E-3</v>
          </cell>
          <cell r="R34">
            <v>1.2434173717397634E-2</v>
          </cell>
          <cell r="S34" t="str">
            <v/>
          </cell>
          <cell r="T34">
            <v>3.1069977814155214E-2</v>
          </cell>
          <cell r="U34">
            <v>5.5624245067170675E-2</v>
          </cell>
          <cell r="V34">
            <v>0.10006135867923516</v>
          </cell>
          <cell r="W34" t="str">
            <v/>
          </cell>
          <cell r="X34">
            <v>5.3826529594969141E-4</v>
          </cell>
          <cell r="Y34">
            <v>1.7418621704494708E-3</v>
          </cell>
          <cell r="Z34">
            <v>5.8569572014125493E-3</v>
          </cell>
          <cell r="AA34">
            <v>1.3045227367390777E-2</v>
          </cell>
          <cell r="AB34" t="str">
            <v/>
          </cell>
          <cell r="AC34">
            <v>3.2594471728871977E-2</v>
          </cell>
          <cell r="AD34">
            <v>5.8333714624984712E-2</v>
          </cell>
          <cell r="AE34">
            <v>0.10486500847187663</v>
          </cell>
        </row>
        <row r="35">
          <cell r="D35" t="str">
            <v>EUR</v>
          </cell>
          <cell r="N35" t="str">
            <v/>
          </cell>
          <cell r="O35">
            <v>1.0461299856532325E-3</v>
          </cell>
          <cell r="P35">
            <v>3.1632134609318463E-3</v>
          </cell>
          <cell r="Q35">
            <v>9.6333708743353563E-3</v>
          </cell>
          <cell r="R35">
            <v>1.7974371832573444E-2</v>
          </cell>
          <cell r="S35" t="str">
            <v/>
          </cell>
          <cell r="T35">
            <v>3.9210781126717165E-2</v>
          </cell>
          <cell r="U35">
            <v>6.1631576143808986E-2</v>
          </cell>
          <cell r="V35">
            <v>9.5374207524688837E-2</v>
          </cell>
          <cell r="W35" t="str">
            <v/>
          </cell>
          <cell r="X35">
            <v>1.1293726729973974E-3</v>
          </cell>
          <cell r="Y35">
            <v>3.3293390811747203E-3</v>
          </cell>
          <cell r="Z35">
            <v>1.0095434144791526E-2</v>
          </cell>
          <cell r="AA35">
            <v>1.8865817303261312E-2</v>
          </cell>
          <cell r="AB35" t="str">
            <v/>
          </cell>
          <cell r="AC35">
            <v>4.1135004707086309E-2</v>
          </cell>
          <cell r="AD35">
            <v>6.462660081609406E-2</v>
          </cell>
          <cell r="AE35">
            <v>9.992030998266932E-2</v>
          </cell>
        </row>
        <row r="36">
          <cell r="D36" t="str">
            <v>EUR</v>
          </cell>
          <cell r="N36" t="str">
            <v/>
          </cell>
          <cell r="O36">
            <v>4.5497334759936336E-4</v>
          </cell>
          <cell r="P36">
            <v>1.22308070448085E-3</v>
          </cell>
          <cell r="Q36">
            <v>3.7927823407388761E-3</v>
          </cell>
          <cell r="R36">
            <v>8.2859042324988641E-3</v>
          </cell>
          <cell r="S36" t="str">
            <v/>
          </cell>
          <cell r="T36">
            <v>1.9878731060564148E-2</v>
          </cell>
          <cell r="U36">
            <v>3.5236478943504235E-2</v>
          </cell>
          <cell r="V36">
            <v>6.4703833634608743E-2</v>
          </cell>
          <cell r="W36" t="str">
            <v/>
          </cell>
          <cell r="X36">
            <v>5.3826529594969141E-4</v>
          </cell>
          <cell r="Y36">
            <v>1.3895296532399071E-3</v>
          </cell>
          <cell r="Z36">
            <v>4.124796074582493E-3</v>
          </cell>
          <cell r="AA36">
            <v>8.7816373367883838E-3</v>
          </cell>
          <cell r="AB36" t="str">
            <v/>
          </cell>
          <cell r="AC36">
            <v>2.084471629135054E-2</v>
          </cell>
          <cell r="AD36">
            <v>3.6953075360384835E-2</v>
          </cell>
          <cell r="AE36">
            <v>6.7827522129052076E-2</v>
          </cell>
        </row>
        <row r="37">
          <cell r="D37" t="str">
            <v>EUR</v>
          </cell>
          <cell r="N37" t="str">
            <v/>
          </cell>
          <cell r="O37">
            <v>8.1880333056005838E-4</v>
          </cell>
          <cell r="P37">
            <v>3.8552962201567897E-3</v>
          </cell>
          <cell r="Q37">
            <v>1.1352557429629706E-2</v>
          </cell>
          <cell r="R37">
            <v>2.3139978930085126E-2</v>
          </cell>
          <cell r="S37" t="str">
            <v/>
          </cell>
          <cell r="T37">
            <v>5.8046686224654032E-2</v>
          </cell>
          <cell r="U37">
            <v>9.951996128383811E-2</v>
          </cell>
          <cell r="V37">
            <v>0.16794297561895999</v>
          </cell>
          <cell r="W37" t="str">
            <v/>
          </cell>
          <cell r="X37">
            <v>9.0206496099309863E-4</v>
          </cell>
          <cell r="Y37">
            <v>4.0379060094440922E-3</v>
          </cell>
          <cell r="Z37">
            <v>1.1916540730114944E-2</v>
          </cell>
          <cell r="AA37">
            <v>2.4285142542896931E-2</v>
          </cell>
          <cell r="AB37" t="str">
            <v/>
          </cell>
          <cell r="AC37">
            <v>6.0871854647292278E-2</v>
          </cell>
          <cell r="AD37">
            <v>0.10428314252574489</v>
          </cell>
          <cell r="AE37">
            <v>0.17576377808950894</v>
          </cell>
        </row>
        <row r="38">
          <cell r="D38" t="str">
            <v>EUR</v>
          </cell>
          <cell r="N38" t="str">
            <v/>
          </cell>
          <cell r="O38">
            <v>4.5497334759936336E-4</v>
          </cell>
          <cell r="P38">
            <v>1.0468631450375465E-3</v>
          </cell>
          <cell r="Q38">
            <v>4.1480051453959277E-3</v>
          </cell>
          <cell r="R38">
            <v>8.2758480360302089E-3</v>
          </cell>
          <cell r="S38" t="str">
            <v/>
          </cell>
          <cell r="T38">
            <v>1.9868489015620661E-2</v>
          </cell>
          <cell r="U38">
            <v>3.2621847597286258E-2</v>
          </cell>
          <cell r="V38">
            <v>5.7323262221941729E-2</v>
          </cell>
          <cell r="W38" t="str">
            <v/>
          </cell>
          <cell r="X38">
            <v>5.3826529594969141E-4</v>
          </cell>
          <cell r="Y38">
            <v>1.2133414609432069E-3</v>
          </cell>
          <cell r="Z38">
            <v>4.4799004913916862E-3</v>
          </cell>
          <cell r="AA38">
            <v>8.7715861671472384E-3</v>
          </cell>
          <cell r="AB38" t="str">
            <v/>
          </cell>
          <cell r="AC38">
            <v>2.083443770740312E-2</v>
          </cell>
          <cell r="AD38">
            <v>3.4211302515329001E-2</v>
          </cell>
          <cell r="AE38">
            <v>6.0096335129151357E-2</v>
          </cell>
        </row>
        <row r="39">
          <cell r="D39" t="str">
            <v>EUR</v>
          </cell>
          <cell r="N39" t="str">
            <v/>
          </cell>
          <cell r="O39">
            <v>9.0974018358735975E-4</v>
          </cell>
          <cell r="P39">
            <v>2.2688184468088179E-3</v>
          </cell>
          <cell r="Q39">
            <v>7.9289656868778424E-3</v>
          </cell>
          <cell r="R39">
            <v>1.7569404102357966E-2</v>
          </cell>
          <cell r="S39" t="str">
            <v/>
          </cell>
          <cell r="T39">
            <v>4.3800100845637679E-2</v>
          </cell>
          <cell r="U39">
            <v>7.7924378492666757E-2</v>
          </cell>
          <cell r="V39">
            <v>0.12817193182544928</v>
          </cell>
          <cell r="W39" t="str">
            <v/>
          </cell>
          <cell r="X39">
            <v>9.9299423627774441E-4</v>
          </cell>
          <cell r="Y39">
            <v>2.4350931204583093E-3</v>
          </cell>
          <cell r="Z39">
            <v>8.3091867030128386E-3</v>
          </cell>
          <cell r="AA39">
            <v>1.8439389113530491E-2</v>
          </cell>
          <cell r="AB39" t="str">
            <v/>
          </cell>
          <cell r="AC39">
            <v>4.5945087615335112E-2</v>
          </cell>
          <cell r="AD39">
            <v>8.1691386767981267E-2</v>
          </cell>
          <cell r="AE39">
            <v>0.13424305991243224</v>
          </cell>
        </row>
        <row r="40">
          <cell r="D40" t="str">
            <v>EUR</v>
          </cell>
          <cell r="N40" t="str">
            <v/>
          </cell>
          <cell r="O40">
            <v>1.7368863343264485E-3</v>
          </cell>
          <cell r="P40">
            <v>3.796665556997092E-3</v>
          </cell>
          <cell r="Q40">
            <v>9.9741272488907962E-3</v>
          </cell>
          <cell r="R40">
            <v>1.7807357394513113E-2</v>
          </cell>
          <cell r="S40" t="str">
            <v/>
          </cell>
          <cell r="T40">
            <v>3.6501573356131356E-2</v>
          </cell>
          <cell r="U40">
            <v>5.6094513963189763E-2</v>
          </cell>
          <cell r="V40">
            <v>8.5082667437420101E-2</v>
          </cell>
          <cell r="W40" t="str">
            <v/>
          </cell>
          <cell r="X40">
            <v>1.8200714610301372E-3</v>
          </cell>
          <cell r="Y40">
            <v>3.9776260583517242E-3</v>
          </cell>
          <cell r="Z40">
            <v>1.0454173376568399E-2</v>
          </cell>
          <cell r="AA40">
            <v>1.8691785719074261E-2</v>
          </cell>
          <cell r="AB40" t="str">
            <v/>
          </cell>
          <cell r="AC40">
            <v>3.8295701213610256E-2</v>
          </cell>
          <cell r="AD40">
            <v>5.8826710095371548E-2</v>
          </cell>
          <cell r="AE40">
            <v>8.9157122626988494E-2</v>
          </cell>
        </row>
        <row r="41">
          <cell r="D41" t="str">
            <v>EUR</v>
          </cell>
          <cell r="N41" t="str">
            <v/>
          </cell>
          <cell r="O41">
            <v>3.6399520350638426E-4</v>
          </cell>
          <cell r="P41">
            <v>1.2252857733764388E-3</v>
          </cell>
          <cell r="Q41">
            <v>4.14415820314884E-3</v>
          </cell>
          <cell r="R41">
            <v>9.8640896694566216E-3</v>
          </cell>
          <cell r="S41" t="str">
            <v/>
          </cell>
          <cell r="T41">
            <v>2.4218797781871082E-2</v>
          </cell>
          <cell r="U41">
            <v>4.3737137337015008E-2</v>
          </cell>
          <cell r="V41">
            <v>7.6304917747906598E-2</v>
          </cell>
          <cell r="W41" t="str">
            <v/>
          </cell>
          <cell r="X41">
            <v>4.4729473304006007E-4</v>
          </cell>
          <cell r="Y41">
            <v>1.3917343546390182E-3</v>
          </cell>
          <cell r="Z41">
            <v>4.4760548312168247E-3</v>
          </cell>
          <cell r="AA41">
            <v>1.0359033878251878E-2</v>
          </cell>
          <cell r="AB41" t="str">
            <v/>
          </cell>
          <cell r="AC41">
            <v>2.5404044300488704E-2</v>
          </cell>
          <cell r="AD41">
            <v>4.5871713486373311E-2</v>
          </cell>
          <cell r="AE41">
            <v>7.9978146717757936E-2</v>
          </cell>
        </row>
        <row r="42">
          <cell r="D42" t="str">
            <v>EUR</v>
          </cell>
          <cell r="N42" t="str">
            <v/>
          </cell>
          <cell r="O42">
            <v>8.1880333056005838E-4</v>
          </cell>
          <cell r="P42">
            <v>3.1513418086189793E-3</v>
          </cell>
          <cell r="Q42">
            <v>1.2073836081437195E-2</v>
          </cell>
          <cell r="R42">
            <v>2.1023894173628044E-2</v>
          </cell>
          <cell r="S42" t="str">
            <v/>
          </cell>
          <cell r="T42">
            <v>5.0307695747634162E-2</v>
          </cell>
          <cell r="U42">
            <v>8.5454729082509173E-2</v>
          </cell>
          <cell r="V42">
            <v>0.1421159909823666</v>
          </cell>
          <cell r="W42" t="str">
            <v/>
          </cell>
          <cell r="X42">
            <v>9.0206496099309863E-4</v>
          </cell>
          <cell r="Y42">
            <v>3.3174694073021538E-3</v>
          </cell>
          <cell r="Z42">
            <v>1.2672965363681787E-2</v>
          </cell>
          <cell r="AA42">
            <v>2.2064079220928678E-2</v>
          </cell>
          <cell r="AB42" t="str">
            <v/>
          </cell>
          <cell r="AC42">
            <v>5.2763099044438433E-2</v>
          </cell>
          <cell r="AD42">
            <v>8.9567298695792386E-2</v>
          </cell>
          <cell r="AE42">
            <v>0.14880095065230736</v>
          </cell>
        </row>
        <row r="43">
          <cell r="D43" t="str">
            <v>EUR</v>
          </cell>
          <cell r="N43" t="str">
            <v/>
          </cell>
          <cell r="O43">
            <v>3.0030558705684829E-4</v>
          </cell>
          <cell r="P43">
            <v>1.596866988454515E-3</v>
          </cell>
          <cell r="Q43">
            <v>5.6682974491331084E-3</v>
          </cell>
          <cell r="R43">
            <v>1.1264968708774803E-2</v>
          </cell>
          <cell r="S43" t="str">
            <v/>
          </cell>
          <cell r="T43">
            <v>2.5808507296589012E-2</v>
          </cell>
          <cell r="U43">
            <v>4.1408979658676071E-2</v>
          </cell>
          <cell r="V43">
            <v>6.4675554956267312E-2</v>
          </cell>
          <cell r="W43" t="str">
            <v/>
          </cell>
          <cell r="X43">
            <v>3.836104238418292E-4</v>
          </cell>
          <cell r="Y43">
            <v>1.7632536446817726E-3</v>
          </cell>
          <cell r="Z43">
            <v>5.9996861154508752E-3</v>
          </cell>
          <cell r="AA43">
            <v>1.1803682487969591E-2</v>
          </cell>
          <cell r="AB43" t="str">
            <v/>
          </cell>
          <cell r="AC43">
            <v>2.7077422473698931E-2</v>
          </cell>
          <cell r="AD43">
            <v>4.3435303815706816E-2</v>
          </cell>
          <cell r="AE43">
            <v>6.7803475265220681E-2</v>
          </cell>
        </row>
        <row r="44">
          <cell r="D44" t="str">
            <v>EUR</v>
          </cell>
          <cell r="N44" t="str">
            <v/>
          </cell>
          <cell r="O44">
            <v>7.5514262122422515E-4</v>
          </cell>
          <cell r="P44">
            <v>3.0825353567680569E-3</v>
          </cell>
          <cell r="Q44">
            <v>9.7485177859601979E-3</v>
          </cell>
          <cell r="R44">
            <v>1.8032952842390038E-2</v>
          </cell>
          <cell r="S44" t="str">
            <v/>
          </cell>
          <cell r="T44">
            <v>4.0981178403409424E-2</v>
          </cell>
          <cell r="U44">
            <v>6.2719439644113195E-2</v>
          </cell>
          <cell r="V44">
            <v>9.499816934762717E-2</v>
          </cell>
          <cell r="W44" t="str">
            <v/>
          </cell>
          <cell r="X44">
            <v>8.384095564997196E-4</v>
          </cell>
          <cell r="Y44">
            <v>3.2486744222285369E-3</v>
          </cell>
          <cell r="Z44">
            <v>1.0215476268697343E-2</v>
          </cell>
          <cell r="AA44">
            <v>1.8926800156382151E-2</v>
          </cell>
          <cell r="AB44" t="str">
            <v/>
          </cell>
          <cell r="AC44">
            <v>4.2990491991359181E-2</v>
          </cell>
          <cell r="AD44">
            <v>6.5765055488747781E-2</v>
          </cell>
          <cell r="AE44">
            <v>9.9524153163218831E-2</v>
          </cell>
        </row>
        <row r="45">
          <cell r="D45" t="str">
            <v>EUR</v>
          </cell>
          <cell r="N45" t="str">
            <v/>
          </cell>
          <cell r="O45">
            <v>1.091589126235637E-3</v>
          </cell>
          <cell r="P45">
            <v>2.4403751962409626E-3</v>
          </cell>
          <cell r="Q45">
            <v>6.1759743229057307E-3</v>
          </cell>
          <cell r="R45">
            <v>1.182331345228449E-2</v>
          </cell>
          <cell r="S45" t="str">
            <v/>
          </cell>
          <cell r="T45">
            <v>2.3006925330789962E-2</v>
          </cell>
          <cell r="U45">
            <v>3.9615615112190361E-2</v>
          </cell>
          <cell r="V45">
            <v>7.0858973190475516E-2</v>
          </cell>
          <cell r="W45" t="str">
            <v/>
          </cell>
          <cell r="X45">
            <v>1.1748280254821886E-3</v>
          </cell>
          <cell r="Y45">
            <v>2.6066212794906285E-3</v>
          </cell>
          <cell r="Z45">
            <v>6.5071937918369516E-3</v>
          </cell>
          <cell r="AA45">
            <v>1.2391351720379862E-2</v>
          </cell>
          <cell r="AB45" t="str">
            <v/>
          </cell>
          <cell r="AC45">
            <v>2.4142098903175979E-2</v>
          </cell>
          <cell r="AD45">
            <v>4.155896419709193E-2</v>
          </cell>
          <cell r="AE45">
            <v>7.4284813520103188E-2</v>
          </cell>
        </row>
        <row r="46">
          <cell r="D46" t="str">
            <v>EUR</v>
          </cell>
          <cell r="N46" t="str">
            <v/>
          </cell>
          <cell r="O46">
            <v>3.6399520350638426E-4</v>
          </cell>
          <cell r="P46">
            <v>1.5776928696848991E-3</v>
          </cell>
          <cell r="Q46">
            <v>4.8300036012460801E-3</v>
          </cell>
          <cell r="R46">
            <v>9.2884024454689129E-3</v>
          </cell>
          <cell r="S46" t="str">
            <v/>
          </cell>
          <cell r="T46">
            <v>2.3318205393211722E-2</v>
          </cell>
          <cell r="U46">
            <v>4.1227922052438193E-2</v>
          </cell>
          <cell r="V46">
            <v>7.0995920051109107E-2</v>
          </cell>
          <cell r="W46" t="str">
            <v/>
          </cell>
          <cell r="X46">
            <v>4.4729473304006007E-4</v>
          </cell>
          <cell r="Y46">
            <v>1.7440827213339727E-3</v>
          </cell>
          <cell r="Z46">
            <v>5.161671652306743E-3</v>
          </cell>
          <cell r="AA46">
            <v>9.7836344259344399E-3</v>
          </cell>
          <cell r="AB46" t="str">
            <v/>
          </cell>
          <cell r="AC46">
            <v>2.4459491485208651E-2</v>
          </cell>
          <cell r="AD46">
            <v>4.3241309958970908E-2</v>
          </cell>
          <cell r="AE46">
            <v>7.4420355272975192E-2</v>
          </cell>
        </row>
        <row r="47">
          <cell r="D47" t="str">
            <v>EUR</v>
          </cell>
          <cell r="N47" t="str">
            <v/>
          </cell>
          <cell r="O47">
            <v>1.6823702585243572E-3</v>
          </cell>
          <cell r="P47">
            <v>3.6045727340642264E-3</v>
          </cell>
          <cell r="Q47">
            <v>9.634907095922185E-3</v>
          </cell>
          <cell r="R47">
            <v>1.6671781665576368E-2</v>
          </cell>
          <cell r="S47" t="str">
            <v/>
          </cell>
          <cell r="T47">
            <v>3.4845552987327388E-2</v>
          </cell>
          <cell r="U47">
            <v>5.4474159079863083E-2</v>
          </cell>
          <cell r="V47">
            <v>8.376227017791249E-2</v>
          </cell>
          <cell r="W47" t="str">
            <v/>
          </cell>
          <cell r="X47">
            <v>1.7655599280550494E-3</v>
          </cell>
          <cell r="Y47">
            <v>3.7764361216300335E-3</v>
          </cell>
          <cell r="Z47">
            <v>1.0098619486633931E-2</v>
          </cell>
          <cell r="AA47">
            <v>1.7500104353354362E-2</v>
          </cell>
          <cell r="AB47" t="str">
            <v/>
          </cell>
          <cell r="AC47">
            <v>3.6559669790598881E-2</v>
          </cell>
          <cell r="AD47">
            <v>5.7130193277003749E-2</v>
          </cell>
          <cell r="AE47">
            <v>8.7778327178414051E-2</v>
          </cell>
        </row>
        <row r="48">
          <cell r="D48" t="str">
            <v>EUR</v>
          </cell>
          <cell r="N48" t="str">
            <v/>
          </cell>
          <cell r="O48">
            <v>4.5497334759936336E-4</v>
          </cell>
          <cell r="P48">
            <v>1.22308070448085E-3</v>
          </cell>
          <cell r="Q48">
            <v>3.7927823407388761E-3</v>
          </cell>
          <cell r="R48">
            <v>7.7549655934833206E-3</v>
          </cell>
          <cell r="S48" t="str">
            <v/>
          </cell>
          <cell r="T48">
            <v>2.0812092459711939E-2</v>
          </cell>
          <cell r="U48">
            <v>3.7785960948203301E-2</v>
          </cell>
          <cell r="V48">
            <v>7.00726223555318E-2</v>
          </cell>
          <cell r="W48" t="str">
            <v/>
          </cell>
          <cell r="X48">
            <v>5.3826529594969141E-4</v>
          </cell>
          <cell r="Y48">
            <v>1.3895296532399071E-3</v>
          </cell>
          <cell r="Z48">
            <v>4.124796074582493E-3</v>
          </cell>
          <cell r="AA48">
            <v>8.2509641007361134E-3</v>
          </cell>
          <cell r="AB48" t="str">
            <v/>
          </cell>
          <cell r="AC48">
            <v>2.1822062752955174E-2</v>
          </cell>
          <cell r="AD48">
            <v>3.9624826189818441E-2</v>
          </cell>
          <cell r="AE48">
            <v>7.3448030243814966E-2</v>
          </cell>
        </row>
        <row r="49">
          <cell r="D49" t="str">
            <v>EUR</v>
          </cell>
          <cell r="N49" t="str">
            <v/>
          </cell>
          <cell r="O49">
            <v>1.0006687817649684E-3</v>
          </cell>
          <cell r="P49">
            <v>2.7947261130725209E-3</v>
          </cell>
          <cell r="Q49">
            <v>6.8627399723123483E-3</v>
          </cell>
          <cell r="R49">
            <v>1.4426279597449798E-2</v>
          </cell>
          <cell r="S49" t="str">
            <v/>
          </cell>
          <cell r="T49">
            <v>3.3446830042253239E-2</v>
          </cell>
          <cell r="U49">
            <v>5.5042694798059455E-2</v>
          </cell>
          <cell r="V49">
            <v>9.5689283925012969E-2</v>
          </cell>
          <cell r="W49" t="str">
            <v/>
          </cell>
          <cell r="X49">
            <v>1.0839152573786093E-3</v>
          </cell>
          <cell r="Y49">
            <v>2.9609131427482671E-3</v>
          </cell>
          <cell r="Z49">
            <v>7.1937305574995003E-3</v>
          </cell>
          <cell r="AA49">
            <v>1.5141808937246259E-2</v>
          </cell>
          <cell r="AB49" t="str">
            <v/>
          </cell>
          <cell r="AC49">
            <v>3.5092281328373387E-2</v>
          </cell>
          <cell r="AD49">
            <v>5.7727329848833109E-2</v>
          </cell>
          <cell r="AE49">
            <v>0.10028691265730771</v>
          </cell>
        </row>
        <row r="50">
          <cell r="D50" t="str">
            <v>EUR</v>
          </cell>
          <cell r="N50" t="str">
            <v/>
          </cell>
          <cell r="O50">
            <v>6.3690485549472431E-4</v>
          </cell>
          <cell r="P50">
            <v>1.5710306083301928E-3</v>
          </cell>
          <cell r="Q50">
            <v>4.4742758268462302E-3</v>
          </cell>
          <cell r="R50">
            <v>9.2978809822560349E-3</v>
          </cell>
          <cell r="S50" t="str">
            <v/>
          </cell>
          <cell r="T50">
            <v>2.5114176488660989E-2</v>
          </cell>
          <cell r="U50">
            <v>4.3646006655868264E-2</v>
          </cell>
          <cell r="V50">
            <v>7.6213532312441767E-2</v>
          </cell>
          <cell r="W50" t="str">
            <v/>
          </cell>
          <cell r="X50">
            <v>7.2018164349907376E-4</v>
          </cell>
          <cell r="Y50">
            <v>1.7374215702635754E-3</v>
          </cell>
          <cell r="Z50">
            <v>4.806062434074998E-3</v>
          </cell>
          <cell r="AA50">
            <v>9.7931082246366374E-3</v>
          </cell>
          <cell r="AB50" t="str">
            <v/>
          </cell>
          <cell r="AC50">
            <v>2.634301941017192E-2</v>
          </cell>
          <cell r="AD50">
            <v>4.5775805220933607E-2</v>
          </cell>
          <cell r="AE50">
            <v>7.9881565756046213E-2</v>
          </cell>
        </row>
        <row r="51">
          <cell r="D51" t="str">
            <v>EUR</v>
          </cell>
          <cell r="N51" t="str">
            <v/>
          </cell>
          <cell r="O51">
            <v>1.091589126235637E-3</v>
          </cell>
          <cell r="P51">
            <v>4.2001698315580205E-3</v>
          </cell>
          <cell r="Q51">
            <v>1.3068870024125601E-2</v>
          </cell>
          <cell r="R51">
            <v>2.7763502399817952E-2</v>
          </cell>
          <cell r="S51" t="str">
            <v/>
          </cell>
          <cell r="T51">
            <v>6.8016892681860397E-2</v>
          </cell>
          <cell r="U51">
            <v>0.11274648055444325</v>
          </cell>
          <cell r="V51">
            <v>0.18360889151904602</v>
          </cell>
          <cell r="W51" t="str">
            <v/>
          </cell>
          <cell r="X51">
            <v>1.1748280254821886E-3</v>
          </cell>
          <cell r="Y51">
            <v>4.3993098829216981E-3</v>
          </cell>
          <cell r="Z51">
            <v>1.3718142650883225E-2</v>
          </cell>
          <cell r="AA51">
            <v>2.9135686797522653E-2</v>
          </cell>
          <cell r="AB51" t="str">
            <v/>
          </cell>
          <cell r="AC51">
            <v>7.1311842645118362E-2</v>
          </cell>
          <cell r="AD51">
            <v>0.11812911269853743</v>
          </cell>
          <cell r="AE51">
            <v>0.1920711868703221</v>
          </cell>
        </row>
        <row r="52">
          <cell r="D52" t="str">
            <v>EUR</v>
          </cell>
          <cell r="N52" t="str">
            <v/>
          </cell>
          <cell r="O52">
            <v>5.4594323121426314E-4</v>
          </cell>
          <cell r="P52">
            <v>1.2208758015412879E-3</v>
          </cell>
          <cell r="Q52">
            <v>4.1396751096509643E-3</v>
          </cell>
          <cell r="R52">
            <v>9.3288988610895629E-3</v>
          </cell>
          <cell r="S52" t="str">
            <v/>
          </cell>
          <cell r="T52">
            <v>2.4253086792053069E-2</v>
          </cell>
          <cell r="U52">
            <v>4.2474741666260529E-2</v>
          </cell>
          <cell r="V52">
            <v>7.6521608597956869E-2</v>
          </cell>
          <cell r="W52" t="str">
            <v/>
          </cell>
          <cell r="X52">
            <v>6.2922759904748826E-4</v>
          </cell>
          <cell r="Y52">
            <v>1.3873251177468626E-3</v>
          </cell>
          <cell r="Z52">
            <v>4.471573231844661E-3</v>
          </cell>
          <cell r="AA52">
            <v>9.8241105984022692E-3</v>
          </cell>
          <cell r="AB52" t="str">
            <v/>
          </cell>
          <cell r="AC52">
            <v>2.5438335363284215E-2</v>
          </cell>
          <cell r="AD52">
            <v>4.4546570276533193E-2</v>
          </cell>
          <cell r="AE52">
            <v>8.0203523225932272E-2</v>
          </cell>
        </row>
        <row r="53">
          <cell r="D53" t="str">
            <v>EUR</v>
          </cell>
          <cell r="N53" t="str">
            <v/>
          </cell>
          <cell r="O53">
            <v>6.3690485549472431E-4</v>
          </cell>
          <cell r="P53">
            <v>1.3948581478229194E-3</v>
          </cell>
          <cell r="Q53">
            <v>3.7822495418606827E-3</v>
          </cell>
          <cell r="R53">
            <v>8.8060186156978526E-3</v>
          </cell>
          <cell r="S53" t="str">
            <v/>
          </cell>
          <cell r="T53">
            <v>2.430013823796684E-2</v>
          </cell>
          <cell r="U53">
            <v>4.3819616029275199E-2</v>
          </cell>
          <cell r="V53">
            <v>7.830462618312195E-2</v>
          </cell>
          <cell r="W53" t="str">
            <v/>
          </cell>
          <cell r="X53">
            <v>7.2018164349907376E-4</v>
          </cell>
          <cell r="Y53">
            <v>1.5612784693798121E-3</v>
          </cell>
          <cell r="Z53">
            <v>4.1142667860674109E-3</v>
          </cell>
          <cell r="AA53">
            <v>9.3014917277863818E-3</v>
          </cell>
          <cell r="AB53" t="str">
            <v/>
          </cell>
          <cell r="AC53">
            <v>2.5485439191089809E-2</v>
          </cell>
          <cell r="AD53">
            <v>4.5954611780388732E-2</v>
          </cell>
          <cell r="AE53">
            <v>8.2068216850219144E-2</v>
          </cell>
        </row>
        <row r="54">
          <cell r="D54" t="str">
            <v>EUR</v>
          </cell>
          <cell r="N54" t="str">
            <v/>
          </cell>
          <cell r="O54">
            <v>3.6399520350638426E-4</v>
          </cell>
          <cell r="P54">
            <v>1.049060286898551E-3</v>
          </cell>
          <cell r="Q54">
            <v>3.4518609824072399E-3</v>
          </cell>
          <cell r="R54">
            <v>7.2484136290769108E-3</v>
          </cell>
          <cell r="S54" t="str">
            <v/>
          </cell>
          <cell r="T54">
            <v>1.818919910151906E-2</v>
          </cell>
          <cell r="U54">
            <v>2.9003784463356164E-2</v>
          </cell>
          <cell r="V54">
            <v>5.0396665974648425E-2</v>
          </cell>
          <cell r="W54" t="str">
            <v/>
          </cell>
          <cell r="X54">
            <v>4.4729473304006007E-4</v>
          </cell>
          <cell r="Y54">
            <v>1.2155382366452194E-3</v>
          </cell>
          <cell r="Z54">
            <v>3.7839883377916994E-3</v>
          </cell>
          <cell r="AA54">
            <v>7.7446653490090833E-3</v>
          </cell>
          <cell r="AB54" t="str">
            <v/>
          </cell>
          <cell r="AC54">
            <v>1.9047907812442699E-2</v>
          </cell>
          <cell r="AD54">
            <v>3.0413606826250938E-2</v>
          </cell>
          <cell r="AE54">
            <v>5.2836538853544446E-2</v>
          </cell>
        </row>
        <row r="55">
          <cell r="D55" t="str">
            <v>EUR</v>
          </cell>
          <cell r="N55" t="str">
            <v/>
          </cell>
          <cell r="O55">
            <v>5.4594323121426314E-4</v>
          </cell>
          <cell r="P55">
            <v>1.9255681029851646E-3</v>
          </cell>
          <cell r="Q55">
            <v>6.2083384455808854E-3</v>
          </cell>
          <cell r="R55">
            <v>1.2915495504465024E-2</v>
          </cell>
          <cell r="S55" t="str">
            <v/>
          </cell>
          <cell r="T55">
            <v>2.9200488811569114E-2</v>
          </cell>
          <cell r="U55">
            <v>5.0563243889938492E-2</v>
          </cell>
          <cell r="V55">
            <v>8.573277785548572E-2</v>
          </cell>
          <cell r="W55" t="str">
            <v/>
          </cell>
          <cell r="X55">
            <v>6.2922759904748826E-4</v>
          </cell>
          <cell r="Y55">
            <v>2.0918999802571614E-3</v>
          </cell>
          <cell r="Z55">
            <v>6.5395471282390094E-3</v>
          </cell>
          <cell r="AA55">
            <v>1.3552649121470695E-2</v>
          </cell>
          <cell r="AB55" t="str">
            <v/>
          </cell>
          <cell r="AC55">
            <v>3.0635872746199277E-2</v>
          </cell>
          <cell r="AD55">
            <v>5.3031418239175676E-2</v>
          </cell>
          <cell r="AE55">
            <v>8.9846138559902311E-2</v>
          </cell>
        </row>
        <row r="56">
          <cell r="D56" t="str">
            <v>EUR</v>
          </cell>
          <cell r="N56" t="str">
            <v/>
          </cell>
          <cell r="O56">
            <v>5.4594323121426314E-4</v>
          </cell>
          <cell r="P56">
            <v>2.4539338382131293E-3</v>
          </cell>
          <cell r="Q56">
            <v>7.2352121625699484E-3</v>
          </cell>
          <cell r="R56">
            <v>1.390484410560977E-2</v>
          </cell>
          <cell r="S56" t="str">
            <v/>
          </cell>
          <cell r="T56">
            <v>3.082919296450648E-2</v>
          </cell>
          <cell r="U56">
            <v>5.2801218963714702E-2</v>
          </cell>
          <cell r="V56">
            <v>8.8827471414386849E-2</v>
          </cell>
          <cell r="W56" t="str">
            <v/>
          </cell>
          <cell r="X56">
            <v>6.2922759904748826E-4</v>
          </cell>
          <cell r="Y56">
            <v>2.6201776618682837E-3</v>
          </cell>
          <cell r="Z56">
            <v>7.5826190385611669E-3</v>
          </cell>
          <cell r="AA56">
            <v>1.4593421326407063E-2</v>
          </cell>
          <cell r="AB56" t="str">
            <v/>
          </cell>
          <cell r="AC56">
            <v>3.2346110119797933E-2</v>
          </cell>
          <cell r="AD56">
            <v>5.5378194218872467E-2</v>
          </cell>
          <cell r="AE56">
            <v>9.3084071555003867E-2</v>
          </cell>
        </row>
        <row r="57">
          <cell r="D57" t="str">
            <v>EUR</v>
          </cell>
          <cell r="N57" t="str">
            <v/>
          </cell>
          <cell r="O57">
            <v>4.5497334759936336E-4</v>
          </cell>
          <cell r="P57">
            <v>1.3992836384263407E-3</v>
          </cell>
          <cell r="Q57">
            <v>4.8338786310909709E-3</v>
          </cell>
          <cell r="R57">
            <v>1.1413695955712733E-2</v>
          </cell>
          <cell r="S57" t="str">
            <v/>
          </cell>
          <cell r="T57">
            <v>3.0300515873449063E-2</v>
          </cell>
          <cell r="U57">
            <v>5.1971616231201723E-2</v>
          </cell>
          <cell r="V57">
            <v>9.13775850537627E-2</v>
          </cell>
          <cell r="W57" t="str">
            <v/>
          </cell>
          <cell r="X57">
            <v>5.3826529594969141E-4</v>
          </cell>
          <cell r="Y57">
            <v>1.5657032224634104E-3</v>
          </cell>
          <cell r="Z57">
            <v>5.1655453906920279E-3</v>
          </cell>
          <cell r="AA57">
            <v>1.1957268926647835E-2</v>
          </cell>
          <cell r="AB57" t="str">
            <v/>
          </cell>
          <cell r="AC57">
            <v>3.1787008413523887E-2</v>
          </cell>
          <cell r="AD57">
            <v>5.4505617864190392E-2</v>
          </cell>
          <cell r="AE57">
            <v>9.5750677601859735E-2</v>
          </cell>
        </row>
        <row r="58">
          <cell r="D58" t="str">
            <v>EUR</v>
          </cell>
          <cell r="N58" t="str">
            <v/>
          </cell>
          <cell r="O58">
            <v>1.091589126235637E-3</v>
          </cell>
          <cell r="P58">
            <v>2.9684668899444544E-3</v>
          </cell>
          <cell r="Q58">
            <v>9.639264859510388E-3</v>
          </cell>
          <cell r="R58">
            <v>1.7980368078696074E-2</v>
          </cell>
          <cell r="S58" t="str">
            <v/>
          </cell>
          <cell r="T58">
            <v>3.8332173058903574E-2</v>
          </cell>
          <cell r="U58">
            <v>6.1735106566651488E-2</v>
          </cell>
          <cell r="V58">
            <v>0.10487890499540853</v>
          </cell>
          <cell r="W58" t="str">
            <v/>
          </cell>
          <cell r="X58">
            <v>1.1748280254821886E-3</v>
          </cell>
          <cell r="Y58">
            <v>3.1346249652464131E-3</v>
          </cell>
          <cell r="Z58">
            <v>1.0101325380074133E-2</v>
          </cell>
          <cell r="AA58">
            <v>1.8871846988310681E-2</v>
          </cell>
          <cell r="AB58" t="str">
            <v/>
          </cell>
          <cell r="AC58">
            <v>4.021360636905269E-2</v>
          </cell>
          <cell r="AD58">
            <v>6.4735240209967682E-2</v>
          </cell>
          <cell r="AE58">
            <v>0.10989174721493034</v>
          </cell>
        </row>
        <row r="59">
          <cell r="D59" t="str">
            <v>EUR</v>
          </cell>
          <cell r="N59" t="str">
            <v/>
          </cell>
          <cell r="O59">
            <v>7.2785822158416558E-4</v>
          </cell>
          <cell r="P59">
            <v>2.2733221545981896E-3</v>
          </cell>
          <cell r="Q59">
            <v>7.9336151113674758E-3</v>
          </cell>
          <cell r="R59">
            <v>1.4930837204146341E-2</v>
          </cell>
          <cell r="S59" t="str">
            <v/>
          </cell>
          <cell r="T59">
            <v>3.2493565565214988E-2</v>
          </cell>
          <cell r="U59">
            <v>5.3785072093279429E-2</v>
          </cell>
          <cell r="V59">
            <v>9.400978733948262E-2</v>
          </cell>
          <cell r="W59" t="str">
            <v/>
          </cell>
          <cell r="X59">
            <v>8.1112743046984903E-4</v>
          </cell>
          <cell r="Y59">
            <v>2.4395960776882886E-3</v>
          </cell>
          <cell r="Z59">
            <v>8.3138343455818609E-3</v>
          </cell>
          <cell r="AA59">
            <v>1.5670094314722882E-2</v>
          </cell>
          <cell r="AB59" t="str">
            <v/>
          </cell>
          <cell r="AC59">
            <v>3.4091122963668896E-2</v>
          </cell>
          <cell r="AD59">
            <v>5.6407790087924625E-2</v>
          </cell>
          <cell r="AE59">
            <v>9.8528367103767778E-2</v>
          </cell>
        </row>
        <row r="60">
          <cell r="D60" t="str">
            <v>EUR</v>
          </cell>
          <cell r="N60" t="str">
            <v/>
          </cell>
          <cell r="O60">
            <v>5.4594323121426314E-4</v>
          </cell>
          <cell r="P60">
            <v>1.5732511946792149E-3</v>
          </cell>
          <cell r="Q60">
            <v>4.4765243018008993E-3</v>
          </cell>
          <cell r="R60">
            <v>8.7695701861891795E-3</v>
          </cell>
          <cell r="S60" t="str">
            <v/>
          </cell>
          <cell r="T60">
            <v>1.8897620666418646E-2</v>
          </cell>
          <cell r="U60">
            <v>3.1333570999939941E-2</v>
          </cell>
          <cell r="V60">
            <v>5.557937210502184E-2</v>
          </cell>
          <cell r="W60" t="str">
            <v/>
          </cell>
          <cell r="X60">
            <v>6.2922759904748826E-4</v>
          </cell>
          <cell r="Y60">
            <v>1.7396417865397362E-3</v>
          </cell>
          <cell r="Z60">
            <v>4.8083101596323452E-3</v>
          </cell>
          <cell r="AA60">
            <v>9.2650615179205031E-3</v>
          </cell>
          <cell r="AB60" t="str">
            <v/>
          </cell>
          <cell r="AC60">
            <v>1.9819398729613691E-2</v>
          </cell>
          <cell r="AD60">
            <v>3.2863730245054956E-2</v>
          </cell>
          <cell r="AE60">
            <v>5.8273162104088172E-2</v>
          </cell>
        </row>
        <row r="61">
          <cell r="D61" t="str">
            <v>EUR</v>
          </cell>
          <cell r="N61" t="str">
            <v/>
          </cell>
          <cell r="O61">
            <v>7.2785822158416558E-4</v>
          </cell>
          <cell r="P61">
            <v>1.9210954044108774E-3</v>
          </cell>
          <cell r="Q61">
            <v>5.5063578023649695E-3</v>
          </cell>
          <cell r="R61">
            <v>9.2342335366527584E-3</v>
          </cell>
          <cell r="S61" t="str">
            <v/>
          </cell>
          <cell r="T61">
            <v>2.0581768758713315E-2</v>
          </cell>
          <cell r="U61">
            <v>3.3650610908335432E-2</v>
          </cell>
          <cell r="V61">
            <v>6.0735416676911291E-2</v>
          </cell>
          <cell r="W61" t="str">
            <v/>
          </cell>
          <cell r="X61">
            <v>8.1112743046984903E-4</v>
          </cell>
          <cell r="Y61">
            <v>2.0874280270694046E-3</v>
          </cell>
          <cell r="Z61">
            <v>5.8378004395733818E-3</v>
          </cell>
          <cell r="AA61">
            <v>9.7294925947858379E-3</v>
          </cell>
          <cell r="AB61" t="str">
            <v/>
          </cell>
          <cell r="AC61">
            <v>2.1591233130506593E-2</v>
          </cell>
          <cell r="AD61">
            <v>3.5298248323500592E-2</v>
          </cell>
          <cell r="AE61">
            <v>6.3678380588906847E-2</v>
          </cell>
        </row>
        <row r="62">
          <cell r="D62" t="str">
            <v>EUR</v>
          </cell>
          <cell r="N62" t="str">
            <v/>
          </cell>
          <cell r="O62">
            <v>4.5497334759936336E-4</v>
          </cell>
          <cell r="P62">
            <v>1.0468631450375465E-3</v>
          </cell>
          <cell r="Q62">
            <v>4.1480051453959277E-3</v>
          </cell>
          <cell r="R62">
            <v>8.8066616088201544E-3</v>
          </cell>
          <cell r="S62" t="str">
            <v/>
          </cell>
          <cell r="T62">
            <v>2.3407259258605095E-2</v>
          </cell>
          <cell r="U62">
            <v>4.0019686370160512E-2</v>
          </cell>
          <cell r="V62">
            <v>6.9344711569797934E-2</v>
          </cell>
          <cell r="W62" t="str">
            <v/>
          </cell>
          <cell r="X62">
            <v>5.3826529594969141E-4</v>
          </cell>
          <cell r="Y62">
            <v>1.2133414609432069E-3</v>
          </cell>
          <cell r="Z62">
            <v>4.4799004913916862E-3</v>
          </cell>
          <cell r="AA62">
            <v>9.3021343994812433E-3</v>
          </cell>
          <cell r="AB62" t="str">
            <v/>
          </cell>
          <cell r="AC62">
            <v>2.4548779384484631E-2</v>
          </cell>
          <cell r="AD62">
            <v>4.1970416001016697E-2</v>
          </cell>
          <cell r="AE62">
            <v>7.2687382407809142E-2</v>
          </cell>
        </row>
        <row r="63">
          <cell r="D63" t="str">
            <v>EUR</v>
          </cell>
          <cell r="N63" t="str">
            <v/>
          </cell>
          <cell r="O63">
            <v>9.0974018358735975E-4</v>
          </cell>
          <cell r="P63">
            <v>2.0927282198391906E-3</v>
          </cell>
          <cell r="Q63">
            <v>5.1468903608948846E-3</v>
          </cell>
          <cell r="R63">
            <v>1.1360432066579995E-2</v>
          </cell>
          <cell r="S63" t="str">
            <v/>
          </cell>
          <cell r="T63">
            <v>2.5789918585153226E-2</v>
          </cell>
          <cell r="U63">
            <v>4.3334101110806933E-2</v>
          </cell>
          <cell r="V63">
            <v>7.9728837003111841E-2</v>
          </cell>
          <cell r="W63" t="str">
            <v/>
          </cell>
          <cell r="X63">
            <v>9.9299423627774441E-4</v>
          </cell>
          <cell r="Y63">
            <v>2.2590322394089313E-3</v>
          </cell>
          <cell r="Z63">
            <v>5.4784528006507349E-3</v>
          </cell>
          <cell r="AA63">
            <v>1.1904034324636936E-2</v>
          </cell>
          <cell r="AB63" t="str">
            <v/>
          </cell>
          <cell r="AC63">
            <v>2.7058408924371946E-2</v>
          </cell>
          <cell r="AD63">
            <v>4.5454292558026799E-2</v>
          </cell>
          <cell r="AE63">
            <v>8.3566198709026818E-2</v>
          </cell>
        </row>
        <row r="64">
          <cell r="D64" t="str">
            <v>EUR</v>
          </cell>
          <cell r="N64" t="str">
            <v/>
          </cell>
          <cell r="O64">
            <v>2.7300879781333443E-4</v>
          </cell>
          <cell r="P64">
            <v>8.7500955172725714E-4</v>
          </cell>
          <cell r="Q64">
            <v>3.4601332404350371E-3</v>
          </cell>
          <cell r="R64">
            <v>7.787933144613457E-3</v>
          </cell>
          <cell r="S64" t="str">
            <v/>
          </cell>
          <cell r="T64">
            <v>1.9950789385299261E-2</v>
          </cell>
          <cell r="U64">
            <v>3.53093489898475E-2</v>
          </cell>
          <cell r="V64">
            <v>5.8986005842569411E-2</v>
          </cell>
          <cell r="W64" t="str">
            <v/>
          </cell>
          <cell r="X64">
            <v>3.5631590924090073E-4</v>
          </cell>
          <cell r="Y64">
            <v>1.0415165074959543E-3</v>
          </cell>
          <cell r="Z64">
            <v>3.7922578388287498E-3</v>
          </cell>
          <cell r="AA64">
            <v>8.2839151722193805E-3</v>
          </cell>
          <cell r="AB64" t="str">
            <v/>
          </cell>
          <cell r="AC64">
            <v>2.0916918588414601E-2</v>
          </cell>
          <cell r="AD64">
            <v>3.7026248151619368E-2</v>
          </cell>
          <cell r="AE64">
            <v>6.1834621281873225E-2</v>
          </cell>
        </row>
        <row r="65">
          <cell r="D65" t="str">
            <v>EUR</v>
          </cell>
          <cell r="N65" t="str">
            <v/>
          </cell>
          <cell r="O65">
            <v>2.7300879781333443E-4</v>
          </cell>
          <cell r="P65">
            <v>8.7500955172725714E-4</v>
          </cell>
          <cell r="Q65">
            <v>3.4601332404350371E-3</v>
          </cell>
          <cell r="R65">
            <v>6.725555080222434E-3</v>
          </cell>
          <cell r="S65" t="str">
            <v/>
          </cell>
          <cell r="T65">
            <v>1.7339559318780173E-2</v>
          </cell>
          <cell r="U65">
            <v>2.9140602970117779E-2</v>
          </cell>
          <cell r="V65">
            <v>5.0533927407309553E-2</v>
          </cell>
          <cell r="W65" t="str">
            <v/>
          </cell>
          <cell r="X65">
            <v>3.5631590924090073E-4</v>
          </cell>
          <cell r="Y65">
            <v>1.0415165074959543E-3</v>
          </cell>
          <cell r="Z65">
            <v>3.7922578388287498E-3</v>
          </cell>
          <cell r="AA65">
            <v>7.2220681640683404E-3</v>
          </cell>
          <cell r="AB65" t="str">
            <v/>
          </cell>
          <cell r="AC65">
            <v>1.8158101912592928E-2</v>
          </cell>
          <cell r="AD65">
            <v>3.0554806770112908E-2</v>
          </cell>
          <cell r="AE65">
            <v>5.2978428138551026E-2</v>
          </cell>
        </row>
        <row r="66">
          <cell r="D66" t="str">
            <v>EUR</v>
          </cell>
          <cell r="N66" t="str">
            <v/>
          </cell>
          <cell r="O66">
            <v>1.820141294202049E-4</v>
          </cell>
          <cell r="P66">
            <v>8.771990960207976E-4</v>
          </cell>
          <cell r="Q66">
            <v>3.8116198631693576E-3</v>
          </cell>
          <cell r="R66">
            <v>7.2429375975269217E-3</v>
          </cell>
          <cell r="S66" t="str">
            <v/>
          </cell>
          <cell r="T66">
            <v>1.8183613296618106E-2</v>
          </cell>
          <cell r="U66">
            <v>3.0302758921314177E-2</v>
          </cell>
          <cell r="V66">
            <v>5.2155428470148757E-2</v>
          </cell>
          <cell r="W66" t="str">
            <v/>
          </cell>
          <cell r="X66">
            <v>2.6532882340812858E-4</v>
          </cell>
          <cell r="Y66">
            <v>1.0437056869131434E-3</v>
          </cell>
          <cell r="Z66">
            <v>4.1436273189109363E-3</v>
          </cell>
          <cell r="AA66">
            <v>7.73919205476159E-3</v>
          </cell>
          <cell r="AB66" t="str">
            <v/>
          </cell>
          <cell r="AC66">
            <v>1.9042326893026651E-2</v>
          </cell>
          <cell r="AD66">
            <v>3.1776415762290844E-2</v>
          </cell>
          <cell r="AE66">
            <v>5.4679844950740408E-2</v>
          </cell>
        </row>
        <row r="67">
          <cell r="D67" t="str">
            <v>EUR</v>
          </cell>
          <cell r="N67" t="str">
            <v/>
          </cell>
          <cell r="O67">
            <v>7.8242627775704232E-4</v>
          </cell>
          <cell r="P67">
            <v>2.2719709708909352E-3</v>
          </cell>
          <cell r="Q67">
            <v>6.8173408130354218E-3</v>
          </cell>
          <cell r="R67">
            <v>1.2390122317736063E-2</v>
          </cell>
          <cell r="S67" t="str">
            <v/>
          </cell>
          <cell r="T67">
            <v>2.6514724999349371E-2</v>
          </cell>
          <cell r="U67">
            <v>4.2296304451328148E-2</v>
          </cell>
          <cell r="V67">
            <v>6.8078235575103507E-2</v>
          </cell>
          <cell r="W67" t="str">
            <v/>
          </cell>
          <cell r="X67">
            <v>8.6569093948418718E-4</v>
          </cell>
          <cell r="Y67">
            <v>2.4382451191656829E-3</v>
          </cell>
          <cell r="Z67">
            <v>7.1483465287274228E-3</v>
          </cell>
          <cell r="AA67">
            <v>1.2984978050737284E-2</v>
          </cell>
          <cell r="AB67" t="str">
            <v/>
          </cell>
          <cell r="AC67">
            <v>2.7822512504040442E-2</v>
          </cell>
          <cell r="AD67">
            <v>4.4369281250891013E-2</v>
          </cell>
          <cell r="AE67">
            <v>7.1370178577984222E-2</v>
          </cell>
        </row>
        <row r="68">
          <cell r="D68" t="str">
            <v>EUR</v>
          </cell>
          <cell r="N68" t="str">
            <v/>
          </cell>
          <cell r="O68">
            <v>9.0974018358735975E-4</v>
          </cell>
          <cell r="P68">
            <v>3.1490504485182091E-3</v>
          </cell>
          <cell r="Q68">
            <v>8.5936040204396269E-3</v>
          </cell>
          <cell r="R68">
            <v>1.9086543818467749E-2</v>
          </cell>
          <cell r="S68" t="str">
            <v/>
          </cell>
          <cell r="T68">
            <v>4.713463040638588E-2</v>
          </cell>
          <cell r="U68">
            <v>8.2410936273714763E-2</v>
          </cell>
          <cell r="V68">
            <v>0.13977440893517779</v>
          </cell>
          <cell r="W68" t="str">
            <v/>
          </cell>
          <cell r="X68">
            <v>9.9299423627774441E-4</v>
          </cell>
          <cell r="Y68">
            <v>3.3151784290570419E-3</v>
          </cell>
          <cell r="Z68">
            <v>9.0066039711234058E-3</v>
          </cell>
          <cell r="AA68">
            <v>2.0032851202350765E-2</v>
          </cell>
          <cell r="AB68" t="str">
            <v/>
          </cell>
          <cell r="AC68">
            <v>4.9440954646172264E-2</v>
          </cell>
          <cell r="AD68">
            <v>8.6387413233379062E-2</v>
          </cell>
          <cell r="AE68">
            <v>0.14636887138789334</v>
          </cell>
        </row>
        <row r="69">
          <cell r="D69" t="str">
            <v>EUR</v>
          </cell>
          <cell r="N69" t="str">
            <v/>
          </cell>
          <cell r="O69">
            <v>1.5460670821495492E-3</v>
          </cell>
          <cell r="P69">
            <v>3.6608135448706891E-3</v>
          </cell>
          <cell r="Q69">
            <v>9.9494895916775183E-3</v>
          </cell>
          <cell r="R69">
            <v>2.2671330235220832E-2</v>
          </cell>
          <cell r="S69" t="str">
            <v/>
          </cell>
          <cell r="T69">
            <v>5.1127611209701218E-2</v>
          </cell>
          <cell r="U69">
            <v>8.9094048405005011E-2</v>
          </cell>
          <cell r="V69">
            <v>0.15424030285963597</v>
          </cell>
          <cell r="W69" t="str">
            <v/>
          </cell>
          <cell r="X69">
            <v>1.6292681098082351E-3</v>
          </cell>
          <cell r="Y69">
            <v>3.8351576469478621E-3</v>
          </cell>
          <cell r="Z69">
            <v>1.0427898380283018E-2</v>
          </cell>
          <cell r="AA69">
            <v>2.3795558275221063E-2</v>
          </cell>
          <cell r="AB69" t="str">
            <v/>
          </cell>
          <cell r="AC69">
            <v>5.3625281410297654E-2</v>
          </cell>
          <cell r="AD69">
            <v>9.3378589051343663E-2</v>
          </cell>
          <cell r="AE69">
            <v>0.16147528478373419</v>
          </cell>
        </row>
        <row r="70">
          <cell r="D70" t="str">
            <v>EUR</v>
          </cell>
          <cell r="N70" t="str">
            <v/>
          </cell>
          <cell r="O70">
            <v>3.6399520350638426E-4</v>
          </cell>
          <cell r="P70">
            <v>1.5776928696848991E-3</v>
          </cell>
          <cell r="Q70">
            <v>5.1789274143090314E-3</v>
          </cell>
          <cell r="R70">
            <v>1.1393162836942361E-2</v>
          </cell>
          <cell r="S70" t="str">
            <v/>
          </cell>
          <cell r="T70">
            <v>3.0279236395014841E-2</v>
          </cell>
          <cell r="U70">
            <v>5.4531517711678967E-2</v>
          </cell>
          <cell r="V70">
            <v>9.6657308062521041E-2</v>
          </cell>
          <cell r="W70" t="str">
            <v/>
          </cell>
          <cell r="X70">
            <v>4.4729473304006007E-4</v>
          </cell>
          <cell r="Y70">
            <v>1.7440827213339727E-3</v>
          </cell>
          <cell r="Z70">
            <v>5.5104791767930372E-3</v>
          </cell>
          <cell r="AA70">
            <v>1.1936747098001743E-2</v>
          </cell>
          <cell r="AB70" t="str">
            <v/>
          </cell>
          <cell r="AC70">
            <v>3.1765613676495219E-2</v>
          </cell>
          <cell r="AD70">
            <v>5.7189744163863354E-2</v>
          </cell>
          <cell r="AE70">
            <v>0.10130319354670014</v>
          </cell>
        </row>
        <row r="71">
          <cell r="D71" t="str">
            <v>EUR</v>
          </cell>
          <cell r="N71" t="str">
            <v/>
          </cell>
          <cell r="O71">
            <v>1.0461299856532325E-3</v>
          </cell>
          <cell r="P71">
            <v>2.5119262536406062E-3</v>
          </cell>
          <cell r="Q71">
            <v>6.9064452125766618E-3</v>
          </cell>
          <cell r="R71">
            <v>1.2104800199357779E-2</v>
          </cell>
          <cell r="S71" t="str">
            <v/>
          </cell>
          <cell r="T71">
            <v>2.562235794911305E-2</v>
          </cell>
          <cell r="U71">
            <v>4.0963013988627117E-2</v>
          </cell>
          <cell r="V71">
            <v>6.6446447981879708E-2</v>
          </cell>
          <cell r="W71" t="str">
            <v/>
          </cell>
          <cell r="X71">
            <v>1.1293726729973974E-3</v>
          </cell>
          <cell r="Y71">
            <v>2.6781604127020797E-3</v>
          </cell>
          <cell r="Z71">
            <v>7.2390758346858597E-3</v>
          </cell>
          <cell r="AA71">
            <v>1.2687486457871211E-2</v>
          </cell>
          <cell r="AB71" t="str">
            <v/>
          </cell>
          <cell r="AC71">
            <v>2.6887283305251475E-2</v>
          </cell>
          <cell r="AD71">
            <v>4.2972458532456015E-2</v>
          </cell>
          <cell r="AE71">
            <v>6.9662945149016164E-2</v>
          </cell>
        </row>
        <row r="72">
          <cell r="D72" t="str">
            <v>EUR</v>
          </cell>
          <cell r="N72" t="str">
            <v/>
          </cell>
          <cell r="O72">
            <v>6.3690485549472431E-4</v>
          </cell>
          <cell r="P72">
            <v>2.0994602738400037E-3</v>
          </cell>
          <cell r="Q72">
            <v>8.29057853893167E-3</v>
          </cell>
          <cell r="R72">
            <v>1.6508878449327913E-2</v>
          </cell>
          <cell r="S72" t="str">
            <v/>
          </cell>
          <cell r="T72">
            <v>4.0342172031943568E-2</v>
          </cell>
          <cell r="U72">
            <v>6.6904999612623528E-2</v>
          </cell>
          <cell r="V72">
            <v>0.12105373466674663</v>
          </cell>
          <cell r="W72" t="str">
            <v/>
          </cell>
          <cell r="X72">
            <v>7.2018164349907376E-4</v>
          </cell>
          <cell r="Y72">
            <v>2.2657631715060633E-3</v>
          </cell>
          <cell r="Z72">
            <v>8.6871829813273127E-3</v>
          </cell>
          <cell r="AA72">
            <v>1.7325792201715373E-2</v>
          </cell>
          <cell r="AB72" t="str">
            <v/>
          </cell>
          <cell r="AC72">
            <v>4.2319708266551181E-2</v>
          </cell>
          <cell r="AD72">
            <v>7.0150894735711122E-2</v>
          </cell>
          <cell r="AE72">
            <v>0.12681605304300803</v>
          </cell>
        </row>
        <row r="73">
          <cell r="D73" t="str">
            <v>EUR</v>
          </cell>
          <cell r="N73" t="str">
            <v/>
          </cell>
          <cell r="O73">
            <v>3.6399520350638426E-4</v>
          </cell>
          <cell r="P73">
            <v>1.049060286898551E-3</v>
          </cell>
          <cell r="Q73">
            <v>3.8010831333065154E-3</v>
          </cell>
          <cell r="R73">
            <v>7.2323104235898494E-3</v>
          </cell>
          <cell r="S73" t="str">
            <v/>
          </cell>
          <cell r="T73">
            <v>2.0859194367127021E-2</v>
          </cell>
          <cell r="U73">
            <v>3.9134327449110162E-2</v>
          </cell>
          <cell r="V73">
            <v>7.186498170609279E-2</v>
          </cell>
          <cell r="W73" t="str">
            <v/>
          </cell>
          <cell r="X73">
            <v>4.4729473304006007E-4</v>
          </cell>
          <cell r="Y73">
            <v>1.2155382366452194E-3</v>
          </cell>
          <cell r="Z73">
            <v>4.1330941006814115E-3</v>
          </cell>
          <cell r="AA73">
            <v>7.7285701930812634E-3</v>
          </cell>
          <cell r="AB73" t="str">
            <v/>
          </cell>
          <cell r="AC73">
            <v>2.1869210805171124E-2</v>
          </cell>
          <cell r="AD73">
            <v>4.1036690995483904E-2</v>
          </cell>
          <cell r="AE73">
            <v>7.5322965556477661E-2</v>
          </cell>
        </row>
        <row r="74">
          <cell r="D74" t="str">
            <v>EUR</v>
          </cell>
          <cell r="N74" t="str">
            <v/>
          </cell>
          <cell r="O74">
            <v>5.4594323121426314E-4</v>
          </cell>
          <cell r="P74">
            <v>1.9255681029851646E-3</v>
          </cell>
          <cell r="Q74">
            <v>6.9055445682626448E-3</v>
          </cell>
          <cell r="R74">
            <v>1.3411486810679274E-2</v>
          </cell>
          <cell r="S74" t="str">
            <v/>
          </cell>
          <cell r="T74">
            <v>2.9126659298966628E-2</v>
          </cell>
          <cell r="U74">
            <v>4.9197218168044454E-2</v>
          </cell>
          <cell r="V74">
            <v>8.3935762048204188E-2</v>
          </cell>
          <cell r="W74" t="str">
            <v/>
          </cell>
          <cell r="X74">
            <v>6.2922759904748826E-4</v>
          </cell>
          <cell r="Y74">
            <v>2.0918999802571614E-3</v>
          </cell>
          <cell r="Z74">
            <v>7.2365208876083997E-3</v>
          </cell>
          <cell r="AA74">
            <v>1.4074778700198576E-2</v>
          </cell>
          <cell r="AB74" t="str">
            <v/>
          </cell>
          <cell r="AC74">
            <v>3.0559839347729767E-2</v>
          </cell>
          <cell r="AD74">
            <v>5.1600637064358135E-2</v>
          </cell>
          <cell r="AE74">
            <v>8.7966500852328267E-2</v>
          </cell>
        </row>
        <row r="75">
          <cell r="D75" t="str">
            <v>EUR</v>
          </cell>
          <cell r="N75" t="str">
            <v/>
          </cell>
          <cell r="O75">
            <v>1.820141294202049E-4</v>
          </cell>
          <cell r="P75">
            <v>5.2464325736389927E-4</v>
          </cell>
          <cell r="Q75">
            <v>2.0766572004125017E-3</v>
          </cell>
          <cell r="R75">
            <v>4.6772561677747015E-3</v>
          </cell>
          <cell r="S75" t="str">
            <v/>
          </cell>
          <cell r="T75">
            <v>1.1283949410554439E-2</v>
          </cell>
          <cell r="U75">
            <v>2.2149443140687897E-2</v>
          </cell>
          <cell r="V75">
            <v>4.4660071680580171E-2</v>
          </cell>
          <cell r="W75" t="str">
            <v/>
          </cell>
          <cell r="X75">
            <v>2.6532882340812858E-4</v>
          </cell>
          <cell r="Y75">
            <v>6.9120860266258521E-4</v>
          </cell>
          <cell r="Z75">
            <v>2.4092428806611332E-3</v>
          </cell>
          <cell r="AA75">
            <v>5.1747931450948359E-3</v>
          </cell>
          <cell r="AB75" t="str">
            <v/>
          </cell>
          <cell r="AC75">
            <v>1.2107536243861849E-2</v>
          </cell>
          <cell r="AD75">
            <v>2.3289603567435258E-2</v>
          </cell>
          <cell r="AE75">
            <v>4.6768928682261235E-2</v>
          </cell>
        </row>
        <row r="76">
          <cell r="D76" t="str">
            <v>EUR</v>
          </cell>
          <cell r="N76" t="str">
            <v/>
          </cell>
          <cell r="O76">
            <v>8.3699136160342302E-4</v>
          </cell>
          <cell r="P76">
            <v>2.4290942620034395E-3</v>
          </cell>
          <cell r="Q76">
            <v>7.1587706365939807E-3</v>
          </cell>
          <cell r="R76">
            <v>1.2789886515199411E-2</v>
          </cell>
          <cell r="S76" t="str">
            <v/>
          </cell>
          <cell r="T76">
            <v>2.5568271010102284E-2</v>
          </cell>
          <cell r="U76">
            <v>3.9872305823506538E-2</v>
          </cell>
          <cell r="V76">
            <v>6.2691854766758537E-2</v>
          </cell>
          <cell r="W76" t="str">
            <v/>
          </cell>
          <cell r="X76">
            <v>9.2025147644170247E-4</v>
          </cell>
          <cell r="Y76">
            <v>2.5953422252410485E-3</v>
          </cell>
          <cell r="Z76">
            <v>7.502895944260235E-3</v>
          </cell>
          <cell r="AA76">
            <v>1.3423536230496858E-2</v>
          </cell>
          <cell r="AB76" t="str">
            <v/>
          </cell>
          <cell r="AC76">
            <v>2.6828713877645183E-2</v>
          </cell>
          <cell r="AD76">
            <v>4.1826722305969288E-2</v>
          </cell>
          <cell r="AE76">
            <v>6.5728363936027212E-2</v>
          </cell>
        </row>
        <row r="77">
          <cell r="D77" t="str">
            <v>EUR</v>
          </cell>
          <cell r="N77" t="str">
            <v/>
          </cell>
          <cell r="O77">
            <v>2.1819898788055792E-3</v>
          </cell>
          <cell r="P77">
            <v>5.578147893211427E-3</v>
          </cell>
          <cell r="Q77">
            <v>1.6798990526525337E-2</v>
          </cell>
          <cell r="R77">
            <v>3.428933165952408E-2</v>
          </cell>
          <cell r="S77" t="str">
            <v/>
          </cell>
          <cell r="T77">
            <v>8.701196092974639E-2</v>
          </cell>
          <cell r="U77">
            <v>0.1427168712652146</v>
          </cell>
          <cell r="V77">
            <v>0.2277434455915669</v>
          </cell>
          <cell r="W77" t="str">
            <v/>
          </cell>
          <cell r="X77">
            <v>2.2909539277581326E-3</v>
          </cell>
          <cell r="Y77">
            <v>5.843291699695996E-3</v>
          </cell>
          <cell r="Z77">
            <v>1.7632976979662152E-2</v>
          </cell>
          <cell r="AA77">
            <v>3.5979757327312401E-2</v>
          </cell>
          <cell r="AB77" t="str">
            <v/>
          </cell>
          <cell r="AC77">
            <v>9.1218248372817001E-2</v>
          </cell>
          <cell r="AD77">
            <v>0.14943898054058014</v>
          </cell>
          <cell r="AE77">
            <v>0.23799821863066994</v>
          </cell>
        </row>
        <row r="78">
          <cell r="D78" t="str">
            <v>EUR</v>
          </cell>
          <cell r="N78" t="str">
            <v/>
          </cell>
          <cell r="O78">
            <v>5.4594323121426314E-4</v>
          </cell>
          <cell r="P78">
            <v>1.9255681029851646E-3</v>
          </cell>
          <cell r="Q78">
            <v>7.254060569530707E-3</v>
          </cell>
          <cell r="R78">
            <v>1.4453199477767686E-2</v>
          </cell>
          <cell r="S78" t="str">
            <v/>
          </cell>
          <cell r="T78">
            <v>3.436243648487558E-2</v>
          </cell>
          <cell r="U78">
            <v>5.7548334771735266E-2</v>
          </cell>
          <cell r="V78">
            <v>0.10469899063129007</v>
          </cell>
          <cell r="W78" t="str">
            <v/>
          </cell>
          <cell r="X78">
            <v>6.2922759904748826E-4</v>
          </cell>
          <cell r="Y78">
            <v>2.0918999802571614E-3</v>
          </cell>
          <cell r="Z78">
            <v>7.6014608497201319E-3</v>
          </cell>
          <cell r="AA78">
            <v>1.5168069467143441E-2</v>
          </cell>
          <cell r="AB78" t="str">
            <v/>
          </cell>
          <cell r="AC78">
            <v>3.605039110109054E-2</v>
          </cell>
          <cell r="AD78">
            <v>6.0350964126403173E-2</v>
          </cell>
          <cell r="AE78">
            <v>0.10971662942454874</v>
          </cell>
        </row>
        <row r="79">
          <cell r="D79" t="str">
            <v>EUR</v>
          </cell>
          <cell r="N79" t="str">
            <v/>
          </cell>
          <cell r="O79">
            <v>9.0974018358735975E-4</v>
          </cell>
          <cell r="P79">
            <v>2.4448940624895998E-3</v>
          </cell>
          <cell r="Q79">
            <v>7.5743377107447829E-3</v>
          </cell>
          <cell r="R79">
            <v>1.7051586809435415E-2</v>
          </cell>
          <cell r="S79" t="str">
            <v/>
          </cell>
          <cell r="T79">
            <v>4.3853077970212095E-2</v>
          </cell>
          <cell r="U79">
            <v>7.5427026809902875E-2</v>
          </cell>
          <cell r="V79">
            <v>0.12861205673693377</v>
          </cell>
          <cell r="W79" t="str">
            <v/>
          </cell>
          <cell r="X79">
            <v>9.9299423627774441E-4</v>
          </cell>
          <cell r="Y79">
            <v>2.6111393926411264E-3</v>
          </cell>
          <cell r="Z79">
            <v>7.938160415329909E-3</v>
          </cell>
          <cell r="AA79">
            <v>1.7896290573306106E-2</v>
          </cell>
          <cell r="AB79" t="str">
            <v/>
          </cell>
          <cell r="AC79">
            <v>4.6001124837710128E-2</v>
          </cell>
          <cell r="AD79">
            <v>7.907682648018588E-2</v>
          </cell>
          <cell r="AE79">
            <v>0.13470875264578097</v>
          </cell>
        </row>
        <row r="80">
          <cell r="D80" t="str">
            <v>EUR</v>
          </cell>
          <cell r="N80" t="str">
            <v/>
          </cell>
          <cell r="O80">
            <v>4.5497334759936336E-4</v>
          </cell>
          <cell r="P80">
            <v>8.7063095825812287E-4</v>
          </cell>
          <cell r="Q80">
            <v>3.4556797820997076E-3</v>
          </cell>
          <cell r="R80">
            <v>9.376265614280066E-3</v>
          </cell>
          <cell r="S80" t="str">
            <v/>
          </cell>
          <cell r="T80">
            <v>2.3408237842192481E-2</v>
          </cell>
          <cell r="U80">
            <v>4.2617308118326869E-2</v>
          </cell>
          <cell r="V80">
            <v>7.8582759132184932E-2</v>
          </cell>
          <cell r="W80" t="str">
            <v/>
          </cell>
          <cell r="X80">
            <v>5.3826529594969141E-4</v>
          </cell>
          <cell r="Y80">
            <v>1.0371386437357799E-3</v>
          </cell>
          <cell r="Z80">
            <v>3.7878058647371482E-3</v>
          </cell>
          <cell r="AA80">
            <v>9.8714536741485448E-3</v>
          </cell>
          <cell r="AB80" t="str">
            <v/>
          </cell>
          <cell r="AC80">
            <v>2.4549906581165959E-2</v>
          </cell>
          <cell r="AD80">
            <v>4.4694152425726053E-2</v>
          </cell>
          <cell r="AE80">
            <v>8.2360063031269748E-2</v>
          </cell>
        </row>
        <row r="81">
          <cell r="D81" t="str">
            <v>EUR</v>
          </cell>
          <cell r="N81" t="str">
            <v/>
          </cell>
          <cell r="O81">
            <v>9.0974018358735975E-4</v>
          </cell>
          <cell r="P81">
            <v>1.7405039246949361E-3</v>
          </cell>
          <cell r="Q81">
            <v>6.205408693567116E-3</v>
          </cell>
          <cell r="R81">
            <v>1.5030146356442398E-2</v>
          </cell>
          <cell r="S81" t="str">
            <v/>
          </cell>
          <cell r="T81">
            <v>3.7033293015781399E-2</v>
          </cell>
          <cell r="U81">
            <v>6.497368558177874E-2</v>
          </cell>
          <cell r="V81">
            <v>0.11832928029983047</v>
          </cell>
          <cell r="W81" t="str">
            <v/>
          </cell>
          <cell r="X81">
            <v>9.9299423627774441E-4</v>
          </cell>
          <cell r="Y81">
            <v>1.9068666434343129E-3</v>
          </cell>
          <cell r="Z81">
            <v>6.5366183526510691E-3</v>
          </cell>
          <cell r="AA81">
            <v>1.5772168824794819E-2</v>
          </cell>
          <cell r="AB81" t="str">
            <v/>
          </cell>
          <cell r="AC81">
            <v>3.8849566373336364E-2</v>
          </cell>
          <cell r="AD81">
            <v>6.8129049931901942E-2</v>
          </cell>
          <cell r="AE81">
            <v>0.12397270534238425</v>
          </cell>
        </row>
        <row r="82">
          <cell r="D82" t="str">
            <v>EUR</v>
          </cell>
          <cell r="N82" t="str">
            <v/>
          </cell>
          <cell r="O82">
            <v>3.6399520350638426E-4</v>
          </cell>
          <cell r="P82">
            <v>1.5776928696848991E-3</v>
          </cell>
          <cell r="Q82">
            <v>4.4810216560415839E-3</v>
          </cell>
          <cell r="R82">
            <v>9.3047296835042648E-3</v>
          </cell>
          <cell r="S82" t="str">
            <v/>
          </cell>
          <cell r="T82">
            <v>2.4228231729191863E-2</v>
          </cell>
          <cell r="U82">
            <v>4.244952888463227E-2</v>
          </cell>
          <cell r="V82">
            <v>7.4578300271456843E-2</v>
          </cell>
          <cell r="W82" t="str">
            <v/>
          </cell>
          <cell r="X82">
            <v>4.4729473304006007E-4</v>
          </cell>
          <cell r="Y82">
            <v>1.7440827213339727E-3</v>
          </cell>
          <cell r="Z82">
            <v>4.8128060150419705E-3</v>
          </cell>
          <cell r="AA82">
            <v>9.7999535023785E-3</v>
          </cell>
          <cell r="AB82" t="str">
            <v/>
          </cell>
          <cell r="AC82">
            <v>2.5413370722653927E-2</v>
          </cell>
          <cell r="AD82">
            <v>4.4521232185952719E-2</v>
          </cell>
          <cell r="AE82">
            <v>7.8169983013952615E-2</v>
          </cell>
        </row>
        <row r="83">
          <cell r="D83" t="str">
            <v>EUR</v>
          </cell>
          <cell r="N83" t="str">
            <v/>
          </cell>
          <cell r="O83">
            <v>5.4594323121426314E-4</v>
          </cell>
          <cell r="P83">
            <v>2.2778265410077214E-3</v>
          </cell>
          <cell r="Q83">
            <v>6.5444919874567686E-3</v>
          </cell>
          <cell r="R83">
            <v>1.2886083485589062E-2</v>
          </cell>
          <cell r="S83" t="str">
            <v/>
          </cell>
          <cell r="T83">
            <v>3.4505388110501412E-2</v>
          </cell>
          <cell r="U83">
            <v>6.1551122012739379E-2</v>
          </cell>
          <cell r="V83">
            <v>0.10616942060537249</v>
          </cell>
          <cell r="W83" t="str">
            <v/>
          </cell>
          <cell r="X83">
            <v>6.2922759904748826E-4</v>
          </cell>
          <cell r="Y83">
            <v>2.4440997134252962E-3</v>
          </cell>
          <cell r="Z83">
            <v>6.8755886376197228E-3</v>
          </cell>
          <cell r="AA83">
            <v>1.3523136903082933E-2</v>
          </cell>
          <cell r="AB83" t="str">
            <v/>
          </cell>
          <cell r="AC83">
            <v>3.62004699596572E-2</v>
          </cell>
          <cell r="AD83">
            <v>6.4546688902082816E-2</v>
          </cell>
          <cell r="AE83">
            <v>0.11125254195030643</v>
          </cell>
        </row>
        <row r="84">
          <cell r="D84" t="str">
            <v>EUR</v>
          </cell>
          <cell r="N84" t="str">
            <v/>
          </cell>
          <cell r="O84">
            <v>2.7300879781333443E-4</v>
          </cell>
          <cell r="P84">
            <v>1.5799139583937416E-3</v>
          </cell>
          <cell r="Q84">
            <v>5.181191906571736E-3</v>
          </cell>
          <cell r="R84">
            <v>1.1395476326936604E-2</v>
          </cell>
          <cell r="S84" t="str">
            <v/>
          </cell>
          <cell r="T84">
            <v>2.6717425658045246E-2</v>
          </cell>
          <cell r="U84">
            <v>4.8454801876623654E-2</v>
          </cell>
          <cell r="V84">
            <v>8.8487144380147265E-2</v>
          </cell>
          <cell r="W84" t="str">
            <v/>
          </cell>
          <cell r="X84">
            <v>3.5631590924090073E-4</v>
          </cell>
          <cell r="Y84">
            <v>1.7463034398864652E-3</v>
          </cell>
          <cell r="Z84">
            <v>5.5127429143683182E-3</v>
          </cell>
          <cell r="AA84">
            <v>1.1939059315941303E-2</v>
          </cell>
          <cell r="AB84" t="str">
            <v/>
          </cell>
          <cell r="AC84">
            <v>2.8029723671689433E-2</v>
          </cell>
          <cell r="AD84">
            <v>5.0821034060979375E-2</v>
          </cell>
          <cell r="AE84">
            <v>9.2730572572805259E-2</v>
          </cell>
        </row>
        <row r="85">
          <cell r="D85" t="str">
            <v>EUR</v>
          </cell>
          <cell r="N85" t="str">
            <v/>
          </cell>
          <cell r="O85">
            <v>9.0974018358735975E-4</v>
          </cell>
          <cell r="P85">
            <v>1.9166233797315302E-3</v>
          </cell>
          <cell r="Q85">
            <v>6.5477929881894159E-3</v>
          </cell>
          <cell r="R85">
            <v>1.2889436731533088E-2</v>
          </cell>
          <cell r="S85" t="str">
            <v/>
          </cell>
          <cell r="T85">
            <v>3.4508896700973013E-2</v>
          </cell>
          <cell r="U85">
            <v>6.0268884830894986E-2</v>
          </cell>
          <cell r="V85">
            <v>9.5047438712174581E-2</v>
          </cell>
          <cell r="W85" t="str">
            <v/>
          </cell>
          <cell r="X85">
            <v>9.9299423627774441E-4</v>
          </cell>
          <cell r="Y85">
            <v>2.0829567476645661E-3</v>
          </cell>
          <cell r="Z85">
            <v>6.8788885382086162E-3</v>
          </cell>
          <cell r="AA85">
            <v>1.3526504004571005E-2</v>
          </cell>
          <cell r="AB85" t="str">
            <v/>
          </cell>
          <cell r="AC85">
            <v>3.6203999673800724E-2</v>
          </cell>
          <cell r="AD85">
            <v>6.3202892906027319E-2</v>
          </cell>
          <cell r="AE85">
            <v>9.9587402402432912E-2</v>
          </cell>
        </row>
        <row r="86">
          <cell r="D86" t="str">
            <v>EUR</v>
          </cell>
          <cell r="N86" t="str">
            <v/>
          </cell>
          <cell r="O86">
            <v>1.6005905791771635E-3</v>
          </cell>
          <cell r="P86">
            <v>3.6418346279978309E-3</v>
          </cell>
          <cell r="Q86">
            <v>9.3575114931813141E-3</v>
          </cell>
          <cell r="R86">
            <v>1.5841289211032894E-2</v>
          </cell>
          <cell r="S86" t="str">
            <v/>
          </cell>
          <cell r="T86">
            <v>3.1376811925831527E-2</v>
          </cell>
          <cell r="U86">
            <v>4.7851180057260634E-2</v>
          </cell>
          <cell r="V86">
            <v>7.3789605742392794E-2</v>
          </cell>
          <cell r="W86" t="str">
            <v/>
          </cell>
          <cell r="X86">
            <v>1.6837870633903407E-3</v>
          </cell>
          <cell r="Y86">
            <v>3.8153518975708733E-3</v>
          </cell>
          <cell r="Z86">
            <v>9.8081512971357476E-3</v>
          </cell>
          <cell r="AA86">
            <v>1.6628469523382705E-2</v>
          </cell>
          <cell r="AB86" t="str">
            <v/>
          </cell>
          <cell r="AC86">
            <v>3.2922381644810761E-2</v>
          </cell>
          <cell r="AD86">
            <v>5.0190162732474675E-2</v>
          </cell>
          <cell r="AE86">
            <v>7.7344085980955213E-2</v>
          </cell>
        </row>
        <row r="87">
          <cell r="D87" t="str">
            <v>EUR</v>
          </cell>
          <cell r="N87" t="str">
            <v/>
          </cell>
          <cell r="O87">
            <v>1.0552219788206862E-3</v>
          </cell>
          <cell r="P87">
            <v>2.6349312827362859E-3</v>
          </cell>
          <cell r="Q87">
            <v>6.9715129129324094E-3</v>
          </cell>
          <cell r="R87">
            <v>1.2202713971308676E-2</v>
          </cell>
          <cell r="S87" t="str">
            <v/>
          </cell>
          <cell r="T87">
            <v>2.4715090561909014E-2</v>
          </cell>
          <cell r="U87">
            <v>3.9225050128337102E-2</v>
          </cell>
          <cell r="V87">
            <v>6.292814240174649E-2</v>
          </cell>
          <cell r="W87" t="str">
            <v/>
          </cell>
          <cell r="X87">
            <v>1.1384639085358916E-3</v>
          </cell>
          <cell r="Y87">
            <v>2.8011449426721402E-3</v>
          </cell>
          <cell r="Z87">
            <v>7.307430721766095E-3</v>
          </cell>
          <cell r="AA87">
            <v>1.2790278538708733E-2</v>
          </cell>
          <cell r="AB87" t="str">
            <v/>
          </cell>
          <cell r="AC87">
            <v>2.5935777080825839E-2</v>
          </cell>
          <cell r="AD87">
            <v>4.1150499376110261E-2</v>
          </cell>
          <cell r="AE87">
            <v>6.5978855854495699E-2</v>
          </cell>
        </row>
        <row r="88">
          <cell r="D88" t="str">
            <v>EUR</v>
          </cell>
          <cell r="N88" t="str">
            <v/>
          </cell>
          <cell r="O88">
            <v>6.3690485549472431E-4</v>
          </cell>
          <cell r="P88">
            <v>1.7471884482904709E-3</v>
          </cell>
          <cell r="Q88">
            <v>5.5148027586187087E-3</v>
          </cell>
          <cell r="R88">
            <v>1.0833347538365956E-2</v>
          </cell>
          <cell r="S88" t="str">
            <v/>
          </cell>
          <cell r="T88">
            <v>2.8506675491326017E-2</v>
          </cell>
          <cell r="U88">
            <v>4.8272343001782625E-2</v>
          </cell>
          <cell r="V88">
            <v>8.2580231160876649E-2</v>
          </cell>
          <cell r="W88" t="str">
            <v/>
          </cell>
          <cell r="X88">
            <v>7.2018164349907376E-4</v>
          </cell>
          <cell r="Y88">
            <v>1.9135500530244043E-3</v>
          </cell>
          <cell r="Z88">
            <v>5.8462425813439189E-3</v>
          </cell>
          <cell r="AA88">
            <v>1.1352523735223441E-2</v>
          </cell>
          <cell r="AB88" t="str">
            <v/>
          </cell>
          <cell r="AC88">
            <v>2.9907813320626864E-2</v>
          </cell>
          <cell r="AD88">
            <v>5.063077530986404E-2</v>
          </cell>
          <cell r="AE88">
            <v>8.6548484610133758E-2</v>
          </cell>
        </row>
        <row r="89">
          <cell r="D89" t="str">
            <v>EUR</v>
          </cell>
          <cell r="N89" t="str">
            <v/>
          </cell>
          <cell r="O89">
            <v>1.5460670821495492E-3</v>
          </cell>
          <cell r="P89">
            <v>3.1330157615230281E-3</v>
          </cell>
          <cell r="Q89">
            <v>9.2731561642234173E-3</v>
          </cell>
          <cell r="R89">
            <v>2.0090196783860592E-2</v>
          </cell>
          <cell r="S89" t="str">
            <v/>
          </cell>
          <cell r="T89">
            <v>5.1399832991588901E-2</v>
          </cell>
          <cell r="U89">
            <v>8.5567232170741581E-2</v>
          </cell>
          <cell r="V89">
            <v>0.14591688165505801</v>
          </cell>
          <cell r="W89" t="str">
            <v/>
          </cell>
          <cell r="X89">
            <v>1.6292681098082351E-3</v>
          </cell>
          <cell r="Y89">
            <v>3.299146414298848E-3</v>
          </cell>
          <cell r="Z89">
            <v>9.7188829478886962E-3</v>
          </cell>
          <cell r="AA89">
            <v>2.1086709621949695E-2</v>
          </cell>
          <cell r="AB89" t="str">
            <v/>
          </cell>
          <cell r="AC89">
            <v>5.3910977162387685E-2</v>
          </cell>
          <cell r="AD89">
            <v>8.968916491285972E-2</v>
          </cell>
          <cell r="AE89">
            <v>0.15278007239158675</v>
          </cell>
        </row>
        <row r="90">
          <cell r="D90" t="str">
            <v>EUR</v>
          </cell>
          <cell r="N90" t="str">
            <v/>
          </cell>
          <cell r="O90">
            <v>3.6399520350638426E-4</v>
          </cell>
          <cell r="P90">
            <v>1.2252857733764388E-3</v>
          </cell>
          <cell r="Q90">
            <v>5.1912354274938899E-3</v>
          </cell>
          <cell r="R90">
            <v>1.1405736164489033E-2</v>
          </cell>
          <cell r="S90" t="str">
            <v/>
          </cell>
          <cell r="T90">
            <v>2.940162285024106E-2</v>
          </cell>
          <cell r="U90">
            <v>5.0766836941785853E-2</v>
          </cell>
          <cell r="V90">
            <v>9.5424992314393053E-2</v>
          </cell>
          <cell r="W90" t="str">
            <v/>
          </cell>
          <cell r="X90">
            <v>4.4729473304006007E-4</v>
          </cell>
          <cell r="Y90">
            <v>1.3917343546390182E-3</v>
          </cell>
          <cell r="Z90">
            <v>5.5227830880192341E-3</v>
          </cell>
          <cell r="AA90">
            <v>1.1949313512110926E-2</v>
          </cell>
          <cell r="AB90" t="str">
            <v/>
          </cell>
          <cell r="AC90">
            <v>3.0844616145261128E-2</v>
          </cell>
          <cell r="AD90">
            <v>5.3243388831790583E-2</v>
          </cell>
          <cell r="AE90">
            <v>0.10001736690194885</v>
          </cell>
        </row>
        <row r="91">
          <cell r="D91" t="str">
            <v>EUR</v>
          </cell>
          <cell r="N91" t="str">
            <v/>
          </cell>
          <cell r="O91">
            <v>1.0006687817649684E-3</v>
          </cell>
          <cell r="P91">
            <v>1.9143876201054288E-3</v>
          </cell>
          <cell r="Q91">
            <v>5.499545431723929E-3</v>
          </cell>
          <cell r="R91">
            <v>1.1877747415419693E-2</v>
          </cell>
          <cell r="S91" t="str">
            <v/>
          </cell>
          <cell r="T91">
            <v>3.1972226584576102E-2</v>
          </cell>
          <cell r="U91">
            <v>5.1671715547433328E-2</v>
          </cell>
          <cell r="V91">
            <v>9.2951371900018787E-2</v>
          </cell>
          <cell r="W91" t="str">
            <v/>
          </cell>
          <cell r="X91">
            <v>1.0839152573786093E-3</v>
          </cell>
          <cell r="Y91">
            <v>2.0807213606326425E-3</v>
          </cell>
          <cell r="Z91">
            <v>5.8309903393635176E-3</v>
          </cell>
          <cell r="AA91">
            <v>1.2445754393001773E-2</v>
          </cell>
          <cell r="AB91" t="str">
            <v/>
          </cell>
          <cell r="AC91">
            <v>3.3543216024687572E-2</v>
          </cell>
          <cell r="AD91">
            <v>5.4193336446687446E-2</v>
          </cell>
          <cell r="AE91">
            <v>9.7424327802114852E-2</v>
          </cell>
        </row>
        <row r="92">
          <cell r="D92" t="str">
            <v>EUR</v>
          </cell>
          <cell r="N92" t="str">
            <v/>
          </cell>
          <cell r="O92">
            <v>5.4594323121426314E-4</v>
          </cell>
          <cell r="P92">
            <v>1.2208758015412879E-3</v>
          </cell>
          <cell r="Q92">
            <v>4.1396751096509643E-3</v>
          </cell>
          <cell r="R92">
            <v>8.798203266675797E-3</v>
          </cell>
          <cell r="S92" t="str">
            <v/>
          </cell>
          <cell r="T92">
            <v>2.3398560041828165E-2</v>
          </cell>
          <cell r="U92">
            <v>4.2607313031998828E-2</v>
          </cell>
          <cell r="V92">
            <v>8.0489045192361552E-2</v>
          </cell>
          <cell r="W92" t="str">
            <v/>
          </cell>
          <cell r="X92">
            <v>6.2922759904748826E-4</v>
          </cell>
          <cell r="Y92">
            <v>1.3873251177468626E-3</v>
          </cell>
          <cell r="Z92">
            <v>4.471573231844661E-3</v>
          </cell>
          <cell r="AA92">
            <v>9.2936802854770573E-3</v>
          </cell>
          <cell r="AB92" t="str">
            <v/>
          </cell>
          <cell r="AC92">
            <v>2.454004281251676E-2</v>
          </cell>
          <cell r="AD92">
            <v>4.4684107248175731E-2</v>
          </cell>
          <cell r="AE92">
            <v>8.4355976084544704E-2</v>
          </cell>
        </row>
        <row r="93">
          <cell r="D93" t="str">
            <v>EUR</v>
          </cell>
          <cell r="N93" t="str">
            <v/>
          </cell>
          <cell r="O93">
            <v>8.1880333056005838E-4</v>
          </cell>
          <cell r="P93">
            <v>4.2071858450489774E-3</v>
          </cell>
          <cell r="Q93">
            <v>1.203433293295908E-2</v>
          </cell>
          <cell r="R93">
            <v>2.3090804824646982E-2</v>
          </cell>
          <cell r="S93" t="str">
            <v/>
          </cell>
          <cell r="T93">
            <v>5.7994814483914414E-2</v>
          </cell>
          <cell r="U93">
            <v>9.6945875579857343E-2</v>
          </cell>
          <cell r="V93">
            <v>0.16465033692073983</v>
          </cell>
          <cell r="W93" t="str">
            <v/>
          </cell>
          <cell r="X93">
            <v>9.0206496099309863E-4</v>
          </cell>
          <cell r="Y93">
            <v>4.4063244933553181E-3</v>
          </cell>
          <cell r="Z93">
            <v>1.2632071103079623E-2</v>
          </cell>
          <cell r="AA93">
            <v>2.4233271034812542E-2</v>
          </cell>
          <cell r="AB93" t="str">
            <v/>
          </cell>
          <cell r="AC93">
            <v>6.0816943849694827E-2</v>
          </cell>
          <cell r="AD93">
            <v>0.10158882508180656</v>
          </cell>
          <cell r="AE93">
            <v>0.17232627854247629</v>
          </cell>
        </row>
        <row r="94">
          <cell r="D94" t="str">
            <v>EUR</v>
          </cell>
          <cell r="N94" t="str">
            <v/>
          </cell>
          <cell r="O94">
            <v>6.3690485549472431E-4</v>
          </cell>
          <cell r="P94">
            <v>1.7471884482904709E-3</v>
          </cell>
          <cell r="Q94">
            <v>6.9095035615924782E-3</v>
          </cell>
          <cell r="R94">
            <v>1.6061436711826915E-2</v>
          </cell>
          <cell r="S94" t="str">
            <v/>
          </cell>
          <cell r="T94">
            <v>4.1353334357717153E-2</v>
          </cell>
          <cell r="U94">
            <v>7.0772774391985926E-2</v>
          </cell>
          <cell r="V94">
            <v>0.124246980705634</v>
          </cell>
          <cell r="W94" t="str">
            <v/>
          </cell>
          <cell r="X94">
            <v>7.2018164349907376E-4</v>
          </cell>
          <cell r="Y94">
            <v>1.9135500530244043E-3</v>
          </cell>
          <cell r="Z94">
            <v>7.2404785615145517E-3</v>
          </cell>
          <cell r="AA94">
            <v>1.6855753085763481E-2</v>
          </cell>
          <cell r="AB94" t="str">
            <v/>
          </cell>
          <cell r="AC94">
            <v>4.3379727684677793E-2</v>
          </cell>
          <cell r="AD94">
            <v>7.4202780499159404E-2</v>
          </cell>
          <cell r="AE94">
            <v>0.13015196476705837</v>
          </cell>
        </row>
        <row r="95">
          <cell r="D95" t="str">
            <v>EUR</v>
          </cell>
          <cell r="N95" t="str">
            <v/>
          </cell>
          <cell r="O95">
            <v>4.5497334759936336E-4</v>
          </cell>
          <cell r="P95">
            <v>1.0468631450375465E-3</v>
          </cell>
          <cell r="Q95">
            <v>4.8461429509855103E-3</v>
          </cell>
          <cell r="R95">
            <v>9.8352420499794313E-3</v>
          </cell>
          <cell r="S95" t="str">
            <v/>
          </cell>
          <cell r="T95">
            <v>2.597470599033902E-2</v>
          </cell>
          <cell r="U95">
            <v>4.6111659285171358E-2</v>
          </cell>
          <cell r="V95">
            <v>8.7173261055529361E-2</v>
          </cell>
          <cell r="W95" t="str">
            <v/>
          </cell>
          <cell r="X95">
            <v>5.3826529594969141E-4</v>
          </cell>
          <cell r="Y95">
            <v>1.2133414609432069E-3</v>
          </cell>
          <cell r="Z95">
            <v>5.1778056231679415E-3</v>
          </cell>
          <cell r="AA95">
            <v>1.0330200678976054E-2</v>
          </cell>
          <cell r="AB95" t="str">
            <v/>
          </cell>
          <cell r="AC95">
            <v>2.7247255250252289E-2</v>
          </cell>
          <cell r="AD95">
            <v>4.8362065363106721E-2</v>
          </cell>
          <cell r="AE95">
            <v>9.1379661023856862E-2</v>
          </cell>
        </row>
        <row r="96">
          <cell r="D96" t="str">
            <v>EUR</v>
          </cell>
          <cell r="N96" t="str">
            <v/>
          </cell>
          <cell r="O96">
            <v>8.1880333056005838E-4</v>
          </cell>
          <cell r="P96">
            <v>1.5665899374458503E-3</v>
          </cell>
          <cell r="Q96">
            <v>6.2139127688000118E-3</v>
          </cell>
          <cell r="R96">
            <v>1.1861773504699746E-2</v>
          </cell>
          <cell r="S96" t="str">
            <v/>
          </cell>
          <cell r="T96">
            <v>3.1955625367104612E-2</v>
          </cell>
          <cell r="U96">
            <v>5.1654982160065699E-2</v>
          </cell>
          <cell r="V96">
            <v>9.1058886813918716E-2</v>
          </cell>
          <cell r="W96" t="str">
            <v/>
          </cell>
          <cell r="X96">
            <v>9.0206496099309863E-4</v>
          </cell>
          <cell r="Y96">
            <v>1.732981639423592E-3</v>
          </cell>
          <cell r="Z96">
            <v>6.5451195936672146E-3</v>
          </cell>
          <cell r="AA96">
            <v>1.2429789664646917E-2</v>
          </cell>
          <cell r="AB96" t="str">
            <v/>
          </cell>
          <cell r="AC96">
            <v>3.3526521335011217E-2</v>
          </cell>
          <cell r="AD96">
            <v>5.417650481307057E-2</v>
          </cell>
          <cell r="AE96">
            <v>9.541850550731279E-2</v>
          </cell>
        </row>
        <row r="97">
          <cell r="D97" t="str">
            <v>EUR</v>
          </cell>
          <cell r="N97" t="str">
            <v/>
          </cell>
          <cell r="O97">
            <v>6.3690485549472431E-4</v>
          </cell>
          <cell r="P97">
            <v>2.9798841053704228E-3</v>
          </cell>
          <cell r="Q97">
            <v>9.3031041357577449E-3</v>
          </cell>
          <cell r="R97">
            <v>1.8009674103833584E-2</v>
          </cell>
          <cell r="S97" t="str">
            <v/>
          </cell>
          <cell r="T97">
            <v>4.1015694703361083E-2</v>
          </cell>
          <cell r="U97">
            <v>6.7873038361055182E-2</v>
          </cell>
          <cell r="V97">
            <v>0.11493522657390387</v>
          </cell>
          <cell r="W97" t="str">
            <v/>
          </cell>
          <cell r="X97">
            <v>7.2018164349907376E-4</v>
          </cell>
          <cell r="Y97">
            <v>3.1460402779561747E-3</v>
          </cell>
          <cell r="Z97">
            <v>9.748817445875968E-3</v>
          </cell>
          <cell r="AA97">
            <v>1.8902110662522786E-2</v>
          </cell>
          <cell r="AB97" t="str">
            <v/>
          </cell>
          <cell r="AC97">
            <v>4.302652702749088E-2</v>
          </cell>
          <cell r="AD97">
            <v>7.1164336069355127E-2</v>
          </cell>
          <cell r="AE97">
            <v>0.12040775081539934</v>
          </cell>
        </row>
        <row r="98">
          <cell r="D98" t="str">
            <v>EUR</v>
          </cell>
          <cell r="N98" t="str">
            <v/>
          </cell>
          <cell r="O98">
            <v>2.7300879781333443E-4</v>
          </cell>
          <cell r="P98">
            <v>8.7500955172725714E-4</v>
          </cell>
          <cell r="Q98">
            <v>3.1108231577661183E-3</v>
          </cell>
          <cell r="R98">
            <v>6.7416033755676175E-3</v>
          </cell>
          <cell r="S98" t="str">
            <v/>
          </cell>
          <cell r="T98">
            <v>1.8252267651842846E-2</v>
          </cell>
          <cell r="U98">
            <v>3.2980139891199078E-2</v>
          </cell>
          <cell r="V98">
            <v>5.9617673928796133E-2</v>
          </cell>
          <cell r="W98" t="str">
            <v/>
          </cell>
          <cell r="X98">
            <v>3.5631590924090073E-4</v>
          </cell>
          <cell r="Y98">
            <v>1.0415165074959543E-3</v>
          </cell>
          <cell r="Z98">
            <v>3.443064173448751E-3</v>
          </cell>
          <cell r="AA98">
            <v>7.2381084372733495E-3</v>
          </cell>
          <cell r="AB98" t="str">
            <v/>
          </cell>
          <cell r="AC98">
            <v>1.9110921201918041E-2</v>
          </cell>
          <cell r="AD98">
            <v>3.4581562293729329E-2</v>
          </cell>
          <cell r="AE98">
            <v>6.2495611273053808E-2</v>
          </cell>
        </row>
        <row r="99">
          <cell r="D99" t="str">
            <v>EUR</v>
          </cell>
          <cell r="N99" t="str">
            <v/>
          </cell>
          <cell r="O99">
            <v>1.5006285667249486E-3</v>
          </cell>
          <cell r="P99">
            <v>4.4182686145607386E-3</v>
          </cell>
          <cell r="Q99">
            <v>1.1069803763835817E-2</v>
          </cell>
          <cell r="R99">
            <v>1.8052033723615857E-2</v>
          </cell>
          <cell r="S99" t="str">
            <v/>
          </cell>
          <cell r="T99">
            <v>3.5519194590963421E-2</v>
          </cell>
          <cell r="U99">
            <v>5.4166762774260468E-2</v>
          </cell>
          <cell r="V99">
            <v>8.3458438819112968E-2</v>
          </cell>
          <cell r="W99" t="str">
            <v/>
          </cell>
          <cell r="X99">
            <v>1.5838333807624005E-3</v>
          </cell>
          <cell r="Y99">
            <v>4.6281483039986027E-3</v>
          </cell>
          <cell r="Z99">
            <v>1.162054228056264E-2</v>
          </cell>
          <cell r="AA99">
            <v>1.8947082541980742E-2</v>
          </cell>
          <cell r="AB99" t="str">
            <v/>
          </cell>
          <cell r="AC99">
            <v>3.726393313724341E-2</v>
          </cell>
          <cell r="AD99">
            <v>5.6804911884540399E-2</v>
          </cell>
          <cell r="AE99">
            <v>8.7456622839623854E-2</v>
          </cell>
        </row>
        <row r="100">
          <cell r="D100" t="str">
            <v>EUR</v>
          </cell>
          <cell r="N100" t="str">
            <v/>
          </cell>
          <cell r="O100">
            <v>3.6399520350638426E-4</v>
          </cell>
          <cell r="P100">
            <v>1.2252857733764388E-3</v>
          </cell>
          <cell r="Q100">
            <v>4.14415820314884E-3</v>
          </cell>
          <cell r="R100">
            <v>7.2100918954982607E-3</v>
          </cell>
          <cell r="S100" t="str">
            <v/>
          </cell>
          <cell r="T100">
            <v>1.8150120947181492E-2</v>
          </cell>
          <cell r="U100">
            <v>3.0269036667314397E-2</v>
          </cell>
          <cell r="V100">
            <v>5.2121559144953977E-2</v>
          </cell>
          <cell r="W100" t="str">
            <v/>
          </cell>
          <cell r="X100">
            <v>4.4729473304006007E-4</v>
          </cell>
          <cell r="Y100">
            <v>1.3917343546390182E-3</v>
          </cell>
          <cell r="Z100">
            <v>4.4760548312168247E-3</v>
          </cell>
          <cell r="AA100">
            <v>7.7063627714937244E-3</v>
          </cell>
          <cell r="AB100" t="str">
            <v/>
          </cell>
          <cell r="AC100">
            <v>1.9008863836553536E-2</v>
          </cell>
          <cell r="AD100">
            <v>3.1742557334008548E-2</v>
          </cell>
          <cell r="AE100">
            <v>5.4645835634262618E-2</v>
          </cell>
        </row>
        <row r="101">
          <cell r="D101" t="str">
            <v>EUR</v>
          </cell>
          <cell r="N101" t="str">
            <v/>
          </cell>
          <cell r="O101">
            <v>5.4594323121426314E-4</v>
          </cell>
          <cell r="P101">
            <v>2.6300265232999109E-3</v>
          </cell>
          <cell r="Q101">
            <v>7.9256132638849675E-3</v>
          </cell>
          <cell r="R101">
            <v>1.756594285738966E-2</v>
          </cell>
          <cell r="S101" t="str">
            <v/>
          </cell>
          <cell r="T101">
            <v>4.556317703312962E-2</v>
          </cell>
          <cell r="U101">
            <v>7.8992705273699393E-2</v>
          </cell>
          <cell r="V101">
            <v>0.13891191075447384</v>
          </cell>
          <cell r="W101" t="str">
            <v/>
          </cell>
          <cell r="X101">
            <v>6.2922759904748826E-4</v>
          </cell>
          <cell r="Y101">
            <v>2.7962410006150407E-3</v>
          </cell>
          <cell r="Z101">
            <v>8.3058355648802928E-3</v>
          </cell>
          <cell r="AA101">
            <v>1.8435908659315881E-2</v>
          </cell>
          <cell r="AB101" t="str">
            <v/>
          </cell>
          <cell r="AC101">
            <v>4.7793247674854711E-2</v>
          </cell>
          <cell r="AD101">
            <v>8.2809516130359584E-2</v>
          </cell>
          <cell r="AE101">
            <v>0.14547664022731999</v>
          </cell>
        </row>
        <row r="102">
          <cell r="D102" t="str">
            <v>EUR</v>
          </cell>
          <cell r="N102" t="str">
            <v/>
          </cell>
          <cell r="O102">
            <v>3.6399520350638426E-4</v>
          </cell>
          <cell r="P102">
            <v>8.728201724156337E-4</v>
          </cell>
          <cell r="Q102">
            <v>3.1086041784720297E-3</v>
          </cell>
          <cell r="R102">
            <v>6.2079837368382851E-3</v>
          </cell>
          <cell r="S102" t="str">
            <v/>
          </cell>
          <cell r="T102">
            <v>1.7391619350680565E-2</v>
          </cell>
          <cell r="U102">
            <v>3.0498186153993467E-2</v>
          </cell>
          <cell r="V102">
            <v>5.8164596157407322E-2</v>
          </cell>
          <cell r="W102" t="str">
            <v/>
          </cell>
          <cell r="X102">
            <v>4.4729473304006007E-4</v>
          </cell>
          <cell r="Y102">
            <v>1.0393274930516894E-3</v>
          </cell>
          <cell r="Z102">
            <v>3.4408459337169628E-3</v>
          </cell>
          <cell r="AA102">
            <v>6.7047555416595017E-3</v>
          </cell>
          <cell r="AB102" t="str">
            <v/>
          </cell>
          <cell r="AC102">
            <v>1.8210118579164214E-2</v>
          </cell>
          <cell r="AD102">
            <v>3.1976456873183068E-2</v>
          </cell>
          <cell r="AE102">
            <v>6.0971822487001948E-2</v>
          </cell>
        </row>
        <row r="103">
          <cell r="D103" t="str">
            <v>EUR</v>
          </cell>
          <cell r="N103" t="str">
            <v/>
          </cell>
          <cell r="O103">
            <v>4.5497334759936336E-4</v>
          </cell>
          <cell r="P103">
            <v>8.7063095825812287E-4</v>
          </cell>
          <cell r="Q103">
            <v>3.1063853322998991E-3</v>
          </cell>
          <cell r="R103">
            <v>6.7371092801036259E-3</v>
          </cell>
          <cell r="S103" t="str">
            <v/>
          </cell>
          <cell r="T103">
            <v>1.7351349621736234E-2</v>
          </cell>
          <cell r="U103">
            <v>3.0457589722358347E-2</v>
          </cell>
          <cell r="V103">
            <v>4.8430815919560777E-2</v>
          </cell>
          <cell r="W103" t="str">
            <v/>
          </cell>
          <cell r="X103">
            <v>5.3826529594969141E-4</v>
          </cell>
          <cell r="Y103">
            <v>1.0371386437357799E-3</v>
          </cell>
          <cell r="Z103">
            <v>3.4386278270243098E-3</v>
          </cell>
          <cell r="AA103">
            <v>7.2336165882755932E-3</v>
          </cell>
          <cell r="AB103" t="str">
            <v/>
          </cell>
          <cell r="AC103">
            <v>1.8169882394376002E-2</v>
          </cell>
          <cell r="AD103">
            <v>3.193570911254906E-2</v>
          </cell>
          <cell r="AE103">
            <v>5.0773604550349849E-2</v>
          </cell>
        </row>
        <row r="104">
          <cell r="D104" t="str">
            <v>EUR</v>
          </cell>
          <cell r="N104" t="str">
            <v/>
          </cell>
          <cell r="O104">
            <v>2.7300879781333443E-4</v>
          </cell>
          <cell r="P104">
            <v>1.9322784153437134E-3</v>
          </cell>
          <cell r="Q104">
            <v>5.1688847607316291E-3</v>
          </cell>
          <cell r="R104">
            <v>1.0322608067131034E-2</v>
          </cell>
          <cell r="S104" t="str">
            <v/>
          </cell>
          <cell r="T104">
            <v>2.499893541830156E-2</v>
          </cell>
          <cell r="U104">
            <v>4.3529473532226137E-2</v>
          </cell>
          <cell r="V104">
            <v>7.8011746643757984E-2</v>
          </cell>
          <cell r="W104" t="str">
            <v/>
          </cell>
          <cell r="X104">
            <v>3.5631590924090073E-4</v>
          </cell>
          <cell r="Y104">
            <v>2.0986091743264712E-3</v>
          </cell>
          <cell r="Z104">
            <v>5.500439870238738E-3</v>
          </cell>
          <cell r="AA104">
            <v>1.0817323074053364E-2</v>
          </cell>
          <cell r="AB104" t="str">
            <v/>
          </cell>
          <cell r="AC104">
            <v>2.6227564779387147E-2</v>
          </cell>
          <cell r="AD104">
            <v>4.565868028189668E-2</v>
          </cell>
          <cell r="AE104">
            <v>8.1769034891154613E-2</v>
          </cell>
        </row>
        <row r="105">
          <cell r="D105" t="str">
            <v>EUR</v>
          </cell>
          <cell r="N105" t="str">
            <v/>
          </cell>
          <cell r="O105">
            <v>2.7300879781333443E-4</v>
          </cell>
          <cell r="P105">
            <v>8.7500955172725714E-4</v>
          </cell>
          <cell r="Q105">
            <v>3.1108231577661183E-3</v>
          </cell>
          <cell r="R105">
            <v>6.7416033755676175E-3</v>
          </cell>
          <cell r="S105" t="str">
            <v/>
          </cell>
          <cell r="T105">
            <v>1.8252267651842846E-2</v>
          </cell>
          <cell r="U105">
            <v>3.2980139891199078E-2</v>
          </cell>
          <cell r="V105">
            <v>5.9617673928796133E-2</v>
          </cell>
          <cell r="W105" t="str">
            <v/>
          </cell>
          <cell r="X105">
            <v>3.5631590924090073E-4</v>
          </cell>
          <cell r="Y105">
            <v>1.0415165074959543E-3</v>
          </cell>
          <cell r="Z105">
            <v>3.443064173448751E-3</v>
          </cell>
          <cell r="AA105">
            <v>7.2381084372733495E-3</v>
          </cell>
          <cell r="AB105" t="str">
            <v/>
          </cell>
          <cell r="AC105">
            <v>1.9110921201918041E-2</v>
          </cell>
          <cell r="AD105">
            <v>3.4581562293729329E-2</v>
          </cell>
          <cell r="AE105">
            <v>6.2495611273053808E-2</v>
          </cell>
        </row>
        <row r="106">
          <cell r="D106" t="str">
            <v>EUR</v>
          </cell>
          <cell r="N106" t="str">
            <v/>
          </cell>
          <cell r="O106">
            <v>8.1880333056005838E-4</v>
          </cell>
          <cell r="P106">
            <v>1.5665899374458503E-3</v>
          </cell>
          <cell r="Q106">
            <v>6.2139127688000118E-3</v>
          </cell>
          <cell r="R106">
            <v>1.3450755339839193E-2</v>
          </cell>
          <cell r="S106" t="str">
            <v/>
          </cell>
          <cell r="T106">
            <v>3.7164964361995012E-2</v>
          </cell>
          <cell r="U106">
            <v>6.5107292070126666E-2</v>
          </cell>
          <cell r="V106">
            <v>0.10907420872491902</v>
          </cell>
          <cell r="W106" t="str">
            <v/>
          </cell>
          <cell r="X106">
            <v>9.0206496099309863E-4</v>
          </cell>
          <cell r="Y106">
            <v>1.732981639423592E-3</v>
          </cell>
          <cell r="Z106">
            <v>6.5451195936672146E-3</v>
          </cell>
          <cell r="AA106">
            <v>1.4114171582807034E-2</v>
          </cell>
          <cell r="AB106" t="str">
            <v/>
          </cell>
          <cell r="AC106">
            <v>3.8987506923284454E-2</v>
          </cell>
          <cell r="AD106">
            <v>6.8269902701745266E-2</v>
          </cell>
          <cell r="AE106">
            <v>0.11428393268806536</v>
          </cell>
        </row>
        <row r="107">
          <cell r="D107" t="str">
            <v>EUR</v>
          </cell>
          <cell r="N107" t="str">
            <v/>
          </cell>
          <cell r="O107">
            <v>2.7300879781333443E-4</v>
          </cell>
          <cell r="P107">
            <v>8.7500955172725714E-4</v>
          </cell>
          <cell r="Q107">
            <v>4.1585788015882086E-3</v>
          </cell>
          <cell r="R107">
            <v>8.2865471124773382E-3</v>
          </cell>
          <cell r="S107" t="str">
            <v/>
          </cell>
          <cell r="T107">
            <v>2.2563160810736282E-2</v>
          </cell>
          <cell r="U107">
            <v>4.14615489121124E-2</v>
          </cell>
          <cell r="V107">
            <v>7.6991141043958322E-2</v>
          </cell>
          <cell r="W107" t="str">
            <v/>
          </cell>
          <cell r="X107">
            <v>3.5631590924090073E-4</v>
          </cell>
          <cell r="Y107">
            <v>1.0415165074959543E-3</v>
          </cell>
          <cell r="Z107">
            <v>4.490470623601861E-3</v>
          </cell>
          <cell r="AA107">
            <v>8.7822798954131365E-3</v>
          </cell>
          <cell r="AB107" t="str">
            <v/>
          </cell>
          <cell r="AC107">
            <v>2.3660913759846802E-2</v>
          </cell>
          <cell r="AD107">
            <v>4.3480368056037499E-2</v>
          </cell>
          <cell r="AE107">
            <v>8.0692468527198802E-2</v>
          </cell>
        </row>
        <row r="108">
          <cell r="D108" t="str">
            <v>EUR</v>
          </cell>
          <cell r="N108" t="str">
            <v/>
          </cell>
          <cell r="O108">
            <v>6.3690485549472431E-4</v>
          </cell>
          <cell r="P108">
            <v>1.923331669516859E-3</v>
          </cell>
          <cell r="Q108">
            <v>6.9032421808277178E-3</v>
          </cell>
          <cell r="R108">
            <v>1.4996900424032678E-2</v>
          </cell>
          <cell r="S108" t="str">
            <v/>
          </cell>
          <cell r="T108">
            <v>4.2314780791213424E-2</v>
          </cell>
          <cell r="U108">
            <v>7.2029052176790564E-2</v>
          </cell>
          <cell r="V108">
            <v>0.12216569178247572</v>
          </cell>
          <cell r="W108" t="str">
            <v/>
          </cell>
          <cell r="X108">
            <v>7.2018164349907376E-4</v>
          </cell>
          <cell r="Y108">
            <v>2.0896639194951661E-3</v>
          </cell>
          <cell r="Z108">
            <v>7.2342192675115546E-3</v>
          </cell>
          <cell r="AA108">
            <v>1.5738818758722628E-2</v>
          </cell>
          <cell r="AB108" t="str">
            <v/>
          </cell>
          <cell r="AC108">
            <v>4.4388074889345486E-2</v>
          </cell>
          <cell r="AD108">
            <v>7.5519551108685246E-2</v>
          </cell>
          <cell r="AE108">
            <v>0.12797164354408619</v>
          </cell>
        </row>
        <row r="109">
          <cell r="D109" t="str">
            <v>EUR</v>
          </cell>
          <cell r="N109" t="str">
            <v/>
          </cell>
          <cell r="O109">
            <v>3.6399520350638426E-4</v>
          </cell>
          <cell r="P109">
            <v>1.5776928696848991E-3</v>
          </cell>
          <cell r="Q109">
            <v>4.8300036012460801E-3</v>
          </cell>
          <cell r="R109">
            <v>8.7578517722344262E-3</v>
          </cell>
          <cell r="S109" t="str">
            <v/>
          </cell>
          <cell r="T109">
            <v>2.156941971103199E-2</v>
          </cell>
          <cell r="U109">
            <v>3.4954312096123541E-2</v>
          </cell>
          <cell r="V109">
            <v>5.8630790834494517E-2</v>
          </cell>
          <cell r="W109" t="str">
            <v/>
          </cell>
          <cell r="X109">
            <v>4.4729473304006007E-4</v>
          </cell>
          <cell r="Y109">
            <v>1.7440827213339727E-3</v>
          </cell>
          <cell r="Z109">
            <v>5.161671652306743E-3</v>
          </cell>
          <cell r="AA109">
            <v>9.2533489617411258E-3</v>
          </cell>
          <cell r="AB109" t="str">
            <v/>
          </cell>
          <cell r="AC109">
            <v>2.2623035431614147E-2</v>
          </cell>
          <cell r="AD109">
            <v>3.6661117150498357E-2</v>
          </cell>
          <cell r="AE109">
            <v>6.146876160227055E-2</v>
          </cell>
        </row>
        <row r="110">
          <cell r="D110" t="str">
            <v>EUR</v>
          </cell>
          <cell r="N110" t="str">
            <v/>
          </cell>
          <cell r="O110">
            <v>7.2785822158416558E-4</v>
          </cell>
          <cell r="P110">
            <v>1.3926456526700548E-3</v>
          </cell>
          <cell r="Q110">
            <v>5.8736778859322936E-3</v>
          </cell>
          <cell r="R110">
            <v>1.1887007381752746E-2</v>
          </cell>
          <cell r="S110" t="str">
            <v/>
          </cell>
          <cell r="T110">
            <v>3.6426278175076598E-2</v>
          </cell>
          <cell r="U110">
            <v>6.4072825977876446E-2</v>
          </cell>
          <cell r="V110">
            <v>0.11139413074854643</v>
          </cell>
          <cell r="W110" t="str">
            <v/>
          </cell>
          <cell r="X110">
            <v>8.1112743046984903E-4</v>
          </cell>
          <cell r="Y110">
            <v>1.559066342956994E-3</v>
          </cell>
          <cell r="Z110">
            <v>6.2049981035311452E-3</v>
          </cell>
          <cell r="AA110">
            <v>1.2455009036394404E-2</v>
          </cell>
          <cell r="AB110" t="str">
            <v/>
          </cell>
          <cell r="AC110">
            <v>3.8213375228570712E-2</v>
          </cell>
          <cell r="AD110">
            <v>6.7187808052849074E-2</v>
          </cell>
          <cell r="AE110">
            <v>0.11671738283544819</v>
          </cell>
        </row>
        <row r="111">
          <cell r="D111" t="str">
            <v>EUR</v>
          </cell>
          <cell r="N111" t="str">
            <v/>
          </cell>
          <cell r="O111">
            <v>1.4551879894108E-3</v>
          </cell>
          <cell r="P111">
            <v>3.3112610151497801E-3</v>
          </cell>
          <cell r="Q111">
            <v>8.2251805402145939E-3</v>
          </cell>
          <cell r="R111">
            <v>1.3799020835194242E-2</v>
          </cell>
          <cell r="S111" t="str">
            <v/>
          </cell>
          <cell r="T111">
            <v>2.805377384705865E-2</v>
          </cell>
          <cell r="U111">
            <v>4.3291779259459151E-2</v>
          </cell>
          <cell r="V111">
            <v>6.9372419203202362E-2</v>
          </cell>
          <cell r="W111" t="str">
            <v/>
          </cell>
          <cell r="X111">
            <v>1.5383965899991026E-3</v>
          </cell>
          <cell r="Y111">
            <v>3.477361962851977E-3</v>
          </cell>
          <cell r="Z111">
            <v>8.6218111365963246E-3</v>
          </cell>
          <cell r="AA111">
            <v>1.4484787646105612E-2</v>
          </cell>
          <cell r="AB111" t="str">
            <v/>
          </cell>
          <cell r="AC111">
            <v>2.943752043557657E-2</v>
          </cell>
          <cell r="AD111">
            <v>4.5412573939614398E-2</v>
          </cell>
          <cell r="AE111">
            <v>7.2723829317179467E-2</v>
          </cell>
        </row>
        <row r="112">
          <cell r="D112" t="str">
            <v>EUR</v>
          </cell>
          <cell r="N112" t="str">
            <v/>
          </cell>
          <cell r="O112">
            <v>6.3690485549472431E-4</v>
          </cell>
          <cell r="P112">
            <v>2.4516736389891269E-3</v>
          </cell>
          <cell r="Q112">
            <v>8.6260935930545513E-3</v>
          </cell>
          <cell r="R112">
            <v>1.8592082683634992E-2</v>
          </cell>
          <cell r="S112" t="str">
            <v/>
          </cell>
          <cell r="T112">
            <v>4.809405868603589E-2</v>
          </cell>
          <cell r="U112">
            <v>8.3659137962235341E-2</v>
          </cell>
          <cell r="V112">
            <v>0.14509939247422043</v>
          </cell>
          <cell r="W112" t="str">
            <v/>
          </cell>
          <cell r="X112">
            <v>7.2018164349907376E-4</v>
          </cell>
          <cell r="Y112">
            <v>2.617917839319861E-3</v>
          </cell>
          <cell r="Z112">
            <v>9.0390800092465806E-3</v>
          </cell>
          <cell r="AA112">
            <v>1.9512503821599969E-2</v>
          </cell>
          <cell r="AB112" t="str">
            <v/>
          </cell>
          <cell r="AC112">
            <v>5.0445165824277827E-2</v>
          </cell>
          <cell r="AD112">
            <v>8.7693069362573706E-2</v>
          </cell>
          <cell r="AE112">
            <v>0.15193509632039537</v>
          </cell>
        </row>
        <row r="113">
          <cell r="D113" t="str">
            <v>EUR</v>
          </cell>
          <cell r="N113" t="str">
            <v/>
          </cell>
          <cell r="O113">
            <v>1.091589126235637E-3</v>
          </cell>
          <cell r="P113">
            <v>2.9684668899444544E-3</v>
          </cell>
          <cell r="Q113">
            <v>1.0682715075234772E-2</v>
          </cell>
          <cell r="R113">
            <v>2.109367145122254E-2</v>
          </cell>
          <cell r="S113" t="str">
            <v/>
          </cell>
          <cell r="T113">
            <v>4.3331989401742099E-2</v>
          </cell>
          <cell r="U113">
            <v>7.2347892246412138E-2</v>
          </cell>
          <cell r="V113">
            <v>0.13032522371301092</v>
          </cell>
          <cell r="W113" t="str">
            <v/>
          </cell>
          <cell r="X113">
            <v>1.1748280254821886E-3</v>
          </cell>
          <cell r="Y113">
            <v>3.1346249652464131E-3</v>
          </cell>
          <cell r="Z113">
            <v>1.1212930526961151E-2</v>
          </cell>
          <cell r="AA113">
            <v>2.2137718863374456E-2</v>
          </cell>
          <cell r="AB113" t="str">
            <v/>
          </cell>
          <cell r="AC113">
            <v>4.5452899452584572E-2</v>
          </cell>
          <cell r="AD113">
            <v>7.5846740274256197E-2</v>
          </cell>
          <cell r="AE113">
            <v>0.13650009953722131</v>
          </cell>
        </row>
        <row r="114">
          <cell r="D114" t="str">
            <v>EUR</v>
          </cell>
          <cell r="N114" t="str">
            <v/>
          </cell>
          <cell r="O114">
            <v>1.6369379279012053E-3</v>
          </cell>
          <cell r="P114">
            <v>3.6584998327878759E-3</v>
          </cell>
          <cell r="Q114">
            <v>7.8598095114118527E-3</v>
          </cell>
          <cell r="R114">
            <v>1.3798394770760725E-2</v>
          </cell>
          <cell r="S114" t="str">
            <v/>
          </cell>
          <cell r="T114">
            <v>3.2497406653071326E-2</v>
          </cell>
          <cell r="U114">
            <v>5.5076403398969687E-2</v>
          </cell>
          <cell r="V114">
            <v>9.7615497599739198E-2</v>
          </cell>
          <cell r="W114" t="str">
            <v/>
          </cell>
          <cell r="X114">
            <v>1.720131383295409E-3</v>
          </cell>
          <cell r="Y114">
            <v>3.83284433973341E-3</v>
          </cell>
          <cell r="Z114">
            <v>8.2400570323377664E-3</v>
          </cell>
          <cell r="AA114">
            <v>1.4484624687851611E-2</v>
          </cell>
          <cell r="AB114" t="str">
            <v/>
          </cell>
          <cell r="AC114">
            <v>3.4098333818241566E-2</v>
          </cell>
          <cell r="AD114">
            <v>5.7764848089356113E-2</v>
          </cell>
          <cell r="AE114">
            <v>0.10230710771905749</v>
          </cell>
        </row>
        <row r="115">
          <cell r="D115" t="str">
            <v>EUR</v>
          </cell>
          <cell r="N115" t="str">
            <v/>
          </cell>
          <cell r="O115">
            <v>5.4594323121426314E-4</v>
          </cell>
          <cell r="P115">
            <v>1.3970708096262552E-3</v>
          </cell>
          <cell r="Q115">
            <v>4.8316218745174666E-3</v>
          </cell>
          <cell r="R115">
            <v>9.8205061333527244E-3</v>
          </cell>
          <cell r="S115" t="str">
            <v/>
          </cell>
          <cell r="T115">
            <v>2.5959512728266465E-2</v>
          </cell>
          <cell r="U115">
            <v>4.4800784949898698E-2</v>
          </cell>
          <cell r="V115">
            <v>8.5432329440192856E-2</v>
          </cell>
          <cell r="W115" t="str">
            <v/>
          </cell>
          <cell r="X115">
            <v>6.2922759904748826E-4</v>
          </cell>
          <cell r="Y115">
            <v>1.5634907624471062E-3</v>
          </cell>
          <cell r="Z115">
            <v>5.1632893862315621E-3</v>
          </cell>
          <cell r="AA115">
            <v>1.0315472128474723E-2</v>
          </cell>
          <cell r="AB115" t="str">
            <v/>
          </cell>
          <cell r="AC115">
            <v>2.7231990028239839E-2</v>
          </cell>
          <cell r="AD115">
            <v>4.6988362680224882E-2</v>
          </cell>
          <cell r="AE115">
            <v>8.955760358019671E-2</v>
          </cell>
        </row>
        <row r="116">
          <cell r="D116" t="str">
            <v>EUR</v>
          </cell>
          <cell r="N116" t="str">
            <v/>
          </cell>
          <cell r="O116">
            <v>8.1880333056005838E-4</v>
          </cell>
          <cell r="P116">
            <v>1.7427319313876311E-3</v>
          </cell>
          <cell r="Q116">
            <v>6.207695422293491E-3</v>
          </cell>
          <cell r="R116">
            <v>1.0795753038604028E-2</v>
          </cell>
          <cell r="S116" t="str">
            <v/>
          </cell>
          <cell r="T116">
            <v>2.8467828115225857E-2</v>
          </cell>
          <cell r="U116">
            <v>4.9525752126872713E-2</v>
          </cell>
          <cell r="V116">
            <v>8.9959389463476036E-2</v>
          </cell>
          <cell r="W116" t="str">
            <v/>
          </cell>
          <cell r="X116">
            <v>9.0206496099309863E-4</v>
          </cell>
          <cell r="Y116">
            <v>1.9090942788192455E-3</v>
          </cell>
          <cell r="Z116">
            <v>6.5389043192886076E-3</v>
          </cell>
          <cell r="AA116">
            <v>1.1314948967392824E-2</v>
          </cell>
          <cell r="AB116" t="str">
            <v/>
          </cell>
          <cell r="AC116">
            <v>2.9868767218389713E-2</v>
          </cell>
          <cell r="AD116">
            <v>5.1946430447913694E-2</v>
          </cell>
          <cell r="AE116">
            <v>9.4297801941785053E-2</v>
          </cell>
        </row>
        <row r="117">
          <cell r="D117" t="str">
            <v>EUR</v>
          </cell>
          <cell r="N117" t="str">
            <v/>
          </cell>
          <cell r="O117">
            <v>4.5497334759936336E-4</v>
          </cell>
          <cell r="P117">
            <v>1.22308070448085E-3</v>
          </cell>
          <cell r="Q117">
            <v>4.1419165886716902E-3</v>
          </cell>
          <cell r="R117">
            <v>9.331182816700756E-3</v>
          </cell>
          <cell r="S117" t="str">
            <v/>
          </cell>
          <cell r="T117">
            <v>2.5148525599997584E-2</v>
          </cell>
          <cell r="U117">
            <v>4.2383969088484852E-2</v>
          </cell>
          <cell r="V117">
            <v>8.2177422439858039E-2</v>
          </cell>
          <cell r="W117" t="str">
            <v/>
          </cell>
          <cell r="X117">
            <v>5.3826529594969141E-4</v>
          </cell>
          <cell r="Y117">
            <v>1.3895296532399071E-3</v>
          </cell>
          <cell r="Z117">
            <v>4.4738139638563768E-3</v>
          </cell>
          <cell r="AA117">
            <v>9.8263934123316021E-3</v>
          </cell>
          <cell r="AB117" t="str">
            <v/>
          </cell>
          <cell r="AC117">
            <v>2.6377525112739941E-2</v>
          </cell>
          <cell r="AD117">
            <v>4.4451024007545636E-2</v>
          </cell>
          <cell r="AE117">
            <v>8.6123001423043744E-2</v>
          </cell>
        </row>
        <row r="118">
          <cell r="D118" t="str">
            <v>EUR</v>
          </cell>
          <cell r="N118" t="str">
            <v/>
          </cell>
          <cell r="O118">
            <v>1.820141294202049E-4</v>
          </cell>
          <cell r="P118">
            <v>8.771990960207976E-4</v>
          </cell>
          <cell r="Q118">
            <v>3.4623601708850815E-3</v>
          </cell>
          <cell r="R118">
            <v>7.7901955991001026E-3</v>
          </cell>
          <cell r="S118" t="str">
            <v/>
          </cell>
          <cell r="T118">
            <v>1.9953101357247482E-2</v>
          </cell>
          <cell r="U118">
            <v>3.4009491114034729E-2</v>
          </cell>
          <cell r="V118">
            <v>6.1097318594132255E-2</v>
          </cell>
          <cell r="W118" t="str">
            <v/>
          </cell>
          <cell r="X118">
            <v>2.6532882340812858E-4</v>
          </cell>
          <cell r="Y118">
            <v>1.0437056869131434E-3</v>
          </cell>
          <cell r="Z118">
            <v>3.7944840271290081E-3</v>
          </cell>
          <cell r="AA118">
            <v>8.2861764957382622E-3</v>
          </cell>
          <cell r="AB118" t="str">
            <v/>
          </cell>
          <cell r="AC118">
            <v>2.0919239099150055E-2</v>
          </cell>
          <cell r="AD118">
            <v>3.5662875732787147E-2</v>
          </cell>
          <cell r="AE118">
            <v>6.4046437710694404E-2</v>
          </cell>
        </row>
        <row r="119">
          <cell r="D119" t="str">
            <v>EUR</v>
          </cell>
          <cell r="N119" t="str">
            <v/>
          </cell>
          <cell r="O119">
            <v>5.4594323121426314E-4</v>
          </cell>
          <cell r="P119">
            <v>1.5732511946792149E-3</v>
          </cell>
          <cell r="Q119">
            <v>5.8720409162813514E-3</v>
          </cell>
          <cell r="R119">
            <v>1.2415173920080624E-2</v>
          </cell>
          <cell r="S119" t="str">
            <v/>
          </cell>
          <cell r="T119">
            <v>3.2829344315967068E-2</v>
          </cell>
          <cell r="U119">
            <v>5.9276045111150255E-2</v>
          </cell>
          <cell r="V119">
            <v>0.11061604073705478</v>
          </cell>
          <cell r="W119" t="str">
            <v/>
          </cell>
          <cell r="X119">
            <v>6.2922759904748826E-4</v>
          </cell>
          <cell r="Y119">
            <v>1.7396417865397362E-3</v>
          </cell>
          <cell r="Z119">
            <v>6.2033616794492374E-3</v>
          </cell>
          <cell r="AA119">
            <v>1.3026173444875999E-2</v>
          </cell>
          <cell r="AB119" t="str">
            <v/>
          </cell>
          <cell r="AC119">
            <v>3.4440375902160092E-2</v>
          </cell>
          <cell r="AD119">
            <v>6.2161061272974827E-2</v>
          </cell>
          <cell r="AE119">
            <v>0.11591226237866614</v>
          </cell>
        </row>
        <row r="120">
          <cell r="D120" t="str">
            <v>EUR</v>
          </cell>
          <cell r="N120" t="str">
            <v/>
          </cell>
          <cell r="O120">
            <v>1.0370379099325922E-3</v>
          </cell>
          <cell r="P120">
            <v>2.8642260557074639E-3</v>
          </cell>
          <cell r="Q120">
            <v>8.1131268404998069E-3</v>
          </cell>
          <cell r="R120">
            <v>1.4996555393353428E-2</v>
          </cell>
          <cell r="S120" t="str">
            <v/>
          </cell>
          <cell r="T120">
            <v>3.4220034929788423E-2</v>
          </cell>
          <cell r="U120">
            <v>5.2257166435812907E-2</v>
          </cell>
          <cell r="V120">
            <v>7.8773799474637696E-2</v>
          </cell>
          <cell r="W120" t="str">
            <v/>
          </cell>
          <cell r="X120">
            <v>1.120281354912378E-3</v>
          </cell>
          <cell r="Y120">
            <v>3.0304015030199194E-3</v>
          </cell>
          <cell r="Z120">
            <v>8.503192292706796E-3</v>
          </cell>
          <cell r="AA120">
            <v>1.5740388031233787E-2</v>
          </cell>
          <cell r="AB120" t="str">
            <v/>
          </cell>
          <cell r="AC120">
            <v>3.5902811398058398E-2</v>
          </cell>
          <cell r="AD120">
            <v>5.4806782207309834E-2</v>
          </cell>
          <cell r="AE120">
            <v>8.2558219619120576E-2</v>
          </cell>
        </row>
        <row r="121">
          <cell r="D121" t="str">
            <v>EUR</v>
          </cell>
          <cell r="N121" t="str">
            <v/>
          </cell>
          <cell r="O121">
            <v>1.0461299856532325E-3</v>
          </cell>
          <cell r="P121">
            <v>3.1632134609318463E-3</v>
          </cell>
          <cell r="Q121">
            <v>9.6333708743353563E-3</v>
          </cell>
          <cell r="R121">
            <v>1.7974371832573444E-2</v>
          </cell>
          <cell r="S121" t="str">
            <v/>
          </cell>
          <cell r="T121">
            <v>3.9210781126717165E-2</v>
          </cell>
          <cell r="U121">
            <v>6.1631576143808986E-2</v>
          </cell>
          <cell r="V121">
            <v>9.5374207524688837E-2</v>
          </cell>
          <cell r="W121" t="str">
            <v/>
          </cell>
          <cell r="X121">
            <v>1.1293726729973974E-3</v>
          </cell>
          <cell r="Y121">
            <v>3.3293390811747203E-3</v>
          </cell>
          <cell r="Z121">
            <v>1.0095434144791526E-2</v>
          </cell>
          <cell r="AA121">
            <v>1.8865817303261312E-2</v>
          </cell>
          <cell r="AB121" t="str">
            <v/>
          </cell>
          <cell r="AC121">
            <v>4.1135004707086309E-2</v>
          </cell>
          <cell r="AD121">
            <v>6.462660081609406E-2</v>
          </cell>
          <cell r="AE121">
            <v>9.992030998266932E-2</v>
          </cell>
        </row>
        <row r="122">
          <cell r="D122" t="str">
            <v>EUR</v>
          </cell>
          <cell r="N122" t="str">
            <v/>
          </cell>
          <cell r="O122">
            <v>2.7300879781333443E-4</v>
          </cell>
          <cell r="P122">
            <v>5.2246957288426543E-4</v>
          </cell>
          <cell r="Q122">
            <v>2.423989529563686E-3</v>
          </cell>
          <cell r="R122">
            <v>5.1910229610637737E-3</v>
          </cell>
          <cell r="S122" t="str">
            <v/>
          </cell>
          <cell r="T122">
            <v>1.4822689414550227E-2</v>
          </cell>
          <cell r="U122">
            <v>2.6973440267887172E-2</v>
          </cell>
          <cell r="V122">
            <v>4.9389084116352122E-2</v>
          </cell>
          <cell r="W122" t="str">
            <v/>
          </cell>
          <cell r="X122">
            <v>3.5631590924090073E-4</v>
          </cell>
          <cell r="Y122">
            <v>6.8903528042396633E-4</v>
          </cell>
          <cell r="Z122">
            <v>2.7564594516580332E-3</v>
          </cell>
          <cell r="AA122">
            <v>5.6883031192032085E-3</v>
          </cell>
          <cell r="AB122" t="str">
            <v/>
          </cell>
          <cell r="AC122">
            <v>1.5643328526233402E-2</v>
          </cell>
          <cell r="AD122">
            <v>2.8260501801887772E-2</v>
          </cell>
          <cell r="AE122">
            <v>5.1758745622153768E-2</v>
          </cell>
        </row>
        <row r="123">
          <cell r="D123" t="str">
            <v>EUR</v>
          </cell>
          <cell r="N123" t="str">
            <v/>
          </cell>
          <cell r="O123">
            <v>6.3690485549472431E-4</v>
          </cell>
          <cell r="P123">
            <v>2.0994602738400037E-3</v>
          </cell>
          <cell r="Q123">
            <v>6.5484368162540552E-3</v>
          </cell>
          <cell r="R123">
            <v>1.3419558551839073E-2</v>
          </cell>
          <cell r="S123" t="str">
            <v/>
          </cell>
          <cell r="T123">
            <v>3.2692197762761888E-2</v>
          </cell>
          <cell r="U123">
            <v>5.5273520852263336E-2</v>
          </cell>
          <cell r="V123">
            <v>9.4049443523542609E-2</v>
          </cell>
          <cell r="W123" t="str">
            <v/>
          </cell>
          <cell r="X123">
            <v>7.2018164349907376E-4</v>
          </cell>
          <cell r="Y123">
            <v>2.2657631715060633E-3</v>
          </cell>
          <cell r="Z123">
            <v>6.8795321517071129E-3</v>
          </cell>
          <cell r="AA123">
            <v>1.4082864005925289E-2</v>
          </cell>
          <cell r="AB123" t="str">
            <v/>
          </cell>
          <cell r="AC123">
            <v>3.4298827509011476E-2</v>
          </cell>
          <cell r="AD123">
            <v>5.7968034510056721E-2</v>
          </cell>
          <cell r="AE123">
            <v>9.8545194686271098E-2</v>
          </cell>
        </row>
        <row r="124">
          <cell r="D124" t="str">
            <v>EUR</v>
          </cell>
          <cell r="N124" t="str">
            <v/>
          </cell>
          <cell r="O124">
            <v>5.4594323121426314E-4</v>
          </cell>
          <cell r="P124">
            <v>1.3970708096262552E-3</v>
          </cell>
          <cell r="Q124">
            <v>4.8316218745174666E-3</v>
          </cell>
          <cell r="R124">
            <v>1.035088639451387E-2</v>
          </cell>
          <cell r="S124" t="str">
            <v/>
          </cell>
          <cell r="T124">
            <v>2.6812391090289545E-2</v>
          </cell>
          <cell r="U124">
            <v>4.7257143490811226E-2</v>
          </cell>
          <cell r="V124">
            <v>8.1132308738468328E-2</v>
          </cell>
          <cell r="W124" t="str">
            <v/>
          </cell>
          <cell r="X124">
            <v>6.2922759904748826E-4</v>
          </cell>
          <cell r="Y124">
            <v>1.5634907624471062E-3</v>
          </cell>
          <cell r="Z124">
            <v>5.1632893862315621E-3</v>
          </cell>
          <cell r="AA124">
            <v>1.0845587265799872E-2</v>
          </cell>
          <cell r="AB124" t="str">
            <v/>
          </cell>
          <cell r="AC124">
            <v>2.8128493389712017E-2</v>
          </cell>
          <cell r="AD124">
            <v>4.9565084696422068E-2</v>
          </cell>
          <cell r="AE124">
            <v>8.5032817118908199E-2</v>
          </cell>
        </row>
        <row r="125">
          <cell r="D125" t="str">
            <v>EUR</v>
          </cell>
          <cell r="N125" t="str">
            <v/>
          </cell>
          <cell r="O125">
            <v>1.9095009945562236E-3</v>
          </cell>
          <cell r="P125">
            <v>3.6515597423353308E-3</v>
          </cell>
          <cell r="Q125">
            <v>1.3066876626733004E-2</v>
          </cell>
          <cell r="R125">
            <v>3.6683331101901251E-2</v>
          </cell>
          <cell r="S125" t="str">
            <v/>
          </cell>
          <cell r="T125">
            <v>8.1100304588341832E-2</v>
          </cell>
          <cell r="U125">
            <v>0.13378669175409796</v>
          </cell>
          <cell r="V125">
            <v>0.21277453829098236</v>
          </cell>
          <cell r="W125" t="str">
            <v/>
          </cell>
          <cell r="X125">
            <v>1.9968300925197191E-3</v>
          </cell>
          <cell r="Y125">
            <v>3.8259054636848866E-3</v>
          </cell>
          <cell r="Z125">
            <v>1.37169244105253E-2</v>
          </cell>
          <cell r="AA125">
            <v>3.8493322360746651E-2</v>
          </cell>
          <cell r="AB125" t="str">
            <v/>
          </cell>
          <cell r="AC125">
            <v>8.5027733719889698E-2</v>
          </cell>
          <cell r="AD125">
            <v>0.14011136690166492</v>
          </cell>
          <cell r="AE125">
            <v>0.22242282650306966</v>
          </cell>
        </row>
        <row r="126">
          <cell r="D126" t="str">
            <v>EUR</v>
          </cell>
          <cell r="N126" t="str">
            <v/>
          </cell>
          <cell r="O126">
            <v>1.2734050585156975E-3</v>
          </cell>
          <cell r="P126">
            <v>2.963901207762798E-3</v>
          </cell>
          <cell r="Q126">
            <v>1.1025630665352559E-2</v>
          </cell>
          <cell r="R126">
            <v>2.2652312260101226E-2</v>
          </cell>
          <cell r="S126" t="str">
            <v/>
          </cell>
          <cell r="T126">
            <v>5.4622290529526163E-2</v>
          </cell>
          <cell r="U126">
            <v>9.4981299794288154E-2</v>
          </cell>
          <cell r="V126">
            <v>0.15464328644700531</v>
          </cell>
          <cell r="W126" t="str">
            <v/>
          </cell>
          <cell r="X126">
            <v>1.3566288070471222E-3</v>
          </cell>
          <cell r="Y126">
            <v>3.1300600439404525E-3</v>
          </cell>
          <cell r="Z126">
            <v>1.1573056601427933E-2</v>
          </cell>
          <cell r="AA126">
            <v>2.3773292678996305E-2</v>
          </cell>
          <cell r="AB126" t="str">
            <v/>
          </cell>
          <cell r="AC126">
            <v>5.7284441189375035E-2</v>
          </cell>
          <cell r="AD126">
            <v>9.9536115189613694E-2</v>
          </cell>
          <cell r="AE126">
            <v>0.16187585405353566</v>
          </cell>
        </row>
        <row r="127">
          <cell r="D127" t="str">
            <v>EUR</v>
          </cell>
          <cell r="N127" t="str">
            <v/>
          </cell>
          <cell r="O127">
            <v>2.7300879781333443E-4</v>
          </cell>
          <cell r="P127">
            <v>1.0512575945389457E-3</v>
          </cell>
          <cell r="Q127">
            <v>3.8033174080542853E-3</v>
          </cell>
          <cell r="R127">
            <v>7.2345642601338023E-3</v>
          </cell>
          <cell r="S127" t="str">
            <v/>
          </cell>
          <cell r="T127">
            <v>1.9070850575711562E-2</v>
          </cell>
          <cell r="U127">
            <v>3.1507614881115198E-2</v>
          </cell>
          <cell r="V127">
            <v>5.3818447107337297E-2</v>
          </cell>
          <cell r="W127" t="str">
            <v/>
          </cell>
          <cell r="X127">
            <v>3.5631590924090073E-4</v>
          </cell>
          <cell r="Y127">
            <v>1.2177351780808809E-3</v>
          </cell>
          <cell r="Z127">
            <v>4.1353276307973807E-3</v>
          </cell>
          <cell r="AA127">
            <v>7.7308229030035314E-3</v>
          </cell>
          <cell r="AB127" t="str">
            <v/>
          </cell>
          <cell r="AC127">
            <v>1.9992903153255082E-2</v>
          </cell>
          <cell r="AD127">
            <v>3.3038419490919235E-2</v>
          </cell>
          <cell r="AE127">
            <v>5.6420325495721846E-2</v>
          </cell>
        </row>
        <row r="128">
          <cell r="D128" t="str">
            <v>EUR</v>
          </cell>
          <cell r="N128" t="str">
            <v/>
          </cell>
          <cell r="O128">
            <v>4.5497334759936336E-4</v>
          </cell>
          <cell r="P128">
            <v>1.9278047053625791E-3</v>
          </cell>
          <cell r="Q128">
            <v>6.5592652631388804E-3</v>
          </cell>
          <cell r="R128">
            <v>1.2901106729871992E-2</v>
          </cell>
          <cell r="S128" t="str">
            <v/>
          </cell>
          <cell r="T128">
            <v>3.274379074852074E-2</v>
          </cell>
          <cell r="U128">
            <v>5.5325578898474004E-2</v>
          </cell>
          <cell r="V128">
            <v>9.5973809331030613E-2</v>
          </cell>
          <cell r="W128" t="str">
            <v/>
          </cell>
          <cell r="X128">
            <v>5.3826529594969141E-4</v>
          </cell>
          <cell r="Y128">
            <v>2.094136209900177E-3</v>
          </cell>
          <cell r="Z128">
            <v>6.8903569897027506E-3</v>
          </cell>
          <cell r="AA128">
            <v>1.3538221601976597E-2</v>
          </cell>
          <cell r="AB128" t="str">
            <v/>
          </cell>
          <cell r="AC128">
            <v>3.4352529236707952E-2</v>
          </cell>
          <cell r="AD128">
            <v>5.8022461432181482E-2</v>
          </cell>
          <cell r="AE128">
            <v>0.1005842496976368</v>
          </cell>
        </row>
        <row r="129">
          <cell r="D129" t="str">
            <v>EUR</v>
          </cell>
          <cell r="N129" t="str">
            <v/>
          </cell>
          <cell r="O129">
            <v>9.0974018358735975E-4</v>
          </cell>
          <cell r="P129">
            <v>2.7970014672076271E-3</v>
          </cell>
          <cell r="Q129">
            <v>8.2581943532946678E-3</v>
          </cell>
          <cell r="R129">
            <v>1.5947238663102103E-2</v>
          </cell>
          <cell r="S129" t="str">
            <v/>
          </cell>
          <cell r="T129">
            <v>4.477092933673843E-2</v>
          </cell>
          <cell r="U129">
            <v>7.5360539986676689E-2</v>
          </cell>
          <cell r="V129">
            <v>0.12109344447539128</v>
          </cell>
          <cell r="W129" t="str">
            <v/>
          </cell>
          <cell r="X129">
            <v>9.9299423627774441E-4</v>
          </cell>
          <cell r="Y129">
            <v>2.9631881176895858E-3</v>
          </cell>
          <cell r="Z129">
            <v>8.6548117467698527E-3</v>
          </cell>
          <cell r="AA129">
            <v>1.6737839472473315E-2</v>
          </cell>
          <cell r="AB129" t="str">
            <v/>
          </cell>
          <cell r="AC129">
            <v>4.6963705460402405E-2</v>
          </cell>
          <cell r="AD129">
            <v>7.9007991125429111E-2</v>
          </cell>
          <cell r="AE129">
            <v>0.12684009781984307</v>
          </cell>
        </row>
        <row r="130">
          <cell r="D130" t="str">
            <v>EUR</v>
          </cell>
          <cell r="N130" t="str">
            <v/>
          </cell>
          <cell r="O130">
            <v>6.3690485549472431E-4</v>
          </cell>
          <cell r="P130">
            <v>1.7471884482904709E-3</v>
          </cell>
          <cell r="Q130">
            <v>5.8635650664877748E-3</v>
          </cell>
          <cell r="R130">
            <v>1.240652024510347E-2</v>
          </cell>
          <cell r="S130" t="str">
            <v/>
          </cell>
          <cell r="T130">
            <v>3.2820358938562832E-2</v>
          </cell>
          <cell r="U130">
            <v>5.7979315402498011E-2</v>
          </cell>
          <cell r="V130">
            <v>0.10324679274699833</v>
          </cell>
          <cell r="W130" t="str">
            <v/>
          </cell>
          <cell r="X130">
            <v>7.2018164349907376E-4</v>
          </cell>
          <cell r="Y130">
            <v>1.9135500530244043E-3</v>
          </cell>
          <cell r="Z130">
            <v>6.1948886544578308E-3</v>
          </cell>
          <cell r="AA130">
            <v>1.3017485727207068E-2</v>
          </cell>
          <cell r="AB130" t="str">
            <v/>
          </cell>
          <cell r="AC130">
            <v>3.4431340851010073E-2</v>
          </cell>
          <cell r="AD130">
            <v>6.0802503707572231E-2</v>
          </cell>
          <cell r="AE130">
            <v>0.10819720290985746</v>
          </cell>
        </row>
        <row r="131">
          <cell r="D131" t="str">
            <v>EUR</v>
          </cell>
          <cell r="N131" t="str">
            <v/>
          </cell>
          <cell r="O131">
            <v>1.0006687817649684E-3</v>
          </cell>
          <cell r="P131">
            <v>2.6186876321401265E-3</v>
          </cell>
          <cell r="Q131">
            <v>6.5205503597596248E-3</v>
          </cell>
          <cell r="R131">
            <v>1.33911010642499E-2</v>
          </cell>
          <cell r="S131" t="str">
            <v/>
          </cell>
          <cell r="T131">
            <v>3.2662866552734204E-2</v>
          </cell>
          <cell r="U131">
            <v>5.6531715302251651E-2</v>
          </cell>
          <cell r="V131">
            <v>9.7599269559602964E-2</v>
          </cell>
          <cell r="W131" t="str">
            <v/>
          </cell>
          <cell r="X131">
            <v>1.0839152573786093E-3</v>
          </cell>
          <cell r="Y131">
            <v>2.78490399911413E-3</v>
          </cell>
          <cell r="Z131">
            <v>6.8516549891473044E-3</v>
          </cell>
          <cell r="AA131">
            <v>1.4054285805512934E-2</v>
          </cell>
          <cell r="AB131" t="str">
            <v/>
          </cell>
          <cell r="AC131">
            <v>3.4269334910502325E-2</v>
          </cell>
          <cell r="AD131">
            <v>5.9287947336480351E-2</v>
          </cell>
          <cell r="AE131">
            <v>0.10228649222826824</v>
          </cell>
        </row>
        <row r="132">
          <cell r="D132" t="str">
            <v>EUR</v>
          </cell>
          <cell r="N132" t="str">
            <v/>
          </cell>
          <cell r="O132">
            <v>7.2785822158416558E-4</v>
          </cell>
          <cell r="P132">
            <v>1.744960105844795E-3</v>
          </cell>
          <cell r="Q132">
            <v>6.5586206526362378E-3</v>
          </cell>
          <cell r="R132">
            <v>1.2370859980084248E-2</v>
          </cell>
          <cell r="S132" t="str">
            <v/>
          </cell>
          <cell r="T132">
            <v>3.2783329141084838E-2</v>
          </cell>
          <cell r="U132">
            <v>5.4076735890140726E-2</v>
          </cell>
          <cell r="V132">
            <v>9.2429670483917259E-2</v>
          </cell>
          <cell r="W132" t="str">
            <v/>
          </cell>
          <cell r="X132">
            <v>8.1112743046984903E-4</v>
          </cell>
          <cell r="Y132">
            <v>1.9113220819424459E-3</v>
          </cell>
          <cell r="Z132">
            <v>6.8897125940247106E-3</v>
          </cell>
          <cell r="AA132">
            <v>1.2963259726413878E-2</v>
          </cell>
          <cell r="AB132" t="str">
            <v/>
          </cell>
          <cell r="AC132">
            <v>3.4395508550795983E-2</v>
          </cell>
          <cell r="AD132">
            <v>5.6715328089780859E-2</v>
          </cell>
          <cell r="AE132">
            <v>9.6852402932293691E-2</v>
          </cell>
        </row>
        <row r="133">
          <cell r="D133" t="str">
            <v>EUR</v>
          </cell>
          <cell r="N133" t="str">
            <v/>
          </cell>
          <cell r="O133">
            <v>6.3690485549472431E-4</v>
          </cell>
          <cell r="P133">
            <v>1.3948581478229194E-3</v>
          </cell>
          <cell r="Q133">
            <v>4.4803848348143882E-3</v>
          </cell>
          <cell r="R133">
            <v>8.7734748813398378E-3</v>
          </cell>
          <cell r="S133" t="str">
            <v/>
          </cell>
          <cell r="T133">
            <v>2.3373124735235562E-2</v>
          </cell>
          <cell r="U133">
            <v>3.7387212017802818E-2</v>
          </cell>
          <cell r="V133">
            <v>6.7745367232942111E-2</v>
          </cell>
          <cell r="W133" t="str">
            <v/>
          </cell>
          <cell r="X133">
            <v>7.2018164349907376E-4</v>
          </cell>
          <cell r="Y133">
            <v>1.5612784693798121E-3</v>
          </cell>
          <cell r="Z133">
            <v>4.812169406048783E-3</v>
          </cell>
          <cell r="AA133">
            <v>9.2689642612319156E-3</v>
          </cell>
          <cell r="AB133" t="str">
            <v/>
          </cell>
          <cell r="AC133">
            <v>2.4514499352385921E-2</v>
          </cell>
          <cell r="AD133">
            <v>3.9211367521341356E-2</v>
          </cell>
          <cell r="AE133">
            <v>7.1013938880104877E-2</v>
          </cell>
        </row>
        <row r="134">
          <cell r="D134" t="str">
            <v>EUR</v>
          </cell>
          <cell r="N134" t="str">
            <v/>
          </cell>
          <cell r="O134">
            <v>2.7300879781333443E-4</v>
          </cell>
          <cell r="P134">
            <v>1.0512575945389457E-3</v>
          </cell>
          <cell r="Q134">
            <v>4.5016027887184729E-3</v>
          </cell>
          <cell r="R134">
            <v>9.3256218506686528E-3</v>
          </cell>
          <cell r="S134" t="str">
            <v/>
          </cell>
          <cell r="T134">
            <v>2.5142785420706582E-2</v>
          </cell>
          <cell r="U134">
            <v>4.2378159904398416E-2</v>
          </cell>
          <cell r="V134">
            <v>7.8340968265681155E-2</v>
          </cell>
          <cell r="W134" t="str">
            <v/>
          </cell>
          <cell r="X134">
            <v>3.5631590924090073E-4</v>
          </cell>
          <cell r="Y134">
            <v>1.2177351780808809E-3</v>
          </cell>
          <cell r="Z134">
            <v>4.8333802884625854E-3</v>
          </cell>
          <cell r="AA134">
            <v>9.8208352260754639E-3</v>
          </cell>
          <cell r="AB134" t="str">
            <v/>
          </cell>
          <cell r="AC134">
            <v>2.6371759508249437E-2</v>
          </cell>
          <cell r="AD134">
            <v>4.4445186482142129E-2</v>
          </cell>
          <cell r="AE134">
            <v>8.2107499795573746E-2</v>
          </cell>
        </row>
        <row r="135">
          <cell r="D135" t="str">
            <v>EUR</v>
          </cell>
          <cell r="N135" t="str">
            <v/>
          </cell>
          <cell r="O135">
            <v>5.4594323121426314E-4</v>
          </cell>
          <cell r="P135">
            <v>1.5732511946792149E-3</v>
          </cell>
          <cell r="Q135">
            <v>6.2207748185563183E-3</v>
          </cell>
          <cell r="R135">
            <v>1.292818812011276E-2</v>
          </cell>
          <cell r="S135" t="str">
            <v/>
          </cell>
          <cell r="T135">
            <v>3.366067248634852E-2</v>
          </cell>
          <cell r="U135">
            <v>5.7833393624994844E-2</v>
          </cell>
          <cell r="V135">
            <v>0.10876125295028838</v>
          </cell>
          <cell r="W135" t="str">
            <v/>
          </cell>
          <cell r="X135">
            <v>6.2922759904748826E-4</v>
          </cell>
          <cell r="Y135">
            <v>1.7396417865397362E-3</v>
          </cell>
          <cell r="Z135">
            <v>6.5519793564798867E-3</v>
          </cell>
          <cell r="AA135">
            <v>1.3565393683712124E-2</v>
          </cell>
          <cell r="AB135" t="str">
            <v/>
          </cell>
          <cell r="AC135">
            <v>3.5312811369475616E-2</v>
          </cell>
          <cell r="AD135">
            <v>6.0649230090923711E-2</v>
          </cell>
          <cell r="AE135">
            <v>0.11397102457958364</v>
          </cell>
        </row>
        <row r="136">
          <cell r="D136" t="str">
            <v>EUR</v>
          </cell>
          <cell r="N136" t="str">
            <v/>
          </cell>
          <cell r="O136">
            <v>1.0734057175864065E-3</v>
          </cell>
          <cell r="P136">
            <v>2.6696849839024095E-3</v>
          </cell>
          <cell r="Q136">
            <v>7.1091502464659673E-3</v>
          </cell>
          <cell r="R136">
            <v>1.2776624107392442E-2</v>
          </cell>
          <cell r="S136" t="str">
            <v/>
          </cell>
          <cell r="T136">
            <v>2.733637709428427E-2</v>
          </cell>
          <cell r="U136">
            <v>4.3169579725446328E-2</v>
          </cell>
          <cell r="V136">
            <v>6.7773629557425163E-2</v>
          </cell>
          <cell r="W136" t="str">
            <v/>
          </cell>
          <cell r="X136">
            <v>1.1566461320424715E-3</v>
          </cell>
          <cell r="Y136">
            <v>2.8358928520327842E-3</v>
          </cell>
          <cell r="Z136">
            <v>7.4516385070125812E-3</v>
          </cell>
          <cell r="AA136">
            <v>1.3410297648045466E-2</v>
          </cell>
          <cell r="AB136" t="str">
            <v/>
          </cell>
          <cell r="AC136">
            <v>2.8683991104670459E-2</v>
          </cell>
          <cell r="AD136">
            <v>4.5284087662056716E-2</v>
          </cell>
          <cell r="AE136">
            <v>7.1049737625763609E-2</v>
          </cell>
        </row>
        <row r="137">
          <cell r="D137" t="str">
            <v>USD</v>
          </cell>
          <cell r="N137" t="str">
            <v/>
          </cell>
          <cell r="O137" t="str">
            <v/>
          </cell>
          <cell r="P137">
            <v>1.2447929071296437E-3</v>
          </cell>
          <cell r="Q137" t="str">
            <v/>
          </cell>
          <cell r="R137">
            <v>9.3506776630444266E-3</v>
          </cell>
          <cell r="S137" t="str">
            <v/>
          </cell>
          <cell r="T137">
            <v>2.3776874189456287E-2</v>
          </cell>
          <cell r="U137">
            <v>3.7089339485033457E-2</v>
          </cell>
          <cell r="V137">
            <v>6.2782934730373774E-2</v>
          </cell>
          <cell r="W137" t="str">
            <v/>
          </cell>
          <cell r="X137" t="str">
            <v/>
          </cell>
          <cell r="Y137">
            <v>1.4112382374846799E-3</v>
          </cell>
          <cell r="Z137" t="str">
            <v/>
          </cell>
          <cell r="AA137">
            <v>9.8458785137166549E-3</v>
          </cell>
          <cell r="AB137" t="str">
            <v/>
          </cell>
          <cell r="AC137">
            <v>2.4941003117541216E-2</v>
          </cell>
          <cell r="AD137">
            <v>3.8901707481254433E-2</v>
          </cell>
          <cell r="AE137">
            <v>6.5818079061830015E-2</v>
          </cell>
        </row>
        <row r="138">
          <cell r="D138" t="str">
            <v>USD</v>
          </cell>
          <cell r="N138" t="str">
            <v/>
          </cell>
          <cell r="O138" t="str">
            <v/>
          </cell>
          <cell r="P138">
            <v>2.4741458840724651E-3</v>
          </cell>
          <cell r="Q138" t="str">
            <v/>
          </cell>
          <cell r="R138">
            <v>1.3533589798424672E-2</v>
          </cell>
          <cell r="S138" t="str">
            <v/>
          </cell>
          <cell r="T138">
            <v>3.3147968117997584E-2</v>
          </cell>
          <cell r="U138">
            <v>5.7528142573739505E-2</v>
          </cell>
          <cell r="V138">
            <v>9.766831710565016E-2</v>
          </cell>
          <cell r="W138" t="str">
            <v/>
          </cell>
          <cell r="X138" t="str">
            <v/>
          </cell>
          <cell r="Y138">
            <v>2.6403863393338334E-3</v>
          </cell>
          <cell r="Z138" t="str">
            <v/>
          </cell>
          <cell r="AA138">
            <v>1.4184689277878526E-2</v>
          </cell>
          <cell r="AB138" t="str">
            <v/>
          </cell>
          <cell r="AC138">
            <v>3.4778403845987405E-2</v>
          </cell>
          <cell r="AD138">
            <v>6.0332051277701804E-2</v>
          </cell>
          <cell r="AE138">
            <v>0.10235837996539221</v>
          </cell>
        </row>
        <row r="139">
          <cell r="D139" t="str">
            <v>USD</v>
          </cell>
          <cell r="N139" t="str">
            <v/>
          </cell>
          <cell r="O139">
            <v>1.2188824510293017E-3</v>
          </cell>
          <cell r="P139">
            <v>3.6339720499689587E-3</v>
          </cell>
          <cell r="Q139">
            <v>1.0480688632767188E-2</v>
          </cell>
          <cell r="R139">
            <v>1.8119827201183436E-2</v>
          </cell>
          <cell r="S139" t="str">
            <v/>
          </cell>
          <cell r="T139">
            <v>3.6229829252400036E-2</v>
          </cell>
          <cell r="U139">
            <v>5.4758275426606828E-2</v>
          </cell>
          <cell r="V139">
            <v>8.3804781795728478E-2</v>
          </cell>
          <cell r="W139" t="str">
            <v/>
          </cell>
          <cell r="X139">
            <v>1.3021107429398437E-3</v>
          </cell>
          <cell r="Y139">
            <v>3.8066605280486776E-3</v>
          </cell>
          <cell r="Z139">
            <v>1.1001933432927768E-2</v>
          </cell>
          <cell r="AA139">
            <v>1.9018143846343816E-2</v>
          </cell>
          <cell r="AB139" t="str">
            <v/>
          </cell>
          <cell r="AC139">
            <v>3.8008774060655282E-2</v>
          </cell>
          <cell r="AD139">
            <v>5.7424367103765528E-2</v>
          </cell>
          <cell r="AE139">
            <v>8.7817439179784018E-2</v>
          </cell>
        </row>
        <row r="140">
          <cell r="D140" t="str">
            <v>USD</v>
          </cell>
          <cell r="N140" t="str">
            <v/>
          </cell>
          <cell r="O140" t="str">
            <v/>
          </cell>
          <cell r="P140">
            <v>1.3526604913148832E-3</v>
          </cell>
          <cell r="Q140" t="str">
            <v/>
          </cell>
          <cell r="R140">
            <v>7.6883722233259677E-3</v>
          </cell>
          <cell r="S140" t="str">
            <v/>
          </cell>
          <cell r="T140">
            <v>1.8742656356136145E-2</v>
          </cell>
          <cell r="U140">
            <v>3.0332840046010778E-2</v>
          </cell>
          <cell r="V140">
            <v>6.1658555512821511E-2</v>
          </cell>
          <cell r="W140" t="str">
            <v/>
          </cell>
          <cell r="X140" t="str">
            <v/>
          </cell>
          <cell r="Y140">
            <v>1.5190878452285839E-3</v>
          </cell>
          <cell r="Z140" t="str">
            <v/>
          </cell>
          <cell r="AA140">
            <v>8.184404018919178E-3</v>
          </cell>
          <cell r="AB140" t="str">
            <v/>
          </cell>
          <cell r="AC140">
            <v>1.9651585456804788E-2</v>
          </cell>
          <cell r="AD140">
            <v>3.1809161577680101E-2</v>
          </cell>
          <cell r="AE140">
            <v>6.4635852496682467E-2</v>
          </cell>
        </row>
        <row r="141">
          <cell r="D141" t="str">
            <v>USD</v>
          </cell>
          <cell r="N141" t="str">
            <v/>
          </cell>
          <cell r="O141" t="str">
            <v/>
          </cell>
          <cell r="P141">
            <v>1.6414103355083531E-3</v>
          </cell>
          <cell r="Q141" t="str">
            <v/>
          </cell>
          <cell r="R141">
            <v>1.3911817055039299E-2</v>
          </cell>
          <cell r="S141" t="str">
            <v/>
          </cell>
          <cell r="T141">
            <v>3.3605935397596154E-2</v>
          </cell>
          <cell r="U141">
            <v>5.565254927765062E-2</v>
          </cell>
          <cell r="V141">
            <v>9.8065167450972046E-2</v>
          </cell>
          <cell r="W141" t="str">
            <v/>
          </cell>
          <cell r="X141" t="str">
            <v/>
          </cell>
          <cell r="Y141">
            <v>1.8077895684687206E-3</v>
          </cell>
          <cell r="Z141" t="str">
            <v/>
          </cell>
          <cell r="AA141">
            <v>1.4577694697156862E-2</v>
          </cell>
          <cell r="AB141" t="str">
            <v/>
          </cell>
          <cell r="AC141">
            <v>3.5255842473326582E-2</v>
          </cell>
          <cell r="AD141">
            <v>5.8363400513410268E-2</v>
          </cell>
          <cell r="AE141">
            <v>0.1027729201567823</v>
          </cell>
        </row>
        <row r="142">
          <cell r="D142" t="str">
            <v>USD</v>
          </cell>
          <cell r="N142" t="str">
            <v/>
          </cell>
          <cell r="O142" t="str">
            <v/>
          </cell>
          <cell r="P142">
            <v>2.0987179082332386E-3</v>
          </cell>
          <cell r="Q142" t="str">
            <v/>
          </cell>
          <cell r="R142">
            <v>9.8266486249940499E-3</v>
          </cell>
          <cell r="S142" t="str">
            <v/>
          </cell>
          <cell r="T142">
            <v>2.0629239047427528E-2</v>
          </cell>
          <cell r="U142">
            <v>3.2062430848398549E-2</v>
          </cell>
          <cell r="V142">
            <v>5.5673638349171495E-2</v>
          </cell>
          <cell r="W142" t="str">
            <v/>
          </cell>
          <cell r="X142" t="str">
            <v/>
          </cell>
          <cell r="Y142">
            <v>2.2650209296275481E-3</v>
          </cell>
          <cell r="Z142" t="str">
            <v/>
          </cell>
          <cell r="AA142">
            <v>1.0321611549645726E-2</v>
          </cell>
          <cell r="AB142" t="str">
            <v/>
          </cell>
          <cell r="AC142">
            <v>2.1644627893846136E-2</v>
          </cell>
          <cell r="AD142">
            <v>3.3635921197798568E-2</v>
          </cell>
          <cell r="AE142">
            <v>5.8378014126842959E-2</v>
          </cell>
        </row>
        <row r="143">
          <cell r="D143" t="str">
            <v>USD</v>
          </cell>
          <cell r="N143" t="str">
            <v/>
          </cell>
          <cell r="O143" t="str">
            <v/>
          </cell>
          <cell r="P143">
            <v>2.0500410574152417E-3</v>
          </cell>
          <cell r="Q143" t="str">
            <v/>
          </cell>
          <cell r="R143">
            <v>1.1807707588654348E-2</v>
          </cell>
          <cell r="S143" t="str">
            <v/>
          </cell>
          <cell r="T143">
            <v>2.9068610910760073E-2</v>
          </cell>
          <cell r="U143">
            <v>5.2826377542974479E-2</v>
          </cell>
          <cell r="V143">
            <v>9.2468493835141885E-2</v>
          </cell>
          <cell r="W143" t="str">
            <v/>
          </cell>
          <cell r="X143" t="str">
            <v/>
          </cell>
          <cell r="Y143">
            <v>2.2163521909092099E-3</v>
          </cell>
          <cell r="Z143" t="str">
            <v/>
          </cell>
          <cell r="AA143">
            <v>1.2376001733589326E-2</v>
          </cell>
          <cell r="AB143" t="str">
            <v/>
          </cell>
          <cell r="AC143">
            <v>3.0499084201434545E-2</v>
          </cell>
          <cell r="AD143">
            <v>5.5405444743345633E-2</v>
          </cell>
          <cell r="AE143">
            <v>9.6922423949325154E-2</v>
          </cell>
        </row>
        <row r="144">
          <cell r="D144" t="str">
            <v>USD</v>
          </cell>
          <cell r="N144" t="str">
            <v/>
          </cell>
          <cell r="O144" t="str">
            <v/>
          </cell>
          <cell r="P144">
            <v>2.0709028533263396E-3</v>
          </cell>
          <cell r="Q144" t="str">
            <v/>
          </cell>
          <cell r="R144">
            <v>1.2457848377123382E-2</v>
          </cell>
          <cell r="S144" t="str">
            <v/>
          </cell>
          <cell r="T144">
            <v>3.0282901097456905E-2</v>
          </cell>
          <cell r="U144">
            <v>4.3547145282777699E-2</v>
          </cell>
          <cell r="V144">
            <v>6.4785350561814892E-2</v>
          </cell>
          <cell r="W144" t="str">
            <v/>
          </cell>
          <cell r="X144" t="str">
            <v/>
          </cell>
          <cell r="Y144">
            <v>2.2372105101641226E-3</v>
          </cell>
          <cell r="Z144" t="str">
            <v/>
          </cell>
          <cell r="AA144">
            <v>1.3056857834771729E-2</v>
          </cell>
          <cell r="AB144" t="str">
            <v/>
          </cell>
          <cell r="AC144">
            <v>3.1772620868964818E-2</v>
          </cell>
          <cell r="AD144">
            <v>4.5677471832602068E-2</v>
          </cell>
          <cell r="AE144">
            <v>6.7915806116818911E-2</v>
          </cell>
        </row>
        <row r="145">
          <cell r="D145" t="str">
            <v>USD</v>
          </cell>
          <cell r="N145" t="str">
            <v/>
          </cell>
          <cell r="O145" t="str">
            <v/>
          </cell>
          <cell r="P145">
            <v>1.9196450297898071E-3</v>
          </cell>
          <cell r="Q145" t="str">
            <v/>
          </cell>
          <cell r="R145">
            <v>9.2492150627133674E-3</v>
          </cell>
          <cell r="S145" t="str">
            <v/>
          </cell>
          <cell r="T145">
            <v>2.1999104366447364E-2</v>
          </cell>
          <cell r="U145">
            <v>4.2250656324916536E-2</v>
          </cell>
          <cell r="V145">
            <v>7.4592546792852432E-2</v>
          </cell>
          <cell r="W145" t="str">
            <v/>
          </cell>
          <cell r="X145" t="str">
            <v/>
          </cell>
          <cell r="Y145">
            <v>2.0859778941660911E-3</v>
          </cell>
          <cell r="Z145" t="str">
            <v/>
          </cell>
          <cell r="AA145">
            <v>9.744466631994908E-3</v>
          </cell>
          <cell r="AB145" t="str">
            <v/>
          </cell>
          <cell r="AC145">
            <v>2.307809524192872E-2</v>
          </cell>
          <cell r="AD145">
            <v>4.4316175987050954E-2</v>
          </cell>
          <cell r="AE145">
            <v>7.8188704649759133E-2</v>
          </cell>
        </row>
        <row r="146">
          <cell r="D146" t="str">
            <v>USD</v>
          </cell>
          <cell r="N146" t="str">
            <v/>
          </cell>
          <cell r="O146" t="str">
            <v/>
          </cell>
          <cell r="P146">
            <v>2.0396099972084247E-3</v>
          </cell>
          <cell r="Q146" t="str">
            <v/>
          </cell>
          <cell r="R146">
            <v>1.5926265603397161E-2</v>
          </cell>
          <cell r="S146" t="str">
            <v/>
          </cell>
          <cell r="T146">
            <v>3.334595367808213E-2</v>
          </cell>
          <cell r="U146">
            <v>5.7764442095641355E-2</v>
          </cell>
          <cell r="V146">
            <v>0.10618854650438403</v>
          </cell>
          <cell r="W146" t="str">
            <v/>
          </cell>
          <cell r="X146" t="str">
            <v/>
          </cell>
          <cell r="Y146">
            <v>2.2059228690995969E-3</v>
          </cell>
          <cell r="Z146" t="str">
            <v/>
          </cell>
          <cell r="AA146">
            <v>1.6710750062367108E-2</v>
          </cell>
          <cell r="AB146" t="str">
            <v/>
          </cell>
          <cell r="AC146">
            <v>3.4981858095125995E-2</v>
          </cell>
          <cell r="AD146">
            <v>6.0573955521038503E-2</v>
          </cell>
          <cell r="AE146">
            <v>0.11127455793747931</v>
          </cell>
        </row>
        <row r="147">
          <cell r="D147" t="str">
            <v>USD</v>
          </cell>
          <cell r="N147" t="str">
            <v/>
          </cell>
          <cell r="O147" t="str">
            <v/>
          </cell>
          <cell r="P147">
            <v>1.8066214655855228E-3</v>
          </cell>
          <cell r="Q147" t="str">
            <v/>
          </cell>
          <cell r="R147">
            <v>1.4648353877763753E-2</v>
          </cell>
          <cell r="S147" t="str">
            <v/>
          </cell>
          <cell r="T147">
            <v>3.7387620872978755E-2</v>
          </cell>
          <cell r="U147">
            <v>6.5753368031064574E-2</v>
          </cell>
          <cell r="V147">
            <v>0.12450316976446407</v>
          </cell>
          <cell r="W147" t="str">
            <v/>
          </cell>
          <cell r="X147" t="str">
            <v/>
          </cell>
          <cell r="Y147">
            <v>1.9729731656353833E-3</v>
          </cell>
          <cell r="Z147" t="str">
            <v/>
          </cell>
          <cell r="AA147">
            <v>1.5369180035513574E-2</v>
          </cell>
          <cell r="AB147" t="str">
            <v/>
          </cell>
          <cell r="AC147">
            <v>3.9219206907140647E-2</v>
          </cell>
          <cell r="AD147">
            <v>6.8943718417558419E-2</v>
          </cell>
          <cell r="AE147">
            <v>0.13043414626973349</v>
          </cell>
        </row>
        <row r="148">
          <cell r="D148" t="str">
            <v>USD</v>
          </cell>
          <cell r="N148" t="str">
            <v/>
          </cell>
          <cell r="O148" t="str">
            <v/>
          </cell>
          <cell r="P148">
            <v>1.6622806069246376E-3</v>
          </cell>
          <cell r="Q148" t="str">
            <v/>
          </cell>
          <cell r="R148">
            <v>9.2836890770342517E-3</v>
          </cell>
          <cell r="S148" t="str">
            <v/>
          </cell>
          <cell r="T148">
            <v>3.0239223190937303E-2</v>
          </cell>
          <cell r="U148">
            <v>5.768196085719568E-2</v>
          </cell>
          <cell r="V148">
            <v>0.11211494297338365</v>
          </cell>
          <cell r="W148" t="str">
            <v/>
          </cell>
          <cell r="X148" t="str">
            <v/>
          </cell>
          <cell r="Y148">
            <v>1.8286563617743168E-3</v>
          </cell>
          <cell r="Z148" t="str">
            <v/>
          </cell>
          <cell r="AA148">
            <v>9.7789234135656766E-3</v>
          </cell>
          <cell r="AB148" t="str">
            <v/>
          </cell>
          <cell r="AC148">
            <v>3.1720214914026101E-2</v>
          </cell>
          <cell r="AD148">
            <v>6.0489078253941231E-2</v>
          </cell>
          <cell r="AE148">
            <v>0.11748856468622448</v>
          </cell>
        </row>
        <row r="149">
          <cell r="D149" t="str">
            <v>USD</v>
          </cell>
          <cell r="N149" t="str">
            <v/>
          </cell>
          <cell r="O149" t="str">
            <v/>
          </cell>
          <cell r="P149">
            <v>1.098631281780782E-3</v>
          </cell>
          <cell r="Q149" t="str">
            <v/>
          </cell>
          <cell r="R149">
            <v>9.6620733669479097E-3</v>
          </cell>
          <cell r="S149" t="str">
            <v/>
          </cell>
          <cell r="T149">
            <v>2.9815672895977641E-2</v>
          </cell>
          <cell r="U149">
            <v>5.2873604098409466E-2</v>
          </cell>
          <cell r="V149">
            <v>0.10182740795280198</v>
          </cell>
          <cell r="W149" t="str">
            <v/>
          </cell>
          <cell r="X149" t="str">
            <v/>
          </cell>
          <cell r="Y149">
            <v>1.2651009703629201E-3</v>
          </cell>
          <cell r="Z149" t="str">
            <v/>
          </cell>
          <cell r="AA149">
            <v>1.0157118558647427E-2</v>
          </cell>
          <cell r="AB149" t="str">
            <v/>
          </cell>
          <cell r="AC149">
            <v>3.1275930297053445E-2</v>
          </cell>
          <cell r="AD149">
            <v>5.5449510770520738E-2</v>
          </cell>
          <cell r="AE149">
            <v>0.10672068191964879</v>
          </cell>
        </row>
        <row r="150">
          <cell r="D150" t="str">
            <v>USD</v>
          </cell>
          <cell r="N150" t="str">
            <v/>
          </cell>
          <cell r="O150" t="str">
            <v/>
          </cell>
          <cell r="P150">
            <v>5.7122897326666866E-4</v>
          </cell>
          <cell r="Q150" t="str">
            <v/>
          </cell>
          <cell r="R150">
            <v>5.085291880474796E-3</v>
          </cell>
          <cell r="S150" t="str">
            <v/>
          </cell>
          <cell r="T150">
            <v>1.4303832773260083E-2</v>
          </cell>
          <cell r="U150">
            <v>2.7172247633156954E-2</v>
          </cell>
          <cell r="V150">
            <v>5.2851796365302461E-2</v>
          </cell>
          <cell r="W150" t="str">
            <v/>
          </cell>
          <cell r="X150" t="str">
            <v/>
          </cell>
          <cell r="Y150">
            <v>7.3778655492984235E-4</v>
          </cell>
          <cell r="Z150" t="str">
            <v/>
          </cell>
          <cell r="AA150">
            <v>5.5826248909025544E-3</v>
          </cell>
          <cell r="AB150" t="str">
            <v/>
          </cell>
          <cell r="AC150">
            <v>1.5124904085395685E-2</v>
          </cell>
          <cell r="AD150">
            <v>2.8462284466911902E-2</v>
          </cell>
          <cell r="AE150">
            <v>5.5380232743552305E-2</v>
          </cell>
        </row>
        <row r="151">
          <cell r="D151" t="str">
            <v>USD</v>
          </cell>
          <cell r="N151" t="str">
            <v/>
          </cell>
          <cell r="O151" t="str">
            <v/>
          </cell>
          <cell r="P151">
            <v>5.2472707603408164E-3</v>
          </cell>
          <cell r="Q151" t="str">
            <v/>
          </cell>
          <cell r="R151">
            <v>4.7598855227608428E-2</v>
          </cell>
          <cell r="S151" t="str">
            <v/>
          </cell>
          <cell r="T151">
            <v>0.12619627711057035</v>
          </cell>
          <cell r="U151">
            <v>0.19686403740828351</v>
          </cell>
          <cell r="V151">
            <v>0.30148883105488244</v>
          </cell>
          <cell r="W151" t="str">
            <v/>
          </cell>
          <cell r="X151" t="str">
            <v/>
          </cell>
          <cell r="Y151">
            <v>5.4975853646216377E-3</v>
          </cell>
          <cell r="Z151" t="str">
            <v/>
          </cell>
          <cell r="AA151">
            <v>4.9933978593332928E-2</v>
          </cell>
          <cell r="AB151" t="str">
            <v/>
          </cell>
          <cell r="AC151">
            <v>0.13220461694346375</v>
          </cell>
          <cell r="AD151">
            <v>0.20589189682417819</v>
          </cell>
          <cell r="AE151">
            <v>0.31447564127352678</v>
          </cell>
        </row>
        <row r="152">
          <cell r="D152" t="str">
            <v>USD</v>
          </cell>
          <cell r="N152" t="str">
            <v/>
          </cell>
          <cell r="O152" t="str">
            <v/>
          </cell>
          <cell r="P152">
            <v>9.2460166473706806E-4</v>
          </cell>
          <cell r="Q152" t="str">
            <v/>
          </cell>
          <cell r="R152">
            <v>3.4580234219174777E-3</v>
          </cell>
          <cell r="S152" t="str">
            <v/>
          </cell>
          <cell r="T152">
            <v>1.008067743612473E-2</v>
          </cell>
          <cell r="U152">
            <v>1.8418926946348946E-2</v>
          </cell>
          <cell r="V152">
            <v>3.545885646480984E-2</v>
          </cell>
          <cell r="W152" t="str">
            <v/>
          </cell>
          <cell r="X152" t="str">
            <v/>
          </cell>
          <cell r="Y152">
            <v>1.0911003558539134E-3</v>
          </cell>
          <cell r="Z152" t="str">
            <v/>
          </cell>
          <cell r="AA152">
            <v>3.9561698632063491E-3</v>
          </cell>
          <cell r="AB152" t="str">
            <v/>
          </cell>
          <cell r="AC152">
            <v>1.090526657841806E-2</v>
          </cell>
          <cell r="AD152">
            <v>1.9563437104142434E-2</v>
          </cell>
          <cell r="AE152">
            <v>3.7094658860433949E-2</v>
          </cell>
        </row>
        <row r="153">
          <cell r="D153" t="str">
            <v>USD</v>
          </cell>
          <cell r="N153" t="str">
            <v/>
          </cell>
          <cell r="O153" t="str">
            <v/>
          </cell>
          <cell r="P153">
            <v>8.340943702173087E-4</v>
          </cell>
          <cell r="Q153" t="str">
            <v/>
          </cell>
          <cell r="R153">
            <v>6.4228372224643948E-3</v>
          </cell>
          <cell r="S153" t="str">
            <v/>
          </cell>
          <cell r="T153">
            <v>1.8054799281657319E-2</v>
          </cell>
          <cell r="U153">
            <v>3.1561999244036687E-2</v>
          </cell>
          <cell r="V153">
            <v>5.4124256014959959E-2</v>
          </cell>
          <cell r="W153" t="str">
            <v/>
          </cell>
          <cell r="X153" t="str">
            <v/>
          </cell>
          <cell r="Y153">
            <v>1.0006081446377602E-3</v>
          </cell>
          <cell r="Z153" t="str">
            <v/>
          </cell>
          <cell r="AA153">
            <v>6.9195016274212762E-3</v>
          </cell>
          <cell r="AB153" t="str">
            <v/>
          </cell>
          <cell r="AC153">
            <v>1.8903405838031628E-2</v>
          </cell>
          <cell r="AD153">
            <v>3.3092598403416384E-2</v>
          </cell>
          <cell r="AE153">
            <v>5.6737980296451829E-2</v>
          </cell>
        </row>
        <row r="154">
          <cell r="D154" t="str">
            <v>USD</v>
          </cell>
          <cell r="N154" t="str">
            <v/>
          </cell>
          <cell r="O154" t="str">
            <v/>
          </cell>
          <cell r="P154">
            <v>1.5961899289322901E-3</v>
          </cell>
          <cell r="Q154" t="str">
            <v/>
          </cell>
          <cell r="R154">
            <v>8.6716634523497094E-3</v>
          </cell>
          <cell r="S154" t="str">
            <v/>
          </cell>
          <cell r="T154">
            <v>2.1225436764350736E-2</v>
          </cell>
          <cell r="U154">
            <v>4.2246251919678568E-2</v>
          </cell>
          <cell r="V154">
            <v>8.2899150577147362E-2</v>
          </cell>
          <cell r="W154" t="str">
            <v/>
          </cell>
          <cell r="X154" t="str">
            <v/>
          </cell>
          <cell r="Y154">
            <v>1.762576697983631E-3</v>
          </cell>
          <cell r="Z154" t="str">
            <v/>
          </cell>
          <cell r="AA154">
            <v>9.1672037252547023E-3</v>
          </cell>
          <cell r="AB154" t="str">
            <v/>
          </cell>
          <cell r="AC154">
            <v>2.2262279381029759E-2</v>
          </cell>
          <cell r="AD154">
            <v>4.4307749021993525E-2</v>
          </cell>
          <cell r="AE154">
            <v>8.690850807669126E-2</v>
          </cell>
        </row>
        <row r="155">
          <cell r="D155" t="str">
            <v>USD</v>
          </cell>
          <cell r="N155" t="str">
            <v/>
          </cell>
          <cell r="O155" t="str">
            <v/>
          </cell>
          <cell r="P155">
            <v>7.1224477434472799E-4</v>
          </cell>
          <cell r="Q155" t="str">
            <v/>
          </cell>
          <cell r="R155">
            <v>6.5666835549522684E-3</v>
          </cell>
          <cell r="S155" t="str">
            <v/>
          </cell>
          <cell r="T155">
            <v>1.6310760231267984E-2</v>
          </cell>
          <cell r="U155">
            <v>3.3266025495976126E-2</v>
          </cell>
          <cell r="V155">
            <v>5.8428269897682794E-2</v>
          </cell>
          <cell r="W155" t="str">
            <v/>
          </cell>
          <cell r="X155" t="str">
            <v/>
          </cell>
          <cell r="Y155">
            <v>8.7877885532050559E-4</v>
          </cell>
          <cell r="Z155" t="str">
            <v/>
          </cell>
          <cell r="AA155">
            <v>7.0632760546838202E-3</v>
          </cell>
          <cell r="AB155" t="str">
            <v/>
          </cell>
          <cell r="AC155">
            <v>1.7130159800532452E-2</v>
          </cell>
          <cell r="AD155">
            <v>3.4873765700496717E-2</v>
          </cell>
          <cell r="AE155">
            <v>6.1242330424628344E-2</v>
          </cell>
        </row>
        <row r="156">
          <cell r="D156" t="str">
            <v>USD</v>
          </cell>
          <cell r="N156" t="str">
            <v/>
          </cell>
          <cell r="O156" t="str">
            <v/>
          </cell>
          <cell r="P156">
            <v>7.8364665219988749E-3</v>
          </cell>
          <cell r="Q156" t="str">
            <v/>
          </cell>
          <cell r="R156">
            <v>2.8087794881320738E-2</v>
          </cell>
          <cell r="S156" t="str">
            <v/>
          </cell>
          <cell r="T156">
            <v>5.8287112837872024E-2</v>
          </cell>
          <cell r="U156">
            <v>7.9980502621488148E-2</v>
          </cell>
          <cell r="V156">
            <v>0.11164901643247116</v>
          </cell>
          <cell r="W156" t="str">
            <v/>
          </cell>
          <cell r="X156" t="str">
            <v/>
          </cell>
          <cell r="Y156">
            <v>8.2097804821331666E-3</v>
          </cell>
          <cell r="Z156" t="str">
            <v/>
          </cell>
          <cell r="AA156">
            <v>2.9470252345121684E-2</v>
          </cell>
          <cell r="AB156" t="str">
            <v/>
          </cell>
          <cell r="AC156">
            <v>6.1116517915279944E-2</v>
          </cell>
          <cell r="AD156">
            <v>8.3818577058353161E-2</v>
          </cell>
          <cell r="AE156">
            <v>0.11689084850106002</v>
          </cell>
        </row>
        <row r="157">
          <cell r="D157" t="str">
            <v>USD</v>
          </cell>
          <cell r="N157" t="str">
            <v/>
          </cell>
          <cell r="O157" t="str">
            <v/>
          </cell>
          <cell r="P157">
            <v>1.1925947635552658E-3</v>
          </cell>
          <cell r="Q157" t="str">
            <v/>
          </cell>
          <cell r="R157">
            <v>9.73807074790356E-3</v>
          </cell>
          <cell r="S157" t="str">
            <v/>
          </cell>
          <cell r="T157">
            <v>2.2877688818708664E-2</v>
          </cell>
          <cell r="U157">
            <v>4.3969995213903212E-2</v>
          </cell>
          <cell r="V157">
            <v>8.0604431475048588E-2</v>
          </cell>
          <cell r="W157" t="str">
            <v/>
          </cell>
          <cell r="X157" t="str">
            <v/>
          </cell>
          <cell r="Y157">
            <v>1.3590487928679673E-3</v>
          </cell>
          <cell r="Z157" t="str">
            <v/>
          </cell>
          <cell r="AA157">
            <v>1.0233077950445701E-2</v>
          </cell>
          <cell r="AB157" t="str">
            <v/>
          </cell>
          <cell r="AC157">
            <v>2.3999563209558539E-2</v>
          </cell>
          <cell r="AD157">
            <v>4.6118320143360925E-2</v>
          </cell>
          <cell r="AE157">
            <v>8.4481126993207201E-2</v>
          </cell>
        </row>
        <row r="158">
          <cell r="D158" t="str">
            <v>USD</v>
          </cell>
          <cell r="N158" t="str">
            <v/>
          </cell>
          <cell r="O158" t="str">
            <v/>
          </cell>
          <cell r="P158">
            <v>1.5701003083273823E-3</v>
          </cell>
          <cell r="Q158" t="str">
            <v/>
          </cell>
          <cell r="R158">
            <v>1.1243232519911439E-2</v>
          </cell>
          <cell r="S158" t="str">
            <v/>
          </cell>
          <cell r="T158">
            <v>2.9601128634811014E-2</v>
          </cell>
          <cell r="U158">
            <v>5.2394418163271173E-2</v>
          </cell>
          <cell r="V158">
            <v>8.9277068711946184E-2</v>
          </cell>
          <cell r="W158" t="str">
            <v/>
          </cell>
          <cell r="X158" t="str">
            <v/>
          </cell>
          <cell r="Y158">
            <v>1.7364914252825381E-3</v>
          </cell>
          <cell r="Z158" t="str">
            <v/>
          </cell>
          <cell r="AA158">
            <v>1.1783193413901216E-2</v>
          </cell>
          <cell r="AB158" t="str">
            <v/>
          </cell>
          <cell r="AC158">
            <v>3.1055977993196038E-2</v>
          </cell>
          <cell r="AD158">
            <v>5.4951360876231758E-2</v>
          </cell>
          <cell r="AE158">
            <v>9.3554478820673803E-2</v>
          </cell>
        </row>
        <row r="159">
          <cell r="D159" t="str">
            <v>USD</v>
          </cell>
          <cell r="N159" t="str">
            <v/>
          </cell>
          <cell r="O159" t="str">
            <v/>
          </cell>
          <cell r="P159">
            <v>1.0951509843343255E-3</v>
          </cell>
          <cell r="Q159" t="str">
            <v/>
          </cell>
          <cell r="R159">
            <v>9.2839223569847196E-3</v>
          </cell>
          <cell r="S159" t="str">
            <v/>
          </cell>
          <cell r="T159">
            <v>2.250367684330834E-2</v>
          </cell>
          <cell r="U159">
            <v>3.9750330332928074E-2</v>
          </cell>
          <cell r="V159">
            <v>6.7589492820743002E-2</v>
          </cell>
          <cell r="W159" t="str">
            <v/>
          </cell>
          <cell r="X159" t="str">
            <v/>
          </cell>
          <cell r="Y159">
            <v>1.2616212529423798E-3</v>
          </cell>
          <cell r="Z159" t="str">
            <v/>
          </cell>
          <cell r="AA159">
            <v>9.7791565769326239E-3</v>
          </cell>
          <cell r="AB159" t="str">
            <v/>
          </cell>
          <cell r="AC159">
            <v>2.3604503034093005E-2</v>
          </cell>
          <cell r="AD159">
            <v>4.169154747240611E-2</v>
          </cell>
          <cell r="AE159">
            <v>7.0852412920664243E-2</v>
          </cell>
        </row>
        <row r="160">
          <cell r="D160" t="str">
            <v>USD</v>
          </cell>
          <cell r="N160" t="str">
            <v/>
          </cell>
          <cell r="O160" t="str">
            <v/>
          </cell>
          <cell r="P160">
            <v>2.154345710658867E-3</v>
          </cell>
          <cell r="Q160" t="str">
            <v/>
          </cell>
          <cell r="R160">
            <v>2.0837088365850742E-2</v>
          </cell>
          <cell r="S160" t="str">
            <v/>
          </cell>
          <cell r="T160">
            <v>4.8636097575237569E-2</v>
          </cell>
          <cell r="U160">
            <v>8.9029532176837622E-2</v>
          </cell>
          <cell r="V160">
            <v>0.15895615519206197</v>
          </cell>
          <cell r="W160" t="str">
            <v/>
          </cell>
          <cell r="X160" t="str">
            <v/>
          </cell>
          <cell r="Y160">
            <v>2.3206394615087333E-3</v>
          </cell>
          <cell r="Z160" t="str">
            <v/>
          </cell>
          <cell r="AA160">
            <v>2.1862530187656715E-2</v>
          </cell>
          <cell r="AB160" t="str">
            <v/>
          </cell>
          <cell r="AC160">
            <v>5.1008296783543239E-2</v>
          </cell>
          <cell r="AD160">
            <v>9.3306890496322348E-2</v>
          </cell>
          <cell r="AE160">
            <v>0.16641177200494184</v>
          </cell>
        </row>
        <row r="161">
          <cell r="D161" t="str">
            <v>USD</v>
          </cell>
          <cell r="N161" t="str">
            <v/>
          </cell>
          <cell r="O161" t="str">
            <v/>
          </cell>
          <cell r="P161">
            <v>5.821741553109705E-2</v>
          </cell>
          <cell r="Q161" t="str">
            <v/>
          </cell>
          <cell r="R161">
            <v>0.15874818102622612</v>
          </cell>
          <cell r="S161" t="str">
            <v/>
          </cell>
          <cell r="T161">
            <v>0.2201260414531192</v>
          </cell>
          <cell r="U161">
            <v>0.27397554793238499</v>
          </cell>
          <cell r="V161">
            <v>0.35510824860983914</v>
          </cell>
          <cell r="W161" t="str">
            <v/>
          </cell>
          <cell r="X161" t="str">
            <v/>
          </cell>
          <cell r="Y161">
            <v>6.1037570856607548E-2</v>
          </cell>
          <cell r="Z161" t="str">
            <v/>
          </cell>
          <cell r="AA161">
            <v>0.16598417161747736</v>
          </cell>
          <cell r="AB161" t="str">
            <v/>
          </cell>
          <cell r="AC161">
            <v>0.22962911954920995</v>
          </cell>
          <cell r="AD161">
            <v>0.28525265752528317</v>
          </cell>
          <cell r="AE161">
            <v>0.36874990003375785</v>
          </cell>
        </row>
        <row r="162">
          <cell r="D162" t="str">
            <v>USD</v>
          </cell>
          <cell r="N162" t="str">
            <v/>
          </cell>
          <cell r="O162" t="str">
            <v/>
          </cell>
          <cell r="P162">
            <v>1.884869900930175E-3</v>
          </cell>
          <cell r="Q162" t="str">
            <v/>
          </cell>
          <cell r="R162">
            <v>1.5669789897249209E-2</v>
          </cell>
          <cell r="S162" t="str">
            <v/>
          </cell>
          <cell r="T162">
            <v>4.1980963584316688E-2</v>
          </cell>
          <cell r="U162">
            <v>7.8591607863886415E-2</v>
          </cell>
          <cell r="V162">
            <v>0.1488906151642948</v>
          </cell>
          <cell r="W162" t="str">
            <v/>
          </cell>
          <cell r="X162" t="str">
            <v/>
          </cell>
          <cell r="Y162">
            <v>2.0512085606729791E-3</v>
          </cell>
          <cell r="Z162" t="str">
            <v/>
          </cell>
          <cell r="AA162">
            <v>1.6441110351531729E-2</v>
          </cell>
          <cell r="AB162" t="str">
            <v/>
          </cell>
          <cell r="AC162">
            <v>4.4034383128201515E-2</v>
          </cell>
          <cell r="AD162">
            <v>8.238788878657588E-2</v>
          </cell>
          <cell r="AE162">
            <v>0.15592501050698182</v>
          </cell>
        </row>
        <row r="163">
          <cell r="D163" t="str">
            <v>USD</v>
          </cell>
          <cell r="N163" t="str">
            <v/>
          </cell>
          <cell r="O163" t="str">
            <v/>
          </cell>
          <cell r="P163">
            <v>1.9092126173561041E-3</v>
          </cell>
          <cell r="Q163" t="str">
            <v/>
          </cell>
          <cell r="R163">
            <v>8.4206163972679882E-3</v>
          </cell>
          <cell r="S163" t="str">
            <v/>
          </cell>
          <cell r="T163">
            <v>2.0795157387961449E-2</v>
          </cell>
          <cell r="U163">
            <v>3.2069747883377242E-2</v>
          </cell>
          <cell r="V163">
            <v>5.7210306135425881E-2</v>
          </cell>
          <cell r="W163" t="str">
            <v/>
          </cell>
          <cell r="X163" t="str">
            <v/>
          </cell>
          <cell r="Y163">
            <v>2.0755472203127789E-3</v>
          </cell>
          <cell r="Z163" t="str">
            <v/>
          </cell>
          <cell r="AA163">
            <v>8.9162821623092192E-3</v>
          </cell>
          <cell r="AB163" t="str">
            <v/>
          </cell>
          <cell r="AC163">
            <v>2.1810762393258298E-2</v>
          </cell>
          <cell r="AD163">
            <v>3.3636079736861224E-2</v>
          </cell>
          <cell r="AE163">
            <v>5.9980558344039925E-2</v>
          </cell>
        </row>
        <row r="164">
          <cell r="D164" t="str">
            <v>USD</v>
          </cell>
          <cell r="N164" t="str">
            <v/>
          </cell>
          <cell r="O164" t="str">
            <v/>
          </cell>
          <cell r="P164">
            <v>2.6183702964491795E-3</v>
          </cell>
          <cell r="Q164" t="str">
            <v/>
          </cell>
          <cell r="R164">
            <v>1.3357356780943741E-2</v>
          </cell>
          <cell r="S164" t="str">
            <v/>
          </cell>
          <cell r="T164">
            <v>3.2298219002403372E-2</v>
          </cell>
          <cell r="U164">
            <v>5.8202299161579818E-2</v>
          </cell>
          <cell r="V164">
            <v>0.10026348702190813</v>
          </cell>
          <cell r="W164" t="str">
            <v/>
          </cell>
          <cell r="X164" t="str">
            <v/>
          </cell>
          <cell r="Y164">
            <v>2.7845867163173166E-3</v>
          </cell>
          <cell r="Z164" t="str">
            <v/>
          </cell>
          <cell r="AA164">
            <v>1.4000684616909287E-2</v>
          </cell>
          <cell r="AB164" t="str">
            <v/>
          </cell>
          <cell r="AC164">
            <v>3.3887828692784838E-2</v>
          </cell>
          <cell r="AD164">
            <v>6.1039353672193708E-2</v>
          </cell>
          <cell r="AE164">
            <v>0.1050772366226238</v>
          </cell>
        </row>
        <row r="165">
          <cell r="D165" t="str">
            <v>USD</v>
          </cell>
          <cell r="N165" t="str">
            <v/>
          </cell>
          <cell r="O165" t="str">
            <v/>
          </cell>
          <cell r="P165">
            <v>9.2460166473706806E-4</v>
          </cell>
          <cell r="Q165" t="str">
            <v/>
          </cell>
          <cell r="R165">
            <v>7.470381583691732E-3</v>
          </cell>
          <cell r="S165" t="str">
            <v/>
          </cell>
          <cell r="T165">
            <v>1.8368735344553078E-2</v>
          </cell>
          <cell r="U165">
            <v>3.4273021749911092E-2</v>
          </cell>
          <cell r="V165">
            <v>7.0712543952203055E-2</v>
          </cell>
          <cell r="W165" t="str">
            <v/>
          </cell>
          <cell r="X165" t="str">
            <v/>
          </cell>
          <cell r="Y165">
            <v>1.0911003558539134E-3</v>
          </cell>
          <cell r="Z165" t="str">
            <v/>
          </cell>
          <cell r="AA165">
            <v>7.9665223473627256E-3</v>
          </cell>
          <cell r="AB165" t="str">
            <v/>
          </cell>
          <cell r="AC165">
            <v>1.9236686056810059E-2</v>
          </cell>
          <cell r="AD165">
            <v>3.5941475122733491E-2</v>
          </cell>
          <cell r="AE165">
            <v>7.4118402187968724E-2</v>
          </cell>
        </row>
        <row r="166">
          <cell r="D166" t="str">
            <v>USD</v>
          </cell>
          <cell r="N166" t="str">
            <v/>
          </cell>
          <cell r="O166" t="str">
            <v/>
          </cell>
          <cell r="P166">
            <v>5.119270003759846E-2</v>
          </cell>
          <cell r="Q166" t="str">
            <v/>
          </cell>
          <cell r="R166">
            <v>0.10405072873309884</v>
          </cell>
          <cell r="S166" t="str">
            <v/>
          </cell>
          <cell r="T166">
            <v>0.13885399366509332</v>
          </cell>
          <cell r="U166">
            <v>0.17146261438115917</v>
          </cell>
          <cell r="V166">
            <v>0.22235300798901358</v>
          </cell>
          <cell r="W166" t="str">
            <v/>
          </cell>
          <cell r="X166" t="str">
            <v/>
          </cell>
          <cell r="Y166">
            <v>5.3682351336240997E-2</v>
          </cell>
          <cell r="Z166" t="str">
            <v/>
          </cell>
          <cell r="AA166">
            <v>0.10891796013633714</v>
          </cell>
          <cell r="AB166" t="str">
            <v/>
          </cell>
          <cell r="AC166">
            <v>0.14514193257005248</v>
          </cell>
          <cell r="AD166">
            <v>0.17904101841295417</v>
          </cell>
          <cell r="AE166">
            <v>0.23185153536789604</v>
          </cell>
        </row>
        <row r="167">
          <cell r="D167" t="str">
            <v>USD</v>
          </cell>
          <cell r="N167" t="str">
            <v/>
          </cell>
          <cell r="O167" t="str">
            <v/>
          </cell>
          <cell r="P167">
            <v>1.4344233748667667E-3</v>
          </cell>
          <cell r="Q167" t="str">
            <v/>
          </cell>
          <cell r="R167">
            <v>1.3038342816423021E-2</v>
          </cell>
          <cell r="S167" t="str">
            <v/>
          </cell>
          <cell r="T167">
            <v>3.0272966438632865E-2</v>
          </cell>
          <cell r="U167">
            <v>5.5565743981242477E-2</v>
          </cell>
          <cell r="V167">
            <v>0.10337723918102348</v>
          </cell>
          <cell r="W167" t="str">
            <v/>
          </cell>
          <cell r="X167" t="str">
            <v/>
          </cell>
          <cell r="Y167">
            <v>1.6008371027559365E-3</v>
          </cell>
          <cell r="Z167" t="str">
            <v/>
          </cell>
          <cell r="AA167">
            <v>1.366239868610919E-2</v>
          </cell>
          <cell r="AB167" t="str">
            <v/>
          </cell>
          <cell r="AC167">
            <v>3.1760059409167374E-2</v>
          </cell>
          <cell r="AD167">
            <v>5.8273349565457488E-2</v>
          </cell>
          <cell r="AE167">
            <v>0.10834103742582712</v>
          </cell>
        </row>
        <row r="168">
          <cell r="D168" t="str">
            <v>USD</v>
          </cell>
          <cell r="N168" t="str">
            <v/>
          </cell>
          <cell r="O168" t="str">
            <v/>
          </cell>
          <cell r="P168">
            <v>1.1925947635552658E-3</v>
          </cell>
          <cell r="Q168" t="str">
            <v/>
          </cell>
          <cell r="R168">
            <v>1.1695845056667875E-2</v>
          </cell>
          <cell r="S168" t="str">
            <v/>
          </cell>
          <cell r="T168">
            <v>2.958330780401941E-2</v>
          </cell>
          <cell r="U168">
            <v>5.9803637455722702E-2</v>
          </cell>
          <cell r="V168">
            <v>0.11195603642452412</v>
          </cell>
          <cell r="W168" t="str">
            <v/>
          </cell>
          <cell r="X168" t="str">
            <v/>
          </cell>
          <cell r="Y168">
            <v>1.3590487928679673E-3</v>
          </cell>
          <cell r="Z168" t="str">
            <v/>
          </cell>
          <cell r="AA168">
            <v>1.225580774207502E-2</v>
          </cell>
          <cell r="AB168" t="str">
            <v/>
          </cell>
          <cell r="AC168">
            <v>3.1036021044992701E-2</v>
          </cell>
          <cell r="AD168">
            <v>6.2714669456472416E-2</v>
          </cell>
          <cell r="AE168">
            <v>0.11732145397522875</v>
          </cell>
        </row>
        <row r="169">
          <cell r="D169" t="str">
            <v>USD</v>
          </cell>
          <cell r="N169" t="str">
            <v/>
          </cell>
          <cell r="O169" t="str">
            <v/>
          </cell>
          <cell r="P169">
            <v>7.9057835069185067E-4</v>
          </cell>
          <cell r="Q169" t="str">
            <v/>
          </cell>
          <cell r="R169">
            <v>8.0406524492514508E-3</v>
          </cell>
          <cell r="S169" t="str">
            <v/>
          </cell>
          <cell r="T169">
            <v>1.9623897878129459E-2</v>
          </cell>
          <cell r="U169">
            <v>3.6446200688994512E-2</v>
          </cell>
          <cell r="V169">
            <v>6.3995539865183915E-2</v>
          </cell>
          <cell r="W169" t="str">
            <v/>
          </cell>
          <cell r="X169" t="str">
            <v/>
          </cell>
          <cell r="Y169">
            <v>9.5709937717136651E-4</v>
          </cell>
          <cell r="Z169" t="str">
            <v/>
          </cell>
          <cell r="AA169">
            <v>8.5365081487481786E-3</v>
          </cell>
          <cell r="AB169" t="str">
            <v/>
          </cell>
          <cell r="AC169">
            <v>2.0575833178585912E-2</v>
          </cell>
          <cell r="AD169">
            <v>3.8220231990660491E-2</v>
          </cell>
          <cell r="AE169">
            <v>6.7083602051609903E-2</v>
          </cell>
        </row>
        <row r="170">
          <cell r="D170" t="str">
            <v>USD</v>
          </cell>
          <cell r="N170" t="str">
            <v/>
          </cell>
          <cell r="O170" t="str">
            <v/>
          </cell>
          <cell r="P170">
            <v>1.2848096503803585E-3</v>
          </cell>
          <cell r="Q170" t="str">
            <v/>
          </cell>
          <cell r="R170">
            <v>1.0399644455154178E-2</v>
          </cell>
          <cell r="S170" t="str">
            <v/>
          </cell>
          <cell r="T170">
            <v>2.1066086325637778E-2</v>
          </cell>
          <cell r="U170">
            <v>3.3653592399698562E-2</v>
          </cell>
          <cell r="V170">
            <v>6.2807423920585692E-2</v>
          </cell>
          <cell r="W170" t="str">
            <v/>
          </cell>
          <cell r="X170" t="str">
            <v/>
          </cell>
          <cell r="Y170">
            <v>1.4512483118231945E-3</v>
          </cell>
          <cell r="Z170" t="str">
            <v/>
          </cell>
          <cell r="AA170">
            <v>1.0898771919055195E-2</v>
          </cell>
          <cell r="AB170" t="str">
            <v/>
          </cell>
          <cell r="AC170">
            <v>2.2102336341621842E-2</v>
          </cell>
          <cell r="AD170">
            <v>3.5303922656579889E-2</v>
          </cell>
          <cell r="AE170">
            <v>6.5849955670386762E-2</v>
          </cell>
        </row>
        <row r="171">
          <cell r="D171" t="str">
            <v>USD</v>
          </cell>
          <cell r="N171" t="str">
            <v/>
          </cell>
          <cell r="O171" t="str">
            <v/>
          </cell>
          <cell r="P171">
            <v>1.6970634305609744E-3</v>
          </cell>
          <cell r="Q171" t="str">
            <v/>
          </cell>
          <cell r="R171">
            <v>1.5921595357134888E-2</v>
          </cell>
          <cell r="S171" t="str">
            <v/>
          </cell>
          <cell r="T171">
            <v>4.1968655930352816E-2</v>
          </cell>
          <cell r="U171">
            <v>7.246794512805943E-2</v>
          </cell>
          <cell r="V171">
            <v>0.12030738887942405</v>
          </cell>
          <cell r="W171" t="str">
            <v/>
          </cell>
          <cell r="X171" t="str">
            <v/>
          </cell>
          <cell r="Y171">
            <v>1.863433388761937E-3</v>
          </cell>
          <cell r="Z171" t="str">
            <v/>
          </cell>
          <cell r="AA171">
            <v>1.6704597660024634E-2</v>
          </cell>
          <cell r="AB171" t="str">
            <v/>
          </cell>
          <cell r="AC171">
            <v>4.402078214058891E-2</v>
          </cell>
          <cell r="AD171">
            <v>7.5973914059089376E-2</v>
          </cell>
          <cell r="AE171">
            <v>0.1260228188110506</v>
          </cell>
        </row>
        <row r="172">
          <cell r="D172" t="str">
            <v>USD</v>
          </cell>
          <cell r="N172" t="str">
            <v/>
          </cell>
          <cell r="O172" t="str">
            <v/>
          </cell>
          <cell r="P172">
            <v>0.13807484687210114</v>
          </cell>
          <cell r="Q172" t="str">
            <v/>
          </cell>
          <cell r="R172">
            <v>0.22515415972382491</v>
          </cell>
          <cell r="S172" t="str">
            <v/>
          </cell>
          <cell r="T172">
            <v>0.26183627527810038</v>
          </cell>
          <cell r="U172">
            <v>0.2877553619599611</v>
          </cell>
          <cell r="V172">
            <v>0.34335420373512016</v>
          </cell>
          <cell r="W172" t="str">
            <v/>
          </cell>
          <cell r="X172" t="str">
            <v/>
          </cell>
          <cell r="Y172">
            <v>0.14445442238797079</v>
          </cell>
          <cell r="Z172" t="str">
            <v/>
          </cell>
          <cell r="AA172">
            <v>0.23462725458681144</v>
          </cell>
          <cell r="AB172" t="str">
            <v/>
          </cell>
          <cell r="AC172">
            <v>0.27225021612502287</v>
          </cell>
          <cell r="AD172">
            <v>0.2987385073407387</v>
          </cell>
          <cell r="AE172">
            <v>0.35582335695145795</v>
          </cell>
        </row>
        <row r="173">
          <cell r="D173" t="str">
            <v>USD</v>
          </cell>
          <cell r="N173" t="str">
            <v/>
          </cell>
          <cell r="O173" t="str">
            <v/>
          </cell>
          <cell r="P173">
            <v>1.7092371347555702E-3</v>
          </cell>
          <cell r="Q173" t="str">
            <v/>
          </cell>
          <cell r="R173">
            <v>1.6400537160739304E-2</v>
          </cell>
          <cell r="S173" t="str">
            <v/>
          </cell>
          <cell r="T173">
            <v>3.9342377916388727E-2</v>
          </cell>
          <cell r="U173">
            <v>7.0936827671697511E-2</v>
          </cell>
          <cell r="V173">
            <v>0.12585237432359386</v>
          </cell>
          <cell r="W173" t="str">
            <v/>
          </cell>
          <cell r="X173" t="str">
            <v/>
          </cell>
          <cell r="Y173">
            <v>1.8756050641933752E-3</v>
          </cell>
          <cell r="Z173" t="str">
            <v/>
          </cell>
          <cell r="AA173">
            <v>1.7207099081474664E-2</v>
          </cell>
          <cell r="AB173" t="str">
            <v/>
          </cell>
          <cell r="AC173">
            <v>4.1267610856316028E-2</v>
          </cell>
          <cell r="AD173">
            <v>7.4370570339190367E-2</v>
          </cell>
          <cell r="AE173">
            <v>0.13183234630387985</v>
          </cell>
        </row>
        <row r="174">
          <cell r="D174" t="str">
            <v>USD</v>
          </cell>
          <cell r="N174" t="str">
            <v/>
          </cell>
          <cell r="O174" t="str">
            <v/>
          </cell>
          <cell r="P174">
            <v>2.0987179082332386E-3</v>
          </cell>
          <cell r="Q174" t="str">
            <v/>
          </cell>
          <cell r="R174">
            <v>1.4626114585749139E-2</v>
          </cell>
          <cell r="S174" t="str">
            <v/>
          </cell>
          <cell r="T174">
            <v>4.0365201089771818E-2</v>
          </cell>
          <cell r="U174">
            <v>7.6197572972166783E-2</v>
          </cell>
          <cell r="V174">
            <v>0.12852712383817055</v>
          </cell>
          <cell r="W174" t="str">
            <v/>
          </cell>
          <cell r="X174" t="str">
            <v/>
          </cell>
          <cell r="Y174">
            <v>2.2650209296275481E-3</v>
          </cell>
          <cell r="Z174" t="str">
            <v/>
          </cell>
          <cell r="AA174">
            <v>1.5346908690983874E-2</v>
          </cell>
          <cell r="AB174" t="str">
            <v/>
          </cell>
          <cell r="AC174">
            <v>4.2341709982690823E-2</v>
          </cell>
          <cell r="AD174">
            <v>7.9883379854032044E-2</v>
          </cell>
          <cell r="AE174">
            <v>0.13462598698001715</v>
          </cell>
        </row>
        <row r="175">
          <cell r="D175" t="str">
            <v>USD</v>
          </cell>
          <cell r="N175" t="str">
            <v/>
          </cell>
          <cell r="O175" t="str">
            <v/>
          </cell>
          <cell r="P175">
            <v>8.7586797898520086E-4</v>
          </cell>
          <cell r="Q175" t="str">
            <v/>
          </cell>
          <cell r="R175">
            <v>1.1087795107708742E-2</v>
          </cell>
          <cell r="S175" t="str">
            <v/>
          </cell>
          <cell r="T175">
            <v>2.5350666798997223E-2</v>
          </cell>
          <cell r="U175">
            <v>4.6730057726042884E-2</v>
          </cell>
          <cell r="V175">
            <v>8.7475405910012793E-2</v>
          </cell>
          <cell r="W175" t="str">
            <v/>
          </cell>
          <cell r="X175" t="str">
            <v/>
          </cell>
          <cell r="Y175">
            <v>1.0423747917156501E-3</v>
          </cell>
          <cell r="Z175" t="str">
            <v/>
          </cell>
          <cell r="AA175">
            <v>1.1617957115166111E-2</v>
          </cell>
          <cell r="AB175" t="str">
            <v/>
          </cell>
          <cell r="AC175">
            <v>2.6595582210331203E-2</v>
          </cell>
          <cell r="AD175">
            <v>4.9012688360244416E-2</v>
          </cell>
          <cell r="AE175">
            <v>9.169925325572037E-2</v>
          </cell>
        </row>
        <row r="176">
          <cell r="D176" t="str">
            <v>USD</v>
          </cell>
          <cell r="N176" t="str">
            <v/>
          </cell>
          <cell r="O176" t="str">
            <v/>
          </cell>
          <cell r="P176">
            <v>2.6583324377572604E-3</v>
          </cell>
          <cell r="Q176" t="str">
            <v/>
          </cell>
          <cell r="R176">
            <v>1.5166764449205505E-2</v>
          </cell>
          <cell r="S176" t="str">
            <v/>
          </cell>
          <cell r="T176">
            <v>3.9399652196188684E-2</v>
          </cell>
          <cell r="U176">
            <v>6.7711340148443599E-2</v>
          </cell>
          <cell r="V176">
            <v>0.12774779669881087</v>
          </cell>
          <cell r="W176" t="str">
            <v/>
          </cell>
          <cell r="X176" t="str">
            <v/>
          </cell>
          <cell r="Y176">
            <v>2.8245421978129182E-3</v>
          </cell>
          <cell r="Z176" t="str">
            <v/>
          </cell>
          <cell r="AA176">
            <v>1.591617966654868E-2</v>
          </cell>
          <cell r="AB176" t="str">
            <v/>
          </cell>
          <cell r="AC176">
            <v>4.1331193276634592E-2</v>
          </cell>
          <cell r="AD176">
            <v>7.0996314731168519E-2</v>
          </cell>
          <cell r="AE176">
            <v>0.13382592182969355</v>
          </cell>
        </row>
        <row r="177">
          <cell r="D177" t="str">
            <v>USD</v>
          </cell>
          <cell r="N177" t="str">
            <v/>
          </cell>
          <cell r="O177" t="str">
            <v/>
          </cell>
          <cell r="P177">
            <v>9.3852514155678968E-4</v>
          </cell>
          <cell r="Q177" t="str">
            <v/>
          </cell>
          <cell r="R177">
            <v>9.2954370810863773E-3</v>
          </cell>
          <cell r="S177" t="str">
            <v/>
          </cell>
          <cell r="T177">
            <v>2.2515417526552395E-2</v>
          </cell>
          <cell r="U177">
            <v>3.9762234227864734E-2</v>
          </cell>
          <cell r="V177">
            <v>6.7601449343038467E-2</v>
          </cell>
          <cell r="W177" t="str">
            <v/>
          </cell>
          <cell r="X177" t="str">
            <v/>
          </cell>
          <cell r="Y177">
            <v>1.1050215122728746E-3</v>
          </cell>
          <cell r="Z177" t="str">
            <v/>
          </cell>
          <cell r="AA177">
            <v>9.7906655451526214E-3</v>
          </cell>
          <cell r="AB177" t="str">
            <v/>
          </cell>
          <cell r="AC177">
            <v>2.3616292111189874E-2</v>
          </cell>
          <cell r="AD177">
            <v>4.1703506935052981E-2</v>
          </cell>
          <cell r="AE177">
            <v>7.0864425736262282E-2</v>
          </cell>
        </row>
        <row r="178">
          <cell r="D178" t="str">
            <v>USD</v>
          </cell>
          <cell r="N178" t="str">
            <v/>
          </cell>
          <cell r="O178" t="str">
            <v/>
          </cell>
          <cell r="P178">
            <v>1.0794894968995106E-3</v>
          </cell>
          <cell r="Q178" t="str">
            <v/>
          </cell>
          <cell r="R178">
            <v>8.0662846369292662E-3</v>
          </cell>
          <cell r="S178" t="str">
            <v/>
          </cell>
          <cell r="T178">
            <v>1.8724885265075986E-2</v>
          </cell>
          <cell r="U178">
            <v>3.4528739405951803E-2</v>
          </cell>
          <cell r="V178">
            <v>6.4185559391692792E-2</v>
          </cell>
          <cell r="W178" t="str">
            <v/>
          </cell>
          <cell r="X178" t="str">
            <v/>
          </cell>
          <cell r="Y178">
            <v>1.2459623755439742E-3</v>
          </cell>
          <cell r="Z178" t="str">
            <v/>
          </cell>
          <cell r="AA178">
            <v>8.562127523572105E-3</v>
          </cell>
          <cell r="AB178" t="str">
            <v/>
          </cell>
          <cell r="AC178">
            <v>1.9633850888337911E-2</v>
          </cell>
          <cell r="AD178">
            <v>3.6210717213762678E-2</v>
          </cell>
          <cell r="AE178">
            <v>6.7284203534102027E-2</v>
          </cell>
        </row>
        <row r="179">
          <cell r="D179" t="str">
            <v>USD</v>
          </cell>
          <cell r="N179" t="str">
            <v/>
          </cell>
          <cell r="O179" t="str">
            <v/>
          </cell>
          <cell r="P179">
            <v>1.8292271942728089E-3</v>
          </cell>
          <cell r="Q179" t="str">
            <v/>
          </cell>
          <cell r="R179">
            <v>1.1291216581762353E-2</v>
          </cell>
          <cell r="S179" t="str">
            <v/>
          </cell>
          <cell r="T179">
            <v>2.7846363325093493E-2</v>
          </cell>
          <cell r="U179">
            <v>5.1896319389173606E-2</v>
          </cell>
          <cell r="V179">
            <v>8.9745295800385483E-2</v>
          </cell>
          <cell r="W179" t="str">
            <v/>
          </cell>
          <cell r="X179" t="str">
            <v/>
          </cell>
          <cell r="Y179">
            <v>1.9955751270438471E-3</v>
          </cell>
          <cell r="Z179" t="str">
            <v/>
          </cell>
          <cell r="AA179">
            <v>1.1834362815151378E-2</v>
          </cell>
          <cell r="AB179" t="str">
            <v/>
          </cell>
          <cell r="AC179">
            <v>2.9216461833706076E-2</v>
          </cell>
          <cell r="AD179">
            <v>5.4430539628843033E-2</v>
          </cell>
          <cell r="AE179">
            <v>9.4046961940635887E-2</v>
          </cell>
        </row>
        <row r="180">
          <cell r="D180" t="str">
            <v>USD</v>
          </cell>
          <cell r="N180" t="str">
            <v/>
          </cell>
          <cell r="O180" t="str">
            <v/>
          </cell>
          <cell r="P180">
            <v>6.3564604936616753E-4</v>
          </cell>
          <cell r="Q180" t="str">
            <v/>
          </cell>
          <cell r="R180">
            <v>1.232755895740989E-2</v>
          </cell>
          <cell r="S180" t="str">
            <v/>
          </cell>
          <cell r="T180">
            <v>2.6105103251375161E-2</v>
          </cell>
          <cell r="U180">
            <v>4.7296286091603523E-2</v>
          </cell>
          <cell r="V180">
            <v>8.5686462834950849E-2</v>
          </cell>
          <cell r="W180" t="str">
            <v/>
          </cell>
          <cell r="X180" t="str">
            <v/>
          </cell>
          <cell r="Y180">
            <v>8.0219289572902586E-4</v>
          </cell>
          <cell r="Z180" t="str">
            <v/>
          </cell>
          <cell r="AA180">
            <v>1.2915296035349244E-2</v>
          </cell>
          <cell r="AB180" t="str">
            <v/>
          </cell>
          <cell r="AC180">
            <v>2.7386096002532501E-2</v>
          </cell>
          <cell r="AD180">
            <v>4.9604653599749859E-2</v>
          </cell>
          <cell r="AE180">
            <v>8.979639725196964E-2</v>
          </cell>
        </row>
        <row r="181">
          <cell r="D181" t="str">
            <v>USD</v>
          </cell>
          <cell r="N181" t="str">
            <v/>
          </cell>
          <cell r="O181" t="str">
            <v/>
          </cell>
          <cell r="P181">
            <v>2.3855158044079339E-3</v>
          </cell>
          <cell r="Q181" t="str">
            <v/>
          </cell>
          <cell r="R181">
            <v>9.9038741877984782E-3</v>
          </cell>
          <cell r="S181" t="str">
            <v/>
          </cell>
          <cell r="T181">
            <v>2.8811116035990514E-2</v>
          </cell>
          <cell r="U181">
            <v>5.3927610573568763E-2</v>
          </cell>
          <cell r="V181">
            <v>9.2241299365523055E-2</v>
          </cell>
          <cell r="W181" t="str">
            <v/>
          </cell>
          <cell r="X181" t="str">
            <v/>
          </cell>
          <cell r="Y181">
            <v>2.5517710301382612E-3</v>
          </cell>
          <cell r="Z181" t="str">
            <v/>
          </cell>
          <cell r="AA181">
            <v>1.0398798509320129E-2</v>
          </cell>
          <cell r="AB181" t="str">
            <v/>
          </cell>
          <cell r="AC181">
            <v>3.0228478614932608E-2</v>
          </cell>
          <cell r="AD181">
            <v>5.6560302783526084E-2</v>
          </cell>
          <cell r="AE181">
            <v>9.6658908516762176E-2</v>
          </cell>
        </row>
        <row r="182">
          <cell r="D182" t="str">
            <v>USD</v>
          </cell>
          <cell r="N182" t="str">
            <v/>
          </cell>
          <cell r="O182" t="str">
            <v/>
          </cell>
          <cell r="P182">
            <v>7.67949277032276E-4</v>
          </cell>
          <cell r="Q182" t="str">
            <v/>
          </cell>
          <cell r="R182">
            <v>7.4817602052102972E-3</v>
          </cell>
          <cell r="S182" t="str">
            <v/>
          </cell>
          <cell r="T182">
            <v>1.7516019693057716E-2</v>
          </cell>
          <cell r="U182">
            <v>3.3738299442808928E-2</v>
          </cell>
          <cell r="V182">
            <v>6.4252704547707373E-2</v>
          </cell>
          <cell r="W182" t="str">
            <v/>
          </cell>
          <cell r="X182" t="str">
            <v/>
          </cell>
          <cell r="Y182">
            <v>9.3447407468105759E-4</v>
          </cell>
          <cell r="Z182" t="str">
            <v/>
          </cell>
          <cell r="AA182">
            <v>7.9778952809627102E-3</v>
          </cell>
          <cell r="AB182" t="str">
            <v/>
          </cell>
          <cell r="AC182">
            <v>1.8345458973513251E-2</v>
          </cell>
          <cell r="AD182">
            <v>3.5379829489916248E-2</v>
          </cell>
          <cell r="AE182">
            <v>6.7353371649799043E-2</v>
          </cell>
        </row>
        <row r="183">
          <cell r="D183" t="str">
            <v>USD</v>
          </cell>
          <cell r="N183" t="str">
            <v/>
          </cell>
          <cell r="O183" t="str">
            <v/>
          </cell>
          <cell r="P183">
            <v>1.3335235378534316E-3</v>
          </cell>
          <cell r="Q183" t="str">
            <v/>
          </cell>
          <cell r="R183">
            <v>1.2911486846757914E-2</v>
          </cell>
          <cell r="S183" t="str">
            <v/>
          </cell>
          <cell r="T183">
            <v>2.7710532102136254E-2</v>
          </cell>
          <cell r="U183">
            <v>5.1326265395358783E-2</v>
          </cell>
          <cell r="V183">
            <v>8.9150795987418485E-2</v>
          </cell>
          <cell r="W183" t="str">
            <v/>
          </cell>
          <cell r="X183" t="str">
            <v/>
          </cell>
          <cell r="Y183">
            <v>1.4999540809821355E-3</v>
          </cell>
          <cell r="Z183" t="str">
            <v/>
          </cell>
          <cell r="AA183">
            <v>1.3529210888179266E-2</v>
          </cell>
          <cell r="AB183" t="str">
            <v/>
          </cell>
          <cell r="AC183">
            <v>2.9072293782059999E-2</v>
          </cell>
          <cell r="AD183">
            <v>5.3830485640520065E-2</v>
          </cell>
          <cell r="AE183">
            <v>9.3422036898548444E-2</v>
          </cell>
        </row>
        <row r="184">
          <cell r="D184" t="str">
            <v>USD</v>
          </cell>
          <cell r="N184" t="str">
            <v/>
          </cell>
          <cell r="O184" t="str">
            <v/>
          </cell>
          <cell r="P184">
            <v>2.9467077640770167E-3</v>
          </cell>
          <cell r="Q184" t="str">
            <v/>
          </cell>
          <cell r="R184">
            <v>2.2228721814604113E-2</v>
          </cell>
          <cell r="S184" t="str">
            <v/>
          </cell>
          <cell r="T184">
            <v>6.3283998830446553E-2</v>
          </cell>
          <cell r="U184">
            <v>0.11447534485411792</v>
          </cell>
          <cell r="V184">
            <v>0.21540000250751379</v>
          </cell>
          <cell r="W184" t="str">
            <v/>
          </cell>
          <cell r="X184" t="str">
            <v/>
          </cell>
          <cell r="Y184">
            <v>3.1128694655947475E-3</v>
          </cell>
          <cell r="Z184" t="str">
            <v/>
          </cell>
          <cell r="AA184">
            <v>2.3325053174066968E-2</v>
          </cell>
          <cell r="AB184" t="str">
            <v/>
          </cell>
          <cell r="AC184">
            <v>6.6354937288158555E-2</v>
          </cell>
          <cell r="AD184">
            <v>0.11995649737550118</v>
          </cell>
          <cell r="AE184">
            <v>0.22530078910064089</v>
          </cell>
        </row>
        <row r="185">
          <cell r="D185" t="str">
            <v>USD</v>
          </cell>
          <cell r="N185" t="str">
            <v/>
          </cell>
          <cell r="O185">
            <v>5.0956409427971305E-4</v>
          </cell>
          <cell r="P185">
            <v>1.2217681881586673E-3</v>
          </cell>
          <cell r="Q185">
            <v>3.8612116642110506E-3</v>
          </cell>
          <cell r="R185">
            <v>7.9638237288336411E-3</v>
          </cell>
          <cell r="S185" t="str">
            <v/>
          </cell>
          <cell r="T185">
            <v>2.0556849465119487E-2</v>
          </cell>
          <cell r="U185">
            <v>3.2012154635213674E-2</v>
          </cell>
          <cell r="V185">
            <v>5.3185442104132674E-2</v>
          </cell>
          <cell r="W185" t="str">
            <v/>
          </cell>
          <cell r="X185">
            <v>5.9285149358401235E-4</v>
          </cell>
          <cell r="Y185">
            <v>1.3882173556362121E-3</v>
          </cell>
          <cell r="Z185">
            <v>4.1932025920988769E-3</v>
          </cell>
          <cell r="AA185">
            <v>8.4597178331005107E-3</v>
          </cell>
          <cell r="AB185" t="str">
            <v/>
          </cell>
          <cell r="AC185">
            <v>2.1553977208563335E-2</v>
          </cell>
          <cell r="AD185">
            <v>3.356917145257432E-2</v>
          </cell>
          <cell r="AE185">
            <v>5.5757432847580501E-2</v>
          </cell>
        </row>
        <row r="186">
          <cell r="D186" t="str">
            <v>USD</v>
          </cell>
          <cell r="N186" t="str">
            <v/>
          </cell>
          <cell r="O186" t="str">
            <v/>
          </cell>
          <cell r="P186">
            <v>6.1445532387988111E-3</v>
          </cell>
          <cell r="Q186" t="str">
            <v/>
          </cell>
          <cell r="R186">
            <v>3.2630202903910277E-2</v>
          </cell>
          <cell r="S186" t="str">
            <v/>
          </cell>
          <cell r="T186">
            <v>8.9795919230626686E-2</v>
          </cell>
          <cell r="U186">
            <v>0.14298434146429828</v>
          </cell>
          <cell r="V186">
            <v>0.2319081995259874</v>
          </cell>
          <cell r="W186" t="str">
            <v/>
          </cell>
          <cell r="X186" t="str">
            <v/>
          </cell>
          <cell r="Y186">
            <v>6.4375317609799421E-3</v>
          </cell>
          <cell r="Z186" t="str">
            <v/>
          </cell>
          <cell r="AA186">
            <v>3.4232359643475374E-2</v>
          </cell>
          <cell r="AB186" t="str">
            <v/>
          </cell>
          <cell r="AC186">
            <v>9.4134350670694533E-2</v>
          </cell>
          <cell r="AD186">
            <v>0.14971317277380458</v>
          </cell>
          <cell r="AE186">
            <v>0.24233832014917522</v>
          </cell>
        </row>
        <row r="187">
          <cell r="D187" t="str">
            <v>USD</v>
          </cell>
          <cell r="N187" t="str">
            <v/>
          </cell>
          <cell r="O187" t="str">
            <v/>
          </cell>
          <cell r="P187">
            <v>1.8413992993355777E-3</v>
          </cell>
          <cell r="Q187" t="str">
            <v/>
          </cell>
          <cell r="R187">
            <v>1.0026947904386851E-2</v>
          </cell>
          <cell r="S187" t="str">
            <v/>
          </cell>
          <cell r="T187">
            <v>2.2361908116912299E-2</v>
          </cell>
          <cell r="U187">
            <v>3.3007732771448972E-2</v>
          </cell>
          <cell r="V187">
            <v>5.4463589051522709E-2</v>
          </cell>
          <cell r="W187" t="str">
            <v/>
          </cell>
          <cell r="X187" t="str">
            <v/>
          </cell>
          <cell r="Y187">
            <v>2.0077452035682786E-3</v>
          </cell>
          <cell r="Z187" t="str">
            <v/>
          </cell>
          <cell r="AA187">
            <v>1.0521810704441359E-2</v>
          </cell>
          <cell r="AB187" t="str">
            <v/>
          </cell>
          <cell r="AC187">
            <v>2.3462409270894824E-2</v>
          </cell>
          <cell r="AD187">
            <v>3.462694837725544E-2</v>
          </cell>
          <cell r="AE187">
            <v>5.7109111488965247E-2</v>
          </cell>
        </row>
        <row r="188">
          <cell r="D188" t="str">
            <v>USD</v>
          </cell>
          <cell r="N188" t="str">
            <v/>
          </cell>
          <cell r="O188" t="str">
            <v/>
          </cell>
          <cell r="P188">
            <v>2.0987179082332386E-3</v>
          </cell>
          <cell r="Q188" t="str">
            <v/>
          </cell>
          <cell r="R188">
            <v>1.5591474265663985E-2</v>
          </cell>
          <cell r="S188" t="str">
            <v/>
          </cell>
          <cell r="T188">
            <v>4.1544201790343571E-2</v>
          </cell>
          <cell r="U188">
            <v>6.9854138929514864E-2</v>
          </cell>
          <cell r="V188">
            <v>0.11585365084993848</v>
          </cell>
          <cell r="W188" t="str">
            <v/>
          </cell>
          <cell r="X188" t="str">
            <v/>
          </cell>
          <cell r="Y188">
            <v>2.2650209296275481E-3</v>
          </cell>
          <cell r="Z188" t="str">
            <v/>
          </cell>
          <cell r="AA188">
            <v>1.6359727588895701E-2</v>
          </cell>
          <cell r="AB188" t="str">
            <v/>
          </cell>
          <cell r="AC188">
            <v>4.3577289316249934E-2</v>
          </cell>
          <cell r="AD188">
            <v>7.323792239676763E-2</v>
          </cell>
          <cell r="AE188">
            <v>0.12136688332567813</v>
          </cell>
        </row>
        <row r="189">
          <cell r="D189" t="str">
            <v>USD</v>
          </cell>
          <cell r="N189" t="str">
            <v/>
          </cell>
          <cell r="O189" t="str">
            <v/>
          </cell>
          <cell r="P189">
            <v>4.6041294298003743E-3</v>
          </cell>
          <cell r="Q189" t="str">
            <v/>
          </cell>
          <cell r="R189">
            <v>2.4768128967365577E-2</v>
          </cell>
          <cell r="S189" t="str">
            <v/>
          </cell>
          <cell r="T189">
            <v>6.1968538733281009E-2</v>
          </cell>
          <cell r="U189">
            <v>9.9058703301854734E-2</v>
          </cell>
          <cell r="V189">
            <v>0.15680343714665734</v>
          </cell>
          <cell r="W189" t="str">
            <v/>
          </cell>
          <cell r="X189" t="str">
            <v/>
          </cell>
          <cell r="Y189">
            <v>4.8238388169017377E-3</v>
          </cell>
          <cell r="Z189" t="str">
            <v/>
          </cell>
          <cell r="AA189">
            <v>2.599002169512088E-2</v>
          </cell>
          <cell r="AB189" t="str">
            <v/>
          </cell>
          <cell r="AC189">
            <v>6.4976843306802756E-2</v>
          </cell>
          <cell r="AD189">
            <v>0.10379313033160598</v>
          </cell>
          <cell r="AE189">
            <v>0.16410886549086157</v>
          </cell>
        </row>
        <row r="190">
          <cell r="D190" t="str">
            <v>USD</v>
          </cell>
          <cell r="N190" t="str">
            <v/>
          </cell>
          <cell r="O190" t="str">
            <v/>
          </cell>
          <cell r="P190">
            <v>2.5245398971295296E-3</v>
          </cell>
          <cell r="Q190" t="str">
            <v/>
          </cell>
          <cell r="R190">
            <v>2.2544975018212177E-2</v>
          </cell>
          <cell r="S190" t="str">
            <v/>
          </cell>
          <cell r="T190">
            <v>5.8188998391559776E-2</v>
          </cell>
          <cell r="U190">
            <v>9.6747976642017841E-2</v>
          </cell>
          <cell r="V190">
            <v>0.16659820578902029</v>
          </cell>
          <cell r="W190" t="str">
            <v/>
          </cell>
          <cell r="X190" t="str">
            <v/>
          </cell>
          <cell r="Y190">
            <v>2.6907719540882891E-3</v>
          </cell>
          <cell r="Z190" t="str">
            <v/>
          </cell>
          <cell r="AA190">
            <v>2.3655143832326475E-2</v>
          </cell>
          <cell r="AB190" t="str">
            <v/>
          </cell>
          <cell r="AC190">
            <v>6.1017254185844139E-2</v>
          </cell>
          <cell r="AD190">
            <v>0.10137928456480449</v>
          </cell>
          <cell r="AE190">
            <v>0.17436511399508314</v>
          </cell>
        </row>
        <row r="191">
          <cell r="D191" t="str">
            <v>USD</v>
          </cell>
          <cell r="N191" t="str">
            <v/>
          </cell>
          <cell r="O191" t="str">
            <v/>
          </cell>
          <cell r="P191">
            <v>2.9380229682006709E-3</v>
          </cell>
          <cell r="Q191" t="str">
            <v/>
          </cell>
          <cell r="R191">
            <v>1.3565654644807745E-2</v>
          </cell>
          <cell r="S191" t="str">
            <v/>
          </cell>
          <cell r="T191">
            <v>2.7932331581100311E-2</v>
          </cell>
          <cell r="U191">
            <v>3.9203023097560741E-2</v>
          </cell>
          <cell r="V191">
            <v>5.8045290714519027E-2</v>
          </cell>
          <cell r="W191" t="str">
            <v/>
          </cell>
          <cell r="X191" t="str">
            <v/>
          </cell>
          <cell r="Y191">
            <v>3.1041861170625351E-3</v>
          </cell>
          <cell r="Z191" t="str">
            <v/>
          </cell>
          <cell r="AA191">
            <v>1.4219936750851203E-2</v>
          </cell>
          <cell r="AB191" t="str">
            <v/>
          </cell>
          <cell r="AC191">
            <v>2.9310243413954495E-2</v>
          </cell>
          <cell r="AD191">
            <v>4.1125747557282155E-2</v>
          </cell>
          <cell r="AE191">
            <v>6.0860299056013312E-2</v>
          </cell>
        </row>
        <row r="192">
          <cell r="D192" t="str">
            <v>USD</v>
          </cell>
          <cell r="N192" t="str">
            <v/>
          </cell>
          <cell r="O192" t="str">
            <v/>
          </cell>
          <cell r="P192">
            <v>8.9849462655067214E-4</v>
          </cell>
          <cell r="Q192" t="str">
            <v/>
          </cell>
          <cell r="R192">
            <v>9.8167724865746431E-3</v>
          </cell>
          <cell r="S192" t="str">
            <v/>
          </cell>
          <cell r="T192">
            <v>2.3755343872902679E-2</v>
          </cell>
          <cell r="U192">
            <v>4.3252337741155999E-2</v>
          </cell>
          <cell r="V192">
            <v>8.0854161357199916E-2</v>
          </cell>
          <cell r="W192" t="str">
            <v/>
          </cell>
          <cell r="X192" t="str">
            <v/>
          </cell>
          <cell r="Y192">
            <v>1.0649976684740103E-3</v>
          </cell>
          <cell r="Z192" t="str">
            <v/>
          </cell>
          <cell r="AA192">
            <v>1.0311740348047715E-2</v>
          </cell>
          <cell r="AB192" t="str">
            <v/>
          </cell>
          <cell r="AC192">
            <v>2.4919537047213391E-2</v>
          </cell>
          <cell r="AD192">
            <v>4.5365014651413738E-2</v>
          </cell>
          <cell r="AE192">
            <v>8.4740798152348473E-2</v>
          </cell>
        </row>
        <row r="193">
          <cell r="D193" t="str">
            <v>USD</v>
          </cell>
          <cell r="N193" t="str">
            <v/>
          </cell>
          <cell r="O193" t="str">
            <v/>
          </cell>
          <cell r="P193">
            <v>8.340943702173087E-4</v>
          </cell>
          <cell r="Q193" t="str">
            <v/>
          </cell>
          <cell r="R193">
            <v>6.9733517073625739E-3</v>
          </cell>
          <cell r="S193" t="str">
            <v/>
          </cell>
          <cell r="T193">
            <v>1.7996581348687424E-2</v>
          </cell>
          <cell r="U193">
            <v>3.5652271200990904E-2</v>
          </cell>
          <cell r="V193">
            <v>7.0625675922175501E-2</v>
          </cell>
          <cell r="W193" t="str">
            <v/>
          </cell>
          <cell r="X193" t="str">
            <v/>
          </cell>
          <cell r="Y193">
            <v>1.0006081446377602E-3</v>
          </cell>
          <cell r="Z193" t="str">
            <v/>
          </cell>
          <cell r="AA193">
            <v>7.4697409238421164E-3</v>
          </cell>
          <cell r="AB193" t="str">
            <v/>
          </cell>
          <cell r="AC193">
            <v>1.8845238217586768E-2</v>
          </cell>
          <cell r="AD193">
            <v>3.7385047161339613E-2</v>
          </cell>
          <cell r="AE193">
            <v>7.4025351165623809E-2</v>
          </cell>
        </row>
        <row r="194">
          <cell r="D194" t="str">
            <v>USD</v>
          </cell>
          <cell r="N194" t="str">
            <v/>
          </cell>
          <cell r="O194" t="str">
            <v/>
          </cell>
          <cell r="P194">
            <v>8.340943702173087E-4</v>
          </cell>
          <cell r="Q194" t="str">
            <v/>
          </cell>
          <cell r="R194">
            <v>7.3990893366129296E-3</v>
          </cell>
          <cell r="S194" t="str">
            <v/>
          </cell>
          <cell r="T194">
            <v>1.7951555138388309E-2</v>
          </cell>
          <cell r="U194">
            <v>3.3902683729384875E-2</v>
          </cell>
          <cell r="V194">
            <v>6.2946548088095855E-2</v>
          </cell>
          <cell r="W194" t="str">
            <v/>
          </cell>
          <cell r="X194" t="str">
            <v/>
          </cell>
          <cell r="Y194">
            <v>1.0006081446377602E-3</v>
          </cell>
          <cell r="Z194" t="str">
            <v/>
          </cell>
          <cell r="AA194">
            <v>7.895265737484447E-3</v>
          </cell>
          <cell r="AB194" t="str">
            <v/>
          </cell>
          <cell r="AC194">
            <v>1.8800250919372985E-2</v>
          </cell>
          <cell r="AD194">
            <v>3.5552240154605008E-2</v>
          </cell>
          <cell r="AE194">
            <v>6.5985118733183246E-2</v>
          </cell>
        </row>
        <row r="195">
          <cell r="D195" t="str">
            <v>USD</v>
          </cell>
          <cell r="N195" t="str">
            <v/>
          </cell>
          <cell r="O195" t="str">
            <v/>
          </cell>
          <cell r="P195">
            <v>1.4883484493611876E-3</v>
          </cell>
          <cell r="Q195" t="str">
            <v/>
          </cell>
          <cell r="R195">
            <v>9.4726983287772848E-3</v>
          </cell>
          <cell r="S195" t="str">
            <v/>
          </cell>
          <cell r="T195">
            <v>2.5044392759242529E-2</v>
          </cell>
          <cell r="U195">
            <v>3.7929307850952387E-2</v>
          </cell>
          <cell r="V195">
            <v>6.5588745100657264E-2</v>
          </cell>
          <cell r="W195" t="str">
            <v/>
          </cell>
          <cell r="X195" t="str">
            <v/>
          </cell>
          <cell r="Y195">
            <v>1.6547531905035662E-3</v>
          </cell>
          <cell r="Z195" t="str">
            <v/>
          </cell>
          <cell r="AA195">
            <v>9.9678381843559816E-3</v>
          </cell>
          <cell r="AB195" t="str">
            <v/>
          </cell>
          <cell r="AC195">
            <v>2.6272120715070013E-2</v>
          </cell>
          <cell r="AD195">
            <v>3.9783686046639066E-2</v>
          </cell>
          <cell r="AE195">
            <v>6.8757222728744627E-2</v>
          </cell>
        </row>
        <row r="196">
          <cell r="D196" t="str">
            <v>USD</v>
          </cell>
          <cell r="N196" t="str">
            <v/>
          </cell>
          <cell r="O196" t="str">
            <v/>
          </cell>
          <cell r="P196">
            <v>7.2268960342369848E-4</v>
          </cell>
          <cell r="Q196" t="str">
            <v/>
          </cell>
          <cell r="R196">
            <v>8.2324089538440282E-3</v>
          </cell>
          <cell r="S196" t="str">
            <v/>
          </cell>
          <cell r="T196">
            <v>1.7872485011310113E-2</v>
          </cell>
          <cell r="U196">
            <v>3.3611263053472507E-2</v>
          </cell>
          <cell r="V196">
            <v>6.2206564631552386E-2</v>
          </cell>
          <cell r="W196" t="str">
            <v/>
          </cell>
          <cell r="X196" t="str">
            <v/>
          </cell>
          <cell r="Y196">
            <v>8.892219437496296E-4</v>
          </cell>
          <cell r="Z196" t="str">
            <v/>
          </cell>
          <cell r="AA196">
            <v>8.7281687990516943E-3</v>
          </cell>
          <cell r="AB196" t="str">
            <v/>
          </cell>
          <cell r="AC196">
            <v>1.8721249125450368E-2</v>
          </cell>
          <cell r="AD196">
            <v>3.5250212279623994E-2</v>
          </cell>
          <cell r="AE196">
            <v>6.5213516014638317E-2</v>
          </cell>
        </row>
        <row r="197">
          <cell r="D197" t="str">
            <v>USD</v>
          </cell>
          <cell r="N197" t="str">
            <v/>
          </cell>
          <cell r="O197" t="str">
            <v/>
          </cell>
          <cell r="P197">
            <v>3.8304276381747604E-3</v>
          </cell>
          <cell r="Q197" t="str">
            <v/>
          </cell>
          <cell r="R197">
            <v>1.9532259378244765E-2</v>
          </cell>
          <cell r="S197" t="str">
            <v/>
          </cell>
          <cell r="T197">
            <v>4.478546192376931E-2</v>
          </cell>
          <cell r="U197">
            <v>7.2011185239735598E-2</v>
          </cell>
          <cell r="V197">
            <v>0.12194746415245261</v>
          </cell>
          <cell r="W197" t="str">
            <v/>
          </cell>
          <cell r="X197" t="str">
            <v/>
          </cell>
          <cell r="Y197">
            <v>4.0132909829764252E-3</v>
          </cell>
          <cell r="Z197" t="str">
            <v/>
          </cell>
          <cell r="AA197">
            <v>2.0498794774103102E-2</v>
          </cell>
          <cell r="AB197" t="str">
            <v/>
          </cell>
          <cell r="AC197">
            <v>4.6977459046123715E-2</v>
          </cell>
          <cell r="AD197">
            <v>7.5495279349106603E-2</v>
          </cell>
          <cell r="AE197">
            <v>0.12773503908834538</v>
          </cell>
        </row>
        <row r="198">
          <cell r="D198" t="str">
            <v>USD</v>
          </cell>
          <cell r="N198" t="str">
            <v/>
          </cell>
          <cell r="O198" t="str">
            <v/>
          </cell>
          <cell r="P198">
            <v>8.5324082278470659E-4</v>
          </cell>
          <cell r="Q198" t="str">
            <v/>
          </cell>
          <cell r="R198">
            <v>7.9738139552305576E-3</v>
          </cell>
          <cell r="S198" t="str">
            <v/>
          </cell>
          <cell r="T198">
            <v>1.8321228060347972E-2</v>
          </cell>
          <cell r="U198">
            <v>3.4224942018445614E-2</v>
          </cell>
          <cell r="V198">
            <v>6.493782292883965E-2</v>
          </cell>
          <cell r="W198" t="str">
            <v/>
          </cell>
          <cell r="X198" t="str">
            <v/>
          </cell>
          <cell r="Y198">
            <v>1.0197514063650104E-3</v>
          </cell>
          <cell r="Z198" t="str">
            <v/>
          </cell>
          <cell r="AA198">
            <v>8.4697030656818439E-3</v>
          </cell>
          <cell r="AB198" t="str">
            <v/>
          </cell>
          <cell r="AC198">
            <v>1.918922077817542E-2</v>
          </cell>
          <cell r="AD198">
            <v>3.5893213266249169E-2</v>
          </cell>
          <cell r="AE198">
            <v>6.8073432245266408E-2</v>
          </cell>
        </row>
        <row r="199">
          <cell r="D199" t="str">
            <v>USD</v>
          </cell>
          <cell r="N199" t="str">
            <v/>
          </cell>
          <cell r="O199" t="str">
            <v/>
          </cell>
          <cell r="P199">
            <v>1.4187671667675872E-3</v>
          </cell>
          <cell r="Q199" t="str">
            <v/>
          </cell>
          <cell r="R199">
            <v>8.0778524452811418E-3</v>
          </cell>
          <cell r="S199" t="str">
            <v/>
          </cell>
          <cell r="T199">
            <v>1.6959081369407603E-2</v>
          </cell>
          <cell r="U199">
            <v>3.1518117943552415E-2</v>
          </cell>
          <cell r="V199">
            <v>5.8149407383109919E-2</v>
          </cell>
          <cell r="W199" t="str">
            <v/>
          </cell>
          <cell r="X199" t="str">
            <v/>
          </cell>
          <cell r="Y199">
            <v>1.5851835038134254E-3</v>
          </cell>
          <cell r="Z199" t="str">
            <v/>
          </cell>
          <cell r="AA199">
            <v>8.5736895494186172E-3</v>
          </cell>
          <cell r="AB199" t="str">
            <v/>
          </cell>
          <cell r="AC199">
            <v>1.7777940896092082E-2</v>
          </cell>
          <cell r="AD199">
            <v>3.3055345691418658E-2</v>
          </cell>
          <cell r="AE199">
            <v>6.0964129211192208E-2</v>
          </cell>
        </row>
        <row r="200">
          <cell r="D200" t="str">
            <v>USD</v>
          </cell>
          <cell r="N200" t="str">
            <v/>
          </cell>
          <cell r="O200" t="str">
            <v/>
          </cell>
          <cell r="P200">
            <v>8.5672195685559949E-4</v>
          </cell>
          <cell r="Q200" t="str">
            <v/>
          </cell>
          <cell r="R200">
            <v>8.782877073494566E-3</v>
          </cell>
          <cell r="S200" t="str">
            <v/>
          </cell>
          <cell r="T200">
            <v>2.1274525942205358E-2</v>
          </cell>
          <cell r="U200">
            <v>3.6987664828815214E-2</v>
          </cell>
          <cell r="V200">
            <v>6.5785305770100222E-2</v>
          </cell>
          <cell r="W200" t="str">
            <v/>
          </cell>
          <cell r="X200" t="str">
            <v/>
          </cell>
          <cell r="Y200">
            <v>1.0232319603122875E-3</v>
          </cell>
          <cell r="Z200" t="str">
            <v/>
          </cell>
          <cell r="AA200">
            <v>9.2783617534522023E-3</v>
          </cell>
          <cell r="AB200" t="str">
            <v/>
          </cell>
          <cell r="AC200">
            <v>2.2311578187668601E-2</v>
          </cell>
          <cell r="AD200">
            <v>3.8791535740067773E-2</v>
          </cell>
          <cell r="AE200">
            <v>6.896053343314279E-2</v>
          </cell>
        </row>
        <row r="201">
          <cell r="D201" t="str">
            <v>USD</v>
          </cell>
          <cell r="N201" t="str">
            <v/>
          </cell>
          <cell r="O201" t="str">
            <v/>
          </cell>
          <cell r="P201">
            <v>4.6127998406324533E-3</v>
          </cell>
          <cell r="Q201" t="str">
            <v/>
          </cell>
          <cell r="R201">
            <v>3.5113713347814768E-2</v>
          </cell>
          <cell r="S201" t="str">
            <v/>
          </cell>
          <cell r="T201">
            <v>8.9624970332019993E-2</v>
          </cell>
          <cell r="U201">
            <v>0.1420535679463707</v>
          </cell>
          <cell r="V201">
            <v>0.24316563401032565</v>
          </cell>
          <cell r="W201" t="str">
            <v/>
          </cell>
          <cell r="X201" t="str">
            <v/>
          </cell>
          <cell r="Y201">
            <v>4.8329219669998036E-3</v>
          </cell>
          <cell r="Z201" t="str">
            <v/>
          </cell>
          <cell r="AA201">
            <v>3.6835565810131587E-2</v>
          </cell>
          <cell r="AB201" t="str">
            <v/>
          </cell>
          <cell r="AC201">
            <v>9.3952913910856029E-2</v>
          </cell>
          <cell r="AD201">
            <v>0.148736985458233</v>
          </cell>
          <cell r="AE201">
            <v>0.25408174670484762</v>
          </cell>
        </row>
        <row r="202">
          <cell r="D202" t="str">
            <v>USD</v>
          </cell>
          <cell r="N202" t="str">
            <v/>
          </cell>
          <cell r="O202" t="str">
            <v/>
          </cell>
          <cell r="P202">
            <v>2.9380229682006709E-3</v>
          </cell>
          <cell r="Q202" t="str">
            <v/>
          </cell>
          <cell r="R202">
            <v>1.6053273798310785E-2</v>
          </cell>
          <cell r="S202" t="str">
            <v/>
          </cell>
          <cell r="T202">
            <v>3.4974125250559429E-2</v>
          </cell>
          <cell r="U202">
            <v>5.3196387321540417E-2</v>
          </cell>
          <cell r="V202">
            <v>8.0020341222774016E-2</v>
          </cell>
          <cell r="W202" t="str">
            <v/>
          </cell>
          <cell r="X202" t="str">
            <v/>
          </cell>
          <cell r="Y202">
            <v>3.1041861170625351E-3</v>
          </cell>
          <cell r="Z202" t="str">
            <v/>
          </cell>
          <cell r="AA202">
            <v>1.6847274780237287E-2</v>
          </cell>
          <cell r="AB202" t="str">
            <v/>
          </cell>
          <cell r="AC202">
            <v>3.6692007474531274E-2</v>
          </cell>
          <cell r="AD202">
            <v>5.5788903031331549E-2</v>
          </cell>
          <cell r="AE202">
            <v>8.3859388270394519E-2</v>
          </cell>
        </row>
        <row r="203">
          <cell r="D203" t="str">
            <v>USD</v>
          </cell>
          <cell r="N203" t="str">
            <v/>
          </cell>
          <cell r="O203" t="str">
            <v/>
          </cell>
          <cell r="P203">
            <v>2.5262775766737855E-3</v>
          </cell>
          <cell r="Q203" t="str">
            <v/>
          </cell>
          <cell r="R203">
            <v>9.7277592879345676E-3</v>
          </cell>
          <cell r="S203" t="str">
            <v/>
          </cell>
          <cell r="T203">
            <v>3.3139739606582563E-2</v>
          </cell>
          <cell r="U203">
            <v>6.4400425295793151E-2</v>
          </cell>
          <cell r="V203">
            <v>0.11256912099266714</v>
          </cell>
          <cell r="W203" t="str">
            <v/>
          </cell>
          <cell r="X203" t="str">
            <v/>
          </cell>
          <cell r="Y203">
            <v>2.6925093440520742E-3</v>
          </cell>
          <cell r="Z203" t="str">
            <v/>
          </cell>
          <cell r="AA203">
            <v>1.0222771644877615E-2</v>
          </cell>
          <cell r="AB203" t="str">
            <v/>
          </cell>
          <cell r="AC203">
            <v>3.4767421769627105E-2</v>
          </cell>
          <cell r="AD203">
            <v>6.753348021179173E-2</v>
          </cell>
          <cell r="AE203">
            <v>0.11795581501845032</v>
          </cell>
        </row>
        <row r="204">
          <cell r="D204" t="str">
            <v>USD</v>
          </cell>
          <cell r="N204" t="str">
            <v/>
          </cell>
          <cell r="O204" t="str">
            <v/>
          </cell>
          <cell r="P204">
            <v>7.9216678478439384E-2</v>
          </cell>
          <cell r="Q204" t="str">
            <v/>
          </cell>
          <cell r="R204">
            <v>0.18614379248715274</v>
          </cell>
          <cell r="S204" t="str">
            <v/>
          </cell>
          <cell r="T204">
            <v>0.24268135326536222</v>
          </cell>
          <cell r="U204">
            <v>0.29057091910928423</v>
          </cell>
          <cell r="V204">
            <v>0.34430261795283379</v>
          </cell>
          <cell r="W204" t="str">
            <v/>
          </cell>
          <cell r="X204" t="str">
            <v/>
          </cell>
          <cell r="Y204">
            <v>8.3008386087430996E-2</v>
          </cell>
          <cell r="Z204" t="str">
            <v/>
          </cell>
          <cell r="AA204">
            <v>0.19442435550478543</v>
          </cell>
          <cell r="AB204" t="str">
            <v/>
          </cell>
          <cell r="AC204">
            <v>0.25285412404779406</v>
          </cell>
          <cell r="AD204">
            <v>0.30216859457387957</v>
          </cell>
          <cell r="AE204">
            <v>0.3571862726979157</v>
          </cell>
        </row>
        <row r="205">
          <cell r="D205" t="str">
            <v>USD</v>
          </cell>
          <cell r="N205" t="str">
            <v/>
          </cell>
          <cell r="O205" t="str">
            <v/>
          </cell>
          <cell r="P205">
            <v>4.8971478413708525E-3</v>
          </cell>
          <cell r="Q205" t="str">
            <v/>
          </cell>
          <cell r="R205">
            <v>2.7477650347708771E-2</v>
          </cell>
          <cell r="S205" t="str">
            <v/>
          </cell>
          <cell r="T205">
            <v>7.5268157321391804E-2</v>
          </cell>
          <cell r="U205">
            <v>0.12416160405673049</v>
          </cell>
          <cell r="V205">
            <v>0.21062336640269186</v>
          </cell>
          <cell r="W205" t="str">
            <v/>
          </cell>
          <cell r="X205" t="str">
            <v/>
          </cell>
          <cell r="Y205">
            <v>5.1308037250034078E-3</v>
          </cell>
          <cell r="Z205" t="str">
            <v/>
          </cell>
          <cell r="AA205">
            <v>2.8831060677649289E-2</v>
          </cell>
          <cell r="AB205" t="str">
            <v/>
          </cell>
          <cell r="AC205">
            <v>7.8925689099610175E-2</v>
          </cell>
          <cell r="AD205">
            <v>0.13006136874866348</v>
          </cell>
          <cell r="AE205">
            <v>0.22023613586465829</v>
          </cell>
        </row>
        <row r="206">
          <cell r="D206" t="str">
            <v>USD</v>
          </cell>
          <cell r="N206" t="str">
            <v/>
          </cell>
          <cell r="O206" t="str">
            <v/>
          </cell>
          <cell r="P206">
            <v>1.1542457216366375E-2</v>
          </cell>
          <cell r="Q206" t="str">
            <v/>
          </cell>
          <cell r="R206">
            <v>6.0158124541064728E-2</v>
          </cell>
          <cell r="S206" t="str">
            <v/>
          </cell>
          <cell r="T206">
            <v>0.14505175834300454</v>
          </cell>
          <cell r="U206">
            <v>0.21926841352248161</v>
          </cell>
          <cell r="V206">
            <v>0.33588990605960556</v>
          </cell>
          <cell r="W206" t="str">
            <v/>
          </cell>
          <cell r="X206" t="str">
            <v/>
          </cell>
          <cell r="Y206">
            <v>1.2115400479655536E-2</v>
          </cell>
          <cell r="Z206" t="str">
            <v/>
          </cell>
          <cell r="AA206">
            <v>6.3084635771112896E-2</v>
          </cell>
          <cell r="AB206" t="str">
            <v/>
          </cell>
          <cell r="AC206">
            <v>0.15187203079053824</v>
          </cell>
          <cell r="AD206">
            <v>0.22915627358962887</v>
          </cell>
          <cell r="AE206">
            <v>0.3500076483260709</v>
          </cell>
        </row>
        <row r="207">
          <cell r="D207" t="str">
            <v>USD</v>
          </cell>
          <cell r="N207" t="str">
            <v/>
          </cell>
          <cell r="O207" t="str">
            <v/>
          </cell>
          <cell r="P207">
            <v>8.2016944864349295E-4</v>
          </cell>
          <cell r="Q207" t="str">
            <v/>
          </cell>
          <cell r="R207">
            <v>9.7292486480800022E-3</v>
          </cell>
          <cell r="S207" t="str">
            <v/>
          </cell>
          <cell r="T207">
            <v>2.2038519214811703E-2</v>
          </cell>
          <cell r="U207">
            <v>4.1843742709897214E-2</v>
          </cell>
          <cell r="V207">
            <v>7.7238674675388252E-2</v>
          </cell>
          <cell r="W207" t="str">
            <v/>
          </cell>
          <cell r="X207" t="str">
            <v/>
          </cell>
          <cell r="Y207">
            <v>9.8668554366354577E-4</v>
          </cell>
          <cell r="Z207" t="str">
            <v/>
          </cell>
          <cell r="AA207">
            <v>1.0224260260576878E-2</v>
          </cell>
          <cell r="AB207" t="str">
            <v/>
          </cell>
          <cell r="AC207">
            <v>2.3117796914109756E-2</v>
          </cell>
          <cell r="AD207">
            <v>4.3887788756298063E-2</v>
          </cell>
          <cell r="AE207">
            <v>8.0957083031642951E-2</v>
          </cell>
        </row>
        <row r="208">
          <cell r="D208" t="str">
            <v>USD</v>
          </cell>
          <cell r="N208" t="str">
            <v/>
          </cell>
          <cell r="O208" t="str">
            <v/>
          </cell>
          <cell r="P208">
            <v>1.9526802887469552E-3</v>
          </cell>
          <cell r="Q208" t="str">
            <v/>
          </cell>
          <cell r="R208">
            <v>9.9254890985825961E-3</v>
          </cell>
          <cell r="S208" t="str">
            <v/>
          </cell>
          <cell r="T208">
            <v>2.5826099865312924E-2</v>
          </cell>
          <cell r="U208">
            <v>4.8261935739770112E-2</v>
          </cell>
          <cell r="V208">
            <v>8.9433331013118122E-2</v>
          </cell>
          <cell r="W208" t="str">
            <v/>
          </cell>
          <cell r="X208" t="str">
            <v/>
          </cell>
          <cell r="Y208">
            <v>2.1190076477021202E-3</v>
          </cell>
          <cell r="Z208" t="str">
            <v/>
          </cell>
          <cell r="AA208">
            <v>1.0420402615326063E-2</v>
          </cell>
          <cell r="AB208" t="str">
            <v/>
          </cell>
          <cell r="AC208">
            <v>2.7096163867710965E-2</v>
          </cell>
          <cell r="AD208">
            <v>5.0620836627854993E-2</v>
          </cell>
          <cell r="AE208">
            <v>9.3751005902081297E-2</v>
          </cell>
        </row>
        <row r="209">
          <cell r="D209" t="str">
            <v>USD</v>
          </cell>
          <cell r="N209" t="str">
            <v/>
          </cell>
          <cell r="O209" t="str">
            <v/>
          </cell>
          <cell r="P209">
            <v>6.6010447658070182E-2</v>
          </cell>
          <cell r="Q209" t="str">
            <v/>
          </cell>
          <cell r="R209">
            <v>0.18189105398654948</v>
          </cell>
          <cell r="S209" t="str">
            <v/>
          </cell>
          <cell r="T209">
            <v>0.24714076951760733</v>
          </cell>
          <cell r="U209">
            <v>0.30352540610325784</v>
          </cell>
          <cell r="V209">
            <v>0.37821115991793797</v>
          </cell>
          <cell r="W209" t="str">
            <v/>
          </cell>
          <cell r="X209" t="str">
            <v/>
          </cell>
          <cell r="Y209">
            <v>6.919404437411425E-2</v>
          </cell>
          <cell r="Z209" t="str">
            <v/>
          </cell>
          <cell r="AA209">
            <v>0.19006354345283472</v>
          </cell>
          <cell r="AB209" t="str">
            <v/>
          </cell>
          <cell r="AC209">
            <v>0.25756908517846511</v>
          </cell>
          <cell r="AD209">
            <v>0.31565948227771223</v>
          </cell>
          <cell r="AE209">
            <v>0.39223250032281065</v>
          </cell>
        </row>
        <row r="210">
          <cell r="D210" t="str">
            <v>USD</v>
          </cell>
          <cell r="N210" t="str">
            <v/>
          </cell>
          <cell r="O210" t="str">
            <v/>
          </cell>
          <cell r="P210">
            <v>7.4198079234544245E-3</v>
          </cell>
          <cell r="Q210" t="str">
            <v/>
          </cell>
          <cell r="R210">
            <v>3.8405566314867801E-2</v>
          </cell>
          <cell r="S210" t="str">
            <v/>
          </cell>
          <cell r="T210">
            <v>0.10010882655450914</v>
          </cell>
          <cell r="U210">
            <v>0.16189569716225471</v>
          </cell>
          <cell r="V210">
            <v>0.27037798100372168</v>
          </cell>
          <cell r="W210" t="str">
            <v/>
          </cell>
          <cell r="X210" t="str">
            <v/>
          </cell>
          <cell r="Y210">
            <v>7.7733516381675027E-3</v>
          </cell>
          <cell r="Z210" t="str">
            <v/>
          </cell>
          <cell r="AA210">
            <v>4.0284551227686149E-2</v>
          </cell>
          <cell r="AB210" t="str">
            <v/>
          </cell>
          <cell r="AC210">
            <v>0.10492061327354651</v>
          </cell>
          <cell r="AD210">
            <v>0.16944912286219949</v>
          </cell>
          <cell r="AE210">
            <v>0.28233422962996135</v>
          </cell>
        </row>
        <row r="211">
          <cell r="D211" t="str">
            <v>USD</v>
          </cell>
          <cell r="N211" t="str">
            <v/>
          </cell>
          <cell r="O211" t="str">
            <v/>
          </cell>
          <cell r="P211">
            <v>6.2951765008028016E-3</v>
          </cell>
          <cell r="Q211" t="str">
            <v/>
          </cell>
          <cell r="R211">
            <v>3.9721716796188522E-2</v>
          </cell>
          <cell r="S211" t="str">
            <v/>
          </cell>
          <cell r="T211">
            <v>0.10129362832254085</v>
          </cell>
          <cell r="U211">
            <v>0.15639605346099172</v>
          </cell>
          <cell r="V211">
            <v>0.25140151031880942</v>
          </cell>
          <cell r="W211" t="str">
            <v/>
          </cell>
          <cell r="X211" t="str">
            <v/>
          </cell>
          <cell r="Y211">
            <v>6.5953128308493536E-3</v>
          </cell>
          <cell r="Z211" t="str">
            <v/>
          </cell>
          <cell r="AA211">
            <v>4.1663809481011449E-2</v>
          </cell>
          <cell r="AB211" t="str">
            <v/>
          </cell>
          <cell r="AC211">
            <v>0.10616018997800514</v>
          </cell>
          <cell r="AD211">
            <v>0.16369490044881496</v>
          </cell>
          <cell r="AE211">
            <v>0.26256813033120818</v>
          </cell>
        </row>
        <row r="212">
          <cell r="D212" t="str">
            <v>USD</v>
          </cell>
          <cell r="N212" t="str">
            <v/>
          </cell>
          <cell r="O212" t="str">
            <v/>
          </cell>
          <cell r="P212">
            <v>1.1769347925223439E-3</v>
          </cell>
          <cell r="Q212" t="str">
            <v/>
          </cell>
          <cell r="R212">
            <v>5.9462016420491759E-3</v>
          </cell>
          <cell r="S212" t="str">
            <v/>
          </cell>
          <cell r="T212">
            <v>1.6770938002698355E-2</v>
          </cell>
          <cell r="U212">
            <v>3.014855662638205E-2</v>
          </cell>
          <cell r="V212">
            <v>6.4135689821288921E-2</v>
          </cell>
          <cell r="W212" t="str">
            <v/>
          </cell>
          <cell r="X212" t="str">
            <v/>
          </cell>
          <cell r="Y212">
            <v>1.3433914316186568E-3</v>
          </cell>
          <cell r="Z212" t="str">
            <v/>
          </cell>
          <cell r="AA212">
            <v>6.4431043052430859E-3</v>
          </cell>
          <cell r="AB212" t="str">
            <v/>
          </cell>
          <cell r="AC212">
            <v>1.758995425021681E-2</v>
          </cell>
          <cell r="AD212">
            <v>3.1605241478776969E-2</v>
          </cell>
          <cell r="AE212">
            <v>6.7220949837572319E-2</v>
          </cell>
        </row>
        <row r="213">
          <cell r="D213" t="str">
            <v>USD</v>
          </cell>
          <cell r="N213" t="str">
            <v/>
          </cell>
          <cell r="O213" t="str">
            <v/>
          </cell>
          <cell r="P213">
            <v>9.002351168498901E-4</v>
          </cell>
          <cell r="Q213" t="str">
            <v/>
          </cell>
          <cell r="R213">
            <v>5.5711718706833446E-3</v>
          </cell>
          <cell r="S213" t="str">
            <v/>
          </cell>
          <cell r="T213">
            <v>1.6400169643322138E-2</v>
          </cell>
          <cell r="U213">
            <v>2.6646204735497947E-2</v>
          </cell>
          <cell r="V213">
            <v>4.8654774164822223E-2</v>
          </cell>
          <cell r="W213" t="str">
            <v/>
          </cell>
          <cell r="X213" t="str">
            <v/>
          </cell>
          <cell r="Y213">
            <v>1.0667378687243545E-3</v>
          </cell>
          <cell r="Z213" t="str">
            <v/>
          </cell>
          <cell r="AA213">
            <v>6.0682620018508437E-3</v>
          </cell>
          <cell r="AB213" t="str">
            <v/>
          </cell>
          <cell r="AC213">
            <v>1.72194947357307E-2</v>
          </cell>
          <cell r="AD213">
            <v>2.7926201465065414E-2</v>
          </cell>
          <cell r="AE213">
            <v>5.0996976738384547E-2</v>
          </cell>
        </row>
        <row r="214">
          <cell r="D214" t="str">
            <v>USD</v>
          </cell>
          <cell r="N214" t="str">
            <v/>
          </cell>
          <cell r="O214" t="str">
            <v/>
          </cell>
          <cell r="P214">
            <v>9.9595744750413662E-4</v>
          </cell>
          <cell r="Q214" t="str">
            <v/>
          </cell>
          <cell r="R214">
            <v>1.1953810278833799E-2</v>
          </cell>
          <cell r="S214" t="str">
            <v/>
          </cell>
          <cell r="T214">
            <v>3.5604514507080687E-2</v>
          </cell>
          <cell r="U214">
            <v>7.0454044358481016E-2</v>
          </cell>
          <cell r="V214">
            <v>0.12003572900629111</v>
          </cell>
          <cell r="W214" t="str">
            <v/>
          </cell>
          <cell r="X214" t="str">
            <v/>
          </cell>
          <cell r="Y214">
            <v>1.1624442469587715E-3</v>
          </cell>
          <cell r="Z214" t="str">
            <v/>
          </cell>
          <cell r="AA214">
            <v>1.2525229700609208E-2</v>
          </cell>
          <cell r="AB214" t="str">
            <v/>
          </cell>
          <cell r="AC214">
            <v>3.7349360390748432E-2</v>
          </cell>
          <cell r="AD214">
            <v>7.3870534408793098E-2</v>
          </cell>
          <cell r="AE214">
            <v>0.12575660753167006</v>
          </cell>
        </row>
        <row r="215">
          <cell r="D215" t="str">
            <v>USD</v>
          </cell>
          <cell r="N215" t="str">
            <v/>
          </cell>
          <cell r="O215" t="str">
            <v/>
          </cell>
          <cell r="P215">
            <v>2.3629225740556814E-3</v>
          </cell>
          <cell r="Q215" t="str">
            <v/>
          </cell>
          <cell r="R215">
            <v>1.3056248460229902E-2</v>
          </cell>
          <cell r="S215" t="str">
            <v/>
          </cell>
          <cell r="T215">
            <v>3.9666748617545045E-2</v>
          </cell>
          <cell r="U215">
            <v>6.9552775497292108E-2</v>
          </cell>
          <cell r="V215">
            <v>0.14008522197849627</v>
          </cell>
          <cell r="W215" t="str">
            <v/>
          </cell>
          <cell r="X215" t="str">
            <v/>
          </cell>
          <cell r="Y215">
            <v>2.5291815649819416E-3</v>
          </cell>
          <cell r="Z215" t="str">
            <v/>
          </cell>
          <cell r="AA215">
            <v>1.368448485806395E-2</v>
          </cell>
          <cell r="AB215" t="str">
            <v/>
          </cell>
          <cell r="AC215">
            <v>4.1612722766677601E-2</v>
          </cell>
          <cell r="AD215">
            <v>7.2928614727450825E-2</v>
          </cell>
          <cell r="AE215">
            <v>0.14673954619499585</v>
          </cell>
        </row>
        <row r="216">
          <cell r="D216" t="str">
            <v>USD</v>
          </cell>
          <cell r="N216" t="str">
            <v/>
          </cell>
          <cell r="O216" t="str">
            <v/>
          </cell>
          <cell r="P216">
            <v>5.0883575161808636E-2</v>
          </cell>
          <cell r="Q216" t="str">
            <v/>
          </cell>
          <cell r="R216">
            <v>0.13188193306411056</v>
          </cell>
          <cell r="S216" t="str">
            <v/>
          </cell>
          <cell r="T216">
            <v>0.18792113399108057</v>
          </cell>
          <cell r="U216">
            <v>0.21276344173383088</v>
          </cell>
          <cell r="V216">
            <v>0.24329257741924193</v>
          </cell>
          <cell r="W216" t="str">
            <v/>
          </cell>
          <cell r="X216" t="str">
            <v/>
          </cell>
          <cell r="Y216">
            <v>5.3358619801526119E-2</v>
          </cell>
          <cell r="Z216" t="str">
            <v/>
          </cell>
          <cell r="AA216">
            <v>0.13798559803444566</v>
          </cell>
          <cell r="AB216" t="str">
            <v/>
          </cell>
          <cell r="AC216">
            <v>0.19624026553487228</v>
          </cell>
          <cell r="AD216">
            <v>0.22183572726436407</v>
          </cell>
          <cell r="AE216">
            <v>0.25325995370945387</v>
          </cell>
        </row>
        <row r="217">
          <cell r="D217" t="str">
            <v>USD</v>
          </cell>
          <cell r="N217" t="str">
            <v/>
          </cell>
          <cell r="O217" t="str">
            <v/>
          </cell>
          <cell r="P217">
            <v>2.0483025549112854E-3</v>
          </cell>
          <cell r="Q217" t="str">
            <v/>
          </cell>
          <cell r="R217">
            <v>1.0141132236745065E-2</v>
          </cell>
          <cell r="S217" t="str">
            <v/>
          </cell>
          <cell r="T217">
            <v>2.1030803418900068E-2</v>
          </cell>
          <cell r="U217">
            <v>3.8954375271899822E-2</v>
          </cell>
          <cell r="V217">
            <v>7.0192202830046346E-2</v>
          </cell>
          <cell r="W217" t="str">
            <v/>
          </cell>
          <cell r="X217" t="str">
            <v/>
          </cell>
          <cell r="Y217">
            <v>2.2146139781649143E-3</v>
          </cell>
          <cell r="Z217" t="str">
            <v/>
          </cell>
          <cell r="AA217">
            <v>1.0635937958919706E-2</v>
          </cell>
          <cell r="AB217" t="str">
            <v/>
          </cell>
          <cell r="AC217">
            <v>2.2067336293385642E-2</v>
          </cell>
          <cell r="AD217">
            <v>4.0864846220807549E-2</v>
          </cell>
          <cell r="AE217">
            <v>7.3586349706232679E-2</v>
          </cell>
        </row>
        <row r="218">
          <cell r="D218" t="str">
            <v>USD</v>
          </cell>
          <cell r="N218" t="str">
            <v/>
          </cell>
          <cell r="O218" t="str">
            <v/>
          </cell>
          <cell r="P218">
            <v>1.0586071345272119E-3</v>
          </cell>
          <cell r="Q218" t="str">
            <v/>
          </cell>
          <cell r="R218">
            <v>8.7058512324148518E-3</v>
          </cell>
          <cell r="S218" t="str">
            <v/>
          </cell>
          <cell r="T218">
            <v>2.1697449717626771E-2</v>
          </cell>
          <cell r="U218">
            <v>4.1130816791174918E-2</v>
          </cell>
          <cell r="V218">
            <v>7.4021348920084384E-2</v>
          </cell>
          <cell r="W218" t="str">
            <v/>
          </cell>
          <cell r="X218" t="str">
            <v/>
          </cell>
          <cell r="Y218">
            <v>1.2250834932553412E-3</v>
          </cell>
          <cell r="Z218" t="str">
            <v/>
          </cell>
          <cell r="AA218">
            <v>9.2013744157193322E-3</v>
          </cell>
          <cell r="AB218" t="str">
            <v/>
          </cell>
          <cell r="AC218">
            <v>2.2755612926443458E-2</v>
          </cell>
          <cell r="AD218">
            <v>4.3136320508225245E-2</v>
          </cell>
          <cell r="AE218">
            <v>7.7585276101683531E-2</v>
          </cell>
        </row>
        <row r="219">
          <cell r="D219" t="str">
            <v>USD</v>
          </cell>
          <cell r="N219" t="str">
            <v/>
          </cell>
          <cell r="O219" t="str">
            <v/>
          </cell>
          <cell r="P219">
            <v>4.9560879648484768E-3</v>
          </cell>
          <cell r="Q219" t="str">
            <v/>
          </cell>
          <cell r="R219">
            <v>2.0589652166647321E-2</v>
          </cell>
          <cell r="S219" t="str">
            <v/>
          </cell>
          <cell r="T219">
            <v>5.9052538423907452E-2</v>
          </cell>
          <cell r="U219">
            <v>9.8838004457281192E-2</v>
          </cell>
          <cell r="V219">
            <v>0.16773704072803586</v>
          </cell>
          <cell r="W219" t="str">
            <v/>
          </cell>
          <cell r="X219" t="str">
            <v/>
          </cell>
          <cell r="Y219">
            <v>5.1925486340939075E-3</v>
          </cell>
          <cell r="Z219" t="str">
            <v/>
          </cell>
          <cell r="AA219">
            <v>2.1607791596273795E-2</v>
          </cell>
          <cell r="AB219" t="str">
            <v/>
          </cell>
          <cell r="AC219">
            <v>6.1924321696172457E-2</v>
          </cell>
          <cell r="AD219">
            <v>0.10357030434939518</v>
          </cell>
          <cell r="AE219">
            <v>0.17555401410226779</v>
          </cell>
        </row>
        <row r="220">
          <cell r="D220" t="str">
            <v>USD</v>
          </cell>
          <cell r="N220" t="str">
            <v/>
          </cell>
          <cell r="O220" t="str">
            <v/>
          </cell>
          <cell r="P220">
            <v>2.0378714766647876E-3</v>
          </cell>
          <cell r="Q220" t="str">
            <v/>
          </cell>
          <cell r="R220">
            <v>1.1068649349536774E-2</v>
          </cell>
          <cell r="S220" t="str">
            <v/>
          </cell>
          <cell r="T220">
            <v>2.871251736379099E-2</v>
          </cell>
          <cell r="U220">
            <v>4.1914270667368192E-2</v>
          </cell>
          <cell r="V220">
            <v>6.8933153931498348E-2</v>
          </cell>
          <cell r="W220" t="str">
            <v/>
          </cell>
          <cell r="X220" t="str">
            <v/>
          </cell>
          <cell r="Y220">
            <v>2.2041846382765407E-3</v>
          </cell>
          <cell r="Z220" t="str">
            <v/>
          </cell>
          <cell r="AA220">
            <v>1.1602033919749566E-2</v>
          </cell>
          <cell r="AB220" t="str">
            <v/>
          </cell>
          <cell r="AC220">
            <v>3.0125592573910231E-2</v>
          </cell>
          <cell r="AD220">
            <v>4.3966520446166113E-2</v>
          </cell>
          <cell r="AE220">
            <v>7.2261702409335826E-2</v>
          </cell>
        </row>
        <row r="221">
          <cell r="D221" t="str">
            <v>USD</v>
          </cell>
          <cell r="N221" t="str">
            <v/>
          </cell>
          <cell r="O221" t="str">
            <v/>
          </cell>
          <cell r="P221">
            <v>1.4744325777467093E-3</v>
          </cell>
          <cell r="Q221" t="str">
            <v/>
          </cell>
          <cell r="R221">
            <v>1.2306063919504284E-2</v>
          </cell>
          <cell r="S221" t="str">
            <v/>
          </cell>
          <cell r="T221">
            <v>3.2942631565636704E-2</v>
          </cell>
          <cell r="U221">
            <v>6.182605546436748E-2</v>
          </cell>
          <cell r="V221">
            <v>0.12480340155497727</v>
          </cell>
          <cell r="W221" t="str">
            <v/>
          </cell>
          <cell r="X221" t="str">
            <v/>
          </cell>
          <cell r="Y221">
            <v>1.6408396380223067E-3</v>
          </cell>
          <cell r="Z221" t="str">
            <v/>
          </cell>
          <cell r="AA221">
            <v>1.2895787998960739E-2</v>
          </cell>
          <cell r="AB221" t="str">
            <v/>
          </cell>
          <cell r="AC221">
            <v>3.4559814626281327E-2</v>
          </cell>
          <cell r="AD221">
            <v>6.4833452358715071E-2</v>
          </cell>
          <cell r="AE221">
            <v>0.13076565246033733</v>
          </cell>
        </row>
        <row r="222">
          <cell r="D222" t="str">
            <v>USD</v>
          </cell>
          <cell r="N222" t="str">
            <v/>
          </cell>
          <cell r="O222" t="str">
            <v/>
          </cell>
          <cell r="P222">
            <v>1.6831504453922452E-3</v>
          </cell>
          <cell r="Q222" t="str">
            <v/>
          </cell>
          <cell r="R222">
            <v>1.1131283750257626E-2</v>
          </cell>
          <cell r="S222" t="str">
            <v/>
          </cell>
          <cell r="T222">
            <v>2.3987386287448675E-2</v>
          </cell>
          <cell r="U222">
            <v>4.4211407718108608E-2</v>
          </cell>
          <cell r="V222">
            <v>8.0274164263399728E-2</v>
          </cell>
          <cell r="W222" t="str">
            <v/>
          </cell>
          <cell r="X222" t="str">
            <v/>
          </cell>
          <cell r="Y222">
            <v>1.8495227222452559E-3</v>
          </cell>
          <cell r="Z222" t="str">
            <v/>
          </cell>
          <cell r="AA222">
            <v>1.1666364123775974E-2</v>
          </cell>
          <cell r="AB222" t="str">
            <v/>
          </cell>
          <cell r="AC222">
            <v>2.516826004993844E-2</v>
          </cell>
          <cell r="AD222">
            <v>4.6375140127911996E-2</v>
          </cell>
          <cell r="AE222">
            <v>8.4137909211121187E-2</v>
          </cell>
        </row>
        <row r="223">
          <cell r="D223" t="str">
            <v>USD</v>
          </cell>
          <cell r="N223" t="str">
            <v/>
          </cell>
          <cell r="O223" t="str">
            <v/>
          </cell>
          <cell r="P223">
            <v>8.8631111032944077E-4</v>
          </cell>
          <cell r="Q223" t="str">
            <v/>
          </cell>
          <cell r="R223">
            <v>9.3925994829057169E-3</v>
          </cell>
          <cell r="S223" t="str">
            <v/>
          </cell>
          <cell r="T223">
            <v>2.3802192362657904E-2</v>
          </cell>
          <cell r="U223">
            <v>4.1984621114067866E-2</v>
          </cell>
          <cell r="V223">
            <v>7.8170722543425164E-2</v>
          </cell>
          <cell r="W223" t="str">
            <v/>
          </cell>
          <cell r="X223" t="str">
            <v/>
          </cell>
          <cell r="Y223">
            <v>1.0528161826509619E-3</v>
          </cell>
          <cell r="Z223" t="str">
            <v/>
          </cell>
          <cell r="AA223">
            <v>9.8877793779081902E-3</v>
          </cell>
          <cell r="AB223" t="str">
            <v/>
          </cell>
          <cell r="AC223">
            <v>2.4966436685155524E-2</v>
          </cell>
          <cell r="AD223">
            <v>4.4033755195087121E-2</v>
          </cell>
          <cell r="AE223">
            <v>8.1929785898571472E-2</v>
          </cell>
        </row>
        <row r="224">
          <cell r="D224" t="str">
            <v>USD</v>
          </cell>
          <cell r="N224" t="str">
            <v/>
          </cell>
          <cell r="O224" t="str">
            <v/>
          </cell>
          <cell r="P224">
            <v>6.5131444456578702E-4</v>
          </cell>
          <cell r="Q224" t="str">
            <v/>
          </cell>
          <cell r="R224">
            <v>8.7408670960301693E-3</v>
          </cell>
          <cell r="S224" t="str">
            <v/>
          </cell>
          <cell r="T224">
            <v>2.3030040659537288E-2</v>
          </cell>
          <cell r="U224">
            <v>4.6939084477635173E-2</v>
          </cell>
          <cell r="V224">
            <v>8.963693594035782E-2</v>
          </cell>
          <cell r="W224" t="str">
            <v/>
          </cell>
          <cell r="X224" t="str">
            <v/>
          </cell>
          <cell r="Y224">
            <v>8.1785867974115689E-4</v>
          </cell>
          <cell r="Z224" t="str">
            <v/>
          </cell>
          <cell r="AA224">
            <v>9.2363727757418523E-3</v>
          </cell>
          <cell r="AB224" t="str">
            <v/>
          </cell>
          <cell r="AC224">
            <v>2.41521958819233E-2</v>
          </cell>
          <cell r="AD224">
            <v>4.9224256205728234E-2</v>
          </cell>
          <cell r="AE224">
            <v>9.3958989408839844E-2</v>
          </cell>
        </row>
        <row r="225">
          <cell r="D225" t="str">
            <v>USD</v>
          </cell>
          <cell r="N225" t="str">
            <v/>
          </cell>
          <cell r="O225" t="str">
            <v/>
          </cell>
          <cell r="P225">
            <v>1.0829698485161909E-3</v>
          </cell>
          <cell r="Q225" t="str">
            <v/>
          </cell>
          <cell r="R225">
            <v>1.2097385319976728E-2</v>
          </cell>
          <cell r="S225" t="str">
            <v/>
          </cell>
          <cell r="T225">
            <v>2.7821027641382501E-2</v>
          </cell>
          <cell r="U225">
            <v>5.1216070968107652E-2</v>
          </cell>
          <cell r="V225">
            <v>8.9475663546089157E-2</v>
          </cell>
          <cell r="W225" t="str">
            <v/>
          </cell>
          <cell r="X225" t="str">
            <v/>
          </cell>
          <cell r="Y225">
            <v>1.2494421471256345E-3</v>
          </cell>
          <cell r="Z225" t="str">
            <v/>
          </cell>
          <cell r="AA225">
            <v>1.2675879833422887E-2</v>
          </cell>
          <cell r="AB225" t="str">
            <v/>
          </cell>
          <cell r="AC225">
            <v>2.9187377003528026E-2</v>
          </cell>
          <cell r="AD225">
            <v>5.3714636275642214E-2</v>
          </cell>
          <cell r="AE225">
            <v>9.3761761160904511E-2</v>
          </cell>
        </row>
        <row r="226">
          <cell r="D226" t="str">
            <v>USD</v>
          </cell>
          <cell r="N226" t="str">
            <v/>
          </cell>
          <cell r="O226" t="str">
            <v/>
          </cell>
          <cell r="P226">
            <v>1.2604518222725236E-3</v>
          </cell>
          <cell r="Q226" t="str">
            <v/>
          </cell>
          <cell r="R226">
            <v>8.193153691007482E-3</v>
          </cell>
          <cell r="S226" t="str">
            <v/>
          </cell>
          <cell r="T226">
            <v>2.2167062660479075E-2</v>
          </cell>
          <cell r="U226">
            <v>3.5967077361893196E-2</v>
          </cell>
          <cell r="V226">
            <v>7.0653228848735927E-2</v>
          </cell>
          <cell r="W226" t="str">
            <v/>
          </cell>
          <cell r="X226" t="str">
            <v/>
          </cell>
          <cell r="Y226">
            <v>1.4268945430198077E-3</v>
          </cell>
          <cell r="Z226" t="str">
            <v/>
          </cell>
          <cell r="AA226">
            <v>8.6889331589486973E-3</v>
          </cell>
          <cell r="AB226" t="str">
            <v/>
          </cell>
          <cell r="AC226">
            <v>2.3246363350551413E-2</v>
          </cell>
          <cell r="AD226">
            <v>3.7719705020803684E-2</v>
          </cell>
          <cell r="AE226">
            <v>7.4055752904431227E-2</v>
          </cell>
        </row>
        <row r="227">
          <cell r="D227" t="str">
            <v>USD</v>
          </cell>
          <cell r="N227" t="str">
            <v/>
          </cell>
          <cell r="O227" t="str">
            <v/>
          </cell>
          <cell r="P227">
            <v>7.8361561299300497E-4</v>
          </cell>
          <cell r="Q227" t="str">
            <v/>
          </cell>
          <cell r="R227">
            <v>5.974485887130232E-3</v>
          </cell>
          <cell r="S227" t="str">
            <v/>
          </cell>
          <cell r="T227">
            <v>1.7673903397979585E-2</v>
          </cell>
          <cell r="U227">
            <v>3.2629361635032716E-2</v>
          </cell>
          <cell r="V227">
            <v>6.3664099929978013E-2</v>
          </cell>
          <cell r="W227" t="str">
            <v/>
          </cell>
          <cell r="X227" t="str">
            <v/>
          </cell>
          <cell r="Y227">
            <v>9.5013779983943447E-4</v>
          </cell>
          <cell r="Z227" t="str">
            <v/>
          </cell>
          <cell r="AA227">
            <v>6.4713744117087524E-3</v>
          </cell>
          <cell r="AB227" t="str">
            <v/>
          </cell>
          <cell r="AC227">
            <v>1.8503209388774811E-2</v>
          </cell>
          <cell r="AD227">
            <v>3.4209578214508318E-2</v>
          </cell>
          <cell r="AE227">
            <v>6.6729635785537811E-2</v>
          </cell>
        </row>
        <row r="228">
          <cell r="D228" t="str">
            <v>USD</v>
          </cell>
          <cell r="N228" t="str">
            <v/>
          </cell>
          <cell r="O228" t="str">
            <v/>
          </cell>
          <cell r="P228">
            <v>9.2460166473706806E-4</v>
          </cell>
          <cell r="Q228" t="str">
            <v/>
          </cell>
          <cell r="R228">
            <v>8.4718749631914614E-3</v>
          </cell>
          <cell r="S228" t="str">
            <v/>
          </cell>
          <cell r="T228">
            <v>2.3036331995369363E-2</v>
          </cell>
          <cell r="U228">
            <v>4.6314440451993844E-2</v>
          </cell>
          <cell r="V228">
            <v>8.5060246025798314E-2</v>
          </cell>
          <cell r="W228" t="str">
            <v/>
          </cell>
          <cell r="X228" t="str">
            <v/>
          </cell>
          <cell r="Y228">
            <v>1.0911003558539134E-3</v>
          </cell>
          <cell r="Z228" t="str">
            <v/>
          </cell>
          <cell r="AA228">
            <v>8.967515105320234E-3</v>
          </cell>
          <cell r="AB228" t="str">
            <v/>
          </cell>
          <cell r="AC228">
            <v>2.4158424137438295E-2</v>
          </cell>
          <cell r="AD228">
            <v>4.8569140532918831E-2</v>
          </cell>
          <cell r="AE228">
            <v>8.9138193647228969E-2</v>
          </cell>
        </row>
        <row r="229">
          <cell r="D229" t="str">
            <v>USD</v>
          </cell>
          <cell r="N229" t="str">
            <v/>
          </cell>
          <cell r="O229" t="str">
            <v/>
          </cell>
          <cell r="P229">
            <v>2.6861312516496261E-3</v>
          </cell>
          <cell r="Q229" t="str">
            <v/>
          </cell>
          <cell r="R229">
            <v>1.1341171741377054E-2</v>
          </cell>
          <cell r="S229" t="str">
            <v/>
          </cell>
          <cell r="T229">
            <v>2.5610433723943338E-2</v>
          </cell>
          <cell r="U229">
            <v>4.8016114498597107E-2</v>
          </cell>
          <cell r="V229">
            <v>9.131909293414997E-2</v>
          </cell>
          <cell r="W229" t="str">
            <v/>
          </cell>
          <cell r="X229" t="str">
            <v/>
          </cell>
          <cell r="Y229">
            <v>2.8523363789685341E-3</v>
          </cell>
          <cell r="Z229" t="str">
            <v/>
          </cell>
          <cell r="AA229">
            <v>1.1889725153445219E-2</v>
          </cell>
          <cell r="AB229" t="str">
            <v/>
          </cell>
          <cell r="AC229">
            <v>2.687412305040493E-2</v>
          </cell>
          <cell r="AD229">
            <v>5.0366553508266687E-2</v>
          </cell>
          <cell r="AE229">
            <v>9.572996976742798E-2</v>
          </cell>
        </row>
        <row r="230">
          <cell r="D230" t="str">
            <v>USD</v>
          </cell>
          <cell r="N230" t="str">
            <v/>
          </cell>
          <cell r="O230" t="str">
            <v/>
          </cell>
          <cell r="P230">
            <v>1.7196716210956531E-3</v>
          </cell>
          <cell r="Q230" t="str">
            <v/>
          </cell>
          <cell r="R230">
            <v>1.0496905725687622E-2</v>
          </cell>
          <cell r="S230" t="str">
            <v/>
          </cell>
          <cell r="T230">
            <v>2.6213656096558235E-2</v>
          </cell>
          <cell r="U230">
            <v>4.7878165789302596E-2</v>
          </cell>
          <cell r="V230">
            <v>8.6091828915201285E-2</v>
          </cell>
          <cell r="W230" t="str">
            <v/>
          </cell>
          <cell r="X230" t="str">
            <v/>
          </cell>
          <cell r="Y230">
            <v>1.886037811607344E-3</v>
          </cell>
          <cell r="Z230" t="str">
            <v/>
          </cell>
          <cell r="AA230">
            <v>1.1002165389409124E-2</v>
          </cell>
          <cell r="AB230" t="str">
            <v/>
          </cell>
          <cell r="AC230">
            <v>2.7503618217882719E-2</v>
          </cell>
          <cell r="AD230">
            <v>5.0219128051085304E-2</v>
          </cell>
          <cell r="AE230">
            <v>9.0225462347941932E-2</v>
          </cell>
        </row>
        <row r="231">
          <cell r="D231" t="str">
            <v>USD</v>
          </cell>
          <cell r="N231" t="str">
            <v/>
          </cell>
          <cell r="O231" t="str">
            <v/>
          </cell>
          <cell r="P231">
            <v>6.3705433652815113E-2</v>
          </cell>
          <cell r="Q231" t="str">
            <v/>
          </cell>
          <cell r="R231">
            <v>0.17230983101470176</v>
          </cell>
          <cell r="S231" t="str">
            <v/>
          </cell>
          <cell r="T231">
            <v>0.23403986844399138</v>
          </cell>
          <cell r="U231">
            <v>0.28247983044323122</v>
          </cell>
          <cell r="V231">
            <v>0.36016771387077939</v>
          </cell>
          <cell r="W231" t="str">
            <v/>
          </cell>
          <cell r="X231" t="str">
            <v/>
          </cell>
          <cell r="Y231">
            <v>6.6781885321132495E-2</v>
          </cell>
          <cell r="Z231" t="str">
            <v/>
          </cell>
          <cell r="AA231">
            <v>0.18009404196171319</v>
          </cell>
          <cell r="AB231" t="str">
            <v/>
          </cell>
          <cell r="AC231">
            <v>0.24401136527797507</v>
          </cell>
          <cell r="AD231">
            <v>0.29393546062027809</v>
          </cell>
          <cell r="AE231">
            <v>0.37380005785297421</v>
          </cell>
        </row>
        <row r="232">
          <cell r="D232" t="str">
            <v>USD</v>
          </cell>
          <cell r="N232" t="str">
            <v/>
          </cell>
          <cell r="O232" t="str">
            <v/>
          </cell>
          <cell r="P232">
            <v>1.9109513602653116E-3</v>
          </cell>
          <cell r="Q232" t="str">
            <v/>
          </cell>
          <cell r="R232">
            <v>1.1269600169542038E-2</v>
          </cell>
          <cell r="S232" t="str">
            <v/>
          </cell>
          <cell r="T232">
            <v>3.8189783631834784E-2</v>
          </cell>
          <cell r="U232">
            <v>6.8315450067625738E-2</v>
          </cell>
          <cell r="V232">
            <v>0.11905056685569904</v>
          </cell>
          <cell r="W232" t="str">
            <v/>
          </cell>
          <cell r="X232" t="str">
            <v/>
          </cell>
          <cell r="Y232">
            <v>2.0772856734643241E-3</v>
          </cell>
          <cell r="Z232" t="str">
            <v/>
          </cell>
          <cell r="AA232">
            <v>1.1812017137188824E-2</v>
          </cell>
          <cell r="AB232" t="str">
            <v/>
          </cell>
          <cell r="AC232">
            <v>4.0062887889413257E-2</v>
          </cell>
          <cell r="AD232">
            <v>7.1633110267740885E-2</v>
          </cell>
          <cell r="AE232">
            <v>0.12472814452781777</v>
          </cell>
        </row>
        <row r="233">
          <cell r="D233" t="str">
            <v>USD</v>
          </cell>
          <cell r="N233" t="str">
            <v/>
          </cell>
          <cell r="O233" t="str">
            <v/>
          </cell>
          <cell r="P233">
            <v>0.20078879439970199</v>
          </cell>
          <cell r="Q233" t="str">
            <v/>
          </cell>
          <cell r="R233">
            <v>0.35487583743272866</v>
          </cell>
          <cell r="S233" t="str">
            <v/>
          </cell>
          <cell r="T233">
            <v>0.38598095450811531</v>
          </cell>
          <cell r="U233">
            <v>0.45911815153407975</v>
          </cell>
          <cell r="V233">
            <v>0.53929091875340684</v>
          </cell>
          <cell r="W233" t="str">
            <v/>
          </cell>
          <cell r="X233" t="str">
            <v/>
          </cell>
          <cell r="Y233">
            <v>0.20969482186425314</v>
          </cell>
          <cell r="Z233" t="str">
            <v/>
          </cell>
          <cell r="AA233">
            <v>0.36823991182338445</v>
          </cell>
          <cell r="AB233" t="str">
            <v/>
          </cell>
          <cell r="AC233">
            <v>0.39912035104154109</v>
          </cell>
          <cell r="AD233">
            <v>0.47363649353056059</v>
          </cell>
          <cell r="AE233">
            <v>0.55450755319268885</v>
          </cell>
        </row>
        <row r="234">
          <cell r="D234" t="str">
            <v>USD</v>
          </cell>
          <cell r="N234" t="str">
            <v/>
          </cell>
          <cell r="O234" t="str">
            <v/>
          </cell>
          <cell r="P234">
            <v>9.8725579359904003E-4</v>
          </cell>
          <cell r="Q234" t="str">
            <v/>
          </cell>
          <cell r="R234">
            <v>6.4637295889488078E-3</v>
          </cell>
          <cell r="S234" t="str">
            <v/>
          </cell>
          <cell r="T234">
            <v>1.7605685105666291E-2</v>
          </cell>
          <cell r="U234">
            <v>3.3829188649336928E-2</v>
          </cell>
          <cell r="V234">
            <v>6.5293716068102081E-2</v>
          </cell>
          <cell r="W234" t="str">
            <v/>
          </cell>
          <cell r="X234" t="str">
            <v/>
          </cell>
          <cell r="Y234">
            <v>1.1537440432072277E-3</v>
          </cell>
          <cell r="Z234" t="str">
            <v/>
          </cell>
          <cell r="AA234">
            <v>6.9603735528124266E-3</v>
          </cell>
          <cell r="AB234" t="str">
            <v/>
          </cell>
          <cell r="AC234">
            <v>1.8435048688180689E-2</v>
          </cell>
          <cell r="AD234">
            <v>3.5471052798188185E-2</v>
          </cell>
          <cell r="AE234">
            <v>6.8439665447277642E-2</v>
          </cell>
        </row>
        <row r="235">
          <cell r="D235" t="str">
            <v>USD</v>
          </cell>
          <cell r="N235" t="str">
            <v/>
          </cell>
          <cell r="O235" t="str">
            <v/>
          </cell>
          <cell r="P235">
            <v>1.3230850461797283E-3</v>
          </cell>
          <cell r="Q235" t="str">
            <v/>
          </cell>
          <cell r="R235">
            <v>1.069204160540238E-2</v>
          </cell>
          <cell r="S235" t="str">
            <v/>
          </cell>
          <cell r="T235">
            <v>2.3194780259568892E-2</v>
          </cell>
          <cell r="U235">
            <v>4.4078850461690466E-2</v>
          </cell>
          <cell r="V235">
            <v>8.2194048776386031E-2</v>
          </cell>
          <cell r="W235" t="str">
            <v/>
          </cell>
          <cell r="X235" t="str">
            <v/>
          </cell>
          <cell r="Y235">
            <v>1.4895173289440899E-3</v>
          </cell>
          <cell r="Z235" t="str">
            <v/>
          </cell>
          <cell r="AA235">
            <v>1.1205112019712193E-2</v>
          </cell>
          <cell r="AB235" t="str">
            <v/>
          </cell>
          <cell r="AC235">
            <v>2.4335606491082129E-2</v>
          </cell>
          <cell r="AD235">
            <v>4.6235373204148944E-2</v>
          </cell>
          <cell r="AE235">
            <v>8.6147260684383276E-2</v>
          </cell>
        </row>
        <row r="236">
          <cell r="D236" t="str">
            <v>USD</v>
          </cell>
          <cell r="N236" t="str">
            <v/>
          </cell>
          <cell r="O236" t="str">
            <v/>
          </cell>
          <cell r="P236">
            <v>2.0152704360608675E-3</v>
          </cell>
          <cell r="Q236" t="str">
            <v/>
          </cell>
          <cell r="R236">
            <v>1.7016491718667814E-2</v>
          </cell>
          <cell r="S236" t="str">
            <v/>
          </cell>
          <cell r="T236">
            <v>3.9671901811929366E-2</v>
          </cell>
          <cell r="U236">
            <v>7.3505145671454941E-2</v>
          </cell>
          <cell r="V236">
            <v>0.12869113811436617</v>
          </cell>
          <cell r="W236" t="str">
            <v/>
          </cell>
          <cell r="X236" t="str">
            <v/>
          </cell>
          <cell r="Y236">
            <v>2.1815873642121453E-3</v>
          </cell>
          <cell r="Z236" t="str">
            <v/>
          </cell>
          <cell r="AA236">
            <v>1.7854401813319765E-2</v>
          </cell>
          <cell r="AB236" t="str">
            <v/>
          </cell>
          <cell r="AC236">
            <v>4.161384316339567E-2</v>
          </cell>
          <cell r="AD236">
            <v>7.7060626408592792E-2</v>
          </cell>
          <cell r="AE236">
            <v>0.13479881193961973</v>
          </cell>
        </row>
        <row r="237">
          <cell r="D237" t="str">
            <v>USD</v>
          </cell>
          <cell r="N237" t="str">
            <v/>
          </cell>
          <cell r="O237" t="str">
            <v/>
          </cell>
          <cell r="P237">
            <v>1.8483547218300922E-3</v>
          </cell>
          <cell r="Q237" t="str">
            <v/>
          </cell>
          <cell r="R237">
            <v>1.0150743548876129E-2</v>
          </cell>
          <cell r="S237" t="str">
            <v/>
          </cell>
          <cell r="T237">
            <v>2.667075050628398E-2</v>
          </cell>
          <cell r="U237">
            <v>4.5583517779346883E-2</v>
          </cell>
          <cell r="V237">
            <v>9.5589893705675832E-2</v>
          </cell>
          <cell r="W237" t="str">
            <v/>
          </cell>
          <cell r="X237" t="str">
            <v/>
          </cell>
          <cell r="Y237">
            <v>2.0146994669147933E-3</v>
          </cell>
          <cell r="Z237" t="str">
            <v/>
          </cell>
          <cell r="AA237">
            <v>1.0645544466598378E-2</v>
          </cell>
          <cell r="AB237" t="str">
            <v/>
          </cell>
          <cell r="AC237">
            <v>2.7982894729301488E-2</v>
          </cell>
          <cell r="AD237">
            <v>4.7813435178404196E-2</v>
          </cell>
          <cell r="AE237">
            <v>0.10020387532178232</v>
          </cell>
        </row>
        <row r="238">
          <cell r="D238" t="str">
            <v>USD</v>
          </cell>
          <cell r="N238" t="str">
            <v/>
          </cell>
          <cell r="O238" t="str">
            <v/>
          </cell>
          <cell r="P238">
            <v>1.7961878810252019E-3</v>
          </cell>
          <cell r="Q238" t="str">
            <v/>
          </cell>
          <cell r="R238">
            <v>9.3152997035989005E-3</v>
          </cell>
          <cell r="S238" t="str">
            <v/>
          </cell>
          <cell r="T238">
            <v>2.287312778403694E-2</v>
          </cell>
          <cell r="U238">
            <v>4.2571173821221886E-2</v>
          </cell>
          <cell r="V238">
            <v>7.7586149811123883E-2</v>
          </cell>
          <cell r="W238" t="str">
            <v/>
          </cell>
          <cell r="X238" t="str">
            <v/>
          </cell>
          <cell r="Y238">
            <v>1.9625413198929298E-3</v>
          </cell>
          <cell r="Z238" t="str">
            <v/>
          </cell>
          <cell r="AA238">
            <v>9.8105182388066314E-3</v>
          </cell>
          <cell r="AB238" t="str">
            <v/>
          </cell>
          <cell r="AC238">
            <v>2.3994855168960383E-2</v>
          </cell>
          <cell r="AD238">
            <v>4.465191989668793E-2</v>
          </cell>
          <cell r="AE238">
            <v>8.1321712913688837E-2</v>
          </cell>
        </row>
        <row r="239">
          <cell r="D239" t="str">
            <v>USD</v>
          </cell>
          <cell r="N239" t="str">
            <v/>
          </cell>
          <cell r="O239" t="str">
            <v/>
          </cell>
          <cell r="P239">
            <v>1.0481657908470998E-3</v>
          </cell>
          <cell r="Q239" t="str">
            <v/>
          </cell>
          <cell r="R239">
            <v>1.0463796475521758E-2</v>
          </cell>
          <cell r="S239" t="str">
            <v/>
          </cell>
          <cell r="T239">
            <v>2.1509775594588776E-2</v>
          </cell>
          <cell r="U239">
            <v>4.2427047412398111E-2</v>
          </cell>
          <cell r="V239">
            <v>7.8030811850218651E-2</v>
          </cell>
          <cell r="W239" t="str">
            <v/>
          </cell>
          <cell r="X239" t="str">
            <v/>
          </cell>
          <cell r="Y239">
            <v>1.2146438896442069E-3</v>
          </cell>
          <cell r="Z239" t="str">
            <v/>
          </cell>
          <cell r="AA239">
            <v>1.0965116913841833E-2</v>
          </cell>
          <cell r="AB239" t="str">
            <v/>
          </cell>
          <cell r="AC239">
            <v>2.2567014519290995E-2</v>
          </cell>
          <cell r="AD239">
            <v>4.450309391919105E-2</v>
          </cell>
          <cell r="AE239">
            <v>8.1790315816430814E-2</v>
          </cell>
        </row>
        <row r="240">
          <cell r="D240" t="str">
            <v>USD</v>
          </cell>
          <cell r="N240" t="str">
            <v/>
          </cell>
          <cell r="O240" t="str">
            <v/>
          </cell>
          <cell r="P240">
            <v>1.6379319148577265E-3</v>
          </cell>
          <cell r="Q240" t="str">
            <v/>
          </cell>
          <cell r="R240">
            <v>1.0492607495367179E-2</v>
          </cell>
          <cell r="S240" t="str">
            <v/>
          </cell>
          <cell r="T240">
            <v>2.7081218582012512E-2</v>
          </cell>
          <cell r="U240">
            <v>4.9027686654934954E-2</v>
          </cell>
          <cell r="V240">
            <v>8.7648707143187621E-2</v>
          </cell>
          <cell r="W240" t="str">
            <v/>
          </cell>
          <cell r="X240" t="str">
            <v/>
          </cell>
          <cell r="Y240">
            <v>1.8043117274891829E-3</v>
          </cell>
          <cell r="Z240" t="str">
            <v/>
          </cell>
          <cell r="AA240">
            <v>1.0997374852653397E-2</v>
          </cell>
          <cell r="AB240" t="str">
            <v/>
          </cell>
          <cell r="AC240">
            <v>2.8413311460891322E-2</v>
          </cell>
          <cell r="AD240">
            <v>5.1423672665927844E-2</v>
          </cell>
          <cell r="AE240">
            <v>9.1853643933782814E-2</v>
          </cell>
        </row>
        <row r="241">
          <cell r="D241" t="str">
            <v>USD</v>
          </cell>
          <cell r="N241" t="str">
            <v/>
          </cell>
          <cell r="O241" t="str">
            <v/>
          </cell>
          <cell r="P241">
            <v>1.7527134472333783E-3</v>
          </cell>
          <cell r="Q241" t="str">
            <v/>
          </cell>
          <cell r="R241">
            <v>1.259551998773667E-2</v>
          </cell>
          <cell r="S241" t="str">
            <v/>
          </cell>
          <cell r="T241">
            <v>2.3823090776985634E-2</v>
          </cell>
          <cell r="U241">
            <v>4.0694858841227588E-2</v>
          </cell>
          <cell r="V241">
            <v>6.4656841329798542E-2</v>
          </cell>
          <cell r="W241" t="str">
            <v/>
          </cell>
          <cell r="X241" t="str">
            <v/>
          </cell>
          <cell r="Y241">
            <v>1.9190741312296034E-3</v>
          </cell>
          <cell r="Z241" t="str">
            <v/>
          </cell>
          <cell r="AA241">
            <v>1.3199873354073799E-2</v>
          </cell>
          <cell r="AB241" t="str">
            <v/>
          </cell>
          <cell r="AC241">
            <v>2.4996107561538028E-2</v>
          </cell>
          <cell r="AD241">
            <v>4.268777689359482E-2</v>
          </cell>
          <cell r="AE241">
            <v>6.7785471573646561E-2</v>
          </cell>
        </row>
        <row r="242">
          <cell r="D242" t="str">
            <v>USD</v>
          </cell>
          <cell r="N242" t="str">
            <v/>
          </cell>
          <cell r="O242" t="str">
            <v/>
          </cell>
          <cell r="P242">
            <v>3.6152118509024112E-3</v>
          </cell>
          <cell r="Q242" t="str">
            <v/>
          </cell>
          <cell r="R242">
            <v>1.7948696570403655E-2</v>
          </cell>
          <cell r="S242" t="str">
            <v/>
          </cell>
          <cell r="T242">
            <v>4.4137962319723556E-2</v>
          </cell>
          <cell r="U242">
            <v>7.2763924391964996E-2</v>
          </cell>
          <cell r="V242">
            <v>0.1178875560812721</v>
          </cell>
          <cell r="W242" t="str">
            <v/>
          </cell>
          <cell r="X242" t="str">
            <v/>
          </cell>
          <cell r="Y242">
            <v>3.7878205627903672E-3</v>
          </cell>
          <cell r="Z242" t="str">
            <v/>
          </cell>
          <cell r="AA242">
            <v>1.883768154309573E-2</v>
          </cell>
          <cell r="AB242" t="str">
            <v/>
          </cell>
          <cell r="AC242">
            <v>4.6299581724328132E-2</v>
          </cell>
          <cell r="AD242">
            <v>7.6286052249558978E-2</v>
          </cell>
          <cell r="AE242">
            <v>0.12348818216038537</v>
          </cell>
        </row>
        <row r="243">
          <cell r="D243" t="str">
            <v>USD</v>
          </cell>
          <cell r="N243" t="str">
            <v/>
          </cell>
          <cell r="O243" t="str">
            <v/>
          </cell>
          <cell r="P243">
            <v>1.203034608874054E-3</v>
          </cell>
          <cell r="Q243" t="str">
            <v/>
          </cell>
          <cell r="R243">
            <v>1.4942263168856162E-2</v>
          </cell>
          <cell r="S243" t="str">
            <v/>
          </cell>
          <cell r="T243">
            <v>3.6114810198556446E-2</v>
          </cell>
          <cell r="U243">
            <v>6.4062662253452474E-2</v>
          </cell>
          <cell r="V243">
            <v>0.11296476983159598</v>
          </cell>
          <cell r="W243" t="str">
            <v/>
          </cell>
          <cell r="X243" t="str">
            <v/>
          </cell>
          <cell r="Y243">
            <v>1.3694868983674668E-3</v>
          </cell>
          <cell r="Z243" t="str">
            <v/>
          </cell>
          <cell r="AA243">
            <v>1.5675340905263679E-2</v>
          </cell>
          <cell r="AB243" t="str">
            <v/>
          </cell>
          <cell r="AC243">
            <v>3.7882653519485499E-2</v>
          </cell>
          <cell r="AD243">
            <v>6.7170611753491594E-2</v>
          </cell>
          <cell r="AE243">
            <v>0.11835665955451113</v>
          </cell>
        </row>
        <row r="244">
          <cell r="D244" t="str">
            <v>USD</v>
          </cell>
          <cell r="N244" t="str">
            <v/>
          </cell>
          <cell r="O244" t="str">
            <v/>
          </cell>
          <cell r="P244">
            <v>4.3526549618452259E-3</v>
          </cell>
          <cell r="Q244" t="str">
            <v/>
          </cell>
          <cell r="R244">
            <v>3.1772776945687475E-2</v>
          </cell>
          <cell r="S244" t="str">
            <v/>
          </cell>
          <cell r="T244">
            <v>7.0407553306513493E-2</v>
          </cell>
          <cell r="U244">
            <v>0.11669181150169006</v>
          </cell>
          <cell r="V244">
            <v>0.20181151970558342</v>
          </cell>
          <cell r="W244" t="str">
            <v/>
          </cell>
          <cell r="X244" t="str">
            <v/>
          </cell>
          <cell r="Y244">
            <v>4.5603916998854244E-3</v>
          </cell>
          <cell r="Z244" t="str">
            <v/>
          </cell>
          <cell r="AA244">
            <v>3.3333921766823149E-2</v>
          </cell>
          <cell r="AB244" t="str">
            <v/>
          </cell>
          <cell r="AC244">
            <v>7.3809706233309624E-2</v>
          </cell>
          <cell r="AD244">
            <v>0.12224674944997227</v>
          </cell>
          <cell r="AE244">
            <v>0.21105992351537073</v>
          </cell>
        </row>
        <row r="245">
          <cell r="D245" t="str">
            <v>USD</v>
          </cell>
          <cell r="N245" t="str">
            <v/>
          </cell>
          <cell r="O245" t="str">
            <v/>
          </cell>
          <cell r="P245">
            <v>5.4413457335917848E-3</v>
          </cell>
          <cell r="Q245" t="str">
            <v/>
          </cell>
          <cell r="R245">
            <v>3.6105321830091075E-2</v>
          </cell>
          <cell r="S245" t="str">
            <v/>
          </cell>
          <cell r="T245">
            <v>9.7470028596337022E-2</v>
          </cell>
          <cell r="U245">
            <v>0.15441414471634862</v>
          </cell>
          <cell r="V245">
            <v>0.24747232853017287</v>
          </cell>
          <cell r="W245" t="str">
            <v/>
          </cell>
          <cell r="X245" t="str">
            <v/>
          </cell>
          <cell r="Y245">
            <v>5.7008916701415391E-3</v>
          </cell>
          <cell r="Z245" t="str">
            <v/>
          </cell>
          <cell r="AA245">
            <v>3.7874604082240637E-2</v>
          </cell>
          <cell r="AB245" t="str">
            <v/>
          </cell>
          <cell r="AC245">
            <v>0.10216543054060478</v>
          </cell>
          <cell r="AD245">
            <v>0.16164257412813343</v>
          </cell>
          <cell r="AE245">
            <v>0.25850313431873706</v>
          </cell>
        </row>
        <row r="246">
          <cell r="D246" t="str">
            <v>USD</v>
          </cell>
          <cell r="N246" t="str">
            <v/>
          </cell>
          <cell r="O246" t="str">
            <v/>
          </cell>
          <cell r="P246">
            <v>1.112552351217988E-3</v>
          </cell>
          <cell r="Q246" t="str">
            <v/>
          </cell>
          <cell r="R246">
            <v>7.4567292917206984E-3</v>
          </cell>
          <cell r="S246" t="str">
            <v/>
          </cell>
          <cell r="T246">
            <v>2.2258376719602402E-2</v>
          </cell>
          <cell r="U246">
            <v>4.0789662154852246E-2</v>
          </cell>
          <cell r="V246">
            <v>7.6725402498749373E-2</v>
          </cell>
          <cell r="W246" t="str">
            <v/>
          </cell>
          <cell r="X246" t="str">
            <v/>
          </cell>
          <cell r="Y246">
            <v>1.2790197198424558E-3</v>
          </cell>
          <cell r="Z246" t="str">
            <v/>
          </cell>
          <cell r="AA246">
            <v>7.9528768798032834E-3</v>
          </cell>
          <cell r="AB246" t="str">
            <v/>
          </cell>
          <cell r="AC246">
            <v>2.3337781387756773E-2</v>
          </cell>
          <cell r="AD246">
            <v>4.2772719911814083E-2</v>
          </cell>
          <cell r="AE246">
            <v>8.0409989805390047E-2</v>
          </cell>
        </row>
        <row r="247">
          <cell r="D247" t="str">
            <v>USD</v>
          </cell>
          <cell r="N247" t="str">
            <v/>
          </cell>
          <cell r="O247" t="str">
            <v/>
          </cell>
          <cell r="P247">
            <v>1.0620875583301492E-3</v>
          </cell>
          <cell r="Q247" t="str">
            <v/>
          </cell>
          <cell r="R247">
            <v>1.1959214879353475E-2</v>
          </cell>
          <cell r="S247" t="str">
            <v/>
          </cell>
          <cell r="T247">
            <v>2.3079714171175825E-2</v>
          </cell>
          <cell r="U247">
            <v>4.3331166388317799E-2</v>
          </cell>
          <cell r="V247">
            <v>8.4988194299987718E-2</v>
          </cell>
          <cell r="W247" t="str">
            <v/>
          </cell>
          <cell r="X247" t="str">
            <v/>
          </cell>
          <cell r="Y247">
            <v>1.2285633370533455E-3</v>
          </cell>
          <cell r="Z247" t="str">
            <v/>
          </cell>
          <cell r="AA247">
            <v>1.2531124909979541E-2</v>
          </cell>
          <cell r="AB247" t="str">
            <v/>
          </cell>
          <cell r="AC247">
            <v>2.421400148930708E-2</v>
          </cell>
          <cell r="AD247">
            <v>4.5450056432038366E-2</v>
          </cell>
          <cell r="AE247">
            <v>8.9098933449573203E-2</v>
          </cell>
        </row>
        <row r="248">
          <cell r="D248" t="str">
            <v>USD</v>
          </cell>
          <cell r="N248" t="str">
            <v/>
          </cell>
          <cell r="O248" t="str">
            <v/>
          </cell>
          <cell r="P248">
            <v>4.143682557061934E-2</v>
          </cell>
          <cell r="Q248" t="str">
            <v/>
          </cell>
          <cell r="R248">
            <v>0.11572777208412199</v>
          </cell>
          <cell r="S248" t="str">
            <v/>
          </cell>
          <cell r="T248">
            <v>0.16647978982436162</v>
          </cell>
          <cell r="U248">
            <v>0.21499508689583247</v>
          </cell>
          <cell r="V248">
            <v>0.27865749482157376</v>
          </cell>
          <cell r="W248" t="str">
            <v/>
          </cell>
          <cell r="X248" t="str">
            <v/>
          </cell>
          <cell r="Y248">
            <v>4.3449765714579258E-2</v>
          </cell>
          <cell r="Z248" t="str">
            <v/>
          </cell>
          <cell r="AA248">
            <v>0.12114970319933915</v>
          </cell>
          <cell r="AB248" t="str">
            <v/>
          </cell>
          <cell r="AC248">
            <v>0.17397792121717615</v>
          </cell>
          <cell r="AD248">
            <v>0.2243364061311689</v>
          </cell>
          <cell r="AE248">
            <v>0.2901514089301942</v>
          </cell>
        </row>
        <row r="249">
          <cell r="D249" t="str">
            <v>USD</v>
          </cell>
          <cell r="N249" t="str">
            <v/>
          </cell>
          <cell r="O249" t="str">
            <v/>
          </cell>
          <cell r="P249">
            <v>2.7243533659855323E-3</v>
          </cell>
          <cell r="Q249" t="str">
            <v/>
          </cell>
          <cell r="R249">
            <v>1.2015844733272218E-2</v>
          </cell>
          <cell r="S249" t="str">
            <v/>
          </cell>
          <cell r="T249">
            <v>2.3365695280031296E-2</v>
          </cell>
          <cell r="U249">
            <v>4.2843753866060319E-2</v>
          </cell>
          <cell r="V249">
            <v>7.3748772426812548E-2</v>
          </cell>
          <cell r="W249" t="str">
            <v/>
          </cell>
          <cell r="X249" t="str">
            <v/>
          </cell>
          <cell r="Y249">
            <v>2.8905521234636744E-3</v>
          </cell>
          <cell r="Z249" t="str">
            <v/>
          </cell>
          <cell r="AA249">
            <v>1.2596361804383838E-2</v>
          </cell>
          <cell r="AB249" t="str">
            <v/>
          </cell>
          <cell r="AC249">
            <v>2.4519578354023408E-2</v>
          </cell>
          <cell r="AD249">
            <v>4.4944383054942083E-2</v>
          </cell>
          <cell r="AE249">
            <v>7.7310046182019643E-2</v>
          </cell>
        </row>
        <row r="250">
          <cell r="D250" t="str">
            <v>USD</v>
          </cell>
          <cell r="N250" t="str">
            <v/>
          </cell>
          <cell r="O250" t="str">
            <v/>
          </cell>
          <cell r="P250">
            <v>1.2152142915468067E-3</v>
          </cell>
          <cell r="Q250" t="str">
            <v/>
          </cell>
          <cell r="R250">
            <v>8.3883834797301438E-3</v>
          </cell>
          <cell r="S250" t="str">
            <v/>
          </cell>
          <cell r="T250">
            <v>2.3021199403802539E-2</v>
          </cell>
          <cell r="U250">
            <v>4.4628987167698808E-2</v>
          </cell>
          <cell r="V250">
            <v>8.6069364778022961E-2</v>
          </cell>
          <cell r="W250" t="str">
            <v/>
          </cell>
          <cell r="X250" t="str">
            <v/>
          </cell>
          <cell r="Y250">
            <v>1.3816645512390036E-3</v>
          </cell>
          <cell r="Z250" t="str">
            <v/>
          </cell>
          <cell r="AA250">
            <v>8.8840653571865547E-3</v>
          </cell>
          <cell r="AB250" t="str">
            <v/>
          </cell>
          <cell r="AC250">
            <v>2.4143205558857961E-2</v>
          </cell>
          <cell r="AD250">
            <v>4.6802827248623058E-2</v>
          </cell>
          <cell r="AE250">
            <v>9.0223682451361698E-2</v>
          </cell>
        </row>
        <row r="251">
          <cell r="D251" t="str">
            <v>USD</v>
          </cell>
          <cell r="N251" t="str">
            <v/>
          </cell>
          <cell r="O251" t="str">
            <v/>
          </cell>
          <cell r="P251">
            <v>3.3530723222413572E-3</v>
          </cell>
          <cell r="Q251" t="str">
            <v/>
          </cell>
          <cell r="R251">
            <v>2.4013227584184449E-2</v>
          </cell>
          <cell r="S251" t="str">
            <v/>
          </cell>
          <cell r="T251">
            <v>5.7087137027170276E-2</v>
          </cell>
          <cell r="U251">
            <v>9.9695622139966966E-2</v>
          </cell>
          <cell r="V251">
            <v>0.16574710109698243</v>
          </cell>
          <cell r="W251" t="str">
            <v/>
          </cell>
          <cell r="X251" t="str">
            <v/>
          </cell>
          <cell r="Y251">
            <v>3.5191663019898956E-3</v>
          </cell>
          <cell r="Z251" t="str">
            <v/>
          </cell>
          <cell r="AA251">
            <v>2.5198043700001338E-2</v>
          </cell>
          <cell r="AB251" t="str">
            <v/>
          </cell>
          <cell r="AC251">
            <v>5.9865048714901947E-2</v>
          </cell>
          <cell r="AD251">
            <v>0.10446403667024151</v>
          </cell>
          <cell r="AE251">
            <v>0.17347051203456576</v>
          </cell>
        </row>
        <row r="252">
          <cell r="D252" t="str">
            <v>USD</v>
          </cell>
          <cell r="N252" t="str">
            <v/>
          </cell>
          <cell r="O252" t="str">
            <v/>
          </cell>
          <cell r="P252">
            <v>1.0481657908470998E-3</v>
          </cell>
          <cell r="Q252" t="str">
            <v/>
          </cell>
          <cell r="R252">
            <v>1.4830089090980159E-2</v>
          </cell>
          <cell r="S252" t="str">
            <v/>
          </cell>
          <cell r="T252">
            <v>3.2697499658286056E-2</v>
          </cell>
          <cell r="U252">
            <v>5.5445238693095811E-2</v>
          </cell>
          <cell r="V252">
            <v>9.7250824148170767E-2</v>
          </cell>
          <cell r="W252" t="str">
            <v/>
          </cell>
          <cell r="X252" t="str">
            <v/>
          </cell>
          <cell r="Y252">
            <v>1.2146438896442069E-3</v>
          </cell>
          <cell r="Z252" t="str">
            <v/>
          </cell>
          <cell r="AA252">
            <v>1.5557086892530103E-2</v>
          </cell>
          <cell r="AB252" t="str">
            <v/>
          </cell>
          <cell r="AC252">
            <v>3.4298972517262216E-2</v>
          </cell>
          <cell r="AD252">
            <v>5.8141636280326314E-2</v>
          </cell>
          <cell r="AE252">
            <v>0.10191633958223945</v>
          </cell>
        </row>
        <row r="253">
          <cell r="D253" t="str">
            <v>USD</v>
          </cell>
          <cell r="N253" t="str">
            <v/>
          </cell>
          <cell r="O253" t="str">
            <v/>
          </cell>
          <cell r="P253">
            <v>6.5131444456578702E-4</v>
          </cell>
          <cell r="Q253" t="str">
            <v/>
          </cell>
          <cell r="R253">
            <v>6.4879687917723805E-3</v>
          </cell>
          <cell r="S253" t="str">
            <v/>
          </cell>
          <cell r="T253">
            <v>1.675652435193753E-2</v>
          </cell>
          <cell r="U253">
            <v>3.7154004213593494E-2</v>
          </cell>
          <cell r="V253">
            <v>6.1105722860879785E-2</v>
          </cell>
          <cell r="W253" t="str">
            <v/>
          </cell>
          <cell r="X253" t="str">
            <v/>
          </cell>
          <cell r="Y253">
            <v>8.1785867974115689E-4</v>
          </cell>
          <cell r="Z253" t="str">
            <v/>
          </cell>
          <cell r="AA253">
            <v>6.9846006390484883E-3</v>
          </cell>
          <cell r="AB253" t="str">
            <v/>
          </cell>
          <cell r="AC253">
            <v>1.7575552605826106E-2</v>
          </cell>
          <cell r="AD253">
            <v>3.8952969469226995E-2</v>
          </cell>
          <cell r="AE253">
            <v>6.4049110936439835E-2</v>
          </cell>
        </row>
        <row r="254">
          <cell r="D254" t="str">
            <v>USD</v>
          </cell>
          <cell r="N254" t="str">
            <v/>
          </cell>
          <cell r="O254" t="str">
            <v/>
          </cell>
          <cell r="P254">
            <v>1.8900862468907986E-3</v>
          </cell>
          <cell r="Q254" t="str">
            <v/>
          </cell>
          <cell r="R254">
            <v>6.6477611369843981E-3</v>
          </cell>
          <cell r="S254" t="str">
            <v/>
          </cell>
          <cell r="T254">
            <v>1.8809105975434504E-2</v>
          </cell>
          <cell r="U254">
            <v>3.5498292539145493E-2</v>
          </cell>
          <cell r="V254">
            <v>5.9032738935987261E-2</v>
          </cell>
          <cell r="W254" t="str">
            <v/>
          </cell>
          <cell r="X254" t="str">
            <v/>
          </cell>
          <cell r="Y254">
            <v>2.0564240372989984E-3</v>
          </cell>
          <cell r="Z254" t="str">
            <v/>
          </cell>
          <cell r="AA254">
            <v>7.14431310805963E-3</v>
          </cell>
          <cell r="AB254" t="str">
            <v/>
          </cell>
          <cell r="AC254">
            <v>1.9717976114162594E-2</v>
          </cell>
          <cell r="AD254">
            <v>3.7223665318544374E-2</v>
          </cell>
          <cell r="AE254">
            <v>6.1883009898745955E-2</v>
          </cell>
        </row>
        <row r="255">
          <cell r="D255" t="str">
            <v>USD</v>
          </cell>
          <cell r="N255" t="str">
            <v/>
          </cell>
          <cell r="O255" t="str">
            <v/>
          </cell>
          <cell r="P255">
            <v>1.2099944455987721E-3</v>
          </cell>
          <cell r="Q255" t="str">
            <v/>
          </cell>
          <cell r="R255">
            <v>7.9478145394911159E-3</v>
          </cell>
          <cell r="S255" t="str">
            <v/>
          </cell>
          <cell r="T255">
            <v>2.0031102743440332E-2</v>
          </cell>
          <cell r="U255">
            <v>3.9087060093143999E-2</v>
          </cell>
          <cell r="V255">
            <v>8.0028202413173877E-2</v>
          </cell>
          <cell r="W255" t="str">
            <v/>
          </cell>
          <cell r="X255" t="str">
            <v/>
          </cell>
          <cell r="Y255">
            <v>1.3764455752087734E-3</v>
          </cell>
          <cell r="Z255" t="str">
            <v/>
          </cell>
          <cell r="AA255">
            <v>8.4437166463575686E-3</v>
          </cell>
          <cell r="AB255" t="str">
            <v/>
          </cell>
          <cell r="AC255">
            <v>2.100413688258207E-2</v>
          </cell>
          <cell r="AD255">
            <v>4.099055430019416E-2</v>
          </cell>
          <cell r="AE255">
            <v>8.3899425720779131E-2</v>
          </cell>
        </row>
        <row r="256">
          <cell r="D256" t="str">
            <v>USD</v>
          </cell>
          <cell r="N256" t="str">
            <v/>
          </cell>
          <cell r="O256" t="str">
            <v/>
          </cell>
          <cell r="P256">
            <v>3.5737004768623848E-2</v>
          </cell>
          <cell r="Q256" t="str">
            <v/>
          </cell>
          <cell r="R256">
            <v>9.2153130352152779E-2</v>
          </cell>
          <cell r="S256" t="str">
            <v/>
          </cell>
          <cell r="T256">
            <v>0.1232664209877139</v>
          </cell>
          <cell r="U256">
            <v>0.161666920014372</v>
          </cell>
          <cell r="V256">
            <v>0.20808698150809002</v>
          </cell>
          <cell r="W256" t="str">
            <v/>
          </cell>
          <cell r="X256" t="str">
            <v/>
          </cell>
          <cell r="Y256">
            <v>3.7480760981361549E-2</v>
          </cell>
          <cell r="Z256" t="str">
            <v/>
          </cell>
          <cell r="AA256">
            <v>9.6523906593006914E-2</v>
          </cell>
          <cell r="AB256" t="str">
            <v/>
          </cell>
          <cell r="AC256">
            <v>0.12893769714950221</v>
          </cell>
          <cell r="AD256">
            <v>0.16894490724548061</v>
          </cell>
          <cell r="AE256">
            <v>0.2171230416822475</v>
          </cell>
        </row>
        <row r="257">
          <cell r="D257" t="str">
            <v>USD</v>
          </cell>
          <cell r="N257" t="str">
            <v/>
          </cell>
          <cell r="O257" t="str">
            <v/>
          </cell>
          <cell r="P257">
            <v>2.3351148245822628E-3</v>
          </cell>
          <cell r="Q257" t="str">
            <v/>
          </cell>
          <cell r="R257">
            <v>1.2991153641574993E-2</v>
          </cell>
          <cell r="S257" t="str">
            <v/>
          </cell>
          <cell r="T257">
            <v>2.8475817968110051E-2</v>
          </cell>
          <cell r="U257">
            <v>4.0577434092570308E-2</v>
          </cell>
          <cell r="V257">
            <v>5.8965233929088701E-2</v>
          </cell>
          <cell r="W257" t="str">
            <v/>
          </cell>
          <cell r="X257" t="str">
            <v/>
          </cell>
          <cell r="Y257">
            <v>2.5013784497766034E-3</v>
          </cell>
          <cell r="Z257" t="str">
            <v/>
          </cell>
          <cell r="AA257">
            <v>1.361622573326926E-2</v>
          </cell>
          <cell r="AB257" t="str">
            <v/>
          </cell>
          <cell r="AC257">
            <v>2.987827833599066E-2</v>
          </cell>
          <cell r="AD257">
            <v>4.2564985114995846E-2</v>
          </cell>
          <cell r="AE257">
            <v>6.1821791590287778E-2</v>
          </cell>
        </row>
        <row r="258">
          <cell r="D258" t="str">
            <v>USD</v>
          </cell>
          <cell r="N258" t="str">
            <v/>
          </cell>
          <cell r="O258" t="str">
            <v/>
          </cell>
          <cell r="P258">
            <v>4.9456870178985479E-3</v>
          </cell>
          <cell r="Q258" t="str">
            <v/>
          </cell>
          <cell r="R258">
            <v>2.2325657964697543E-2</v>
          </cell>
          <cell r="S258" t="str">
            <v/>
          </cell>
          <cell r="T258">
            <v>6.0539965011224273E-2</v>
          </cell>
          <cell r="U258">
            <v>0.10111383297728826</v>
          </cell>
          <cell r="V258">
            <v>0.17123825323779607</v>
          </cell>
          <cell r="W258" t="str">
            <v/>
          </cell>
          <cell r="X258" t="str">
            <v/>
          </cell>
          <cell r="Y258">
            <v>5.1816527497575704E-3</v>
          </cell>
          <cell r="Z258" t="str">
            <v/>
          </cell>
          <cell r="AA258">
            <v>2.3428553006568431E-2</v>
          </cell>
          <cell r="AB258" t="str">
            <v/>
          </cell>
          <cell r="AC258">
            <v>6.3481483981889575E-2</v>
          </cell>
          <cell r="AD258">
            <v>0.10594786228135677</v>
          </cell>
          <cell r="AE258">
            <v>0.17920223390292656</v>
          </cell>
        </row>
        <row r="259">
          <cell r="D259" t="str">
            <v>USD</v>
          </cell>
          <cell r="N259" t="str">
            <v/>
          </cell>
          <cell r="O259" t="str">
            <v/>
          </cell>
          <cell r="P259">
            <v>2.0517795569404695E-3</v>
          </cell>
          <cell r="Q259" t="str">
            <v/>
          </cell>
          <cell r="R259">
            <v>1.3110720763673589E-2</v>
          </cell>
          <cell r="S259" t="str">
            <v/>
          </cell>
          <cell r="T259">
            <v>3.9687977415613029E-2</v>
          </cell>
          <cell r="U259">
            <v>6.8145816198330267E-2</v>
          </cell>
          <cell r="V259">
            <v>0.11286053657585082</v>
          </cell>
          <cell r="W259" t="str">
            <v/>
          </cell>
          <cell r="X259" t="str">
            <v/>
          </cell>
          <cell r="Y259">
            <v>2.2180904007174096E-3</v>
          </cell>
          <cell r="Z259" t="str">
            <v/>
          </cell>
          <cell r="AA259">
            <v>1.3740401877812447E-2</v>
          </cell>
          <cell r="AB259" t="str">
            <v/>
          </cell>
          <cell r="AC259">
            <v>4.1633948907216056E-2</v>
          </cell>
          <cell r="AD259">
            <v>7.1453703819798209E-2</v>
          </cell>
          <cell r="AE259">
            <v>0.11824389445261552</v>
          </cell>
        </row>
        <row r="260">
          <cell r="D260" t="str">
            <v>USD</v>
          </cell>
          <cell r="N260" t="str">
            <v/>
          </cell>
          <cell r="O260" t="str">
            <v/>
          </cell>
          <cell r="P260">
            <v>1.0046590261097998E-3</v>
          </cell>
          <cell r="Q260" t="str">
            <v/>
          </cell>
          <cell r="R260">
            <v>5.9170258498700834E-3</v>
          </cell>
          <cell r="S260" t="str">
            <v/>
          </cell>
          <cell r="T260">
            <v>1.7220513189955544E-2</v>
          </cell>
          <cell r="U260">
            <v>3.1637072038113279E-2</v>
          </cell>
          <cell r="V260">
            <v>5.9647563736833997E-2</v>
          </cell>
          <cell r="W260" t="str">
            <v/>
          </cell>
          <cell r="X260" t="str">
            <v/>
          </cell>
          <cell r="Y260">
            <v>1.1711443754235384E-3</v>
          </cell>
          <cell r="Z260" t="str">
            <v/>
          </cell>
          <cell r="AA260">
            <v>6.4139430973210176E-3</v>
          </cell>
          <cell r="AB260" t="str">
            <v/>
          </cell>
          <cell r="AC260">
            <v>1.8039154947515512E-2</v>
          </cell>
          <cell r="AD260">
            <v>3.3168158864546715E-2</v>
          </cell>
          <cell r="AE260">
            <v>6.252188821928395E-2</v>
          </cell>
        </row>
        <row r="261">
          <cell r="D261" t="str">
            <v>USD</v>
          </cell>
          <cell r="N261" t="str">
            <v/>
          </cell>
          <cell r="O261" t="str">
            <v/>
          </cell>
          <cell r="P261">
            <v>4.4324398858736069E-3</v>
          </cell>
          <cell r="Q261" t="str">
            <v/>
          </cell>
          <cell r="R261">
            <v>1.9654610719653909E-2</v>
          </cell>
          <cell r="S261" t="str">
            <v/>
          </cell>
          <cell r="T261">
            <v>4.2155518817052151E-2</v>
          </cell>
          <cell r="U261">
            <v>6.5616755678902794E-2</v>
          </cell>
          <cell r="V261">
            <v>0.10652739475932282</v>
          </cell>
          <cell r="W261" t="str">
            <v/>
          </cell>
          <cell r="X261" t="str">
            <v/>
          </cell>
          <cell r="Y261">
            <v>4.6439755159600749E-3</v>
          </cell>
          <cell r="Z261" t="str">
            <v/>
          </cell>
          <cell r="AA261">
            <v>2.0627080720485136E-2</v>
          </cell>
          <cell r="AB261" t="str">
            <v/>
          </cell>
          <cell r="AC261">
            <v>4.4220515244822289E-2</v>
          </cell>
          <cell r="AD261">
            <v>6.879783924562155E-2</v>
          </cell>
          <cell r="AE261">
            <v>0.11160572954652437</v>
          </cell>
        </row>
        <row r="262">
          <cell r="D262" t="str">
            <v>USD</v>
          </cell>
          <cell r="N262" t="str">
            <v/>
          </cell>
          <cell r="O262" t="str">
            <v/>
          </cell>
          <cell r="P262">
            <v>4.2907963039173436E-2</v>
          </cell>
          <cell r="Q262" t="str">
            <v/>
          </cell>
          <cell r="R262">
            <v>0.11966122072014296</v>
          </cell>
          <cell r="S262" t="str">
            <v/>
          </cell>
          <cell r="T262">
            <v>0.17192730175758208</v>
          </cell>
          <cell r="U262">
            <v>0.22177373541730627</v>
          </cell>
          <cell r="V262">
            <v>0.28702115262479821</v>
          </cell>
          <cell r="W262" t="str">
            <v/>
          </cell>
          <cell r="X262" t="str">
            <v/>
          </cell>
          <cell r="Y262">
            <v>4.4989935837374873E-2</v>
          </cell>
          <cell r="Z262" t="str">
            <v/>
          </cell>
          <cell r="AA262">
            <v>0.12525415946705454</v>
          </cell>
          <cell r="AB262" t="str">
            <v/>
          </cell>
          <cell r="AC262">
            <v>0.17964114581480262</v>
          </cell>
          <cell r="AD262">
            <v>0.23135986486717053</v>
          </cell>
          <cell r="AE262">
            <v>0.29877603176151968</v>
          </cell>
        </row>
        <row r="263">
          <cell r="D263" t="str">
            <v>USD</v>
          </cell>
          <cell r="N263" t="str">
            <v/>
          </cell>
          <cell r="O263" t="str">
            <v/>
          </cell>
          <cell r="P263">
            <v>7.6878032297238441E-3</v>
          </cell>
          <cell r="Q263" t="str">
            <v/>
          </cell>
          <cell r="R263">
            <v>3.9775840101949678E-2</v>
          </cell>
          <cell r="S263" t="str">
            <v/>
          </cell>
          <cell r="T263">
            <v>0.10359662085942267</v>
          </cell>
          <cell r="U263">
            <v>0.16737765818506556</v>
          </cell>
          <cell r="V263">
            <v>0.27906436054773065</v>
          </cell>
          <cell r="W263" t="str">
            <v/>
          </cell>
          <cell r="X263" t="str">
            <v/>
          </cell>
          <cell r="Y263">
            <v>8.0540642058828382E-3</v>
          </cell>
          <cell r="Z263" t="str">
            <v/>
          </cell>
          <cell r="AA263">
            <v>4.1720198012267784E-2</v>
          </cell>
          <cell r="AB263" t="str">
            <v/>
          </cell>
          <cell r="AC263">
            <v>0.10856883047373611</v>
          </cell>
          <cell r="AD263">
            <v>0.17516688251439805</v>
          </cell>
          <cell r="AE263">
            <v>0.29134795141073033</v>
          </cell>
        </row>
        <row r="264">
          <cell r="D264" t="str">
            <v>EUR</v>
          </cell>
          <cell r="N264" t="str">
            <v/>
          </cell>
          <cell r="O264">
            <v>2.0003388636156139E-3</v>
          </cell>
          <cell r="P264">
            <v>5.0557493205841686E-3</v>
          </cell>
          <cell r="Q264">
            <v>1.6478282126811572E-2</v>
          </cell>
          <cell r="R264">
            <v>3.5382407368177549E-2</v>
          </cell>
          <cell r="S264">
            <v>6.6268746393113309E-2</v>
          </cell>
          <cell r="T264">
            <v>0.10175851452983742</v>
          </cell>
          <cell r="U264">
            <v>0.17503141435887093</v>
          </cell>
          <cell r="V264">
            <v>0.27503174799680108</v>
          </cell>
          <cell r="W264" t="str">
            <v/>
          </cell>
          <cell r="X264">
            <v>2.0918179730214925E-3</v>
          </cell>
          <cell r="Y264">
            <v>5.2961651297561696E-3</v>
          </cell>
          <cell r="Z264">
            <v>1.729679624977698E-2</v>
          </cell>
          <cell r="AA264">
            <v>3.7126884083906075E-2</v>
          </cell>
          <cell r="AB264">
            <v>6.9501228435110862E-2</v>
          </cell>
          <cell r="AC264">
            <v>0.10665773816160795</v>
          </cell>
          <cell r="AD264">
            <v>0.18319960223110676</v>
          </cell>
          <cell r="AE264">
            <v>0.28715190948501623</v>
          </cell>
        </row>
        <row r="265">
          <cell r="D265" t="str">
            <v>EUR</v>
          </cell>
          <cell r="N265" t="str">
            <v/>
          </cell>
          <cell r="O265">
            <v>4.9028053432799146E-3</v>
          </cell>
          <cell r="P265">
            <v>9.3628090256328012E-3</v>
          </cell>
          <cell r="Q265">
            <v>2.7601327562253308E-2</v>
          </cell>
          <cell r="R265">
            <v>4.9555044894668443E-2</v>
          </cell>
          <cell r="S265" t="str">
            <v/>
          </cell>
          <cell r="T265">
            <v>0.10339349989408952</v>
          </cell>
          <cell r="U265">
            <v>0.16811682071746969</v>
          </cell>
          <cell r="V265">
            <v>0.2485927527379036</v>
          </cell>
          <cell r="W265" t="str">
            <v/>
          </cell>
          <cell r="X265">
            <v>5.147254376008159E-3</v>
          </cell>
          <cell r="Y265">
            <v>9.8285965881006465E-3</v>
          </cell>
          <cell r="Z265">
            <v>2.8963130634478307E-2</v>
          </cell>
          <cell r="AA265">
            <v>5.1977266667548983E-2</v>
          </cell>
          <cell r="AB265" t="str">
            <v/>
          </cell>
          <cell r="AC265">
            <v>0.10833078066209911</v>
          </cell>
          <cell r="AD265">
            <v>0.17590825824641798</v>
          </cell>
          <cell r="AE265">
            <v>0.25955014236988627</v>
          </cell>
        </row>
        <row r="266">
          <cell r="D266" t="str">
            <v>USD</v>
          </cell>
          <cell r="N266" t="str">
            <v/>
          </cell>
          <cell r="O266" t="str">
            <v/>
          </cell>
          <cell r="P266">
            <v>6.5236651938989088E-3</v>
          </cell>
          <cell r="Q266" t="str">
            <v/>
          </cell>
          <cell r="R266">
            <v>4.114060857184143E-2</v>
          </cell>
          <cell r="S266" t="str">
            <v/>
          </cell>
          <cell r="T266">
            <v>0.10481866171578369</v>
          </cell>
          <cell r="U266">
            <v>0.16168646119100782</v>
          </cell>
          <cell r="V266">
            <v>0.25951173288988294</v>
          </cell>
          <cell r="W266" t="str">
            <v/>
          </cell>
          <cell r="X266" t="str">
            <v/>
          </cell>
          <cell r="Y266">
            <v>6.834657390599963E-3</v>
          </cell>
          <cell r="Z266" t="str">
            <v/>
          </cell>
          <cell r="AA266">
            <v>4.3150292669675405E-2</v>
          </cell>
          <cell r="AB266" t="str">
            <v/>
          </cell>
          <cell r="AC266">
            <v>0.10984720401509462</v>
          </cell>
          <cell r="AD266">
            <v>0.16921301886020368</v>
          </cell>
          <cell r="AE266">
            <v>0.2709876837477937</v>
          </cell>
        </row>
        <row r="267">
          <cell r="D267" t="str">
            <v>USD</v>
          </cell>
          <cell r="N267" t="str">
            <v/>
          </cell>
          <cell r="O267" t="str">
            <v/>
          </cell>
          <cell r="P267">
            <v>4.7705882440045588E-3</v>
          </cell>
          <cell r="Q267" t="str">
            <v/>
          </cell>
          <cell r="R267">
            <v>2.5656067613036071E-2</v>
          </cell>
          <cell r="S267" t="str">
            <v/>
          </cell>
          <cell r="T267">
            <v>6.4160093086633285E-2</v>
          </cell>
          <cell r="U267">
            <v>0.10250219905241031</v>
          </cell>
          <cell r="V267">
            <v>0.16210995998684197</v>
          </cell>
          <cell r="W267" t="str">
            <v/>
          </cell>
          <cell r="X267" t="str">
            <v/>
          </cell>
          <cell r="Y267">
            <v>4.998220935480191E-3</v>
          </cell>
          <cell r="Z267" t="str">
            <v/>
          </cell>
          <cell r="AA267">
            <v>2.6921099085368438E-2</v>
          </cell>
          <cell r="AB267" t="str">
            <v/>
          </cell>
          <cell r="AC267">
            <v>6.727128972641705E-2</v>
          </cell>
          <cell r="AD267">
            <v>0.10739298167398414</v>
          </cell>
          <cell r="AE267">
            <v>0.1696430194014783</v>
          </cell>
        </row>
        <row r="268">
          <cell r="D268" t="str">
            <v>USD</v>
          </cell>
          <cell r="N268" t="str">
            <v/>
          </cell>
          <cell r="O268" t="str">
            <v/>
          </cell>
          <cell r="P268">
            <v>2.2325671032447092E-3</v>
          </cell>
          <cell r="Q268" t="str">
            <v/>
          </cell>
          <cell r="R268">
            <v>2.1586761926472464E-2</v>
          </cell>
          <cell r="S268" t="str">
            <v/>
          </cell>
          <cell r="T268">
            <v>5.0362178193736784E-2</v>
          </cell>
          <cell r="U268">
            <v>9.2145043757653977E-2</v>
          </cell>
          <cell r="V268">
            <v>0.16436083170744142</v>
          </cell>
          <cell r="W268" t="str">
            <v/>
          </cell>
          <cell r="X268" t="str">
            <v/>
          </cell>
          <cell r="Y268">
            <v>2.3988478182942474E-3</v>
          </cell>
          <cell r="Z268" t="str">
            <v/>
          </cell>
          <cell r="AA268">
            <v>2.2649096927830348E-2</v>
          </cell>
          <cell r="AB268" t="str">
            <v/>
          </cell>
          <cell r="AC268">
            <v>5.2816944291123935E-2</v>
          </cell>
          <cell r="AD268">
            <v>9.656614620269488E-2</v>
          </cell>
          <cell r="AE268">
            <v>0.17205252570010909</v>
          </cell>
        </row>
        <row r="269">
          <cell r="D269" t="str">
            <v>EUR</v>
          </cell>
          <cell r="N269" t="str">
            <v/>
          </cell>
          <cell r="O269">
            <v>6.3690485549472431E-4</v>
          </cell>
          <cell r="P269">
            <v>2.4516736389891269E-3</v>
          </cell>
          <cell r="Q269">
            <v>8.6260935930545513E-3</v>
          </cell>
          <cell r="R269">
            <v>1.8592082683634992E-2</v>
          </cell>
          <cell r="S269" t="str">
            <v/>
          </cell>
          <cell r="T269">
            <v>4.809405868603589E-2</v>
          </cell>
          <cell r="U269">
            <v>8.3659137962235341E-2</v>
          </cell>
          <cell r="V269">
            <v>0.14509939247422043</v>
          </cell>
          <cell r="W269" t="str">
            <v/>
          </cell>
          <cell r="X269">
            <v>7.2018164349907376E-4</v>
          </cell>
          <cell r="Y269">
            <v>2.617917839319861E-3</v>
          </cell>
          <cell r="Z269">
            <v>9.0390800092465806E-3</v>
          </cell>
          <cell r="AA269">
            <v>1.9512503821599969E-2</v>
          </cell>
          <cell r="AB269" t="str">
            <v/>
          </cell>
          <cell r="AC269">
            <v>5.0445165824277827E-2</v>
          </cell>
          <cell r="AD269">
            <v>8.7693069362573706E-2</v>
          </cell>
          <cell r="AE269">
            <v>0.15193509632039537</v>
          </cell>
        </row>
        <row r="270">
          <cell r="D270" t="str">
            <v>USD</v>
          </cell>
          <cell r="N270" t="str">
            <v/>
          </cell>
          <cell r="O270" t="str">
            <v/>
          </cell>
          <cell r="P270">
            <v>4.9959572638563765E-3</v>
          </cell>
          <cell r="Q270" t="str">
            <v/>
          </cell>
          <cell r="R270">
            <v>5.7373010232402044E-2</v>
          </cell>
          <cell r="S270" t="str">
            <v/>
          </cell>
          <cell r="T270">
            <v>9.420491261924846E-2</v>
          </cell>
          <cell r="U270">
            <v>0.12188336674348932</v>
          </cell>
          <cell r="V270">
            <v>0.16325852889602732</v>
          </cell>
          <cell r="W270" t="str">
            <v/>
          </cell>
          <cell r="X270" t="str">
            <v/>
          </cell>
          <cell r="Y270">
            <v>5.2343150946835282E-3</v>
          </cell>
          <cell r="Z270" t="str">
            <v/>
          </cell>
          <cell r="AA270">
            <v>6.0177931693889186E-2</v>
          </cell>
          <cell r="AB270" t="str">
            <v/>
          </cell>
          <cell r="AC270">
            <v>9.8684434185102643E-2</v>
          </cell>
          <cell r="AD270">
            <v>0.12757048608550803</v>
          </cell>
          <cell r="AE270">
            <v>0.1706503712421249</v>
          </cell>
        </row>
        <row r="271">
          <cell r="D271" t="str">
            <v>USD</v>
          </cell>
          <cell r="N271" t="str">
            <v/>
          </cell>
          <cell r="O271" t="str">
            <v/>
          </cell>
          <cell r="P271">
            <v>3.4138392266730433E-3</v>
          </cell>
          <cell r="Q271" t="str">
            <v/>
          </cell>
          <cell r="R271">
            <v>2.2093846057268385E-2</v>
          </cell>
          <cell r="S271" t="str">
            <v/>
          </cell>
          <cell r="T271">
            <v>6.1215338118948193E-2</v>
          </cell>
          <cell r="U271">
            <v>9.4720946221699132E-2</v>
          </cell>
          <cell r="V271">
            <v>0.15335564052563411</v>
          </cell>
          <cell r="W271" t="str">
            <v/>
          </cell>
          <cell r="X271" t="str">
            <v/>
          </cell>
          <cell r="Y271">
            <v>3.5799230794156811E-3</v>
          </cell>
          <cell r="Z271" t="str">
            <v/>
          </cell>
          <cell r="AA271">
            <v>2.3185345352790376E-2</v>
          </cell>
          <cell r="AB271" t="str">
            <v/>
          </cell>
          <cell r="AC271">
            <v>6.419004800340522E-2</v>
          </cell>
          <cell r="AD271">
            <v>9.9259870973754993E-2</v>
          </cell>
          <cell r="AE271">
            <v>0.16052077595484127</v>
          </cell>
        </row>
        <row r="272">
          <cell r="D272" t="str">
            <v>USD</v>
          </cell>
          <cell r="N272" t="str">
            <v/>
          </cell>
          <cell r="O272" t="str">
            <v/>
          </cell>
          <cell r="P272">
            <v>3.4780745316533856E-3</v>
          </cell>
          <cell r="Q272" t="str">
            <v/>
          </cell>
          <cell r="R272">
            <v>1.7887276892422976E-2</v>
          </cell>
          <cell r="S272" t="str">
            <v/>
          </cell>
          <cell r="T272">
            <v>4.2711142016253478E-2</v>
          </cell>
          <cell r="U272">
            <v>8.1938251170082577E-2</v>
          </cell>
          <cell r="V272">
            <v>0.14896866193720026</v>
          </cell>
          <cell r="W272" t="str">
            <v/>
          </cell>
          <cell r="X272" t="str">
            <v/>
          </cell>
          <cell r="Y272">
            <v>3.6441476794308869E-3</v>
          </cell>
          <cell r="Z272" t="str">
            <v/>
          </cell>
          <cell r="AA272">
            <v>1.8773259438974232E-2</v>
          </cell>
          <cell r="AB272" t="str">
            <v/>
          </cell>
          <cell r="AC272">
            <v>4.480417988286256E-2</v>
          </cell>
          <cell r="AD272">
            <v>8.5893716598362535E-2</v>
          </cell>
          <cell r="AE272">
            <v>0.15599936302747597</v>
          </cell>
        </row>
        <row r="273">
          <cell r="D273" t="str">
            <v>USD</v>
          </cell>
          <cell r="N273" t="str">
            <v/>
          </cell>
          <cell r="O273" t="str">
            <v/>
          </cell>
          <cell r="P273">
            <v>3.7922475547043089E-3</v>
          </cell>
          <cell r="Q273" t="str">
            <v/>
          </cell>
          <cell r="R273">
            <v>2.0347667227677668E-2</v>
          </cell>
          <cell r="S273" t="str">
            <v/>
          </cell>
          <cell r="T273">
            <v>4.682795985358823E-2</v>
          </cell>
          <cell r="U273">
            <v>7.1607853968425395E-2</v>
          </cell>
          <cell r="V273">
            <v>0.11771700010323582</v>
          </cell>
          <cell r="W273" t="str">
            <v/>
          </cell>
          <cell r="X273" t="str">
            <v/>
          </cell>
          <cell r="Y273">
            <v>3.9732918607967571E-3</v>
          </cell>
          <cell r="Z273" t="str">
            <v/>
          </cell>
          <cell r="AA273">
            <v>2.1354090867726327E-2</v>
          </cell>
          <cell r="AB273" t="str">
            <v/>
          </cell>
          <cell r="AC273">
            <v>4.911774578474537E-2</v>
          </cell>
          <cell r="AD273">
            <v>7.5070936310689396E-2</v>
          </cell>
          <cell r="AE273">
            <v>0.12330370864951845</v>
          </cell>
        </row>
        <row r="274">
          <cell r="D274" t="str">
            <v>EUR</v>
          </cell>
          <cell r="N274" t="str">
            <v/>
          </cell>
          <cell r="O274">
            <v>9.0974018358735975E-4</v>
          </cell>
          <cell r="P274">
            <v>2.7970014672076271E-3</v>
          </cell>
          <cell r="Q274">
            <v>8.2581943532946678E-3</v>
          </cell>
          <cell r="R274">
            <v>1.5947238663102103E-2</v>
          </cell>
          <cell r="S274" t="str">
            <v/>
          </cell>
          <cell r="T274">
            <v>4.477092933673843E-2</v>
          </cell>
          <cell r="U274">
            <v>7.5360539986676689E-2</v>
          </cell>
          <cell r="V274">
            <v>0.12109344447539128</v>
          </cell>
          <cell r="W274" t="str">
            <v/>
          </cell>
          <cell r="X274">
            <v>9.9299423627774441E-4</v>
          </cell>
          <cell r="Y274">
            <v>2.9631881176895858E-3</v>
          </cell>
          <cell r="Z274">
            <v>8.6548117467698527E-3</v>
          </cell>
          <cell r="AA274">
            <v>1.6737839472473315E-2</v>
          </cell>
          <cell r="AB274" t="str">
            <v/>
          </cell>
          <cell r="AC274">
            <v>4.6963705460402405E-2</v>
          </cell>
          <cell r="AD274">
            <v>7.9007991125429111E-2</v>
          </cell>
          <cell r="AE274">
            <v>0.12684009781984307</v>
          </cell>
        </row>
        <row r="275">
          <cell r="D275" t="str">
            <v>USD</v>
          </cell>
          <cell r="N275" t="str">
            <v/>
          </cell>
          <cell r="O275" t="str">
            <v/>
          </cell>
          <cell r="P275">
            <v>6.5115496751835256E-3</v>
          </cell>
          <cell r="Q275" t="str">
            <v/>
          </cell>
          <cell r="R275">
            <v>3.8084515825709597E-2</v>
          </cell>
          <cell r="S275" t="str">
            <v/>
          </cell>
          <cell r="T275">
            <v>0.12657911193037774</v>
          </cell>
          <cell r="U275">
            <v>0.19680021966510075</v>
          </cell>
          <cell r="V275">
            <v>0.29374338531930366</v>
          </cell>
          <cell r="W275" t="str">
            <v/>
          </cell>
          <cell r="X275" t="str">
            <v/>
          </cell>
          <cell r="Y275">
            <v>6.8358186109854779E-3</v>
          </cell>
          <cell r="Z275" t="str">
            <v/>
          </cell>
          <cell r="AA275">
            <v>3.994713709112141E-2</v>
          </cell>
          <cell r="AB275" t="str">
            <v/>
          </cell>
          <cell r="AC275">
            <v>0.13262843607503916</v>
          </cell>
          <cell r="AD275">
            <v>0.20585195848979787</v>
          </cell>
          <cell r="AE275">
            <v>0.30644460476896318</v>
          </cell>
        </row>
        <row r="276">
          <cell r="D276" t="str">
            <v>EUR</v>
          </cell>
          <cell r="N276" t="str">
            <v/>
          </cell>
          <cell r="O276">
            <v>1.6921298729330014E-2</v>
          </cell>
          <cell r="P276">
            <v>3.2135482130428605E-2</v>
          </cell>
          <cell r="Q276">
            <v>5.7104538934130145E-2</v>
          </cell>
          <cell r="R276">
            <v>8.0236384606258704E-2</v>
          </cell>
          <cell r="S276" t="str">
            <v/>
          </cell>
          <cell r="T276">
            <v>0.11751827836205064</v>
          </cell>
          <cell r="U276">
            <v>0.16084775526465922</v>
          </cell>
          <cell r="V276">
            <v>0.22198356514582462</v>
          </cell>
          <cell r="W276" t="str">
            <v/>
          </cell>
          <cell r="X276">
            <v>1.775879663604174E-2</v>
          </cell>
          <cell r="Y276">
            <v>3.3714132149227805E-2</v>
          </cell>
          <cell r="Z276">
            <v>5.9864546664976315E-2</v>
          </cell>
          <cell r="AA276">
            <v>8.4062019115649367E-2</v>
          </cell>
          <cell r="AB276" t="str">
            <v/>
          </cell>
          <cell r="AC276">
            <v>0.12296554695173179</v>
          </cell>
          <cell r="AD276">
            <v>0.1681583070990379</v>
          </cell>
          <cell r="AE276">
            <v>0.23164824051862998</v>
          </cell>
        </row>
        <row r="277">
          <cell r="D277" t="str">
            <v>EUR</v>
          </cell>
          <cell r="N277" t="str">
            <v/>
          </cell>
          <cell r="O277">
            <v>7.7968692927326E-3</v>
          </cell>
          <cell r="P277">
            <v>1.4869737486252088E-2</v>
          </cell>
          <cell r="Q277">
            <v>2.8985871656954876E-2</v>
          </cell>
          <cell r="R277">
            <v>4.4351590478119207E-2</v>
          </cell>
          <cell r="S277" t="str">
            <v/>
          </cell>
          <cell r="T277">
            <v>7.7795893655950632E-2</v>
          </cell>
          <cell r="U277">
            <v>0.10674625551589934</v>
          </cell>
          <cell r="V277">
            <v>0.14851969855926683</v>
          </cell>
          <cell r="W277" t="str">
            <v/>
          </cell>
          <cell r="X277">
            <v>8.1849471306780774E-3</v>
          </cell>
          <cell r="Y277">
            <v>1.5607268258654328E-2</v>
          </cell>
          <cell r="Z277">
            <v>3.0411909147507354E-2</v>
          </cell>
          <cell r="AA277">
            <v>4.6516844184765316E-2</v>
          </cell>
          <cell r="AB277" t="str">
            <v/>
          </cell>
          <cell r="AC277">
            <v>8.1519368524181512E-2</v>
          </cell>
          <cell r="AD277">
            <v>0.11177416492781311</v>
          </cell>
          <cell r="AE277">
            <v>0.15534848920462219</v>
          </cell>
        </row>
        <row r="278">
          <cell r="D278" t="str">
            <v>USD</v>
          </cell>
          <cell r="N278" t="str">
            <v/>
          </cell>
          <cell r="O278" t="str">
            <v/>
          </cell>
          <cell r="P278">
            <v>4.593724838084734E-3</v>
          </cell>
          <cell r="Q278" t="str">
            <v/>
          </cell>
          <cell r="R278">
            <v>2.0361441328594077E-2</v>
          </cell>
          <cell r="S278" t="str">
            <v/>
          </cell>
          <cell r="T278">
            <v>4.3654640106644771E-2</v>
          </cell>
          <cell r="U278">
            <v>6.7934158136783274E-2</v>
          </cell>
          <cell r="V278">
            <v>0.11020962728569583</v>
          </cell>
          <cell r="W278" t="str">
            <v/>
          </cell>
          <cell r="X278" t="str">
            <v/>
          </cell>
          <cell r="Y278">
            <v>4.8129389283677604E-3</v>
          </cell>
          <cell r="Z278" t="str">
            <v/>
          </cell>
          <cell r="AA278">
            <v>2.1368464063322046E-2</v>
          </cell>
          <cell r="AB278" t="str">
            <v/>
          </cell>
          <cell r="AC278">
            <v>4.5791423102570228E-2</v>
          </cell>
          <cell r="AD278">
            <v>7.1223820642675739E-2</v>
          </cell>
          <cell r="AE278">
            <v>0.11545431391870908</v>
          </cell>
        </row>
        <row r="279">
          <cell r="D279" t="str">
            <v>EUR</v>
          </cell>
          <cell r="N279" t="str">
            <v/>
          </cell>
          <cell r="O279">
            <v>1.091589126235637E-3</v>
          </cell>
          <cell r="P279">
            <v>2.9684668899444544E-3</v>
          </cell>
          <cell r="Q279">
            <v>9.639264859510388E-3</v>
          </cell>
          <cell r="R279">
            <v>1.7980368078696074E-2</v>
          </cell>
          <cell r="S279" t="str">
            <v/>
          </cell>
          <cell r="T279">
            <v>3.8332173058903574E-2</v>
          </cell>
          <cell r="U279">
            <v>6.1735106566651488E-2</v>
          </cell>
          <cell r="V279">
            <v>0.10487890499540853</v>
          </cell>
          <cell r="W279" t="str">
            <v/>
          </cell>
          <cell r="X279">
            <v>1.1748280254821886E-3</v>
          </cell>
          <cell r="Y279">
            <v>3.1346249652464131E-3</v>
          </cell>
          <cell r="Z279">
            <v>1.0101325380074133E-2</v>
          </cell>
          <cell r="AA279">
            <v>1.8871846988310681E-2</v>
          </cell>
          <cell r="AB279" t="str">
            <v/>
          </cell>
          <cell r="AC279">
            <v>4.021360636905269E-2</v>
          </cell>
          <cell r="AD279">
            <v>6.4735240209967682E-2</v>
          </cell>
          <cell r="AE279">
            <v>0.10989174721493034</v>
          </cell>
        </row>
        <row r="280">
          <cell r="D280" t="str">
            <v>EUR</v>
          </cell>
          <cell r="N280" t="str">
            <v/>
          </cell>
          <cell r="O280">
            <v>1.0006687817649684E-3</v>
          </cell>
          <cell r="P280">
            <v>2.6186876321401265E-3</v>
          </cell>
          <cell r="Q280">
            <v>6.5205503597596248E-3</v>
          </cell>
          <cell r="R280">
            <v>1.33911010642499E-2</v>
          </cell>
          <cell r="S280" t="str">
            <v/>
          </cell>
          <cell r="T280">
            <v>3.2662866552734204E-2</v>
          </cell>
          <cell r="U280">
            <v>5.6531715302251651E-2</v>
          </cell>
          <cell r="V280">
            <v>9.7599269559602964E-2</v>
          </cell>
          <cell r="W280" t="str">
            <v/>
          </cell>
          <cell r="X280">
            <v>1.0839152573786093E-3</v>
          </cell>
          <cell r="Y280">
            <v>2.78490399911413E-3</v>
          </cell>
          <cell r="Z280">
            <v>6.8516549891473044E-3</v>
          </cell>
          <cell r="AA280">
            <v>1.4054285805512934E-2</v>
          </cell>
          <cell r="AB280" t="str">
            <v/>
          </cell>
          <cell r="AC280">
            <v>3.4269334910502325E-2</v>
          </cell>
          <cell r="AD280">
            <v>5.9287947336480351E-2</v>
          </cell>
          <cell r="AE280">
            <v>0.10228649222826824</v>
          </cell>
        </row>
        <row r="281">
          <cell r="D281" t="str">
            <v>EUR</v>
          </cell>
          <cell r="N281" t="str">
            <v/>
          </cell>
          <cell r="O281">
            <v>1.0006687817649684E-3</v>
          </cell>
          <cell r="P281">
            <v>2.7947261130725209E-3</v>
          </cell>
          <cell r="Q281">
            <v>6.8627399723123483E-3</v>
          </cell>
          <cell r="R281">
            <v>1.4426279597449798E-2</v>
          </cell>
          <cell r="S281" t="str">
            <v/>
          </cell>
          <cell r="T281">
            <v>3.3446830042253239E-2</v>
          </cell>
          <cell r="U281">
            <v>5.5042694798059455E-2</v>
          </cell>
          <cell r="V281">
            <v>9.5689283925012969E-2</v>
          </cell>
          <cell r="W281" t="str">
            <v/>
          </cell>
          <cell r="X281">
            <v>1.0839152573786093E-3</v>
          </cell>
          <cell r="Y281">
            <v>2.9609131427482671E-3</v>
          </cell>
          <cell r="Z281">
            <v>7.1937305574995003E-3</v>
          </cell>
          <cell r="AA281">
            <v>1.5141808937246259E-2</v>
          </cell>
          <cell r="AB281" t="str">
            <v/>
          </cell>
          <cell r="AC281">
            <v>3.5092281328373387E-2</v>
          </cell>
          <cell r="AD281">
            <v>5.7727329848833109E-2</v>
          </cell>
          <cell r="AE281">
            <v>0.10028691265730771</v>
          </cell>
        </row>
        <row r="282">
          <cell r="D282" t="str">
            <v>USD</v>
          </cell>
          <cell r="N282" t="str">
            <v/>
          </cell>
          <cell r="O282" t="str">
            <v/>
          </cell>
          <cell r="P282">
            <v>1.6257573478757337E-3</v>
          </cell>
          <cell r="Q282" t="str">
            <v/>
          </cell>
          <cell r="R282">
            <v>1.1647968571919742E-2</v>
          </cell>
          <cell r="S282" t="str">
            <v/>
          </cell>
          <cell r="T282">
            <v>3.066092984490687E-2</v>
          </cell>
          <cell r="U282">
            <v>5.4262706079094447E-2</v>
          </cell>
          <cell r="V282">
            <v>9.241656925459274E-2</v>
          </cell>
          <cell r="W282" t="str">
            <v/>
          </cell>
          <cell r="X282" t="str">
            <v/>
          </cell>
          <cell r="Y282">
            <v>1.7921391894559768E-3</v>
          </cell>
          <cell r="Z282" t="str">
            <v/>
          </cell>
          <cell r="AA282">
            <v>1.220721753934606E-2</v>
          </cell>
          <cell r="AB282" t="str">
            <v/>
          </cell>
          <cell r="AC282">
            <v>3.2167603911811726E-2</v>
          </cell>
          <cell r="AD282">
            <v>5.6909154855963373E-2</v>
          </cell>
          <cell r="AE282">
            <v>9.6838032001359986E-2</v>
          </cell>
        </row>
        <row r="283">
          <cell r="D283" t="str">
            <v>EUR</v>
          </cell>
          <cell r="N283" t="str">
            <v/>
          </cell>
          <cell r="O283">
            <v>7.2785822158416558E-4</v>
          </cell>
          <cell r="P283">
            <v>1.744960105844795E-3</v>
          </cell>
          <cell r="Q283">
            <v>6.5586206526362378E-3</v>
          </cell>
          <cell r="R283">
            <v>1.2370859980084248E-2</v>
          </cell>
          <cell r="S283" t="str">
            <v/>
          </cell>
          <cell r="T283">
            <v>3.2783329141084838E-2</v>
          </cell>
          <cell r="U283">
            <v>5.4076735890140726E-2</v>
          </cell>
          <cell r="V283">
            <v>9.2429670483917259E-2</v>
          </cell>
          <cell r="W283" t="str">
            <v/>
          </cell>
          <cell r="X283">
            <v>8.1112743046984903E-4</v>
          </cell>
          <cell r="Y283">
            <v>1.9113220819424459E-3</v>
          </cell>
          <cell r="Z283">
            <v>6.8897125940247106E-3</v>
          </cell>
          <cell r="AA283">
            <v>1.2963259726413878E-2</v>
          </cell>
          <cell r="AB283" t="str">
            <v/>
          </cell>
          <cell r="AC283">
            <v>3.4395508550795983E-2</v>
          </cell>
          <cell r="AD283">
            <v>5.6715328089780859E-2</v>
          </cell>
          <cell r="AE283">
            <v>9.6852402932293691E-2</v>
          </cell>
        </row>
        <row r="284">
          <cell r="D284" t="str">
            <v>USD</v>
          </cell>
          <cell r="N284">
            <v>3.6550255007605781E-4</v>
          </cell>
          <cell r="O284">
            <v>6.8239077215204169E-4</v>
          </cell>
          <cell r="P284">
            <v>1.7020487620984515E-3</v>
          </cell>
          <cell r="Q284">
            <v>4.1195084281823169E-3</v>
          </cell>
          <cell r="R284">
            <v>8.9119589537577371E-3</v>
          </cell>
          <cell r="S284">
            <v>1.44936577205933E-2</v>
          </cell>
          <cell r="T284">
            <v>2.1422650209496186E-2</v>
          </cell>
          <cell r="U284">
            <v>4.0396371633247052E-2</v>
          </cell>
          <cell r="V284">
            <v>7.1011494928382657E-2</v>
          </cell>
          <cell r="W284">
            <v>4.0204532991361397E-4</v>
          </cell>
          <cell r="X284">
            <v>7.4484617097292372E-4</v>
          </cell>
          <cell r="Y284">
            <v>1.8268282071220998E-3</v>
          </cell>
          <cell r="Z284">
            <v>4.3684474323992806E-3</v>
          </cell>
          <cell r="AA284">
            <v>9.3392735251309755E-3</v>
          </cell>
          <cell r="AB284">
            <v>1.521033796802318E-2</v>
          </cell>
          <cell r="AC284">
            <v>2.2480990043793225E-2</v>
          </cell>
          <cell r="AD284">
            <v>4.2378784488215859E-2</v>
          </cell>
          <cell r="AE284">
            <v>7.4446676607047513E-2</v>
          </cell>
        </row>
        <row r="285">
          <cell r="D285" t="str">
            <v>USD</v>
          </cell>
          <cell r="N285" t="str">
            <v/>
          </cell>
          <cell r="O285" t="str">
            <v/>
          </cell>
          <cell r="P285">
            <v>1.5127007615369781E-3</v>
          </cell>
          <cell r="Q285" t="str">
            <v/>
          </cell>
          <cell r="R285">
            <v>1.1687463341525706E-2</v>
          </cell>
          <cell r="S285" t="str">
            <v/>
          </cell>
          <cell r="T285">
            <v>2.7981858636325851E-2</v>
          </cell>
          <cell r="U285">
            <v>5.137641741026433E-2</v>
          </cell>
          <cell r="V285">
            <v>9.1516047332793393E-2</v>
          </cell>
          <cell r="W285" t="str">
            <v/>
          </cell>
          <cell r="X285" t="str">
            <v/>
          </cell>
          <cell r="Y285">
            <v>1.6791014442941732E-3</v>
          </cell>
          <cell r="Z285" t="str">
            <v/>
          </cell>
          <cell r="AA285">
            <v>1.2248171590085621E-2</v>
          </cell>
          <cell r="AB285" t="str">
            <v/>
          </cell>
          <cell r="AC285">
            <v>2.9357506965901337E-2</v>
          </cell>
          <cell r="AD285">
            <v>5.3884303073263085E-2</v>
          </cell>
          <cell r="AE285">
            <v>9.592600543151375E-2</v>
          </cell>
        </row>
        <row r="286">
          <cell r="D286" t="str">
            <v>EUR</v>
          </cell>
          <cell r="N286" t="str">
            <v/>
          </cell>
          <cell r="O286">
            <v>5.4594323121426314E-4</v>
          </cell>
          <cell r="P286">
            <v>1.3970708096262552E-3</v>
          </cell>
          <cell r="Q286">
            <v>4.4826336485552787E-3</v>
          </cell>
          <cell r="R286">
            <v>9.8368925804999119E-3</v>
          </cell>
          <cell r="S286" t="str">
            <v/>
          </cell>
          <cell r="T286">
            <v>2.6868695804797782E-2</v>
          </cell>
          <cell r="U286">
            <v>4.8608536359821319E-2</v>
          </cell>
          <cell r="V286">
            <v>8.6735451740949765E-2</v>
          </cell>
          <cell r="W286" t="str">
            <v/>
          </cell>
          <cell r="X286">
            <v>6.2922759904748826E-4</v>
          </cell>
          <cell r="Y286">
            <v>1.5634907624471062E-3</v>
          </cell>
          <cell r="Z286">
            <v>4.8144174702994258E-3</v>
          </cell>
          <cell r="AA286">
            <v>1.0331850384464603E-2</v>
          </cell>
          <cell r="AB286" t="str">
            <v/>
          </cell>
          <cell r="AC286">
            <v>2.8184899172631117E-2</v>
          </cell>
          <cell r="AD286">
            <v>5.0979375149059147E-2</v>
          </cell>
          <cell r="AE286">
            <v>9.0894971412324055E-2</v>
          </cell>
        </row>
        <row r="287">
          <cell r="D287" t="str">
            <v>EUR</v>
          </cell>
          <cell r="N287" t="str">
            <v/>
          </cell>
          <cell r="O287">
            <v>4.5497334759936336E-4</v>
          </cell>
          <cell r="P287">
            <v>1.22308070448085E-3</v>
          </cell>
          <cell r="Q287">
            <v>4.4909926693761371E-3</v>
          </cell>
          <cell r="R287">
            <v>8.7842062050439429E-3</v>
          </cell>
          <cell r="S287" t="str">
            <v/>
          </cell>
          <cell r="T287">
            <v>2.5170788196888894E-2</v>
          </cell>
          <cell r="U287">
            <v>4.7591449245198869E-2</v>
          </cell>
          <cell r="V287">
            <v>8.5290388882915735E-2</v>
          </cell>
          <cell r="W287" t="str">
            <v/>
          </cell>
          <cell r="X287">
            <v>5.3826529594969141E-4</v>
          </cell>
          <cell r="Y287">
            <v>1.3895296532399071E-3</v>
          </cell>
          <cell r="Z287">
            <v>4.8227737052365383E-3</v>
          </cell>
          <cell r="AA287">
            <v>9.2796902206341292E-3</v>
          </cell>
          <cell r="AB287" t="str">
            <v/>
          </cell>
          <cell r="AC287">
            <v>2.6399726099024634E-2</v>
          </cell>
          <cell r="AD287">
            <v>4.9909835663019875E-2</v>
          </cell>
          <cell r="AE287">
            <v>8.9380731886426701E-2</v>
          </cell>
        </row>
        <row r="288">
          <cell r="D288" t="str">
            <v>EUR</v>
          </cell>
          <cell r="N288" t="str">
            <v/>
          </cell>
          <cell r="O288">
            <v>6.3690485549472431E-4</v>
          </cell>
          <cell r="P288">
            <v>1.3948581478229194E-3</v>
          </cell>
          <cell r="Q288">
            <v>4.4803848348143882E-3</v>
          </cell>
          <cell r="R288">
            <v>1.0365032606175939E-2</v>
          </cell>
          <cell r="S288" t="str">
            <v/>
          </cell>
          <cell r="T288">
            <v>2.8610388966135769E-2</v>
          </cell>
          <cell r="U288">
            <v>4.8377129495374982E-2</v>
          </cell>
          <cell r="V288">
            <v>8.4594441190191216E-2</v>
          </cell>
          <cell r="W288" t="str">
            <v/>
          </cell>
          <cell r="X288">
            <v>7.2018164349907376E-4</v>
          </cell>
          <cell r="Y288">
            <v>1.5612784693798121E-3</v>
          </cell>
          <cell r="Z288">
            <v>4.812169406048783E-3</v>
          </cell>
          <cell r="AA288">
            <v>1.0859726406114656E-2</v>
          </cell>
          <cell r="AB288" t="str">
            <v/>
          </cell>
          <cell r="AC288">
            <v>3.0013721983514818E-2</v>
          </cell>
          <cell r="AD288">
            <v>5.0738017597179663E-2</v>
          </cell>
          <cell r="AE288">
            <v>8.8654204452493501E-2</v>
          </cell>
        </row>
        <row r="289">
          <cell r="D289" t="str">
            <v>USD</v>
          </cell>
          <cell r="N289" t="str">
            <v/>
          </cell>
          <cell r="O289" t="str">
            <v/>
          </cell>
          <cell r="P289">
            <v>9.5766960767240672E-4</v>
          </cell>
          <cell r="Q289" t="str">
            <v/>
          </cell>
          <cell r="R289">
            <v>8.7754809770623776E-3</v>
          </cell>
          <cell r="S289" t="str">
            <v/>
          </cell>
          <cell r="T289">
            <v>2.3862927715873505E-2</v>
          </cell>
          <cell r="U289">
            <v>4.7961659086694253E-2</v>
          </cell>
          <cell r="V289">
            <v>8.8027256894966599E-2</v>
          </cell>
          <cell r="W289" t="str">
            <v/>
          </cell>
          <cell r="X289" t="str">
            <v/>
          </cell>
          <cell r="Y289">
            <v>1.1241627879213789E-3</v>
          </cell>
          <cell r="Z289" t="str">
            <v/>
          </cell>
          <cell r="AA289">
            <v>9.2709693541190852E-3</v>
          </cell>
          <cell r="AB289" t="str">
            <v/>
          </cell>
          <cell r="AC289">
            <v>2.5027209567237807E-2</v>
          </cell>
          <cell r="AD289">
            <v>5.0297358776325685E-2</v>
          </cell>
          <cell r="AE289">
            <v>9.2271620107897467E-2</v>
          </cell>
        </row>
        <row r="290">
          <cell r="D290" t="str">
            <v>EUR</v>
          </cell>
          <cell r="N290" t="str">
            <v/>
          </cell>
          <cell r="O290">
            <v>6.3690485549472431E-4</v>
          </cell>
          <cell r="P290">
            <v>1.5710306083301928E-3</v>
          </cell>
          <cell r="Q290">
            <v>4.4742758268462302E-3</v>
          </cell>
          <cell r="R290">
            <v>9.2978809822560349E-3</v>
          </cell>
          <cell r="S290" t="str">
            <v/>
          </cell>
          <cell r="T290">
            <v>2.5114176488660989E-2</v>
          </cell>
          <cell r="U290">
            <v>4.3646006655868264E-2</v>
          </cell>
          <cell r="V290">
            <v>7.6213532312441767E-2</v>
          </cell>
          <cell r="W290" t="str">
            <v/>
          </cell>
          <cell r="X290">
            <v>7.2018164349907376E-4</v>
          </cell>
          <cell r="Y290">
            <v>1.7374215702635754E-3</v>
          </cell>
          <cell r="Z290">
            <v>4.806062434074998E-3</v>
          </cell>
          <cell r="AA290">
            <v>9.7931082246366374E-3</v>
          </cell>
          <cell r="AB290" t="str">
            <v/>
          </cell>
          <cell r="AC290">
            <v>2.634301941017192E-2</v>
          </cell>
          <cell r="AD290">
            <v>4.5775805220933607E-2</v>
          </cell>
          <cell r="AE290">
            <v>7.9881565756046213E-2</v>
          </cell>
        </row>
        <row r="291">
          <cell r="D291" t="str">
            <v>EUR</v>
          </cell>
          <cell r="N291" t="str">
            <v/>
          </cell>
          <cell r="O291">
            <v>5.4594323121426314E-4</v>
          </cell>
          <cell r="P291">
            <v>1.2208758015412879E-3</v>
          </cell>
          <cell r="Q291">
            <v>4.1396751096509643E-3</v>
          </cell>
          <cell r="R291">
            <v>9.3288988610895629E-3</v>
          </cell>
          <cell r="S291" t="str">
            <v/>
          </cell>
          <cell r="T291">
            <v>2.4253086792053069E-2</v>
          </cell>
          <cell r="U291">
            <v>4.2474741666260529E-2</v>
          </cell>
          <cell r="V291">
            <v>7.6521608597956869E-2</v>
          </cell>
          <cell r="W291" t="str">
            <v/>
          </cell>
          <cell r="X291">
            <v>6.2922759904748826E-4</v>
          </cell>
          <cell r="Y291">
            <v>1.3873251177468626E-3</v>
          </cell>
          <cell r="Z291">
            <v>4.471573231844661E-3</v>
          </cell>
          <cell r="AA291">
            <v>9.8241105984022692E-3</v>
          </cell>
          <cell r="AB291" t="str">
            <v/>
          </cell>
          <cell r="AC291">
            <v>2.5438335363284215E-2</v>
          </cell>
          <cell r="AD291">
            <v>4.4546570276533193E-2</v>
          </cell>
          <cell r="AE291">
            <v>8.0203523225932272E-2</v>
          </cell>
        </row>
        <row r="292">
          <cell r="D292" t="str">
            <v>USD</v>
          </cell>
          <cell r="N292" t="str">
            <v/>
          </cell>
          <cell r="O292" t="str">
            <v/>
          </cell>
          <cell r="P292">
            <v>5.2999145576424822E-2</v>
          </cell>
          <cell r="Q292" t="str">
            <v/>
          </cell>
          <cell r="R292">
            <v>0.10758481376337914</v>
          </cell>
          <cell r="S292" t="str">
            <v/>
          </cell>
          <cell r="T292">
            <v>0.14343511989884705</v>
          </cell>
          <cell r="U292">
            <v>0.17698071553947037</v>
          </cell>
          <cell r="V292">
            <v>0.22923993498423201</v>
          </cell>
          <cell r="W292" t="str">
            <v/>
          </cell>
          <cell r="X292" t="str">
            <v/>
          </cell>
          <cell r="Y292">
            <v>5.5574048848817892E-2</v>
          </cell>
          <cell r="Z292" t="str">
            <v/>
          </cell>
          <cell r="AA292">
            <v>0.11260513312677178</v>
          </cell>
          <cell r="AB292" t="str">
            <v/>
          </cell>
          <cell r="AC292">
            <v>0.14990681516438065</v>
          </cell>
          <cell r="AD292">
            <v>0.1847677205448609</v>
          </cell>
          <cell r="AE292">
            <v>0.23897656462191064</v>
          </cell>
        </row>
        <row r="293">
          <cell r="D293" t="str">
            <v>EUR</v>
          </cell>
          <cell r="N293" t="str">
            <v/>
          </cell>
          <cell r="O293">
            <v>4.132658722621585E-3</v>
          </cell>
          <cell r="P293">
            <v>9.8751569359432079E-3</v>
          </cell>
          <cell r="Q293">
            <v>2.7087888839807617E-2</v>
          </cell>
          <cell r="R293">
            <v>4.9692166631712165E-2</v>
          </cell>
          <cell r="S293" t="str">
            <v/>
          </cell>
          <cell r="T293">
            <v>0.10341805946251215</v>
          </cell>
          <cell r="U293">
            <v>0.14635122295753855</v>
          </cell>
          <cell r="V293">
            <v>0.20926109774944079</v>
          </cell>
          <cell r="W293" t="str">
            <v/>
          </cell>
          <cell r="X293">
            <v>4.3388018993406607E-3</v>
          </cell>
          <cell r="Y293">
            <v>1.0366543612558288E-2</v>
          </cell>
          <cell r="Z293">
            <v>2.8424715037713377E-2</v>
          </cell>
          <cell r="AA293">
            <v>5.2121352377813013E-2</v>
          </cell>
          <cell r="AB293" t="str">
            <v/>
          </cell>
          <cell r="AC293">
            <v>0.10835689784092983</v>
          </cell>
          <cell r="AD293">
            <v>0.15315657037248809</v>
          </cell>
          <cell r="AE293">
            <v>0.21860898433892173</v>
          </cell>
        </row>
        <row r="294">
          <cell r="D294" t="str">
            <v>EUR</v>
          </cell>
          <cell r="N294" t="str">
            <v/>
          </cell>
          <cell r="O294">
            <v>9.2110670977973985E-4</v>
          </cell>
          <cell r="P294">
            <v>3.0431560735831864E-3</v>
          </cell>
          <cell r="Q294">
            <v>9.9455190630729495E-3</v>
          </cell>
          <cell r="R294">
            <v>2.0631985352393523E-2</v>
          </cell>
          <cell r="S294" t="str">
            <v/>
          </cell>
          <cell r="T294">
            <v>4.6057717704412804E-2</v>
          </cell>
          <cell r="U294">
            <v>7.0854188517419647E-2</v>
          </cell>
          <cell r="V294">
            <v>0.10488620432818285</v>
          </cell>
          <cell r="W294" t="str">
            <v/>
          </cell>
          <cell r="X294">
            <v>9.8354718933602037E-4</v>
          </cell>
          <cell r="Y294">
            <v>3.1877043359580526E-3</v>
          </cell>
          <cell r="Z294">
            <v>1.0440457371482692E-2</v>
          </cell>
          <cell r="AA294">
            <v>2.1654783466459104E-2</v>
          </cell>
          <cell r="AB294" t="str">
            <v/>
          </cell>
          <cell r="AC294">
            <v>4.8311763473719571E-2</v>
          </cell>
          <cell r="AD294">
            <v>7.428300342404115E-2</v>
          </cell>
          <cell r="AE294">
            <v>0.10985616379329843</v>
          </cell>
        </row>
        <row r="295">
          <cell r="D295" t="str">
            <v>EUR</v>
          </cell>
          <cell r="N295" t="str">
            <v/>
          </cell>
          <cell r="O295">
            <v>5.1865313340326846E-4</v>
          </cell>
          <cell r="P295">
            <v>2.1728294388565494E-3</v>
          </cell>
          <cell r="Q295">
            <v>6.7232037803609535E-3</v>
          </cell>
          <cell r="R295">
            <v>1.3782220335361695E-2</v>
          </cell>
          <cell r="S295" t="str">
            <v/>
          </cell>
          <cell r="T295">
            <v>3.4432597515647645E-2</v>
          </cell>
          <cell r="U295">
            <v>5.9034141008521335E-2</v>
          </cell>
          <cell r="V295">
            <v>0.10814779851252376</v>
          </cell>
          <cell r="W295" t="str">
            <v/>
          </cell>
          <cell r="X295">
            <v>6.0193977532152498E-4</v>
          </cell>
          <cell r="Y295">
            <v>2.3391201093502234E-3</v>
          </cell>
          <cell r="Z295">
            <v>7.0542408698676118E-3</v>
          </cell>
          <cell r="AA295">
            <v>1.446386032797442E-2</v>
          </cell>
          <cell r="AB295" t="str">
            <v/>
          </cell>
          <cell r="AC295">
            <v>3.6124164751780263E-2</v>
          </cell>
          <cell r="AD295">
            <v>6.1908631533080904E-2</v>
          </cell>
          <cell r="AE295">
            <v>0.11332695446794694</v>
          </cell>
        </row>
        <row r="296">
          <cell r="D296" t="str">
            <v>USD</v>
          </cell>
          <cell r="N296" t="str">
            <v/>
          </cell>
          <cell r="O296" t="str">
            <v/>
          </cell>
          <cell r="P296">
            <v>1.1212529218074252E-3</v>
          </cell>
          <cell r="Q296" t="str">
            <v/>
          </cell>
          <cell r="R296">
            <v>1.2534328478737367E-2</v>
          </cell>
          <cell r="S296" t="str">
            <v/>
          </cell>
          <cell r="T296">
            <v>2.8816920547930835E-2</v>
          </cell>
          <cell r="U296">
            <v>5.3039374066115474E-2</v>
          </cell>
          <cell r="V296">
            <v>9.2585364910251156E-2</v>
          </cell>
          <cell r="W296" t="str">
            <v/>
          </cell>
          <cell r="X296" t="str">
            <v/>
          </cell>
          <cell r="Y296">
            <v>1.2877188404590845E-3</v>
          </cell>
          <cell r="Z296" t="str">
            <v/>
          </cell>
          <cell r="AA296">
            <v>1.3133538262760869E-2</v>
          </cell>
          <cell r="AB296" t="str">
            <v/>
          </cell>
          <cell r="AC296">
            <v>3.0231994509713478E-2</v>
          </cell>
          <cell r="AD296">
            <v>5.562529445190556E-2</v>
          </cell>
          <cell r="AE296">
            <v>9.7041409350864916E-2</v>
          </cell>
        </row>
        <row r="297">
          <cell r="D297" t="str">
            <v>USD</v>
          </cell>
          <cell r="N297" t="str">
            <v/>
          </cell>
          <cell r="O297" t="str">
            <v/>
          </cell>
          <cell r="P297">
            <v>1.0864501880809563E-3</v>
          </cell>
          <cell r="Q297" t="str">
            <v/>
          </cell>
          <cell r="R297">
            <v>1.0839086242467433E-2</v>
          </cell>
          <cell r="S297" t="str">
            <v/>
          </cell>
          <cell r="T297">
            <v>2.2283241639454276E-2</v>
          </cell>
          <cell r="U297">
            <v>4.3942381207787706E-2</v>
          </cell>
          <cell r="V297">
            <v>8.0780490072087985E-2</v>
          </cell>
          <cell r="W297" t="str">
            <v/>
          </cell>
          <cell r="X297" t="str">
            <v/>
          </cell>
          <cell r="Y297">
            <v>1.2529219066996777E-3</v>
          </cell>
          <cell r="Z297" t="str">
            <v/>
          </cell>
          <cell r="AA297">
            <v>1.1358259427295403E-2</v>
          </cell>
          <cell r="AB297" t="str">
            <v/>
          </cell>
          <cell r="AC297">
            <v>2.3378567292613672E-2</v>
          </cell>
          <cell r="AD297">
            <v>4.6091632470970145E-2</v>
          </cell>
          <cell r="AE297">
            <v>8.4667853631394063E-2</v>
          </cell>
        </row>
        <row r="298">
          <cell r="D298" t="str">
            <v>USD</v>
          </cell>
          <cell r="N298" t="str">
            <v/>
          </cell>
          <cell r="O298" t="str">
            <v/>
          </cell>
          <cell r="P298">
            <v>2.0882873527908741E-3</v>
          </cell>
          <cell r="Q298" t="str">
            <v/>
          </cell>
          <cell r="R298">
            <v>1.024692441098729E-2</v>
          </cell>
          <cell r="S298" t="str">
            <v/>
          </cell>
          <cell r="T298">
            <v>2.585143283779423E-2</v>
          </cell>
          <cell r="U298">
            <v>4.8743901296733338E-2</v>
          </cell>
          <cell r="V298">
            <v>9.7020655069939399E-2</v>
          </cell>
          <cell r="W298" t="str">
            <v/>
          </cell>
          <cell r="X298" t="str">
            <v/>
          </cell>
          <cell r="Y298">
            <v>2.2545921124562662E-3</v>
          </cell>
          <cell r="Z298" t="str">
            <v/>
          </cell>
          <cell r="AA298">
            <v>1.0741677250240445E-2</v>
          </cell>
          <cell r="AB298" t="str">
            <v/>
          </cell>
          <cell r="AC298">
            <v>2.7124917913048385E-2</v>
          </cell>
          <cell r="AD298">
            <v>5.1128084737356749E-2</v>
          </cell>
          <cell r="AE298">
            <v>0.10170126492620657</v>
          </cell>
        </row>
        <row r="299">
          <cell r="D299" t="str">
            <v>USD</v>
          </cell>
          <cell r="N299" t="str">
            <v/>
          </cell>
          <cell r="O299" t="str">
            <v/>
          </cell>
          <cell r="P299">
            <v>2.0882873527908741E-3</v>
          </cell>
          <cell r="Q299" t="str">
            <v/>
          </cell>
          <cell r="R299">
            <v>1.024692441098729E-2</v>
          </cell>
          <cell r="S299" t="str">
            <v/>
          </cell>
          <cell r="T299">
            <v>2.585143283779423E-2</v>
          </cell>
          <cell r="U299">
            <v>4.8743901296733338E-2</v>
          </cell>
          <cell r="V299">
            <v>9.7020655069939399E-2</v>
          </cell>
          <cell r="W299" t="str">
            <v/>
          </cell>
          <cell r="X299" t="str">
            <v/>
          </cell>
          <cell r="Y299">
            <v>2.2545921124562662E-3</v>
          </cell>
          <cell r="Z299" t="str">
            <v/>
          </cell>
          <cell r="AA299">
            <v>1.0741677250240445E-2</v>
          </cell>
          <cell r="AB299" t="str">
            <v/>
          </cell>
          <cell r="AC299">
            <v>2.7124917913048385E-2</v>
          </cell>
          <cell r="AD299">
            <v>5.1128084737356749E-2</v>
          </cell>
          <cell r="AE299">
            <v>0.10170126492620657</v>
          </cell>
        </row>
        <row r="300">
          <cell r="D300" t="str">
            <v>USD</v>
          </cell>
          <cell r="N300" t="str">
            <v/>
          </cell>
          <cell r="O300" t="str">
            <v/>
          </cell>
          <cell r="P300">
            <v>8.4975967665934515E-4</v>
          </cell>
          <cell r="Q300" t="str">
            <v/>
          </cell>
          <cell r="R300">
            <v>1.0079505722001114E-2</v>
          </cell>
          <cell r="S300" t="str">
            <v/>
          </cell>
          <cell r="T300">
            <v>2.2833446286305126E-2</v>
          </cell>
          <cell r="U300">
            <v>4.3334757122374001E-2</v>
          </cell>
          <cell r="V300">
            <v>7.9956530891261091E-2</v>
          </cell>
          <cell r="W300" t="str">
            <v/>
          </cell>
          <cell r="X300" t="str">
            <v/>
          </cell>
          <cell r="Y300">
            <v>1.0162708404068965E-3</v>
          </cell>
          <cell r="Z300" t="str">
            <v/>
          </cell>
          <cell r="AA300">
            <v>1.0574342249696111E-2</v>
          </cell>
          <cell r="AB300" t="str">
            <v/>
          </cell>
          <cell r="AC300">
            <v>2.3953629461721304E-2</v>
          </cell>
          <cell r="AD300">
            <v>4.5452699960103593E-2</v>
          </cell>
          <cell r="AE300">
            <v>8.380324314926757E-2</v>
          </cell>
        </row>
        <row r="301">
          <cell r="D301" t="str">
            <v>USD</v>
          </cell>
          <cell r="N301" t="str">
            <v/>
          </cell>
          <cell r="O301" t="str">
            <v/>
          </cell>
          <cell r="P301">
            <v>1.2569720844100019E-3</v>
          </cell>
          <cell r="Q301" t="str">
            <v/>
          </cell>
          <cell r="R301">
            <v>9.1942652724509299E-3</v>
          </cell>
          <cell r="S301" t="str">
            <v/>
          </cell>
          <cell r="T301">
            <v>2.1996969895597074E-2</v>
          </cell>
          <cell r="U301">
            <v>4.2478069850777067E-2</v>
          </cell>
          <cell r="V301">
            <v>7.6169670835067205E-2</v>
          </cell>
          <cell r="W301" t="str">
            <v/>
          </cell>
          <cell r="X301" t="str">
            <v/>
          </cell>
          <cell r="Y301">
            <v>1.4234153850898323E-3</v>
          </cell>
          <cell r="Z301" t="str">
            <v/>
          </cell>
          <cell r="AA301">
            <v>9.6895443097742007E-3</v>
          </cell>
          <cell r="AB301" t="str">
            <v/>
          </cell>
          <cell r="AC301">
            <v>2.3073089107243705E-2</v>
          </cell>
          <cell r="AD301">
            <v>4.4551920535900957E-2</v>
          </cell>
          <cell r="AE301">
            <v>7.9837270008437211E-2</v>
          </cell>
        </row>
        <row r="302">
          <cell r="D302" t="str">
            <v>EUR</v>
          </cell>
          <cell r="N302" t="str">
            <v/>
          </cell>
          <cell r="O302">
            <v>5.4594323121426314E-4</v>
          </cell>
          <cell r="P302">
            <v>1.0446661685874492E-3</v>
          </cell>
          <cell r="Q302">
            <v>4.1457633276648087E-3</v>
          </cell>
          <cell r="R302">
            <v>9.3351024819504635E-3</v>
          </cell>
          <cell r="S302" t="str">
            <v/>
          </cell>
          <cell r="T302">
            <v>2.5152572652900607E-2</v>
          </cell>
          <cell r="U302">
            <v>4.2388059230664465E-2</v>
          </cell>
          <cell r="V302">
            <v>7.8351029680674422E-2</v>
          </cell>
          <cell r="W302" t="str">
            <v/>
          </cell>
          <cell r="X302">
            <v>6.2922759904748826E-4</v>
          </cell>
          <cell r="Y302">
            <v>1.2111448506226807E-3</v>
          </cell>
          <cell r="Z302">
            <v>4.4776594207824871E-3</v>
          </cell>
          <cell r="AA302">
            <v>9.8303111182469483E-3</v>
          </cell>
          <cell r="AB302" t="str">
            <v/>
          </cell>
          <cell r="AC302">
            <v>2.638159083724545E-2</v>
          </cell>
          <cell r="AD302">
            <v>4.4455134658189399E-2</v>
          </cell>
          <cell r="AE302">
            <v>8.2117615838468438E-2</v>
          </cell>
        </row>
        <row r="303">
          <cell r="D303" t="str">
            <v>USD</v>
          </cell>
          <cell r="N303" t="str">
            <v/>
          </cell>
          <cell r="O303" t="str">
            <v/>
          </cell>
          <cell r="P303">
            <v>1.1351736783257182E-3</v>
          </cell>
          <cell r="Q303" t="str">
            <v/>
          </cell>
          <cell r="R303">
            <v>9.6179160955335297E-3</v>
          </cell>
          <cell r="S303" t="str">
            <v/>
          </cell>
          <cell r="T303">
            <v>2.3308344232192635E-2</v>
          </cell>
          <cell r="U303">
            <v>4.1163621774345405E-2</v>
          </cell>
          <cell r="V303">
            <v>6.995998584516383E-2</v>
          </cell>
          <cell r="W303" t="str">
            <v/>
          </cell>
          <cell r="X303" t="str">
            <v/>
          </cell>
          <cell r="Y303">
            <v>1.3016372770298101E-3</v>
          </cell>
          <cell r="Z303" t="str">
            <v/>
          </cell>
          <cell r="AA303">
            <v>1.0112983360338612E-2</v>
          </cell>
          <cell r="AB303" t="str">
            <v/>
          </cell>
          <cell r="AC303">
            <v>2.4450491702461608E-2</v>
          </cell>
          <cell r="AD303">
            <v>4.3175025602657735E-2</v>
          </cell>
          <cell r="AE303">
            <v>7.3335880198426073E-2</v>
          </cell>
        </row>
        <row r="304">
          <cell r="D304" t="str">
            <v>EUR</v>
          </cell>
          <cell r="N304" t="str">
            <v/>
          </cell>
          <cell r="O304">
            <v>4.5497334759936336E-4</v>
          </cell>
          <cell r="P304">
            <v>8.7063095825812287E-4</v>
          </cell>
          <cell r="Q304">
            <v>3.4556797820997076E-3</v>
          </cell>
          <cell r="R304">
            <v>7.7834086460574214E-3</v>
          </cell>
          <cell r="S304" t="str">
            <v/>
          </cell>
          <cell r="T304">
            <v>2.2630626801622866E-2</v>
          </cell>
          <cell r="U304">
            <v>4.0230982194373377E-2</v>
          </cell>
          <cell r="V304">
            <v>6.9556971171860882E-2</v>
          </cell>
          <cell r="W304" t="str">
            <v/>
          </cell>
          <cell r="X304">
            <v>5.3826529594969141E-4</v>
          </cell>
          <cell r="Y304">
            <v>1.0371386437357799E-3</v>
          </cell>
          <cell r="Z304">
            <v>3.7878058647371482E-3</v>
          </cell>
          <cell r="AA304">
            <v>8.2793929353108808E-3</v>
          </cell>
          <cell r="AB304" t="str">
            <v/>
          </cell>
          <cell r="AC304">
            <v>2.3728509373894036E-2</v>
          </cell>
          <cell r="AD304">
            <v>4.2187016399201749E-2</v>
          </cell>
          <cell r="AE304">
            <v>7.2905332113767707E-2</v>
          </cell>
        </row>
        <row r="305">
          <cell r="D305" t="str">
            <v>EUR</v>
          </cell>
          <cell r="N305" t="str">
            <v/>
          </cell>
          <cell r="O305">
            <v>3.6399520350638426E-4</v>
          </cell>
          <cell r="P305">
            <v>1.049060286898551E-3</v>
          </cell>
          <cell r="Q305">
            <v>3.8010831333065154E-3</v>
          </cell>
          <cell r="R305">
            <v>7.2323104235898494E-3</v>
          </cell>
          <cell r="S305" t="str">
            <v/>
          </cell>
          <cell r="T305">
            <v>2.0859194367127021E-2</v>
          </cell>
          <cell r="U305">
            <v>3.9134327449110162E-2</v>
          </cell>
          <cell r="V305">
            <v>7.186498170609279E-2</v>
          </cell>
          <cell r="W305" t="str">
            <v/>
          </cell>
          <cell r="X305">
            <v>4.4729473304006007E-4</v>
          </cell>
          <cell r="Y305">
            <v>1.2155382366452194E-3</v>
          </cell>
          <cell r="Z305">
            <v>4.1330941006814115E-3</v>
          </cell>
          <cell r="AA305">
            <v>7.7285701930812634E-3</v>
          </cell>
          <cell r="AB305" t="str">
            <v/>
          </cell>
          <cell r="AC305">
            <v>2.1869210805171124E-2</v>
          </cell>
          <cell r="AD305">
            <v>4.1036690995483904E-2</v>
          </cell>
          <cell r="AE305">
            <v>7.5322965556477661E-2</v>
          </cell>
        </row>
        <row r="306">
          <cell r="D306" t="str">
            <v>USD</v>
          </cell>
          <cell r="N306" t="str">
            <v/>
          </cell>
          <cell r="O306" t="str">
            <v/>
          </cell>
          <cell r="P306">
            <v>6.7394614047022738E-4</v>
          </cell>
          <cell r="Q306" t="str">
            <v/>
          </cell>
          <cell r="R306">
            <v>6.7200786941882251E-3</v>
          </cell>
          <cell r="S306" t="str">
            <v/>
          </cell>
          <cell r="T306">
            <v>1.7360891285542634E-2</v>
          </cell>
          <cell r="U306">
            <v>3.8479001619805553E-2</v>
          </cell>
          <cell r="V306">
            <v>6.3272643623229707E-2</v>
          </cell>
          <cell r="W306" t="str">
            <v/>
          </cell>
          <cell r="X306" t="str">
            <v/>
          </cell>
          <cell r="Y306">
            <v>8.404866040392367E-4</v>
          </cell>
          <cell r="Z306" t="str">
            <v/>
          </cell>
          <cell r="AA306">
            <v>7.2165945155356903E-3</v>
          </cell>
          <cell r="AB306" t="str">
            <v/>
          </cell>
          <cell r="AC306">
            <v>1.8179416110110536E-2</v>
          </cell>
          <cell r="AD306">
            <v>4.0347219810654034E-2</v>
          </cell>
          <cell r="AE306">
            <v>6.6323498112879298E-2</v>
          </cell>
        </row>
        <row r="307">
          <cell r="D307" t="str">
            <v>EUR</v>
          </cell>
          <cell r="N307" t="str">
            <v/>
          </cell>
          <cell r="O307">
            <v>3.6399520350638426E-4</v>
          </cell>
          <cell r="P307">
            <v>1.5776928696848991E-3</v>
          </cell>
          <cell r="Q307">
            <v>4.8300036012460801E-3</v>
          </cell>
          <cell r="R307">
            <v>8.7578517722344262E-3</v>
          </cell>
          <cell r="S307" t="str">
            <v/>
          </cell>
          <cell r="T307">
            <v>2.156941971103199E-2</v>
          </cell>
          <cell r="U307">
            <v>3.4954312096123541E-2</v>
          </cell>
          <cell r="V307">
            <v>5.8630790834494517E-2</v>
          </cell>
          <cell r="W307" t="str">
            <v/>
          </cell>
          <cell r="X307">
            <v>4.4729473304006007E-4</v>
          </cell>
          <cell r="Y307">
            <v>1.7440827213339727E-3</v>
          </cell>
          <cell r="Z307">
            <v>5.161671652306743E-3</v>
          </cell>
          <cell r="AA307">
            <v>9.2533489617411258E-3</v>
          </cell>
          <cell r="AB307" t="str">
            <v/>
          </cell>
          <cell r="AC307">
            <v>2.2623035431614147E-2</v>
          </cell>
          <cell r="AD307">
            <v>3.6661117150498357E-2</v>
          </cell>
          <cell r="AE307">
            <v>6.146876160227055E-2</v>
          </cell>
        </row>
        <row r="308">
          <cell r="D308" t="str">
            <v>EUR</v>
          </cell>
          <cell r="N308" t="str">
            <v/>
          </cell>
          <cell r="O308">
            <v>4.5497334759936336E-4</v>
          </cell>
          <cell r="P308">
            <v>1.22308070448085E-3</v>
          </cell>
          <cell r="Q308">
            <v>3.7927823407388761E-3</v>
          </cell>
          <cell r="R308">
            <v>8.2859042324988641E-3</v>
          </cell>
          <cell r="S308" t="str">
            <v/>
          </cell>
          <cell r="T308">
            <v>1.9878731060564148E-2</v>
          </cell>
          <cell r="U308">
            <v>3.5236478943504235E-2</v>
          </cell>
          <cell r="V308">
            <v>6.4703833634608743E-2</v>
          </cell>
          <cell r="W308" t="str">
            <v/>
          </cell>
          <cell r="X308">
            <v>5.3826529594969141E-4</v>
          </cell>
          <cell r="Y308">
            <v>1.3895296532399071E-3</v>
          </cell>
          <cell r="Z308">
            <v>4.124796074582493E-3</v>
          </cell>
          <cell r="AA308">
            <v>8.7816373367883838E-3</v>
          </cell>
          <cell r="AB308" t="str">
            <v/>
          </cell>
          <cell r="AC308">
            <v>2.084471629135054E-2</v>
          </cell>
          <cell r="AD308">
            <v>3.6953075360384835E-2</v>
          </cell>
          <cell r="AE308">
            <v>6.7827522129052076E-2</v>
          </cell>
        </row>
        <row r="309">
          <cell r="D309" t="str">
            <v>EUR</v>
          </cell>
          <cell r="N309" t="str">
            <v/>
          </cell>
          <cell r="O309">
            <v>3.6399520350638426E-4</v>
          </cell>
          <cell r="P309">
            <v>8.728201724156337E-4</v>
          </cell>
          <cell r="Q309">
            <v>3.1086041784720297E-3</v>
          </cell>
          <cell r="R309">
            <v>7.2706402611258936E-3</v>
          </cell>
          <cell r="S309" t="str">
            <v/>
          </cell>
          <cell r="T309">
            <v>1.8211863196228584E-2</v>
          </cell>
          <cell r="U309">
            <v>3.4242684874590257E-2</v>
          </cell>
          <cell r="V309">
            <v>5.9399270821817951E-2</v>
          </cell>
          <cell r="W309" t="str">
            <v/>
          </cell>
          <cell r="X309">
            <v>4.4729473304006007E-4</v>
          </cell>
          <cell r="Y309">
            <v>1.0393274930516894E-3</v>
          </cell>
          <cell r="Z309">
            <v>3.4408459337169628E-3</v>
          </cell>
          <cell r="AA309">
            <v>7.7668808705068093E-3</v>
          </cell>
          <cell r="AB309" t="str">
            <v/>
          </cell>
          <cell r="AC309">
            <v>1.907055208476105E-2</v>
          </cell>
          <cell r="AD309">
            <v>3.590756999842637E-2</v>
          </cell>
          <cell r="AE309">
            <v>6.2268569571166332E-2</v>
          </cell>
        </row>
        <row r="310">
          <cell r="D310" t="str">
            <v>EUR</v>
          </cell>
          <cell r="N310" t="str">
            <v/>
          </cell>
          <cell r="O310">
            <v>4.5497334759936336E-4</v>
          </cell>
          <cell r="P310">
            <v>1.0468631450375465E-3</v>
          </cell>
          <cell r="Q310">
            <v>4.1480051453959277E-3</v>
          </cell>
          <cell r="R310">
            <v>8.2758480360302089E-3</v>
          </cell>
          <cell r="S310" t="str">
            <v/>
          </cell>
          <cell r="T310">
            <v>1.9868489015620661E-2</v>
          </cell>
          <cell r="U310">
            <v>3.2621847597286258E-2</v>
          </cell>
          <cell r="V310">
            <v>5.7323262221941729E-2</v>
          </cell>
          <cell r="W310" t="str">
            <v/>
          </cell>
          <cell r="X310">
            <v>5.3826529594969141E-4</v>
          </cell>
          <cell r="Y310">
            <v>1.2133414609432069E-3</v>
          </cell>
          <cell r="Z310">
            <v>4.4799004913916862E-3</v>
          </cell>
          <cell r="AA310">
            <v>8.7715861671472384E-3</v>
          </cell>
          <cell r="AB310" t="str">
            <v/>
          </cell>
          <cell r="AC310">
            <v>2.083443770740312E-2</v>
          </cell>
          <cell r="AD310">
            <v>3.4211302515329001E-2</v>
          </cell>
          <cell r="AE310">
            <v>6.0096335129151357E-2</v>
          </cell>
        </row>
      </sheetData>
      <sheetData sheetId="3" refreshError="1"/>
      <sheetData sheetId="4" refreshError="1"/>
      <sheetData sheetId="5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Parametres"/>
      <sheetName val="Option"/>
      <sheetName val="IRS Strip"/>
      <sheetName val="CDS Strip"/>
      <sheetName val="Fwd Intensity"/>
      <sheetName val="CDS"/>
      <sheetName val="Valo_Add_In"/>
    </sheetNames>
    <definedNames>
      <definedName name="GetDeltaOptionPortfolio"/>
      <definedName name="GetGammaOptionPortfolio"/>
      <definedName name="GetOptionPortfolioPrice"/>
      <definedName name="GetOptionPrice"/>
      <definedName name="GetSensiOption"/>
      <definedName name="GetThetaOptionPortfolio"/>
      <definedName name="GetVegaOptionPortfolio"/>
    </defined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2.bin"/><Relationship Id="rId5" Type="http://schemas.openxmlformats.org/officeDocument/2006/relationships/comments" Target="../comments3.xml"/><Relationship Id="rId4" Type="http://schemas.openxmlformats.org/officeDocument/2006/relationships/ctrlProp" Target="../ctrlProps/ctrlProp6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7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EDB75-5265-4831-BD12-DFF7054CFEDF}">
  <sheetPr codeName="Feuil3"/>
  <dimension ref="B1:F16"/>
  <sheetViews>
    <sheetView showGridLines="0" workbookViewId="0">
      <selection activeCell="E23" sqref="E23"/>
    </sheetView>
  </sheetViews>
  <sheetFormatPr defaultColWidth="11.42578125" defaultRowHeight="15"/>
  <cols>
    <col min="2" max="2" width="15.5703125" bestFit="1" customWidth="1"/>
    <col min="3" max="3" width="4.42578125" customWidth="1"/>
    <col min="4" max="4" width="14.140625" bestFit="1" customWidth="1"/>
    <col min="5" max="5" width="11.42578125" bestFit="1" customWidth="1"/>
  </cols>
  <sheetData>
    <row r="1" spans="2:6" ht="15.75" thickBot="1"/>
    <row r="2" spans="2:6" ht="15.75" thickBot="1">
      <c r="B2" s="42" t="s">
        <v>33</v>
      </c>
      <c r="D2" s="42" t="s">
        <v>430</v>
      </c>
      <c r="F2" s="42" t="s">
        <v>34</v>
      </c>
    </row>
    <row r="3" spans="2:6">
      <c r="B3" s="38" t="s">
        <v>7</v>
      </c>
      <c r="D3" s="38" t="s">
        <v>32</v>
      </c>
      <c r="F3" s="37" t="s">
        <v>0</v>
      </c>
    </row>
    <row r="4" spans="2:6" ht="15.75" thickBot="1">
      <c r="B4" s="41" t="s">
        <v>30</v>
      </c>
      <c r="D4" s="41" t="s">
        <v>31</v>
      </c>
      <c r="F4" s="38" t="s">
        <v>2</v>
      </c>
    </row>
    <row r="5" spans="2:6" ht="15.75" thickBot="1">
      <c r="F5" s="41" t="s">
        <v>1</v>
      </c>
    </row>
    <row r="6" spans="2:6" ht="15.75" thickBot="1">
      <c r="B6" s="57" t="s">
        <v>44</v>
      </c>
    </row>
    <row r="7" spans="2:6" ht="15.75" thickBot="1">
      <c r="B7" s="142" t="s">
        <v>45</v>
      </c>
      <c r="D7" s="92" t="s">
        <v>429</v>
      </c>
      <c r="E7" s="145">
        <f ca="1">TODAY()</f>
        <v>45429</v>
      </c>
    </row>
    <row r="8" spans="2:6">
      <c r="B8" s="143" t="s">
        <v>46</v>
      </c>
    </row>
    <row r="9" spans="2:6">
      <c r="B9" s="143" t="s">
        <v>43</v>
      </c>
    </row>
    <row r="10" spans="2:6">
      <c r="B10" s="143" t="s">
        <v>41</v>
      </c>
    </row>
    <row r="11" spans="2:6" ht="15.75" thickBot="1">
      <c r="B11" s="144" t="s">
        <v>42</v>
      </c>
    </row>
    <row r="13" spans="2:6" ht="15.75" thickBot="1"/>
    <row r="14" spans="2:6" ht="15.75" thickBot="1">
      <c r="B14" s="57" t="s">
        <v>420</v>
      </c>
      <c r="D14" s="57" t="s">
        <v>421</v>
      </c>
    </row>
    <row r="15" spans="2:6">
      <c r="B15" s="37" t="b">
        <v>1</v>
      </c>
      <c r="D15" s="37" t="s">
        <v>83</v>
      </c>
    </row>
    <row r="16" spans="2:6" ht="15.75" thickBot="1">
      <c r="B16" s="41" t="b">
        <v>0</v>
      </c>
      <c r="D16" s="41" t="s">
        <v>422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7EB02E2-4443-40A4-AF11-E2FDD01FCACE}">
  <sheetPr codeName="Feuil2"/>
  <dimension ref="A1:AA27"/>
  <sheetViews>
    <sheetView showGridLines="0" topLeftCell="A34" zoomScale="97" zoomScaleNormal="400" workbookViewId="0">
      <selection activeCell="G29" sqref="G29"/>
    </sheetView>
  </sheetViews>
  <sheetFormatPr defaultColWidth="11.42578125" defaultRowHeight="15"/>
  <cols>
    <col min="1" max="1" width="6.140625" customWidth="1"/>
    <col min="2" max="2" width="12.5703125" customWidth="1"/>
    <col min="4" max="4" width="13.42578125" customWidth="1"/>
    <col min="5" max="5" width="9.85546875" customWidth="1"/>
    <col min="6" max="6" width="12" customWidth="1"/>
    <col min="7" max="7" width="25.42578125" customWidth="1"/>
    <col min="8" max="8" width="11.5703125" customWidth="1"/>
    <col min="9" max="9" width="10.5703125" customWidth="1"/>
    <col min="10" max="10" width="10.140625" customWidth="1"/>
    <col min="11" max="11" width="9.42578125" customWidth="1"/>
    <col min="12" max="12" width="12.85546875" customWidth="1"/>
    <col min="13" max="13" width="10" customWidth="1"/>
    <col min="14" max="14" width="5.5703125" customWidth="1"/>
    <col min="15" max="15" width="12.140625" customWidth="1"/>
    <col min="16" max="16" width="10.5703125" customWidth="1"/>
    <col min="17" max="17" width="8" style="48" customWidth="1"/>
    <col min="23" max="23" width="10" customWidth="1"/>
    <col min="24" max="24" width="11.5703125" customWidth="1"/>
    <col min="25" max="25" width="8.42578125" customWidth="1"/>
    <col min="26" max="26" width="12.42578125" customWidth="1"/>
    <col min="27" max="27" width="10" customWidth="1"/>
  </cols>
  <sheetData>
    <row r="1" spans="1:23" ht="24.6" customHeight="1" thickBot="1"/>
    <row r="2" spans="1:23" ht="31.35" customHeight="1" thickBot="1">
      <c r="D2" s="53" t="s">
        <v>36</v>
      </c>
      <c r="E2" s="101"/>
      <c r="F2" s="102"/>
      <c r="I2" s="53" t="s">
        <v>15</v>
      </c>
      <c r="J2" s="101"/>
      <c r="K2" s="102"/>
      <c r="T2" s="53" t="s">
        <v>92</v>
      </c>
      <c r="U2" s="101"/>
      <c r="V2" s="102"/>
    </row>
    <row r="3" spans="1:23" s="2" customFormat="1">
      <c r="D3" s="52"/>
      <c r="Q3" s="49"/>
    </row>
    <row r="4" spans="1:23" ht="28.5" customHeight="1" thickBot="1"/>
    <row r="5" spans="1:23" ht="15.75" thickBot="1">
      <c r="A5" s="54" t="s">
        <v>17</v>
      </c>
      <c r="C5" s="472" t="s">
        <v>21</v>
      </c>
      <c r="D5" s="473"/>
      <c r="F5" s="470" t="s">
        <v>23</v>
      </c>
      <c r="G5" s="471"/>
      <c r="I5" s="470" t="s">
        <v>22</v>
      </c>
      <c r="J5" s="471"/>
      <c r="R5" s="472" t="s">
        <v>39</v>
      </c>
      <c r="S5" s="473"/>
      <c r="U5" s="470" t="s">
        <v>40</v>
      </c>
      <c r="V5" s="471"/>
    </row>
    <row r="6" spans="1:23" ht="15.75" thickBot="1">
      <c r="A6" s="55" t="s">
        <v>18</v>
      </c>
      <c r="C6" s="98"/>
      <c r="D6" s="98"/>
      <c r="F6" s="99"/>
      <c r="G6" s="99"/>
      <c r="I6" s="99"/>
      <c r="J6" s="99"/>
      <c r="R6" s="98"/>
      <c r="S6" s="98"/>
      <c r="U6" s="99"/>
      <c r="V6" s="99"/>
    </row>
    <row r="7" spans="1:23" ht="15.75" thickBot="1">
      <c r="A7" s="56" t="s">
        <v>19</v>
      </c>
      <c r="C7" s="104" t="s">
        <v>91</v>
      </c>
      <c r="D7" s="100">
        <v>2</v>
      </c>
      <c r="F7" s="114" t="s">
        <v>24</v>
      </c>
      <c r="G7" s="5" cm="1">
        <f t="array" aca="1" ref="G7" ca="1">GetBSOptionPrice(D7,D8,D9,D10,D11,D12,D13,D14,D16)</f>
        <v>20.901150830870165</v>
      </c>
      <c r="I7" s="114" t="s">
        <v>24</v>
      </c>
      <c r="J7" s="5" cm="1">
        <f t="array" aca="1" ref="J7" ca="1">GetMCEurOptionPrice(D7,D8,D9,D10,D11,D12,D13,D14,D16)</f>
        <v>20.899534980755327</v>
      </c>
      <c r="R7" s="104" t="s">
        <v>91</v>
      </c>
      <c r="S7" s="100">
        <v>1</v>
      </c>
      <c r="U7" s="114" t="s">
        <v>24</v>
      </c>
      <c r="V7" s="5" t="e" cm="1">
        <f t="array" aca="1" ref="V7" ca="1">[3]!GetOptionPrice(S7,S8,S9,S10,S11,S12,S14)</f>
        <v>#NAME?</v>
      </c>
    </row>
    <row r="8" spans="1:23" ht="15.75" thickBot="1">
      <c r="C8" s="105" t="s">
        <v>14</v>
      </c>
      <c r="D8" s="30" t="s">
        <v>7</v>
      </c>
      <c r="E8" s="4"/>
      <c r="F8" s="4"/>
      <c r="K8" s="1"/>
      <c r="R8" s="105" t="s">
        <v>14</v>
      </c>
      <c r="S8" s="30" t="s">
        <v>7</v>
      </c>
      <c r="T8" s="4"/>
      <c r="U8" s="4"/>
      <c r="V8" s="4"/>
      <c r="W8" s="4"/>
    </row>
    <row r="9" spans="1:23">
      <c r="C9" s="105" t="s">
        <v>27</v>
      </c>
      <c r="D9" s="30" t="s">
        <v>32</v>
      </c>
      <c r="E9" s="4"/>
      <c r="F9" s="115" t="s">
        <v>4</v>
      </c>
      <c r="G9" s="13" cm="1">
        <f t="array" aca="1" ref="G9:G12" ca="1">GetSensiOptionBS(D7,D8,D9,D10,D11,D12,D13,D14,D16)</f>
        <v>1.2736611720140605</v>
      </c>
      <c r="I9" s="4"/>
      <c r="K9" s="1"/>
      <c r="R9" s="106" t="s">
        <v>27</v>
      </c>
      <c r="S9" s="30" t="s">
        <v>29</v>
      </c>
      <c r="T9" s="4"/>
      <c r="U9" s="115" t="s">
        <v>4</v>
      </c>
      <c r="V9" s="13" t="e" cm="1">
        <f t="array" aca="1" ref="V9" ca="1">[3]!GetSensiOption(S7,S8,S9,S10,S11,S12,S14)</f>
        <v>#NAME?</v>
      </c>
      <c r="W9" s="4"/>
    </row>
    <row r="10" spans="1:23">
      <c r="C10" s="106" t="s">
        <v>11</v>
      </c>
      <c r="D10" s="30">
        <v>100</v>
      </c>
      <c r="E10" s="4"/>
      <c r="F10" s="106" t="s">
        <v>5</v>
      </c>
      <c r="G10" s="14">
        <f ca="1"/>
        <v>3.752403469169379E-2</v>
      </c>
      <c r="R10" s="106" t="s">
        <v>9</v>
      </c>
      <c r="S10" s="30">
        <v>100</v>
      </c>
      <c r="T10" s="4"/>
      <c r="U10" s="106" t="s">
        <v>5</v>
      </c>
      <c r="V10" s="14"/>
      <c r="W10" s="4"/>
    </row>
    <row r="11" spans="1:23">
      <c r="C11" s="107" t="s">
        <v>3</v>
      </c>
      <c r="D11" s="39">
        <v>0.2</v>
      </c>
      <c r="E11" s="4"/>
      <c r="F11" s="106" t="s">
        <v>6</v>
      </c>
      <c r="G11" s="14">
        <f ca="1"/>
        <v>2.1815586198119661</v>
      </c>
      <c r="R11" s="106" t="s">
        <v>10</v>
      </c>
      <c r="S11" s="46">
        <v>44989</v>
      </c>
      <c r="T11" s="4"/>
      <c r="U11" s="106" t="s">
        <v>6</v>
      </c>
      <c r="V11" s="14"/>
      <c r="W11" s="4"/>
    </row>
    <row r="12" spans="1:23" ht="15.75" thickBot="1">
      <c r="C12" s="107" t="s">
        <v>8</v>
      </c>
      <c r="D12" s="39">
        <v>0.05</v>
      </c>
      <c r="E12" s="4"/>
      <c r="F12" s="116" t="s">
        <v>26</v>
      </c>
      <c r="G12" s="15">
        <f ca="1"/>
        <v>75.048069383387585</v>
      </c>
      <c r="R12" s="116" t="s">
        <v>13</v>
      </c>
      <c r="S12" s="40" t="s">
        <v>0</v>
      </c>
      <c r="T12" s="4"/>
      <c r="U12" s="116" t="s">
        <v>26</v>
      </c>
      <c r="V12" s="15"/>
      <c r="W12" s="4"/>
    </row>
    <row r="13" spans="1:23" ht="15.75" thickBot="1">
      <c r="C13" s="107" t="s">
        <v>9</v>
      </c>
      <c r="D13" s="30">
        <v>100</v>
      </c>
      <c r="E13" s="4"/>
      <c r="R13" s="4"/>
      <c r="S13" s="4"/>
      <c r="T13" s="4"/>
      <c r="W13" s="4"/>
    </row>
    <row r="14" spans="1:23" ht="15.75" thickBot="1">
      <c r="C14" s="108" t="s">
        <v>10</v>
      </c>
      <c r="D14" s="31">
        <v>1</v>
      </c>
      <c r="E14" s="4"/>
      <c r="R14" s="113" t="s">
        <v>12</v>
      </c>
      <c r="S14" s="12">
        <v>0</v>
      </c>
      <c r="T14" s="4"/>
      <c r="W14" s="4"/>
    </row>
    <row r="15" spans="1:23" ht="15.75" thickBot="1">
      <c r="C15" s="4"/>
      <c r="D15" s="7"/>
      <c r="E15" s="4"/>
      <c r="F15" s="4"/>
      <c r="R15" s="4"/>
      <c r="S15" s="7"/>
      <c r="T15" s="4"/>
      <c r="U15" s="4"/>
      <c r="V15" s="4"/>
      <c r="W15" s="4"/>
    </row>
    <row r="16" spans="1:23" ht="15.75" thickBot="1">
      <c r="C16" s="113" t="s">
        <v>12</v>
      </c>
      <c r="D16" s="8">
        <v>0</v>
      </c>
      <c r="E16" s="4"/>
      <c r="F16" s="4"/>
      <c r="G16" s="4"/>
      <c r="T16" s="4"/>
      <c r="U16" s="4"/>
      <c r="V16" s="4"/>
      <c r="W16" s="4"/>
    </row>
    <row r="17" spans="2:27">
      <c r="P17" s="4"/>
      <c r="Q17" s="50"/>
      <c r="R17" s="4"/>
      <c r="S17" s="4"/>
      <c r="T17" s="4"/>
      <c r="U17" s="4"/>
      <c r="V17" s="4"/>
      <c r="W17" s="4"/>
    </row>
    <row r="18" spans="2:27" s="2" customFormat="1" ht="28.35" customHeight="1">
      <c r="E18" s="3" t="s">
        <v>37</v>
      </c>
      <c r="P18" s="16"/>
      <c r="Q18" s="51"/>
      <c r="R18" s="16"/>
      <c r="S18" s="16"/>
      <c r="T18" s="3" t="s">
        <v>38</v>
      </c>
      <c r="U18" s="16"/>
      <c r="V18" s="16"/>
      <c r="W18" s="16"/>
    </row>
    <row r="19" spans="2:27" ht="15.75" thickBot="1">
      <c r="P19" s="4"/>
      <c r="Q19" s="50"/>
      <c r="R19" s="4"/>
      <c r="S19" s="4"/>
      <c r="T19" s="4"/>
      <c r="U19" s="4"/>
      <c r="V19" s="4"/>
      <c r="W19" s="4"/>
    </row>
    <row r="20" spans="2:27" ht="15.75" thickBot="1">
      <c r="B20" s="472" t="s">
        <v>21</v>
      </c>
      <c r="C20" s="474"/>
      <c r="D20" s="474"/>
      <c r="E20" s="474"/>
      <c r="F20" s="474"/>
      <c r="G20" s="474"/>
      <c r="H20" s="474"/>
      <c r="I20" s="474"/>
      <c r="J20" s="473"/>
      <c r="L20" s="472" t="s">
        <v>23</v>
      </c>
      <c r="M20" s="473"/>
      <c r="O20" s="472" t="s">
        <v>22</v>
      </c>
      <c r="P20" s="473"/>
      <c r="R20" s="475" t="s">
        <v>39</v>
      </c>
      <c r="S20" s="476"/>
      <c r="T20" s="476"/>
      <c r="U20" s="476"/>
      <c r="V20" s="476"/>
      <c r="W20" s="476"/>
      <c r="X20" s="477"/>
      <c r="Z20" s="470" t="s">
        <v>40</v>
      </c>
      <c r="AA20" s="471"/>
    </row>
    <row r="21" spans="2:27" ht="15.75" thickBot="1">
      <c r="B21" s="117" t="s">
        <v>91</v>
      </c>
      <c r="C21" s="166" t="s">
        <v>14</v>
      </c>
      <c r="D21" s="167" t="s">
        <v>27</v>
      </c>
      <c r="E21" s="166" t="s">
        <v>11</v>
      </c>
      <c r="F21" s="167" t="s">
        <v>3</v>
      </c>
      <c r="G21" s="166" t="s">
        <v>8</v>
      </c>
      <c r="H21" s="167" t="s">
        <v>9</v>
      </c>
      <c r="I21" s="166" t="s">
        <v>10</v>
      </c>
      <c r="J21" s="168" t="s">
        <v>12</v>
      </c>
      <c r="R21" s="117" t="s">
        <v>91</v>
      </c>
      <c r="S21" s="118" t="s">
        <v>14</v>
      </c>
      <c r="T21" s="118" t="s">
        <v>35</v>
      </c>
      <c r="U21" s="119" t="s">
        <v>9</v>
      </c>
      <c r="V21" s="119" t="s">
        <v>10</v>
      </c>
      <c r="W21" s="120" t="s">
        <v>13</v>
      </c>
      <c r="X21" s="120" t="s">
        <v>12</v>
      </c>
    </row>
    <row r="22" spans="2:27" ht="15.75" thickBot="1">
      <c r="B22" s="9">
        <v>1</v>
      </c>
      <c r="C22" s="20" t="s">
        <v>7</v>
      </c>
      <c r="D22" s="20" t="s">
        <v>32</v>
      </c>
      <c r="E22" s="20">
        <v>100</v>
      </c>
      <c r="F22" s="21">
        <v>0.2</v>
      </c>
      <c r="G22" s="21">
        <v>0.02</v>
      </c>
      <c r="H22" s="20">
        <v>100</v>
      </c>
      <c r="I22" s="20">
        <v>1</v>
      </c>
      <c r="J22" s="22">
        <v>0</v>
      </c>
      <c r="L22" s="114" t="s">
        <v>25</v>
      </c>
      <c r="M22" s="5" cm="1">
        <f t="array" aca="1" ref="M22" ca="1">GetBSOptionPortfolioPrice(B22:J26)</f>
        <v>8.9160347480998183</v>
      </c>
      <c r="O22" s="114" t="s">
        <v>25</v>
      </c>
      <c r="P22" s="47" cm="1">
        <f t="array" aca="1" ref="P22" ca="1">GetMCEurOptionPortfolioPrice(B22:J26)</f>
        <v>8.9200082573172104</v>
      </c>
      <c r="R22" s="17">
        <v>1</v>
      </c>
      <c r="S22" s="29" t="s">
        <v>16</v>
      </c>
      <c r="T22" s="29" t="s">
        <v>29</v>
      </c>
      <c r="U22" s="29">
        <v>-100</v>
      </c>
      <c r="V22" s="43">
        <v>44989</v>
      </c>
      <c r="W22" s="32" t="s">
        <v>0</v>
      </c>
      <c r="X22" s="34">
        <v>0</v>
      </c>
      <c r="Z22" s="112" t="s">
        <v>25</v>
      </c>
      <c r="AA22" s="5" t="e" cm="1">
        <f t="array" aca="1" ref="AA22" ca="1">[3]!GetOptionPortfolioPrice(R22:X26)</f>
        <v>#NAME?</v>
      </c>
    </row>
    <row r="23" spans="2:27" ht="15.75" thickBot="1">
      <c r="B23" s="10">
        <v>0</v>
      </c>
      <c r="C23" s="23" t="s">
        <v>7</v>
      </c>
      <c r="D23" s="23" t="s">
        <v>31</v>
      </c>
      <c r="E23" s="23">
        <v>100</v>
      </c>
      <c r="F23" s="24">
        <v>0.2</v>
      </c>
      <c r="G23" s="24">
        <v>0.05</v>
      </c>
      <c r="H23" s="23">
        <v>100</v>
      </c>
      <c r="I23" s="23">
        <v>1</v>
      </c>
      <c r="J23" s="25">
        <v>0</v>
      </c>
      <c r="R23" s="18">
        <v>0</v>
      </c>
      <c r="S23" s="30" t="s">
        <v>20</v>
      </c>
      <c r="T23" s="30" t="s">
        <v>28</v>
      </c>
      <c r="U23" s="30">
        <v>100</v>
      </c>
      <c r="V23" s="44">
        <v>44989</v>
      </c>
      <c r="W23" s="6" t="s">
        <v>2</v>
      </c>
      <c r="X23" s="35">
        <v>0</v>
      </c>
    </row>
    <row r="24" spans="2:27">
      <c r="B24" s="10">
        <v>0</v>
      </c>
      <c r="C24" s="23" t="s">
        <v>7</v>
      </c>
      <c r="D24" s="23" t="s">
        <v>31</v>
      </c>
      <c r="E24" s="23">
        <v>100</v>
      </c>
      <c r="F24" s="24">
        <v>0.2</v>
      </c>
      <c r="G24" s="24">
        <v>0.05</v>
      </c>
      <c r="H24" s="23">
        <v>100</v>
      </c>
      <c r="I24" s="23">
        <v>1</v>
      </c>
      <c r="J24" s="25">
        <v>0</v>
      </c>
      <c r="L24" s="115" t="s">
        <v>4</v>
      </c>
      <c r="M24" s="13" cm="1">
        <f t="array" aca="1" ref="M24" ca="1">GetDeltaOptionPortfolioBS(B22:J26)</f>
        <v>0.57925968462447519</v>
      </c>
      <c r="R24" s="18">
        <v>0</v>
      </c>
      <c r="S24" s="30" t="s">
        <v>16</v>
      </c>
      <c r="T24" s="30" t="s">
        <v>29</v>
      </c>
      <c r="U24" s="30">
        <v>100</v>
      </c>
      <c r="V24" s="44">
        <v>44989</v>
      </c>
      <c r="W24" s="6" t="s">
        <v>0</v>
      </c>
      <c r="X24" s="35">
        <v>0</v>
      </c>
      <c r="Z24" s="115" t="s">
        <v>4</v>
      </c>
      <c r="AA24" s="13" t="e">
        <f t="array" aca="1" ref="AA24" ca="1">[3]!GetDeltaOptionPortfolio(R22:X26)</f>
        <v>#NAME?</v>
      </c>
    </row>
    <row r="25" spans="2:27">
      <c r="B25" s="10">
        <v>0</v>
      </c>
      <c r="C25" s="23" t="s">
        <v>7</v>
      </c>
      <c r="D25" s="23" t="s">
        <v>32</v>
      </c>
      <c r="E25" s="23">
        <v>100</v>
      </c>
      <c r="F25" s="24">
        <v>0.01</v>
      </c>
      <c r="G25" s="24">
        <v>0.97</v>
      </c>
      <c r="H25" s="23">
        <v>100</v>
      </c>
      <c r="I25" s="23">
        <v>3</v>
      </c>
      <c r="J25" s="25">
        <v>0</v>
      </c>
      <c r="L25" s="106" t="s">
        <v>5</v>
      </c>
      <c r="M25" s="14" cm="1">
        <f t="array" aca="1" ref="M25" ca="1">GetGammaOptionPortfolioBS(B22:J26)</f>
        <v>1.9552134698772795E-2</v>
      </c>
      <c r="R25" s="18">
        <v>0</v>
      </c>
      <c r="S25" s="30" t="s">
        <v>20</v>
      </c>
      <c r="T25" s="30" t="s">
        <v>28</v>
      </c>
      <c r="U25" s="30">
        <v>100</v>
      </c>
      <c r="V25" s="44">
        <v>44989</v>
      </c>
      <c r="W25" s="6" t="s">
        <v>2</v>
      </c>
      <c r="X25" s="35">
        <v>0</v>
      </c>
      <c r="Z25" s="106" t="s">
        <v>5</v>
      </c>
      <c r="AA25" s="14" t="e" cm="1">
        <f t="array" aca="1" ref="AA25" ca="1">[3]!GetGammaOptionPortfolio(R22:X26)</f>
        <v>#NAME?</v>
      </c>
    </row>
    <row r="26" spans="2:27" ht="15.75" thickBot="1">
      <c r="B26" s="11">
        <v>0</v>
      </c>
      <c r="C26" s="26" t="s">
        <v>7</v>
      </c>
      <c r="D26" s="26" t="s">
        <v>32</v>
      </c>
      <c r="E26" s="26">
        <v>100</v>
      </c>
      <c r="F26" s="27">
        <v>0.01</v>
      </c>
      <c r="G26" s="27">
        <v>0.97</v>
      </c>
      <c r="H26" s="26">
        <v>100</v>
      </c>
      <c r="I26" s="26">
        <v>1</v>
      </c>
      <c r="J26" s="28">
        <v>0</v>
      </c>
      <c r="L26" s="106" t="s">
        <v>6</v>
      </c>
      <c r="M26" s="14" cm="1">
        <f t="array" aca="1" ref="M26" ca="1">GetThetaOptionPortfolioBS(B22:J26)</f>
        <v>2.9302282654676048</v>
      </c>
      <c r="R26" s="19">
        <v>0</v>
      </c>
      <c r="S26" s="31" t="s">
        <v>16</v>
      </c>
      <c r="T26" s="31" t="s">
        <v>29</v>
      </c>
      <c r="U26" s="31">
        <v>100</v>
      </c>
      <c r="V26" s="45">
        <v>44989</v>
      </c>
      <c r="W26" s="33" t="s">
        <v>0</v>
      </c>
      <c r="X26" s="36">
        <v>0</v>
      </c>
      <c r="Z26" s="106" t="s">
        <v>6</v>
      </c>
      <c r="AA26" s="14" t="e" cm="1">
        <f t="array" aca="1" ref="AA26" ca="1">[3]!GetThetaOptionPortfolio(R22:X26)</f>
        <v>#NAME?</v>
      </c>
    </row>
    <row r="27" spans="2:27" ht="15.75" thickBot="1">
      <c r="L27" s="116" t="s">
        <v>26</v>
      </c>
      <c r="M27" s="15" cm="1">
        <f t="array" aca="1" ref="M27" ca="1">GetVegaOptionPortfolioBS(B22:J26)</f>
        <v>39.104269397545586</v>
      </c>
      <c r="Z27" s="116" t="s">
        <v>26</v>
      </c>
      <c r="AA27" s="15" t="e" cm="1">
        <f t="array" aca="1" ref="AA27" ca="1">[3]!GetVegaOptionPortfolio(R22:X26)</f>
        <v>#NAME?</v>
      </c>
    </row>
  </sheetData>
  <mergeCells count="10">
    <mergeCell ref="C5:D5"/>
    <mergeCell ref="F5:G5"/>
    <mergeCell ref="B20:J20"/>
    <mergeCell ref="R20:X20"/>
    <mergeCell ref="U5:V5"/>
    <mergeCell ref="Z20:AA20"/>
    <mergeCell ref="L20:M20"/>
    <mergeCell ref="O20:P20"/>
    <mergeCell ref="R5:S5"/>
    <mergeCell ref="I5:J5"/>
  </mergeCells>
  <dataValidations count="3">
    <dataValidation allowBlank="1" showDropDown="1" showInputMessage="1" showErrorMessage="1" sqref="D16 S14 D7 S7" xr:uid="{8A9BE13E-5E16-477A-A019-24A7ADD4DD1B}"/>
    <dataValidation type="list" allowBlank="1" showInputMessage="1" showErrorMessage="1" sqref="D8 C22:C26" xr:uid="{426DF4DD-476D-475B-A60B-D95D779F3813}">
      <formula1>optionFlag</formula1>
    </dataValidation>
    <dataValidation type="list" allowBlank="1" showInputMessage="1" showErrorMessage="1" sqref="D9 D22:D26" xr:uid="{F9C2E432-478D-472A-8B3F-1F7782C139EA}">
      <formula1>optionPosition</formula1>
    </dataValidation>
  </dataValidation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0" r:id="rId4" name="Button 6">
              <controlPr defaultSize="0" print="0" autoFill="0" autoPict="0" macro="[0]!CurrentRegionCalculate">
                <anchor moveWithCells="1" sizeWithCells="1">
                  <from>
                    <xdr:col>8</xdr:col>
                    <xdr:colOff>47625</xdr:colOff>
                    <xdr:row>10</xdr:row>
                    <xdr:rowOff>76200</xdr:rowOff>
                  </from>
                  <to>
                    <xdr:col>10</xdr:col>
                    <xdr:colOff>485775</xdr:colOff>
                    <xdr:row>12</xdr:row>
                    <xdr:rowOff>104775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DAC24F-C48F-4512-B812-D9C3760D66C7}">
  <sheetPr codeName="Feuil1"/>
  <dimension ref="B6:Q16"/>
  <sheetViews>
    <sheetView showGridLines="0" workbookViewId="0">
      <selection activeCell="F14" sqref="F14"/>
    </sheetView>
  </sheetViews>
  <sheetFormatPr defaultColWidth="11.42578125" defaultRowHeight="15"/>
  <cols>
    <col min="2" max="2" width="11.85546875" bestFit="1" customWidth="1"/>
    <col min="6" max="7" width="20.42578125" bestFit="1" customWidth="1"/>
    <col min="17" max="17" width="35.140625" bestFit="1" customWidth="1"/>
  </cols>
  <sheetData>
    <row r="6" spans="2:17" ht="15.75" thickBot="1"/>
    <row r="7" spans="2:17" ht="15.75" thickBot="1">
      <c r="B7" s="109" t="s">
        <v>47</v>
      </c>
      <c r="C7" s="103">
        <f ca="1">TODAY()</f>
        <v>45418</v>
      </c>
      <c r="D7" s="110"/>
      <c r="E7" s="111"/>
      <c r="F7" s="481" t="s">
        <v>48</v>
      </c>
      <c r="G7" s="482"/>
      <c r="H7" s="482"/>
      <c r="I7" s="482"/>
      <c r="J7" s="482"/>
      <c r="K7" s="482"/>
      <c r="L7" s="482"/>
      <c r="M7" s="482"/>
      <c r="N7" s="482"/>
      <c r="O7" s="482"/>
      <c r="P7" s="482"/>
      <c r="Q7" s="483"/>
    </row>
    <row r="8" spans="2:17" ht="23.25" thickBot="1">
      <c r="B8" s="128" t="s">
        <v>49</v>
      </c>
      <c r="C8" s="129" t="s">
        <v>50</v>
      </c>
      <c r="D8" s="127" t="s">
        <v>51</v>
      </c>
      <c r="E8" s="128" t="s">
        <v>52</v>
      </c>
      <c r="F8" s="58" t="s">
        <v>53</v>
      </c>
      <c r="G8" s="59" t="s">
        <v>54</v>
      </c>
      <c r="H8" s="59" t="s">
        <v>55</v>
      </c>
      <c r="I8" s="59" t="s">
        <v>56</v>
      </c>
      <c r="J8" s="59" t="s">
        <v>57</v>
      </c>
      <c r="K8" s="59" t="s">
        <v>58</v>
      </c>
      <c r="L8" s="59" t="s">
        <v>59</v>
      </c>
      <c r="M8" s="59" t="s">
        <v>60</v>
      </c>
      <c r="N8" s="59" t="s">
        <v>61</v>
      </c>
      <c r="O8" s="59" t="s">
        <v>62</v>
      </c>
      <c r="P8" s="59" t="s">
        <v>63</v>
      </c>
      <c r="Q8" s="60" t="s">
        <v>64</v>
      </c>
    </row>
    <row r="9" spans="2:17">
      <c r="B9" s="61" t="s">
        <v>65</v>
      </c>
      <c r="C9" s="62" t="s">
        <v>41</v>
      </c>
      <c r="D9" s="62">
        <v>165.5616</v>
      </c>
      <c r="E9" s="63">
        <v>6</v>
      </c>
      <c r="F9" s="64">
        <v>9.7800000000000005E-3</v>
      </c>
      <c r="G9" s="65">
        <v>1.034E-2</v>
      </c>
      <c r="H9" s="65">
        <v>1.1040000000000001E-2</v>
      </c>
      <c r="I9" s="65">
        <v>1.2070000000000001E-2</v>
      </c>
      <c r="J9" s="65">
        <v>1.3089999999999999E-2</v>
      </c>
      <c r="K9" s="65">
        <v>1.41E-2</v>
      </c>
      <c r="L9" s="65">
        <v>1.5089999999999999E-2</v>
      </c>
      <c r="M9" s="65">
        <v>1.6040000000000002E-2</v>
      </c>
      <c r="N9" s="65">
        <v>1.6979999999999999E-2</v>
      </c>
      <c r="O9" s="65">
        <v>1.787E-2</v>
      </c>
      <c r="P9" s="65">
        <v>2.1237499999999999E-2</v>
      </c>
      <c r="Q9" s="66">
        <v>2.3387500000000002E-2</v>
      </c>
    </row>
    <row r="10" spans="2:17">
      <c r="B10" s="67" t="s">
        <v>66</v>
      </c>
      <c r="C10" s="68" t="s">
        <v>42</v>
      </c>
      <c r="D10" s="68">
        <v>1</v>
      </c>
      <c r="E10" s="69">
        <v>12</v>
      </c>
      <c r="F10" s="70">
        <v>4.6260000000000003E-2</v>
      </c>
      <c r="G10" s="71">
        <v>4.5110000000000004E-2</v>
      </c>
      <c r="H10" s="71">
        <v>4.4720000000000003E-2</v>
      </c>
      <c r="I10" s="71">
        <v>4.4595000000000003E-2</v>
      </c>
      <c r="J10" s="71">
        <v>4.4637900000000001E-2</v>
      </c>
      <c r="K10" s="71">
        <v>4.4790000000000003E-2</v>
      </c>
      <c r="L10" s="71">
        <v>4.5034999999999999E-2</v>
      </c>
      <c r="M10" s="71">
        <v>4.5289999999999997E-2</v>
      </c>
      <c r="N10" s="71">
        <v>4.5590099999999995E-2</v>
      </c>
      <c r="O10" s="71">
        <v>4.5885599999999999E-2</v>
      </c>
      <c r="P10" s="71">
        <v>4.7114099999999999E-2</v>
      </c>
      <c r="Q10" s="72">
        <v>4.7579999999999997E-2</v>
      </c>
    </row>
    <row r="11" spans="2:17" ht="15.75" thickBot="1">
      <c r="B11" s="73" t="s">
        <v>67</v>
      </c>
      <c r="C11" s="74" t="s">
        <v>43</v>
      </c>
      <c r="D11" s="74">
        <v>1.4422999999999999</v>
      </c>
      <c r="E11" s="75">
        <v>12</v>
      </c>
      <c r="F11" s="76">
        <v>4.5525000000000003E-2</v>
      </c>
      <c r="G11" s="77">
        <v>4.4480000000000006E-2</v>
      </c>
      <c r="H11" s="77">
        <v>4.5114999999999995E-2</v>
      </c>
      <c r="I11" s="77">
        <v>4.6085000000000001E-2</v>
      </c>
      <c r="J11" s="77">
        <v>4.7004999999999998E-2</v>
      </c>
      <c r="K11" s="77">
        <v>4.7800000000000002E-2</v>
      </c>
      <c r="L11" s="77">
        <v>4.8494999999999996E-2</v>
      </c>
      <c r="M11" s="77">
        <v>4.9075000000000001E-2</v>
      </c>
      <c r="N11" s="77">
        <v>4.9610000000000001E-2</v>
      </c>
      <c r="O11" s="77">
        <v>5.008E-2</v>
      </c>
      <c r="P11" s="77">
        <v>5.1595000000000002E-2</v>
      </c>
      <c r="Q11" s="78">
        <v>5.2305000000000004E-2</v>
      </c>
    </row>
    <row r="12" spans="2:17" ht="15.75" thickBot="1">
      <c r="B12" s="79"/>
      <c r="C12" s="79"/>
      <c r="D12" s="79"/>
      <c r="E12" s="79"/>
      <c r="F12" s="79"/>
      <c r="G12" s="79"/>
      <c r="H12" s="79"/>
      <c r="I12" s="79"/>
      <c r="J12" s="79"/>
      <c r="K12" s="79"/>
      <c r="L12" s="79"/>
      <c r="M12" s="79"/>
      <c r="N12" s="79"/>
      <c r="O12" s="79"/>
      <c r="P12" s="79"/>
      <c r="Q12" s="79"/>
    </row>
    <row r="13" spans="2:17" ht="15.75" thickBot="1">
      <c r="B13" s="79"/>
      <c r="C13" s="79"/>
      <c r="D13" s="79"/>
      <c r="E13" s="79"/>
      <c r="F13" s="478" t="s">
        <v>68</v>
      </c>
      <c r="G13" s="479"/>
      <c r="H13" s="479"/>
      <c r="I13" s="479"/>
      <c r="J13" s="479"/>
      <c r="K13" s="479"/>
      <c r="L13" s="479"/>
      <c r="M13" s="479"/>
      <c r="N13" s="479"/>
      <c r="O13" s="479"/>
      <c r="P13" s="479"/>
      <c r="Q13" s="480"/>
    </row>
    <row r="14" spans="2:17">
      <c r="B14" s="80" t="s">
        <v>65</v>
      </c>
      <c r="C14" s="81" t="s">
        <v>69</v>
      </c>
      <c r="D14" s="81" t="s">
        <v>69</v>
      </c>
      <c r="E14" s="124" t="s">
        <v>69</v>
      </c>
      <c r="F14" s="121">
        <f t="array" aca="1" ref="F14:Q14" ca="1">GetStripZC(C7,B9,F9:Q9,$F$8:$Q$8,E9,MATCH(C9,Swap_Convention,0)-1,D9)</f>
        <v>0.99029107708475339</v>
      </c>
      <c r="G14" s="82">
        <f ca="1"/>
        <v>0.97957846110014257</v>
      </c>
      <c r="H14" s="82">
        <f ca="1"/>
        <v>0.9674814056037363</v>
      </c>
      <c r="I14" s="82">
        <f ca="1"/>
        <v>0.95287057465265301</v>
      </c>
      <c r="J14" s="82">
        <f ca="1"/>
        <v>0.9365745088220242</v>
      </c>
      <c r="K14" s="82">
        <f ca="1"/>
        <v>0.91866420266619975</v>
      </c>
      <c r="L14" s="82">
        <f ca="1"/>
        <v>0.89930958235449032</v>
      </c>
      <c r="M14" s="82">
        <f ca="1"/>
        <v>0.8787540942804003</v>
      </c>
      <c r="N14" s="82">
        <f ca="1"/>
        <v>0.85700421876726918</v>
      </c>
      <c r="O14" s="82">
        <f ca="1"/>
        <v>0.83449599232833416</v>
      </c>
      <c r="P14" s="82">
        <f ca="1"/>
        <v>0.72139373258793171</v>
      </c>
      <c r="Q14" s="83">
        <f ca="1"/>
        <v>0.61570067178232346</v>
      </c>
    </row>
    <row r="15" spans="2:17">
      <c r="B15" s="84" t="s">
        <v>66</v>
      </c>
      <c r="C15" s="79" t="s">
        <v>69</v>
      </c>
      <c r="D15" s="79" t="s">
        <v>69</v>
      </c>
      <c r="E15" s="125" t="s">
        <v>69</v>
      </c>
      <c r="F15" s="122">
        <f t="array" aca="1" ref="F15:Q15" ca="1">GetStripZC(C7,B10,F10:Q10,$F$8:$Q$8,E10,MATCH(C10,Swap_Convention,0)-1,D10)</f>
        <v>0.95578536289059479</v>
      </c>
      <c r="G15" s="86">
        <f ca="1"/>
        <v>0.91558257931649556</v>
      </c>
      <c r="H15" s="86">
        <f ca="1"/>
        <v>0.87708898982376104</v>
      </c>
      <c r="I15" s="86">
        <f ca="1"/>
        <v>0.83997394410480419</v>
      </c>
      <c r="J15" s="86">
        <f ca="1"/>
        <v>0.8039340591704861</v>
      </c>
      <c r="K15" s="86">
        <f ca="1"/>
        <v>0.76883008192597146</v>
      </c>
      <c r="L15" s="86">
        <f ca="1"/>
        <v>0.73448792966323007</v>
      </c>
      <c r="M15" s="86">
        <f ca="1"/>
        <v>0.70122600961293913</v>
      </c>
      <c r="N15" s="86">
        <f ca="1"/>
        <v>0.66875756018814092</v>
      </c>
      <c r="O15" s="86">
        <f ca="1"/>
        <v>0.63736470172235449</v>
      </c>
      <c r="P15" s="86">
        <f ca="1"/>
        <v>0.49787574377614846</v>
      </c>
      <c r="Q15" s="87">
        <f ca="1"/>
        <v>0.39031641245391557</v>
      </c>
    </row>
    <row r="16" spans="2:17" ht="15.75" thickBot="1">
      <c r="B16" s="88" t="s">
        <v>67</v>
      </c>
      <c r="C16" s="89" t="s">
        <v>69</v>
      </c>
      <c r="D16" s="89" t="s">
        <v>69</v>
      </c>
      <c r="E16" s="126" t="s">
        <v>69</v>
      </c>
      <c r="F16" s="123">
        <f t="array" aca="1" ref="F16:Q16" ca="1">GetStripZC(C7,B11,F11:Q11,$F$8:$Q$8,E11,MATCH(C11,Swap_Convention,0)-1,D11)</f>
        <v>0.9558791988793085</v>
      </c>
      <c r="G16" s="90">
        <f ca="1"/>
        <v>0.91560041597046504</v>
      </c>
      <c r="H16" s="90">
        <f ca="1"/>
        <v>0.87439911368347478</v>
      </c>
      <c r="I16" s="90">
        <f ca="1"/>
        <v>0.83268478090473841</v>
      </c>
      <c r="J16" s="90">
        <f ca="1"/>
        <v>0.79161786092642983</v>
      </c>
      <c r="K16" s="90">
        <f ca="1"/>
        <v>0.75166488727904734</v>
      </c>
      <c r="L16" s="90">
        <f ca="1"/>
        <v>0.7129971446932416</v>
      </c>
      <c r="M16" s="90">
        <f ca="1"/>
        <v>0.67584474328012933</v>
      </c>
      <c r="N16" s="90">
        <f ca="1"/>
        <v>0.64011382073201317</v>
      </c>
      <c r="O16" s="90">
        <f ca="1"/>
        <v>0.6059375003307057</v>
      </c>
      <c r="P16" s="90">
        <f ca="1"/>
        <v>0.45931070306247429</v>
      </c>
      <c r="Q16" s="91">
        <f ca="1"/>
        <v>0.34828182340791536</v>
      </c>
    </row>
  </sheetData>
  <mergeCells count="2">
    <mergeCell ref="F13:Q13"/>
    <mergeCell ref="F7:Q7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CurrentRegionCalculate">
                <anchor moveWithCells="1" sizeWithCells="1">
                  <from>
                    <xdr:col>3</xdr:col>
                    <xdr:colOff>581025</xdr:colOff>
                    <xdr:row>18</xdr:row>
                    <xdr:rowOff>180975</xdr:rowOff>
                  </from>
                  <to>
                    <xdr:col>6</xdr:col>
                    <xdr:colOff>161925</xdr:colOff>
                    <xdr:row>21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4B6E0-72E1-4DD1-871B-2A40FF7CFE64}">
  <sheetPr codeName="Feuil5"/>
  <dimension ref="A1:AX361"/>
  <sheetViews>
    <sheetView showGridLines="0" zoomScale="107" workbookViewId="0">
      <selection activeCell="N12" sqref="N12"/>
    </sheetView>
  </sheetViews>
  <sheetFormatPr defaultColWidth="11.42578125" defaultRowHeight="15"/>
  <cols>
    <col min="2" max="2" width="30.42578125" bestFit="1" customWidth="1"/>
    <col min="14" max="16" width="15.140625" bestFit="1" customWidth="1"/>
    <col min="17" max="17" width="13.85546875" customWidth="1"/>
    <col min="18" max="31" width="15.140625" bestFit="1" customWidth="1"/>
  </cols>
  <sheetData>
    <row r="1" spans="1:50" ht="15.75" thickBot="1">
      <c r="C1" t="str" cm="1">
        <f t="array" aca="1" ref="C1" ca="1">IF(OR(B12="",NOT($J$7)),"",StripDefaultProbability(A12,B12,Parameter_Date,CDSRollDate,E12:M12,SpreadCurveMaturities,D12,C12))</f>
        <v/>
      </c>
    </row>
    <row r="2" spans="1:50" ht="15.75" thickBot="1">
      <c r="G2" s="481" t="s">
        <v>72</v>
      </c>
      <c r="H2" s="482"/>
      <c r="I2" s="482"/>
      <c r="J2" s="146" t="b">
        <v>1</v>
      </c>
    </row>
    <row r="3" spans="1:50" ht="15.75" thickBot="1">
      <c r="J3" s="99"/>
    </row>
    <row r="4" spans="1:50" ht="15.75" thickBot="1">
      <c r="G4" s="481" t="s">
        <v>73</v>
      </c>
      <c r="H4" s="482"/>
      <c r="I4" s="483"/>
      <c r="J4" s="141" t="b">
        <v>0</v>
      </c>
    </row>
    <row r="5" spans="1:50" ht="16.350000000000001" customHeight="1" thickBot="1">
      <c r="J5" s="99"/>
    </row>
    <row r="6" spans="1:50" s="79" customFormat="1" ht="15.6" customHeight="1" thickBot="1">
      <c r="B6" s="147" t="s">
        <v>70</v>
      </c>
      <c r="C6" s="487" t="b">
        <v>1</v>
      </c>
      <c r="D6" s="488"/>
      <c r="E6" s="85"/>
      <c r="F6" s="85"/>
      <c r="G6" s="481" t="s">
        <v>74</v>
      </c>
      <c r="H6" s="482"/>
      <c r="I6" s="483"/>
      <c r="J6" s="141" t="s">
        <v>422</v>
      </c>
      <c r="K6" s="85"/>
      <c r="L6" s="93"/>
      <c r="M6" s="85"/>
      <c r="N6" s="296"/>
      <c r="O6" s="296"/>
      <c r="P6" s="296"/>
      <c r="Q6" s="296"/>
      <c r="R6" s="296"/>
      <c r="S6" s="296"/>
      <c r="T6" s="296"/>
      <c r="U6" s="296"/>
      <c r="V6" s="296"/>
      <c r="W6" s="296"/>
      <c r="X6" s="296"/>
    </row>
    <row r="7" spans="1:50" s="79" customFormat="1" ht="13.5" customHeight="1" thickBot="1">
      <c r="B7" s="148" t="s">
        <v>71</v>
      </c>
      <c r="C7" s="489">
        <f ca="1">GetCDSRefDate(Parameter_Date,C6)</f>
        <v>45463</v>
      </c>
      <c r="D7" s="490"/>
      <c r="E7" s="85"/>
      <c r="F7" s="85"/>
    </row>
    <row r="8" spans="1:50" s="79" customFormat="1" ht="12" thickBot="1">
      <c r="B8" s="79" t="s">
        <v>75</v>
      </c>
      <c r="E8" s="85"/>
      <c r="F8" s="85"/>
      <c r="G8" s="85"/>
      <c r="H8" s="85"/>
      <c r="I8" s="85"/>
      <c r="J8" s="85"/>
      <c r="K8" s="85"/>
      <c r="L8" s="85"/>
      <c r="M8" s="85"/>
      <c r="N8" s="79" t="s">
        <v>87</v>
      </c>
      <c r="O8" s="79" t="s">
        <v>87</v>
      </c>
      <c r="P8" s="79" t="s">
        <v>87</v>
      </c>
    </row>
    <row r="9" spans="1:50" s="79" customFormat="1" ht="13.5" customHeight="1" thickBot="1">
      <c r="A9" s="150"/>
      <c r="B9" s="150"/>
      <c r="C9" s="150"/>
      <c r="D9" s="149"/>
      <c r="E9" s="481" t="s">
        <v>76</v>
      </c>
      <c r="F9" s="482"/>
      <c r="G9" s="482"/>
      <c r="H9" s="482"/>
      <c r="I9" s="482"/>
      <c r="J9" s="482"/>
      <c r="K9" s="482"/>
      <c r="L9" s="482"/>
      <c r="M9" s="483"/>
      <c r="N9" s="484" t="s">
        <v>77</v>
      </c>
      <c r="O9" s="485"/>
      <c r="P9" s="485"/>
      <c r="Q9" s="485"/>
      <c r="R9" s="485"/>
      <c r="S9" s="485"/>
      <c r="T9" s="485"/>
      <c r="U9" s="485"/>
      <c r="V9" s="486"/>
      <c r="W9" s="484" t="s">
        <v>78</v>
      </c>
      <c r="X9" s="485"/>
      <c r="Y9" s="485"/>
      <c r="Z9" s="485"/>
      <c r="AA9" s="485"/>
      <c r="AB9" s="485"/>
      <c r="AC9" s="485"/>
      <c r="AD9" s="485"/>
      <c r="AE9" s="486"/>
    </row>
    <row r="10" spans="1:50" s="79" customFormat="1" ht="15" customHeight="1" thickBot="1">
      <c r="A10" s="187" t="s">
        <v>79</v>
      </c>
      <c r="B10" s="192" t="s">
        <v>80</v>
      </c>
      <c r="C10" s="191" t="s">
        <v>81</v>
      </c>
      <c r="D10" s="187" t="s">
        <v>82</v>
      </c>
      <c r="E10" s="110" t="s">
        <v>83</v>
      </c>
      <c r="F10" s="155" t="s">
        <v>84</v>
      </c>
      <c r="G10" s="155" t="s">
        <v>53</v>
      </c>
      <c r="H10" s="155" t="s">
        <v>54</v>
      </c>
      <c r="I10" s="155" t="s">
        <v>55</v>
      </c>
      <c r="J10" s="155" t="s">
        <v>56</v>
      </c>
      <c r="K10" s="155" t="s">
        <v>57</v>
      </c>
      <c r="L10" s="155" t="s">
        <v>59</v>
      </c>
      <c r="M10" s="111" t="s">
        <v>62</v>
      </c>
      <c r="N10" s="193" t="str">
        <f t="shared" ref="N10:V10" ca="1" si="0">IF(E10="","",E10)</f>
        <v>3M</v>
      </c>
      <c r="O10" s="171" t="str">
        <f t="shared" ca="1" si="0"/>
        <v>6M</v>
      </c>
      <c r="P10" s="171" t="str">
        <f t="shared" ca="1" si="0"/>
        <v>1Y</v>
      </c>
      <c r="Q10" s="171" t="str">
        <f t="shared" ca="1" si="0"/>
        <v>2Y</v>
      </c>
      <c r="R10" s="171" t="str">
        <f t="shared" ca="1" si="0"/>
        <v>3Y</v>
      </c>
      <c r="S10" s="171" t="str">
        <f t="shared" ca="1" si="0"/>
        <v>4Y</v>
      </c>
      <c r="T10" s="171" t="str">
        <f t="shared" ca="1" si="0"/>
        <v>5Y</v>
      </c>
      <c r="U10" s="171" t="str">
        <f t="shared" ca="1" si="0"/>
        <v>7Y</v>
      </c>
      <c r="V10" s="171" t="str">
        <f t="shared" ca="1" si="0"/>
        <v>10Y</v>
      </c>
      <c r="W10" s="193" t="str">
        <f t="shared" ref="W10:AE10" ca="1" si="1">IF(E10="","",E10)</f>
        <v>3M</v>
      </c>
      <c r="X10" s="171" t="str">
        <f t="shared" ca="1" si="1"/>
        <v>6M</v>
      </c>
      <c r="Y10" s="171" t="str">
        <f t="shared" ca="1" si="1"/>
        <v>1Y</v>
      </c>
      <c r="Z10" s="171" t="str">
        <f t="shared" ca="1" si="1"/>
        <v>2Y</v>
      </c>
      <c r="AA10" s="171" t="str">
        <f t="shared" ca="1" si="1"/>
        <v>3Y</v>
      </c>
      <c r="AB10" s="171" t="str">
        <f t="shared" ca="1" si="1"/>
        <v>4Y</v>
      </c>
      <c r="AC10" s="171" t="str">
        <f t="shared" ca="1" si="1"/>
        <v>5Y</v>
      </c>
      <c r="AD10" s="171" t="str">
        <f t="shared" ca="1" si="1"/>
        <v>7Y</v>
      </c>
      <c r="AE10" s="172" t="str">
        <f t="shared" ca="1" si="1"/>
        <v>10Y</v>
      </c>
    </row>
    <row r="11" spans="1:50" s="79" customFormat="1" ht="15" customHeight="1" thickBot="1">
      <c r="A11" s="189"/>
      <c r="B11" s="190"/>
      <c r="C11" s="188" t="s">
        <v>85</v>
      </c>
      <c r="D11" s="191"/>
      <c r="E11" s="153" cm="1">
        <f t="array" aca="1" ref="E11" ca="1">IF(E10="","",GetConvertDate(CDSRollDate,E10))</f>
        <v>45555</v>
      </c>
      <c r="F11" s="153" cm="1">
        <f t="array" aca="1" ref="F11" ca="1">IF(F10="","",GetConvertDate(CDSRollDate,F10))</f>
        <v>45646</v>
      </c>
      <c r="G11" s="153" cm="1">
        <f t="array" aca="1" ref="G11" ca="1">IF(G10="","",GetConvertDate(CDSRollDate,G10))</f>
        <v>45828</v>
      </c>
      <c r="H11" s="153" cm="1">
        <f t="array" aca="1" ref="H11" ca="1">IF(H10="","",GetConvertDate(CDSRollDate,H10))</f>
        <v>46193</v>
      </c>
      <c r="I11" s="153" cm="1">
        <f t="array" aca="1" ref="I11" ca="1">IF(I10="","",GetConvertDate(CDSRollDate,I10))</f>
        <v>46558</v>
      </c>
      <c r="J11" s="153" cm="1">
        <f t="array" aca="1" ref="J11" ca="1">IF(J10="","",GetConvertDate(CDSRollDate,J10))</f>
        <v>46924</v>
      </c>
      <c r="K11" s="153" cm="1">
        <f t="array" aca="1" ref="K11" ca="1">IF(K10="","",GetConvertDate(CDSRollDate,K10))</f>
        <v>47289</v>
      </c>
      <c r="L11" s="153" cm="1">
        <f t="array" aca="1" ref="L11" ca="1">IF(L10="","",GetConvertDate(CDSRollDate,L10))</f>
        <v>48019</v>
      </c>
      <c r="M11" s="153" cm="1">
        <f t="array" aca="1" ref="M11" ca="1">IF(M10="","",GetConvertDate(CDSRollDate,M10))</f>
        <v>49115</v>
      </c>
      <c r="N11" s="152"/>
      <c r="O11" s="152"/>
      <c r="P11" s="152"/>
      <c r="Q11" s="152"/>
      <c r="R11" s="152"/>
      <c r="S11" s="152"/>
      <c r="T11" s="152"/>
      <c r="U11" s="152"/>
      <c r="V11" s="152"/>
      <c r="W11" s="151"/>
      <c r="X11" s="152"/>
      <c r="Y11" s="152"/>
      <c r="Z11" s="152"/>
      <c r="AA11" s="152"/>
      <c r="AB11" s="152"/>
      <c r="AC11" s="152"/>
      <c r="AD11" s="152"/>
      <c r="AE11" s="154"/>
    </row>
    <row r="12" spans="1:50" s="79" customFormat="1" ht="11.25">
      <c r="A12" s="94">
        <v>1</v>
      </c>
      <c r="B12" s="62" t="s">
        <v>86</v>
      </c>
      <c r="C12" s="95">
        <v>0.4</v>
      </c>
      <c r="D12" s="63" t="s">
        <v>66</v>
      </c>
      <c r="E12" s="130"/>
      <c r="F12" s="131">
        <v>1.33E-3</v>
      </c>
      <c r="G12" s="131">
        <v>2E-3</v>
      </c>
      <c r="H12" s="131">
        <v>2.5999999999999999E-3</v>
      </c>
      <c r="I12" s="131">
        <v>3.16E-3</v>
      </c>
      <c r="J12" s="131"/>
      <c r="K12" s="132">
        <v>4.0000000000000001E-3</v>
      </c>
      <c r="L12" s="131">
        <v>4.4000000000000003E-3</v>
      </c>
      <c r="M12" s="131">
        <v>4.7999999999999996E-3</v>
      </c>
      <c r="N12" s="133">
        <f t="array" aca="1" ref="N12:AE12" ca="1">IF(OR(B12="",NOT($J$2)),"",GetStripDefaultProbability(A12,B12,Parameter_Date,CDSRollDate,E12:M12,SpreadCurveMaturities,D12,C12,$J$4,$J$6))</f>
        <v>0</v>
      </c>
      <c r="O12" s="222">
        <f ca="1"/>
        <v>1.3260652449527122E-3</v>
      </c>
      <c r="P12" s="134">
        <f ca="1"/>
        <v>3.6795153778412804E-3</v>
      </c>
      <c r="Q12" s="134">
        <f ca="1"/>
        <v>9.1653254748573776E-3</v>
      </c>
      <c r="R12" s="134">
        <f ca="1"/>
        <v>1.6496517523687082E-2</v>
      </c>
      <c r="S12" s="134">
        <f ca="1"/>
        <v>0</v>
      </c>
      <c r="T12" s="134">
        <f ca="1"/>
        <v>3.4439969414994165E-2</v>
      </c>
      <c r="U12" s="134">
        <f ca="1"/>
        <v>5.251902360056504E-2</v>
      </c>
      <c r="V12" s="135">
        <f ca="1"/>
        <v>8.0983434351630912E-2</v>
      </c>
      <c r="W12" s="133">
        <f ca="1"/>
        <v>0</v>
      </c>
      <c r="X12" s="134">
        <f ca="1"/>
        <v>1.4256942036589004E-3</v>
      </c>
      <c r="Y12" s="134">
        <f ca="1"/>
        <v>3.8455549549304413E-3</v>
      </c>
      <c r="Z12" s="134">
        <f ca="1"/>
        <v>9.6213183850343276E-3</v>
      </c>
      <c r="AA12" s="134">
        <f ca="1"/>
        <v>1.7314996147435813E-2</v>
      </c>
      <c r="AB12" s="134">
        <f ca="1"/>
        <v>0</v>
      </c>
      <c r="AC12" s="134">
        <f ca="1"/>
        <v>3.6133500749934266E-2</v>
      </c>
      <c r="AD12" s="134">
        <f ca="1"/>
        <v>5.5080673501964217E-2</v>
      </c>
      <c r="AE12" s="135">
        <f ca="1"/>
        <v>8.4870614826839996E-2</v>
      </c>
      <c r="AG12" s="224"/>
      <c r="AH12" s="223"/>
      <c r="AI12" s="225"/>
      <c r="AJ12" s="136"/>
      <c r="AK12" s="136"/>
      <c r="AL12" s="136"/>
      <c r="AM12" s="136"/>
      <c r="AN12" s="136"/>
      <c r="AO12" s="136"/>
      <c r="AQ12" s="136"/>
      <c r="AR12" s="136"/>
      <c r="AS12" s="136"/>
      <c r="AT12" s="136"/>
      <c r="AV12" s="136"/>
      <c r="AW12" s="136"/>
      <c r="AX12" s="136"/>
    </row>
    <row r="13" spans="1:50" s="79" customFormat="1" ht="11.25">
      <c r="A13" s="96">
        <v>2</v>
      </c>
      <c r="B13" s="68" t="s">
        <v>88</v>
      </c>
      <c r="C13" s="97">
        <v>0.4</v>
      </c>
      <c r="D13" s="69" t="s">
        <v>66</v>
      </c>
      <c r="E13" s="137" t="s">
        <v>87</v>
      </c>
      <c r="F13" s="156">
        <v>8.0000000000000004E-4</v>
      </c>
      <c r="G13" s="156">
        <v>1.1000000000000001E-3</v>
      </c>
      <c r="H13" s="156">
        <v>1.6000000000000001E-3</v>
      </c>
      <c r="I13" s="156">
        <v>2.3E-3</v>
      </c>
      <c r="J13" s="156" t="s">
        <v>87</v>
      </c>
      <c r="K13" s="156">
        <v>3.5999999999999999E-3</v>
      </c>
      <c r="L13" s="156">
        <v>4.3E-3</v>
      </c>
      <c r="M13" s="156">
        <v>5.3E-3</v>
      </c>
      <c r="N13" s="138">
        <f t="array" aca="1" ref="N13:AE13" ca="1">IF(OR(B13="",NOT($J$2)),"",GetStripDefaultProbability(A13,B13,Parameter_Date,CDSRollDate,E13:M13,SpreadCurveMaturities,D13,C13,$J$4,$J$6))</f>
        <v>0</v>
      </c>
      <c r="O13" s="163">
        <f ca="1"/>
        <v>7.978434025011083E-4</v>
      </c>
      <c r="P13" s="163">
        <f ca="1"/>
        <v>2.0233272289342796E-3</v>
      </c>
      <c r="Q13" s="163">
        <f ca="1"/>
        <v>5.6574997992197007E-3</v>
      </c>
      <c r="R13" s="163">
        <f ca="1"/>
        <v>1.2106938749426588E-2</v>
      </c>
      <c r="S13" s="163">
        <f ca="1"/>
        <v>0</v>
      </c>
      <c r="T13" s="163">
        <f ca="1"/>
        <v>3.1450404165378254E-2</v>
      </c>
      <c r="U13" s="163">
        <f ca="1"/>
        <v>5.2212586957927409E-2</v>
      </c>
      <c r="V13" s="139">
        <f ca="1"/>
        <v>9.1737783379470805E-2</v>
      </c>
      <c r="W13" s="138">
        <f ca="1"/>
        <v>0</v>
      </c>
      <c r="X13" s="163">
        <f ca="1"/>
        <v>8.9752759609718069E-4</v>
      </c>
      <c r="Y13" s="163">
        <f ca="1"/>
        <v>2.1896428143788338E-3</v>
      </c>
      <c r="Z13" s="163">
        <f ca="1"/>
        <v>6.0074214322639596E-3</v>
      </c>
      <c r="AA13" s="163">
        <f ca="1"/>
        <v>1.2701901437713881E-2</v>
      </c>
      <c r="AB13" s="163">
        <f ca="1"/>
        <v>0</v>
      </c>
      <c r="AC13" s="163">
        <f ca="1"/>
        <v>3.299368601873498E-2</v>
      </c>
      <c r="AD13" s="163">
        <f ca="1"/>
        <v>5.4758298058663057E-2</v>
      </c>
      <c r="AE13" s="139">
        <f ca="1"/>
        <v>9.6127069500785423E-2</v>
      </c>
      <c r="AG13" s="225"/>
      <c r="AH13" s="136"/>
      <c r="AI13" s="136"/>
      <c r="AJ13" s="136"/>
      <c r="AK13" s="136"/>
      <c r="AL13" s="136"/>
      <c r="AM13" s="136"/>
      <c r="AN13" s="136"/>
      <c r="AO13" s="136"/>
      <c r="AQ13" s="136"/>
      <c r="AR13" s="136"/>
      <c r="AS13" s="136"/>
      <c r="AT13" s="136"/>
      <c r="AV13" s="136"/>
      <c r="AW13" s="136"/>
      <c r="AX13" s="136"/>
    </row>
    <row r="14" spans="1:50" s="79" customFormat="1" ht="11.25">
      <c r="A14" s="96">
        <f t="shared" ref="A14:A77" ca="1" si="2">IF(B14="","",A13+1)</f>
        <v>3</v>
      </c>
      <c r="B14" s="68" t="s">
        <v>89</v>
      </c>
      <c r="C14" s="97">
        <v>0.4</v>
      </c>
      <c r="D14" s="69" t="s">
        <v>66</v>
      </c>
      <c r="E14" s="137" t="s">
        <v>87</v>
      </c>
      <c r="F14" s="156">
        <v>5.9999999999999995E-4</v>
      </c>
      <c r="G14" s="156">
        <v>1E-3</v>
      </c>
      <c r="H14" s="156">
        <v>1.8E-3</v>
      </c>
      <c r="I14" s="156">
        <v>2.7000000000000001E-3</v>
      </c>
      <c r="J14" s="156" t="s">
        <v>87</v>
      </c>
      <c r="K14" s="156">
        <v>4.0000000000000001E-3</v>
      </c>
      <c r="L14" s="156">
        <v>5.1000000000000004E-3</v>
      </c>
      <c r="M14" s="156">
        <v>6.1999999999999998E-3</v>
      </c>
      <c r="N14" s="138">
        <f t="array" aca="1" ref="N14:AE14" ca="1">IF(OR(B14="",NOT($J$2)),"",GetStripDefaultProbability(A14,B14,Parameter_Date,CDSRollDate,E14:M14,SpreadCurveMaturities,D14,C14,$J$4,$J$6))</f>
        <v>0</v>
      </c>
      <c r="O14" s="163">
        <f ca="1"/>
        <v>5.9844205622783253E-4</v>
      </c>
      <c r="P14" s="163">
        <f ca="1"/>
        <v>1.8428118803728299E-3</v>
      </c>
      <c r="Q14" s="163">
        <f ca="1"/>
        <v>6.3863630975579122E-3</v>
      </c>
      <c r="R14" s="163">
        <f ca="1"/>
        <v>1.4244067436068319E-2</v>
      </c>
      <c r="S14" s="163">
        <f ca="1"/>
        <v>0</v>
      </c>
      <c r="T14" s="163">
        <f ca="1"/>
        <v>3.4862360155510363E-2</v>
      </c>
      <c r="U14" s="163">
        <f ca="1"/>
        <v>6.2030562912993914E-2</v>
      </c>
      <c r="V14" s="139">
        <f ca="1"/>
        <v>0.10677675195242098</v>
      </c>
      <c r="W14" s="138">
        <f ca="1"/>
        <v>0</v>
      </c>
      <c r="X14" s="163">
        <f ca="1"/>
        <v>6.9814675354706868E-4</v>
      </c>
      <c r="Y14" s="163">
        <f ca="1"/>
        <v>2.0091575491956171E-3</v>
      </c>
      <c r="Z14" s="163">
        <f ca="1"/>
        <v>6.7361151694061983E-3</v>
      </c>
      <c r="AA14" s="163">
        <f ca="1"/>
        <v>1.4945967991533582E-2</v>
      </c>
      <c r="AB14" s="163">
        <f ca="1"/>
        <v>0</v>
      </c>
      <c r="AC14" s="163">
        <f ca="1"/>
        <v>3.6572317648329467E-2</v>
      </c>
      <c r="AD14" s="163">
        <f ca="1"/>
        <v>6.504601894528883E-2</v>
      </c>
      <c r="AE14" s="139">
        <f ca="1"/>
        <v>0.11188505973894958</v>
      </c>
      <c r="AH14" s="136"/>
      <c r="AI14" s="136"/>
      <c r="AJ14" s="136"/>
      <c r="AK14" s="136"/>
      <c r="AM14" s="136"/>
      <c r="AN14" s="136"/>
      <c r="AO14" s="136"/>
      <c r="AQ14" s="136"/>
      <c r="AR14" s="136"/>
      <c r="AS14" s="136"/>
      <c r="AT14" s="136"/>
      <c r="AV14" s="136"/>
      <c r="AW14" s="136"/>
      <c r="AX14" s="136"/>
    </row>
    <row r="15" spans="1:50" s="79" customFormat="1" ht="11.25">
      <c r="A15" s="96">
        <f t="shared" ca="1" si="2"/>
        <v>4</v>
      </c>
      <c r="B15" s="68" t="s">
        <v>90</v>
      </c>
      <c r="C15" s="97">
        <v>0.4</v>
      </c>
      <c r="D15" s="69" t="s">
        <v>66</v>
      </c>
      <c r="E15" s="137" t="s">
        <v>87</v>
      </c>
      <c r="F15" s="156">
        <v>1.2600000000000001E-3</v>
      </c>
      <c r="G15" s="156">
        <v>1.7700000000000001E-3</v>
      </c>
      <c r="H15" s="156">
        <v>2.3999999999999998E-3</v>
      </c>
      <c r="I15" s="156">
        <v>2.9099999999999998E-3</v>
      </c>
      <c r="J15" s="156" t="s">
        <v>87</v>
      </c>
      <c r="K15" s="156">
        <v>3.8E-3</v>
      </c>
      <c r="L15" s="156">
        <v>4.2599999999999999E-3</v>
      </c>
      <c r="M15" s="156">
        <v>4.5999999999999999E-3</v>
      </c>
      <c r="N15" s="138" cm="1">
        <f t="array" aca="1" ref="N15:AE15" ca="1">IF(OR(B15="",NOT($J$2)),"",GetStripDefaultProbability(A15,B15,Parameter_Date,CDSRollDate,E15:M15,SpreadCurveMaturities,D15,C15,$J$4,$J$6))</f>
        <v>0</v>
      </c>
      <c r="O15" s="163">
        <f ca="1"/>
        <v>1.2563160471655843E-3</v>
      </c>
      <c r="P15" s="163">
        <f ca="1"/>
        <v>3.2547371981712647E-3</v>
      </c>
      <c r="Q15" s="163">
        <f ca="1"/>
        <v>8.467009258086633E-3</v>
      </c>
      <c r="R15" s="163">
        <f ca="1"/>
        <v>1.5202381920030317E-2</v>
      </c>
      <c r="S15" s="163">
        <f ca="1"/>
        <v>0</v>
      </c>
      <c r="T15" s="163">
        <f ca="1"/>
        <v>3.2799891682412707E-2</v>
      </c>
      <c r="U15" s="163">
        <f ca="1"/>
        <v>5.1047867757617604E-2</v>
      </c>
      <c r="V15" s="139">
        <f ca="1"/>
        <v>7.7749583654512233E-2</v>
      </c>
      <c r="W15" s="138">
        <f ca="1"/>
        <v>0</v>
      </c>
      <c r="X15" s="163">
        <f ca="1"/>
        <v>1.3559523776041082E-3</v>
      </c>
      <c r="Y15" s="163">
        <f ca="1"/>
        <v>3.4208475657284687E-3</v>
      </c>
      <c r="Z15" s="163">
        <f ca="1"/>
        <v>8.8875261849328258E-3</v>
      </c>
      <c r="AA15" s="163">
        <f ca="1"/>
        <v>1.5956209969801183E-2</v>
      </c>
      <c r="AB15" s="163">
        <f ca="1"/>
        <v>0</v>
      </c>
      <c r="AC15" s="163">
        <f ca="1"/>
        <v>3.4413441232523434E-2</v>
      </c>
      <c r="AD15" s="163">
        <f ca="1"/>
        <v>5.3539739110111895E-2</v>
      </c>
      <c r="AE15" s="139">
        <f ca="1"/>
        <v>8.1487853261429155E-2</v>
      </c>
      <c r="AH15" s="136"/>
      <c r="AI15" s="136"/>
      <c r="AJ15" s="136"/>
      <c r="AK15" s="136"/>
      <c r="AL15" s="140"/>
      <c r="AM15" s="136"/>
      <c r="AN15" s="136"/>
      <c r="AO15" s="136"/>
      <c r="AQ15" s="136"/>
      <c r="AR15" s="136"/>
      <c r="AS15" s="136"/>
      <c r="AT15" s="136"/>
      <c r="AV15" s="136"/>
      <c r="AW15" s="136"/>
      <c r="AX15" s="136"/>
    </row>
    <row r="16" spans="1:50" s="79" customFormat="1" ht="11.25">
      <c r="A16" s="96">
        <f t="shared" ca="1" si="2"/>
        <v>5</v>
      </c>
      <c r="B16" s="68" t="s">
        <v>93</v>
      </c>
      <c r="C16" s="97">
        <v>0.4</v>
      </c>
      <c r="D16" s="69" t="s">
        <v>66</v>
      </c>
      <c r="E16" s="137" t="s">
        <v>87</v>
      </c>
      <c r="F16" s="156">
        <v>5.0000000000000001E-4</v>
      </c>
      <c r="G16" s="156">
        <v>5.9999999999999995E-4</v>
      </c>
      <c r="H16" s="156">
        <v>1.1000000000000001E-3</v>
      </c>
      <c r="I16" s="156">
        <v>1.5E-3</v>
      </c>
      <c r="J16" s="156" t="s">
        <v>87</v>
      </c>
      <c r="K16" s="156">
        <v>2.5000000000000001E-3</v>
      </c>
      <c r="L16" s="156">
        <v>3.2000000000000002E-3</v>
      </c>
      <c r="M16" s="156">
        <v>3.8999999999999998E-3</v>
      </c>
      <c r="N16" s="138" cm="1">
        <f t="array" aca="1" ref="N16:AE16" ca="1">IF(OR(B16="",NOT($J$2)),"",GetStripDefaultProbability(A16,B16,Parameter_Date,CDSRollDate,E16:M16,SpreadCurveMaturities,D16,C16,$J$4,$J$6))</f>
        <v>0</v>
      </c>
      <c r="O16" s="163">
        <f ca="1"/>
        <v>4.9872651070981266E-4</v>
      </c>
      <c r="P16" s="163">
        <f ca="1"/>
        <v>1.1024469251739166E-3</v>
      </c>
      <c r="Q16" s="163">
        <f ca="1"/>
        <v>3.9035574208937662E-3</v>
      </c>
      <c r="R16" s="163">
        <f ca="1"/>
        <v>7.9065945447465147E-3</v>
      </c>
      <c r="S16" s="163">
        <f ca="1"/>
        <v>0</v>
      </c>
      <c r="T16" s="163">
        <f ca="1"/>
        <v>2.1966449489127959E-2</v>
      </c>
      <c r="U16" s="163">
        <f ca="1"/>
        <v>3.9334501896471363E-2</v>
      </c>
      <c r="V16" s="139">
        <f ca="1"/>
        <v>6.8302804109782844E-2</v>
      </c>
      <c r="W16" s="138">
        <f ca="1"/>
        <v>0</v>
      </c>
      <c r="X16" s="163">
        <f ca="1"/>
        <v>5.9844139207421154E-4</v>
      </c>
      <c r="Y16" s="163">
        <f ca="1"/>
        <v>1.2689159778730419E-3</v>
      </c>
      <c r="Z16" s="163">
        <f ca="1"/>
        <v>4.2540866600880856E-3</v>
      </c>
      <c r="AA16" s="163">
        <f ca="1"/>
        <v>8.4225296691906593E-3</v>
      </c>
      <c r="AB16" s="163">
        <f ca="1"/>
        <v>0</v>
      </c>
      <c r="AC16" s="163">
        <f ca="1"/>
        <v>2.3030819321541607E-2</v>
      </c>
      <c r="AD16" s="163">
        <f ca="1"/>
        <v>4.1246212674035942E-2</v>
      </c>
      <c r="AE16" s="139">
        <f ca="1"/>
        <v>7.1591759826441392E-2</v>
      </c>
      <c r="AH16" s="136"/>
      <c r="AI16" s="136"/>
      <c r="AJ16" s="136"/>
      <c r="AK16" s="136"/>
      <c r="AL16" s="140"/>
      <c r="AM16" s="136"/>
      <c r="AN16" s="136"/>
      <c r="AO16" s="136"/>
      <c r="AQ16" s="136"/>
      <c r="AR16" s="136"/>
      <c r="AS16" s="136"/>
      <c r="AT16" s="136"/>
      <c r="AV16" s="136"/>
      <c r="AW16" s="136"/>
      <c r="AX16" s="136"/>
    </row>
    <row r="17" spans="1:50" s="79" customFormat="1" ht="11.25">
      <c r="A17" s="96">
        <f t="shared" ca="1" si="2"/>
        <v>6</v>
      </c>
      <c r="B17" s="68" t="s">
        <v>94</v>
      </c>
      <c r="C17" s="97">
        <v>0.4</v>
      </c>
      <c r="D17" s="69" t="s">
        <v>66</v>
      </c>
      <c r="E17" s="137" t="s">
        <v>87</v>
      </c>
      <c r="F17" s="156">
        <v>1.23E-3</v>
      </c>
      <c r="G17" s="156">
        <v>1.5900000000000001E-3</v>
      </c>
      <c r="H17" s="156">
        <v>2.2100000000000002E-3</v>
      </c>
      <c r="I17" s="156">
        <v>2.5200000000000001E-3</v>
      </c>
      <c r="J17" s="156" t="s">
        <v>87</v>
      </c>
      <c r="K17" s="156">
        <v>3.2000000000000002E-3</v>
      </c>
      <c r="L17" s="156">
        <v>3.63E-3</v>
      </c>
      <c r="M17" s="156">
        <v>4.1000000000000003E-3</v>
      </c>
      <c r="N17" s="138" cm="1">
        <f t="array" aca="1" ref="N17:AE17" ca="1">IF(OR(B17="",NOT($J$2)),"",GetStripDefaultProbability(A17,B17,Parameter_Date,CDSRollDate,E17:M17,SpreadCurveMaturities,D17,C17,$J$4,$J$6))</f>
        <v>0</v>
      </c>
      <c r="O17" s="163">
        <f ca="1"/>
        <v>1.2264220480148191E-3</v>
      </c>
      <c r="P17" s="163">
        <f ca="1"/>
        <v>2.9215727558118409E-3</v>
      </c>
      <c r="Q17" s="163">
        <f ca="1"/>
        <v>7.7996389198979887E-3</v>
      </c>
      <c r="R17" s="163">
        <f ca="1"/>
        <v>1.3145631204709685E-2</v>
      </c>
      <c r="S17" s="163">
        <f ca="1"/>
        <v>0</v>
      </c>
      <c r="T17" s="163">
        <f ca="1"/>
        <v>2.7605551532420614E-2</v>
      </c>
      <c r="U17" s="163">
        <f ca="1"/>
        <v>4.3615160165231592E-2</v>
      </c>
      <c r="V17" s="139">
        <f ca="1"/>
        <v>7.00443717297633E-2</v>
      </c>
      <c r="W17" s="138">
        <f ca="1"/>
        <v>0</v>
      </c>
      <c r="X17" s="163">
        <f ca="1"/>
        <v>1.3260615305397128E-3</v>
      </c>
      <c r="Y17" s="163">
        <f ca="1"/>
        <v>3.0877386461494183E-3</v>
      </c>
      <c r="Z17" s="163">
        <f ca="1"/>
        <v>8.186409342335943E-3</v>
      </c>
      <c r="AA17" s="163">
        <f ca="1"/>
        <v>1.3797161998897245E-2</v>
      </c>
      <c r="AB17" s="163">
        <f ca="1"/>
        <v>0</v>
      </c>
      <c r="AC17" s="163">
        <f ca="1"/>
        <v>2.8965830532087677E-2</v>
      </c>
      <c r="AD17" s="163">
        <f ca="1"/>
        <v>4.5750654889573528E-2</v>
      </c>
      <c r="AE17" s="139">
        <f ca="1"/>
        <v>7.3427173333115991E-2</v>
      </c>
      <c r="AH17" s="136"/>
      <c r="AI17" s="136"/>
      <c r="AJ17" s="136"/>
      <c r="AK17" s="136"/>
      <c r="AL17" s="140"/>
      <c r="AM17" s="136"/>
      <c r="AN17" s="136"/>
      <c r="AO17" s="136"/>
      <c r="AQ17" s="136"/>
      <c r="AR17" s="136"/>
      <c r="AS17" s="136"/>
      <c r="AT17" s="136"/>
      <c r="AV17" s="136"/>
      <c r="AW17" s="136"/>
      <c r="AX17" s="136"/>
    </row>
    <row r="18" spans="1:50" s="79" customFormat="1" ht="11.25">
      <c r="A18" s="96">
        <f t="shared" ca="1" si="2"/>
        <v>7</v>
      </c>
      <c r="B18" s="68" t="s">
        <v>95</v>
      </c>
      <c r="C18" s="97">
        <v>0.4</v>
      </c>
      <c r="D18" s="69" t="s">
        <v>66</v>
      </c>
      <c r="E18" s="137" t="s">
        <v>87</v>
      </c>
      <c r="F18" s="156">
        <v>5.0000000000000001E-4</v>
      </c>
      <c r="G18" s="156">
        <v>1.4E-3</v>
      </c>
      <c r="H18" s="156">
        <v>2.3999999999999998E-3</v>
      </c>
      <c r="I18" s="156">
        <v>3.5000000000000001E-3</v>
      </c>
      <c r="J18" s="156" t="s">
        <v>87</v>
      </c>
      <c r="K18" s="156">
        <v>5.7000000000000002E-3</v>
      </c>
      <c r="L18" s="156">
        <v>7.0000000000000001E-3</v>
      </c>
      <c r="M18" s="156">
        <v>8.5000000000000006E-3</v>
      </c>
      <c r="N18" s="138" cm="1">
        <f t="array" aca="1" ref="N18:AE18" ca="1">IF(OR(B18="",NOT($J$2)),"",GetStripDefaultProbability(A18,B18,Parameter_Date,CDSRollDate,E18:M18,SpreadCurveMaturities,D18,C18,$J$4,$J$6))</f>
        <v>0</v>
      </c>
      <c r="O18" s="163">
        <f ca="1"/>
        <v>4.9872651070981266E-4</v>
      </c>
      <c r="P18" s="163">
        <f ca="1"/>
        <v>2.588083291619192E-3</v>
      </c>
      <c r="Q18" s="163">
        <f ca="1"/>
        <v>8.512221140748677E-3</v>
      </c>
      <c r="R18" s="163">
        <f ca="1"/>
        <v>1.842676342193561E-2</v>
      </c>
      <c r="S18" s="163">
        <f ca="1"/>
        <v>0</v>
      </c>
      <c r="T18" s="163">
        <f ca="1"/>
        <v>4.9613513685119126E-2</v>
      </c>
      <c r="U18" s="163">
        <f ca="1"/>
        <v>8.4334062967193035E-2</v>
      </c>
      <c r="V18" s="139">
        <f ca="1"/>
        <v>0.14409192562179662</v>
      </c>
      <c r="W18" s="138">
        <f ca="1"/>
        <v>0</v>
      </c>
      <c r="X18" s="163">
        <f ca="1"/>
        <v>5.9844139207421154E-4</v>
      </c>
      <c r="Y18" s="163">
        <f ca="1"/>
        <v>2.7543047589062564E-3</v>
      </c>
      <c r="Z18" s="163">
        <f ca="1"/>
        <v>8.9328844756942916E-3</v>
      </c>
      <c r="AA18" s="163">
        <f ca="1"/>
        <v>1.9337968390073068E-2</v>
      </c>
      <c r="AB18" s="163">
        <f ca="1"/>
        <v>0</v>
      </c>
      <c r="AC18" s="163">
        <f ca="1"/>
        <v>5.2036902872605428E-2</v>
      </c>
      <c r="AD18" s="163">
        <f ca="1"/>
        <v>8.8399163235203582E-2</v>
      </c>
      <c r="AE18" s="139">
        <f ca="1"/>
        <v>0.15087909564741842</v>
      </c>
      <c r="AH18" s="136"/>
      <c r="AI18" s="136"/>
      <c r="AJ18" s="136"/>
      <c r="AK18" s="136"/>
      <c r="AL18" s="140"/>
      <c r="AM18" s="136"/>
      <c r="AN18" s="136"/>
      <c r="AO18" s="136"/>
      <c r="AQ18" s="136"/>
      <c r="AR18" s="136"/>
      <c r="AS18" s="136"/>
      <c r="AT18" s="136"/>
      <c r="AV18" s="136"/>
      <c r="AW18" s="136"/>
      <c r="AX18" s="136"/>
    </row>
    <row r="19" spans="1:50" s="79" customFormat="1" ht="11.25">
      <c r="A19" s="96">
        <f t="shared" ca="1" si="2"/>
        <v>8</v>
      </c>
      <c r="B19" s="68" t="s">
        <v>96</v>
      </c>
      <c r="C19" s="97">
        <v>0.4</v>
      </c>
      <c r="D19" s="69" t="s">
        <v>66</v>
      </c>
      <c r="E19" s="137" t="s">
        <v>87</v>
      </c>
      <c r="F19" s="156">
        <v>1.2999999999999999E-3</v>
      </c>
      <c r="G19" s="156">
        <v>1.4E-3</v>
      </c>
      <c r="H19" s="156">
        <v>2.5999999999999999E-3</v>
      </c>
      <c r="I19" s="156">
        <v>3.3E-3</v>
      </c>
      <c r="J19" s="156" t="s">
        <v>87</v>
      </c>
      <c r="K19" s="156">
        <v>5.1999999999999998E-3</v>
      </c>
      <c r="L19" s="156">
        <v>6.6E-3</v>
      </c>
      <c r="M19" s="156">
        <v>7.9000000000000008E-3</v>
      </c>
      <c r="N19" s="138" cm="1">
        <f t="array" aca="1" ref="N19:AE19" ca="1">IF(OR(B19="",NOT($J$2)),"",GetStripDefaultProbability(A19,B19,Parameter_Date,CDSRollDate,E19:M19,SpreadCurveMaturities,D19,C19,$J$4,$J$6))</f>
        <v>0</v>
      </c>
      <c r="O19" s="163">
        <f ca="1"/>
        <v>1.2961733259317931E-3</v>
      </c>
      <c r="P19" s="163">
        <f ca="1"/>
        <v>2.5671780846143744E-3</v>
      </c>
      <c r="Q19" s="163">
        <f ca="1"/>
        <v>9.2064932112090325E-3</v>
      </c>
      <c r="R19" s="163">
        <f ca="1"/>
        <v>1.7292185089633372E-2</v>
      </c>
      <c r="S19" s="163">
        <f ca="1"/>
        <v>0</v>
      </c>
      <c r="T19" s="163">
        <f ca="1"/>
        <v>4.51731870277573E-2</v>
      </c>
      <c r="U19" s="163">
        <f ca="1"/>
        <v>7.9738941111498374E-2</v>
      </c>
      <c r="V19" s="139">
        <f ca="1"/>
        <v>0.13423581942443252</v>
      </c>
      <c r="W19" s="138">
        <f ca="1"/>
        <v>0</v>
      </c>
      <c r="X19" s="163">
        <f ca="1"/>
        <v>1.3958054468619085E-3</v>
      </c>
      <c r="Y19" s="163">
        <f ca="1"/>
        <v>2.7334030358008299E-3</v>
      </c>
      <c r="Z19" s="163">
        <f ca="1"/>
        <v>9.6626057754379824E-3</v>
      </c>
      <c r="AA19" s="163">
        <f ca="1"/>
        <v>1.8148142983741344E-2</v>
      </c>
      <c r="AB19" s="163">
        <f ca="1"/>
        <v>0</v>
      </c>
      <c r="AC19" s="163">
        <f ca="1"/>
        <v>4.7383954549391039E-2</v>
      </c>
      <c r="AD19" s="163">
        <f ca="1"/>
        <v>8.3591176782457643E-2</v>
      </c>
      <c r="AE19" s="139">
        <f ca="1"/>
        <v>0.14058441900098395</v>
      </c>
      <c r="AH19" s="136"/>
      <c r="AI19" s="136"/>
      <c r="AJ19" s="136"/>
      <c r="AK19" s="136"/>
      <c r="AL19" s="140"/>
      <c r="AM19" s="136"/>
      <c r="AN19" s="136"/>
      <c r="AO19" s="136"/>
      <c r="AQ19" s="136"/>
      <c r="AR19" s="136"/>
      <c r="AS19" s="136"/>
      <c r="AT19" s="136"/>
      <c r="AV19" s="136"/>
      <c r="AW19" s="136"/>
      <c r="AX19" s="136"/>
    </row>
    <row r="20" spans="1:50" s="79" customFormat="1" ht="11.25">
      <c r="A20" s="96">
        <f t="shared" ca="1" si="2"/>
        <v>9</v>
      </c>
      <c r="B20" s="68" t="s">
        <v>97</v>
      </c>
      <c r="C20" s="97">
        <v>0.4</v>
      </c>
      <c r="D20" s="69" t="s">
        <v>66</v>
      </c>
      <c r="E20" s="137" t="s">
        <v>87</v>
      </c>
      <c r="F20" s="156">
        <v>2.9999999999999997E-4</v>
      </c>
      <c r="G20" s="156">
        <v>5.9999999999999995E-4</v>
      </c>
      <c r="H20" s="156">
        <v>1.1000000000000001E-3</v>
      </c>
      <c r="I20" s="156">
        <v>1.6000000000000001E-3</v>
      </c>
      <c r="J20" s="156" t="s">
        <v>87</v>
      </c>
      <c r="K20" s="156">
        <v>2.3E-3</v>
      </c>
      <c r="L20" s="156">
        <v>2.8E-3</v>
      </c>
      <c r="M20" s="156">
        <v>3.7000000000000002E-3</v>
      </c>
      <c r="N20" s="138" cm="1">
        <f t="array" aca="1" ref="N20:AE20" ca="1">IF(OR(B20="",NOT($J$2)),"",GetStripDefaultProbability(A20,B20,Parameter_Date,CDSRollDate,E20:M20,SpreadCurveMaturities,D20,C20,$J$4,$J$6))</f>
        <v>0</v>
      </c>
      <c r="O20" s="163">
        <f ca="1"/>
        <v>2.9926566746929506E-4</v>
      </c>
      <c r="P20" s="163">
        <f ca="1"/>
        <v>1.1075289891454565E-3</v>
      </c>
      <c r="Q20" s="163">
        <f ca="1"/>
        <v>3.9087248521947338E-3</v>
      </c>
      <c r="R20" s="163">
        <f ca="1"/>
        <v>8.4530393391103464E-3</v>
      </c>
      <c r="S20" s="163">
        <f ca="1"/>
        <v>0</v>
      </c>
      <c r="T20" s="163">
        <f ca="1"/>
        <v>2.0121228932849622E-2</v>
      </c>
      <c r="U20" s="163">
        <f ca="1"/>
        <v>3.4234611175030016E-2</v>
      </c>
      <c r="V20" s="139">
        <f ca="1"/>
        <v>6.5297809745581414E-2</v>
      </c>
      <c r="W20" s="138">
        <f ca="1"/>
        <v>0</v>
      </c>
      <c r="X20" s="163">
        <f ca="1"/>
        <v>3.9900078367871572E-4</v>
      </c>
      <c r="Y20" s="163">
        <f ca="1"/>
        <v>1.2739971949056184E-3</v>
      </c>
      <c r="Z20" s="163">
        <f ca="1"/>
        <v>4.2592716513922824E-3</v>
      </c>
      <c r="AA20" s="163">
        <f ca="1"/>
        <v>8.9687926546554442E-3</v>
      </c>
      <c r="AB20" s="163">
        <f ca="1"/>
        <v>0</v>
      </c>
      <c r="AC20" s="163">
        <f ca="1"/>
        <v>2.1096659817450902E-2</v>
      </c>
      <c r="AD20" s="163">
        <f ca="1"/>
        <v>3.5899841749964412E-2</v>
      </c>
      <c r="AE20" s="139">
        <f ca="1"/>
        <v>6.8447224080289026E-2</v>
      </c>
      <c r="AH20" s="136"/>
      <c r="AI20" s="136"/>
      <c r="AJ20" s="136"/>
      <c r="AK20" s="136"/>
      <c r="AL20" s="140"/>
      <c r="AM20" s="136"/>
      <c r="AN20" s="136"/>
      <c r="AO20" s="136"/>
      <c r="AQ20" s="136"/>
      <c r="AR20" s="136"/>
      <c r="AS20" s="136"/>
      <c r="AT20" s="136"/>
      <c r="AV20" s="136"/>
      <c r="AW20" s="136"/>
      <c r="AX20" s="136"/>
    </row>
    <row r="21" spans="1:50" s="79" customFormat="1" ht="11.25">
      <c r="A21" s="96">
        <f t="shared" ca="1" si="2"/>
        <v>10</v>
      </c>
      <c r="B21" s="68" t="s">
        <v>98</v>
      </c>
      <c r="C21" s="97">
        <v>0.4</v>
      </c>
      <c r="D21" s="69" t="s">
        <v>66</v>
      </c>
      <c r="E21" s="137" t="s">
        <v>87</v>
      </c>
      <c r="F21" s="156">
        <v>1.1900000000000001E-3</v>
      </c>
      <c r="G21" s="156">
        <v>1.4300000000000001E-3</v>
      </c>
      <c r="H21" s="156">
        <v>1.91E-3</v>
      </c>
      <c r="I21" s="156">
        <v>2.32E-3</v>
      </c>
      <c r="J21" s="156" t="s">
        <v>87</v>
      </c>
      <c r="K21" s="156">
        <v>3.0999999999999999E-3</v>
      </c>
      <c r="L21" s="156">
        <v>3.5100000000000001E-3</v>
      </c>
      <c r="M21" s="156">
        <v>3.8999999999999998E-3</v>
      </c>
      <c r="N21" s="138" cm="1">
        <f t="array" aca="1" ref="N21:AE21" ca="1">IF(OR(B21="",NOT($J$2)),"",GetStripDefaultProbability(A21,B21,Parameter_Date,CDSRollDate,E21:M21,SpreadCurveMaturities,D21,C21,$J$4,$J$6))</f>
        <v>0</v>
      </c>
      <c r="O21" s="163">
        <f ca="1"/>
        <v>1.1865619956058504E-3</v>
      </c>
      <c r="P21" s="163">
        <f ca="1"/>
        <v>2.6257248751727635E-3</v>
      </c>
      <c r="Q21" s="163">
        <f ca="1"/>
        <v>6.7367655157445361E-3</v>
      </c>
      <c r="R21" s="163">
        <f ca="1"/>
        <v>1.2129624488090851E-2</v>
      </c>
      <c r="S21" s="163">
        <f ca="1"/>
        <v>0</v>
      </c>
      <c r="T21" s="163">
        <f ca="1"/>
        <v>2.6848473291603003E-2</v>
      </c>
      <c r="U21" s="163">
        <f ca="1"/>
        <v>4.2286555896650535E-2</v>
      </c>
      <c r="V21" s="139">
        <f ca="1"/>
        <v>6.6636276475192546E-2</v>
      </c>
      <c r="W21" s="138">
        <f ca="1"/>
        <v>0</v>
      </c>
      <c r="X21" s="163">
        <f ca="1"/>
        <v>1.2862056741852479E-3</v>
      </c>
      <c r="Y21" s="163">
        <f ca="1"/>
        <v>2.7919400693855456E-3</v>
      </c>
      <c r="Z21" s="163">
        <f ca="1"/>
        <v>7.0862869332071199E-3</v>
      </c>
      <c r="AA21" s="163">
        <f ca="1"/>
        <v>1.2729676421428526E-2</v>
      </c>
      <c r="AB21" s="163">
        <f ca="1"/>
        <v>0</v>
      </c>
      <c r="AC21" s="163">
        <f ca="1"/>
        <v>2.8170925215690534E-2</v>
      </c>
      <c r="AD21" s="163">
        <f ca="1"/>
        <v>4.4357502618080247E-2</v>
      </c>
      <c r="AE21" s="139">
        <f ca="1"/>
        <v>6.985858765511932E-2</v>
      </c>
      <c r="AH21" s="136"/>
      <c r="AI21" s="136"/>
      <c r="AJ21" s="136"/>
      <c r="AK21" s="136"/>
      <c r="AL21" s="140"/>
      <c r="AM21" s="136"/>
      <c r="AN21" s="136"/>
      <c r="AO21" s="136"/>
      <c r="AQ21" s="136"/>
      <c r="AR21" s="136"/>
      <c r="AS21" s="136"/>
      <c r="AT21" s="136"/>
      <c r="AV21" s="136"/>
      <c r="AW21" s="136"/>
      <c r="AX21" s="136"/>
    </row>
    <row r="22" spans="1:50" s="79" customFormat="1" ht="11.25">
      <c r="A22" s="96">
        <f t="shared" ca="1" si="2"/>
        <v>11</v>
      </c>
      <c r="B22" s="68" t="s">
        <v>99</v>
      </c>
      <c r="C22" s="97">
        <v>0.4</v>
      </c>
      <c r="D22" s="69" t="s">
        <v>66</v>
      </c>
      <c r="E22" s="137" t="s">
        <v>87</v>
      </c>
      <c r="F22" s="156">
        <v>1.25E-3</v>
      </c>
      <c r="G22" s="156">
        <v>1.6299999999999999E-3</v>
      </c>
      <c r="H22" s="156">
        <v>2.2599999999999999E-3</v>
      </c>
      <c r="I22" s="156">
        <v>2.64E-3</v>
      </c>
      <c r="J22" s="156" t="s">
        <v>87</v>
      </c>
      <c r="K22" s="156">
        <v>3.3999999999999998E-3</v>
      </c>
      <c r="L22" s="156">
        <v>3.8500000000000001E-3</v>
      </c>
      <c r="M22" s="156">
        <v>4.3E-3</v>
      </c>
      <c r="N22" s="138" cm="1">
        <f t="array" aca="1" ref="N22:AE22" ca="1">IF(OR(B22="",NOT($J$2)),"",GetStripDefaultProbability(A22,B22,Parameter_Date,CDSRollDate,E22:M22,SpreadCurveMaturities,D22,C22,$J$4,$J$6))</f>
        <v>0</v>
      </c>
      <c r="O22" s="163">
        <f ca="1"/>
        <v>1.2463514798459752E-3</v>
      </c>
      <c r="P22" s="163">
        <f ca="1"/>
        <v>2.9952633626401104E-3</v>
      </c>
      <c r="Q22" s="163">
        <f ca="1"/>
        <v>7.9754647780126975E-3</v>
      </c>
      <c r="R22" s="163">
        <f ca="1"/>
        <v>1.3780951900584926E-2</v>
      </c>
      <c r="S22" s="163">
        <f ca="1"/>
        <v>0</v>
      </c>
      <c r="T22" s="163">
        <f ca="1"/>
        <v>2.934652186588449E-2</v>
      </c>
      <c r="U22" s="163">
        <f ca="1"/>
        <v>4.6235699778522266E-2</v>
      </c>
      <c r="V22" s="139">
        <f ca="1"/>
        <v>7.3252026134323134E-2</v>
      </c>
      <c r="W22" s="138">
        <f ca="1"/>
        <v>0</v>
      </c>
      <c r="X22" s="163">
        <f ca="1"/>
        <v>1.3459888614500981E-3</v>
      </c>
      <c r="Y22" s="163">
        <f ca="1"/>
        <v>3.1614169722198326E-3</v>
      </c>
      <c r="Z22" s="163">
        <f ca="1"/>
        <v>8.3711189986691581E-3</v>
      </c>
      <c r="AA22" s="163">
        <f ca="1"/>
        <v>1.4464068032239097E-2</v>
      </c>
      <c r="AB22" s="163">
        <f ca="1"/>
        <v>0</v>
      </c>
      <c r="AC22" s="163">
        <f ca="1"/>
        <v>3.0791796059952414E-2</v>
      </c>
      <c r="AD22" s="163">
        <f ca="1"/>
        <v>4.8497176360116079E-2</v>
      </c>
      <c r="AE22" s="139">
        <f ca="1"/>
        <v>7.6783804003945577E-2</v>
      </c>
      <c r="AH22" s="136"/>
      <c r="AI22" s="136"/>
      <c r="AJ22" s="136"/>
      <c r="AK22" s="136"/>
      <c r="AL22" s="140"/>
      <c r="AM22" s="136"/>
      <c r="AN22" s="136"/>
      <c r="AO22" s="136"/>
      <c r="AQ22" s="136"/>
      <c r="AR22" s="136"/>
      <c r="AS22" s="136"/>
      <c r="AT22" s="136"/>
      <c r="AV22" s="136"/>
      <c r="AW22" s="136"/>
      <c r="AX22" s="136"/>
    </row>
    <row r="23" spans="1:50" s="79" customFormat="1" ht="11.25">
      <c r="A23" s="96">
        <f t="shared" ca="1" si="2"/>
        <v>12</v>
      </c>
      <c r="B23" s="68" t="s">
        <v>100</v>
      </c>
      <c r="C23" s="97">
        <v>0.4</v>
      </c>
      <c r="D23" s="69" t="s">
        <v>66</v>
      </c>
      <c r="E23" s="137" t="s">
        <v>87</v>
      </c>
      <c r="F23" s="156">
        <v>1.0499999999999999E-3</v>
      </c>
      <c r="G23" s="156">
        <v>2.0500000000000002E-3</v>
      </c>
      <c r="H23" s="156">
        <v>3.1099999999999999E-3</v>
      </c>
      <c r="I23" s="156">
        <v>3.6900000000000001E-3</v>
      </c>
      <c r="J23" s="156" t="s">
        <v>87</v>
      </c>
      <c r="K23" s="156">
        <v>4.4999999999999997E-3</v>
      </c>
      <c r="L23" s="156">
        <v>5.0499999999999998E-3</v>
      </c>
      <c r="M23" s="156">
        <v>5.5500000000000002E-3</v>
      </c>
      <c r="N23" s="138" cm="1">
        <f t="array" aca="1" ref="N23:AE23" ca="1">IF(OR(B23="",NOT($J$2)),"",GetStripDefaultProbability(A23,B23,Parameter_Date,CDSRollDate,E23:M23,SpreadCurveMaturities,D23,C23,$J$4,$J$6))</f>
        <v>0</v>
      </c>
      <c r="O23" s="163">
        <f ca="1"/>
        <v>1.0470393291243107E-3</v>
      </c>
      <c r="P23" s="163">
        <f ca="1"/>
        <v>3.7797316689079929E-3</v>
      </c>
      <c r="Q23" s="163">
        <f ca="1"/>
        <v>1.099323373397143E-2</v>
      </c>
      <c r="R23" s="163">
        <f ca="1"/>
        <v>1.9262303320503271E-2</v>
      </c>
      <c r="S23" s="163">
        <f ca="1"/>
        <v>0</v>
      </c>
      <c r="T23" s="163">
        <f ca="1"/>
        <v>3.8614419074094686E-2</v>
      </c>
      <c r="U23" s="163">
        <f ca="1"/>
        <v>6.0151352589897344E-2</v>
      </c>
      <c r="V23" s="139">
        <f ca="1"/>
        <v>9.3313493585237994E-2</v>
      </c>
      <c r="W23" s="138">
        <f ca="1"/>
        <v>0</v>
      </c>
      <c r="X23" s="163">
        <f ca="1"/>
        <v>1.1466976338168067E-3</v>
      </c>
      <c r="Y23" s="163">
        <f ca="1"/>
        <v>3.9499047620468186E-3</v>
      </c>
      <c r="Z23" s="163">
        <f ca="1"/>
        <v>1.153956004054868E-2</v>
      </c>
      <c r="AA23" s="163">
        <f ca="1"/>
        <v>2.021664065090012E-2</v>
      </c>
      <c r="AB23" s="163">
        <f ca="1"/>
        <v>0</v>
      </c>
      <c r="AC23" s="163">
        <f ca="1"/>
        <v>4.0508683835235981E-2</v>
      </c>
      <c r="AD23" s="163">
        <f ca="1"/>
        <v>6.3074276943568486E-2</v>
      </c>
      <c r="AE23" s="139">
        <f ca="1"/>
        <v>9.7764122663014486E-2</v>
      </c>
      <c r="AH23" s="136"/>
      <c r="AI23" s="136"/>
      <c r="AJ23" s="136"/>
      <c r="AK23" s="136"/>
      <c r="AL23" s="140"/>
      <c r="AM23" s="136"/>
      <c r="AN23" s="136"/>
      <c r="AO23" s="136"/>
      <c r="AQ23" s="136"/>
      <c r="AR23" s="136"/>
      <c r="AS23" s="136"/>
      <c r="AT23" s="136"/>
      <c r="AV23" s="136"/>
      <c r="AW23" s="136"/>
      <c r="AX23" s="136"/>
    </row>
    <row r="24" spans="1:50" s="79" customFormat="1" ht="11.25">
      <c r="A24" s="96">
        <f t="shared" ca="1" si="2"/>
        <v>13</v>
      </c>
      <c r="B24" s="68" t="s">
        <v>101</v>
      </c>
      <c r="C24" s="97">
        <v>0.4</v>
      </c>
      <c r="D24" s="69" t="s">
        <v>66</v>
      </c>
      <c r="E24" s="137" t="s">
        <v>87</v>
      </c>
      <c r="F24" s="156">
        <v>1.5399999999999999E-3</v>
      </c>
      <c r="G24" s="156">
        <v>2.3600000000000001E-3</v>
      </c>
      <c r="H24" s="156">
        <v>3.0799999999999998E-3</v>
      </c>
      <c r="I24" s="156">
        <v>3.3800000000000002E-3</v>
      </c>
      <c r="J24" s="156" t="s">
        <v>87</v>
      </c>
      <c r="K24" s="156">
        <v>4.0000000000000001E-3</v>
      </c>
      <c r="L24" s="156">
        <v>4.4000000000000003E-3</v>
      </c>
      <c r="M24" s="156">
        <v>5.0000000000000001E-3</v>
      </c>
      <c r="N24" s="138" cm="1">
        <f t="array" aca="1" ref="N24:AE24" ca="1">IF(OR(B24="",NOT($J$2)),"",GetStripDefaultProbability(A24,B24,Parameter_Date,CDSRollDate,E24:M24,SpreadCurveMaturities,D24,C24,$J$4,$J$6))</f>
        <v>0</v>
      </c>
      <c r="O24" s="163">
        <f ca="1"/>
        <v>1.5352837207512904E-3</v>
      </c>
      <c r="P24" s="163">
        <f ca="1"/>
        <v>4.3414509941051005E-3</v>
      </c>
      <c r="Q24" s="163">
        <f ca="1"/>
        <v>1.0851322276638764E-2</v>
      </c>
      <c r="R24" s="163">
        <f ca="1"/>
        <v>1.7565525074314969E-2</v>
      </c>
      <c r="S24" s="163">
        <f ca="1"/>
        <v>0</v>
      </c>
      <c r="T24" s="163">
        <f ca="1"/>
        <v>3.4233100736459909E-2</v>
      </c>
      <c r="U24" s="163">
        <f ca="1"/>
        <v>5.2312631722629233E-2</v>
      </c>
      <c r="V24" s="139">
        <f ca="1"/>
        <v>8.4607380391928388E-2</v>
      </c>
      <c r="W24" s="138">
        <f ca="1"/>
        <v>0</v>
      </c>
      <c r="X24" s="163">
        <f ca="1"/>
        <v>1.6348904209334547E-3</v>
      </c>
      <c r="Y24" s="163">
        <f ca="1"/>
        <v>4.5574844231871525E-3</v>
      </c>
      <c r="Z24" s="163">
        <f ca="1"/>
        <v>1.1390493965998894E-2</v>
      </c>
      <c r="AA24" s="163">
        <f ca="1"/>
        <v>1.8435928064305829E-2</v>
      </c>
      <c r="AB24" s="163">
        <f ca="1"/>
        <v>0</v>
      </c>
      <c r="AC24" s="163">
        <f ca="1"/>
        <v>3.5915115504900563E-2</v>
      </c>
      <c r="AD24" s="163">
        <f ca="1"/>
        <v>5.4862384693180943E-2</v>
      </c>
      <c r="AE24" s="139">
        <f ca="1"/>
        <v>8.8661365129761305E-2</v>
      </c>
      <c r="AH24" s="136"/>
      <c r="AI24" s="136"/>
      <c r="AJ24" s="136"/>
      <c r="AK24" s="136"/>
      <c r="AL24" s="140"/>
      <c r="AM24" s="136"/>
      <c r="AN24" s="136"/>
      <c r="AO24" s="136"/>
      <c r="AQ24" s="136"/>
      <c r="AR24" s="136"/>
      <c r="AS24" s="136"/>
      <c r="AT24" s="136"/>
      <c r="AV24" s="136"/>
      <c r="AW24" s="136"/>
      <c r="AX24" s="136"/>
    </row>
    <row r="25" spans="1:50" s="79" customFormat="1" ht="11.25">
      <c r="A25" s="96">
        <f t="shared" ca="1" si="2"/>
        <v>14</v>
      </c>
      <c r="B25" s="68" t="s">
        <v>102</v>
      </c>
      <c r="C25" s="97">
        <v>0.4</v>
      </c>
      <c r="D25" s="69" t="s">
        <v>66</v>
      </c>
      <c r="E25" s="137" t="s">
        <v>87</v>
      </c>
      <c r="F25" s="156">
        <v>5.0000000000000001E-4</v>
      </c>
      <c r="G25" s="156">
        <v>5.9999999999999995E-4</v>
      </c>
      <c r="H25" s="156">
        <v>8.0000000000000004E-4</v>
      </c>
      <c r="I25" s="156">
        <v>1.1999999999999999E-3</v>
      </c>
      <c r="J25" s="156" t="s">
        <v>87</v>
      </c>
      <c r="K25" s="156">
        <v>1.9E-3</v>
      </c>
      <c r="L25" s="156">
        <v>2.3999999999999998E-3</v>
      </c>
      <c r="M25" s="156">
        <v>3.0999999999999999E-3</v>
      </c>
      <c r="N25" s="138" cm="1">
        <f t="array" aca="1" ref="N25:AE25" ca="1">IF(OR(B25="",NOT($J$2)),"",GetStripDefaultProbability(A25,B25,Parameter_Date,CDSRollDate,E25:M25,SpreadCurveMaturities,D25,C25,$J$4,$J$6))</f>
        <v>0</v>
      </c>
      <c r="O25" s="163">
        <f ca="1"/>
        <v>4.9872651070981266E-4</v>
      </c>
      <c r="P25" s="163">
        <f ca="1"/>
        <v>1.1024469251739166E-3</v>
      </c>
      <c r="Q25" s="163">
        <f ca="1"/>
        <v>2.8262421570121044E-3</v>
      </c>
      <c r="R25" s="163">
        <f ca="1"/>
        <v>6.3317766191897107E-3</v>
      </c>
      <c r="S25" s="163">
        <f ca="1"/>
        <v>0</v>
      </c>
      <c r="T25" s="163">
        <f ca="1"/>
        <v>1.6694536647804958E-2</v>
      </c>
      <c r="U25" s="163">
        <f ca="1"/>
        <v>2.9541131820182143E-2</v>
      </c>
      <c r="V25" s="139">
        <f ca="1"/>
        <v>5.4905211208143068E-2</v>
      </c>
      <c r="W25" s="138">
        <f ca="1"/>
        <v>0</v>
      </c>
      <c r="X25" s="163">
        <f ca="1"/>
        <v>5.9844139207421154E-4</v>
      </c>
      <c r="Y25" s="163">
        <f ca="1"/>
        <v>1.2689159778730419E-3</v>
      </c>
      <c r="Z25" s="163">
        <f ca="1"/>
        <v>3.1770604395455759E-3</v>
      </c>
      <c r="AA25" s="163">
        <f ca="1"/>
        <v>6.848436353525722E-3</v>
      </c>
      <c r="AB25" s="163">
        <f ca="1"/>
        <v>0</v>
      </c>
      <c r="AC25" s="163">
        <f ca="1"/>
        <v>1.7537135317068575E-2</v>
      </c>
      <c r="AD25" s="163">
        <f ca="1"/>
        <v>3.0964105320656521E-2</v>
      </c>
      <c r="AE25" s="139">
        <f ca="1"/>
        <v>5.7548726136087303E-2</v>
      </c>
      <c r="AH25" s="136"/>
      <c r="AI25" s="136"/>
      <c r="AJ25" s="136"/>
      <c r="AK25" s="136"/>
      <c r="AL25" s="140"/>
      <c r="AM25" s="136"/>
      <c r="AN25" s="136"/>
      <c r="AO25" s="136"/>
      <c r="AQ25" s="136"/>
      <c r="AR25" s="136"/>
      <c r="AS25" s="136"/>
      <c r="AT25" s="136"/>
      <c r="AV25" s="136"/>
      <c r="AW25" s="136"/>
      <c r="AX25" s="136"/>
    </row>
    <row r="26" spans="1:50" s="79" customFormat="1" ht="11.25">
      <c r="A26" s="96">
        <f t="shared" ca="1" si="2"/>
        <v>15</v>
      </c>
      <c r="B26" s="68" t="s">
        <v>103</v>
      </c>
      <c r="C26" s="97">
        <v>0.4</v>
      </c>
      <c r="D26" s="69" t="s">
        <v>66</v>
      </c>
      <c r="E26" s="137" t="s">
        <v>87</v>
      </c>
      <c r="F26" s="156">
        <v>2.9999999999999997E-4</v>
      </c>
      <c r="G26" s="156">
        <v>8.9999999999999998E-4</v>
      </c>
      <c r="H26" s="156">
        <v>1.5E-3</v>
      </c>
      <c r="I26" s="156">
        <v>2E-3</v>
      </c>
      <c r="J26" s="156" t="s">
        <v>87</v>
      </c>
      <c r="K26" s="156">
        <v>3.3E-3</v>
      </c>
      <c r="L26" s="156">
        <v>4.1000000000000003E-3</v>
      </c>
      <c r="M26" s="156">
        <v>5.1999999999999998E-3</v>
      </c>
      <c r="N26" s="138" cm="1">
        <f t="array" aca="1" ref="N26:AE26" ca="1">IF(OR(B26="",NOT($J$2)),"",GetStripDefaultProbability(A26,B26,Parameter_Date,CDSRollDate,E26:M26,SpreadCurveMaturities,D26,C26,$J$4,$J$6))</f>
        <v>0</v>
      </c>
      <c r="O26" s="163">
        <f ca="1"/>
        <v>2.9926566746929506E-4</v>
      </c>
      <c r="P26" s="163">
        <f ca="1"/>
        <v>1.664813862855663E-3</v>
      </c>
      <c r="Q26" s="163">
        <f ca="1"/>
        <v>5.3249410582175694E-3</v>
      </c>
      <c r="R26" s="163">
        <f ca="1"/>
        <v>1.0529622845458109E-2</v>
      </c>
      <c r="S26" s="163">
        <f ca="1"/>
        <v>0</v>
      </c>
      <c r="T26" s="163">
        <f ca="1"/>
        <v>2.8913102913993738E-2</v>
      </c>
      <c r="U26" s="163">
        <f ca="1"/>
        <v>5.0062856698548375E-2</v>
      </c>
      <c r="V26" s="139">
        <f ca="1"/>
        <v>9.0632690905888547E-2</v>
      </c>
      <c r="W26" s="138">
        <f ca="1"/>
        <v>0</v>
      </c>
      <c r="X26" s="163">
        <f ca="1"/>
        <v>3.9900078367871572E-4</v>
      </c>
      <c r="Y26" s="163">
        <f ca="1"/>
        <v>1.831189195552585E-3</v>
      </c>
      <c r="Z26" s="163">
        <f ca="1"/>
        <v>5.675039899400991E-3</v>
      </c>
      <c r="AA26" s="163">
        <f ca="1"/>
        <v>1.1044343034741777E-2</v>
      </c>
      <c r="AB26" s="163">
        <f ca="1"/>
        <v>0</v>
      </c>
      <c r="AC26" s="163">
        <f ca="1"/>
        <v>3.0330870738898619E-2</v>
      </c>
      <c r="AD26" s="163">
        <f ca="1"/>
        <v>5.2504812933611089E-2</v>
      </c>
      <c r="AE26" s="139">
        <f ca="1"/>
        <v>9.4998369763893198E-2</v>
      </c>
      <c r="AH26" s="136"/>
      <c r="AI26" s="136"/>
      <c r="AJ26" s="136"/>
      <c r="AK26" s="136"/>
      <c r="AL26" s="140"/>
      <c r="AM26" s="136"/>
      <c r="AN26" s="136"/>
      <c r="AO26" s="136"/>
      <c r="AQ26" s="136"/>
      <c r="AR26" s="136"/>
      <c r="AS26" s="136"/>
      <c r="AT26" s="136"/>
      <c r="AV26" s="136"/>
      <c r="AW26" s="136"/>
      <c r="AX26" s="136"/>
    </row>
    <row r="27" spans="1:50" s="79" customFormat="1" ht="11.25">
      <c r="A27" s="96">
        <f t="shared" ca="1" si="2"/>
        <v>16</v>
      </c>
      <c r="B27" s="68" t="s">
        <v>104</v>
      </c>
      <c r="C27" s="97">
        <v>0.4</v>
      </c>
      <c r="D27" s="69" t="s">
        <v>66</v>
      </c>
      <c r="E27" s="137" t="s">
        <v>87</v>
      </c>
      <c r="F27" s="156">
        <v>5.9999999999999995E-4</v>
      </c>
      <c r="G27" s="156">
        <v>5.9999999999999995E-4</v>
      </c>
      <c r="H27" s="156">
        <v>1.1000000000000001E-3</v>
      </c>
      <c r="I27" s="156">
        <v>1.5E-3</v>
      </c>
      <c r="J27" s="156" t="s">
        <v>87</v>
      </c>
      <c r="K27" s="156">
        <v>2.5000000000000001E-3</v>
      </c>
      <c r="L27" s="156">
        <v>3.3E-3</v>
      </c>
      <c r="M27" s="156">
        <v>4.3E-3</v>
      </c>
      <c r="N27" s="138" cm="1">
        <f t="array" aca="1" ref="N27:AE27" ca="1">IF(OR(B27="",NOT($J$2)),"",GetStripDefaultProbability(A27,B27,Parameter_Date,CDSRollDate,E27:M27,SpreadCurveMaturities,D27,C27,$J$4,$J$6))</f>
        <v>0</v>
      </c>
      <c r="O27" s="163">
        <f ca="1"/>
        <v>5.9844205622783253E-4</v>
      </c>
      <c r="P27" s="163">
        <f ca="1"/>
        <v>1.0999062039814822E-3</v>
      </c>
      <c r="Q27" s="163">
        <f ca="1"/>
        <v>3.9009739593999226E-3</v>
      </c>
      <c r="R27" s="163">
        <f ca="1"/>
        <v>7.9039795440156713E-3</v>
      </c>
      <c r="S27" s="163">
        <f ca="1"/>
        <v>0</v>
      </c>
      <c r="T27" s="163">
        <f ca="1"/>
        <v>2.1963760074922289E-2</v>
      </c>
      <c r="U27" s="163">
        <f ca="1"/>
        <v>4.0643371459928246E-2</v>
      </c>
      <c r="V27" s="139">
        <f ca="1"/>
        <v>7.5861832549205532E-2</v>
      </c>
      <c r="W27" s="138">
        <f ca="1"/>
        <v>0</v>
      </c>
      <c r="X27" s="163">
        <f ca="1"/>
        <v>6.9814675354706868E-4</v>
      </c>
      <c r="Y27" s="163">
        <f ca="1"/>
        <v>1.266375680099352E-3</v>
      </c>
      <c r="Z27" s="163">
        <f ca="1"/>
        <v>4.2514944219190776E-3</v>
      </c>
      <c r="AA27" s="163">
        <f ca="1"/>
        <v>8.4199063560648213E-3</v>
      </c>
      <c r="AB27" s="163">
        <f ca="1"/>
        <v>0</v>
      </c>
      <c r="AC27" s="163">
        <f ca="1"/>
        <v>2.3028120448064793E-2</v>
      </c>
      <c r="AD27" s="163">
        <f ca="1"/>
        <v>4.26188291239461E-2</v>
      </c>
      <c r="AE27" s="139">
        <f ca="1"/>
        <v>7.9507275124513388E-2</v>
      </c>
      <c r="AH27" s="136"/>
      <c r="AI27" s="136"/>
      <c r="AJ27" s="136"/>
      <c r="AK27" s="136"/>
      <c r="AL27" s="140"/>
      <c r="AM27" s="136"/>
      <c r="AN27" s="136"/>
      <c r="AO27" s="136"/>
      <c r="AQ27" s="136"/>
      <c r="AR27" s="136"/>
      <c r="AS27" s="136"/>
      <c r="AT27" s="136"/>
      <c r="AV27" s="136"/>
      <c r="AW27" s="136"/>
      <c r="AX27" s="136"/>
    </row>
    <row r="28" spans="1:50" s="79" customFormat="1" ht="11.25">
      <c r="A28" s="96">
        <f t="shared" ca="1" si="2"/>
        <v>17</v>
      </c>
      <c r="B28" s="68" t="s">
        <v>105</v>
      </c>
      <c r="C28" s="97">
        <v>0.4</v>
      </c>
      <c r="D28" s="69" t="s">
        <v>66</v>
      </c>
      <c r="E28" s="137" t="s">
        <v>87</v>
      </c>
      <c r="F28" s="156">
        <v>1.1299999999999999E-3</v>
      </c>
      <c r="G28" s="156">
        <v>1.83E-3</v>
      </c>
      <c r="H28" s="156">
        <v>2.63E-3</v>
      </c>
      <c r="I28" s="156">
        <v>2.8999999999999998E-3</v>
      </c>
      <c r="J28" s="156" t="s">
        <v>87</v>
      </c>
      <c r="K28" s="156">
        <v>3.3E-3</v>
      </c>
      <c r="L28" s="156">
        <v>3.65E-3</v>
      </c>
      <c r="M28" s="156">
        <v>4.1000000000000003E-3</v>
      </c>
      <c r="N28" s="138" cm="1">
        <f t="array" aca="1" ref="N28:AE28" ca="1">IF(OR(B28="",NOT($J$2)),"",GetStripDefaultProbability(A28,B28,Parameter_Date,CDSRollDate,E28:M28,SpreadCurveMaturities,D28,C28,$J$4,$J$6))</f>
        <v>0</v>
      </c>
      <c r="O28" s="163">
        <f ca="1"/>
        <v>1.1267689449596663E-3</v>
      </c>
      <c r="P28" s="163">
        <f ca="1"/>
        <v>3.3694911941215544E-3</v>
      </c>
      <c r="Q28" s="163">
        <f ca="1"/>
        <v>9.2895131448332835E-3</v>
      </c>
      <c r="R28" s="163">
        <f ca="1"/>
        <v>1.5107952297213845E-2</v>
      </c>
      <c r="S28" s="163">
        <f ca="1"/>
        <v>0</v>
      </c>
      <c r="T28" s="163">
        <f ca="1"/>
        <v>2.8266480567060159E-2</v>
      </c>
      <c r="U28" s="163">
        <f ca="1"/>
        <v>4.3542177723241537E-2</v>
      </c>
      <c r="V28" s="139">
        <f ca="1"/>
        <v>6.9675522189337036E-2</v>
      </c>
      <c r="W28" s="138">
        <f ca="1"/>
        <v>0</v>
      </c>
      <c r="X28" s="163">
        <f ca="1"/>
        <v>1.2264189032719086E-3</v>
      </c>
      <c r="Y28" s="163">
        <f ca="1"/>
        <v>3.5355824375917777E-3</v>
      </c>
      <c r="Z28" s="163">
        <f ca="1"/>
        <v>9.7508898586631254E-3</v>
      </c>
      <c r="AA28" s="163">
        <f ca="1"/>
        <v>1.5856959251273728E-2</v>
      </c>
      <c r="AB28" s="163">
        <f ca="1"/>
        <v>0</v>
      </c>
      <c r="AC28" s="163">
        <f ca="1"/>
        <v>2.9658785327311477E-2</v>
      </c>
      <c r="AD28" s="163">
        <f ca="1"/>
        <v>4.5672871847767471E-2</v>
      </c>
      <c r="AE28" s="139">
        <f ca="1"/>
        <v>7.3038987104311559E-2</v>
      </c>
      <c r="AH28" s="136"/>
      <c r="AI28" s="136"/>
      <c r="AJ28" s="136"/>
      <c r="AK28" s="136"/>
      <c r="AL28" s="140"/>
      <c r="AM28" s="136"/>
      <c r="AN28" s="136"/>
      <c r="AO28" s="136"/>
      <c r="AQ28" s="136"/>
      <c r="AR28" s="136"/>
      <c r="AS28" s="136"/>
      <c r="AT28" s="136"/>
      <c r="AV28" s="136"/>
      <c r="AW28" s="136"/>
      <c r="AX28" s="136"/>
    </row>
    <row r="29" spans="1:50" s="79" customFormat="1" ht="11.25">
      <c r="A29" s="96">
        <f t="shared" ca="1" si="2"/>
        <v>18</v>
      </c>
      <c r="B29" s="68" t="s">
        <v>106</v>
      </c>
      <c r="C29" s="97">
        <v>0.4</v>
      </c>
      <c r="D29" s="69" t="s">
        <v>66</v>
      </c>
      <c r="E29" s="137" t="s">
        <v>87</v>
      </c>
      <c r="F29" s="156">
        <v>6.9999999999999999E-4</v>
      </c>
      <c r="G29" s="156">
        <v>8.0000000000000004E-4</v>
      </c>
      <c r="H29" s="156">
        <v>1.4E-3</v>
      </c>
      <c r="I29" s="156">
        <v>1.9E-3</v>
      </c>
      <c r="J29" s="156" t="s">
        <v>87</v>
      </c>
      <c r="K29" s="156">
        <v>3.0999999999999999E-3</v>
      </c>
      <c r="L29" s="156">
        <v>3.8999999999999998E-3</v>
      </c>
      <c r="M29" s="156">
        <v>5.3E-3</v>
      </c>
      <c r="N29" s="138" cm="1">
        <f t="array" aca="1" ref="N29:AE29" ca="1">IF(OR(B29="",NOT($J$2)),"",GetStripDefaultProbability(A29,B29,Parameter_Date,CDSRollDate,E29:M29,SpreadCurveMaturities,D29,C29,$J$4,$J$6))</f>
        <v>0</v>
      </c>
      <c r="O29" s="163">
        <f ca="1"/>
        <v>6.98147686336692E-4</v>
      </c>
      <c r="P29" s="163">
        <f ca="1"/>
        <v>1.4688312592168185E-3</v>
      </c>
      <c r="Q29" s="163">
        <f ca="1"/>
        <v>4.9622032348299872E-3</v>
      </c>
      <c r="R29" s="163">
        <f ca="1"/>
        <v>1.0001880064386404E-2</v>
      </c>
      <c r="S29" s="163">
        <f ca="1"/>
        <v>0</v>
      </c>
      <c r="T29" s="163">
        <f ca="1"/>
        <v>2.7161691353748685E-2</v>
      </c>
      <c r="U29" s="163">
        <f ca="1"/>
        <v>4.7697763744212085E-2</v>
      </c>
      <c r="V29" s="139">
        <f ca="1"/>
        <v>9.3169317734262069E-2</v>
      </c>
      <c r="W29" s="138">
        <f ca="1"/>
        <v>0</v>
      </c>
      <c r="X29" s="163">
        <f ca="1"/>
        <v>7.9784215457201491E-4</v>
      </c>
      <c r="Y29" s="163">
        <f ca="1"/>
        <v>1.6352392529477289E-3</v>
      </c>
      <c r="Z29" s="163">
        <f ca="1"/>
        <v>5.3123837518624928E-3</v>
      </c>
      <c r="AA29" s="163">
        <f ca="1"/>
        <v>1.0516830761535201E-2</v>
      </c>
      <c r="AB29" s="163">
        <f ca="1"/>
        <v>0</v>
      </c>
      <c r="AC29" s="163">
        <f ca="1"/>
        <v>2.8491362041701218E-2</v>
      </c>
      <c r="AD29" s="163">
        <f ca="1"/>
        <v>5.0023682536646907E-2</v>
      </c>
      <c r="AE29" s="139">
        <f ca="1"/>
        <v>9.7658266973839836E-2</v>
      </c>
      <c r="AH29" s="136"/>
      <c r="AI29" s="136"/>
      <c r="AJ29" s="136"/>
      <c r="AK29" s="136"/>
      <c r="AL29" s="140"/>
      <c r="AM29" s="136"/>
      <c r="AN29" s="136"/>
      <c r="AO29" s="136"/>
      <c r="AQ29" s="136"/>
      <c r="AR29" s="136"/>
      <c r="AS29" s="136"/>
      <c r="AT29" s="136"/>
      <c r="AV29" s="136"/>
      <c r="AW29" s="136"/>
      <c r="AX29" s="136"/>
    </row>
    <row r="30" spans="1:50" s="79" customFormat="1" ht="11.25">
      <c r="A30" s="96">
        <f t="shared" ca="1" si="2"/>
        <v>19</v>
      </c>
      <c r="B30" s="68" t="s">
        <v>107</v>
      </c>
      <c r="C30" s="97">
        <v>0.4</v>
      </c>
      <c r="D30" s="69" t="s">
        <v>66</v>
      </c>
      <c r="E30" s="137" t="s">
        <v>87</v>
      </c>
      <c r="F30" s="156">
        <v>5.0000000000000001E-4</v>
      </c>
      <c r="G30" s="156">
        <v>8.0000000000000004E-4</v>
      </c>
      <c r="H30" s="156">
        <v>1.1999999999999999E-3</v>
      </c>
      <c r="I30" s="156">
        <v>1.6000000000000001E-3</v>
      </c>
      <c r="J30" s="156" t="s">
        <v>87</v>
      </c>
      <c r="K30" s="156">
        <v>2.5999999999999999E-3</v>
      </c>
      <c r="L30" s="156">
        <v>3.2000000000000002E-3</v>
      </c>
      <c r="M30" s="156">
        <v>3.5999999999999999E-3</v>
      </c>
      <c r="N30" s="138" cm="1">
        <f t="array" aca="1" ref="N30:AE30" ca="1">IF(OR(B30="",NOT($J$2)),"",GetStripDefaultProbability(A30,B30,Parameter_Date,CDSRollDate,E30:M30,SpreadCurveMaturities,D30,C30,$J$4,$J$6))</f>
        <v>0</v>
      </c>
      <c r="O30" s="163">
        <f ca="1"/>
        <v>4.9872651070981266E-4</v>
      </c>
      <c r="P30" s="163">
        <f ca="1"/>
        <v>1.4739490898789676E-3</v>
      </c>
      <c r="Q30" s="163">
        <f ca="1"/>
        <v>4.2497236025992313E-3</v>
      </c>
      <c r="R30" s="163">
        <f ca="1"/>
        <v>8.4181452713483207E-3</v>
      </c>
      <c r="S30" s="163">
        <f ca="1"/>
        <v>0</v>
      </c>
      <c r="T30" s="163">
        <f ca="1"/>
        <v>2.2801716178815434E-2</v>
      </c>
      <c r="U30" s="163">
        <f ca="1"/>
        <v>3.9170223289659134E-2</v>
      </c>
      <c r="V30" s="139">
        <f ca="1"/>
        <v>6.2320579694662759E-2</v>
      </c>
      <c r="W30" s="138">
        <f ca="1"/>
        <v>0</v>
      </c>
      <c r="X30" s="163">
        <f ca="1"/>
        <v>5.9844139207421154E-4</v>
      </c>
      <c r="Y30" s="163">
        <f ca="1"/>
        <v>1.6403562307232278E-3</v>
      </c>
      <c r="Z30" s="163">
        <f ca="1"/>
        <v>4.6001191656769302E-3</v>
      </c>
      <c r="AA30" s="163">
        <f ca="1"/>
        <v>8.9337969338907364E-3</v>
      </c>
      <c r="AB30" s="163">
        <f ca="1"/>
        <v>0</v>
      </c>
      <c r="AC30" s="163">
        <f ca="1"/>
        <v>2.3910346969666096E-2</v>
      </c>
      <c r="AD30" s="163">
        <f ca="1"/>
        <v>4.1076826880632855E-2</v>
      </c>
      <c r="AE30" s="139">
        <f ca="1"/>
        <v>6.5328085361477273E-2</v>
      </c>
      <c r="AH30" s="136"/>
      <c r="AI30" s="136"/>
      <c r="AJ30" s="136"/>
      <c r="AK30" s="136"/>
      <c r="AL30" s="140"/>
      <c r="AM30" s="136"/>
      <c r="AN30" s="136"/>
      <c r="AO30" s="136"/>
      <c r="AQ30" s="136"/>
      <c r="AR30" s="136"/>
      <c r="AS30" s="136"/>
      <c r="AT30" s="136"/>
      <c r="AV30" s="136"/>
      <c r="AW30" s="136"/>
      <c r="AX30" s="136"/>
    </row>
    <row r="31" spans="1:50" s="79" customFormat="1" ht="11.25">
      <c r="A31" s="96">
        <f t="shared" ca="1" si="2"/>
        <v>20</v>
      </c>
      <c r="B31" s="68" t="s">
        <v>108</v>
      </c>
      <c r="C31" s="97">
        <v>0.4</v>
      </c>
      <c r="D31" s="69" t="s">
        <v>66</v>
      </c>
      <c r="E31" s="137" t="s">
        <v>87</v>
      </c>
      <c r="F31" s="156">
        <v>6.4000000000000005E-4</v>
      </c>
      <c r="G31" s="156">
        <v>1.1800000000000001E-3</v>
      </c>
      <c r="H31" s="156">
        <v>1.66E-3</v>
      </c>
      <c r="I31" s="156">
        <v>2.1099999999999999E-3</v>
      </c>
      <c r="J31" s="156" t="s">
        <v>87</v>
      </c>
      <c r="K31" s="156">
        <v>3.0000000000000001E-3</v>
      </c>
      <c r="L31" s="156">
        <v>3.5999999999999999E-3</v>
      </c>
      <c r="M31" s="156">
        <v>3.8E-3</v>
      </c>
      <c r="N31" s="138" cm="1">
        <f t="array" aca="1" ref="N31:AE31" ca="1">IF(OR(B31="",NOT($J$2)),"",GetStripDefaultProbability(A31,B31,Parameter_Date,CDSRollDate,E31:M31,SpreadCurveMaturities,D31,C31,$J$4,$J$6))</f>
        <v>0</v>
      </c>
      <c r="O31" s="163">
        <f ca="1"/>
        <v>6.383254980441011E-4</v>
      </c>
      <c r="P31" s="163">
        <f ca="1"/>
        <v>2.1760010124565188E-3</v>
      </c>
      <c r="Q31" s="163">
        <f ca="1"/>
        <v>5.8716330328352218E-3</v>
      </c>
      <c r="R31" s="163">
        <f ca="1"/>
        <v>1.106943735905408E-2</v>
      </c>
      <c r="S31" s="163">
        <f ca="1"/>
        <v>0</v>
      </c>
      <c r="T31" s="163">
        <f ca="1"/>
        <v>2.6105551735397525E-2</v>
      </c>
      <c r="U31" s="163">
        <f ca="1"/>
        <v>4.3717377657688017E-2</v>
      </c>
      <c r="V31" s="139">
        <f ca="1"/>
        <v>6.4792435511414115E-2</v>
      </c>
      <c r="W31" s="138">
        <f ca="1"/>
        <v>0</v>
      </c>
      <c r="X31" s="163">
        <f ca="1"/>
        <v>7.3802610915596478E-4</v>
      </c>
      <c r="Y31" s="163">
        <f ca="1"/>
        <v>2.3422911543856673E-3</v>
      </c>
      <c r="Z31" s="163">
        <f ca="1"/>
        <v>6.2214952810135671E-3</v>
      </c>
      <c r="AA31" s="163">
        <f ca="1"/>
        <v>1.1613484056597012E-2</v>
      </c>
      <c r="AB31" s="163">
        <f ca="1"/>
        <v>0</v>
      </c>
      <c r="AC31" s="163">
        <f ca="1"/>
        <v>2.7388488980265802E-2</v>
      </c>
      <c r="AD31" s="163">
        <f ca="1"/>
        <v>4.5855280928988273E-2</v>
      </c>
      <c r="AE31" s="139">
        <f ca="1"/>
        <v>6.7925129076704671E-2</v>
      </c>
      <c r="AH31" s="136"/>
      <c r="AI31" s="136"/>
      <c r="AJ31" s="136"/>
      <c r="AK31" s="136"/>
      <c r="AL31" s="140"/>
      <c r="AM31" s="136"/>
      <c r="AN31" s="136"/>
      <c r="AO31" s="136"/>
      <c r="AQ31" s="136"/>
      <c r="AR31" s="136"/>
      <c r="AS31" s="136"/>
      <c r="AT31" s="136"/>
      <c r="AV31" s="136"/>
      <c r="AW31" s="136"/>
      <c r="AX31" s="136"/>
    </row>
    <row r="32" spans="1:50" s="79" customFormat="1" ht="11.25">
      <c r="A32" s="96">
        <f t="shared" ca="1" si="2"/>
        <v>21</v>
      </c>
      <c r="B32" s="68" t="s">
        <v>109</v>
      </c>
      <c r="C32" s="97">
        <v>0.4</v>
      </c>
      <c r="D32" s="69" t="s">
        <v>66</v>
      </c>
      <c r="E32" s="137" t="s">
        <v>87</v>
      </c>
      <c r="F32" s="156">
        <v>1.1000000000000001E-3</v>
      </c>
      <c r="G32" s="156">
        <v>1.6000000000000001E-3</v>
      </c>
      <c r="H32" s="156">
        <v>2.0999999999999999E-3</v>
      </c>
      <c r="I32" s="156">
        <v>3.0000000000000001E-3</v>
      </c>
      <c r="J32" s="156" t="s">
        <v>87</v>
      </c>
      <c r="K32" s="156">
        <v>3.8999999999999998E-3</v>
      </c>
      <c r="L32" s="156">
        <v>4.5999999999999999E-3</v>
      </c>
      <c r="M32" s="156">
        <v>5.7000000000000002E-3</v>
      </c>
      <c r="N32" s="138" cm="1">
        <f t="array" aca="1" ref="N32:AE32" ca="1">IF(OR(B32="",NOT($J$2)),"",GetStripDefaultProbability(A32,B32,Parameter_Date,CDSRollDate,E32:M32,SpreadCurveMaturities,D32,C32,$J$4,$J$6))</f>
        <v>0</v>
      </c>
      <c r="O32" s="163">
        <f ca="1"/>
        <v>1.0968710821319672E-3</v>
      </c>
      <c r="P32" s="163">
        <f ca="1"/>
        <v>2.9435474346423129E-3</v>
      </c>
      <c r="Q32" s="163">
        <f ca="1"/>
        <v>7.4085469273097448E-3</v>
      </c>
      <c r="R32" s="163">
        <f ca="1"/>
        <v>1.5755655183275263E-2</v>
      </c>
      <c r="S32" s="163">
        <f ca="1"/>
        <v>0</v>
      </c>
      <c r="T32" s="163">
        <f ca="1"/>
        <v>3.3731021740459277E-2</v>
      </c>
      <c r="U32" s="163">
        <f ca="1"/>
        <v>5.5402970439849319E-2</v>
      </c>
      <c r="V32" s="139">
        <f ca="1"/>
        <v>9.8072550115627433E-2</v>
      </c>
      <c r="W32" s="138">
        <f ca="1"/>
        <v>0</v>
      </c>
      <c r="X32" s="163">
        <f ca="1"/>
        <v>1.1965241739009258E-3</v>
      </c>
      <c r="Y32" s="163">
        <f ca="1"/>
        <v>3.1097096628280863E-3</v>
      </c>
      <c r="Z32" s="163">
        <f ca="1"/>
        <v>7.7757573357623011E-3</v>
      </c>
      <c r="AA32" s="163">
        <f ca="1"/>
        <v>1.6536364709034856E-2</v>
      </c>
      <c r="AB32" s="163">
        <f ca="1"/>
        <v>0</v>
      </c>
      <c r="AC32" s="163">
        <f ca="1"/>
        <v>3.5389458145498875E-2</v>
      </c>
      <c r="AD32" s="163">
        <f ca="1"/>
        <v>5.8103527260463639E-2</v>
      </c>
      <c r="AE32" s="139">
        <f ca="1"/>
        <v>0.10278130457170753</v>
      </c>
      <c r="AH32" s="136"/>
      <c r="AI32" s="136"/>
      <c r="AJ32" s="136"/>
      <c r="AK32" s="136"/>
      <c r="AL32" s="140"/>
      <c r="AM32" s="136"/>
      <c r="AN32" s="136"/>
      <c r="AO32" s="136"/>
      <c r="AQ32" s="136"/>
      <c r="AR32" s="136"/>
      <c r="AS32" s="136"/>
      <c r="AT32" s="136"/>
      <c r="AV32" s="136"/>
      <c r="AW32" s="136"/>
      <c r="AX32" s="136"/>
    </row>
    <row r="33" spans="1:50" s="79" customFormat="1" ht="11.25">
      <c r="A33" s="96">
        <f t="shared" ca="1" si="2"/>
        <v>22</v>
      </c>
      <c r="B33" s="68" t="s">
        <v>110</v>
      </c>
      <c r="C33" s="97">
        <v>0.4</v>
      </c>
      <c r="D33" s="69" t="s">
        <v>66</v>
      </c>
      <c r="E33" s="137" t="s">
        <v>87</v>
      </c>
      <c r="F33" s="156">
        <v>7.7999999999999999E-4</v>
      </c>
      <c r="G33" s="156">
        <v>1.3699999999999999E-3</v>
      </c>
      <c r="H33" s="156">
        <v>2.3E-3</v>
      </c>
      <c r="I33" s="156">
        <v>2.7000000000000001E-3</v>
      </c>
      <c r="J33" s="156" t="s">
        <v>87</v>
      </c>
      <c r="K33" s="156">
        <v>3.3E-3</v>
      </c>
      <c r="L33" s="156">
        <v>3.7000000000000002E-3</v>
      </c>
      <c r="M33" s="156">
        <v>4.0000000000000001E-3</v>
      </c>
      <c r="N33" s="138" cm="1">
        <f t="array" aca="1" ref="N33:AE33" ca="1">IF(OR(B33="",NOT($J$2)),"",GetStripDefaultProbability(A33,B33,Parameter_Date,CDSRollDate,E33:M33,SpreadCurveMaturities,D33,C33,$J$4,$J$6))</f>
        <v>0</v>
      </c>
      <c r="O33" s="163">
        <f ca="1"/>
        <v>7.7790505231445373E-4</v>
      </c>
      <c r="P33" s="163">
        <f ca="1"/>
        <v>2.525079146883269E-3</v>
      </c>
      <c r="Q33" s="163">
        <f ca="1"/>
        <v>8.1486082970294582E-3</v>
      </c>
      <c r="R33" s="163">
        <f ca="1"/>
        <v>1.4127763491910805E-2</v>
      </c>
      <c r="S33" s="163">
        <f ca="1"/>
        <v>0</v>
      </c>
      <c r="T33" s="163">
        <f ca="1"/>
        <v>2.8445478691091042E-2</v>
      </c>
      <c r="U33" s="163">
        <f ca="1"/>
        <v>4.437346954420307E-2</v>
      </c>
      <c r="V33" s="139">
        <f ca="1"/>
        <v>6.7833690281959846E-2</v>
      </c>
      <c r="W33" s="138">
        <f ca="1"/>
        <v>0</v>
      </c>
      <c r="X33" s="163">
        <f ca="1"/>
        <v>8.7759130448494815E-4</v>
      </c>
      <c r="Y33" s="163">
        <f ca="1"/>
        <v>2.6913111139797996E-3</v>
      </c>
      <c r="Z33" s="163">
        <f ca="1"/>
        <v>8.5514671987230173E-3</v>
      </c>
      <c r="AA33" s="163">
        <f ca="1"/>
        <v>1.4826658941367477E-2</v>
      </c>
      <c r="AB33" s="163">
        <f ca="1"/>
        <v>0</v>
      </c>
      <c r="AC33" s="163">
        <f ca="1"/>
        <v>2.9845304892255009E-2</v>
      </c>
      <c r="AD33" s="163">
        <f ca="1"/>
        <v>4.6543575814017135E-2</v>
      </c>
      <c r="AE33" s="139">
        <f ca="1"/>
        <v>7.1109331717914004E-2</v>
      </c>
      <c r="AH33" s="136"/>
      <c r="AI33" s="136"/>
      <c r="AJ33" s="136"/>
      <c r="AK33" s="136"/>
      <c r="AL33" s="140"/>
      <c r="AM33" s="136"/>
      <c r="AN33" s="136"/>
      <c r="AO33" s="136"/>
      <c r="AQ33" s="136"/>
      <c r="AR33" s="136"/>
      <c r="AS33" s="136"/>
      <c r="AT33" s="136"/>
      <c r="AV33" s="136"/>
      <c r="AW33" s="136"/>
      <c r="AX33" s="136"/>
    </row>
    <row r="34" spans="1:50" s="79" customFormat="1" ht="11.25">
      <c r="A34" s="96">
        <f t="shared" ca="1" si="2"/>
        <v>23</v>
      </c>
      <c r="B34" s="68" t="s">
        <v>111</v>
      </c>
      <c r="C34" s="97">
        <v>0.4</v>
      </c>
      <c r="D34" s="69" t="s">
        <v>66</v>
      </c>
      <c r="E34" s="137" t="s">
        <v>87</v>
      </c>
      <c r="F34" s="156">
        <v>5.0000000000000001E-4</v>
      </c>
      <c r="G34" s="156">
        <v>8.9999999999999998E-4</v>
      </c>
      <c r="H34" s="156">
        <v>1.6000000000000001E-3</v>
      </c>
      <c r="I34" s="156">
        <v>2.3999999999999998E-3</v>
      </c>
      <c r="J34" s="156" t="s">
        <v>87</v>
      </c>
      <c r="K34" s="156">
        <v>3.5999999999999999E-3</v>
      </c>
      <c r="L34" s="156">
        <v>4.5999999999999999E-3</v>
      </c>
      <c r="M34" s="156">
        <v>5.7999999999999996E-3</v>
      </c>
      <c r="N34" s="138" cm="1">
        <f t="array" aca="1" ref="N34:AE34" ca="1">IF(OR(B34="",NOT($J$2)),"",GetStripDefaultProbability(A34,B34,Parameter_Date,CDSRollDate,E34:M34,SpreadCurveMaturities,D34,C34,$J$4,$J$6))</f>
        <v>0</v>
      </c>
      <c r="O34" s="163">
        <f ca="1"/>
        <v>4.9872651070981266E-4</v>
      </c>
      <c r="P34" s="163">
        <f ca="1"/>
        <v>1.6596768991038457E-3</v>
      </c>
      <c r="Q34" s="163">
        <f ca="1"/>
        <v>5.6783807850767642E-3</v>
      </c>
      <c r="R34" s="163">
        <f ca="1"/>
        <v>1.2668372494073821E-2</v>
      </c>
      <c r="S34" s="163">
        <f ca="1"/>
        <v>0</v>
      </c>
      <c r="T34" s="163">
        <f ca="1"/>
        <v>3.1431724908123737E-2</v>
      </c>
      <c r="U34" s="163">
        <f ca="1"/>
        <v>5.6098747698395179E-2</v>
      </c>
      <c r="V34" s="139">
        <f ca="1"/>
        <v>0.10068031154875157</v>
      </c>
      <c r="W34" s="138">
        <f ca="1"/>
        <v>0</v>
      </c>
      <c r="X34" s="163">
        <f ca="1"/>
        <v>5.9844139207421154E-4</v>
      </c>
      <c r="Y34" s="163">
        <f ca="1"/>
        <v>1.8260530878893011E-3</v>
      </c>
      <c r="Z34" s="163">
        <f ca="1"/>
        <v>6.0283613312329676E-3</v>
      </c>
      <c r="AA34" s="163">
        <f ca="1"/>
        <v>1.329018118496661E-2</v>
      </c>
      <c r="AB34" s="163">
        <f ca="1"/>
        <v>0</v>
      </c>
      <c r="AC34" s="163">
        <f ca="1"/>
        <v>3.2973051399207254E-2</v>
      </c>
      <c r="AD34" s="163">
        <f ca="1"/>
        <v>5.8830230244933834E-2</v>
      </c>
      <c r="AE34" s="139">
        <f ca="1"/>
        <v>0.10551221468572247</v>
      </c>
      <c r="AH34" s="136"/>
      <c r="AI34" s="136"/>
      <c r="AJ34" s="136"/>
      <c r="AK34" s="136"/>
      <c r="AL34" s="140"/>
      <c r="AM34" s="136"/>
      <c r="AN34" s="136"/>
      <c r="AO34" s="136"/>
      <c r="AQ34" s="136"/>
      <c r="AR34" s="136"/>
      <c r="AS34" s="136"/>
      <c r="AT34" s="136"/>
      <c r="AV34" s="136"/>
      <c r="AW34" s="136"/>
      <c r="AX34" s="136"/>
    </row>
    <row r="35" spans="1:50" s="79" customFormat="1" ht="11.25">
      <c r="A35" s="96">
        <f t="shared" ca="1" si="2"/>
        <v>24</v>
      </c>
      <c r="B35" s="68" t="s">
        <v>112</v>
      </c>
      <c r="C35" s="97">
        <v>0.4</v>
      </c>
      <c r="D35" s="69" t="s">
        <v>66</v>
      </c>
      <c r="E35" s="137" t="s">
        <v>87</v>
      </c>
      <c r="F35" s="156">
        <v>1.15E-3</v>
      </c>
      <c r="G35" s="156">
        <v>1.81E-3</v>
      </c>
      <c r="H35" s="156">
        <v>2.8E-3</v>
      </c>
      <c r="I35" s="156">
        <v>3.5000000000000001E-3</v>
      </c>
      <c r="J35" s="156" t="s">
        <v>87</v>
      </c>
      <c r="K35" s="156">
        <v>4.5999999999999999E-3</v>
      </c>
      <c r="L35" s="156">
        <v>5.1999999999999998E-3</v>
      </c>
      <c r="M35" s="156">
        <v>5.7000000000000002E-3</v>
      </c>
      <c r="N35" s="138" cm="1">
        <f t="array" aca="1" ref="N35:AE35" ca="1">IF(OR(B35="",NOT($J$2)),"",GetStripDefaultProbability(A35,B35,Parameter_Date,CDSRollDate,E35:M35,SpreadCurveMaturities,D35,C35,$J$4,$J$6))</f>
        <v>0</v>
      </c>
      <c r="O35" s="163">
        <f ca="1"/>
        <v>1.1467003581168145E-3</v>
      </c>
      <c r="P35" s="163">
        <f ca="1"/>
        <v>3.3318572044148675E-3</v>
      </c>
      <c r="Q35" s="163">
        <f ca="1"/>
        <v>9.8984298376574298E-3</v>
      </c>
      <c r="R35" s="163">
        <f ca="1"/>
        <v>1.8309326501480538E-2</v>
      </c>
      <c r="S35" s="163">
        <f ca="1"/>
        <v>0</v>
      </c>
      <c r="T35" s="163">
        <f ca="1"/>
        <v>3.9659348673085626E-2</v>
      </c>
      <c r="U35" s="163">
        <f ca="1"/>
        <v>6.2142756136775668E-2</v>
      </c>
      <c r="V35" s="139">
        <f ca="1"/>
        <v>9.5936337618325762E-2</v>
      </c>
      <c r="W35" s="138">
        <f ca="1"/>
        <v>0</v>
      </c>
      <c r="X35" s="163">
        <f ca="1"/>
        <v>1.2463482251061642E-3</v>
      </c>
      <c r="Y35" s="163">
        <f ca="1"/>
        <v>3.4979547197019345E-3</v>
      </c>
      <c r="Z35" s="163">
        <f ca="1"/>
        <v>1.0389982203571457E-2</v>
      </c>
      <c r="AA35" s="163">
        <f ca="1"/>
        <v>1.9216435378708985E-2</v>
      </c>
      <c r="AB35" s="163">
        <f ca="1"/>
        <v>0</v>
      </c>
      <c r="AC35" s="163">
        <f ca="1"/>
        <v>4.1604470504921109E-2</v>
      </c>
      <c r="AD35" s="163">
        <f ca="1"/>
        <v>6.5161315998461755E-2</v>
      </c>
      <c r="AE35" s="139">
        <f ca="1"/>
        <v>0.10050760207043041</v>
      </c>
      <c r="AH35" s="136"/>
      <c r="AI35" s="136"/>
      <c r="AJ35" s="136"/>
      <c r="AK35" s="136"/>
      <c r="AL35" s="140"/>
      <c r="AM35" s="136"/>
      <c r="AN35" s="136"/>
      <c r="AO35" s="136"/>
      <c r="AQ35" s="136"/>
      <c r="AR35" s="136"/>
      <c r="AS35" s="136"/>
      <c r="AT35" s="136"/>
      <c r="AV35" s="136"/>
      <c r="AW35" s="136"/>
      <c r="AX35" s="136"/>
    </row>
    <row r="36" spans="1:50" s="79" customFormat="1" ht="11.25">
      <c r="A36" s="96">
        <f t="shared" ca="1" si="2"/>
        <v>25</v>
      </c>
      <c r="B36" s="68" t="s">
        <v>113</v>
      </c>
      <c r="C36" s="97">
        <v>0.4</v>
      </c>
      <c r="D36" s="69" t="s">
        <v>66</v>
      </c>
      <c r="E36" s="137" t="s">
        <v>87</v>
      </c>
      <c r="F36" s="156">
        <v>5.0000000000000001E-4</v>
      </c>
      <c r="G36" s="156">
        <v>6.9999999999999999E-4</v>
      </c>
      <c r="H36" s="156">
        <v>1.1000000000000001E-3</v>
      </c>
      <c r="I36" s="156">
        <v>1.6000000000000001E-3</v>
      </c>
      <c r="J36" s="156" t="s">
        <v>87</v>
      </c>
      <c r="K36" s="156">
        <v>2.3E-3</v>
      </c>
      <c r="L36" s="156">
        <v>2.8999999999999998E-3</v>
      </c>
      <c r="M36" s="156">
        <v>3.7000000000000002E-3</v>
      </c>
      <c r="N36" s="138" cm="1">
        <f t="array" aca="1" ref="N36:AE36" ca="1">IF(OR(B36="",NOT($J$2)),"",GetStripDefaultProbability(A36,B36,Parameter_Date,CDSRollDate,E36:M36,SpreadCurveMaturities,D36,C36,$J$4,$J$6))</f>
        <v>0</v>
      </c>
      <c r="O36" s="163">
        <f ca="1"/>
        <v>4.9872651070981266E-4</v>
      </c>
      <c r="P36" s="163">
        <f ca="1"/>
        <v>1.2882057658748503E-3</v>
      </c>
      <c r="Q36" s="163">
        <f ca="1"/>
        <v>3.8971707420715207E-3</v>
      </c>
      <c r="R36" s="163">
        <f ca="1"/>
        <v>8.4413035981952822E-3</v>
      </c>
      <c r="S36" s="163">
        <f ca="1"/>
        <v>0</v>
      </c>
      <c r="T36" s="163">
        <f ca="1"/>
        <v>2.0109274411166389E-2</v>
      </c>
      <c r="U36" s="163">
        <f ca="1"/>
        <v>3.5536330562923824E-2</v>
      </c>
      <c r="V36" s="139">
        <f ca="1"/>
        <v>6.5105252282947723E-2</v>
      </c>
      <c r="W36" s="138">
        <f ca="1"/>
        <v>0</v>
      </c>
      <c r="X36" s="163">
        <f ca="1"/>
        <v>5.9844139207421154E-4</v>
      </c>
      <c r="Y36" s="163">
        <f ca="1"/>
        <v>1.454643861349969E-3</v>
      </c>
      <c r="Z36" s="163">
        <f ca="1"/>
        <v>4.2476819057671866E-3</v>
      </c>
      <c r="AA36" s="163">
        <f ca="1"/>
        <v>8.9570194471012554E-3</v>
      </c>
      <c r="AB36" s="163">
        <f ca="1"/>
        <v>0</v>
      </c>
      <c r="AC36" s="163">
        <f ca="1"/>
        <v>2.1084666301198096E-2</v>
      </c>
      <c r="AD36" s="163">
        <f ca="1"/>
        <v>3.7265595372221072E-2</v>
      </c>
      <c r="AE36" s="139">
        <f ca="1"/>
        <v>6.8246148246928207E-2</v>
      </c>
      <c r="AH36" s="136"/>
      <c r="AI36" s="136"/>
      <c r="AJ36" s="136"/>
      <c r="AK36" s="136"/>
      <c r="AL36" s="140"/>
      <c r="AM36" s="136"/>
      <c r="AN36" s="136"/>
      <c r="AO36" s="136"/>
      <c r="AQ36" s="136"/>
      <c r="AR36" s="136"/>
      <c r="AS36" s="136"/>
      <c r="AT36" s="136"/>
      <c r="AV36" s="136"/>
      <c r="AW36" s="136"/>
      <c r="AX36" s="136"/>
    </row>
    <row r="37" spans="1:50" s="79" customFormat="1" ht="11.25">
      <c r="A37" s="96">
        <f t="shared" ca="1" si="2"/>
        <v>26</v>
      </c>
      <c r="B37" s="68" t="s">
        <v>114</v>
      </c>
      <c r="C37" s="97">
        <v>0.4</v>
      </c>
      <c r="D37" s="69" t="s">
        <v>66</v>
      </c>
      <c r="E37" s="137" t="s">
        <v>87</v>
      </c>
      <c r="F37" s="156">
        <v>8.9999999999999998E-4</v>
      </c>
      <c r="G37" s="156">
        <v>2.2000000000000001E-3</v>
      </c>
      <c r="H37" s="156">
        <v>3.3E-3</v>
      </c>
      <c r="I37" s="156">
        <v>4.4999999999999997E-3</v>
      </c>
      <c r="J37" s="156" t="s">
        <v>87</v>
      </c>
      <c r="K37" s="156">
        <v>6.7999999999999996E-3</v>
      </c>
      <c r="L37" s="156">
        <v>8.3999999999999995E-3</v>
      </c>
      <c r="M37" s="156">
        <v>1.01E-2</v>
      </c>
      <c r="N37" s="138" cm="1">
        <f t="array" aca="1" ref="N37:AE37" ca="1">IF(OR(B37="",NOT($J$2)),"",GetStripDefaultProbability(A37,B37,Parameter_Date,CDSRollDate,E37:M37,SpreadCurveMaturities,D37,C37,$J$4,$J$6))</f>
        <v>0</v>
      </c>
      <c r="O37" s="163">
        <f ca="1"/>
        <v>8.9752920618468846E-4</v>
      </c>
      <c r="P37" s="163">
        <f ca="1"/>
        <v>4.061980679438304E-3</v>
      </c>
      <c r="Q37" s="163">
        <f ca="1"/>
        <v>1.1666079363363946E-2</v>
      </c>
      <c r="R37" s="163">
        <f ca="1"/>
        <v>2.3573432352731238E-2</v>
      </c>
      <c r="S37" s="163">
        <f ca="1"/>
        <v>0</v>
      </c>
      <c r="T37" s="163">
        <f ca="1"/>
        <v>5.871728826874123E-2</v>
      </c>
      <c r="U37" s="163">
        <f ca="1"/>
        <v>0.10035722875713171</v>
      </c>
      <c r="V37" s="139">
        <f ca="1"/>
        <v>0.16895476517519681</v>
      </c>
      <c r="W37" s="138">
        <f ca="1"/>
        <v>0</v>
      </c>
      <c r="X37" s="163">
        <f ca="1"/>
        <v>9.9720307914286099E-4</v>
      </c>
      <c r="Y37" s="163">
        <f ca="1"/>
        <v>4.2632849405240814E-3</v>
      </c>
      <c r="Z37" s="163">
        <f ca="1"/>
        <v>1.224488194070128E-2</v>
      </c>
      <c r="AA37" s="163">
        <f ca="1"/>
        <v>2.4739191125663251E-2</v>
      </c>
      <c r="AB37" s="163">
        <f ca="1"/>
        <v>0</v>
      </c>
      <c r="AC37" s="163">
        <f ca="1"/>
        <v>6.1573884257996148E-2</v>
      </c>
      <c r="AD37" s="163">
        <f ca="1"/>
        <v>0.10515880764903762</v>
      </c>
      <c r="AE37" s="139">
        <f ca="1"/>
        <v>0.17682001653632751</v>
      </c>
      <c r="AH37" s="136"/>
      <c r="AI37" s="136"/>
      <c r="AJ37" s="136"/>
      <c r="AK37" s="136"/>
      <c r="AL37" s="140"/>
      <c r="AM37" s="136"/>
      <c r="AN37" s="136"/>
      <c r="AO37" s="136"/>
      <c r="AQ37" s="136"/>
      <c r="AR37" s="136"/>
      <c r="AS37" s="136"/>
      <c r="AT37" s="136"/>
      <c r="AV37" s="136"/>
      <c r="AW37" s="136"/>
      <c r="AX37" s="136"/>
    </row>
    <row r="38" spans="1:50" s="79" customFormat="1" ht="11.25">
      <c r="A38" s="96">
        <f t="shared" ca="1" si="2"/>
        <v>27</v>
      </c>
      <c r="B38" s="68" t="s">
        <v>115</v>
      </c>
      <c r="C38" s="97">
        <v>0.4</v>
      </c>
      <c r="D38" s="69" t="s">
        <v>66</v>
      </c>
      <c r="E38" s="137" t="s">
        <v>87</v>
      </c>
      <c r="F38" s="156">
        <v>5.0000000000000001E-4</v>
      </c>
      <c r="G38" s="156">
        <v>5.9999999999999995E-4</v>
      </c>
      <c r="H38" s="156">
        <v>1.1999999999999999E-3</v>
      </c>
      <c r="I38" s="156">
        <v>1.6000000000000001E-3</v>
      </c>
      <c r="J38" s="156" t="s">
        <v>87</v>
      </c>
      <c r="K38" s="156">
        <v>2.3E-3</v>
      </c>
      <c r="L38" s="156">
        <v>2.7000000000000001E-3</v>
      </c>
      <c r="M38" s="156">
        <v>3.3E-3</v>
      </c>
      <c r="N38" s="138" cm="1">
        <f t="array" aca="1" ref="N38:AE38" ca="1">IF(OR(B38="",NOT($J$2)),"",GetStripDefaultProbability(A38,B38,Parameter_Date,CDSRollDate,E38:M38,SpreadCurveMaturities,D38,C38,$J$4,$J$6))</f>
        <v>0</v>
      </c>
      <c r="O38" s="163">
        <f ca="1"/>
        <v>4.9872651070981266E-4</v>
      </c>
      <c r="P38" s="163">
        <f ca="1"/>
        <v>1.1024469251739166E-3</v>
      </c>
      <c r="Q38" s="163">
        <f ca="1"/>
        <v>4.2625428447867764E-3</v>
      </c>
      <c r="R38" s="163">
        <f ca="1"/>
        <v>8.4311164720473064E-3</v>
      </c>
      <c r="S38" s="163">
        <f ca="1"/>
        <v>0</v>
      </c>
      <c r="T38" s="163">
        <f ca="1"/>
        <v>2.0098899828656425E-2</v>
      </c>
      <c r="U38" s="163">
        <f ca="1"/>
        <v>3.2897891238755084E-2</v>
      </c>
      <c r="V38" s="139">
        <f ca="1"/>
        <v>5.76751964551111E-2</v>
      </c>
      <c r="W38" s="138">
        <f ca="1"/>
        <v>0</v>
      </c>
      <c r="X38" s="163">
        <f ca="1"/>
        <v>5.9844139207421154E-4</v>
      </c>
      <c r="Y38" s="163">
        <f ca="1"/>
        <v>1.2689159778730419E-3</v>
      </c>
      <c r="Z38" s="163">
        <f ca="1"/>
        <v>4.6129737567995877E-3</v>
      </c>
      <c r="AA38" s="163">
        <f ca="1"/>
        <v>8.9468098516004568E-3</v>
      </c>
      <c r="AB38" s="163">
        <f ca="1"/>
        <v>0</v>
      </c>
      <c r="AC38" s="163">
        <f ca="1"/>
        <v>2.1074254612883259E-2</v>
      </c>
      <c r="AD38" s="163">
        <f ca="1"/>
        <v>3.4498881568005735E-2</v>
      </c>
      <c r="AE38" s="139">
        <f ca="1"/>
        <v>6.0463193365824952E-2</v>
      </c>
      <c r="AH38" s="136"/>
      <c r="AI38" s="136"/>
      <c r="AJ38" s="136"/>
      <c r="AK38" s="136"/>
      <c r="AL38" s="140"/>
      <c r="AM38" s="136"/>
      <c r="AN38" s="136"/>
      <c r="AO38" s="136"/>
      <c r="AQ38" s="136"/>
      <c r="AR38" s="136"/>
      <c r="AS38" s="136"/>
      <c r="AT38" s="136"/>
      <c r="AV38" s="136"/>
      <c r="AW38" s="136"/>
      <c r="AX38" s="136"/>
    </row>
    <row r="39" spans="1:50" s="79" customFormat="1" ht="11.25">
      <c r="A39" s="96">
        <f t="shared" ca="1" si="2"/>
        <v>28</v>
      </c>
      <c r="B39" s="68" t="s">
        <v>116</v>
      </c>
      <c r="C39" s="97">
        <v>0.4</v>
      </c>
      <c r="D39" s="69" t="s">
        <v>66</v>
      </c>
      <c r="E39" s="137" t="s">
        <v>87</v>
      </c>
      <c r="F39" s="156">
        <v>1E-3</v>
      </c>
      <c r="G39" s="156">
        <v>1.2999999999999999E-3</v>
      </c>
      <c r="H39" s="156">
        <v>2.3E-3</v>
      </c>
      <c r="I39" s="156">
        <v>3.3999999999999998E-3</v>
      </c>
      <c r="J39" s="156" t="s">
        <v>87</v>
      </c>
      <c r="K39" s="156">
        <v>5.1000000000000004E-3</v>
      </c>
      <c r="L39" s="156">
        <v>6.4999999999999997E-3</v>
      </c>
      <c r="M39" s="156">
        <v>7.6E-3</v>
      </c>
      <c r="N39" s="138" cm="1">
        <f t="array" aca="1" ref="N39:AE39" ca="1">IF(OR(B39="",NOT($J$2)),"",GetStripDefaultProbability(A39,B39,Parameter_Date,CDSRollDate,E39:M39,SpreadCurveMaturities,D39,C39,$J$4,$J$6))</f>
        <v>0</v>
      </c>
      <c r="O39" s="163">
        <f ca="1"/>
        <v>9.9720509892320397E-4</v>
      </c>
      <c r="P39" s="163">
        <f ca="1"/>
        <v>2.3894113886210322E-3</v>
      </c>
      <c r="Q39" s="163">
        <f ca="1"/>
        <v>8.1473565416537719E-3</v>
      </c>
      <c r="R39" s="163">
        <f ca="1"/>
        <v>1.7898953263963624E-2</v>
      </c>
      <c r="S39" s="163">
        <f ca="1"/>
        <v>0</v>
      </c>
      <c r="T39" s="163">
        <f ca="1"/>
        <v>4.4307720813391627E-2</v>
      </c>
      <c r="U39" s="163">
        <f ca="1"/>
        <v>7.8585001435211965E-2</v>
      </c>
      <c r="V39" s="139">
        <f ca="1"/>
        <v>0.12895032481855406</v>
      </c>
      <c r="W39" s="138">
        <f ca="1"/>
        <v>0</v>
      </c>
      <c r="X39" s="163">
        <f ca="1"/>
        <v>1.0968686047534426E-3</v>
      </c>
      <c r="Y39" s="163">
        <f ca="1"/>
        <v>2.5556659651251312E-3</v>
      </c>
      <c r="Z39" s="163">
        <f ca="1"/>
        <v>8.5502049614435416E-3</v>
      </c>
      <c r="AA39" s="163">
        <f ca="1"/>
        <v>1.8784468681319555E-2</v>
      </c>
      <c r="AB39" s="163">
        <f ca="1"/>
        <v>0</v>
      </c>
      <c r="AC39" s="163">
        <f ca="1"/>
        <v>4.6476560756004481E-2</v>
      </c>
      <c r="AD39" s="163">
        <f ca="1"/>
        <v>8.2382631092486558E-2</v>
      </c>
      <c r="AE39" s="139">
        <f ca="1"/>
        <v>0.1350564475461572</v>
      </c>
      <c r="AH39" s="136"/>
      <c r="AI39" s="136"/>
      <c r="AJ39" s="136"/>
      <c r="AK39" s="136"/>
      <c r="AM39" s="136"/>
      <c r="AN39" s="136"/>
      <c r="AO39" s="136"/>
      <c r="AQ39" s="136"/>
      <c r="AR39" s="136"/>
      <c r="AS39" s="136"/>
      <c r="AT39" s="136"/>
      <c r="AV39" s="136"/>
      <c r="AW39" s="136"/>
      <c r="AX39" s="136"/>
    </row>
    <row r="40" spans="1:50" s="79" customFormat="1" ht="11.25">
      <c r="A40" s="96">
        <f t="shared" ca="1" si="2"/>
        <v>29</v>
      </c>
      <c r="B40" s="68" t="s">
        <v>117</v>
      </c>
      <c r="C40" s="97">
        <v>0.4</v>
      </c>
      <c r="D40" s="69" t="s">
        <v>66</v>
      </c>
      <c r="E40" s="137" t="s">
        <v>87</v>
      </c>
      <c r="F40" s="156">
        <v>1.91E-3</v>
      </c>
      <c r="G40" s="156">
        <v>2.1800000000000001E-3</v>
      </c>
      <c r="H40" s="156">
        <v>2.9099999999999998E-3</v>
      </c>
      <c r="I40" s="156">
        <v>3.48E-3</v>
      </c>
      <c r="J40" s="156" t="s">
        <v>87</v>
      </c>
      <c r="K40" s="156">
        <v>4.3E-3</v>
      </c>
      <c r="L40" s="156">
        <v>4.7499999999999999E-3</v>
      </c>
      <c r="M40" s="156">
        <v>5.1000000000000004E-3</v>
      </c>
      <c r="N40" s="138" cm="1">
        <f t="array" aca="1" ref="N40:AE40" ca="1">IF(OR(B40="",NOT($J$2)),"",GetStripDefaultProbability(A40,B40,Parameter_Date,CDSRollDate,E40:M40,SpreadCurveMaturities,D40,C40,$J$4,$J$6))</f>
        <v>0</v>
      </c>
      <c r="O40" s="163">
        <f ca="1"/>
        <v>1.9038005145463055E-3</v>
      </c>
      <c r="P40" s="163">
        <f ca="1"/>
        <v>3.9977823889406627E-3</v>
      </c>
      <c r="Q40" s="163">
        <f ca="1"/>
        <v>1.0245866233480894E-2</v>
      </c>
      <c r="R40" s="163">
        <f ca="1"/>
        <v>1.8135615715221043E-2</v>
      </c>
      <c r="S40" s="163">
        <f ca="1"/>
        <v>0</v>
      </c>
      <c r="T40" s="163">
        <f ca="1"/>
        <v>3.6913560105145793E-2</v>
      </c>
      <c r="U40" s="163">
        <f ca="1"/>
        <v>5.655277101079248E-2</v>
      </c>
      <c r="V40" s="139">
        <f ca="1"/>
        <v>8.5575196702617817E-2</v>
      </c>
      <c r="W40" s="138">
        <f ca="1"/>
        <v>0</v>
      </c>
      <c r="X40" s="163">
        <f ca="1"/>
        <v>2.0033674635615561E-3</v>
      </c>
      <c r="Y40" s="163">
        <f ca="1"/>
        <v>4.1971505372456752E-3</v>
      </c>
      <c r="Z40" s="163">
        <f ca="1"/>
        <v>1.0755526310714303E-2</v>
      </c>
      <c r="AA40" s="163">
        <f ca="1"/>
        <v>1.90348558131892E-2</v>
      </c>
      <c r="AB40" s="163">
        <f ca="1"/>
        <v>0</v>
      </c>
      <c r="AC40" s="163">
        <f ca="1"/>
        <v>3.8726304075097917E-2</v>
      </c>
      <c r="AD40" s="163">
        <f ca="1"/>
        <v>5.9305491807017718E-2</v>
      </c>
      <c r="AE40" s="139">
        <f ca="1"/>
        <v>8.9671192784089748E-2</v>
      </c>
      <c r="AH40" s="136"/>
      <c r="AI40" s="136"/>
      <c r="AJ40" s="136"/>
      <c r="AK40" s="136"/>
      <c r="AM40" s="136"/>
      <c r="AN40" s="136"/>
      <c r="AO40" s="136"/>
      <c r="AQ40" s="136"/>
      <c r="AR40" s="136"/>
      <c r="AS40" s="136"/>
      <c r="AT40" s="136"/>
      <c r="AV40" s="136"/>
      <c r="AW40" s="136"/>
      <c r="AX40" s="136"/>
    </row>
    <row r="41" spans="1:50" s="79" customFormat="1" ht="11.25">
      <c r="A41" s="96">
        <f t="shared" ca="1" si="2"/>
        <v>30</v>
      </c>
      <c r="B41" s="68" t="s">
        <v>118</v>
      </c>
      <c r="C41" s="97">
        <v>0.4</v>
      </c>
      <c r="D41" s="69" t="s">
        <v>66</v>
      </c>
      <c r="E41" s="137" t="s">
        <v>87</v>
      </c>
      <c r="F41" s="156">
        <v>4.0000000000000002E-4</v>
      </c>
      <c r="G41" s="156">
        <v>6.9999999999999999E-4</v>
      </c>
      <c r="H41" s="156">
        <v>1.1999999999999999E-3</v>
      </c>
      <c r="I41" s="156">
        <v>1.9E-3</v>
      </c>
      <c r="J41" s="156" t="s">
        <v>87</v>
      </c>
      <c r="K41" s="156">
        <v>2.8E-3</v>
      </c>
      <c r="L41" s="156">
        <v>3.5999999999999999E-3</v>
      </c>
      <c r="M41" s="156">
        <v>4.4000000000000003E-3</v>
      </c>
      <c r="N41" s="138" cm="1">
        <f t="array" aca="1" ref="N41:AE41" ca="1">IF(OR(B41="",NOT($J$2)),"",GetStripDefaultProbability(A41,B41,Parameter_Date,CDSRollDate,E41:M41,SpreadCurveMaturities,D41,C41,$J$4,$J$6))</f>
        <v>0</v>
      </c>
      <c r="O41" s="163">
        <f ca="1"/>
        <v>3.9900104827061966E-4</v>
      </c>
      <c r="P41" s="163">
        <f ca="1"/>
        <v>1.2907558445212075E-3</v>
      </c>
      <c r="Q41" s="163">
        <f ca="1"/>
        <v>4.2587252807656517E-3</v>
      </c>
      <c r="R41" s="163">
        <f ca="1"/>
        <v>1.0050079916547272E-2</v>
      </c>
      <c r="S41" s="163">
        <f ca="1"/>
        <v>0</v>
      </c>
      <c r="T41" s="163">
        <f ca="1"/>
        <v>2.4501087646036979E-2</v>
      </c>
      <c r="U41" s="163">
        <f ca="1"/>
        <v>4.4111161243909347E-2</v>
      </c>
      <c r="V41" s="139">
        <f ca="1"/>
        <v>7.6777310227501228E-2</v>
      </c>
      <c r="W41" s="138">
        <f ca="1"/>
        <v>0</v>
      </c>
      <c r="X41" s="163">
        <f ca="1"/>
        <v>4.9872606913303752E-4</v>
      </c>
      <c r="Y41" s="163">
        <f ca="1"/>
        <v>1.4571935150202719E-3</v>
      </c>
      <c r="Z41" s="163">
        <f ca="1"/>
        <v>4.6091474307335956E-3</v>
      </c>
      <c r="AA41" s="163">
        <f ca="1"/>
        <v>1.0565156291645228E-2</v>
      </c>
      <c r="AB41" s="163">
        <f ca="1"/>
        <v>0</v>
      </c>
      <c r="AC41" s="163">
        <f ca="1"/>
        <v>2.5698337388783909E-2</v>
      </c>
      <c r="AD41" s="163">
        <f ca="1"/>
        <v>4.6262018632014734E-2</v>
      </c>
      <c r="AE41" s="139">
        <f ca="1"/>
        <v>8.0471051962533346E-2</v>
      </c>
      <c r="AH41" s="136"/>
      <c r="AI41" s="136"/>
      <c r="AJ41" s="136"/>
      <c r="AK41" s="136"/>
      <c r="AM41" s="136"/>
      <c r="AN41" s="136"/>
      <c r="AO41" s="136"/>
      <c r="AQ41" s="136"/>
      <c r="AR41" s="136"/>
      <c r="AS41" s="136"/>
      <c r="AT41" s="136"/>
      <c r="AV41" s="136"/>
      <c r="AW41" s="136"/>
      <c r="AX41" s="136"/>
    </row>
    <row r="42" spans="1:50" s="79" customFormat="1" ht="11.25">
      <c r="A42" s="96">
        <f t="shared" ca="1" si="2"/>
        <v>31</v>
      </c>
      <c r="B42" s="68" t="s">
        <v>119</v>
      </c>
      <c r="C42" s="97">
        <v>0.4</v>
      </c>
      <c r="D42" s="69" t="s">
        <v>66</v>
      </c>
      <c r="E42" s="137" t="s">
        <v>87</v>
      </c>
      <c r="F42" s="156">
        <v>8.9999999999999998E-4</v>
      </c>
      <c r="G42" s="156">
        <v>1.8E-3</v>
      </c>
      <c r="H42" s="156">
        <v>3.5000000000000001E-3</v>
      </c>
      <c r="I42" s="156">
        <v>4.1000000000000003E-3</v>
      </c>
      <c r="J42" s="156" t="s">
        <v>87</v>
      </c>
      <c r="K42" s="156">
        <v>5.8999999999999999E-3</v>
      </c>
      <c r="L42" s="156">
        <v>7.1999999999999998E-3</v>
      </c>
      <c r="M42" s="156">
        <v>8.5000000000000006E-3</v>
      </c>
      <c r="N42" s="138" cm="1">
        <f t="array" aca="1" ref="N42:AE42" ca="1">IF(OR(B42="",NOT($J$2)),"",GetStripDefaultProbability(A42,B42,Parameter_Date,CDSRollDate,E42:M42,SpreadCurveMaturities,D42,C42,$J$4,$J$6))</f>
        <v>0</v>
      </c>
      <c r="O42" s="163">
        <f ca="1"/>
        <v>8.9752920618468846E-4</v>
      </c>
      <c r="P42" s="163">
        <f ca="1"/>
        <v>3.3199287698784108E-3</v>
      </c>
      <c r="Q42" s="163">
        <f ca="1"/>
        <v>1.2408290966475999E-2</v>
      </c>
      <c r="R42" s="163">
        <f ca="1"/>
        <v>2.1417256873840551E-2</v>
      </c>
      <c r="S42" s="163">
        <f ca="1"/>
        <v>0</v>
      </c>
      <c r="T42" s="163">
        <f ca="1"/>
        <v>5.0886982439878103E-2</v>
      </c>
      <c r="U42" s="163">
        <f ca="1"/>
        <v>8.6171462864952253E-2</v>
      </c>
      <c r="V42" s="139">
        <f ca="1"/>
        <v>0.14296960824744198</v>
      </c>
      <c r="W42" s="138">
        <f ca="1"/>
        <v>0</v>
      </c>
      <c r="X42" s="163">
        <f ca="1"/>
        <v>9.9720307914286099E-4</v>
      </c>
      <c r="Y42" s="163">
        <f ca="1"/>
        <v>3.4860282730666547E-3</v>
      </c>
      <c r="Z42" s="163">
        <f ca="1"/>
        <v>1.3023905999787755E-2</v>
      </c>
      <c r="AA42" s="163">
        <f ca="1"/>
        <v>2.2476729877762058E-2</v>
      </c>
      <c r="AB42" s="163">
        <f ca="1"/>
        <v>0</v>
      </c>
      <c r="AC42" s="163">
        <f ca="1"/>
        <v>5.3370234264886296E-2</v>
      </c>
      <c r="AD42" s="163">
        <f ca="1"/>
        <v>9.0317748396076203E-2</v>
      </c>
      <c r="AE42" s="139">
        <f ca="1"/>
        <v>0.14969321060297613</v>
      </c>
      <c r="AH42" s="136"/>
      <c r="AI42" s="136"/>
      <c r="AJ42" s="136"/>
      <c r="AK42" s="136"/>
      <c r="AM42" s="136"/>
      <c r="AN42" s="136"/>
      <c r="AO42" s="136"/>
      <c r="AQ42" s="136"/>
      <c r="AR42" s="136"/>
      <c r="AS42" s="136"/>
      <c r="AT42" s="136"/>
      <c r="AV42" s="136"/>
      <c r="AW42" s="136"/>
      <c r="AX42" s="136"/>
    </row>
    <row r="43" spans="1:50" s="79" customFormat="1" ht="11.25">
      <c r="A43" s="96">
        <f t="shared" ca="1" si="2"/>
        <v>32</v>
      </c>
      <c r="B43" s="68" t="s">
        <v>120</v>
      </c>
      <c r="C43" s="97">
        <v>0.4</v>
      </c>
      <c r="D43" s="69" t="s">
        <v>66</v>
      </c>
      <c r="E43" s="137" t="s">
        <v>87</v>
      </c>
      <c r="F43" s="156">
        <v>3.3E-4</v>
      </c>
      <c r="G43" s="156">
        <v>9.1E-4</v>
      </c>
      <c r="H43" s="156">
        <v>1.64E-3</v>
      </c>
      <c r="I43" s="156">
        <v>2.1800000000000001E-3</v>
      </c>
      <c r="J43" s="156" t="s">
        <v>87</v>
      </c>
      <c r="K43" s="156">
        <v>3.0000000000000001E-3</v>
      </c>
      <c r="L43" s="156">
        <v>3.4499999999999999E-3</v>
      </c>
      <c r="M43" s="156">
        <v>3.8E-3</v>
      </c>
      <c r="N43" s="138" cm="1">
        <f t="array" aca="1" ref="N43:AE43" ca="1">IF(OR(B43="",NOT($J$2)),"",GetStripDefaultProbability(A43,B43,Parameter_Date,CDSRollDate,E43:M43,SpreadCurveMaturities,D43,C43,$J$4,$J$6))</f>
        <v>0</v>
      </c>
      <c r="O43" s="163">
        <f ca="1"/>
        <v>3.2918732322928523E-4</v>
      </c>
      <c r="P43" s="163">
        <f ca="1"/>
        <v>1.6826167478989351E-3</v>
      </c>
      <c r="Q43" s="163">
        <f ca="1"/>
        <v>5.8256566962808787E-3</v>
      </c>
      <c r="R43" s="163">
        <f ca="1"/>
        <v>1.1477097432552763E-2</v>
      </c>
      <c r="S43" s="163">
        <f ca="1"/>
        <v>0</v>
      </c>
      <c r="T43" s="163">
        <f ca="1"/>
        <v>2.6107709053258987E-2</v>
      </c>
      <c r="U43" s="163">
        <f ca="1"/>
        <v>4.175816845615099E-2</v>
      </c>
      <c r="V43" s="139">
        <f ca="1"/>
        <v>6.5064766643052829E-2</v>
      </c>
      <c r="W43" s="138">
        <f ca="1"/>
        <v>0</v>
      </c>
      <c r="X43" s="163">
        <f ca="1"/>
        <v>4.2891941541867151E-4</v>
      </c>
      <c r="Y43" s="163">
        <f ca="1"/>
        <v>1.8489891136874714E-3</v>
      </c>
      <c r="Z43" s="163">
        <f ca="1"/>
        <v>6.1756099574488132E-3</v>
      </c>
      <c r="AA43" s="163">
        <f ca="1"/>
        <v>1.2039994914183838E-2</v>
      </c>
      <c r="AB43" s="163">
        <f ca="1"/>
        <v>0</v>
      </c>
      <c r="AC43" s="163">
        <f ca="1"/>
        <v>2.7389350263730683E-2</v>
      </c>
      <c r="AD43" s="163">
        <f ca="1"/>
        <v>4.3799484824575741E-2</v>
      </c>
      <c r="AE43" s="139">
        <f ca="1"/>
        <v>6.8209260271586802E-2</v>
      </c>
      <c r="AH43" s="136"/>
      <c r="AI43" s="136"/>
      <c r="AJ43" s="136"/>
      <c r="AK43" s="136"/>
      <c r="AM43" s="136"/>
      <c r="AN43" s="136"/>
      <c r="AO43" s="136"/>
      <c r="AQ43" s="136"/>
      <c r="AR43" s="136"/>
      <c r="AS43" s="136"/>
      <c r="AT43" s="136"/>
      <c r="AV43" s="136"/>
      <c r="AW43" s="136"/>
      <c r="AX43" s="136"/>
    </row>
    <row r="44" spans="1:50" s="79" customFormat="1" ht="11.25">
      <c r="A44" s="96">
        <f t="shared" ca="1" si="2"/>
        <v>33</v>
      </c>
      <c r="B44" s="68" t="s">
        <v>121</v>
      </c>
      <c r="C44" s="97">
        <v>0.4</v>
      </c>
      <c r="D44" s="69" t="s">
        <v>66</v>
      </c>
      <c r="E44" s="137" t="s">
        <v>87</v>
      </c>
      <c r="F44" s="156">
        <v>8.3000000000000001E-4</v>
      </c>
      <c r="G44" s="156">
        <v>1.7600000000000001E-3</v>
      </c>
      <c r="H44" s="156">
        <v>2.8300000000000001E-3</v>
      </c>
      <c r="I44" s="156">
        <v>3.5100000000000001E-3</v>
      </c>
      <c r="J44" s="156" t="s">
        <v>87</v>
      </c>
      <c r="K44" s="156">
        <v>4.7999999999999996E-3</v>
      </c>
      <c r="L44" s="156">
        <v>5.3E-3</v>
      </c>
      <c r="M44" s="156">
        <v>5.7000000000000002E-3</v>
      </c>
      <c r="N44" s="138" cm="1">
        <f t="array" aca="1" ref="N44:AE44" ca="1">IF(OR(B44="",NOT($J$2)),"",GetStripDefaultProbability(A44,B44,Parameter_Date,CDSRollDate,E44:M44,SpreadCurveMaturities,D44,C44,$J$4,$J$6))</f>
        <v>0</v>
      </c>
      <c r="O44" s="163">
        <f ca="1"/>
        <v>8.277501843425572E-4</v>
      </c>
      <c r="P44" s="163">
        <f ca="1"/>
        <v>3.2475622385741421E-3</v>
      </c>
      <c r="Q44" s="163">
        <f ca="1"/>
        <v>1.0017863248183434E-2</v>
      </c>
      <c r="R44" s="163">
        <f ca="1"/>
        <v>1.8370153200574113E-2</v>
      </c>
      <c r="S44" s="163">
        <f ca="1"/>
        <v>0</v>
      </c>
      <c r="T44" s="163">
        <f ca="1"/>
        <v>4.1452250860338102E-2</v>
      </c>
      <c r="U44" s="163">
        <f ca="1"/>
        <v>6.3240831657716434E-2</v>
      </c>
      <c r="V44" s="139">
        <f ca="1"/>
        <v>9.5557134675773092E-2</v>
      </c>
      <c r="W44" s="138">
        <f ca="1"/>
        <v>0</v>
      </c>
      <c r="X44" s="163">
        <f ca="1"/>
        <v>9.2743128659400487E-4</v>
      </c>
      <c r="Y44" s="163">
        <f ca="1"/>
        <v>3.4136738018502033E-3</v>
      </c>
      <c r="Z44" s="163">
        <f ca="1"/>
        <v>1.0514788436127853E-2</v>
      </c>
      <c r="AA44" s="163">
        <f ca="1"/>
        <v>1.9279696513961331E-2</v>
      </c>
      <c r="AB44" s="163">
        <f ca="1"/>
        <v>0</v>
      </c>
      <c r="AC44" s="163">
        <f ca="1"/>
        <v>4.3483453364080771E-2</v>
      </c>
      <c r="AD44" s="163">
        <f ca="1"/>
        <v>6.6310375017560097E-2</v>
      </c>
      <c r="AE44" s="139">
        <f ca="1"/>
        <v>0.10010803972310722</v>
      </c>
      <c r="AH44" s="136"/>
      <c r="AI44" s="136"/>
      <c r="AJ44" s="136"/>
      <c r="AK44" s="136"/>
      <c r="AM44" s="136"/>
      <c r="AN44" s="136"/>
      <c r="AO44" s="136"/>
      <c r="AQ44" s="136"/>
      <c r="AR44" s="136"/>
      <c r="AS44" s="136"/>
      <c r="AT44" s="136"/>
      <c r="AV44" s="136"/>
      <c r="AW44" s="136"/>
      <c r="AX44" s="136"/>
    </row>
    <row r="45" spans="1:50" s="79" customFormat="1" ht="11.25">
      <c r="A45" s="96">
        <f t="shared" ca="1" si="2"/>
        <v>34</v>
      </c>
      <c r="B45" s="68" t="s">
        <v>122</v>
      </c>
      <c r="C45" s="97">
        <v>0.4</v>
      </c>
      <c r="D45" s="69" t="s">
        <v>66</v>
      </c>
      <c r="E45" s="137" t="s">
        <v>87</v>
      </c>
      <c r="F45" s="156">
        <v>1.1999999999999999E-3</v>
      </c>
      <c r="G45" s="156">
        <v>1.4E-3</v>
      </c>
      <c r="H45" s="156">
        <v>1.8E-3</v>
      </c>
      <c r="I45" s="156">
        <v>2.3E-3</v>
      </c>
      <c r="J45" s="156" t="s">
        <v>87</v>
      </c>
      <c r="K45" s="156">
        <v>2.7000000000000001E-3</v>
      </c>
      <c r="L45" s="156">
        <v>3.3E-3</v>
      </c>
      <c r="M45" s="156">
        <v>4.1000000000000003E-3</v>
      </c>
      <c r="N45" s="138" cm="1">
        <f t="array" aca="1" ref="N45:AE45" ca="1">IF(OR(B45="",NOT($J$2)),"",GetStripDefaultProbability(A45,B45,Parameter_Date,CDSRollDate,E45:M45,SpreadCurveMaturities,D45,C45,$J$4,$J$6))</f>
        <v>0</v>
      </c>
      <c r="O45" s="163">
        <f ca="1"/>
        <v>1.1965271572978997E-3</v>
      </c>
      <c r="P45" s="163">
        <f ca="1"/>
        <v>2.5697904899188995E-3</v>
      </c>
      <c r="Q45" s="163">
        <f ca="1"/>
        <v>6.3443228357322745E-3</v>
      </c>
      <c r="R45" s="163">
        <f ca="1"/>
        <v>1.204216389719448E-2</v>
      </c>
      <c r="S45" s="163">
        <f ca="1"/>
        <v>0</v>
      </c>
      <c r="T45" s="163">
        <f ca="1"/>
        <v>2.3267251791945887E-2</v>
      </c>
      <c r="U45" s="163">
        <f ca="1"/>
        <v>3.9944233015870467E-2</v>
      </c>
      <c r="V45" s="139">
        <f ca="1"/>
        <v>7.1287270459205909E-2</v>
      </c>
      <c r="W45" s="138">
        <f ca="1"/>
        <v>0</v>
      </c>
      <c r="X45" s="163">
        <f ca="1"/>
        <v>1.2961697875810696E-3</v>
      </c>
      <c r="Y45" s="163">
        <f ca="1"/>
        <v>2.7360150057507138E-3</v>
      </c>
      <c r="Z45" s="163">
        <f ca="1"/>
        <v>6.693959364077573E-3</v>
      </c>
      <c r="AA45" s="163">
        <f ca="1"/>
        <v>1.263692281719242E-2</v>
      </c>
      <c r="AB45" s="163">
        <f ca="1"/>
        <v>0</v>
      </c>
      <c r="AC45" s="163">
        <f ca="1"/>
        <v>2.4413390221264986E-2</v>
      </c>
      <c r="AD45" s="163">
        <f ca="1"/>
        <v>4.1901701791170587E-2</v>
      </c>
      <c r="AE45" s="139">
        <f ca="1"/>
        <v>7.4731583325808093E-2</v>
      </c>
      <c r="AH45" s="136"/>
      <c r="AI45" s="136"/>
      <c r="AJ45" s="136"/>
      <c r="AK45" s="136"/>
      <c r="AM45" s="136"/>
      <c r="AN45" s="136"/>
      <c r="AO45" s="136"/>
      <c r="AQ45" s="136"/>
      <c r="AR45" s="136"/>
      <c r="AS45" s="136"/>
      <c r="AT45" s="136"/>
      <c r="AV45" s="136"/>
      <c r="AW45" s="136"/>
      <c r="AX45" s="136"/>
    </row>
    <row r="46" spans="1:50" s="79" customFormat="1" ht="11.25">
      <c r="A46" s="96">
        <f t="shared" ca="1" si="2"/>
        <v>35</v>
      </c>
      <c r="B46" s="68" t="s">
        <v>123</v>
      </c>
      <c r="C46" s="97">
        <v>0.4</v>
      </c>
      <c r="D46" s="69" t="s">
        <v>66</v>
      </c>
      <c r="E46" s="137" t="s">
        <v>87</v>
      </c>
      <c r="F46" s="156">
        <v>4.0000000000000002E-4</v>
      </c>
      <c r="G46" s="156">
        <v>8.9999999999999998E-4</v>
      </c>
      <c r="H46" s="156">
        <v>1.4E-3</v>
      </c>
      <c r="I46" s="156">
        <v>1.8E-3</v>
      </c>
      <c r="J46" s="156" t="s">
        <v>87</v>
      </c>
      <c r="K46" s="156">
        <v>2.7000000000000001E-3</v>
      </c>
      <c r="L46" s="156">
        <v>3.3999999999999998E-3</v>
      </c>
      <c r="M46" s="156">
        <v>4.1000000000000003E-3</v>
      </c>
      <c r="N46" s="138" cm="1">
        <f t="array" aca="1" ref="N46:AE46" ca="1">IF(OR(B46="",NOT($J$2)),"",GetStripDefaultProbability(A46,B46,Parameter_Date,CDSRollDate,E46:M46,SpreadCurveMaturities,D46,C46,$J$4,$J$6))</f>
        <v>0</v>
      </c>
      <c r="O46" s="163">
        <f ca="1"/>
        <v>3.9900104827061966E-4</v>
      </c>
      <c r="P46" s="163">
        <f ca="1"/>
        <v>1.6622452761001494E-3</v>
      </c>
      <c r="Q46" s="163">
        <f ca="1"/>
        <v>4.9635767122303553E-3</v>
      </c>
      <c r="R46" s="163">
        <f ca="1"/>
        <v>9.4625891847893717E-3</v>
      </c>
      <c r="S46" s="163">
        <f ca="1"/>
        <v>0</v>
      </c>
      <c r="T46" s="163">
        <f ca="1"/>
        <v>2.3588829924819255E-2</v>
      </c>
      <c r="U46" s="163">
        <f ca="1"/>
        <v>4.1578726795005627E-2</v>
      </c>
      <c r="V46" s="139">
        <f ca="1"/>
        <v>7.143290865769869E-2</v>
      </c>
      <c r="W46" s="138">
        <f ca="1"/>
        <v>0</v>
      </c>
      <c r="X46" s="163">
        <f ca="1"/>
        <v>4.9872606913303752E-4</v>
      </c>
      <c r="Y46" s="163">
        <f ca="1"/>
        <v>1.828621036846334E-3</v>
      </c>
      <c r="Z46" s="163">
        <f ca="1"/>
        <v>5.3137665251158372E-3</v>
      </c>
      <c r="AA46" s="163">
        <f ca="1"/>
        <v>9.9777444452822106E-3</v>
      </c>
      <c r="AB46" s="163">
        <f ca="1"/>
        <v>0</v>
      </c>
      <c r="AC46" s="163">
        <f ca="1"/>
        <v>2.4741606679616779E-2</v>
      </c>
      <c r="AD46" s="163">
        <f ca="1"/>
        <v>4.3607347868092949E-2</v>
      </c>
      <c r="AE46" s="139">
        <f ca="1"/>
        <v>7.4876299408104252E-2</v>
      </c>
      <c r="AH46" s="136"/>
      <c r="AI46" s="136"/>
      <c r="AJ46" s="136"/>
      <c r="AK46" s="136"/>
      <c r="AM46" s="136"/>
      <c r="AN46" s="136"/>
      <c r="AO46" s="136"/>
      <c r="AQ46" s="136"/>
      <c r="AR46" s="136"/>
      <c r="AS46" s="136"/>
      <c r="AT46" s="136"/>
      <c r="AV46" s="136"/>
      <c r="AW46" s="136"/>
      <c r="AX46" s="136"/>
    </row>
    <row r="47" spans="1:50" s="79" customFormat="1" ht="11.25">
      <c r="A47" s="96">
        <f t="shared" ca="1" si="2"/>
        <v>36</v>
      </c>
      <c r="B47" s="68" t="s">
        <v>124</v>
      </c>
      <c r="C47" s="97">
        <v>0.4</v>
      </c>
      <c r="D47" s="69" t="s">
        <v>66</v>
      </c>
      <c r="E47" s="137" t="s">
        <v>87</v>
      </c>
      <c r="F47" s="156">
        <v>1.8500000000000001E-3</v>
      </c>
      <c r="G47" s="156">
        <v>2.0699999999999998E-3</v>
      </c>
      <c r="H47" s="156">
        <v>2.81E-3</v>
      </c>
      <c r="I47" s="156">
        <v>3.2599999999999999E-3</v>
      </c>
      <c r="J47" s="156" t="s">
        <v>87</v>
      </c>
      <c r="K47" s="156">
        <v>4.1000000000000003E-3</v>
      </c>
      <c r="L47" s="156">
        <v>4.5999999999999999E-3</v>
      </c>
      <c r="M47" s="156">
        <v>5.0000000000000001E-3</v>
      </c>
      <c r="N47" s="138" cm="1">
        <f t="array" aca="1" ref="N47:AE47" ca="1">IF(OR(B47="",NOT($J$2)),"",GetStripDefaultProbability(A47,B47,Parameter_Date,CDSRollDate,E47:M47,SpreadCurveMaturities,D47,C47,$J$4,$J$6))</f>
        <v>0</v>
      </c>
      <c r="O47" s="163">
        <f ca="1"/>
        <v>1.844050239766637E-3</v>
      </c>
      <c r="P47" s="163">
        <f ca="1"/>
        <v>3.7954442133506516E-3</v>
      </c>
      <c r="Q47" s="163">
        <f ca="1"/>
        <v>9.8974764888682953E-3</v>
      </c>
      <c r="R47" s="163">
        <f ca="1"/>
        <v>1.6978815958761606E-2</v>
      </c>
      <c r="S47" s="163">
        <f ca="1"/>
        <v>0</v>
      </c>
      <c r="T47" s="163">
        <f ca="1"/>
        <v>3.5239059317082932E-2</v>
      </c>
      <c r="U47" s="163">
        <f ca="1"/>
        <v>5.4920367792737124E-2</v>
      </c>
      <c r="V47" s="139">
        <f ca="1"/>
        <v>8.4249917416369891E-2</v>
      </c>
      <c r="W47" s="138">
        <f ca="1"/>
        <v>0</v>
      </c>
      <c r="X47" s="163">
        <f ca="1"/>
        <v>1.9436236819484476E-3</v>
      </c>
      <c r="Y47" s="163">
        <f ca="1"/>
        <v>3.984651622563784E-3</v>
      </c>
      <c r="Z47" s="163">
        <f ca="1"/>
        <v>1.0389812244381069E-2</v>
      </c>
      <c r="AA47" s="163">
        <f ca="1"/>
        <v>1.7820960334372415E-2</v>
      </c>
      <c r="AB47" s="163">
        <f ca="1"/>
        <v>0</v>
      </c>
      <c r="AC47" s="163">
        <f ca="1"/>
        <v>3.697096471213579E-2</v>
      </c>
      <c r="AD47" s="163">
        <f ca="1"/>
        <v>5.7596433293940485E-2</v>
      </c>
      <c r="AE47" s="139">
        <f ca="1"/>
        <v>8.8287384822163695E-2</v>
      </c>
      <c r="AH47" s="136"/>
      <c r="AI47" s="136"/>
      <c r="AJ47" s="136"/>
      <c r="AK47" s="136"/>
      <c r="AM47" s="136"/>
      <c r="AN47" s="136"/>
      <c r="AO47" s="136"/>
      <c r="AQ47" s="136"/>
      <c r="AR47" s="136"/>
      <c r="AS47" s="136"/>
      <c r="AT47" s="136"/>
      <c r="AV47" s="136"/>
      <c r="AW47" s="136"/>
      <c r="AX47" s="136"/>
    </row>
    <row r="48" spans="1:50" s="79" customFormat="1" ht="11.25">
      <c r="A48" s="96">
        <f t="shared" ca="1" si="2"/>
        <v>37</v>
      </c>
      <c r="B48" s="68" t="s">
        <v>125</v>
      </c>
      <c r="C48" s="97">
        <v>0.4</v>
      </c>
      <c r="D48" s="69" t="s">
        <v>66</v>
      </c>
      <c r="E48" s="137" t="s">
        <v>87</v>
      </c>
      <c r="F48" s="156">
        <v>5.0000000000000001E-4</v>
      </c>
      <c r="G48" s="156">
        <v>6.9999999999999999E-4</v>
      </c>
      <c r="H48" s="156">
        <v>1.1000000000000001E-3</v>
      </c>
      <c r="I48" s="156">
        <v>1.5E-3</v>
      </c>
      <c r="J48" s="156" t="s">
        <v>87</v>
      </c>
      <c r="K48" s="156">
        <v>2.3999999999999998E-3</v>
      </c>
      <c r="L48" s="156">
        <v>3.0999999999999999E-3</v>
      </c>
      <c r="M48" s="156">
        <v>4.0000000000000001E-3</v>
      </c>
      <c r="N48" s="138" cm="1">
        <f t="array" aca="1" ref="N48:AE48" ca="1">IF(OR(B48="",NOT($J$2)),"",GetStripDefaultProbability(A48,B48,Parameter_Date,CDSRollDate,E48:M48,SpreadCurveMaturities,D48,C48,$J$4,$J$6))</f>
        <v>0</v>
      </c>
      <c r="O48" s="163">
        <f ca="1"/>
        <v>4.9872651070981266E-4</v>
      </c>
      <c r="P48" s="163">
        <f ca="1"/>
        <v>1.2882057658748503E-3</v>
      </c>
      <c r="Q48" s="163">
        <f ca="1"/>
        <v>3.8971707420715207E-3</v>
      </c>
      <c r="R48" s="163">
        <f ca="1"/>
        <v>7.9001303270516132E-3</v>
      </c>
      <c r="S48" s="163">
        <f ca="1"/>
        <v>0</v>
      </c>
      <c r="T48" s="163">
        <f ca="1"/>
        <v>2.1054233063140471E-2</v>
      </c>
      <c r="U48" s="163">
        <f ca="1"/>
        <v>3.8109031302571039E-2</v>
      </c>
      <c r="V48" s="139">
        <f ca="1"/>
        <v>7.0509597209305275E-2</v>
      </c>
      <c r="W48" s="138">
        <f ca="1"/>
        <v>0</v>
      </c>
      <c r="X48" s="163">
        <f ca="1"/>
        <v>5.9844139207421154E-4</v>
      </c>
      <c r="Y48" s="163">
        <f ca="1"/>
        <v>1.454643861349969E-3</v>
      </c>
      <c r="Z48" s="163">
        <f ca="1"/>
        <v>4.2476819057671866E-3</v>
      </c>
      <c r="AA48" s="163">
        <f ca="1"/>
        <v>8.416044594103278E-3</v>
      </c>
      <c r="AB48" s="163">
        <f ca="1"/>
        <v>0</v>
      </c>
      <c r="AC48" s="163">
        <f ca="1"/>
        <v>2.2074137976305752E-2</v>
      </c>
      <c r="AD48" s="163">
        <f ca="1"/>
        <v>3.9961643693069204E-2</v>
      </c>
      <c r="AE48" s="139">
        <f ca="1"/>
        <v>7.3903812819765879E-2</v>
      </c>
      <c r="AH48" s="136"/>
      <c r="AI48" s="136"/>
      <c r="AJ48" s="136"/>
      <c r="AK48" s="136"/>
      <c r="AM48" s="136"/>
      <c r="AN48" s="136"/>
      <c r="AO48" s="136"/>
      <c r="AQ48" s="136"/>
      <c r="AR48" s="136"/>
      <c r="AS48" s="136"/>
      <c r="AT48" s="136"/>
      <c r="AV48" s="136"/>
      <c r="AW48" s="136"/>
      <c r="AX48" s="136"/>
    </row>
    <row r="49" spans="1:50" s="79" customFormat="1" ht="11.25">
      <c r="A49" s="96">
        <f t="shared" ca="1" si="2"/>
        <v>38</v>
      </c>
      <c r="B49" s="68" t="s">
        <v>126</v>
      </c>
      <c r="C49" s="97">
        <v>0.4</v>
      </c>
      <c r="D49" s="69" t="s">
        <v>66</v>
      </c>
      <c r="E49" s="137" t="s">
        <v>87</v>
      </c>
      <c r="F49" s="156">
        <v>1.1000000000000001E-3</v>
      </c>
      <c r="G49" s="156">
        <v>1.6000000000000001E-3</v>
      </c>
      <c r="H49" s="156">
        <v>2E-3</v>
      </c>
      <c r="I49" s="156">
        <v>2.8E-3</v>
      </c>
      <c r="J49" s="156" t="s">
        <v>87</v>
      </c>
      <c r="K49" s="156">
        <v>3.8999999999999998E-3</v>
      </c>
      <c r="L49" s="156">
        <v>4.5999999999999999E-3</v>
      </c>
      <c r="M49" s="156">
        <v>5.5999999999999999E-3</v>
      </c>
      <c r="N49" s="138" cm="1">
        <f t="array" aca="1" ref="N49:AE49" ca="1">IF(OR(B49="",NOT($J$2)),"",GetStripDefaultProbability(A49,B49,Parameter_Date,CDSRollDate,E49:M49,SpreadCurveMaturities,D49,C49,$J$4,$J$6))</f>
        <v>0</v>
      </c>
      <c r="O49" s="163">
        <f ca="1"/>
        <v>1.0968710821319672E-3</v>
      </c>
      <c r="P49" s="163">
        <f ca="1"/>
        <v>2.9435474346423129E-3</v>
      </c>
      <c r="Q49" s="163">
        <f ca="1"/>
        <v>7.0503841602606032E-3</v>
      </c>
      <c r="R49" s="163">
        <f ca="1"/>
        <v>1.4694816302945668E-2</v>
      </c>
      <c r="S49" s="163">
        <f ca="1"/>
        <v>0</v>
      </c>
      <c r="T49" s="163">
        <f ca="1"/>
        <v>3.3831012788557602E-2</v>
      </c>
      <c r="U49" s="163">
        <f ca="1"/>
        <v>5.5503520765370351E-2</v>
      </c>
      <c r="V49" s="139">
        <f ca="1"/>
        <v>9.626868675360456E-2</v>
      </c>
      <c r="W49" s="138">
        <f ca="1"/>
        <v>0</v>
      </c>
      <c r="X49" s="163">
        <f ca="1"/>
        <v>1.1965241739009258E-3</v>
      </c>
      <c r="Y49" s="163">
        <f ca="1"/>
        <v>3.1097096628280863E-3</v>
      </c>
      <c r="Z49" s="163">
        <f ca="1"/>
        <v>7.3997952051966243E-3</v>
      </c>
      <c r="AA49" s="163">
        <f ca="1"/>
        <v>1.5423086084951576E-2</v>
      </c>
      <c r="AB49" s="163">
        <f ca="1"/>
        <v>0</v>
      </c>
      <c r="AC49" s="163">
        <f ca="1"/>
        <v>3.5494657696708565E-2</v>
      </c>
      <c r="AD49" s="163">
        <f ca="1"/>
        <v>5.8209770795902505E-2</v>
      </c>
      <c r="AE49" s="139">
        <f ca="1"/>
        <v>0.1008929444801282</v>
      </c>
      <c r="AH49" s="136"/>
      <c r="AI49" s="136"/>
      <c r="AJ49" s="136"/>
      <c r="AK49" s="136"/>
      <c r="AM49" s="136"/>
      <c r="AN49" s="136"/>
      <c r="AO49" s="136"/>
      <c r="AQ49" s="136"/>
      <c r="AR49" s="136"/>
      <c r="AS49" s="136"/>
      <c r="AT49" s="136"/>
      <c r="AV49" s="136"/>
      <c r="AW49" s="136"/>
      <c r="AX49" s="136"/>
    </row>
    <row r="50" spans="1:50" s="79" customFormat="1" ht="11.25">
      <c r="A50" s="96">
        <f t="shared" ca="1" si="2"/>
        <v>39</v>
      </c>
      <c r="B50" s="68" t="s">
        <v>127</v>
      </c>
      <c r="C50" s="97">
        <v>0.4</v>
      </c>
      <c r="D50" s="69" t="s">
        <v>66</v>
      </c>
      <c r="E50" s="137" t="s">
        <v>87</v>
      </c>
      <c r="F50" s="156">
        <v>6.9999999999999999E-4</v>
      </c>
      <c r="G50" s="156">
        <v>8.9999999999999998E-4</v>
      </c>
      <c r="H50" s="156">
        <v>1.2999999999999999E-3</v>
      </c>
      <c r="I50" s="156">
        <v>1.8E-3</v>
      </c>
      <c r="J50" s="156" t="s">
        <v>87</v>
      </c>
      <c r="K50" s="156">
        <v>2.8999999999999998E-3</v>
      </c>
      <c r="L50" s="156">
        <v>3.5999999999999999E-3</v>
      </c>
      <c r="M50" s="156">
        <v>4.4000000000000003E-3</v>
      </c>
      <c r="N50" s="138" cm="1">
        <f t="array" aca="1" ref="N50:AE50" ca="1">IF(OR(B50="",NOT($J$2)),"",GetStripDefaultProbability(A50,B50,Parameter_Date,CDSRollDate,E50:M50,SpreadCurveMaturities,D50,C50,$J$4,$J$6))</f>
        <v>0</v>
      </c>
      <c r="O50" s="163">
        <f ca="1"/>
        <v>6.98147686336692E-4</v>
      </c>
      <c r="P50" s="163">
        <f ca="1"/>
        <v>1.6545407729871009E-3</v>
      </c>
      <c r="Q50" s="163">
        <f ca="1"/>
        <v>4.5969703247138449E-3</v>
      </c>
      <c r="R50" s="163">
        <f ca="1"/>
        <v>9.4714561307461809E-3</v>
      </c>
      <c r="S50" s="163">
        <f ca="1"/>
        <v>0</v>
      </c>
      <c r="T50" s="163">
        <f ca="1"/>
        <v>2.540579506229379E-2</v>
      </c>
      <c r="U50" s="163">
        <f ca="1"/>
        <v>4.4017298047781095E-2</v>
      </c>
      <c r="V50" s="139">
        <f ca="1"/>
        <v>7.6683180874739798E-2</v>
      </c>
      <c r="W50" s="138">
        <f ca="1"/>
        <v>0</v>
      </c>
      <c r="X50" s="163">
        <f ca="1"/>
        <v>7.9784215457201491E-4</v>
      </c>
      <c r="Y50" s="163">
        <f ca="1"/>
        <v>1.8209178177219787E-3</v>
      </c>
      <c r="Z50" s="163">
        <f ca="1"/>
        <v>4.9472325546502383E-3</v>
      </c>
      <c r="AA50" s="163">
        <f ca="1"/>
        <v>9.9866286793877102E-3</v>
      </c>
      <c r="AB50" s="163">
        <f ca="1"/>
        <v>0</v>
      </c>
      <c r="AC50" s="163">
        <f ca="1"/>
        <v>2.6647166783388077E-2</v>
      </c>
      <c r="AD50" s="163">
        <f ca="1"/>
        <v>4.6163327847539515E-2</v>
      </c>
      <c r="AE50" s="139">
        <f ca="1"/>
        <v>8.0371669913123056E-2</v>
      </c>
      <c r="AH50" s="136"/>
      <c r="AI50" s="136"/>
      <c r="AJ50" s="136"/>
      <c r="AK50" s="136"/>
      <c r="AM50" s="136"/>
      <c r="AN50" s="136"/>
      <c r="AO50" s="136"/>
      <c r="AQ50" s="136"/>
      <c r="AR50" s="136"/>
      <c r="AS50" s="136"/>
      <c r="AT50" s="136"/>
      <c r="AV50" s="136"/>
      <c r="AW50" s="136"/>
      <c r="AX50" s="136"/>
    </row>
    <row r="51" spans="1:50" s="79" customFormat="1" ht="11.25">
      <c r="A51" s="96">
        <f t="shared" ca="1" si="2"/>
        <v>40</v>
      </c>
      <c r="B51" s="68" t="s">
        <v>128</v>
      </c>
      <c r="C51" s="97">
        <v>0.4</v>
      </c>
      <c r="D51" s="69" t="s">
        <v>66</v>
      </c>
      <c r="E51" s="137" t="s">
        <v>87</v>
      </c>
      <c r="F51" s="156">
        <v>1.1999999999999999E-3</v>
      </c>
      <c r="G51" s="156">
        <v>2.3999999999999998E-3</v>
      </c>
      <c r="H51" s="156">
        <v>3.8E-3</v>
      </c>
      <c r="I51" s="156">
        <v>5.4000000000000003E-3</v>
      </c>
      <c r="J51" s="156" t="s">
        <v>87</v>
      </c>
      <c r="K51" s="156">
        <v>8.0000000000000002E-3</v>
      </c>
      <c r="L51" s="156">
        <v>9.5999999999999992E-3</v>
      </c>
      <c r="M51" s="156">
        <v>1.12E-2</v>
      </c>
      <c r="N51" s="138" cm="1">
        <f t="array" aca="1" ref="N51:AE51" ca="1">IF(OR(B51="",NOT($J$2)),"",GetStripDefaultProbability(A51,B51,Parameter_Date,CDSRollDate,E51:M51,SpreadCurveMaturities,D51,C51,$J$4,$J$6))</f>
        <v>0</v>
      </c>
      <c r="O51" s="163">
        <f ca="1"/>
        <v>1.1965271572978997E-3</v>
      </c>
      <c r="P51" s="163">
        <f ca="1"/>
        <v>4.4248011350213057E-3</v>
      </c>
      <c r="Q51" s="163">
        <f ca="1"/>
        <v>1.3429372238182302E-2</v>
      </c>
      <c r="R51" s="163">
        <f ca="1"/>
        <v>2.8283506724236629E-2</v>
      </c>
      <c r="S51" s="163">
        <f ca="1"/>
        <v>0</v>
      </c>
      <c r="T51" s="163">
        <f ca="1"/>
        <v>6.8801106841521298E-2</v>
      </c>
      <c r="U51" s="163">
        <f ca="1"/>
        <v>0.11368955546039661</v>
      </c>
      <c r="V51" s="139">
        <f ca="1"/>
        <v>0.18470147602486753</v>
      </c>
      <c r="W51" s="138">
        <f ca="1"/>
        <v>0</v>
      </c>
      <c r="X51" s="163">
        <f ca="1"/>
        <v>1.2961697875810696E-3</v>
      </c>
      <c r="Y51" s="163">
        <f ca="1"/>
        <v>4.6445620901022222E-3</v>
      </c>
      <c r="Z51" s="163">
        <f ca="1"/>
        <v>1.4095780509235989E-2</v>
      </c>
      <c r="AA51" s="163">
        <f ca="1"/>
        <v>2.9680483964602766E-2</v>
      </c>
      <c r="AB51" s="163">
        <f ca="1"/>
        <v>0</v>
      </c>
      <c r="AC51" s="163">
        <f ca="1"/>
        <v>7.2132676602143397E-2</v>
      </c>
      <c r="AD51" s="163">
        <f ca="1"/>
        <v>0.11911527273473232</v>
      </c>
      <c r="AE51" s="139">
        <f ca="1"/>
        <v>0.19321094289384955</v>
      </c>
      <c r="AH51" s="136"/>
      <c r="AI51" s="136"/>
      <c r="AJ51" s="136"/>
      <c r="AK51" s="136"/>
      <c r="AM51" s="136"/>
      <c r="AN51" s="136"/>
      <c r="AO51" s="136"/>
      <c r="AQ51" s="136"/>
      <c r="AR51" s="136"/>
      <c r="AS51" s="136"/>
      <c r="AT51" s="136"/>
      <c r="AV51" s="136"/>
      <c r="AW51" s="136"/>
      <c r="AX51" s="136"/>
    </row>
    <row r="52" spans="1:50" s="79" customFormat="1" ht="11.25">
      <c r="A52" s="96">
        <f t="shared" ca="1" si="2"/>
        <v>41</v>
      </c>
      <c r="B52" s="68" t="s">
        <v>129</v>
      </c>
      <c r="C52" s="97">
        <v>0.4</v>
      </c>
      <c r="D52" s="69" t="s">
        <v>66</v>
      </c>
      <c r="E52" s="137" t="s">
        <v>87</v>
      </c>
      <c r="F52" s="156">
        <v>5.9999999999999995E-4</v>
      </c>
      <c r="G52" s="156">
        <v>6.9999999999999999E-4</v>
      </c>
      <c r="H52" s="156">
        <v>1.1999999999999999E-3</v>
      </c>
      <c r="I52" s="156">
        <v>1.8E-3</v>
      </c>
      <c r="J52" s="156" t="s">
        <v>87</v>
      </c>
      <c r="K52" s="156">
        <v>2.8E-3</v>
      </c>
      <c r="L52" s="156">
        <v>3.5000000000000001E-3</v>
      </c>
      <c r="M52" s="156">
        <v>4.4000000000000003E-3</v>
      </c>
      <c r="N52" s="138" cm="1">
        <f t="array" aca="1" ref="N52:AE52" ca="1">IF(OR(B52="",NOT($J$2)),"",GetStripDefaultProbability(A52,B52,Parameter_Date,CDSRollDate,E52:M52,SpreadCurveMaturities,D52,C52,$J$4,$J$6))</f>
        <v>0</v>
      </c>
      <c r="O52" s="163">
        <f ca="1"/>
        <v>5.9844205622783253E-4</v>
      </c>
      <c r="P52" s="163">
        <f ca="1"/>
        <v>1.2856558950586905E-3</v>
      </c>
      <c r="Q52" s="163">
        <f ca="1"/>
        <v>4.2535409362317589E-3</v>
      </c>
      <c r="R52" s="163">
        <f ca="1"/>
        <v>9.5039457100781766E-3</v>
      </c>
      <c r="S52" s="163">
        <f ca="1"/>
        <v>0</v>
      </c>
      <c r="T52" s="163">
        <f ca="1"/>
        <v>2.4535411769439408E-2</v>
      </c>
      <c r="U52" s="163">
        <f ca="1"/>
        <v>4.2837015526936417E-2</v>
      </c>
      <c r="V52" s="139">
        <f ca="1"/>
        <v>7.6995851256600467E-2</v>
      </c>
      <c r="W52" s="138">
        <f ca="1"/>
        <v>0</v>
      </c>
      <c r="X52" s="163">
        <f ca="1"/>
        <v>6.9814675354706868E-4</v>
      </c>
      <c r="Y52" s="163">
        <f ca="1"/>
        <v>1.4520944154741144E-3</v>
      </c>
      <c r="Z52" s="163">
        <f ca="1"/>
        <v>4.6039455378485972E-3</v>
      </c>
      <c r="AA52" s="163">
        <f ca="1"/>
        <v>1.0019209331473267E-2</v>
      </c>
      <c r="AB52" s="163">
        <f ca="1"/>
        <v>0</v>
      </c>
      <c r="AC52" s="163">
        <f ca="1"/>
        <v>2.5732667213386518E-2</v>
      </c>
      <c r="AD52" s="163">
        <f ca="1"/>
        <v>4.4924574322956046E-2</v>
      </c>
      <c r="AE52" s="139">
        <f ca="1"/>
        <v>8.0698363301199061E-2</v>
      </c>
      <c r="AH52" s="136"/>
      <c r="AI52" s="136"/>
      <c r="AJ52" s="136"/>
      <c r="AK52" s="136"/>
      <c r="AM52" s="136"/>
      <c r="AN52" s="136"/>
      <c r="AO52" s="136"/>
      <c r="AQ52" s="136"/>
      <c r="AR52" s="136"/>
      <c r="AS52" s="136"/>
      <c r="AT52" s="136"/>
      <c r="AV52" s="136"/>
      <c r="AW52" s="136"/>
      <c r="AX52" s="136"/>
    </row>
    <row r="53" spans="1:50" s="79" customFormat="1" ht="11.25">
      <c r="A53" s="96">
        <f t="shared" ca="1" si="2"/>
        <v>42</v>
      </c>
      <c r="B53" s="68" t="s">
        <v>130</v>
      </c>
      <c r="C53" s="97">
        <v>0.4</v>
      </c>
      <c r="D53" s="69" t="s">
        <v>66</v>
      </c>
      <c r="E53" s="137" t="s">
        <v>87</v>
      </c>
      <c r="F53" s="156">
        <v>6.9999999999999999E-4</v>
      </c>
      <c r="G53" s="156">
        <v>8.0000000000000004E-4</v>
      </c>
      <c r="H53" s="156">
        <v>1.1000000000000001E-3</v>
      </c>
      <c r="I53" s="156">
        <v>1.6999999999999999E-3</v>
      </c>
      <c r="J53" s="156" t="s">
        <v>87</v>
      </c>
      <c r="K53" s="156">
        <v>2.8E-3</v>
      </c>
      <c r="L53" s="156">
        <v>3.5999999999999999E-3</v>
      </c>
      <c r="M53" s="156">
        <v>4.4999999999999997E-3</v>
      </c>
      <c r="N53" s="138" cm="1">
        <f t="array" aca="1" ref="N53:AE53" ca="1">IF(OR(B53="",NOT($J$2)),"",GetStripDefaultProbability(A53,B53,Parameter_Date,CDSRollDate,E53:M53,SpreadCurveMaturities,D53,C53,$J$4,$J$6))</f>
        <v>0</v>
      </c>
      <c r="O53" s="163">
        <f ca="1"/>
        <v>6.98147686336692E-4</v>
      </c>
      <c r="P53" s="163">
        <f ca="1"/>
        <v>1.4688312592168185E-3</v>
      </c>
      <c r="Q53" s="163">
        <f ca="1"/>
        <v>3.8856192634586506E-3</v>
      </c>
      <c r="R53" s="163">
        <f ca="1"/>
        <v>8.9706123903716684E-3</v>
      </c>
      <c r="S53" s="163">
        <f ca="1"/>
        <v>0</v>
      </c>
      <c r="T53" s="163">
        <f ca="1"/>
        <v>2.4582999086783408E-2</v>
      </c>
      <c r="U53" s="163">
        <f ca="1"/>
        <v>4.4194213322543474E-2</v>
      </c>
      <c r="V53" s="139">
        <f ca="1"/>
        <v>7.879070305814917E-2</v>
      </c>
      <c r="W53" s="138">
        <f ca="1"/>
        <v>0</v>
      </c>
      <c r="X53" s="163">
        <f ca="1"/>
        <v>7.9784215457201491E-4</v>
      </c>
      <c r="Y53" s="163">
        <f ca="1"/>
        <v>1.6352392529477289E-3</v>
      </c>
      <c r="Z53" s="163">
        <f ca="1"/>
        <v>4.2360945321644472E-3</v>
      </c>
      <c r="AA53" s="163">
        <f ca="1"/>
        <v>9.4860900726584374E-3</v>
      </c>
      <c r="AB53" s="163">
        <f ca="1"/>
        <v>0</v>
      </c>
      <c r="AC53" s="163">
        <f ca="1"/>
        <v>2.5780311695885683E-2</v>
      </c>
      <c r="AD53" s="163">
        <f ca="1"/>
        <v>4.6345507734383729E-2</v>
      </c>
      <c r="AE53" s="139">
        <f ca="1"/>
        <v>8.257541692047321E-2</v>
      </c>
      <c r="AH53" s="136"/>
      <c r="AI53" s="136"/>
      <c r="AJ53" s="136"/>
      <c r="AK53" s="136"/>
      <c r="AM53" s="136"/>
      <c r="AN53" s="136"/>
      <c r="AO53" s="136"/>
      <c r="AQ53" s="136"/>
      <c r="AR53" s="136"/>
      <c r="AS53" s="136"/>
      <c r="AT53" s="136"/>
      <c r="AV53" s="136"/>
      <c r="AW53" s="136"/>
      <c r="AX53" s="136"/>
    </row>
    <row r="54" spans="1:50" s="79" customFormat="1" ht="11.25">
      <c r="A54" s="96">
        <f t="shared" ca="1" si="2"/>
        <v>43</v>
      </c>
      <c r="B54" s="68" t="s">
        <v>131</v>
      </c>
      <c r="C54" s="97">
        <v>0.4</v>
      </c>
      <c r="D54" s="69" t="s">
        <v>66</v>
      </c>
      <c r="E54" s="137" t="s">
        <v>87</v>
      </c>
      <c r="F54" s="156">
        <v>4.0000000000000002E-4</v>
      </c>
      <c r="G54" s="156">
        <v>5.9999999999999995E-4</v>
      </c>
      <c r="H54" s="156">
        <v>1E-3</v>
      </c>
      <c r="I54" s="156">
        <v>1.4E-3</v>
      </c>
      <c r="J54" s="156" t="s">
        <v>87</v>
      </c>
      <c r="K54" s="156">
        <v>2.0999999999999999E-3</v>
      </c>
      <c r="L54" s="156">
        <v>2.3999999999999998E-3</v>
      </c>
      <c r="M54" s="156">
        <v>2.8999999999999998E-3</v>
      </c>
      <c r="N54" s="138" cm="1">
        <f t="array" aca="1" ref="N54:AE54" ca="1">IF(OR(B54="",NOT($J$2)),"",GetStripDefaultProbability(A54,B54,Parameter_Date,CDSRollDate,E54:M54,SpreadCurveMaturities,D54,C54,$J$4,$J$6))</f>
        <v>0</v>
      </c>
      <c r="O54" s="163">
        <f ca="1"/>
        <v>3.9900104827061966E-4</v>
      </c>
      <c r="P54" s="163">
        <f ca="1"/>
        <v>1.1049878534659108E-3</v>
      </c>
      <c r="Q54" s="163">
        <f ca="1"/>
        <v>3.5470867876303824E-3</v>
      </c>
      <c r="R54" s="163">
        <f ca="1"/>
        <v>7.3844705864435367E-3</v>
      </c>
      <c r="S54" s="163">
        <f ca="1"/>
        <v>0</v>
      </c>
      <c r="T54" s="163">
        <f ca="1"/>
        <v>1.8400707468931299E-2</v>
      </c>
      <c r="U54" s="163">
        <f ca="1"/>
        <v>2.9249441227693462E-2</v>
      </c>
      <c r="V54" s="139">
        <f ca="1"/>
        <v>5.0705990672810342E-2</v>
      </c>
      <c r="W54" s="138">
        <f ca="1"/>
        <v>0</v>
      </c>
      <c r="X54" s="163">
        <f ca="1"/>
        <v>4.9872606913303752E-4</v>
      </c>
      <c r="Y54" s="163">
        <f ca="1"/>
        <v>1.2714564827104313E-3</v>
      </c>
      <c r="Z54" s="163">
        <f ca="1"/>
        <v>3.8977221388336591E-3</v>
      </c>
      <c r="AA54" s="163">
        <f ca="1"/>
        <v>7.9006556713892007E-3</v>
      </c>
      <c r="AB54" s="163">
        <f ca="1"/>
        <v>0</v>
      </c>
      <c r="AC54" s="163">
        <f ca="1"/>
        <v>1.9287117360851092E-2</v>
      </c>
      <c r="AD54" s="163">
        <f ca="1"/>
        <v>3.0667276449974135E-2</v>
      </c>
      <c r="AE54" s="139">
        <f ca="1"/>
        <v>5.3156738783723179E-2</v>
      </c>
      <c r="AH54" s="136"/>
      <c r="AI54" s="136"/>
      <c r="AJ54" s="136"/>
      <c r="AK54" s="136"/>
      <c r="AM54" s="136"/>
      <c r="AN54" s="136"/>
      <c r="AO54" s="136"/>
      <c r="AQ54" s="136"/>
      <c r="AR54" s="136"/>
      <c r="AS54" s="136"/>
      <c r="AT54" s="136"/>
      <c r="AV54" s="136"/>
      <c r="AW54" s="136"/>
      <c r="AX54" s="136"/>
    </row>
    <row r="55" spans="1:50" s="79" customFormat="1" ht="11.25">
      <c r="A55" s="96">
        <f t="shared" ca="1" si="2"/>
        <v>44</v>
      </c>
      <c r="B55" s="68" t="s">
        <v>132</v>
      </c>
      <c r="C55" s="97">
        <v>0.4</v>
      </c>
      <c r="D55" s="69" t="s">
        <v>66</v>
      </c>
      <c r="E55" s="137" t="s">
        <v>87</v>
      </c>
      <c r="F55" s="156">
        <v>5.9999999999999995E-4</v>
      </c>
      <c r="G55" s="156">
        <v>1.1000000000000001E-3</v>
      </c>
      <c r="H55" s="156">
        <v>1.8E-3</v>
      </c>
      <c r="I55" s="156">
        <v>2.5000000000000001E-3</v>
      </c>
      <c r="J55" s="156" t="s">
        <v>87</v>
      </c>
      <c r="K55" s="156">
        <v>3.3999999999999998E-3</v>
      </c>
      <c r="L55" s="156">
        <v>4.1999999999999997E-3</v>
      </c>
      <c r="M55" s="156">
        <v>5.0000000000000001E-3</v>
      </c>
      <c r="N55" s="138" cm="1">
        <f t="array" aca="1" ref="N55:AE55" ca="1">IF(OR(B55="",NOT($J$2)),"",GetStripDefaultProbability(A55,B55,Parameter_Date,CDSRollDate,E55:M55,SpreadCurveMaturities,D55,C55,$J$4,$J$6))</f>
        <v>0</v>
      </c>
      <c r="O55" s="163">
        <f ca="1"/>
        <v>5.9844205622783253E-4</v>
      </c>
      <c r="P55" s="163">
        <f ca="1"/>
        <v>2.0284995193046162E-3</v>
      </c>
      <c r="Q55" s="163">
        <f ca="1"/>
        <v>6.3798165399243656E-3</v>
      </c>
      <c r="R55" s="163">
        <f ca="1"/>
        <v>1.3157924810770272E-2</v>
      </c>
      <c r="S55" s="163">
        <f ca="1"/>
        <v>0</v>
      </c>
      <c r="T55" s="163">
        <f ca="1"/>
        <v>2.9537897962136239E-2</v>
      </c>
      <c r="U55" s="163">
        <f ca="1"/>
        <v>5.0990592021867176E-2</v>
      </c>
      <c r="V55" s="139">
        <f ca="1"/>
        <v>8.6255334807632589E-2</v>
      </c>
      <c r="W55" s="138">
        <f ca="1"/>
        <v>0</v>
      </c>
      <c r="X55" s="163">
        <f ca="1"/>
        <v>6.9814675354706868E-4</v>
      </c>
      <c r="Y55" s="163">
        <f ca="1"/>
        <v>2.1948142427737904E-3</v>
      </c>
      <c r="Z55" s="163">
        <f ca="1"/>
        <v>6.7295532603939279E-3</v>
      </c>
      <c r="AA55" s="163">
        <f ca="1"/>
        <v>1.3806329180761745E-2</v>
      </c>
      <c r="AB55" s="163">
        <f ca="1"/>
        <v>0</v>
      </c>
      <c r="AC55" s="163">
        <f ca="1"/>
        <v>3.0989030885947733E-2</v>
      </c>
      <c r="AD55" s="163">
        <f ca="1"/>
        <v>5.3478635119556306E-2</v>
      </c>
      <c r="AE55" s="139">
        <f ca="1"/>
        <v>9.0392487376555586E-2</v>
      </c>
      <c r="AH55" s="136"/>
      <c r="AI55" s="136"/>
      <c r="AJ55" s="136"/>
      <c r="AK55" s="136"/>
      <c r="AM55" s="136"/>
      <c r="AN55" s="136"/>
      <c r="AO55" s="136"/>
      <c r="AQ55" s="136"/>
      <c r="AR55" s="136"/>
      <c r="AS55" s="136"/>
      <c r="AT55" s="136"/>
      <c r="AV55" s="136"/>
      <c r="AW55" s="136"/>
      <c r="AX55" s="136"/>
    </row>
    <row r="56" spans="1:50" s="79" customFormat="1" ht="11.25">
      <c r="A56" s="96">
        <f t="shared" ca="1" si="2"/>
        <v>45</v>
      </c>
      <c r="B56" s="68" t="s">
        <v>133</v>
      </c>
      <c r="C56" s="97">
        <v>0.4</v>
      </c>
      <c r="D56" s="69" t="s">
        <v>66</v>
      </c>
      <c r="E56" s="137" t="s">
        <v>87</v>
      </c>
      <c r="F56" s="156">
        <v>5.9999999999999995E-4</v>
      </c>
      <c r="G56" s="156">
        <v>1.4E-3</v>
      </c>
      <c r="H56" s="156">
        <v>2.0999999999999999E-3</v>
      </c>
      <c r="I56" s="156">
        <v>2.7000000000000001E-3</v>
      </c>
      <c r="J56" s="156" t="s">
        <v>87</v>
      </c>
      <c r="K56" s="156">
        <v>3.5999999999999999E-3</v>
      </c>
      <c r="L56" s="156">
        <v>4.4000000000000003E-3</v>
      </c>
      <c r="M56" s="156">
        <v>5.1999999999999998E-3</v>
      </c>
      <c r="N56" s="138" cm="1">
        <f t="array" aca="1" ref="N56:AE56" ca="1">IF(OR(B56="",NOT($J$2)),"",GetStripDefaultProbability(A56,B56,Parameter_Date,CDSRollDate,E56:M56,SpreadCurveMaturities,D56,C56,$J$4,$J$6))</f>
        <v>0</v>
      </c>
      <c r="O56" s="163">
        <f ca="1"/>
        <v>5.9844205622783253E-4</v>
      </c>
      <c r="P56" s="163">
        <f ca="1"/>
        <v>2.5854693948048624E-3</v>
      </c>
      <c r="Q56" s="163">
        <f ca="1"/>
        <v>7.4351199606090823E-3</v>
      </c>
      <c r="R56" s="163">
        <f ca="1"/>
        <v>1.4165236689033467E-2</v>
      </c>
      <c r="S56" s="163">
        <f ca="1"/>
        <v>0</v>
      </c>
      <c r="T56" s="163">
        <f ca="1"/>
        <v>3.1184058931521874E-2</v>
      </c>
      <c r="U56" s="163">
        <f ca="1"/>
        <v>5.3245366252024029E-2</v>
      </c>
      <c r="V56" s="139">
        <f ca="1"/>
        <v>8.9365706071785955E-2</v>
      </c>
      <c r="W56" s="138">
        <f ca="1"/>
        <v>0</v>
      </c>
      <c r="X56" s="163">
        <f ca="1"/>
        <v>6.9814675354706868E-4</v>
      </c>
      <c r="Y56" s="163">
        <f ca="1"/>
        <v>2.7516912976994767E-3</v>
      </c>
      <c r="Z56" s="163">
        <f ca="1"/>
        <v>7.802408403912553E-3</v>
      </c>
      <c r="AA56" s="163">
        <f ca="1"/>
        <v>1.4865992520505134E-2</v>
      </c>
      <c r="AB56" s="163">
        <f ca="1"/>
        <v>0</v>
      </c>
      <c r="AC56" s="163">
        <f ca="1"/>
        <v>3.2717601540729224E-2</v>
      </c>
      <c r="AD56" s="163">
        <f ca="1"/>
        <v>5.584302239906247E-2</v>
      </c>
      <c r="AE56" s="139">
        <f ca="1"/>
        <v>9.3646798586097035E-2</v>
      </c>
      <c r="AH56" s="136"/>
      <c r="AI56" s="136"/>
      <c r="AJ56" s="136"/>
      <c r="AK56" s="136"/>
      <c r="AM56" s="136"/>
      <c r="AN56" s="136"/>
      <c r="AO56" s="136"/>
      <c r="AQ56" s="136"/>
      <c r="AR56" s="136"/>
      <c r="AS56" s="136"/>
      <c r="AT56" s="136"/>
      <c r="AV56" s="136"/>
      <c r="AW56" s="136"/>
      <c r="AX56" s="136"/>
    </row>
    <row r="57" spans="1:50" s="79" customFormat="1" ht="11.25">
      <c r="A57" s="96">
        <f t="shared" ca="1" si="2"/>
        <v>46</v>
      </c>
      <c r="B57" s="68" t="s">
        <v>134</v>
      </c>
      <c r="C57" s="97">
        <v>0.4</v>
      </c>
      <c r="D57" s="69" t="s">
        <v>66</v>
      </c>
      <c r="E57" s="137" t="s">
        <v>87</v>
      </c>
      <c r="F57" s="156">
        <v>5.0000000000000001E-4</v>
      </c>
      <c r="G57" s="156">
        <v>8.0000000000000004E-4</v>
      </c>
      <c r="H57" s="156">
        <v>1.4E-3</v>
      </c>
      <c r="I57" s="156">
        <v>2.2000000000000001E-3</v>
      </c>
      <c r="J57" s="156" t="s">
        <v>87</v>
      </c>
      <c r="K57" s="156">
        <v>3.5000000000000001E-3</v>
      </c>
      <c r="L57" s="156">
        <v>4.3E-3</v>
      </c>
      <c r="M57" s="156">
        <v>5.3E-3</v>
      </c>
      <c r="N57" s="138" cm="1">
        <f t="array" aca="1" ref="N57:AE57" ca="1">IF(OR(B57="",NOT($J$2)),"",GetStripDefaultProbability(A57,B57,Parameter_Date,CDSRollDate,E57:M57,SpreadCurveMaturities,D57,C57,$J$4,$J$6))</f>
        <v>0</v>
      </c>
      <c r="O57" s="163">
        <f ca="1"/>
        <v>4.9872651070981266E-4</v>
      </c>
      <c r="P57" s="163">
        <f ca="1"/>
        <v>1.4739490898789676E-3</v>
      </c>
      <c r="Q57" s="163">
        <f ca="1"/>
        <v>4.9674225022224849E-3</v>
      </c>
      <c r="R57" s="163">
        <f ca="1"/>
        <v>1.1628736572798393E-2</v>
      </c>
      <c r="S57" s="163">
        <f ca="1"/>
        <v>0</v>
      </c>
      <c r="T57" s="163">
        <f ca="1"/>
        <v>3.0654377818537859E-2</v>
      </c>
      <c r="U57" s="163">
        <f ca="1"/>
        <v>5.2415184668383241E-2</v>
      </c>
      <c r="V57" s="139">
        <f ca="1"/>
        <v>9.194180956288367E-2</v>
      </c>
      <c r="W57" s="138">
        <f ca="1"/>
        <v>0</v>
      </c>
      <c r="X57" s="163">
        <f ca="1"/>
        <v>5.9844139207421154E-4</v>
      </c>
      <c r="Y57" s="163">
        <f ca="1"/>
        <v>1.6403562307232278E-3</v>
      </c>
      <c r="Z57" s="163">
        <f ca="1"/>
        <v>5.3176205503109308E-3</v>
      </c>
      <c r="AA57" s="163">
        <f ca="1"/>
        <v>1.2197105012526799E-2</v>
      </c>
      <c r="AB57" s="163">
        <f ca="1"/>
        <v>0</v>
      </c>
      <c r="AC57" s="163">
        <f ca="1"/>
        <v>3.2156137582289301E-2</v>
      </c>
      <c r="AD57" s="163">
        <f ca="1"/>
        <v>5.4968551686991662E-2</v>
      </c>
      <c r="AE57" s="139">
        <f ca="1"/>
        <v>9.633928651350121E-2</v>
      </c>
      <c r="AH57" s="136"/>
      <c r="AI57" s="136"/>
      <c r="AJ57" s="136"/>
      <c r="AK57" s="136"/>
      <c r="AM57" s="136"/>
      <c r="AN57" s="136"/>
      <c r="AO57" s="136"/>
      <c r="AQ57" s="136"/>
      <c r="AR57" s="136"/>
      <c r="AS57" s="136"/>
      <c r="AT57" s="136"/>
      <c r="AV57" s="136"/>
      <c r="AW57" s="136"/>
      <c r="AX57" s="136"/>
    </row>
    <row r="58" spans="1:50" s="79" customFormat="1" ht="11.25">
      <c r="A58" s="96">
        <f t="shared" ca="1" si="2"/>
        <v>47</v>
      </c>
      <c r="B58" s="68" t="s">
        <v>135</v>
      </c>
      <c r="C58" s="97">
        <v>0.4</v>
      </c>
      <c r="D58" s="69" t="s">
        <v>66</v>
      </c>
      <c r="E58" s="137" t="s">
        <v>87</v>
      </c>
      <c r="F58" s="156">
        <v>1.1999999999999999E-3</v>
      </c>
      <c r="G58" s="156">
        <v>1.6999999999999999E-3</v>
      </c>
      <c r="H58" s="156">
        <v>2.8E-3</v>
      </c>
      <c r="I58" s="156">
        <v>3.5000000000000001E-3</v>
      </c>
      <c r="J58" s="156" t="s">
        <v>87</v>
      </c>
      <c r="K58" s="156">
        <v>4.4999999999999997E-3</v>
      </c>
      <c r="L58" s="156">
        <v>5.1999999999999998E-3</v>
      </c>
      <c r="M58" s="156">
        <v>6.1999999999999998E-3</v>
      </c>
      <c r="N58" s="138" cm="1">
        <f t="array" aca="1" ref="N58:AE58" ca="1">IF(OR(B58="",NOT($J$2)),"",GetStripDefaultProbability(A58,B58,Parameter_Date,CDSRollDate,E58:M58,SpreadCurveMaturities,D58,C58,$J$4,$J$6))</f>
        <v>0</v>
      </c>
      <c r="O58" s="163">
        <f ca="1"/>
        <v>1.1965271572978997E-3</v>
      </c>
      <c r="P58" s="163">
        <f ca="1"/>
        <v>3.1264563217608954E-3</v>
      </c>
      <c r="Q58" s="163">
        <f ca="1"/>
        <v>9.9045138370412733E-3</v>
      </c>
      <c r="R58" s="163">
        <f ca="1"/>
        <v>1.8315516435748469E-2</v>
      </c>
      <c r="S58" s="163">
        <f ca="1"/>
        <v>0</v>
      </c>
      <c r="T58" s="163">
        <f ca="1"/>
        <v>3.8770273727502524E-2</v>
      </c>
      <c r="U58" s="163">
        <f ca="1"/>
        <v>6.2247753313979137E-2</v>
      </c>
      <c r="V58" s="139">
        <f ca="1"/>
        <v>0.10550625884058507</v>
      </c>
      <c r="W58" s="138">
        <f ca="1"/>
        <v>0</v>
      </c>
      <c r="X58" s="163">
        <f ca="1"/>
        <v>1.2961697875810696E-3</v>
      </c>
      <c r="Y58" s="163">
        <f ca="1"/>
        <v>3.2925880676745178E-3</v>
      </c>
      <c r="Z58" s="163">
        <f ca="1"/>
        <v>1.0396082719475341E-2</v>
      </c>
      <c r="AA58" s="163">
        <f ca="1"/>
        <v>1.9222658992229524E-2</v>
      </c>
      <c r="AB58" s="163">
        <f ca="1"/>
        <v>0</v>
      </c>
      <c r="AC58" s="163">
        <f ca="1"/>
        <v>4.0672099002935225E-2</v>
      </c>
      <c r="AD58" s="163">
        <f ca="1"/>
        <v>6.527148534556404E-2</v>
      </c>
      <c r="AE58" s="139">
        <f ca="1"/>
        <v>0.11054733898125679</v>
      </c>
      <c r="AH58" s="136"/>
      <c r="AI58" s="136"/>
      <c r="AJ58" s="136"/>
      <c r="AK58" s="136"/>
      <c r="AM58" s="136"/>
      <c r="AN58" s="136"/>
      <c r="AO58" s="136"/>
      <c r="AQ58" s="136"/>
      <c r="AR58" s="136"/>
      <c r="AS58" s="136"/>
      <c r="AT58" s="136"/>
      <c r="AV58" s="136"/>
      <c r="AW58" s="136"/>
      <c r="AX58" s="136"/>
    </row>
    <row r="59" spans="1:50" s="79" customFormat="1" ht="11.25">
      <c r="A59" s="96">
        <f t="shared" ca="1" si="2"/>
        <v>48</v>
      </c>
      <c r="B59" s="68" t="s">
        <v>136</v>
      </c>
      <c r="C59" s="97">
        <v>0.4</v>
      </c>
      <c r="D59" s="69" t="s">
        <v>66</v>
      </c>
      <c r="E59" s="137" t="s">
        <v>87</v>
      </c>
      <c r="F59" s="156">
        <v>8.0000000000000004E-4</v>
      </c>
      <c r="G59" s="156">
        <v>1.2999999999999999E-3</v>
      </c>
      <c r="H59" s="156">
        <v>2.3E-3</v>
      </c>
      <c r="I59" s="156">
        <v>2.8999999999999998E-3</v>
      </c>
      <c r="J59" s="156" t="s">
        <v>87</v>
      </c>
      <c r="K59" s="156">
        <v>3.8E-3</v>
      </c>
      <c r="L59" s="156">
        <v>4.4999999999999997E-3</v>
      </c>
      <c r="M59" s="156">
        <v>5.4999999999999997E-3</v>
      </c>
      <c r="N59" s="138" cm="1">
        <f t="array" aca="1" ref="N59:AE59" ca="1">IF(OR(B59="",NOT($J$2)),"",GetStripDefaultProbability(A59,B59,Parameter_Date,CDSRollDate,E59:M59,SpreadCurveMaturities,D59,C59,$J$4,$J$6))</f>
        <v>0</v>
      </c>
      <c r="O59" s="163">
        <f ca="1"/>
        <v>7.978434025011083E-4</v>
      </c>
      <c r="P59" s="163">
        <f ca="1"/>
        <v>2.3946194070484372E-3</v>
      </c>
      <c r="Q59" s="163">
        <f ca="1"/>
        <v>8.1527327401650362E-3</v>
      </c>
      <c r="R59" s="163">
        <f ca="1"/>
        <v>1.5210252634792698E-2</v>
      </c>
      <c r="S59" s="163">
        <f ca="1"/>
        <v>0</v>
      </c>
      <c r="T59" s="163">
        <f ca="1"/>
        <v>3.2866950491276303E-2</v>
      </c>
      <c r="U59" s="163">
        <f ca="1"/>
        <v>5.423542339332188E-2</v>
      </c>
      <c r="V59" s="139">
        <f ca="1"/>
        <v>9.4579318279801039E-2</v>
      </c>
      <c r="W59" s="138">
        <f ca="1"/>
        <v>0</v>
      </c>
      <c r="X59" s="163">
        <f ca="1"/>
        <v>8.9752759609718069E-4</v>
      </c>
      <c r="Y59" s="163">
        <f ca="1"/>
        <v>2.560873115622031E-3</v>
      </c>
      <c r="Z59" s="163">
        <f ca="1"/>
        <v>8.5556013136859344E-3</v>
      </c>
      <c r="AA59" s="163">
        <f ca="1"/>
        <v>1.5962548899835838E-2</v>
      </c>
      <c r="AB59" s="163">
        <f ca="1"/>
        <v>0</v>
      </c>
      <c r="AC59" s="163">
        <f ca="1"/>
        <v>3.4481940603586003E-2</v>
      </c>
      <c r="AD59" s="163">
        <f ca="1"/>
        <v>5.6879013954041491E-2</v>
      </c>
      <c r="AE59" s="139">
        <f ca="1"/>
        <v>9.9123841139693081E-2</v>
      </c>
      <c r="AH59" s="136"/>
      <c r="AI59" s="136"/>
      <c r="AJ59" s="136"/>
      <c r="AK59" s="136"/>
      <c r="AM59" s="136"/>
      <c r="AN59" s="136"/>
      <c r="AO59" s="136"/>
      <c r="AQ59" s="136"/>
      <c r="AR59" s="136"/>
      <c r="AS59" s="136"/>
      <c r="AT59" s="136"/>
      <c r="AV59" s="136"/>
      <c r="AW59" s="136"/>
      <c r="AX59" s="136"/>
    </row>
    <row r="60" spans="1:50" s="79" customFormat="1" ht="11.25">
      <c r="A60" s="96">
        <f t="shared" ca="1" si="2"/>
        <v>49</v>
      </c>
      <c r="B60" s="68" t="s">
        <v>137</v>
      </c>
      <c r="C60" s="97">
        <v>0.4</v>
      </c>
      <c r="D60" s="69" t="s">
        <v>66</v>
      </c>
      <c r="E60" s="137" t="s">
        <v>87</v>
      </c>
      <c r="F60" s="156">
        <v>5.9999999999999995E-4</v>
      </c>
      <c r="G60" s="156">
        <v>8.9999999999999998E-4</v>
      </c>
      <c r="H60" s="156">
        <v>1.2999999999999999E-3</v>
      </c>
      <c r="I60" s="156">
        <v>1.6999999999999999E-3</v>
      </c>
      <c r="J60" s="156" t="s">
        <v>87</v>
      </c>
      <c r="K60" s="156">
        <v>2.2000000000000001E-3</v>
      </c>
      <c r="L60" s="156">
        <v>2.5999999999999999E-3</v>
      </c>
      <c r="M60" s="156">
        <v>3.2000000000000002E-3</v>
      </c>
      <c r="N60" s="138" cm="1">
        <f t="array" aca="1" ref="N60:AE60" ca="1">IF(OR(B60="",NOT($J$2)),"",GetStripDefaultProbability(A60,B60,Parameter_Date,CDSRollDate,E60:M60,SpreadCurveMaturities,D60,C60,$J$4,$J$6))</f>
        <v>0</v>
      </c>
      <c r="O60" s="163">
        <f ca="1"/>
        <v>5.9844205622783253E-4</v>
      </c>
      <c r="P60" s="163">
        <f ca="1"/>
        <v>1.6571087313170807E-3</v>
      </c>
      <c r="Q60" s="163">
        <f ca="1"/>
        <v>4.5995704707495477E-3</v>
      </c>
      <c r="R60" s="163">
        <f ca="1"/>
        <v>8.9332780093670516E-3</v>
      </c>
      <c r="S60" s="163">
        <f ca="1"/>
        <v>0</v>
      </c>
      <c r="T60" s="163">
        <f ca="1"/>
        <v>1.9114621336515425E-2</v>
      </c>
      <c r="U60" s="163">
        <f ca="1"/>
        <v>3.1596377949782539E-2</v>
      </c>
      <c r="V60" s="139">
        <f ca="1"/>
        <v>5.5918411968390647E-2</v>
      </c>
      <c r="W60" s="138">
        <f ca="1"/>
        <v>0</v>
      </c>
      <c r="X60" s="163">
        <f ca="1"/>
        <v>6.9814675354706868E-4</v>
      </c>
      <c r="Y60" s="163">
        <f ca="1"/>
        <v>1.8234853480852964E-3</v>
      </c>
      <c r="Z60" s="163">
        <f ca="1"/>
        <v>4.9498414674888913E-3</v>
      </c>
      <c r="AA60" s="163">
        <f ca="1"/>
        <v>9.4486586597236633E-3</v>
      </c>
      <c r="AB60" s="163">
        <f ca="1"/>
        <v>0</v>
      </c>
      <c r="AC60" s="163">
        <f ca="1"/>
        <v>2.0045281828646511E-2</v>
      </c>
      <c r="AD60" s="163">
        <f ca="1"/>
        <v>3.3137560653481057E-2</v>
      </c>
      <c r="AE60" s="139">
        <f ca="1"/>
        <v>5.86266498374447E-2</v>
      </c>
      <c r="AH60" s="136"/>
      <c r="AI60" s="136"/>
      <c r="AJ60" s="136"/>
      <c r="AK60" s="136"/>
      <c r="AM60" s="136"/>
      <c r="AN60" s="136"/>
      <c r="AO60" s="136"/>
      <c r="AQ60" s="136"/>
      <c r="AR60" s="136"/>
      <c r="AS60" s="136"/>
      <c r="AT60" s="136"/>
      <c r="AV60" s="136"/>
      <c r="AW60" s="136"/>
      <c r="AX60" s="136"/>
    </row>
    <row r="61" spans="1:50" s="79" customFormat="1" ht="11.25">
      <c r="A61" s="96">
        <f t="shared" ca="1" si="2"/>
        <v>50</v>
      </c>
      <c r="B61" s="68" t="s">
        <v>138</v>
      </c>
      <c r="C61" s="97">
        <v>0.4</v>
      </c>
      <c r="D61" s="69" t="s">
        <v>66</v>
      </c>
      <c r="E61" s="137" t="s">
        <v>87</v>
      </c>
      <c r="F61" s="156">
        <v>8.0000000000000004E-4</v>
      </c>
      <c r="G61" s="156">
        <v>1.1000000000000001E-3</v>
      </c>
      <c r="H61" s="156">
        <v>1.6000000000000001E-3</v>
      </c>
      <c r="I61" s="156">
        <v>1.8E-3</v>
      </c>
      <c r="J61" s="156" t="s">
        <v>87</v>
      </c>
      <c r="K61" s="156">
        <v>2.3999999999999998E-3</v>
      </c>
      <c r="L61" s="156">
        <v>2.8E-3</v>
      </c>
      <c r="M61" s="156">
        <v>3.5000000000000001E-3</v>
      </c>
      <c r="N61" s="138" cm="1">
        <f t="array" aca="1" ref="N61:AE61" ca="1">IF(OR(B61="",NOT($J$2)),"",GetStripDefaultProbability(A61,B61,Parameter_Date,CDSRollDate,E61:M61,SpreadCurveMaturities,D61,C61,$J$4,$J$6))</f>
        <v>0</v>
      </c>
      <c r="O61" s="163">
        <f ca="1"/>
        <v>7.978434025011083E-4</v>
      </c>
      <c r="P61" s="163">
        <f ca="1"/>
        <v>2.0233272289342796E-3</v>
      </c>
      <c r="Q61" s="163">
        <f ca="1"/>
        <v>5.6574997992197007E-3</v>
      </c>
      <c r="R61" s="163">
        <f ca="1"/>
        <v>9.4054199393686089E-3</v>
      </c>
      <c r="S61" s="163">
        <f ca="1"/>
        <v>0</v>
      </c>
      <c r="T61" s="163">
        <f ca="1"/>
        <v>2.0816888202580985E-2</v>
      </c>
      <c r="U61" s="163">
        <f ca="1"/>
        <v>3.3931137155015945E-2</v>
      </c>
      <c r="V61" s="139">
        <f ca="1"/>
        <v>6.1104628115612791E-2</v>
      </c>
      <c r="W61" s="138">
        <f ca="1"/>
        <v>0</v>
      </c>
      <c r="X61" s="163">
        <f ca="1"/>
        <v>8.9752759609718069E-4</v>
      </c>
      <c r="Y61" s="163">
        <f ca="1"/>
        <v>2.1896428143788338E-3</v>
      </c>
      <c r="Z61" s="163">
        <f ca="1"/>
        <v>6.0074214322639596E-3</v>
      </c>
      <c r="AA61" s="163">
        <f ca="1"/>
        <v>9.9204128845127304E-3</v>
      </c>
      <c r="AB61" s="163">
        <f ca="1"/>
        <v>0</v>
      </c>
      <c r="AC61" s="163">
        <f ca="1"/>
        <v>2.1836282031540311E-2</v>
      </c>
      <c r="AD61" s="163">
        <f ca="1"/>
        <v>3.559081037554046E-2</v>
      </c>
      <c r="AE61" s="139">
        <f ca="1"/>
        <v>6.4063587598686467E-2</v>
      </c>
      <c r="AH61" s="136"/>
      <c r="AI61" s="136"/>
      <c r="AJ61" s="136"/>
      <c r="AK61" s="136"/>
      <c r="AM61" s="136"/>
      <c r="AN61" s="136"/>
      <c r="AO61" s="136"/>
      <c r="AQ61" s="136"/>
      <c r="AR61" s="136"/>
      <c r="AS61" s="136"/>
      <c r="AT61" s="136"/>
      <c r="AV61" s="136"/>
      <c r="AW61" s="136"/>
      <c r="AX61" s="136"/>
    </row>
    <row r="62" spans="1:50" s="79" customFormat="1" ht="11.25">
      <c r="A62" s="96">
        <f t="shared" ca="1" si="2"/>
        <v>51</v>
      </c>
      <c r="B62" s="68" t="s">
        <v>139</v>
      </c>
      <c r="C62" s="97">
        <v>0.4</v>
      </c>
      <c r="D62" s="69" t="s">
        <v>66</v>
      </c>
      <c r="E62" s="137" t="s">
        <v>87</v>
      </c>
      <c r="F62" s="156">
        <v>5.0000000000000001E-4</v>
      </c>
      <c r="G62" s="156">
        <v>5.9999999999999995E-4</v>
      </c>
      <c r="H62" s="156">
        <v>1.1999999999999999E-3</v>
      </c>
      <c r="I62" s="156">
        <v>1.6999999999999999E-3</v>
      </c>
      <c r="J62" s="156" t="s">
        <v>87</v>
      </c>
      <c r="K62" s="156">
        <v>2.7000000000000001E-3</v>
      </c>
      <c r="L62" s="156">
        <v>3.3E-3</v>
      </c>
      <c r="M62" s="156">
        <v>4.0000000000000001E-3</v>
      </c>
      <c r="N62" s="138" cm="1">
        <f t="array" aca="1" ref="N62:AE62" ca="1">IF(OR(B62="",NOT($J$2)),"",GetStripDefaultProbability(A62,B62,Parameter_Date,CDSRollDate,E62:M62,SpreadCurveMaturities,D62,C62,$J$4,$J$6))</f>
        <v>0</v>
      </c>
      <c r="O62" s="163">
        <f ca="1"/>
        <v>4.9872651070981266E-4</v>
      </c>
      <c r="P62" s="163">
        <f ca="1"/>
        <v>1.1024469251739166E-3</v>
      </c>
      <c r="Q62" s="163">
        <f ca="1"/>
        <v>4.2625428447867764E-3</v>
      </c>
      <c r="R62" s="163">
        <f ca="1"/>
        <v>8.9721625653722548E-3</v>
      </c>
      <c r="S62" s="163">
        <f ca="1"/>
        <v>0</v>
      </c>
      <c r="T62" s="163">
        <f ca="1"/>
        <v>2.3680235822909568E-2</v>
      </c>
      <c r="U62" s="163">
        <f ca="1"/>
        <v>4.036107713797854E-2</v>
      </c>
      <c r="V62" s="139">
        <f ca="1"/>
        <v>6.9772753598174142E-2</v>
      </c>
      <c r="W62" s="138">
        <f ca="1"/>
        <v>0</v>
      </c>
      <c r="X62" s="163">
        <f ca="1"/>
        <v>5.9844139207421154E-4</v>
      </c>
      <c r="Y62" s="163">
        <f ca="1"/>
        <v>1.2689159778730419E-3</v>
      </c>
      <c r="Z62" s="163">
        <f ca="1"/>
        <v>4.6129737567995877E-3</v>
      </c>
      <c r="AA62" s="163">
        <f ca="1"/>
        <v>9.4876568056634358E-3</v>
      </c>
      <c r="AB62" s="163">
        <f ca="1"/>
        <v>0</v>
      </c>
      <c r="AC62" s="163">
        <f ca="1"/>
        <v>2.4833245917964208E-2</v>
      </c>
      <c r="AD62" s="163">
        <f ca="1"/>
        <v>4.2326483623173816E-2</v>
      </c>
      <c r="AE62" s="139">
        <f ca="1"/>
        <v>7.3133862857459486E-2</v>
      </c>
      <c r="AH62" s="136"/>
      <c r="AI62" s="136"/>
      <c r="AJ62" s="136"/>
      <c r="AK62" s="136"/>
      <c r="AM62" s="136"/>
      <c r="AN62" s="136"/>
      <c r="AO62" s="136"/>
      <c r="AQ62" s="136"/>
      <c r="AR62" s="136"/>
      <c r="AS62" s="136"/>
      <c r="AT62" s="136"/>
      <c r="AV62" s="136"/>
      <c r="AW62" s="136"/>
      <c r="AX62" s="136"/>
    </row>
    <row r="63" spans="1:50" s="79" customFormat="1" ht="11.25">
      <c r="A63" s="96">
        <f t="shared" ca="1" si="2"/>
        <v>52</v>
      </c>
      <c r="B63" s="68" t="s">
        <v>140</v>
      </c>
      <c r="C63" s="97">
        <v>0.4</v>
      </c>
      <c r="D63" s="69" t="s">
        <v>66</v>
      </c>
      <c r="E63" s="137" t="s">
        <v>87</v>
      </c>
      <c r="F63" s="156">
        <v>1E-3</v>
      </c>
      <c r="G63" s="156">
        <v>1.1999999999999999E-3</v>
      </c>
      <c r="H63" s="156">
        <v>1.5E-3</v>
      </c>
      <c r="I63" s="156">
        <v>2.2000000000000001E-3</v>
      </c>
      <c r="J63" s="156" t="s">
        <v>87</v>
      </c>
      <c r="K63" s="156">
        <v>3.0000000000000001E-3</v>
      </c>
      <c r="L63" s="156">
        <v>3.5999999999999999E-3</v>
      </c>
      <c r="M63" s="156">
        <v>4.5999999999999999E-3</v>
      </c>
      <c r="N63" s="138" cm="1">
        <f t="array" aca="1" ref="N63:AE63" ca="1">IF(OR(B63="",NOT($J$2)),"",GetStripDefaultProbability(A63,B63,Parameter_Date,CDSRollDate,E63:M63,SpreadCurveMaturities,D63,C63,$J$4,$J$6))</f>
        <v>0</v>
      </c>
      <c r="O63" s="163">
        <f ca="1"/>
        <v>9.9720509892320397E-4</v>
      </c>
      <c r="P63" s="163">
        <f ca="1"/>
        <v>2.2037913368142537E-3</v>
      </c>
      <c r="Q63" s="163">
        <f ca="1"/>
        <v>5.2871870230128959E-3</v>
      </c>
      <c r="R63" s="163">
        <f ca="1"/>
        <v>1.1571869795035772E-2</v>
      </c>
      <c r="S63" s="163">
        <f ca="1"/>
        <v>0</v>
      </c>
      <c r="T63" s="163">
        <f ca="1"/>
        <v>2.6086178611028576E-2</v>
      </c>
      <c r="U63" s="163">
        <f ca="1"/>
        <v>4.3697962093462661E-2</v>
      </c>
      <c r="V63" s="139">
        <f ca="1"/>
        <v>8.0217145409771873E-2</v>
      </c>
      <c r="W63" s="138">
        <f ca="1"/>
        <v>0</v>
      </c>
      <c r="X63" s="163">
        <f ca="1"/>
        <v>1.0968686047534426E-3</v>
      </c>
      <c r="Y63" s="163">
        <f ca="1"/>
        <v>2.3700768474069767E-3</v>
      </c>
      <c r="Z63" s="163">
        <f ca="1"/>
        <v>5.6371735218695429E-3</v>
      </c>
      <c r="AA63" s="163">
        <f ca="1"/>
        <v>1.2140057616339406E-2</v>
      </c>
      <c r="AB63" s="163">
        <f ca="1"/>
        <v>0</v>
      </c>
      <c r="AC63" s="163">
        <f ca="1"/>
        <v>2.7367359811453329E-2</v>
      </c>
      <c r="AD63" s="163">
        <f ca="1"/>
        <v>4.5833945125681175E-2</v>
      </c>
      <c r="AE63" s="139">
        <f ca="1"/>
        <v>8.4075689656123442E-2</v>
      </c>
      <c r="AH63" s="136"/>
      <c r="AI63" s="136"/>
      <c r="AJ63" s="136"/>
      <c r="AK63" s="136"/>
      <c r="AM63" s="136"/>
      <c r="AN63" s="136"/>
      <c r="AO63" s="136"/>
      <c r="AQ63" s="136"/>
      <c r="AR63" s="136"/>
      <c r="AS63" s="136"/>
      <c r="AT63" s="136"/>
      <c r="AV63" s="136"/>
      <c r="AW63" s="136"/>
      <c r="AX63" s="136"/>
    </row>
    <row r="64" spans="1:50" s="79" customFormat="1" ht="11.25">
      <c r="A64" s="96">
        <f t="shared" ca="1" si="2"/>
        <v>53</v>
      </c>
      <c r="B64" s="68" t="s">
        <v>141</v>
      </c>
      <c r="C64" s="97">
        <v>0.4</v>
      </c>
      <c r="D64" s="69" t="s">
        <v>66</v>
      </c>
      <c r="E64" s="137" t="s">
        <v>87</v>
      </c>
      <c r="F64" s="156">
        <v>2.9999999999999997E-4</v>
      </c>
      <c r="G64" s="156">
        <v>5.0000000000000001E-4</v>
      </c>
      <c r="H64" s="156">
        <v>1E-3</v>
      </c>
      <c r="I64" s="156">
        <v>1.5E-3</v>
      </c>
      <c r="J64" s="156" t="s">
        <v>87</v>
      </c>
      <c r="K64" s="156">
        <v>2.3E-3</v>
      </c>
      <c r="L64" s="156">
        <v>2.8999999999999998E-3</v>
      </c>
      <c r="M64" s="156">
        <v>3.3999999999999998E-3</v>
      </c>
      <c r="N64" s="138" cm="1">
        <f t="array" aca="1" ref="N64:AE64" ca="1">IF(OR(B64="",NOT($J$2)),"",GetStripDefaultProbability(A64,B64,Parameter_Date,CDSRollDate,E64:M64,SpreadCurveMaturities,D64,C64,$J$4,$J$6))</f>
        <v>0</v>
      </c>
      <c r="O64" s="163">
        <f ca="1"/>
        <v>2.9926566746929506E-4</v>
      </c>
      <c r="P64" s="163">
        <f ca="1"/>
        <v>9.2173632679792838E-4</v>
      </c>
      <c r="Q64" s="163">
        <f ca="1"/>
        <v>3.5560262748963734E-3</v>
      </c>
      <c r="R64" s="163">
        <f ca="1"/>
        <v>7.9349086715492234E-3</v>
      </c>
      <c r="S64" s="163">
        <f ca="1"/>
        <v>0</v>
      </c>
      <c r="T64" s="163">
        <f ca="1"/>
        <v>2.0183941271042727E-2</v>
      </c>
      <c r="U64" s="163">
        <f ca="1"/>
        <v>3.5611839707859971E-2</v>
      </c>
      <c r="V64" s="139">
        <f ca="1"/>
        <v>5.9350411945918391E-2</v>
      </c>
      <c r="W64" s="138">
        <f ca="1"/>
        <v>0</v>
      </c>
      <c r="X64" s="163">
        <f ca="1"/>
        <v>3.9900078367871572E-4</v>
      </c>
      <c r="Y64" s="163">
        <f ca="1"/>
        <v>1.088235495418588E-3</v>
      </c>
      <c r="Z64" s="163">
        <f ca="1"/>
        <v>3.9066887490182278E-3</v>
      </c>
      <c r="AA64" s="163">
        <f ca="1"/>
        <v>8.4509251940650953E-3</v>
      </c>
      <c r="AB64" s="163">
        <f ca="1"/>
        <v>0</v>
      </c>
      <c r="AC64" s="163">
        <f ca="1"/>
        <v>2.1159478323862557E-2</v>
      </c>
      <c r="AD64" s="163">
        <f ca="1"/>
        <v>3.7341413057054518E-2</v>
      </c>
      <c r="AE64" s="139">
        <f ca="1"/>
        <v>6.221441220832169E-2</v>
      </c>
      <c r="AH64" s="136"/>
      <c r="AI64" s="136"/>
      <c r="AJ64" s="136"/>
      <c r="AK64" s="136"/>
      <c r="AM64" s="136"/>
      <c r="AN64" s="136"/>
      <c r="AO64" s="136"/>
      <c r="AQ64" s="136"/>
      <c r="AR64" s="136"/>
      <c r="AS64" s="136"/>
      <c r="AT64" s="136"/>
      <c r="AV64" s="136"/>
      <c r="AW64" s="136"/>
      <c r="AX64" s="136"/>
    </row>
    <row r="65" spans="1:50" s="79" customFormat="1" ht="11.25">
      <c r="A65" s="96">
        <f t="shared" ca="1" si="2"/>
        <v>54</v>
      </c>
      <c r="B65" s="68" t="s">
        <v>142</v>
      </c>
      <c r="C65" s="97">
        <v>0.4</v>
      </c>
      <c r="D65" s="69" t="s">
        <v>66</v>
      </c>
      <c r="E65" s="137" t="s">
        <v>87</v>
      </c>
      <c r="F65" s="156">
        <v>2.9999999999999997E-4</v>
      </c>
      <c r="G65" s="156">
        <v>5.0000000000000001E-4</v>
      </c>
      <c r="H65" s="156">
        <v>1E-3</v>
      </c>
      <c r="I65" s="156">
        <v>1.2999999999999999E-3</v>
      </c>
      <c r="J65" s="156" t="s">
        <v>87</v>
      </c>
      <c r="K65" s="156">
        <v>2E-3</v>
      </c>
      <c r="L65" s="156">
        <v>2.3999999999999998E-3</v>
      </c>
      <c r="M65" s="156">
        <v>2.8999999999999998E-3</v>
      </c>
      <c r="N65" s="138" cm="1">
        <f t="array" aca="1" ref="N65:AE65" ca="1">IF(OR(B65="",NOT($J$2)),"",GetStripDefaultProbability(A65,B65,Parameter_Date,CDSRollDate,E65:M65,SpreadCurveMaturities,D65,C65,$J$4,$J$6))</f>
        <v>0</v>
      </c>
      <c r="O65" s="163">
        <f ca="1"/>
        <v>2.9926566746929506E-4</v>
      </c>
      <c r="P65" s="163">
        <f ca="1"/>
        <v>9.2173632679792838E-4</v>
      </c>
      <c r="Q65" s="163">
        <f ca="1"/>
        <v>3.5560262748963734E-3</v>
      </c>
      <c r="R65" s="163">
        <f ca="1"/>
        <v>6.8520431961853756E-3</v>
      </c>
      <c r="S65" s="163">
        <f ca="1"/>
        <v>0</v>
      </c>
      <c r="T65" s="163">
        <f ca="1"/>
        <v>1.7541645365925729E-2</v>
      </c>
      <c r="U65" s="163">
        <f ca="1"/>
        <v>2.9388887276754483E-2</v>
      </c>
      <c r="V65" s="139">
        <f ca="1"/>
        <v>5.0845887518815025E-2</v>
      </c>
      <c r="W65" s="138">
        <f ca="1"/>
        <v>0</v>
      </c>
      <c r="X65" s="163">
        <f ca="1"/>
        <v>3.9900078367871572E-4</v>
      </c>
      <c r="Y65" s="163">
        <f ca="1"/>
        <v>1.088235495418588E-3</v>
      </c>
      <c r="Z65" s="163">
        <f ca="1"/>
        <v>3.9066887490182278E-3</v>
      </c>
      <c r="AA65" s="163">
        <f ca="1"/>
        <v>7.3684529247277641E-3</v>
      </c>
      <c r="AB65" s="163">
        <f ca="1"/>
        <v>0</v>
      </c>
      <c r="AC65" s="163">
        <f ca="1"/>
        <v>1.8383476286491507E-2</v>
      </c>
      <c r="AD65" s="163">
        <f ca="1"/>
        <v>3.0811561335048254E-2</v>
      </c>
      <c r="AE65" s="139">
        <f ca="1"/>
        <v>5.3301726757999268E-2</v>
      </c>
      <c r="AH65" s="136"/>
      <c r="AI65" s="136"/>
      <c r="AJ65" s="136"/>
      <c r="AK65" s="136"/>
      <c r="AM65" s="136"/>
      <c r="AN65" s="136"/>
      <c r="AO65" s="136"/>
      <c r="AQ65" s="136"/>
      <c r="AR65" s="136"/>
      <c r="AS65" s="136"/>
      <c r="AT65" s="136"/>
      <c r="AV65" s="136"/>
      <c r="AW65" s="136"/>
      <c r="AX65" s="136"/>
    </row>
    <row r="66" spans="1:50" s="79" customFormat="1" ht="11.25">
      <c r="A66" s="96">
        <f t="shared" ca="1" si="2"/>
        <v>55</v>
      </c>
      <c r="B66" s="68" t="s">
        <v>143</v>
      </c>
      <c r="C66" s="97">
        <v>0.4</v>
      </c>
      <c r="D66" s="69" t="s">
        <v>66</v>
      </c>
      <c r="E66" s="137" t="s">
        <v>87</v>
      </c>
      <c r="F66" s="156">
        <v>2.0000000000000001E-4</v>
      </c>
      <c r="G66" s="156">
        <v>5.0000000000000001E-4</v>
      </c>
      <c r="H66" s="156">
        <v>1.1000000000000001E-3</v>
      </c>
      <c r="I66" s="156">
        <v>1.4E-3</v>
      </c>
      <c r="J66" s="156" t="s">
        <v>87</v>
      </c>
      <c r="K66" s="156">
        <v>2.0999999999999999E-3</v>
      </c>
      <c r="L66" s="156">
        <v>2.5000000000000001E-3</v>
      </c>
      <c r="M66" s="156">
        <v>3.0000000000000001E-3</v>
      </c>
      <c r="N66" s="138" cm="1">
        <f t="array" aca="1" ref="N66:AE66" ca="1">IF(OR(B66="",NOT($J$2)),"",GetStripDefaultProbability(A66,B66,Parameter_Date,CDSRollDate,E66:M66,SpreadCurveMaturities,D66,C66,$J$4,$J$6))</f>
        <v>0</v>
      </c>
      <c r="O66" s="163">
        <f ca="1"/>
        <v>1.9952036681669671E-4</v>
      </c>
      <c r="P66" s="163">
        <f ca="1"/>
        <v>9.2426851716076452E-4</v>
      </c>
      <c r="Q66" s="163">
        <f ca="1"/>
        <v>3.9176970674391631E-3</v>
      </c>
      <c r="R66" s="163">
        <f ca="1"/>
        <v>7.3795696099634434E-3</v>
      </c>
      <c r="S66" s="163">
        <f ca="1"/>
        <v>0</v>
      </c>
      <c r="T66" s="163">
        <f ca="1"/>
        <v>1.8395708065234051E-2</v>
      </c>
      <c r="U66" s="163">
        <f ca="1"/>
        <v>3.0560872996133193E-2</v>
      </c>
      <c r="V66" s="139">
        <f ca="1"/>
        <v>5.2476884670437873E-2</v>
      </c>
      <c r="W66" s="138">
        <f ca="1"/>
        <v>0</v>
      </c>
      <c r="X66" s="163">
        <f ca="1"/>
        <v>2.9926553473869077E-4</v>
      </c>
      <c r="Y66" s="163">
        <f ca="1"/>
        <v>1.0907672637936461E-3</v>
      </c>
      <c r="Z66" s="163">
        <f ca="1"/>
        <v>4.2682704546526118E-3</v>
      </c>
      <c r="AA66" s="163">
        <f ca="1"/>
        <v>7.8957467083987654E-3</v>
      </c>
      <c r="AB66" s="163">
        <f ca="1"/>
        <v>0</v>
      </c>
      <c r="AC66" s="163">
        <f ca="1"/>
        <v>1.928210003600539E-2</v>
      </c>
      <c r="AD66" s="163">
        <f ca="1"/>
        <v>3.2043108266404663E-2</v>
      </c>
      <c r="AE66" s="139">
        <f ca="1"/>
        <v>5.5012714129258344E-2</v>
      </c>
      <c r="AH66" s="136"/>
      <c r="AI66" s="136"/>
      <c r="AJ66" s="136"/>
      <c r="AK66" s="136"/>
      <c r="AM66" s="136"/>
      <c r="AN66" s="136"/>
      <c r="AO66" s="136"/>
      <c r="AQ66" s="136"/>
      <c r="AR66" s="136"/>
      <c r="AS66" s="136"/>
      <c r="AT66" s="136"/>
      <c r="AV66" s="136"/>
      <c r="AW66" s="136"/>
      <c r="AX66" s="136"/>
    </row>
    <row r="67" spans="1:50" s="79" customFormat="1" ht="11.25">
      <c r="A67" s="96">
        <f t="shared" ca="1" si="2"/>
        <v>56</v>
      </c>
      <c r="B67" s="68" t="s">
        <v>144</v>
      </c>
      <c r="C67" s="97">
        <v>0.4</v>
      </c>
      <c r="D67" s="69" t="s">
        <v>66</v>
      </c>
      <c r="E67" s="137" t="s">
        <v>87</v>
      </c>
      <c r="F67" s="156">
        <v>8.5999999999999998E-4</v>
      </c>
      <c r="G67" s="156">
        <v>1.2999999999999999E-3</v>
      </c>
      <c r="H67" s="156">
        <v>1.98E-3</v>
      </c>
      <c r="I67" s="156">
        <v>2.4099999999999998E-3</v>
      </c>
      <c r="J67" s="156" t="s">
        <v>87</v>
      </c>
      <c r="K67" s="156">
        <v>3.0999999999999999E-3</v>
      </c>
      <c r="L67" s="156">
        <v>3.5400000000000002E-3</v>
      </c>
      <c r="M67" s="156">
        <v>4.0000000000000001E-3</v>
      </c>
      <c r="N67" s="138" cm="1">
        <f t="array" aca="1" ref="N67:AE67" ca="1">IF(OR(B67="",NOT($J$2)),"",GetStripDefaultProbability(A67,B67,Parameter_Date,CDSRollDate,E67:M67,SpreadCurveMaturities,D67,C67,$J$4,$J$6))</f>
        <v>0</v>
      </c>
      <c r="O67" s="163">
        <f ca="1"/>
        <v>8.5765607412002787E-4</v>
      </c>
      <c r="P67" s="163">
        <f ca="1"/>
        <v>2.3930569121991541E-3</v>
      </c>
      <c r="Q67" s="163">
        <f ca="1"/>
        <v>7.0048800157395119E-3</v>
      </c>
      <c r="R67" s="163">
        <f ca="1"/>
        <v>1.2620911643993815E-2</v>
      </c>
      <c r="S67" s="163">
        <f ca="1"/>
        <v>0</v>
      </c>
      <c r="T67" s="163">
        <f ca="1"/>
        <v>2.6818034659598755E-2</v>
      </c>
      <c r="U67" s="163">
        <f ca="1"/>
        <v>4.264815782431064E-2</v>
      </c>
      <c r="V67" s="139">
        <f ca="1"/>
        <v>6.8484187456989254E-2</v>
      </c>
      <c r="W67" s="138">
        <f ca="1"/>
        <v>0</v>
      </c>
      <c r="X67" s="163">
        <f ca="1"/>
        <v>9.5733408086196015E-4</v>
      </c>
      <c r="Y67" s="163">
        <f ca="1"/>
        <v>2.5593108811567955E-3</v>
      </c>
      <c r="Z67" s="163">
        <f ca="1"/>
        <v>7.3543787097243296E-3</v>
      </c>
      <c r="AA67" s="163">
        <f ca="1"/>
        <v>1.324507342691128E-2</v>
      </c>
      <c r="AB67" s="163">
        <f ca="1"/>
        <v>0</v>
      </c>
      <c r="AC67" s="163">
        <f ca="1"/>
        <v>2.813866188376124E-2</v>
      </c>
      <c r="AD67" s="163">
        <f ca="1"/>
        <v>4.4736153566496517E-2</v>
      </c>
      <c r="AE67" s="139">
        <f ca="1"/>
        <v>7.1793359152748093E-2</v>
      </c>
      <c r="AH67" s="136"/>
      <c r="AI67" s="136"/>
      <c r="AJ67" s="136"/>
      <c r="AK67" s="136"/>
      <c r="AM67" s="136"/>
      <c r="AN67" s="136"/>
      <c r="AO67" s="136"/>
      <c r="AQ67" s="136"/>
      <c r="AR67" s="136"/>
      <c r="AS67" s="136"/>
      <c r="AT67" s="136"/>
      <c r="AV67" s="136"/>
      <c r="AW67" s="136"/>
      <c r="AX67" s="136"/>
    </row>
    <row r="68" spans="1:50" s="79" customFormat="1" ht="11.25">
      <c r="A68" s="96">
        <f t="shared" ca="1" si="2"/>
        <v>57</v>
      </c>
      <c r="B68" s="68" t="s">
        <v>145</v>
      </c>
      <c r="C68" s="97">
        <v>0.4</v>
      </c>
      <c r="D68" s="69" t="s">
        <v>66</v>
      </c>
      <c r="E68" s="137" t="s">
        <v>87</v>
      </c>
      <c r="F68" s="156">
        <v>1E-3</v>
      </c>
      <c r="G68" s="156">
        <v>1.8E-3</v>
      </c>
      <c r="H68" s="156">
        <v>2.5000000000000001E-3</v>
      </c>
      <c r="I68" s="156">
        <v>3.7000000000000002E-3</v>
      </c>
      <c r="J68" s="156" t="s">
        <v>87</v>
      </c>
      <c r="K68" s="156">
        <v>5.4999999999999997E-3</v>
      </c>
      <c r="L68" s="156">
        <v>6.8999999999999999E-3</v>
      </c>
      <c r="M68" s="156">
        <v>8.3000000000000001E-3</v>
      </c>
      <c r="N68" s="138" cm="1">
        <f t="array" aca="1" ref="N68:AE68" ca="1">IF(OR(B68="",NOT($J$2)),"",GetStripDefaultProbability(A68,B68,Parameter_Date,CDSRollDate,E68:M68,SpreadCurveMaturities,D68,C68,$J$4,$J$6))</f>
        <v>0</v>
      </c>
      <c r="O68" s="163">
        <f ca="1"/>
        <v>9.9720509892320397E-4</v>
      </c>
      <c r="P68" s="163">
        <f ca="1"/>
        <v>3.3172791679404456E-3</v>
      </c>
      <c r="Q68" s="163">
        <f ca="1"/>
        <v>8.8298987099990622E-3</v>
      </c>
      <c r="R68" s="163">
        <f ca="1"/>
        <v>1.9443868516324625E-2</v>
      </c>
      <c r="S68" s="163">
        <f ca="1"/>
        <v>0</v>
      </c>
      <c r="T68" s="163">
        <f ca="1"/>
        <v>4.7679529923441044E-2</v>
      </c>
      <c r="U68" s="163">
        <f ca="1"/>
        <v>8.3106842757693311E-2</v>
      </c>
      <c r="V68" s="139">
        <f ca="1"/>
        <v>0.14062233603169283</v>
      </c>
      <c r="W68" s="138">
        <f ca="1"/>
        <v>0</v>
      </c>
      <c r="X68" s="163">
        <f ca="1"/>
        <v>1.0968686047534426E-3</v>
      </c>
      <c r="Y68" s="163">
        <f ca="1"/>
        <v>3.483379112706575E-3</v>
      </c>
      <c r="Z68" s="163">
        <f ca="1"/>
        <v>9.2682069363994035E-3</v>
      </c>
      <c r="AA68" s="163">
        <f ca="1"/>
        <v>2.0407050273610783E-2</v>
      </c>
      <c r="AB68" s="163">
        <f ca="1"/>
        <v>0</v>
      </c>
      <c r="AC68" s="163">
        <f ca="1"/>
        <v>5.0011436807639309E-2</v>
      </c>
      <c r="AD68" s="163">
        <f ca="1"/>
        <v>8.711548361067567E-2</v>
      </c>
      <c r="AE68" s="139">
        <f ca="1"/>
        <v>0.14725471038341298</v>
      </c>
      <c r="AH68" s="136"/>
      <c r="AI68" s="136"/>
      <c r="AJ68" s="136"/>
      <c r="AK68" s="136"/>
      <c r="AM68" s="136"/>
      <c r="AN68" s="136"/>
      <c r="AO68" s="136"/>
      <c r="AQ68" s="136"/>
      <c r="AR68" s="136"/>
      <c r="AS68" s="136"/>
      <c r="AT68" s="136"/>
      <c r="AV68" s="136"/>
      <c r="AW68" s="136"/>
      <c r="AX68" s="136"/>
    </row>
    <row r="69" spans="1:50" s="79" customFormat="1" ht="11.25">
      <c r="A69" s="96">
        <f t="shared" ca="1" si="2"/>
        <v>58</v>
      </c>
      <c r="B69" s="68" t="s">
        <v>146</v>
      </c>
      <c r="C69" s="97">
        <v>0.4</v>
      </c>
      <c r="D69" s="69" t="s">
        <v>66</v>
      </c>
      <c r="E69" s="137" t="s">
        <v>87</v>
      </c>
      <c r="F69" s="156">
        <v>1.6999999999999999E-3</v>
      </c>
      <c r="G69" s="156">
        <v>2.0999999999999999E-3</v>
      </c>
      <c r="H69" s="156">
        <v>2.8999999999999998E-3</v>
      </c>
      <c r="I69" s="156">
        <v>4.4000000000000003E-3</v>
      </c>
      <c r="J69" s="156" t="s">
        <v>87</v>
      </c>
      <c r="K69" s="156">
        <v>6.0000000000000001E-3</v>
      </c>
      <c r="L69" s="156">
        <v>7.4999999999999997E-3</v>
      </c>
      <c r="M69" s="156">
        <v>9.1999999999999998E-3</v>
      </c>
      <c r="N69" s="138" cm="1">
        <f t="array" aca="1" ref="N69:AE69" ca="1">IF(OR(B69="",NOT($J$2)),"",GetStripDefaultProbability(A69,B69,Parameter_Date,CDSRollDate,E69:M69,SpreadCurveMaturities,D69,C69,$J$4,$J$6))</f>
        <v>0</v>
      </c>
      <c r="O69" s="163">
        <f ca="1"/>
        <v>1.6946589644637466E-3</v>
      </c>
      <c r="P69" s="163">
        <f ca="1"/>
        <v>3.855080947753331E-3</v>
      </c>
      <c r="Q69" s="163">
        <f ca="1"/>
        <v>1.0221301733752242E-2</v>
      </c>
      <c r="R69" s="163">
        <f ca="1"/>
        <v>2.3093926471777659E-2</v>
      </c>
      <c r="S69" s="163">
        <f ca="1"/>
        <v>0</v>
      </c>
      <c r="T69" s="163">
        <f ca="1"/>
        <v>5.1713765507856113E-2</v>
      </c>
      <c r="U69" s="163">
        <f ca="1"/>
        <v>8.9839920047974919E-2</v>
      </c>
      <c r="V69" s="139">
        <f ca="1"/>
        <v>0.15516983471304124</v>
      </c>
      <c r="W69" s="138">
        <f ca="1"/>
        <v>0</v>
      </c>
      <c r="X69" s="163">
        <f ca="1"/>
        <v>1.7942485595207058E-3</v>
      </c>
      <c r="Y69" s="163">
        <f ca="1"/>
        <v>4.0470738514851723E-3</v>
      </c>
      <c r="Z69" s="163">
        <f ca="1"/>
        <v>1.0729505694067276E-2</v>
      </c>
      <c r="AA69" s="163">
        <f ca="1"/>
        <v>2.4237519217238046E-2</v>
      </c>
      <c r="AB69" s="163">
        <f ca="1"/>
        <v>0</v>
      </c>
      <c r="AC69" s="163">
        <f ca="1"/>
        <v>5.4238205191427302E-2</v>
      </c>
      <c r="AD69" s="163">
        <f ca="1"/>
        <v>9.4158028444277675E-2</v>
      </c>
      <c r="AE69" s="139">
        <f ca="1"/>
        <v>0.16244527210310866</v>
      </c>
      <c r="AH69" s="136"/>
      <c r="AI69" s="136"/>
      <c r="AJ69" s="136"/>
      <c r="AK69" s="136"/>
      <c r="AM69" s="136"/>
      <c r="AN69" s="136"/>
      <c r="AO69" s="136"/>
      <c r="AQ69" s="136"/>
      <c r="AR69" s="136"/>
      <c r="AS69" s="136"/>
      <c r="AT69" s="136"/>
      <c r="AV69" s="136"/>
      <c r="AW69" s="136"/>
      <c r="AX69" s="136"/>
    </row>
    <row r="70" spans="1:50" s="79" customFormat="1" ht="11.25">
      <c r="A70" s="96">
        <f t="shared" ca="1" si="2"/>
        <v>59</v>
      </c>
      <c r="B70" s="68" t="s">
        <v>147</v>
      </c>
      <c r="C70" s="97">
        <v>0.4</v>
      </c>
      <c r="D70" s="69" t="s">
        <v>66</v>
      </c>
      <c r="E70" s="137" t="s">
        <v>87</v>
      </c>
      <c r="F70" s="156">
        <v>4.0000000000000002E-4</v>
      </c>
      <c r="G70" s="156">
        <v>8.9999999999999998E-4</v>
      </c>
      <c r="H70" s="156">
        <v>1.5E-3</v>
      </c>
      <c r="I70" s="156">
        <v>2.2000000000000001E-3</v>
      </c>
      <c r="J70" s="156" t="s">
        <v>87</v>
      </c>
      <c r="K70" s="156">
        <v>3.5000000000000001E-3</v>
      </c>
      <c r="L70" s="156">
        <v>4.4999999999999997E-3</v>
      </c>
      <c r="M70" s="156">
        <v>5.5999999999999999E-3</v>
      </c>
      <c r="N70" s="138" cm="1">
        <f t="array" aca="1" ref="N70:AE70" ca="1">IF(OR(B70="",NOT($J$2)),"",GetStripDefaultProbability(A70,B70,Parameter_Date,CDSRollDate,E70:M70,SpreadCurveMaturities,D70,C70,$J$4,$J$6))</f>
        <v>0</v>
      </c>
      <c r="O70" s="163">
        <f ca="1"/>
        <v>3.9900104827061966E-4</v>
      </c>
      <c r="P70" s="163">
        <f ca="1"/>
        <v>1.6622452761001494E-3</v>
      </c>
      <c r="Q70" s="163">
        <f ca="1"/>
        <v>5.3223223809408804E-3</v>
      </c>
      <c r="R70" s="163">
        <f ca="1"/>
        <v>1.1607766743442327E-2</v>
      </c>
      <c r="S70" s="163">
        <f ca="1"/>
        <v>0</v>
      </c>
      <c r="T70" s="163">
        <f ca="1"/>
        <v>3.0632644099777395E-2</v>
      </c>
      <c r="U70" s="163">
        <f ca="1"/>
        <v>5.4998043950884257E-2</v>
      </c>
      <c r="V70" s="139">
        <f ca="1"/>
        <v>9.7256041923757586E-2</v>
      </c>
      <c r="W70" s="138">
        <f ca="1"/>
        <v>0</v>
      </c>
      <c r="X70" s="163">
        <f ca="1"/>
        <v>4.9872606913303752E-4</v>
      </c>
      <c r="Y70" s="163">
        <f ca="1"/>
        <v>1.828621036846334E-3</v>
      </c>
      <c r="Z70" s="163">
        <f ca="1"/>
        <v>5.672412455043796E-3</v>
      </c>
      <c r="AA70" s="163">
        <f ca="1"/>
        <v>1.2176078828268766E-2</v>
      </c>
      <c r="AB70" s="163">
        <f ca="1"/>
        <v>0</v>
      </c>
      <c r="AC70" s="163">
        <f ca="1"/>
        <v>3.213429048840144E-2</v>
      </c>
      <c r="AD70" s="163">
        <f ca="1"/>
        <v>5.7676736276804808E-2</v>
      </c>
      <c r="AE70" s="139">
        <f ca="1"/>
        <v>0.10192808369905448</v>
      </c>
      <c r="AH70" s="136"/>
      <c r="AI70" s="136"/>
      <c r="AJ70" s="136"/>
      <c r="AK70" s="136"/>
      <c r="AM70" s="136"/>
      <c r="AN70" s="136"/>
      <c r="AO70" s="136"/>
      <c r="AQ70" s="136"/>
      <c r="AR70" s="136"/>
      <c r="AS70" s="136"/>
      <c r="AT70" s="136"/>
      <c r="AV70" s="136"/>
      <c r="AW70" s="136"/>
      <c r="AX70" s="136"/>
    </row>
    <row r="71" spans="1:50" s="79" customFormat="1" ht="11.25">
      <c r="A71" s="96">
        <f t="shared" ca="1" si="2"/>
        <v>60</v>
      </c>
      <c r="B71" s="68" t="s">
        <v>148</v>
      </c>
      <c r="C71" s="97">
        <v>0.4</v>
      </c>
      <c r="D71" s="69" t="s">
        <v>66</v>
      </c>
      <c r="E71" s="137" t="s">
        <v>87</v>
      </c>
      <c r="F71" s="156">
        <v>1.15E-3</v>
      </c>
      <c r="G71" s="156">
        <v>1.4400000000000001E-3</v>
      </c>
      <c r="H71" s="156">
        <v>2.0100000000000001E-3</v>
      </c>
      <c r="I71" s="156">
        <v>2.3600000000000001E-3</v>
      </c>
      <c r="J71" s="156" t="s">
        <v>87</v>
      </c>
      <c r="K71" s="156">
        <v>3.0000000000000001E-3</v>
      </c>
      <c r="L71" s="156">
        <v>3.4299999999999999E-3</v>
      </c>
      <c r="M71" s="156">
        <v>3.8999999999999998E-3</v>
      </c>
      <c r="N71" s="138" cm="1">
        <f t="array" aca="1" ref="N71:AE71" ca="1">IF(OR(B71="",NOT($J$2)),"",GetStripDefaultProbability(A71,B71,Parameter_Date,CDSRollDate,E71:M71,SpreadCurveMaturities,D71,C71,$J$4,$J$6))</f>
        <v>0</v>
      </c>
      <c r="O71" s="163">
        <f ca="1"/>
        <v>1.1467003581168145E-3</v>
      </c>
      <c r="P71" s="163">
        <f ca="1"/>
        <v>2.6453287688613658E-3</v>
      </c>
      <c r="Q71" s="163">
        <f ca="1"/>
        <v>7.0954184077761662E-3</v>
      </c>
      <c r="R71" s="163">
        <f ca="1"/>
        <v>1.2328832631246511E-2</v>
      </c>
      <c r="S71" s="163">
        <f ca="1"/>
        <v>0</v>
      </c>
      <c r="T71" s="163">
        <f ca="1"/>
        <v>2.5913602803711022E-2</v>
      </c>
      <c r="U71" s="163">
        <f ca="1"/>
        <v>4.1301864917358766E-2</v>
      </c>
      <c r="V71" s="139">
        <f ca="1"/>
        <v>6.684117255026889E-2</v>
      </c>
      <c r="W71" s="138">
        <f ca="1"/>
        <v>0</v>
      </c>
      <c r="X71" s="163">
        <f ca="1"/>
        <v>1.2463482251061642E-3</v>
      </c>
      <c r="Y71" s="163">
        <f ca="1"/>
        <v>2.8115406960133038E-3</v>
      </c>
      <c r="Z71" s="163">
        <f ca="1"/>
        <v>7.4466302947487906E-3</v>
      </c>
      <c r="AA71" s="163">
        <f ca="1"/>
        <v>1.293945323210699E-2</v>
      </c>
      <c r="AB71" s="163">
        <f ca="1"/>
        <v>0</v>
      </c>
      <c r="AC71" s="163">
        <f ca="1"/>
        <v>2.7190941969569615E-2</v>
      </c>
      <c r="AD71" s="163">
        <f ca="1"/>
        <v>4.3325868696201253E-2</v>
      </c>
      <c r="AE71" s="139">
        <f ca="1"/>
        <v>7.0074543970074399E-2</v>
      </c>
      <c r="AH71" s="136"/>
      <c r="AI71" s="136"/>
      <c r="AJ71" s="136"/>
      <c r="AK71" s="136"/>
      <c r="AM71" s="136"/>
      <c r="AN71" s="136"/>
      <c r="AO71" s="136"/>
      <c r="AQ71" s="136"/>
      <c r="AR71" s="136"/>
      <c r="AS71" s="136"/>
      <c r="AT71" s="136"/>
      <c r="AV71" s="136"/>
      <c r="AW71" s="136"/>
      <c r="AX71" s="136"/>
    </row>
    <row r="72" spans="1:50" s="79" customFormat="1" ht="11.25">
      <c r="A72" s="96">
        <f t="shared" ca="1" si="2"/>
        <v>61</v>
      </c>
      <c r="B72" s="68" t="s">
        <v>149</v>
      </c>
      <c r="C72" s="97">
        <v>0.4</v>
      </c>
      <c r="D72" s="69" t="s">
        <v>66</v>
      </c>
      <c r="E72" s="137" t="s">
        <v>87</v>
      </c>
      <c r="F72" s="156">
        <v>6.9999999999999999E-4</v>
      </c>
      <c r="G72" s="156">
        <v>1.1999999999999999E-3</v>
      </c>
      <c r="H72" s="156">
        <v>2.3999999999999998E-3</v>
      </c>
      <c r="I72" s="156">
        <v>3.2000000000000002E-3</v>
      </c>
      <c r="J72" s="156" t="s">
        <v>87</v>
      </c>
      <c r="K72" s="156">
        <v>4.7000000000000002E-3</v>
      </c>
      <c r="L72" s="156">
        <v>5.5999999999999999E-3</v>
      </c>
      <c r="M72" s="156">
        <v>7.1000000000000004E-3</v>
      </c>
      <c r="N72" s="138" cm="1">
        <f t="array" aca="1" ref="N72:AE72" ca="1">IF(OR(B72="",NOT($J$2)),"",GetStripDefaultProbability(A72,B72,Parameter_Date,CDSRollDate,E72:M72,SpreadCurveMaturities,D72,C72,$J$4,$J$6))</f>
        <v>0</v>
      </c>
      <c r="O72" s="163">
        <f ca="1"/>
        <v>6.98147686336692E-4</v>
      </c>
      <c r="P72" s="163">
        <f ca="1"/>
        <v>2.2115762542517237E-3</v>
      </c>
      <c r="Q72" s="163">
        <f ca="1"/>
        <v>8.5201941173354001E-3</v>
      </c>
      <c r="R72" s="163">
        <f ca="1"/>
        <v>1.6819064438943543E-2</v>
      </c>
      <c r="S72" s="163">
        <f ca="1"/>
        <v>0</v>
      </c>
      <c r="T72" s="163">
        <f ca="1"/>
        <v>4.0809746754992049E-2</v>
      </c>
      <c r="U72" s="163">
        <f ca="1"/>
        <v>6.7469574904116758E-2</v>
      </c>
      <c r="V72" s="139">
        <f ca="1"/>
        <v>0.12179381336002615</v>
      </c>
      <c r="W72" s="138">
        <f ca="1"/>
        <v>0</v>
      </c>
      <c r="X72" s="163">
        <f ca="1"/>
        <v>7.9784215457201491E-4</v>
      </c>
      <c r="Y72" s="163">
        <f ca="1"/>
        <v>2.3778604674680182E-3</v>
      </c>
      <c r="Z72" s="163">
        <f ca="1"/>
        <v>8.9408706858354892E-3</v>
      </c>
      <c r="AA72" s="163">
        <f ca="1"/>
        <v>1.7650446319023128E-2</v>
      </c>
      <c r="AB72" s="163">
        <f ca="1"/>
        <v>0</v>
      </c>
      <c r="AC72" s="163">
        <f ca="1"/>
        <v>4.2809123364614843E-2</v>
      </c>
      <c r="AD72" s="163">
        <f ca="1"/>
        <v>7.0741560778202817E-2</v>
      </c>
      <c r="AE72" s="139">
        <f ca="1"/>
        <v>0.12758951444633593</v>
      </c>
      <c r="AH72" s="136"/>
      <c r="AI72" s="136"/>
      <c r="AJ72" s="136"/>
      <c r="AK72" s="136"/>
      <c r="AM72" s="136"/>
      <c r="AN72" s="136"/>
      <c r="AO72" s="136"/>
      <c r="AQ72" s="136"/>
      <c r="AR72" s="136"/>
      <c r="AS72" s="136"/>
      <c r="AT72" s="136"/>
      <c r="AV72" s="136"/>
      <c r="AW72" s="136"/>
      <c r="AX72" s="136"/>
    </row>
    <row r="73" spans="1:50" s="79" customFormat="1" ht="11.25">
      <c r="A73" s="96">
        <f t="shared" ca="1" si="2"/>
        <v>62</v>
      </c>
      <c r="B73" s="68" t="s">
        <v>150</v>
      </c>
      <c r="C73" s="97">
        <v>0.4</v>
      </c>
      <c r="D73" s="69" t="s">
        <v>66</v>
      </c>
      <c r="E73" s="137" t="s">
        <v>87</v>
      </c>
      <c r="F73" s="156">
        <v>4.0000000000000002E-4</v>
      </c>
      <c r="G73" s="156">
        <v>5.9999999999999995E-4</v>
      </c>
      <c r="H73" s="156">
        <v>1.1000000000000001E-3</v>
      </c>
      <c r="I73" s="156">
        <v>1.4E-3</v>
      </c>
      <c r="J73" s="156" t="s">
        <v>87</v>
      </c>
      <c r="K73" s="156">
        <v>2.3999999999999998E-3</v>
      </c>
      <c r="L73" s="156">
        <v>3.2000000000000002E-3</v>
      </c>
      <c r="M73" s="156">
        <v>4.1000000000000003E-3</v>
      </c>
      <c r="N73" s="138" cm="1">
        <f t="array" aca="1" ref="N73:AE73" ca="1">IF(OR(B73="",NOT($J$2)),"",GetStripDefaultProbability(A73,B73,Parameter_Date,CDSRollDate,E73:M73,SpreadCurveMaturities,D73,C73,$J$4,$J$6))</f>
        <v>0</v>
      </c>
      <c r="O73" s="163">
        <f ca="1"/>
        <v>3.9900104827061966E-4</v>
      </c>
      <c r="P73" s="163">
        <f ca="1"/>
        <v>1.1049878534659108E-3</v>
      </c>
      <c r="Q73" s="163">
        <f ca="1"/>
        <v>3.9061410518371753E-3</v>
      </c>
      <c r="R73" s="163">
        <f ca="1"/>
        <v>7.3679142559065491E-3</v>
      </c>
      <c r="S73" s="163">
        <f ca="1"/>
        <v>0</v>
      </c>
      <c r="T73" s="163">
        <f ca="1"/>
        <v>2.1102789733880356E-2</v>
      </c>
      <c r="U73" s="163">
        <f ca="1"/>
        <v>3.9470699320086511E-2</v>
      </c>
      <c r="V73" s="139">
        <f ca="1"/>
        <v>7.2314824112811205E-2</v>
      </c>
      <c r="W73" s="138">
        <f ca="1"/>
        <v>0</v>
      </c>
      <c r="X73" s="163">
        <f ca="1"/>
        <v>4.9872606913303752E-4</v>
      </c>
      <c r="Y73" s="163">
        <f ca="1"/>
        <v>1.2714564827104313E-3</v>
      </c>
      <c r="Z73" s="163">
        <f ca="1"/>
        <v>4.2566790699356538E-3</v>
      </c>
      <c r="AA73" s="163">
        <f ca="1"/>
        <v>7.8840538246789382E-3</v>
      </c>
      <c r="AB73" s="163">
        <f ca="1"/>
        <v>0</v>
      </c>
      <c r="AC73" s="163">
        <f ca="1"/>
        <v>2.2122744204687184E-2</v>
      </c>
      <c r="AD73" s="163">
        <f ca="1"/>
        <v>4.1387381274566537E-2</v>
      </c>
      <c r="AE73" s="139">
        <f ca="1"/>
        <v>7.5792148326529474E-2</v>
      </c>
      <c r="AH73" s="136"/>
      <c r="AI73" s="136"/>
      <c r="AJ73" s="136"/>
      <c r="AK73" s="136"/>
      <c r="AM73" s="136"/>
      <c r="AN73" s="136"/>
      <c r="AO73" s="136"/>
      <c r="AQ73" s="136"/>
      <c r="AR73" s="136"/>
      <c r="AS73" s="136"/>
      <c r="AT73" s="136"/>
      <c r="AV73" s="136"/>
      <c r="AW73" s="136"/>
      <c r="AX73" s="136"/>
    </row>
    <row r="74" spans="1:50" s="79" customFormat="1" ht="11.25">
      <c r="A74" s="96">
        <f t="shared" ca="1" si="2"/>
        <v>63</v>
      </c>
      <c r="B74" s="68" t="s">
        <v>151</v>
      </c>
      <c r="C74" s="97">
        <v>0.4</v>
      </c>
      <c r="D74" s="69" t="s">
        <v>66</v>
      </c>
      <c r="E74" s="137" t="s">
        <v>87</v>
      </c>
      <c r="F74" s="156">
        <v>5.9999999999999995E-4</v>
      </c>
      <c r="G74" s="156">
        <v>1.1000000000000001E-3</v>
      </c>
      <c r="H74" s="156">
        <v>2E-3</v>
      </c>
      <c r="I74" s="156">
        <v>2.5999999999999999E-3</v>
      </c>
      <c r="J74" s="156" t="s">
        <v>87</v>
      </c>
      <c r="K74" s="156">
        <v>3.3999999999999998E-3</v>
      </c>
      <c r="L74" s="156">
        <v>4.1000000000000003E-3</v>
      </c>
      <c r="M74" s="156">
        <v>4.8999999999999998E-3</v>
      </c>
      <c r="N74" s="138" cm="1">
        <f t="array" aca="1" ref="N74:AE74" ca="1">IF(OR(B74="",NOT($J$2)),"",GetStripDefaultProbability(A74,B74,Parameter_Date,CDSRollDate,E74:M74,SpreadCurveMaturities,D74,C74,$J$4,$J$6))</f>
        <v>0</v>
      </c>
      <c r="O74" s="163">
        <f ca="1"/>
        <v>5.9844205622783253E-4</v>
      </c>
      <c r="P74" s="163">
        <f ca="1"/>
        <v>2.0284995193046162E-3</v>
      </c>
      <c r="Q74" s="163">
        <f ca="1"/>
        <v>7.096641915642854E-3</v>
      </c>
      <c r="R74" s="163">
        <f ca="1"/>
        <v>1.3663172017733149E-2</v>
      </c>
      <c r="S74" s="163">
        <f ca="1"/>
        <v>0</v>
      </c>
      <c r="T74" s="163">
        <f ca="1"/>
        <v>2.9462326936363414E-2</v>
      </c>
      <c r="U74" s="163">
        <f ca="1"/>
        <v>4.9611102342142277E-2</v>
      </c>
      <c r="V74" s="139">
        <f ca="1"/>
        <v>8.4445389121147407E-2</v>
      </c>
      <c r="W74" s="138">
        <f ca="1"/>
        <v>0</v>
      </c>
      <c r="X74" s="163">
        <f ca="1"/>
        <v>6.9814675354706868E-4</v>
      </c>
      <c r="Y74" s="163">
        <f ca="1"/>
        <v>2.1948142427737904E-3</v>
      </c>
      <c r="Z74" s="163">
        <f ca="1"/>
        <v>7.4461720081763216E-3</v>
      </c>
      <c r="AA74" s="163">
        <f ca="1"/>
        <v>1.433821193113316E-2</v>
      </c>
      <c r="AB74" s="163">
        <f ca="1"/>
        <v>0</v>
      </c>
      <c r="AC74" s="163">
        <f ca="1"/>
        <v>3.0911210815628754E-2</v>
      </c>
      <c r="AD74" s="163">
        <f ca="1"/>
        <v>5.203378471637865E-2</v>
      </c>
      <c r="AE74" s="139">
        <f ca="1"/>
        <v>8.8499361479496885E-2</v>
      </c>
      <c r="AH74" s="136"/>
      <c r="AI74" s="136"/>
      <c r="AJ74" s="136"/>
      <c r="AK74" s="136"/>
      <c r="AM74" s="136"/>
      <c r="AN74" s="136"/>
      <c r="AO74" s="136"/>
      <c r="AQ74" s="136"/>
      <c r="AR74" s="136"/>
      <c r="AS74" s="136"/>
      <c r="AT74" s="136"/>
      <c r="AV74" s="136"/>
      <c r="AW74" s="136"/>
      <c r="AX74" s="136"/>
    </row>
    <row r="75" spans="1:50" s="79" customFormat="1" ht="11.25">
      <c r="A75" s="96">
        <f t="shared" ca="1" si="2"/>
        <v>64</v>
      </c>
      <c r="B75" s="68" t="s">
        <v>152</v>
      </c>
      <c r="C75" s="97">
        <v>0.4</v>
      </c>
      <c r="D75" s="69" t="s">
        <v>66</v>
      </c>
      <c r="E75" s="137" t="s">
        <v>87</v>
      </c>
      <c r="F75" s="156">
        <v>2.0000000000000001E-4</v>
      </c>
      <c r="G75" s="156">
        <v>2.9999999999999997E-4</v>
      </c>
      <c r="H75" s="156">
        <v>5.9999999999999995E-4</v>
      </c>
      <c r="I75" s="156">
        <v>8.9999999999999998E-4</v>
      </c>
      <c r="J75" s="156" t="s">
        <v>87</v>
      </c>
      <c r="K75" s="156">
        <v>1.2999999999999999E-3</v>
      </c>
      <c r="L75" s="156">
        <v>1.8E-3</v>
      </c>
      <c r="M75" s="156">
        <v>2.5000000000000001E-3</v>
      </c>
      <c r="N75" s="138" cm="1">
        <f t="array" aca="1" ref="N75:AE75" ca="1">IF(OR(B75="",NOT($J$2)),"",GetStripDefaultProbability(A75,B75,Parameter_Date,CDSRollDate,E75:M75,SpreadCurveMaturities,D75,C75,$J$4,$J$6))</f>
        <v>0</v>
      </c>
      <c r="O75" s="163">
        <f ca="1"/>
        <v>1.9952036681669671E-4</v>
      </c>
      <c r="P75" s="163">
        <f ca="1"/>
        <v>5.5261831656039373E-4</v>
      </c>
      <c r="Q75" s="163">
        <f ca="1"/>
        <v>2.1341672654442423E-3</v>
      </c>
      <c r="R75" s="163">
        <f ca="1"/>
        <v>4.7655109735624812E-3</v>
      </c>
      <c r="S75" s="163">
        <f ca="1"/>
        <v>0</v>
      </c>
      <c r="T75" s="163">
        <f ca="1"/>
        <v>1.1415611992424579E-2</v>
      </c>
      <c r="U75" s="163">
        <f ca="1"/>
        <v>2.2340324455258909E-2</v>
      </c>
      <c r="V75" s="139">
        <f ca="1"/>
        <v>4.4943270711893857E-2</v>
      </c>
      <c r="W75" s="138">
        <f ca="1"/>
        <v>0</v>
      </c>
      <c r="X75" s="163">
        <f ca="1"/>
        <v>2.9926553473869077E-4</v>
      </c>
      <c r="Y75" s="163">
        <f ca="1"/>
        <v>7.1917899974027755E-4</v>
      </c>
      <c r="Z75" s="163">
        <f ca="1"/>
        <v>2.4852603031543241E-3</v>
      </c>
      <c r="AA75" s="163">
        <f ca="1"/>
        <v>5.2829336392000714E-3</v>
      </c>
      <c r="AB75" s="163">
        <f ca="1"/>
        <v>0</v>
      </c>
      <c r="AC75" s="163">
        <f ca="1"/>
        <v>1.2262403123262988E-2</v>
      </c>
      <c r="AD75" s="163">
        <f ca="1"/>
        <v>2.3508144718795476E-2</v>
      </c>
      <c r="AE75" s="139">
        <f ca="1"/>
        <v>4.7058525722171396E-2</v>
      </c>
      <c r="AH75" s="136"/>
      <c r="AI75" s="136"/>
      <c r="AJ75" s="136"/>
      <c r="AK75" s="136"/>
      <c r="AM75" s="136"/>
      <c r="AN75" s="136"/>
      <c r="AO75" s="136"/>
      <c r="AQ75" s="136"/>
      <c r="AR75" s="136"/>
      <c r="AS75" s="136"/>
      <c r="AT75" s="136"/>
      <c r="AV75" s="136"/>
      <c r="AW75" s="136"/>
      <c r="AX75" s="136"/>
    </row>
    <row r="76" spans="1:50" s="79" customFormat="1" ht="11.25">
      <c r="A76" s="96">
        <f t="shared" ca="1" si="2"/>
        <v>65</v>
      </c>
      <c r="B76" s="68" t="s">
        <v>153</v>
      </c>
      <c r="C76" s="97">
        <v>0.4</v>
      </c>
      <c r="D76" s="69" t="s">
        <v>66</v>
      </c>
      <c r="E76" s="137" t="s">
        <v>87</v>
      </c>
      <c r="F76" s="156">
        <v>9.2000000000000003E-4</v>
      </c>
      <c r="G76" s="156">
        <v>1.39E-3</v>
      </c>
      <c r="H76" s="156">
        <v>2.0799999999999998E-3</v>
      </c>
      <c r="I76" s="156">
        <v>2.49E-3</v>
      </c>
      <c r="J76" s="156" t="s">
        <v>87</v>
      </c>
      <c r="K76" s="156">
        <v>3.0000000000000001E-3</v>
      </c>
      <c r="L76" s="156">
        <v>3.3500000000000001E-3</v>
      </c>
      <c r="M76" s="156">
        <v>3.7000000000000002E-3</v>
      </c>
      <c r="N76" s="138" cm="1">
        <f t="array" aca="1" ref="N76:AE76" ca="1">IF(OR(B76="",NOT($J$2)),"",GetStripDefaultProbability(A76,B76,Parameter_Date,CDSRollDate,E76:M76,SpreadCurveMaturities,D76,C76,$J$4,$J$6))</f>
        <v>0</v>
      </c>
      <c r="O76" s="163">
        <f ca="1"/>
        <v>9.1746517756496893E-4</v>
      </c>
      <c r="P76" s="163">
        <f ca="1"/>
        <v>2.558545868762363E-3</v>
      </c>
      <c r="Q76" s="163">
        <f ca="1"/>
        <v>7.3555966759061286E-3</v>
      </c>
      <c r="R76" s="163">
        <f ca="1"/>
        <v>1.3027840119176348E-2</v>
      </c>
      <c r="S76" s="163">
        <f ca="1"/>
        <v>0</v>
      </c>
      <c r="T76" s="163">
        <f ca="1"/>
        <v>2.585919719621721E-2</v>
      </c>
      <c r="U76" s="163">
        <f ca="1"/>
        <v>4.0201449590659966E-2</v>
      </c>
      <c r="V76" s="139">
        <f ca="1"/>
        <v>6.3061473433850601E-2</v>
      </c>
      <c r="W76" s="138">
        <f ca="1"/>
        <v>0</v>
      </c>
      <c r="X76" s="163">
        <f ca="1"/>
        <v>1.0171369808192887E-3</v>
      </c>
      <c r="Y76" s="163">
        <f ca="1"/>
        <v>2.7247722585238554E-3</v>
      </c>
      <c r="Z76" s="163">
        <f ca="1"/>
        <v>7.7192976102623545E-3</v>
      </c>
      <c r="AA76" s="163">
        <f ca="1"/>
        <v>1.3672627281318128E-2</v>
      </c>
      <c r="AB76" s="163">
        <f ca="1"/>
        <v>0</v>
      </c>
      <c r="AC76" s="163">
        <f ca="1"/>
        <v>2.713324734548539E-2</v>
      </c>
      <c r="AD76" s="163">
        <f ca="1"/>
        <v>4.2171171116586526E-2</v>
      </c>
      <c r="AE76" s="139">
        <f ca="1"/>
        <v>6.6114902465269743E-2</v>
      </c>
      <c r="AH76" s="136"/>
      <c r="AI76" s="136"/>
      <c r="AJ76" s="136"/>
      <c r="AK76" s="136"/>
      <c r="AM76" s="136"/>
      <c r="AN76" s="136"/>
      <c r="AO76" s="136"/>
      <c r="AQ76" s="136"/>
      <c r="AR76" s="136"/>
      <c r="AS76" s="136"/>
      <c r="AT76" s="136"/>
      <c r="AV76" s="136"/>
      <c r="AW76" s="136"/>
      <c r="AX76" s="136"/>
    </row>
    <row r="77" spans="1:50" s="79" customFormat="1" ht="11.25">
      <c r="A77" s="96">
        <f t="shared" ca="1" si="2"/>
        <v>66</v>
      </c>
      <c r="B77" s="68" t="s">
        <v>154</v>
      </c>
      <c r="C77" s="97">
        <v>0.4</v>
      </c>
      <c r="D77" s="69" t="s">
        <v>66</v>
      </c>
      <c r="E77" s="137" t="s">
        <v>87</v>
      </c>
      <c r="F77" s="156">
        <v>2.3999999999999998E-3</v>
      </c>
      <c r="G77" s="156">
        <v>3.2000000000000002E-3</v>
      </c>
      <c r="H77" s="156">
        <v>4.8999999999999998E-3</v>
      </c>
      <c r="I77" s="156">
        <v>6.7000000000000002E-3</v>
      </c>
      <c r="J77" s="156" t="s">
        <v>87</v>
      </c>
      <c r="K77" s="156">
        <v>1.03E-2</v>
      </c>
      <c r="L77" s="156">
        <v>1.23E-2</v>
      </c>
      <c r="M77" s="156">
        <v>1.4200000000000001E-2</v>
      </c>
      <c r="N77" s="138" cm="1">
        <f t="array" aca="1" ref="N77:AE77" ca="1">IF(OR(B77="",NOT($J$2)),"",GetStripDefaultProbability(A77,B77,Parameter_Date,CDSRollDate,E77:M77,SpreadCurveMaturities,D77,C77,$J$4,$J$6))</f>
        <v>0</v>
      </c>
      <c r="O77" s="163">
        <f ca="1"/>
        <v>2.3916277706961253E-3</v>
      </c>
      <c r="P77" s="163">
        <f ca="1"/>
        <v>5.8743887111939452E-3</v>
      </c>
      <c r="Q77" s="163">
        <f ca="1"/>
        <v>1.7259059914905284E-2</v>
      </c>
      <c r="R77" s="163">
        <f ca="1"/>
        <v>3.4926542048238751E-2</v>
      </c>
      <c r="S77" s="163">
        <f ca="1"/>
        <v>0</v>
      </c>
      <c r="T77" s="163">
        <f ca="1"/>
        <v>8.8008542836872872E-2</v>
      </c>
      <c r="U77" s="163">
        <f ca="1"/>
        <v>0.14389963119440108</v>
      </c>
      <c r="V77" s="139">
        <f ca="1"/>
        <v>0.2290775228724321</v>
      </c>
      <c r="W77" s="138">
        <f ca="1"/>
        <v>0</v>
      </c>
      <c r="X77" s="163">
        <f ca="1"/>
        <v>2.5110450443133203E-3</v>
      </c>
      <c r="Y77" s="163">
        <f ca="1"/>
        <v>6.1673010045854015E-3</v>
      </c>
      <c r="Z77" s="163">
        <f ca="1"/>
        <v>1.8115246144122854E-2</v>
      </c>
      <c r="AA77" s="163">
        <f ca="1"/>
        <v>3.6647560835196602E-2</v>
      </c>
      <c r="AB77" s="163">
        <f ca="1"/>
        <v>0</v>
      </c>
      <c r="AC77" s="163">
        <f ca="1"/>
        <v>9.2261521699224525E-2</v>
      </c>
      <c r="AD77" s="163">
        <f ca="1"/>
        <v>0.15067497036229593</v>
      </c>
      <c r="AE77" s="139">
        <f ca="1"/>
        <v>0.23938794837150779</v>
      </c>
      <c r="AH77" s="136"/>
      <c r="AI77" s="136"/>
      <c r="AJ77" s="136"/>
      <c r="AK77" s="136"/>
      <c r="AM77" s="136"/>
      <c r="AN77" s="136"/>
      <c r="AO77" s="136"/>
      <c r="AQ77" s="136"/>
      <c r="AR77" s="136"/>
      <c r="AS77" s="136"/>
      <c r="AT77" s="136"/>
      <c r="AV77" s="136"/>
      <c r="AW77" s="136"/>
      <c r="AX77" s="136"/>
    </row>
    <row r="78" spans="1:50" s="79" customFormat="1" ht="11.25">
      <c r="A78" s="96">
        <f t="shared" ref="A78:A133" ca="1" si="3">IF(B78="","",A77+1)</f>
        <v>67</v>
      </c>
      <c r="B78" s="68" t="s">
        <v>155</v>
      </c>
      <c r="C78" s="97">
        <v>0.4</v>
      </c>
      <c r="D78" s="69" t="s">
        <v>66</v>
      </c>
      <c r="E78" s="137" t="s">
        <v>87</v>
      </c>
      <c r="F78" s="156">
        <v>5.9999999999999995E-4</v>
      </c>
      <c r="G78" s="156">
        <v>1.1000000000000001E-3</v>
      </c>
      <c r="H78" s="156">
        <v>2.0999999999999999E-3</v>
      </c>
      <c r="I78" s="156">
        <v>2.8E-3</v>
      </c>
      <c r="J78" s="156" t="s">
        <v>87</v>
      </c>
      <c r="K78" s="156">
        <v>4.0000000000000001E-3</v>
      </c>
      <c r="L78" s="156">
        <v>4.7999999999999996E-3</v>
      </c>
      <c r="M78" s="156">
        <v>6.1000000000000004E-3</v>
      </c>
      <c r="N78" s="138" cm="1">
        <f t="array" aca="1" ref="N78:AE78" ca="1">IF(OR(B78="",NOT($J$2)),"",GetStripDefaultProbability(A78,B78,Parameter_Date,CDSRollDate,E78:M78,SpreadCurveMaturities,D78,C78,$J$4,$J$6))</f>
        <v>0</v>
      </c>
      <c r="O78" s="163">
        <f ca="1"/>
        <v>5.9844205622783253E-4</v>
      </c>
      <c r="P78" s="163">
        <f ca="1"/>
        <v>2.0284995193046162E-3</v>
      </c>
      <c r="Q78" s="163">
        <f ca="1"/>
        <v>7.4549650956047264E-3</v>
      </c>
      <c r="R78" s="163">
        <f ca="1"/>
        <v>1.4724797745685025E-2</v>
      </c>
      <c r="S78" s="163">
        <f ca="1"/>
        <v>0</v>
      </c>
      <c r="T78" s="163">
        <f ca="1"/>
        <v>3.4760495188271179E-2</v>
      </c>
      <c r="U78" s="163">
        <f ca="1"/>
        <v>5.8034388977466156E-2</v>
      </c>
      <c r="V78" s="139">
        <f ca="1"/>
        <v>0.10534092347830548</v>
      </c>
      <c r="W78" s="138">
        <f ca="1"/>
        <v>0</v>
      </c>
      <c r="X78" s="163">
        <f ca="1"/>
        <v>6.9814675354706868E-4</v>
      </c>
      <c r="Y78" s="163">
        <f ca="1"/>
        <v>2.1948142427737904E-3</v>
      </c>
      <c r="Z78" s="163">
        <f ca="1"/>
        <v>7.822299589756998E-3</v>
      </c>
      <c r="AA78" s="163">
        <f ca="1"/>
        <v>1.5452349041522706E-2</v>
      </c>
      <c r="AB78" s="163">
        <f ca="1"/>
        <v>0</v>
      </c>
      <c r="AC78" s="163">
        <f ca="1"/>
        <v>3.6467098823894095E-2</v>
      </c>
      <c r="AD78" s="163">
        <f ca="1"/>
        <v>6.0859610965779409E-2</v>
      </c>
      <c r="AE78" s="139">
        <f ca="1"/>
        <v>0.11038783677695929</v>
      </c>
      <c r="AH78" s="136"/>
      <c r="AI78" s="136"/>
      <c r="AJ78" s="136"/>
      <c r="AK78" s="136"/>
      <c r="AM78" s="136"/>
      <c r="AN78" s="136"/>
      <c r="AO78" s="136"/>
      <c r="AQ78" s="136"/>
      <c r="AR78" s="136"/>
      <c r="AS78" s="136"/>
      <c r="AT78" s="136"/>
      <c r="AV78" s="136"/>
      <c r="AW78" s="136"/>
      <c r="AX78" s="136"/>
    </row>
    <row r="79" spans="1:50" s="79" customFormat="1" ht="11.25">
      <c r="A79" s="96">
        <f t="shared" ca="1" si="3"/>
        <v>68</v>
      </c>
      <c r="B79" s="68" t="s">
        <v>156</v>
      </c>
      <c r="C79" s="97">
        <v>0.4</v>
      </c>
      <c r="D79" s="69" t="s">
        <v>66</v>
      </c>
      <c r="E79" s="137" t="s">
        <v>87</v>
      </c>
      <c r="F79" s="156">
        <v>1E-3</v>
      </c>
      <c r="G79" s="156">
        <v>1.4E-3</v>
      </c>
      <c r="H79" s="156">
        <v>2.2000000000000001E-3</v>
      </c>
      <c r="I79" s="156">
        <v>3.3E-3</v>
      </c>
      <c r="J79" s="156" t="s">
        <v>87</v>
      </c>
      <c r="K79" s="156">
        <v>5.1000000000000004E-3</v>
      </c>
      <c r="L79" s="156">
        <v>6.3E-3</v>
      </c>
      <c r="M79" s="156">
        <v>7.6E-3</v>
      </c>
      <c r="N79" s="138" cm="1">
        <f t="array" aca="1" ref="N79:AE79" ca="1">IF(OR(B79="",NOT($J$2)),"",GetStripDefaultProbability(A79,B79,Parameter_Date,CDSRollDate,E79:M79,SpreadCurveMaturities,D79,C79,$J$4,$J$6))</f>
        <v>0</v>
      </c>
      <c r="O79" s="163">
        <f ca="1"/>
        <v>9.9720509892320397E-4</v>
      </c>
      <c r="P79" s="163">
        <f ca="1"/>
        <v>2.5750159392085026E-3</v>
      </c>
      <c r="Q79" s="163">
        <f ca="1"/>
        <v>7.7825986765700517E-3</v>
      </c>
      <c r="R79" s="163">
        <f ca="1"/>
        <v>1.7371102871529209E-2</v>
      </c>
      <c r="S79" s="163">
        <f ca="1"/>
        <v>0</v>
      </c>
      <c r="T79" s="163">
        <f ca="1"/>
        <v>4.4361662248117995E-2</v>
      </c>
      <c r="U79" s="163">
        <f ca="1"/>
        <v>7.6065575893073389E-2</v>
      </c>
      <c r="V79" s="139">
        <f ca="1"/>
        <v>0.12939522704522521</v>
      </c>
      <c r="W79" s="138">
        <f ca="1"/>
        <v>0</v>
      </c>
      <c r="X79" s="163">
        <f ca="1"/>
        <v>1.0968686047534426E-3</v>
      </c>
      <c r="Y79" s="163">
        <f ca="1"/>
        <v>2.7412395841939219E-3</v>
      </c>
      <c r="Z79" s="163">
        <f ca="1"/>
        <v>8.1676440185992627E-3</v>
      </c>
      <c r="AA79" s="163">
        <f ca="1"/>
        <v>1.8230908210388863E-2</v>
      </c>
      <c r="AB79" s="163">
        <f ca="1"/>
        <v>0</v>
      </c>
      <c r="AC79" s="163">
        <f ca="1"/>
        <v>4.6533675406947639E-2</v>
      </c>
      <c r="AD79" s="163">
        <f ca="1"/>
        <v>7.9745060309932114E-2</v>
      </c>
      <c r="AE79" s="139">
        <f ca="1"/>
        <v>0.13552725143148781</v>
      </c>
      <c r="AH79" s="136"/>
      <c r="AI79" s="136"/>
      <c r="AJ79" s="136"/>
      <c r="AK79" s="136"/>
      <c r="AM79" s="136"/>
      <c r="AN79" s="136"/>
      <c r="AO79" s="136"/>
      <c r="AQ79" s="136"/>
      <c r="AR79" s="136"/>
      <c r="AS79" s="136"/>
      <c r="AT79" s="136"/>
      <c r="AV79" s="136"/>
      <c r="AW79" s="136"/>
      <c r="AX79" s="136"/>
    </row>
    <row r="80" spans="1:50" s="79" customFormat="1" ht="11.25">
      <c r="A80" s="96">
        <f t="shared" ca="1" si="3"/>
        <v>69</v>
      </c>
      <c r="B80" s="68" t="s">
        <v>157</v>
      </c>
      <c r="C80" s="97">
        <v>0.4</v>
      </c>
      <c r="D80" s="69" t="s">
        <v>66</v>
      </c>
      <c r="E80" s="137" t="s">
        <v>87</v>
      </c>
      <c r="F80" s="156">
        <v>5.0000000000000001E-4</v>
      </c>
      <c r="G80" s="156">
        <v>5.0000000000000001E-4</v>
      </c>
      <c r="H80" s="156">
        <v>1E-3</v>
      </c>
      <c r="I80" s="156">
        <v>1.8E-3</v>
      </c>
      <c r="J80" s="156" t="s">
        <v>87</v>
      </c>
      <c r="K80" s="156">
        <v>2.7000000000000001E-3</v>
      </c>
      <c r="L80" s="156">
        <v>3.5000000000000001E-3</v>
      </c>
      <c r="M80" s="156">
        <v>4.4999999999999997E-3</v>
      </c>
      <c r="N80" s="138" cm="1">
        <f t="array" aca="1" ref="N80:AE80" ca="1">IF(OR(B80="",NOT($J$2)),"",GetStripDefaultProbability(A80,B80,Parameter_Date,CDSRollDate,E80:M80,SpreadCurveMaturities,D80,C80,$J$4,$J$6))</f>
        <v>0</v>
      </c>
      <c r="O80" s="163">
        <f ca="1"/>
        <v>4.9872651070981266E-4</v>
      </c>
      <c r="P80" s="163">
        <f ca="1"/>
        <v>9.1667256579530676E-4</v>
      </c>
      <c r="Q80" s="163">
        <f ca="1"/>
        <v>3.550876104413736E-3</v>
      </c>
      <c r="R80" s="163">
        <f ca="1"/>
        <v>9.5532446510834257E-3</v>
      </c>
      <c r="S80" s="163">
        <f ca="1"/>
        <v>0</v>
      </c>
      <c r="T80" s="163">
        <f ca="1"/>
        <v>2.3681726884419718E-2</v>
      </c>
      <c r="U80" s="163">
        <f ca="1"/>
        <v>4.2982819661412819E-2</v>
      </c>
      <c r="V80" s="139">
        <f ca="1"/>
        <v>7.9073386611940966E-2</v>
      </c>
      <c r="W80" s="138">
        <f ca="1"/>
        <v>0</v>
      </c>
      <c r="X80" s="163">
        <f ca="1"/>
        <v>5.9844139207421154E-4</v>
      </c>
      <c r="Y80" s="163">
        <f ca="1"/>
        <v>1.0831725783114754E-3</v>
      </c>
      <c r="Z80" s="163">
        <f ca="1"/>
        <v>3.901521012269149E-3</v>
      </c>
      <c r="AA80" s="163">
        <f ca="1"/>
        <v>1.0068637309758044E-2</v>
      </c>
      <c r="AB80" s="163">
        <f ca="1"/>
        <v>0</v>
      </c>
      <c r="AC80" s="163">
        <f ca="1"/>
        <v>2.4834879135829602E-2</v>
      </c>
      <c r="AD80" s="163">
        <f ca="1"/>
        <v>4.5075451764088337E-2</v>
      </c>
      <c r="AE80" s="139">
        <f ca="1"/>
        <v>8.2871945583787077E-2</v>
      </c>
      <c r="AH80" s="136"/>
      <c r="AI80" s="136"/>
      <c r="AJ80" s="136"/>
      <c r="AK80" s="136"/>
      <c r="AM80" s="136"/>
      <c r="AN80" s="136"/>
      <c r="AO80" s="136"/>
      <c r="AQ80" s="136"/>
      <c r="AR80" s="136"/>
      <c r="AS80" s="136"/>
      <c r="AT80" s="136"/>
      <c r="AV80" s="136"/>
      <c r="AW80" s="136"/>
      <c r="AX80" s="136"/>
    </row>
    <row r="81" spans="1:50" s="79" customFormat="1" ht="11.25">
      <c r="A81" s="96">
        <f t="shared" ca="1" si="3"/>
        <v>70</v>
      </c>
      <c r="B81" s="68" t="s">
        <v>158</v>
      </c>
      <c r="C81" s="97">
        <v>0.4</v>
      </c>
      <c r="D81" s="69" t="s">
        <v>66</v>
      </c>
      <c r="E81" s="137" t="s">
        <v>87</v>
      </c>
      <c r="F81" s="156">
        <v>1E-3</v>
      </c>
      <c r="G81" s="156">
        <v>1E-3</v>
      </c>
      <c r="H81" s="156">
        <v>1.8E-3</v>
      </c>
      <c r="I81" s="156">
        <v>2.8999999999999998E-3</v>
      </c>
      <c r="J81" s="156" t="s">
        <v>87</v>
      </c>
      <c r="K81" s="156">
        <v>4.3E-3</v>
      </c>
      <c r="L81" s="156">
        <v>5.4000000000000003E-3</v>
      </c>
      <c r="M81" s="156">
        <v>6.8999999999999999E-3</v>
      </c>
      <c r="N81" s="138" cm="1">
        <f t="array" aca="1" ref="N81:AE81" ca="1">IF(OR(B81="",NOT($J$2)),"",GetStripDefaultProbability(A81,B81,Parameter_Date,CDSRollDate,E81:M81,SpreadCurveMaturities,D81,C81,$J$4,$J$6))</f>
        <v>0</v>
      </c>
      <c r="O81" s="163">
        <f ca="1"/>
        <v>9.9720509892320397E-4</v>
      </c>
      <c r="P81" s="163">
        <f ca="1"/>
        <v>1.8325047216835033E-3</v>
      </c>
      <c r="Q81" s="163">
        <f ca="1"/>
        <v>6.3757850425724127E-3</v>
      </c>
      <c r="R81" s="163">
        <f ca="1"/>
        <v>1.5312227512584542E-2</v>
      </c>
      <c r="S81" s="163">
        <f ca="1"/>
        <v>0</v>
      </c>
      <c r="T81" s="163">
        <f ca="1"/>
        <v>3.7463023546731922E-2</v>
      </c>
      <c r="U81" s="163">
        <f ca="1"/>
        <v>6.5525224566029938E-2</v>
      </c>
      <c r="V81" s="139">
        <f ca="1"/>
        <v>0.11905796639560229</v>
      </c>
      <c r="W81" s="138">
        <f ca="1"/>
        <v>0</v>
      </c>
      <c r="X81" s="163">
        <f ca="1"/>
        <v>1.0968686047534426E-3</v>
      </c>
      <c r="Y81" s="163">
        <f ca="1"/>
        <v>1.9988521082260347E-3</v>
      </c>
      <c r="Z81" s="163">
        <f ca="1"/>
        <v>6.7255021180081531E-3</v>
      </c>
      <c r="AA81" s="163">
        <f ca="1"/>
        <v>1.6067500753909836E-2</v>
      </c>
      <c r="AB81" s="163">
        <f ca="1"/>
        <v>0</v>
      </c>
      <c r="AC81" s="163">
        <f ca="1"/>
        <v>3.9299519354575763E-2</v>
      </c>
      <c r="AD81" s="163">
        <f ca="1"/>
        <v>6.8706296505636977E-2</v>
      </c>
      <c r="AE81" s="139">
        <f ca="1"/>
        <v>0.12473457162555568</v>
      </c>
      <c r="AH81" s="136"/>
      <c r="AI81" s="136"/>
      <c r="AJ81" s="136"/>
      <c r="AK81" s="136"/>
      <c r="AM81" s="136"/>
      <c r="AN81" s="136"/>
      <c r="AO81" s="136"/>
      <c r="AQ81" s="136"/>
      <c r="AR81" s="136"/>
      <c r="AS81" s="136"/>
      <c r="AT81" s="136"/>
      <c r="AV81" s="136"/>
      <c r="AW81" s="136"/>
      <c r="AX81" s="136"/>
    </row>
    <row r="82" spans="1:50" s="79" customFormat="1" ht="11.25">
      <c r="A82" s="96">
        <f t="shared" ca="1" si="3"/>
        <v>71</v>
      </c>
      <c r="B82" s="68" t="s">
        <v>159</v>
      </c>
      <c r="C82" s="97">
        <v>0.4</v>
      </c>
      <c r="D82" s="69" t="s">
        <v>66</v>
      </c>
      <c r="E82" s="137" t="s">
        <v>87</v>
      </c>
      <c r="F82" s="156">
        <v>4.0000000000000002E-4</v>
      </c>
      <c r="G82" s="156">
        <v>8.9999999999999998E-4</v>
      </c>
      <c r="H82" s="156">
        <v>1.2999999999999999E-3</v>
      </c>
      <c r="I82" s="156">
        <v>1.8E-3</v>
      </c>
      <c r="J82" s="156" t="s">
        <v>87</v>
      </c>
      <c r="K82" s="156">
        <v>2.8E-3</v>
      </c>
      <c r="L82" s="156">
        <v>3.5000000000000001E-3</v>
      </c>
      <c r="M82" s="156">
        <v>4.3E-3</v>
      </c>
      <c r="N82" s="138" cm="1">
        <f t="array" aca="1" ref="N82:AE82" ca="1">IF(OR(B82="",NOT($J$2)),"",GetStripDefaultProbability(A82,B82,Parameter_Date,CDSRollDate,E82:M82,SpreadCurveMaturities,D82,C82,$J$4,$J$6))</f>
        <v>0</v>
      </c>
      <c r="O82" s="163">
        <f ca="1"/>
        <v>3.9900104827061966E-4</v>
      </c>
      <c r="P82" s="163">
        <f ca="1"/>
        <v>1.6622452761001494E-3</v>
      </c>
      <c r="Q82" s="163">
        <f ca="1"/>
        <v>4.6047712763783721E-3</v>
      </c>
      <c r="R82" s="163">
        <f ca="1"/>
        <v>9.4793757683272473E-3</v>
      </c>
      <c r="S82" s="163">
        <f ca="1"/>
        <v>0</v>
      </c>
      <c r="T82" s="163">
        <f ca="1"/>
        <v>2.4510141790321072E-2</v>
      </c>
      <c r="U82" s="163">
        <f ca="1"/>
        <v>4.2811379492754376E-2</v>
      </c>
      <c r="V82" s="139">
        <f ca="1"/>
        <v>7.5038998185703587E-2</v>
      </c>
      <c r="W82" s="138">
        <f ca="1"/>
        <v>0</v>
      </c>
      <c r="X82" s="163">
        <f ca="1"/>
        <v>4.9872606913303752E-4</v>
      </c>
      <c r="Y82" s="163">
        <f ca="1"/>
        <v>1.828621036846334E-3</v>
      </c>
      <c r="Z82" s="163">
        <f ca="1"/>
        <v>4.9550598112454436E-3</v>
      </c>
      <c r="AA82" s="163">
        <f ca="1"/>
        <v>9.9945731995818576E-3</v>
      </c>
      <c r="AB82" s="163">
        <f ca="1"/>
        <v>0</v>
      </c>
      <c r="AC82" s="163">
        <f ca="1"/>
        <v>2.5707291207821115E-2</v>
      </c>
      <c r="AD82" s="163">
        <f ca="1"/>
        <v>4.4898816241598416E-2</v>
      </c>
      <c r="AE82" s="139">
        <f ca="1"/>
        <v>7.8650687412632592E-2</v>
      </c>
      <c r="AH82" s="136"/>
      <c r="AI82" s="136"/>
      <c r="AJ82" s="136"/>
      <c r="AK82" s="136"/>
      <c r="AM82" s="136"/>
      <c r="AN82" s="136"/>
      <c r="AO82" s="136"/>
      <c r="AQ82" s="136"/>
      <c r="AR82" s="136"/>
      <c r="AS82" s="136"/>
      <c r="AT82" s="136"/>
      <c r="AV82" s="136"/>
      <c r="AW82" s="136"/>
      <c r="AX82" s="136"/>
    </row>
    <row r="83" spans="1:50" s="79" customFormat="1" ht="11.25">
      <c r="A83" s="96">
        <f t="shared" ca="1" si="3"/>
        <v>72</v>
      </c>
      <c r="B83" s="68" t="s">
        <v>160</v>
      </c>
      <c r="C83" s="97">
        <v>0.4</v>
      </c>
      <c r="D83" s="69" t="s">
        <v>66</v>
      </c>
      <c r="E83" s="137" t="s">
        <v>87</v>
      </c>
      <c r="F83" s="156">
        <v>5.9999999999999995E-4</v>
      </c>
      <c r="G83" s="156">
        <v>1.2999999999999999E-3</v>
      </c>
      <c r="H83" s="156">
        <v>1.9E-3</v>
      </c>
      <c r="I83" s="156">
        <v>2.5000000000000001E-3</v>
      </c>
      <c r="J83" s="156" t="s">
        <v>87</v>
      </c>
      <c r="K83" s="156">
        <v>4.0000000000000001E-3</v>
      </c>
      <c r="L83" s="156">
        <v>5.1000000000000004E-3</v>
      </c>
      <c r="M83" s="156">
        <v>6.1999999999999998E-3</v>
      </c>
      <c r="N83" s="138" cm="1">
        <f t="array" aca="1" ref="N83:AE83" ca="1">IF(OR(B83="",NOT($J$2)),"",GetStripDefaultProbability(A83,B83,Parameter_Date,CDSRollDate,E83:M83,SpreadCurveMaturities,D83,C83,$J$4,$J$6))</f>
        <v>0</v>
      </c>
      <c r="O83" s="163">
        <f ca="1"/>
        <v>5.9844205622783253E-4</v>
      </c>
      <c r="P83" s="163">
        <f ca="1"/>
        <v>2.3998282745746335E-3</v>
      </c>
      <c r="Q83" s="163">
        <f ca="1"/>
        <v>6.7251209656573607E-3</v>
      </c>
      <c r="R83" s="163">
        <f ca="1"/>
        <v>1.3127370905827163E-2</v>
      </c>
      <c r="S83" s="163">
        <f ca="1"/>
        <v>0</v>
      </c>
      <c r="T83" s="163">
        <f ca="1"/>
        <v>3.4906111932097916E-2</v>
      </c>
      <c r="U83" s="163">
        <f ca="1"/>
        <v>6.2074805564702351E-2</v>
      </c>
      <c r="V83" s="139">
        <f ca="1"/>
        <v>0.10682133891185508</v>
      </c>
      <c r="W83" s="138">
        <f ca="1"/>
        <v>0</v>
      </c>
      <c r="X83" s="163">
        <f ca="1"/>
        <v>6.9814675354706868E-4</v>
      </c>
      <c r="Y83" s="163">
        <f ca="1"/>
        <v>2.5660811150699514E-3</v>
      </c>
      <c r="Z83" s="163">
        <f ca="1"/>
        <v>7.0747244790576591E-3</v>
      </c>
      <c r="AA83" s="163">
        <f ca="1"/>
        <v>1.3775671825491442E-2</v>
      </c>
      <c r="AB83" s="163">
        <f ca="1"/>
        <v>0</v>
      </c>
      <c r="AC83" s="163">
        <f ca="1"/>
        <v>3.662003154211424E-2</v>
      </c>
      <c r="AD83" s="163">
        <f ca="1"/>
        <v>6.5094816573799452E-2</v>
      </c>
      <c r="AE83" s="139">
        <f ca="1"/>
        <v>0.11193423867019181</v>
      </c>
      <c r="AH83" s="136"/>
      <c r="AI83" s="136"/>
      <c r="AJ83" s="136"/>
      <c r="AK83" s="136"/>
      <c r="AM83" s="136"/>
      <c r="AN83" s="136"/>
      <c r="AO83" s="136"/>
      <c r="AQ83" s="136"/>
      <c r="AR83" s="136"/>
      <c r="AS83" s="136"/>
      <c r="AT83" s="136"/>
      <c r="AV83" s="136"/>
      <c r="AW83" s="136"/>
      <c r="AX83" s="136"/>
    </row>
    <row r="84" spans="1:50" s="79" customFormat="1" ht="11.25">
      <c r="A84" s="96">
        <f t="shared" ca="1" si="3"/>
        <v>73</v>
      </c>
      <c r="B84" s="68" t="s">
        <v>161</v>
      </c>
      <c r="C84" s="97">
        <v>0.4</v>
      </c>
      <c r="D84" s="69" t="s">
        <v>66</v>
      </c>
      <c r="E84" s="137" t="s">
        <v>87</v>
      </c>
      <c r="F84" s="156">
        <v>2.9999999999999997E-4</v>
      </c>
      <c r="G84" s="156">
        <v>8.9999999999999998E-4</v>
      </c>
      <c r="H84" s="156">
        <v>1.5E-3</v>
      </c>
      <c r="I84" s="156">
        <v>2.2000000000000001E-3</v>
      </c>
      <c r="J84" s="156" t="s">
        <v>87</v>
      </c>
      <c r="K84" s="156">
        <v>3.0999999999999999E-3</v>
      </c>
      <c r="L84" s="156">
        <v>4.0000000000000001E-3</v>
      </c>
      <c r="M84" s="156">
        <v>5.1000000000000004E-3</v>
      </c>
      <c r="N84" s="138" cm="1">
        <f t="array" aca="1" ref="N84:AE84" ca="1">IF(OR(B84="",NOT($J$2)),"",GetStripDefaultProbability(A84,B84,Parameter_Date,CDSRollDate,E84:M84,SpreadCurveMaturities,D84,C84,$J$4,$J$6))</f>
        <v>0</v>
      </c>
      <c r="O84" s="163">
        <f ca="1"/>
        <v>2.9926566746929506E-4</v>
      </c>
      <c r="P84" s="163">
        <f ca="1"/>
        <v>1.664813862855663E-3</v>
      </c>
      <c r="Q84" s="163">
        <f ca="1"/>
        <v>5.3249410582175694E-3</v>
      </c>
      <c r="R84" s="163">
        <f ca="1"/>
        <v>1.1610441956154238E-2</v>
      </c>
      <c r="S84" s="163">
        <f ca="1"/>
        <v>0</v>
      </c>
      <c r="T84" s="163">
        <f ca="1"/>
        <v>2.7028074197003038E-2</v>
      </c>
      <c r="U84" s="163">
        <f ca="1"/>
        <v>4.8868066549577427E-2</v>
      </c>
      <c r="V84" s="139">
        <f ca="1"/>
        <v>8.9035799714080932E-2</v>
      </c>
      <c r="W84" s="138">
        <f ca="1"/>
        <v>0</v>
      </c>
      <c r="X84" s="163">
        <f ca="1"/>
        <v>3.9900078367871572E-4</v>
      </c>
      <c r="Y84" s="163">
        <f ca="1"/>
        <v>1.831189195552585E-3</v>
      </c>
      <c r="Z84" s="163">
        <f ca="1"/>
        <v>5.675039899400991E-3</v>
      </c>
      <c r="AA84" s="163">
        <f ca="1"/>
        <v>1.2178763214583999E-2</v>
      </c>
      <c r="AB84" s="163">
        <f ca="1"/>
        <v>0</v>
      </c>
      <c r="AC84" s="163">
        <f ca="1"/>
        <v>2.8353579402733753E-2</v>
      </c>
      <c r="AD84" s="163">
        <f ca="1"/>
        <v>5.1252250543834865E-2</v>
      </c>
      <c r="AE84" s="139">
        <f ca="1"/>
        <v>9.3302958036747818E-2</v>
      </c>
      <c r="AH84" s="136"/>
      <c r="AI84" s="136"/>
      <c r="AJ84" s="136"/>
      <c r="AK84" s="136"/>
      <c r="AM84" s="136"/>
      <c r="AN84" s="136"/>
      <c r="AO84" s="136"/>
      <c r="AQ84" s="136"/>
      <c r="AR84" s="136"/>
      <c r="AS84" s="136"/>
      <c r="AT84" s="136"/>
      <c r="AV84" s="136"/>
      <c r="AW84" s="136"/>
      <c r="AX84" s="136"/>
    </row>
    <row r="85" spans="1:50" s="79" customFormat="1" ht="11.25">
      <c r="A85" s="96">
        <f t="shared" ca="1" si="3"/>
        <v>74</v>
      </c>
      <c r="B85" s="68" t="s">
        <v>162</v>
      </c>
      <c r="C85" s="97">
        <v>0.4</v>
      </c>
      <c r="D85" s="69" t="s">
        <v>66</v>
      </c>
      <c r="E85" s="137" t="s">
        <v>87</v>
      </c>
      <c r="F85" s="156">
        <v>1E-3</v>
      </c>
      <c r="G85" s="156">
        <v>1.1000000000000001E-3</v>
      </c>
      <c r="H85" s="156">
        <v>1.9E-3</v>
      </c>
      <c r="I85" s="156">
        <v>2.5000000000000001E-3</v>
      </c>
      <c r="J85" s="156" t="s">
        <v>87</v>
      </c>
      <c r="K85" s="156">
        <v>4.0000000000000001E-3</v>
      </c>
      <c r="L85" s="156">
        <v>5.0000000000000001E-3</v>
      </c>
      <c r="M85" s="156">
        <v>5.5999999999999999E-3</v>
      </c>
      <c r="N85" s="138" cm="1">
        <f t="array" aca="1" ref="N85:AE85" ca="1">IF(OR(B85="",NOT($J$2)),"",GetStripDefaultProbability(A85,B85,Parameter_Date,CDSRollDate,E85:M85,SpreadCurveMaturities,D85,C85,$J$4,$J$6))</f>
        <v>0</v>
      </c>
      <c r="O85" s="163">
        <f ca="1"/>
        <v>9.9720509892320397E-4</v>
      </c>
      <c r="P85" s="163">
        <f ca="1"/>
        <v>2.0181557818189644E-3</v>
      </c>
      <c r="Q85" s="163">
        <f ca="1"/>
        <v>6.7276466177247363E-3</v>
      </c>
      <c r="R85" s="163">
        <f ca="1"/>
        <v>1.3129936412305754E-2</v>
      </c>
      <c r="S85" s="163">
        <f ca="1"/>
        <v>0</v>
      </c>
      <c r="T85" s="163">
        <f ca="1"/>
        <v>3.4908806291709116E-2</v>
      </c>
      <c r="U85" s="163">
        <f ca="1"/>
        <v>6.0780096977258502E-2</v>
      </c>
      <c r="V85" s="139">
        <f ca="1"/>
        <v>9.5623413222732379E-2</v>
      </c>
      <c r="W85" s="138">
        <f ca="1"/>
        <v>0</v>
      </c>
      <c r="X85" s="163">
        <f ca="1"/>
        <v>1.0968686047534426E-3</v>
      </c>
      <c r="Y85" s="163">
        <f ca="1"/>
        <v>2.1844722290910168E-3</v>
      </c>
      <c r="Z85" s="163">
        <f ca="1"/>
        <v>7.0772455750419683E-3</v>
      </c>
      <c r="AA85" s="163">
        <f ca="1"/>
        <v>1.3778248523571346E-2</v>
      </c>
      <c r="AB85" s="163">
        <f ca="1"/>
        <v>0</v>
      </c>
      <c r="AC85" s="163">
        <f ca="1"/>
        <v>3.6622743131888291E-2</v>
      </c>
      <c r="AD85" s="163">
        <f ca="1"/>
        <v>6.3737998893295233E-2</v>
      </c>
      <c r="AE85" s="139">
        <f ca="1"/>
        <v>0.10018959536721528</v>
      </c>
      <c r="AH85" s="136"/>
      <c r="AI85" s="136"/>
      <c r="AJ85" s="136"/>
      <c r="AK85" s="136"/>
      <c r="AM85" s="136"/>
      <c r="AN85" s="136"/>
      <c r="AO85" s="136"/>
      <c r="AQ85" s="136"/>
      <c r="AR85" s="136"/>
      <c r="AS85" s="136"/>
      <c r="AT85" s="136"/>
      <c r="AV85" s="136"/>
      <c r="AW85" s="136"/>
      <c r="AX85" s="136"/>
    </row>
    <row r="86" spans="1:50" s="79" customFormat="1" ht="11.25">
      <c r="A86" s="96">
        <f t="shared" ca="1" si="3"/>
        <v>75</v>
      </c>
      <c r="B86" s="68" t="s">
        <v>163</v>
      </c>
      <c r="C86" s="97">
        <v>0.4</v>
      </c>
      <c r="D86" s="69" t="s">
        <v>66</v>
      </c>
      <c r="E86" s="137" t="s">
        <v>87</v>
      </c>
      <c r="F86" s="156">
        <v>1.7600000000000001E-3</v>
      </c>
      <c r="G86" s="156">
        <v>2.0899999999999998E-3</v>
      </c>
      <c r="H86" s="156">
        <v>2.7299999999999998E-3</v>
      </c>
      <c r="I86" s="156">
        <v>3.0999999999999999E-3</v>
      </c>
      <c r="J86" s="156" t="s">
        <v>87</v>
      </c>
      <c r="K86" s="156">
        <v>3.7000000000000002E-3</v>
      </c>
      <c r="L86" s="156">
        <v>4.0499999999999998E-3</v>
      </c>
      <c r="M86" s="156">
        <v>4.4000000000000003E-3</v>
      </c>
      <c r="N86" s="138" cm="1">
        <f t="array" aca="1" ref="N86:AE86" ca="1">IF(OR(B86="",NOT($J$2)),"",GetStripDefaultProbability(A86,B86,Parameter_Date,CDSRollDate,E86:M86,SpreadCurveMaturities,D86,C86,$J$4,$J$6))</f>
        <v>0</v>
      </c>
      <c r="O86" s="163">
        <f ca="1"/>
        <v>1.7544181470888764E-3</v>
      </c>
      <c r="P86" s="163">
        <f ca="1"/>
        <v>3.834933789090389E-3</v>
      </c>
      <c r="Q86" s="163">
        <f ca="1"/>
        <v>9.6125292407317486E-3</v>
      </c>
      <c r="R86" s="163">
        <f ca="1"/>
        <v>1.6132737668719588E-2</v>
      </c>
      <c r="S86" s="163">
        <f ca="1"/>
        <v>0</v>
      </c>
      <c r="T86" s="163">
        <f ca="1"/>
        <v>3.1729493672209008E-2</v>
      </c>
      <c r="U86" s="163">
        <f ca="1"/>
        <v>4.8240309450668928E-2</v>
      </c>
      <c r="V86" s="139">
        <f ca="1"/>
        <v>7.4216365641243898E-2</v>
      </c>
      <c r="W86" s="138">
        <f ca="1"/>
        <v>0</v>
      </c>
      <c r="X86" s="163">
        <f ca="1"/>
        <v>1.8540012946367534E-3</v>
      </c>
      <c r="Y86" s="163">
        <f ca="1"/>
        <v>4.0259973406624461E-3</v>
      </c>
      <c r="Z86" s="163">
        <f ca="1"/>
        <v>1.0090613118293179E-2</v>
      </c>
      <c r="AA86" s="163">
        <f ca="1"/>
        <v>1.693300188000757E-2</v>
      </c>
      <c r="AB86" s="163">
        <f ca="1"/>
        <v>0</v>
      </c>
      <c r="AC86" s="163">
        <f ca="1"/>
        <v>3.3290933647283083E-2</v>
      </c>
      <c r="AD86" s="163">
        <f ca="1"/>
        <v>5.0596689660661665E-2</v>
      </c>
      <c r="AE86" s="139">
        <f ca="1"/>
        <v>7.7789582198720786E-2</v>
      </c>
      <c r="AH86" s="136"/>
      <c r="AI86" s="136"/>
      <c r="AJ86" s="136"/>
      <c r="AK86" s="136"/>
      <c r="AM86" s="136"/>
      <c r="AN86" s="136"/>
      <c r="AO86" s="136"/>
      <c r="AQ86" s="136"/>
      <c r="AR86" s="136"/>
      <c r="AS86" s="136"/>
      <c r="AT86" s="136"/>
      <c r="AV86" s="136"/>
      <c r="AW86" s="136"/>
      <c r="AX86" s="136"/>
    </row>
    <row r="87" spans="1:50" s="79" customFormat="1" ht="11.25">
      <c r="A87" s="96">
        <f t="shared" ca="1" si="3"/>
        <v>76</v>
      </c>
      <c r="B87" s="68" t="s">
        <v>164</v>
      </c>
      <c r="C87" s="97">
        <v>0.4</v>
      </c>
      <c r="D87" s="69" t="s">
        <v>66</v>
      </c>
      <c r="E87" s="137" t="s">
        <v>87</v>
      </c>
      <c r="F87" s="156">
        <v>1.16E-3</v>
      </c>
      <c r="G87" s="156">
        <v>1.5100000000000001E-3</v>
      </c>
      <c r="H87" s="156">
        <v>2.0300000000000001E-3</v>
      </c>
      <c r="I87" s="156">
        <v>2.3800000000000002E-3</v>
      </c>
      <c r="J87" s="156" t="s">
        <v>87</v>
      </c>
      <c r="K87" s="156">
        <v>2.8999999999999998E-3</v>
      </c>
      <c r="L87" s="156">
        <v>3.29E-3</v>
      </c>
      <c r="M87" s="156">
        <v>3.7000000000000002E-3</v>
      </c>
      <c r="N87" s="138" cm="1">
        <f t="array" aca="1" ref="N87:AE87" ca="1">IF(OR(B87="",NOT($J$2)),"",GetStripDefaultProbability(A87,B87,Parameter_Date,CDSRollDate,E87:M87,SpreadCurveMaturities,D87,C87,$J$4,$J$6))</f>
        <v>0</v>
      </c>
      <c r="O87" s="163">
        <f ca="1"/>
        <v>1.1566659161087456E-3</v>
      </c>
      <c r="P87" s="163">
        <f ca="1"/>
        <v>2.7749665301843862E-3</v>
      </c>
      <c r="Q87" s="163">
        <f ca="1"/>
        <v>7.1621777534933706E-3</v>
      </c>
      <c r="R87" s="163">
        <f ca="1"/>
        <v>1.2428420630166803E-2</v>
      </c>
      <c r="S87" s="163">
        <f ca="1"/>
        <v>0</v>
      </c>
      <c r="T87" s="163">
        <f ca="1"/>
        <v>2.4995047200320641E-2</v>
      </c>
      <c r="U87" s="163">
        <f ca="1"/>
        <v>3.9548148048974885E-2</v>
      </c>
      <c r="V87" s="139">
        <f ca="1"/>
        <v>6.3299816388799779E-2</v>
      </c>
      <c r="W87" s="138">
        <f ca="1"/>
        <v>0</v>
      </c>
      <c r="X87" s="163">
        <f ca="1"/>
        <v>1.2563127367071214E-3</v>
      </c>
      <c r="Y87" s="163">
        <f ca="1"/>
        <v>2.9411568528509013E-3</v>
      </c>
      <c r="Z87" s="163">
        <f ca="1"/>
        <v>7.5169382878370605E-3</v>
      </c>
      <c r="AA87" s="163">
        <f ca="1"/>
        <v>1.3044191262493121E-2</v>
      </c>
      <c r="AB87" s="163">
        <f ca="1"/>
        <v>0</v>
      </c>
      <c r="AC87" s="163">
        <f ca="1"/>
        <v>2.6227595193499154E-2</v>
      </c>
      <c r="AD87" s="163">
        <f ca="1"/>
        <v>4.1487399679893899E-2</v>
      </c>
      <c r="AE87" s="139">
        <f ca="1"/>
        <v>6.6366340513696387E-2</v>
      </c>
      <c r="AH87" s="136"/>
      <c r="AI87" s="136"/>
      <c r="AJ87" s="136"/>
      <c r="AK87" s="136"/>
      <c r="AM87" s="136"/>
      <c r="AN87" s="136"/>
      <c r="AO87" s="136"/>
      <c r="AQ87" s="136"/>
      <c r="AR87" s="136"/>
      <c r="AS87" s="136"/>
      <c r="AT87" s="136"/>
      <c r="AV87" s="136"/>
      <c r="AW87" s="136"/>
      <c r="AX87" s="136"/>
    </row>
    <row r="88" spans="1:50" s="79" customFormat="1" ht="11.25">
      <c r="A88" s="96">
        <f t="shared" ca="1" si="3"/>
        <v>77</v>
      </c>
      <c r="B88" s="68" t="s">
        <v>165</v>
      </c>
      <c r="C88" s="97">
        <v>0.4</v>
      </c>
      <c r="D88" s="69" t="s">
        <v>66</v>
      </c>
      <c r="E88" s="137" t="s">
        <v>87</v>
      </c>
      <c r="F88" s="156">
        <v>6.9999999999999999E-4</v>
      </c>
      <c r="G88" s="156">
        <v>1E-3</v>
      </c>
      <c r="H88" s="156">
        <v>1.6000000000000001E-3</v>
      </c>
      <c r="I88" s="156">
        <v>2.0999999999999999E-3</v>
      </c>
      <c r="J88" s="156" t="s">
        <v>87</v>
      </c>
      <c r="K88" s="156">
        <v>3.3E-3</v>
      </c>
      <c r="L88" s="156">
        <v>4.0000000000000001E-3</v>
      </c>
      <c r="M88" s="156">
        <v>4.7999999999999996E-3</v>
      </c>
      <c r="N88" s="138" cm="1">
        <f t="array" aca="1" ref="N88:AE88" ca="1">IF(OR(B88="",NOT($J$2)),"",GetStripDefaultProbability(A88,B88,Parameter_Date,CDSRollDate,E88:M88,SpreadCurveMaturities,D88,C88,$J$4,$J$6))</f>
        <v>0</v>
      </c>
      <c r="O88" s="163">
        <f ca="1"/>
        <v>6.98147686336692E-4</v>
      </c>
      <c r="P88" s="163">
        <f ca="1"/>
        <v>1.8402347754473691E-3</v>
      </c>
      <c r="Q88" s="163">
        <f ca="1"/>
        <v>5.6666259377905481E-3</v>
      </c>
      <c r="R88" s="163">
        <f ca="1"/>
        <v>1.103585842482957E-2</v>
      </c>
      <c r="S88" s="163">
        <f ca="1"/>
        <v>0</v>
      </c>
      <c r="T88" s="163">
        <f ca="1"/>
        <v>2.883736785630453E-2</v>
      </c>
      <c r="U88" s="163">
        <f ca="1"/>
        <v>4.8681584581681037E-2</v>
      </c>
      <c r="V88" s="139">
        <f ca="1"/>
        <v>8.3085775238884052E-2</v>
      </c>
      <c r="W88" s="138">
        <f ca="1"/>
        <v>0</v>
      </c>
      <c r="X88" s="163">
        <f ca="1"/>
        <v>7.9784215457201491E-4</v>
      </c>
      <c r="Y88" s="163">
        <f ca="1"/>
        <v>2.0065808737579349E-3</v>
      </c>
      <c r="Z88" s="163">
        <f ca="1"/>
        <v>6.0165727842366179E-3</v>
      </c>
      <c r="AA88" s="163">
        <f ca="1"/>
        <v>1.157728597637353E-2</v>
      </c>
      <c r="AB88" s="163">
        <f ca="1"/>
        <v>0</v>
      </c>
      <c r="AC88" s="163">
        <f ca="1"/>
        <v>3.0252922461683984E-2</v>
      </c>
      <c r="AD88" s="163">
        <f ca="1"/>
        <v>5.1058032585925894E-2</v>
      </c>
      <c r="AE88" s="139">
        <f ca="1"/>
        <v>8.7076063794787828E-2</v>
      </c>
      <c r="AH88" s="136"/>
      <c r="AI88" s="136"/>
      <c r="AJ88" s="136"/>
      <c r="AK88" s="136"/>
      <c r="AM88" s="136"/>
      <c r="AN88" s="136"/>
      <c r="AO88" s="136"/>
      <c r="AQ88" s="136"/>
      <c r="AR88" s="136"/>
      <c r="AS88" s="136"/>
      <c r="AT88" s="136"/>
      <c r="AV88" s="136"/>
      <c r="AW88" s="136"/>
      <c r="AX88" s="136"/>
    </row>
    <row r="89" spans="1:50" s="79" customFormat="1" ht="11.25">
      <c r="A89" s="96">
        <f t="shared" ca="1" si="3"/>
        <v>78</v>
      </c>
      <c r="B89" s="68" t="s">
        <v>166</v>
      </c>
      <c r="C89" s="97">
        <v>0.4</v>
      </c>
      <c r="D89" s="69" t="s">
        <v>66</v>
      </c>
      <c r="E89" s="137" t="s">
        <v>87</v>
      </c>
      <c r="F89" s="156">
        <v>1.6999999999999999E-3</v>
      </c>
      <c r="G89" s="156">
        <v>1.8E-3</v>
      </c>
      <c r="H89" s="156">
        <v>2.7000000000000001E-3</v>
      </c>
      <c r="I89" s="156">
        <v>3.8999999999999998E-3</v>
      </c>
      <c r="J89" s="156" t="s">
        <v>87</v>
      </c>
      <c r="K89" s="156">
        <v>6.0000000000000001E-3</v>
      </c>
      <c r="L89" s="156">
        <v>7.1999999999999998E-3</v>
      </c>
      <c r="M89" s="156">
        <v>8.6999999999999994E-3</v>
      </c>
      <c r="N89" s="138" cm="1">
        <f t="array" aca="1" ref="N89:AE89" ca="1">IF(OR(B89="",NOT($J$2)),"",GetStripDefaultProbability(A89,B89,Parameter_Date,CDSRollDate,E89:M89,SpreadCurveMaturities,D89,C89,$J$4,$J$6))</f>
        <v>0</v>
      </c>
      <c r="O89" s="163">
        <f ca="1"/>
        <v>1.6946589644637466E-3</v>
      </c>
      <c r="P89" s="163">
        <f ca="1"/>
        <v>3.2987380025293334E-3</v>
      </c>
      <c r="Q89" s="163">
        <f ca="1"/>
        <v>9.5264462011612761E-3</v>
      </c>
      <c r="R89" s="163">
        <f ca="1"/>
        <v>2.0464182398774344E-2</v>
      </c>
      <c r="S89" s="163">
        <f ca="1"/>
        <v>0</v>
      </c>
      <c r="T89" s="163">
        <f ca="1"/>
        <v>5.199234299318467E-2</v>
      </c>
      <c r="U89" s="163">
        <f ca="1"/>
        <v>8.6285293541269459E-2</v>
      </c>
      <c r="V89" s="139">
        <f ca="1"/>
        <v>0.14679672794293142</v>
      </c>
      <c r="W89" s="138">
        <f ca="1"/>
        <v>0</v>
      </c>
      <c r="X89" s="163">
        <f ca="1"/>
        <v>1.7942485595207058E-3</v>
      </c>
      <c r="Y89" s="163">
        <f ca="1"/>
        <v>3.4648410372206673E-3</v>
      </c>
      <c r="Z89" s="163">
        <f ca="1"/>
        <v>1.0000188622175998E-2</v>
      </c>
      <c r="AA89" s="163">
        <f ca="1"/>
        <v>2.1478405615655394E-2</v>
      </c>
      <c r="AB89" s="163">
        <f ca="1"/>
        <v>0</v>
      </c>
      <c r="AC89" s="163">
        <f ca="1"/>
        <v>5.4531308433891978E-2</v>
      </c>
      <c r="AD89" s="163">
        <f ca="1"/>
        <v>9.0440365808758805E-2</v>
      </c>
      <c r="AE89" s="139">
        <f ca="1"/>
        <v>0.15369907996384224</v>
      </c>
      <c r="AH89" s="136"/>
      <c r="AI89" s="136"/>
      <c r="AJ89" s="136"/>
      <c r="AK89" s="136"/>
      <c r="AM89" s="136"/>
      <c r="AN89" s="136"/>
      <c r="AO89" s="136"/>
      <c r="AQ89" s="136"/>
      <c r="AR89" s="136"/>
      <c r="AS89" s="136"/>
      <c r="AT89" s="136"/>
      <c r="AV89" s="136"/>
      <c r="AW89" s="136"/>
      <c r="AX89" s="136"/>
    </row>
    <row r="90" spans="1:50" s="79" customFormat="1" ht="11.25">
      <c r="A90" s="96">
        <f t="shared" ca="1" si="3"/>
        <v>79</v>
      </c>
      <c r="B90" s="68" t="s">
        <v>167</v>
      </c>
      <c r="C90" s="97">
        <v>0.4</v>
      </c>
      <c r="D90" s="69" t="s">
        <v>66</v>
      </c>
      <c r="E90" s="137" t="s">
        <v>87</v>
      </c>
      <c r="F90" s="156">
        <v>4.0000000000000002E-4</v>
      </c>
      <c r="G90" s="156">
        <v>6.9999999999999999E-4</v>
      </c>
      <c r="H90" s="156">
        <v>1.5E-3</v>
      </c>
      <c r="I90" s="156">
        <v>2.2000000000000001E-3</v>
      </c>
      <c r="J90" s="156" t="s">
        <v>87</v>
      </c>
      <c r="K90" s="156">
        <v>3.3999999999999998E-3</v>
      </c>
      <c r="L90" s="156">
        <v>4.1999999999999997E-3</v>
      </c>
      <c r="M90" s="156">
        <v>5.4999999999999997E-3</v>
      </c>
      <c r="N90" s="138" cm="1">
        <f t="array" aca="1" ref="N90:AE90" ca="1">IF(OR(B90="",NOT($J$2)),"",GetStripDefaultProbability(A90,B90,Parameter_Date,CDSRollDate,E90:M90,SpreadCurveMaturities,D90,C90,$J$4,$J$6))</f>
        <v>0</v>
      </c>
      <c r="O90" s="163">
        <f ca="1"/>
        <v>3.9900104827061966E-4</v>
      </c>
      <c r="P90" s="163">
        <f ca="1"/>
        <v>1.2907558445212075E-3</v>
      </c>
      <c r="Q90" s="163">
        <f ca="1"/>
        <v>5.3352804036103096E-3</v>
      </c>
      <c r="R90" s="163">
        <f ca="1"/>
        <v>1.1621005063179535E-2</v>
      </c>
      <c r="S90" s="163">
        <f ca="1"/>
        <v>0</v>
      </c>
      <c r="T90" s="163">
        <f ca="1"/>
        <v>2.9744942852801048E-2</v>
      </c>
      <c r="U90" s="163">
        <f ca="1"/>
        <v>5.1200170527430089E-2</v>
      </c>
      <c r="V90" s="139">
        <f ca="1"/>
        <v>9.6018270298576902E-2</v>
      </c>
      <c r="W90" s="138">
        <f ca="1"/>
        <v>0</v>
      </c>
      <c r="X90" s="163">
        <f ca="1"/>
        <v>4.9872606913303752E-4</v>
      </c>
      <c r="Y90" s="163">
        <f ca="1"/>
        <v>1.4571935150202719E-3</v>
      </c>
      <c r="Z90" s="163">
        <f ca="1"/>
        <v>5.6854031142832273E-3</v>
      </c>
      <c r="AA90" s="163">
        <f ca="1"/>
        <v>1.2189363412463572E-2</v>
      </c>
      <c r="AB90" s="163">
        <f ca="1"/>
        <v>0</v>
      </c>
      <c r="AC90" s="163">
        <f ca="1"/>
        <v>3.1202688704106918E-2</v>
      </c>
      <c r="AD90" s="163">
        <f ca="1"/>
        <v>5.3695596971216952E-2</v>
      </c>
      <c r="AE90" s="139">
        <f ca="1"/>
        <v>0.10063656748233751</v>
      </c>
      <c r="AH90" s="136"/>
      <c r="AI90" s="136"/>
      <c r="AJ90" s="136"/>
      <c r="AK90" s="136"/>
      <c r="AM90" s="136"/>
      <c r="AN90" s="136"/>
      <c r="AO90" s="136"/>
      <c r="AQ90" s="136"/>
      <c r="AR90" s="136"/>
      <c r="AS90" s="136"/>
      <c r="AT90" s="136"/>
      <c r="AV90" s="136"/>
      <c r="AW90" s="136"/>
      <c r="AX90" s="136"/>
    </row>
    <row r="91" spans="1:50" s="79" customFormat="1" ht="11.25">
      <c r="A91" s="96">
        <f t="shared" ca="1" si="3"/>
        <v>80</v>
      </c>
      <c r="B91" s="68" t="s">
        <v>168</v>
      </c>
      <c r="C91" s="97">
        <v>0.4</v>
      </c>
      <c r="D91" s="69" t="s">
        <v>66</v>
      </c>
      <c r="E91" s="137" t="s">
        <v>87</v>
      </c>
      <c r="F91" s="156">
        <v>1.1000000000000001E-3</v>
      </c>
      <c r="G91" s="156">
        <v>1.1000000000000001E-3</v>
      </c>
      <c r="H91" s="156">
        <v>1.6000000000000001E-3</v>
      </c>
      <c r="I91" s="156">
        <v>2.3E-3</v>
      </c>
      <c r="J91" s="156" t="s">
        <v>87</v>
      </c>
      <c r="K91" s="156">
        <v>3.7000000000000002E-3</v>
      </c>
      <c r="L91" s="156">
        <v>4.3E-3</v>
      </c>
      <c r="M91" s="156">
        <v>5.4000000000000003E-3</v>
      </c>
      <c r="N91" s="138" cm="1">
        <f t="array" aca="1" ref="N91:AE91" ca="1">IF(OR(B91="",NOT($J$2)),"",GetStripDefaultProbability(A91,B91,Parameter_Date,CDSRollDate,E91:M91,SpreadCurveMaturities,D91,C91,$J$4,$J$6))</f>
        <v>0</v>
      </c>
      <c r="O91" s="163">
        <f ca="1"/>
        <v>1.0968710821319672E-3</v>
      </c>
      <c r="P91" s="163">
        <f ca="1"/>
        <v>2.0155703746645992E-3</v>
      </c>
      <c r="Q91" s="163">
        <f ca="1"/>
        <v>5.6496222263411333E-3</v>
      </c>
      <c r="R91" s="163">
        <f ca="1"/>
        <v>1.2098893131934574E-2</v>
      </c>
      <c r="S91" s="163">
        <f ca="1"/>
        <v>0</v>
      </c>
      <c r="T91" s="163">
        <f ca="1"/>
        <v>3.2342573699211896E-2</v>
      </c>
      <c r="U91" s="163">
        <f ca="1"/>
        <v>5.2107701232546488E-2</v>
      </c>
      <c r="V91" s="139">
        <f ca="1"/>
        <v>9.3520722221657304E-2</v>
      </c>
      <c r="W91" s="138">
        <f ca="1"/>
        <v>0</v>
      </c>
      <c r="X91" s="163">
        <f ca="1"/>
        <v>1.1965241739009258E-3</v>
      </c>
      <c r="Y91" s="163">
        <f ca="1"/>
        <v>2.1818872528038824E-3</v>
      </c>
      <c r="Z91" s="163">
        <f ca="1"/>
        <v>5.9995176065202882E-3</v>
      </c>
      <c r="AA91" s="163">
        <f ca="1"/>
        <v>1.2693827020830106E-2</v>
      </c>
      <c r="AB91" s="163">
        <f ca="1"/>
        <v>0</v>
      </c>
      <c r="AC91" s="163">
        <f ca="1"/>
        <v>3.3929675615419375E-2</v>
      </c>
      <c r="AD91" s="163">
        <f ca="1"/>
        <v>5.4648376171250956E-2</v>
      </c>
      <c r="AE91" s="139">
        <f ca="1"/>
        <v>9.8018502022361176E-2</v>
      </c>
      <c r="AH91" s="136"/>
      <c r="AI91" s="136"/>
      <c r="AJ91" s="136"/>
      <c r="AK91" s="136"/>
      <c r="AM91" s="136"/>
      <c r="AN91" s="136"/>
      <c r="AO91" s="136"/>
      <c r="AQ91" s="136"/>
      <c r="AR91" s="136"/>
      <c r="AS91" s="136"/>
      <c r="AT91" s="136"/>
      <c r="AV91" s="136"/>
      <c r="AW91" s="136"/>
      <c r="AX91" s="136"/>
    </row>
    <row r="92" spans="1:50" s="79" customFormat="1" ht="11.25">
      <c r="A92" s="96">
        <f t="shared" ca="1" si="3"/>
        <v>81</v>
      </c>
      <c r="B92" s="68" t="s">
        <v>169</v>
      </c>
      <c r="C92" s="97">
        <v>0.4</v>
      </c>
      <c r="D92" s="69" t="s">
        <v>66</v>
      </c>
      <c r="E92" s="137" t="s">
        <v>87</v>
      </c>
      <c r="F92" s="156">
        <v>5.9999999999999995E-4</v>
      </c>
      <c r="G92" s="156">
        <v>6.9999999999999999E-4</v>
      </c>
      <c r="H92" s="156">
        <v>1.1999999999999999E-3</v>
      </c>
      <c r="I92" s="156">
        <v>1.6999999999999999E-3</v>
      </c>
      <c r="J92" s="156" t="s">
        <v>87</v>
      </c>
      <c r="K92" s="156">
        <v>2.7000000000000001E-3</v>
      </c>
      <c r="L92" s="156">
        <v>3.5000000000000001E-3</v>
      </c>
      <c r="M92" s="156">
        <v>4.5999999999999999E-3</v>
      </c>
      <c r="N92" s="138" cm="1">
        <f t="array" aca="1" ref="N92:AE92" ca="1">IF(OR(B92="",NOT($J$2)),"",GetStripDefaultProbability(A92,B92,Parameter_Date,CDSRollDate,E92:M92,SpreadCurveMaturities,D92,C92,$J$4,$J$6))</f>
        <v>0</v>
      </c>
      <c r="O92" s="163">
        <f ca="1"/>
        <v>5.9844205622783253E-4</v>
      </c>
      <c r="P92" s="163">
        <f ca="1"/>
        <v>1.2856558950586905E-3</v>
      </c>
      <c r="Q92" s="163">
        <f ca="1"/>
        <v>4.2535409362317589E-3</v>
      </c>
      <c r="R92" s="163">
        <f ca="1"/>
        <v>8.9630217299676573E-3</v>
      </c>
      <c r="S92" s="163">
        <f ca="1"/>
        <v>0</v>
      </c>
      <c r="T92" s="163">
        <f ca="1"/>
        <v>2.3670834171097277E-2</v>
      </c>
      <c r="U92" s="163">
        <f ca="1"/>
        <v>4.2971582462263958E-2</v>
      </c>
      <c r="V92" s="139">
        <f ca="1"/>
        <v>8.0991518455731049E-2</v>
      </c>
      <c r="W92" s="138">
        <f ca="1"/>
        <v>0</v>
      </c>
      <c r="X92" s="163">
        <f ca="1"/>
        <v>6.9814675354706868E-4</v>
      </c>
      <c r="Y92" s="163">
        <f ca="1"/>
        <v>1.4520944154741144E-3</v>
      </c>
      <c r="Z92" s="163">
        <f ca="1"/>
        <v>4.6039455378485972E-3</v>
      </c>
      <c r="AA92" s="163">
        <f ca="1"/>
        <v>9.4784868165682656E-3</v>
      </c>
      <c r="AB92" s="163">
        <f ca="1"/>
        <v>0</v>
      </c>
      <c r="AC92" s="163">
        <f ca="1"/>
        <v>2.482380786822147E-2</v>
      </c>
      <c r="AD92" s="163">
        <f ca="1"/>
        <v>4.5064175078361024E-2</v>
      </c>
      <c r="AE92" s="139">
        <f ca="1"/>
        <v>8.4880303897051146E-2</v>
      </c>
      <c r="AH92" s="136"/>
      <c r="AI92" s="136"/>
      <c r="AJ92" s="136"/>
      <c r="AK92" s="136"/>
      <c r="AM92" s="136"/>
      <c r="AN92" s="136"/>
      <c r="AO92" s="136"/>
      <c r="AQ92" s="136"/>
      <c r="AR92" s="136"/>
      <c r="AS92" s="136"/>
      <c r="AT92" s="136"/>
      <c r="AV92" s="136"/>
      <c r="AW92" s="136"/>
      <c r="AX92" s="136"/>
    </row>
    <row r="93" spans="1:50" s="79" customFormat="1" ht="11.25">
      <c r="A93" s="96">
        <f t="shared" ca="1" si="3"/>
        <v>82</v>
      </c>
      <c r="B93" s="68" t="s">
        <v>170</v>
      </c>
      <c r="C93" s="97">
        <v>0.4</v>
      </c>
      <c r="D93" s="69" t="s">
        <v>66</v>
      </c>
      <c r="E93" s="137" t="s">
        <v>87</v>
      </c>
      <c r="F93" s="156">
        <v>8.9999999999999998E-4</v>
      </c>
      <c r="G93" s="156">
        <v>2.3999999999999998E-3</v>
      </c>
      <c r="H93" s="156">
        <v>3.5000000000000001E-3</v>
      </c>
      <c r="I93" s="156">
        <v>4.4999999999999997E-3</v>
      </c>
      <c r="J93" s="156" t="s">
        <v>87</v>
      </c>
      <c r="K93" s="156">
        <v>6.7999999999999996E-3</v>
      </c>
      <c r="L93" s="156">
        <v>8.2000000000000007E-3</v>
      </c>
      <c r="M93" s="156">
        <v>9.9000000000000008E-3</v>
      </c>
      <c r="N93" s="138" cm="1">
        <f t="array" aca="1" ref="N93:AE93" ca="1">IF(OR(B93="",NOT($J$2)),"",GetStripDefaultProbability(A93,B93,Parameter_Date,CDSRollDate,E93:M93,SpreadCurveMaturities,D93,C93,$J$4,$J$6))</f>
        <v>0</v>
      </c>
      <c r="O93" s="163">
        <f ca="1"/>
        <v>8.9752920618468846E-4</v>
      </c>
      <c r="P93" s="163">
        <f ca="1"/>
        <v>4.4329137192425927E-3</v>
      </c>
      <c r="Q93" s="163">
        <f ca="1"/>
        <v>1.2366692623117181E-2</v>
      </c>
      <c r="R93" s="163">
        <f ca="1"/>
        <v>2.3522538232092716E-2</v>
      </c>
      <c r="S93" s="163">
        <f ca="1"/>
        <v>0</v>
      </c>
      <c r="T93" s="163">
        <f ca="1"/>
        <v>5.8663598767768721E-2</v>
      </c>
      <c r="U93" s="163">
        <f ca="1"/>
        <v>9.7758605609783444E-2</v>
      </c>
      <c r="V93" s="139">
        <f ca="1"/>
        <v>0.16563969560524383</v>
      </c>
      <c r="W93" s="138">
        <f ca="1"/>
        <v>0</v>
      </c>
      <c r="X93" s="163">
        <f ca="1"/>
        <v>9.9720307914286099E-4</v>
      </c>
      <c r="Y93" s="163">
        <f ca="1"/>
        <v>4.6527026239576719E-3</v>
      </c>
      <c r="Z93" s="163">
        <f ca="1"/>
        <v>1.2980134592436965E-2</v>
      </c>
      <c r="AA93" s="163">
        <f ca="1"/>
        <v>2.4685465296604203E-2</v>
      </c>
      <c r="AB93" s="163">
        <f ca="1"/>
        <v>0</v>
      </c>
      <c r="AC93" s="163">
        <f ca="1"/>
        <v>6.1517006596882418E-2</v>
      </c>
      <c r="AD93" s="163">
        <f ca="1"/>
        <v>0.10243878242706228</v>
      </c>
      <c r="AE93" s="139">
        <f ca="1"/>
        <v>0.17335908041899417</v>
      </c>
      <c r="AH93" s="136"/>
      <c r="AI93" s="136"/>
      <c r="AJ93" s="136"/>
      <c r="AK93" s="136"/>
      <c r="AM93" s="136"/>
      <c r="AN93" s="136"/>
      <c r="AO93" s="136"/>
      <c r="AQ93" s="136"/>
      <c r="AR93" s="136"/>
      <c r="AS93" s="136"/>
      <c r="AT93" s="136"/>
      <c r="AV93" s="136"/>
      <c r="AW93" s="136"/>
      <c r="AX93" s="136"/>
    </row>
    <row r="94" spans="1:50" s="79" customFormat="1" ht="11.25">
      <c r="A94" s="96">
        <f t="shared" ca="1" si="3"/>
        <v>83</v>
      </c>
      <c r="B94" s="68" t="s">
        <v>171</v>
      </c>
      <c r="C94" s="97">
        <v>0.4</v>
      </c>
      <c r="D94" s="69" t="s">
        <v>66</v>
      </c>
      <c r="E94" s="137" t="s">
        <v>87</v>
      </c>
      <c r="F94" s="156">
        <v>6.9999999999999999E-4</v>
      </c>
      <c r="G94" s="156">
        <v>1E-3</v>
      </c>
      <c r="H94" s="156">
        <v>2E-3</v>
      </c>
      <c r="I94" s="156">
        <v>3.0999999999999999E-3</v>
      </c>
      <c r="J94" s="156" t="s">
        <v>87</v>
      </c>
      <c r="K94" s="156">
        <v>4.7999999999999996E-3</v>
      </c>
      <c r="L94" s="156">
        <v>5.8999999999999999E-3</v>
      </c>
      <c r="M94" s="156">
        <v>7.3000000000000001E-3</v>
      </c>
      <c r="N94" s="138" cm="1">
        <f t="array" aca="1" ref="N94:AE94" ca="1">IF(OR(B94="",NOT($J$2)),"",GetStripDefaultProbability(A94,B94,Parameter_Date,CDSRollDate,E94:M94,SpreadCurveMaturities,D94,C94,$J$4,$J$6))</f>
        <v>0</v>
      </c>
      <c r="O94" s="163">
        <f ca="1"/>
        <v>6.98147686336692E-4</v>
      </c>
      <c r="P94" s="163">
        <f ca="1"/>
        <v>1.8402347754473691E-3</v>
      </c>
      <c r="Q94" s="163">
        <f ca="1"/>
        <v>7.1005719140073698E-3</v>
      </c>
      <c r="R94" s="163">
        <f ca="1"/>
        <v>1.6364051109814315E-2</v>
      </c>
      <c r="S94" s="163">
        <f ca="1"/>
        <v>0</v>
      </c>
      <c r="T94" s="163">
        <f ca="1"/>
        <v>4.1835132457323509E-2</v>
      </c>
      <c r="U94" s="163">
        <f ca="1"/>
        <v>7.1374363681798281E-2</v>
      </c>
      <c r="V94" s="139">
        <f ca="1"/>
        <v>0.12500909839265895</v>
      </c>
      <c r="W94" s="138">
        <f ca="1"/>
        <v>0</v>
      </c>
      <c r="X94" s="163">
        <f ca="1"/>
        <v>7.9784215457201491E-4</v>
      </c>
      <c r="Y94" s="163">
        <f ca="1"/>
        <v>2.0065808737579349E-3</v>
      </c>
      <c r="Z94" s="163">
        <f ca="1"/>
        <v>7.4501074860131578E-3</v>
      </c>
      <c r="AA94" s="163">
        <f ca="1"/>
        <v>1.7172618050338317E-2</v>
      </c>
      <c r="AB94" s="163">
        <f ca="1"/>
        <v>0</v>
      </c>
      <c r="AC94" s="163">
        <f ca="1"/>
        <v>4.388421538881826E-2</v>
      </c>
      <c r="AD94" s="163">
        <f ca="1"/>
        <v>7.4832368424394002E-2</v>
      </c>
      <c r="AE94" s="139">
        <f ca="1"/>
        <v>0.13094859741966092</v>
      </c>
      <c r="AH94" s="136"/>
      <c r="AI94" s="136"/>
      <c r="AJ94" s="136"/>
      <c r="AK94" s="136"/>
      <c r="AM94" s="136"/>
      <c r="AN94" s="136"/>
      <c r="AO94" s="136"/>
      <c r="AQ94" s="136"/>
      <c r="AR94" s="136"/>
      <c r="AS94" s="136"/>
      <c r="AT94" s="136"/>
      <c r="AV94" s="136"/>
      <c r="AW94" s="136"/>
      <c r="AX94" s="136"/>
    </row>
    <row r="95" spans="1:50" s="79" customFormat="1" ht="11.25">
      <c r="A95" s="96">
        <f t="shared" ca="1" si="3"/>
        <v>84</v>
      </c>
      <c r="B95" s="68" t="s">
        <v>172</v>
      </c>
      <c r="C95" s="97">
        <v>0.4</v>
      </c>
      <c r="D95" s="69" t="s">
        <v>66</v>
      </c>
      <c r="E95" s="137" t="s">
        <v>87</v>
      </c>
      <c r="F95" s="156">
        <v>5.0000000000000001E-4</v>
      </c>
      <c r="G95" s="156">
        <v>5.9999999999999995E-4</v>
      </c>
      <c r="H95" s="156">
        <v>1.4E-3</v>
      </c>
      <c r="I95" s="156">
        <v>1.9E-3</v>
      </c>
      <c r="J95" s="156" t="s">
        <v>87</v>
      </c>
      <c r="K95" s="156">
        <v>3.0000000000000001E-3</v>
      </c>
      <c r="L95" s="156">
        <v>3.8E-3</v>
      </c>
      <c r="M95" s="156">
        <v>5.0000000000000001E-3</v>
      </c>
      <c r="N95" s="138" cm="1">
        <f t="array" aca="1" ref="N95:AE95" ca="1">IF(OR(B95="",NOT($J$2)),"",GetStripDefaultProbability(A95,B95,Parameter_Date,CDSRollDate,E95:M95,SpreadCurveMaturities,D95,C95,$J$4,$J$6))</f>
        <v>0</v>
      </c>
      <c r="O95" s="163">
        <f ca="1"/>
        <v>4.9872651070981266E-4</v>
      </c>
      <c r="P95" s="163">
        <f ca="1"/>
        <v>1.1024469251739166E-3</v>
      </c>
      <c r="Q95" s="163">
        <f ca="1"/>
        <v>4.9803342860696986E-3</v>
      </c>
      <c r="R95" s="163">
        <f ca="1"/>
        <v>1.0020280449809738E-2</v>
      </c>
      <c r="S95" s="163">
        <f ca="1"/>
        <v>0</v>
      </c>
      <c r="T95" s="163">
        <f ca="1"/>
        <v>2.627763862730359E-2</v>
      </c>
      <c r="U95" s="163">
        <f ca="1"/>
        <v>4.6505780158067833E-2</v>
      </c>
      <c r="V95" s="139">
        <f ca="1"/>
        <v>8.771678275255157E-2</v>
      </c>
      <c r="W95" s="138">
        <f ca="1"/>
        <v>0</v>
      </c>
      <c r="X95" s="163">
        <f ca="1"/>
        <v>5.9844139207421154E-4</v>
      </c>
      <c r="Y95" s="163">
        <f ca="1"/>
        <v>1.2689159778730419E-3</v>
      </c>
      <c r="Z95" s="163">
        <f ca="1"/>
        <v>5.3305655113261574E-3</v>
      </c>
      <c r="AA95" s="163">
        <f ca="1"/>
        <v>1.0535289448240337E-2</v>
      </c>
      <c r="AB95" s="163">
        <f ca="1"/>
        <v>0</v>
      </c>
      <c r="AC95" s="163">
        <f ca="1"/>
        <v>2.756322916914844E-2</v>
      </c>
      <c r="AD95" s="163">
        <f ca="1"/>
        <v>4.8773462155335956E-2</v>
      </c>
      <c r="AE95" s="139">
        <f ca="1"/>
        <v>9.1947141523117226E-2</v>
      </c>
      <c r="AH95" s="136"/>
      <c r="AI95" s="136"/>
      <c r="AJ95" s="136"/>
      <c r="AK95" s="136"/>
      <c r="AM95" s="136"/>
      <c r="AN95" s="136"/>
      <c r="AO95" s="136"/>
      <c r="AQ95" s="136"/>
      <c r="AR95" s="136"/>
      <c r="AS95" s="136"/>
      <c r="AT95" s="136"/>
      <c r="AV95" s="136"/>
      <c r="AW95" s="136"/>
      <c r="AX95" s="136"/>
    </row>
    <row r="96" spans="1:50" s="79" customFormat="1" ht="11.25">
      <c r="A96" s="96">
        <f t="shared" ca="1" si="3"/>
        <v>85</v>
      </c>
      <c r="B96" s="68" t="s">
        <v>173</v>
      </c>
      <c r="C96" s="97">
        <v>0.4</v>
      </c>
      <c r="D96" s="69" t="s">
        <v>66</v>
      </c>
      <c r="E96" s="137" t="s">
        <v>87</v>
      </c>
      <c r="F96" s="156">
        <v>8.9999999999999998E-4</v>
      </c>
      <c r="G96" s="156">
        <v>8.9999999999999998E-4</v>
      </c>
      <c r="H96" s="156">
        <v>1.8E-3</v>
      </c>
      <c r="I96" s="156">
        <v>2.3E-3</v>
      </c>
      <c r="J96" s="156" t="s">
        <v>87</v>
      </c>
      <c r="K96" s="156">
        <v>3.7000000000000002E-3</v>
      </c>
      <c r="L96" s="156">
        <v>4.3E-3</v>
      </c>
      <c r="M96" s="156">
        <v>5.3E-3</v>
      </c>
      <c r="N96" s="138" cm="1">
        <f t="array" aca="1" ref="N96:AE96" ca="1">IF(OR(B96="",NOT($J$2)),"",GetStripDefaultProbability(A96,B96,Parameter_Date,CDSRollDate,E96:M96,SpreadCurveMaturities,D96,C96,$J$4,$J$6))</f>
        <v>0</v>
      </c>
      <c r="O96" s="163">
        <f ca="1"/>
        <v>8.9752920618468846E-4</v>
      </c>
      <c r="P96" s="163">
        <f ca="1"/>
        <v>1.649405484672184E-3</v>
      </c>
      <c r="Q96" s="163">
        <f ca="1"/>
        <v>6.3849750667389626E-3</v>
      </c>
      <c r="R96" s="163">
        <f ca="1"/>
        <v>1.2083376609863916E-2</v>
      </c>
      <c r="S96" s="163">
        <f ca="1"/>
        <v>0</v>
      </c>
      <c r="T96" s="163">
        <f ca="1"/>
        <v>3.2326449092231591E-2</v>
      </c>
      <c r="U96" s="163">
        <f ca="1"/>
        <v>5.2091447655352674E-2</v>
      </c>
      <c r="V96" s="139">
        <f ca="1"/>
        <v>9.1615962780784765E-2</v>
      </c>
      <c r="W96" s="138">
        <f ca="1"/>
        <v>0</v>
      </c>
      <c r="X96" s="163">
        <f ca="1"/>
        <v>9.9720307914286099E-4</v>
      </c>
      <c r="Y96" s="163">
        <f ca="1"/>
        <v>1.8157833852218142E-3</v>
      </c>
      <c r="Z96" s="163">
        <f ca="1"/>
        <v>6.734715956392634E-3</v>
      </c>
      <c r="AA96" s="163">
        <f ca="1"/>
        <v>1.2678285688638269E-2</v>
      </c>
      <c r="AB96" s="163">
        <f ca="1"/>
        <v>0</v>
      </c>
      <c r="AC96" s="163">
        <f ca="1"/>
        <v>3.3913457991375462E-2</v>
      </c>
      <c r="AD96" s="163">
        <f ca="1"/>
        <v>5.4632024897055764E-2</v>
      </c>
      <c r="AE96" s="139">
        <f ca="1"/>
        <v>9.5999637358809231E-2</v>
      </c>
      <c r="AH96" s="136"/>
      <c r="AI96" s="136"/>
      <c r="AJ96" s="136"/>
      <c r="AK96" s="136"/>
      <c r="AM96" s="136"/>
      <c r="AN96" s="136"/>
      <c r="AO96" s="136"/>
      <c r="AQ96" s="136"/>
      <c r="AR96" s="136"/>
      <c r="AS96" s="136"/>
      <c r="AT96" s="136"/>
      <c r="AV96" s="136"/>
      <c r="AW96" s="136"/>
      <c r="AX96" s="136"/>
    </row>
    <row r="97" spans="1:50" s="79" customFormat="1" ht="11.25">
      <c r="A97" s="96">
        <f t="shared" ca="1" si="3"/>
        <v>86</v>
      </c>
      <c r="B97" s="68" t="s">
        <v>174</v>
      </c>
      <c r="C97" s="97">
        <v>0.4</v>
      </c>
      <c r="D97" s="69" t="s">
        <v>66</v>
      </c>
      <c r="E97" s="137" t="s">
        <v>87</v>
      </c>
      <c r="F97" s="156">
        <v>6.9999999999999999E-4</v>
      </c>
      <c r="G97" s="156">
        <v>1.6999999999999999E-3</v>
      </c>
      <c r="H97" s="156">
        <v>2.7000000000000001E-3</v>
      </c>
      <c r="I97" s="156">
        <v>3.5000000000000001E-3</v>
      </c>
      <c r="J97" s="156" t="s">
        <v>87</v>
      </c>
      <c r="K97" s="156">
        <v>4.7999999999999996E-3</v>
      </c>
      <c r="L97" s="156">
        <v>5.7000000000000002E-3</v>
      </c>
      <c r="M97" s="156">
        <v>6.7999999999999996E-3</v>
      </c>
      <c r="N97" s="138" cm="1">
        <f t="array" aca="1" ref="N97:AE97" ca="1">IF(OR(B97="",NOT($J$2)),"",GetStripDefaultProbability(A97,B97,Parameter_Date,CDSRollDate,E97:M97,SpreadCurveMaturities,D97,C97,$J$4,$J$6))</f>
        <v>0</v>
      </c>
      <c r="O97" s="163">
        <f ca="1"/>
        <v>6.98147686336692E-4</v>
      </c>
      <c r="P97" s="163">
        <f ca="1"/>
        <v>3.1396586394589754E-3</v>
      </c>
      <c r="Q97" s="163">
        <f ca="1"/>
        <v>9.5604116750560575E-3</v>
      </c>
      <c r="R97" s="163">
        <f ca="1"/>
        <v>1.8347187342561577E-2</v>
      </c>
      <c r="S97" s="163">
        <f ca="1"/>
        <v>0</v>
      </c>
      <c r="T97" s="163">
        <f ca="1"/>
        <v>4.1488215669140294E-2</v>
      </c>
      <c r="U97" s="163">
        <f ca="1"/>
        <v>6.8442111401486261E-2</v>
      </c>
      <c r="V97" s="139">
        <f ca="1"/>
        <v>0.11562825154004031</v>
      </c>
      <c r="W97" s="138">
        <f ca="1"/>
        <v>0</v>
      </c>
      <c r="X97" s="163">
        <f ca="1"/>
        <v>7.9784215457201491E-4</v>
      </c>
      <c r="Y97" s="163">
        <f ca="1"/>
        <v>3.3057881851646931E-3</v>
      </c>
      <c r="Z97" s="163">
        <f ca="1"/>
        <v>1.0034292626943442E-2</v>
      </c>
      <c r="AA97" s="163">
        <f ca="1"/>
        <v>1.9255366477297642E-2</v>
      </c>
      <c r="AB97" s="163">
        <f ca="1"/>
        <v>0</v>
      </c>
      <c r="AC97" s="163">
        <f ca="1"/>
        <v>4.3521043008177718E-2</v>
      </c>
      <c r="AD97" s="163">
        <f ca="1"/>
        <v>7.1759595896284556E-2</v>
      </c>
      <c r="AE97" s="139">
        <f ca="1"/>
        <v>0.12113186679873134</v>
      </c>
      <c r="AH97" s="136"/>
      <c r="AI97" s="136"/>
      <c r="AJ97" s="136"/>
      <c r="AK97" s="136"/>
      <c r="AM97" s="136"/>
      <c r="AN97" s="136"/>
      <c r="AO97" s="136"/>
      <c r="AQ97" s="136"/>
      <c r="AR97" s="136"/>
      <c r="AS97" s="136"/>
      <c r="AT97" s="136"/>
      <c r="AV97" s="136"/>
      <c r="AW97" s="136"/>
      <c r="AX97" s="136"/>
    </row>
    <row r="98" spans="1:50" s="79" customFormat="1" ht="11.25">
      <c r="A98" s="96">
        <f t="shared" ca="1" si="3"/>
        <v>87</v>
      </c>
      <c r="B98" s="68" t="s">
        <v>175</v>
      </c>
      <c r="C98" s="97">
        <v>0.4</v>
      </c>
      <c r="D98" s="69" t="s">
        <v>66</v>
      </c>
      <c r="E98" s="137" t="s">
        <v>87</v>
      </c>
      <c r="F98" s="156">
        <v>2.9999999999999997E-4</v>
      </c>
      <c r="G98" s="156">
        <v>5.0000000000000001E-4</v>
      </c>
      <c r="H98" s="156">
        <v>8.9999999999999998E-4</v>
      </c>
      <c r="I98" s="156">
        <v>1.2999999999999999E-3</v>
      </c>
      <c r="J98" s="156" t="s">
        <v>87</v>
      </c>
      <c r="K98" s="156">
        <v>2.0999999999999999E-3</v>
      </c>
      <c r="L98" s="156">
        <v>2.7000000000000001E-3</v>
      </c>
      <c r="M98" s="156">
        <v>3.3999999999999998E-3</v>
      </c>
      <c r="N98" s="138" cm="1">
        <f t="array" aca="1" ref="N98:AE98" ca="1">IF(OR(B98="",NOT($J$2)),"",GetStripDefaultProbability(A98,B98,Parameter_Date,CDSRollDate,E98:M98,SpreadCurveMaturities,D98,C98,$J$4,$J$6))</f>
        <v>0</v>
      </c>
      <c r="O98" s="163">
        <f ca="1"/>
        <v>2.9926566746929506E-4</v>
      </c>
      <c r="P98" s="163">
        <f ca="1"/>
        <v>9.2173632679792838E-4</v>
      </c>
      <c r="Q98" s="163">
        <f ca="1"/>
        <v>3.1968799979277263E-3</v>
      </c>
      <c r="R98" s="163">
        <f ca="1"/>
        <v>6.868543143585204E-3</v>
      </c>
      <c r="S98" s="163">
        <f ca="1"/>
        <v>0</v>
      </c>
      <c r="T98" s="163">
        <f ca="1"/>
        <v>1.8465679281941871E-2</v>
      </c>
      <c r="U98" s="163">
        <f ca="1"/>
        <v>3.326331310043773E-2</v>
      </c>
      <c r="V98" s="139">
        <f ca="1"/>
        <v>5.9990034900452294E-2</v>
      </c>
      <c r="W98" s="138">
        <f ca="1"/>
        <v>0</v>
      </c>
      <c r="X98" s="163">
        <f ca="1"/>
        <v>3.9900078367871572E-4</v>
      </c>
      <c r="Y98" s="163">
        <f ca="1"/>
        <v>1.088235495418588E-3</v>
      </c>
      <c r="Z98" s="163">
        <f ca="1"/>
        <v>3.5476393525042393E-3</v>
      </c>
      <c r="AA98" s="163">
        <f ca="1"/>
        <v>7.3849989566759922E-3</v>
      </c>
      <c r="AB98" s="163">
        <f ca="1"/>
        <v>0</v>
      </c>
      <c r="AC98" s="163">
        <f ca="1"/>
        <v>1.93521900145458E-2</v>
      </c>
      <c r="AD98" s="163">
        <f ca="1"/>
        <v>3.4874426681013815E-2</v>
      </c>
      <c r="AE98" s="139">
        <f ca="1"/>
        <v>6.288165744785057E-2</v>
      </c>
      <c r="AH98" s="136"/>
      <c r="AI98" s="136"/>
      <c r="AJ98" s="136"/>
      <c r="AK98" s="136"/>
      <c r="AM98" s="136"/>
      <c r="AN98" s="136"/>
      <c r="AO98" s="136"/>
      <c r="AQ98" s="136"/>
      <c r="AR98" s="136"/>
      <c r="AS98" s="136"/>
      <c r="AT98" s="136"/>
      <c r="AV98" s="136"/>
      <c r="AW98" s="136"/>
      <c r="AX98" s="136"/>
    </row>
    <row r="99" spans="1:50" s="79" customFormat="1" ht="11.25">
      <c r="A99" s="96">
        <f t="shared" ca="1" si="3"/>
        <v>88</v>
      </c>
      <c r="B99" s="68" t="s">
        <v>176</v>
      </c>
      <c r="C99" s="97">
        <v>0.4</v>
      </c>
      <c r="D99" s="69" t="s">
        <v>66</v>
      </c>
      <c r="E99" s="137" t="s">
        <v>87</v>
      </c>
      <c r="F99" s="156">
        <v>1.65E-3</v>
      </c>
      <c r="G99" s="156">
        <v>2.5300000000000001E-3</v>
      </c>
      <c r="H99" s="156">
        <v>3.2299999999999998E-3</v>
      </c>
      <c r="I99" s="156">
        <v>3.5400000000000002E-3</v>
      </c>
      <c r="J99" s="156" t="s">
        <v>87</v>
      </c>
      <c r="K99" s="156">
        <v>4.1999999999999997E-3</v>
      </c>
      <c r="L99" s="156">
        <v>4.5999999999999999E-3</v>
      </c>
      <c r="M99" s="156">
        <v>5.0000000000000001E-3</v>
      </c>
      <c r="N99" s="138" cm="1">
        <f t="array" aca="1" ref="N99:AE99" ca="1">IF(OR(B99="",NOT($J$2)),"",GetStripDefaultProbability(A99,B99,Parameter_Date,CDSRollDate,E99:M99,SpreadCurveMaturities,D99,C99,$J$4,$J$6))</f>
        <v>0</v>
      </c>
      <c r="O99" s="163">
        <f ca="1"/>
        <v>1.6448569233522559E-3</v>
      </c>
      <c r="P99" s="163">
        <f ca="1"/>
        <v>4.6536202261334703E-3</v>
      </c>
      <c r="Q99" s="163">
        <f ca="1"/>
        <v>1.1372542480457937E-2</v>
      </c>
      <c r="R99" s="163">
        <f ca="1"/>
        <v>1.8384583914232144E-2</v>
      </c>
      <c r="S99" s="163">
        <f ca="1"/>
        <v>0</v>
      </c>
      <c r="T99" s="163">
        <f ca="1"/>
        <v>3.5918233195165961E-2</v>
      </c>
      <c r="U99" s="163">
        <f ca="1"/>
        <v>5.4606601603905403E-2</v>
      </c>
      <c r="V99" s="139">
        <f ca="1"/>
        <v>8.3939786183197973E-2</v>
      </c>
      <c r="W99" s="138">
        <f ca="1"/>
        <v>0</v>
      </c>
      <c r="X99" s="163">
        <f ca="1"/>
        <v>1.7444518775037166E-3</v>
      </c>
      <c r="Y99" s="163">
        <f ca="1"/>
        <v>4.8853462356646116E-3</v>
      </c>
      <c r="Z99" s="163">
        <f ca="1"/>
        <v>1.193762983213531E-2</v>
      </c>
      <c r="AA99" s="163">
        <f ca="1"/>
        <v>1.9295359919811128E-2</v>
      </c>
      <c r="AB99" s="163">
        <f ca="1"/>
        <v>0</v>
      </c>
      <c r="AC99" s="163">
        <f ca="1"/>
        <v>3.7681680734967138E-2</v>
      </c>
      <c r="AD99" s="163">
        <f ca="1"/>
        <v>5.7265120053859198E-2</v>
      </c>
      <c r="AE99" s="139">
        <f ca="1"/>
        <v>8.7959713006479201E-2</v>
      </c>
      <c r="AH99" s="136"/>
      <c r="AI99" s="136"/>
      <c r="AJ99" s="136"/>
      <c r="AK99" s="136"/>
      <c r="AM99" s="136"/>
      <c r="AN99" s="136"/>
      <c r="AO99" s="136"/>
      <c r="AQ99" s="136"/>
      <c r="AR99" s="136"/>
      <c r="AS99" s="136"/>
      <c r="AT99" s="136"/>
      <c r="AV99" s="136"/>
      <c r="AW99" s="136"/>
      <c r="AX99" s="136"/>
    </row>
    <row r="100" spans="1:50" s="79" customFormat="1" ht="11.25">
      <c r="A100" s="96">
        <f t="shared" ca="1" si="3"/>
        <v>89</v>
      </c>
      <c r="B100" s="68" t="s">
        <v>177</v>
      </c>
      <c r="C100" s="97">
        <v>0.4</v>
      </c>
      <c r="D100" s="69" t="s">
        <v>66</v>
      </c>
      <c r="E100" s="137" t="s">
        <v>87</v>
      </c>
      <c r="F100" s="156">
        <v>4.0000000000000002E-4</v>
      </c>
      <c r="G100" s="156">
        <v>6.9999999999999999E-4</v>
      </c>
      <c r="H100" s="156">
        <v>1.1999999999999999E-3</v>
      </c>
      <c r="I100" s="156">
        <v>1.4E-3</v>
      </c>
      <c r="J100" s="156" t="s">
        <v>87</v>
      </c>
      <c r="K100" s="156">
        <v>2.0999999999999999E-3</v>
      </c>
      <c r="L100" s="156">
        <v>2.5000000000000001E-3</v>
      </c>
      <c r="M100" s="156">
        <v>3.0000000000000001E-3</v>
      </c>
      <c r="N100" s="138" cm="1">
        <f t="array" aca="1" ref="N100:AE100" ca="1">IF(OR(B100="",NOT($J$2)),"",GetStripDefaultProbability(A100,B100,Parameter_Date,CDSRollDate,E100:M100,SpreadCurveMaturities,D100,C100,$J$4,$J$6))</f>
        <v>0</v>
      </c>
      <c r="O100" s="163">
        <f ca="1"/>
        <v>3.9900104827061966E-4</v>
      </c>
      <c r="P100" s="163">
        <f ca="1"/>
        <v>1.2907558445212075E-3</v>
      </c>
      <c r="Q100" s="163">
        <f ca="1"/>
        <v>4.2587252807656517E-3</v>
      </c>
      <c r="R100" s="163">
        <f ca="1"/>
        <v>7.344919733013211E-3</v>
      </c>
      <c r="S100" s="163">
        <f ca="1"/>
        <v>0</v>
      </c>
      <c r="T100" s="163">
        <f ca="1"/>
        <v>1.8360375374241511E-2</v>
      </c>
      <c r="U100" s="163">
        <f ca="1"/>
        <v>3.0525297437442589E-2</v>
      </c>
      <c r="V100" s="139">
        <f ca="1"/>
        <v>5.2441153384964467E-2</v>
      </c>
      <c r="W100" s="138">
        <f ca="1"/>
        <v>0</v>
      </c>
      <c r="X100" s="163">
        <f ca="1"/>
        <v>4.9872606913303752E-4</v>
      </c>
      <c r="Y100" s="163">
        <f ca="1"/>
        <v>1.4571935150202719E-3</v>
      </c>
      <c r="Z100" s="163">
        <f ca="1"/>
        <v>4.6091474307335956E-3</v>
      </c>
      <c r="AA100" s="163">
        <f ca="1"/>
        <v>7.860991884922619E-3</v>
      </c>
      <c r="AB100" s="163">
        <f ca="1"/>
        <v>0</v>
      </c>
      <c r="AC100" s="163">
        <f ca="1"/>
        <v>1.9246659688393897E-2</v>
      </c>
      <c r="AD100" s="163">
        <f ca="1"/>
        <v>3.2007414780713894E-2</v>
      </c>
      <c r="AE100" s="139">
        <f ca="1"/>
        <v>5.497686099460275E-2</v>
      </c>
      <c r="AH100" s="136"/>
      <c r="AI100" s="136"/>
      <c r="AJ100" s="136"/>
      <c r="AK100" s="136"/>
      <c r="AM100" s="136"/>
      <c r="AN100" s="136"/>
      <c r="AO100" s="136"/>
      <c r="AQ100" s="136"/>
      <c r="AR100" s="136"/>
      <c r="AS100" s="136"/>
      <c r="AT100" s="136"/>
      <c r="AV100" s="136"/>
      <c r="AW100" s="136"/>
      <c r="AX100" s="136"/>
    </row>
    <row r="101" spans="1:50" s="79" customFormat="1" ht="11.25">
      <c r="A101" s="96">
        <f t="shared" ca="1" si="3"/>
        <v>90</v>
      </c>
      <c r="B101" s="68" t="s">
        <v>178</v>
      </c>
      <c r="C101" s="97">
        <v>0.4</v>
      </c>
      <c r="D101" s="69" t="s">
        <v>66</v>
      </c>
      <c r="E101" s="137" t="s">
        <v>87</v>
      </c>
      <c r="F101" s="156">
        <v>5.9999999999999995E-4</v>
      </c>
      <c r="G101" s="156">
        <v>1.5E-3</v>
      </c>
      <c r="H101" s="156">
        <v>2.3E-3</v>
      </c>
      <c r="I101" s="156">
        <v>3.3999999999999998E-3</v>
      </c>
      <c r="J101" s="156" t="s">
        <v>87</v>
      </c>
      <c r="K101" s="156">
        <v>5.3E-3</v>
      </c>
      <c r="L101" s="156">
        <v>6.6E-3</v>
      </c>
      <c r="M101" s="156">
        <v>8.2000000000000007E-3</v>
      </c>
      <c r="N101" s="138" cm="1">
        <f t="array" aca="1" ref="N101:AE101" ca="1">IF(OR(B101="",NOT($J$2)),"",GetStripDefaultProbability(A101,B101,Parameter_Date,CDSRollDate,E101:M101,SpreadCurveMaturities,D101,C101,$J$4,$J$6))</f>
        <v>0</v>
      </c>
      <c r="O101" s="163">
        <f ca="1"/>
        <v>5.9844205622783253E-4</v>
      </c>
      <c r="P101" s="163">
        <f ca="1"/>
        <v>2.7710950126746958E-3</v>
      </c>
      <c r="Q101" s="163">
        <f ca="1"/>
        <v>8.1447884334114873E-3</v>
      </c>
      <c r="R101" s="163">
        <f ca="1"/>
        <v>1.7896299907995239E-2</v>
      </c>
      <c r="S101" s="163">
        <f ca="1"/>
        <v>0</v>
      </c>
      <c r="T101" s="163">
        <f ca="1"/>
        <v>4.6092959465464656E-2</v>
      </c>
      <c r="U101" s="163">
        <f ca="1"/>
        <v>7.9663064550412499E-2</v>
      </c>
      <c r="V101" s="139">
        <f ca="1"/>
        <v>0.13976204391808089</v>
      </c>
      <c r="W101" s="138">
        <f ca="1"/>
        <v>0</v>
      </c>
      <c r="X101" s="163">
        <f ca="1"/>
        <v>6.9814675354706868E-4</v>
      </c>
      <c r="Y101" s="163">
        <f ca="1"/>
        <v>2.9372859805391061E-3</v>
      </c>
      <c r="Z101" s="163">
        <f ca="1"/>
        <v>8.5476434013966873E-3</v>
      </c>
      <c r="AA101" s="163">
        <f ca="1"/>
        <v>1.878179973006544E-2</v>
      </c>
      <c r="AB101" s="163">
        <f ca="1"/>
        <v>0</v>
      </c>
      <c r="AC101" s="163">
        <f ca="1"/>
        <v>4.8347895164110866E-2</v>
      </c>
      <c r="AD101" s="163">
        <f ca="1"/>
        <v>8.3510907152065328E-2</v>
      </c>
      <c r="AE101" s="139">
        <f ca="1"/>
        <v>0.14636491826957843</v>
      </c>
      <c r="AH101" s="136"/>
      <c r="AI101" s="136"/>
      <c r="AJ101" s="136"/>
      <c r="AK101" s="136"/>
      <c r="AM101" s="136"/>
      <c r="AN101" s="136"/>
      <c r="AO101" s="136"/>
      <c r="AQ101" s="136"/>
      <c r="AR101" s="136"/>
      <c r="AS101" s="136"/>
      <c r="AT101" s="136"/>
      <c r="AV101" s="136"/>
      <c r="AW101" s="136"/>
      <c r="AX101" s="136"/>
    </row>
    <row r="102" spans="1:50" s="79" customFormat="1" ht="11.25">
      <c r="A102" s="96">
        <f t="shared" ca="1" si="3"/>
        <v>91</v>
      </c>
      <c r="B102" s="68" t="s">
        <v>179</v>
      </c>
      <c r="C102" s="97">
        <v>0.4</v>
      </c>
      <c r="D102" s="69" t="s">
        <v>66</v>
      </c>
      <c r="E102" s="137" t="s">
        <v>87</v>
      </c>
      <c r="F102" s="156">
        <v>4.0000000000000002E-4</v>
      </c>
      <c r="G102" s="156">
        <v>5.0000000000000001E-4</v>
      </c>
      <c r="H102" s="156">
        <v>8.9999999999999998E-4</v>
      </c>
      <c r="I102" s="156">
        <v>1.1999999999999999E-3</v>
      </c>
      <c r="J102" s="156" t="s">
        <v>87</v>
      </c>
      <c r="K102" s="156">
        <v>2E-3</v>
      </c>
      <c r="L102" s="156">
        <v>2.5000000000000001E-3</v>
      </c>
      <c r="M102" s="156">
        <v>3.3E-3</v>
      </c>
      <c r="N102" s="138" cm="1">
        <f t="array" aca="1" ref="N102:AE102" ca="1">IF(OR(B102="",NOT($J$2)),"",GetStripDefaultProbability(A102,B102,Parameter_Date,CDSRollDate,E102:M102,SpreadCurveMaturities,D102,C102,$J$4,$J$6))</f>
        <v>0</v>
      </c>
      <c r="O102" s="163">
        <f ca="1"/>
        <v>3.9900104827061966E-4</v>
      </c>
      <c r="P102" s="163">
        <f ca="1"/>
        <v>9.1920434298853326E-4</v>
      </c>
      <c r="Q102" s="163">
        <f ca="1"/>
        <v>3.1943138499956891E-3</v>
      </c>
      <c r="R102" s="163">
        <f ca="1"/>
        <v>6.3243252992007948E-3</v>
      </c>
      <c r="S102" s="163">
        <f ca="1"/>
        <v>0</v>
      </c>
      <c r="T102" s="163">
        <f ca="1"/>
        <v>1.7594557145368728E-2</v>
      </c>
      <c r="U102" s="163">
        <f ca="1"/>
        <v>3.0759204497674997E-2</v>
      </c>
      <c r="V102" s="139">
        <f ca="1"/>
        <v>5.852883781111029E-2</v>
      </c>
      <c r="W102" s="138">
        <f ca="1"/>
        <v>0</v>
      </c>
      <c r="X102" s="163">
        <f ca="1"/>
        <v>4.9872606913303752E-4</v>
      </c>
      <c r="Y102" s="163">
        <f ca="1"/>
        <v>1.0857039335719909E-3</v>
      </c>
      <c r="Z102" s="163">
        <f ca="1"/>
        <v>3.5450644177309476E-3</v>
      </c>
      <c r="AA102" s="163">
        <f ca="1"/>
        <v>6.8409675508170897E-3</v>
      </c>
      <c r="AB102" s="163">
        <f ca="1"/>
        <v>0</v>
      </c>
      <c r="AC102" s="163">
        <f ca="1"/>
        <v>1.8436448682509377E-2</v>
      </c>
      <c r="AD102" s="163">
        <f ca="1"/>
        <v>3.2246507356122334E-2</v>
      </c>
      <c r="AE102" s="139">
        <f ca="1"/>
        <v>6.1349771827477029E-2</v>
      </c>
      <c r="AH102" s="136"/>
      <c r="AI102" s="136"/>
      <c r="AJ102" s="136"/>
      <c r="AK102" s="136"/>
      <c r="AM102" s="136"/>
      <c r="AN102" s="136"/>
      <c r="AO102" s="136"/>
      <c r="AQ102" s="136"/>
      <c r="AR102" s="136"/>
      <c r="AS102" s="136"/>
      <c r="AT102" s="136"/>
      <c r="AV102" s="136"/>
      <c r="AW102" s="136"/>
      <c r="AX102" s="136"/>
    </row>
    <row r="103" spans="1:50" s="79" customFormat="1" ht="11.25">
      <c r="A103" s="96">
        <f t="shared" ca="1" si="3"/>
        <v>92</v>
      </c>
      <c r="B103" s="68" t="s">
        <v>180</v>
      </c>
      <c r="C103" s="97">
        <v>0.4</v>
      </c>
      <c r="D103" s="69" t="s">
        <v>66</v>
      </c>
      <c r="E103" s="137" t="s">
        <v>87</v>
      </c>
      <c r="F103" s="156">
        <v>5.0000000000000001E-4</v>
      </c>
      <c r="G103" s="156">
        <v>5.0000000000000001E-4</v>
      </c>
      <c r="H103" s="156">
        <v>8.9999999999999998E-4</v>
      </c>
      <c r="I103" s="156">
        <v>1.2999999999999999E-3</v>
      </c>
      <c r="J103" s="156" t="s">
        <v>87</v>
      </c>
      <c r="K103" s="156">
        <v>2E-3</v>
      </c>
      <c r="L103" s="156">
        <v>2.5000000000000001E-3</v>
      </c>
      <c r="M103" s="156">
        <v>2.8E-3</v>
      </c>
      <c r="N103" s="138" cm="1">
        <f t="array" aca="1" ref="N103:AE103" ca="1">IF(OR(B103="",NOT($J$2)),"",GetStripDefaultProbability(A103,B103,Parameter_Date,CDSRollDate,E103:M103,SpreadCurveMaturities,D103,C103,$J$4,$J$6))</f>
        <v>0</v>
      </c>
      <c r="O103" s="163">
        <f ca="1"/>
        <v>4.9872651070981266E-4</v>
      </c>
      <c r="P103" s="163">
        <f ca="1"/>
        <v>9.1667256579530676E-4</v>
      </c>
      <c r="Q103" s="163">
        <f ca="1"/>
        <v>3.1917478704388547E-3</v>
      </c>
      <c r="R103" s="163">
        <f ca="1"/>
        <v>6.8633460933084089E-3</v>
      </c>
      <c r="S103" s="163">
        <f ca="1"/>
        <v>0</v>
      </c>
      <c r="T103" s="163">
        <f ca="1"/>
        <v>1.7553180015533298E-2</v>
      </c>
      <c r="U103" s="163">
        <f ca="1"/>
        <v>3.0717492287967052E-2</v>
      </c>
      <c r="V103" s="139">
        <f ca="1"/>
        <v>4.8727457155600229E-2</v>
      </c>
      <c r="W103" s="138">
        <f ca="1"/>
        <v>0</v>
      </c>
      <c r="X103" s="163">
        <f ca="1"/>
        <v>5.9844139207421154E-4</v>
      </c>
      <c r="Y103" s="163">
        <f ca="1"/>
        <v>1.0831725783114754E-3</v>
      </c>
      <c r="Z103" s="163">
        <f ca="1"/>
        <v>3.5424896534085315E-3</v>
      </c>
      <c r="AA103" s="163">
        <f ca="1"/>
        <v>7.3797852514050355E-3</v>
      </c>
      <c r="AB103" s="163">
        <f ca="1"/>
        <v>0</v>
      </c>
      <c r="AC103" s="163">
        <f ca="1"/>
        <v>1.8395046420616179E-2</v>
      </c>
      <c r="AD103" s="163">
        <f ca="1"/>
        <v>3.220464099705922E-2</v>
      </c>
      <c r="AE103" s="139">
        <f ca="1"/>
        <v>5.1080880632024317E-2</v>
      </c>
      <c r="AH103" s="136"/>
      <c r="AI103" s="136"/>
      <c r="AJ103" s="136"/>
      <c r="AK103" s="136"/>
      <c r="AM103" s="136"/>
      <c r="AN103" s="136"/>
      <c r="AO103" s="136"/>
      <c r="AQ103" s="136"/>
      <c r="AR103" s="136"/>
      <c r="AS103" s="136"/>
      <c r="AT103" s="136"/>
      <c r="AV103" s="136"/>
      <c r="AW103" s="136"/>
      <c r="AX103" s="136"/>
    </row>
    <row r="104" spans="1:50" s="79" customFormat="1" ht="11.25">
      <c r="A104" s="96">
        <f t="shared" ca="1" si="3"/>
        <v>93</v>
      </c>
      <c r="B104" s="68" t="s">
        <v>181</v>
      </c>
      <c r="C104" s="97">
        <v>0.4</v>
      </c>
      <c r="D104" s="69" t="s">
        <v>66</v>
      </c>
      <c r="E104" s="137" t="s">
        <v>87</v>
      </c>
      <c r="F104" s="156">
        <v>2.9999999999999997E-4</v>
      </c>
      <c r="G104" s="156">
        <v>1.1000000000000001E-3</v>
      </c>
      <c r="H104" s="156">
        <v>1.5E-3</v>
      </c>
      <c r="I104" s="156">
        <v>2E-3</v>
      </c>
      <c r="J104" s="156" t="s">
        <v>87</v>
      </c>
      <c r="K104" s="156">
        <v>2.8999999999999998E-3</v>
      </c>
      <c r="L104" s="156">
        <v>3.5999999999999999E-3</v>
      </c>
      <c r="M104" s="156">
        <v>4.4999999999999997E-3</v>
      </c>
      <c r="N104" s="138" cm="1">
        <f t="array" aca="1" ref="N104:AE104" ca="1">IF(OR(B104="",NOT($J$2)),"",GetStripDefaultProbability(A104,B104,Parameter_Date,CDSRollDate,E104:M104,SpreadCurveMaturities,D104,C104,$J$4,$J$6))</f>
        <v>0</v>
      </c>
      <c r="O104" s="163">
        <f ca="1"/>
        <v>2.9926566746929506E-4</v>
      </c>
      <c r="P104" s="163">
        <f ca="1"/>
        <v>2.0362595369394221E-3</v>
      </c>
      <c r="Q104" s="163">
        <f ca="1"/>
        <v>5.3119838629895888E-3</v>
      </c>
      <c r="R104" s="163">
        <f ca="1"/>
        <v>1.051647624447638E-2</v>
      </c>
      <c r="S104" s="163">
        <f ca="1"/>
        <v>0</v>
      </c>
      <c r="T104" s="163">
        <f ca="1"/>
        <v>2.5288858692757432E-2</v>
      </c>
      <c r="U104" s="163">
        <f ca="1"/>
        <v>4.3899051633880082E-2</v>
      </c>
      <c r="V104" s="139">
        <f ca="1"/>
        <v>7.8492753682155914E-2</v>
      </c>
      <c r="W104" s="138">
        <f ca="1"/>
        <v>0</v>
      </c>
      <c r="X104" s="163">
        <f ca="1"/>
        <v>3.9900078367871572E-4</v>
      </c>
      <c r="Y104" s="163">
        <f ca="1"/>
        <v>2.2025729671697469E-3</v>
      </c>
      <c r="Z104" s="163">
        <f ca="1"/>
        <v>5.6620489574852328E-3</v>
      </c>
      <c r="AA104" s="163">
        <f ca="1"/>
        <v>1.1031154769254981E-2</v>
      </c>
      <c r="AB104" s="163">
        <f ca="1"/>
        <v>0</v>
      </c>
      <c r="AC104" s="163">
        <f ca="1"/>
        <v>2.6530012635700984E-2</v>
      </c>
      <c r="AD104" s="163">
        <f ca="1"/>
        <v>4.604447575811621E-2</v>
      </c>
      <c r="AE104" s="139">
        <f ca="1"/>
        <v>8.2271074953601642E-2</v>
      </c>
      <c r="AH104" s="136"/>
      <c r="AI104" s="136"/>
      <c r="AJ104" s="136"/>
      <c r="AK104" s="136"/>
      <c r="AM104" s="136"/>
      <c r="AN104" s="136"/>
      <c r="AO104" s="136"/>
      <c r="AQ104" s="136"/>
      <c r="AR104" s="136"/>
      <c r="AS104" s="136"/>
      <c r="AT104" s="136"/>
      <c r="AV104" s="136"/>
      <c r="AW104" s="136"/>
      <c r="AX104" s="136"/>
    </row>
    <row r="105" spans="1:50" s="79" customFormat="1" ht="11.25">
      <c r="A105" s="96">
        <f t="shared" ca="1" si="3"/>
        <v>94</v>
      </c>
      <c r="B105" s="68" t="s">
        <v>182</v>
      </c>
      <c r="C105" s="97">
        <v>0.4</v>
      </c>
      <c r="D105" s="69" t="s">
        <v>66</v>
      </c>
      <c r="E105" s="137" t="s">
        <v>87</v>
      </c>
      <c r="F105" s="156">
        <v>2.9999999999999997E-4</v>
      </c>
      <c r="G105" s="156">
        <v>5.0000000000000001E-4</v>
      </c>
      <c r="H105" s="156">
        <v>8.9999999999999998E-4</v>
      </c>
      <c r="I105" s="156">
        <v>1.2999999999999999E-3</v>
      </c>
      <c r="J105" s="156" t="s">
        <v>87</v>
      </c>
      <c r="K105" s="156">
        <v>2.0999999999999999E-3</v>
      </c>
      <c r="L105" s="156">
        <v>2.7000000000000001E-3</v>
      </c>
      <c r="M105" s="156">
        <v>3.3999999999999998E-3</v>
      </c>
      <c r="N105" s="138" cm="1">
        <f t="array" aca="1" ref="N105:AE105" ca="1">IF(OR(B105="",NOT($J$2)),"",GetStripDefaultProbability(A105,B105,Parameter_Date,CDSRollDate,E105:M105,SpreadCurveMaturities,D105,C105,$J$4,$J$6))</f>
        <v>0</v>
      </c>
      <c r="O105" s="163">
        <f ca="1"/>
        <v>2.9926566746929506E-4</v>
      </c>
      <c r="P105" s="163">
        <f ca="1"/>
        <v>9.2173632679792838E-4</v>
      </c>
      <c r="Q105" s="163">
        <f ca="1"/>
        <v>3.1968799979277263E-3</v>
      </c>
      <c r="R105" s="163">
        <f ca="1"/>
        <v>6.868543143585204E-3</v>
      </c>
      <c r="S105" s="163">
        <f ca="1"/>
        <v>0</v>
      </c>
      <c r="T105" s="163">
        <f ca="1"/>
        <v>1.8465679281941871E-2</v>
      </c>
      <c r="U105" s="163">
        <f ca="1"/>
        <v>3.326331310043773E-2</v>
      </c>
      <c r="V105" s="139">
        <f ca="1"/>
        <v>5.9990034900452294E-2</v>
      </c>
      <c r="W105" s="138">
        <f ca="1"/>
        <v>0</v>
      </c>
      <c r="X105" s="163">
        <f ca="1"/>
        <v>3.9900078367871572E-4</v>
      </c>
      <c r="Y105" s="163">
        <f ca="1"/>
        <v>1.088235495418588E-3</v>
      </c>
      <c r="Z105" s="163">
        <f ca="1"/>
        <v>3.5476393525042393E-3</v>
      </c>
      <c r="AA105" s="163">
        <f ca="1"/>
        <v>7.3849989566759922E-3</v>
      </c>
      <c r="AB105" s="163">
        <f ca="1"/>
        <v>0</v>
      </c>
      <c r="AC105" s="163">
        <f ca="1"/>
        <v>1.93521900145458E-2</v>
      </c>
      <c r="AD105" s="163">
        <f ca="1"/>
        <v>3.4874426681013815E-2</v>
      </c>
      <c r="AE105" s="139">
        <f ca="1"/>
        <v>6.288165744785057E-2</v>
      </c>
      <c r="AH105" s="136"/>
      <c r="AI105" s="136"/>
      <c r="AJ105" s="136"/>
      <c r="AK105" s="136"/>
      <c r="AM105" s="136"/>
      <c r="AN105" s="136"/>
      <c r="AO105" s="136"/>
      <c r="AQ105" s="136"/>
      <c r="AR105" s="136"/>
      <c r="AS105" s="136"/>
      <c r="AT105" s="136"/>
      <c r="AV105" s="136"/>
      <c r="AW105" s="136"/>
      <c r="AX105" s="136"/>
    </row>
    <row r="106" spans="1:50" s="79" customFormat="1" ht="11.25">
      <c r="A106" s="96">
        <f t="shared" ca="1" si="3"/>
        <v>95</v>
      </c>
      <c r="B106" s="68" t="s">
        <v>183</v>
      </c>
      <c r="C106" s="97">
        <v>0.4</v>
      </c>
      <c r="D106" s="69" t="s">
        <v>66</v>
      </c>
      <c r="E106" s="137" t="s">
        <v>87</v>
      </c>
      <c r="F106" s="156">
        <v>8.9999999999999998E-4</v>
      </c>
      <c r="G106" s="156">
        <v>8.9999999999999998E-4</v>
      </c>
      <c r="H106" s="156">
        <v>1.8E-3</v>
      </c>
      <c r="I106" s="156">
        <v>2.5999999999999999E-3</v>
      </c>
      <c r="J106" s="156" t="s">
        <v>87</v>
      </c>
      <c r="K106" s="156">
        <v>4.3E-3</v>
      </c>
      <c r="L106" s="156">
        <v>5.4000000000000003E-3</v>
      </c>
      <c r="M106" s="156">
        <v>6.4000000000000003E-3</v>
      </c>
      <c r="N106" s="138" cm="1">
        <f t="array" aca="1" ref="N106:AE106" ca="1">IF(OR(B106="",NOT($J$2)),"",GetStripDefaultProbability(A106,B106,Parameter_Date,CDSRollDate,E106:M106,SpreadCurveMaturities,D106,C106,$J$4,$J$6))</f>
        <v>0</v>
      </c>
      <c r="O106" s="163">
        <f ca="1"/>
        <v>8.9752920618468846E-4</v>
      </c>
      <c r="P106" s="163">
        <f ca="1"/>
        <v>1.649405484672184E-3</v>
      </c>
      <c r="Q106" s="163">
        <f ca="1"/>
        <v>6.3849750667389626E-3</v>
      </c>
      <c r="R106" s="163">
        <f ca="1"/>
        <v>1.3702960195484004E-2</v>
      </c>
      <c r="S106" s="163">
        <f ca="1"/>
        <v>0</v>
      </c>
      <c r="T106" s="163">
        <f ca="1"/>
        <v>3.7597842774002355E-2</v>
      </c>
      <c r="U106" s="163">
        <f ca="1"/>
        <v>6.5662021253510283E-2</v>
      </c>
      <c r="V106" s="139">
        <f ca="1"/>
        <v>0.10974232160793163</v>
      </c>
      <c r="W106" s="138">
        <f ca="1"/>
        <v>0</v>
      </c>
      <c r="X106" s="163">
        <f ca="1"/>
        <v>9.9720307914286099E-4</v>
      </c>
      <c r="Y106" s="163">
        <f ca="1"/>
        <v>1.8157833852218142E-3</v>
      </c>
      <c r="Z106" s="163">
        <f ca="1"/>
        <v>6.734715956392634E-3</v>
      </c>
      <c r="AA106" s="163">
        <f ca="1"/>
        <v>1.4378126837107263E-2</v>
      </c>
      <c r="AB106" s="163">
        <f ca="1"/>
        <v>0</v>
      </c>
      <c r="AC106" s="163">
        <f ca="1"/>
        <v>3.9440726099748247E-2</v>
      </c>
      <c r="AD106" s="163">
        <f ca="1"/>
        <v>6.8850483068597645E-2</v>
      </c>
      <c r="AE106" s="139">
        <f ca="1"/>
        <v>0.11498244338866992</v>
      </c>
      <c r="AH106" s="136"/>
      <c r="AI106" s="136"/>
      <c r="AJ106" s="136"/>
      <c r="AK106" s="136"/>
      <c r="AM106" s="136"/>
      <c r="AN106" s="136"/>
      <c r="AO106" s="136"/>
      <c r="AQ106" s="136"/>
      <c r="AR106" s="136"/>
      <c r="AS106" s="136"/>
      <c r="AT106" s="136"/>
      <c r="AV106" s="136"/>
      <c r="AW106" s="136"/>
      <c r="AX106" s="136"/>
    </row>
    <row r="107" spans="1:50" s="79" customFormat="1" ht="11.25">
      <c r="A107" s="96">
        <f t="shared" ca="1" si="3"/>
        <v>96</v>
      </c>
      <c r="B107" s="68" t="s">
        <v>184</v>
      </c>
      <c r="C107" s="97">
        <v>0.4</v>
      </c>
      <c r="D107" s="69" t="s">
        <v>66</v>
      </c>
      <c r="E107" s="137" t="s">
        <v>87</v>
      </c>
      <c r="F107" s="156">
        <v>2.9999999999999997E-4</v>
      </c>
      <c r="G107" s="156">
        <v>5.0000000000000001E-4</v>
      </c>
      <c r="H107" s="156">
        <v>1.1999999999999999E-3</v>
      </c>
      <c r="I107" s="156">
        <v>1.6000000000000001E-3</v>
      </c>
      <c r="J107" s="156" t="s">
        <v>87</v>
      </c>
      <c r="K107" s="156">
        <v>2.5999999999999999E-3</v>
      </c>
      <c r="L107" s="156">
        <v>3.3999999999999998E-3</v>
      </c>
      <c r="M107" s="156">
        <v>4.4000000000000003E-3</v>
      </c>
      <c r="N107" s="138" cm="1">
        <f t="array" aca="1" ref="N107:AE107" ca="1">IF(OR(B107="",NOT($J$2)),"",GetStripDefaultProbability(A107,B107,Parameter_Date,CDSRollDate,E107:M107,SpreadCurveMaturities,D107,C107,$J$4,$J$6))</f>
        <v>0</v>
      </c>
      <c r="O107" s="163">
        <f ca="1"/>
        <v>2.9926566746929506E-4</v>
      </c>
      <c r="P107" s="163">
        <f ca="1"/>
        <v>9.2173632679792838E-4</v>
      </c>
      <c r="Q107" s="163">
        <f ca="1"/>
        <v>4.274139312114289E-3</v>
      </c>
      <c r="R107" s="163">
        <f ca="1"/>
        <v>8.4428506610152443E-3</v>
      </c>
      <c r="S107" s="163">
        <f ca="1"/>
        <v>0</v>
      </c>
      <c r="T107" s="163">
        <f ca="1"/>
        <v>2.2827140871886309E-2</v>
      </c>
      <c r="U107" s="163">
        <f ca="1"/>
        <v>4.1817813437193929E-2</v>
      </c>
      <c r="V107" s="139">
        <f ca="1"/>
        <v>7.7473043814319742E-2</v>
      </c>
      <c r="W107" s="138">
        <f ca="1"/>
        <v>0</v>
      </c>
      <c r="X107" s="163">
        <f ca="1"/>
        <v>3.9900078367871572E-4</v>
      </c>
      <c r="Y107" s="163">
        <f ca="1"/>
        <v>1.088235495418588E-3</v>
      </c>
      <c r="Z107" s="163">
        <f ca="1"/>
        <v>4.6246050442794173E-3</v>
      </c>
      <c r="AA107" s="163">
        <f ca="1"/>
        <v>8.9585815414866543E-3</v>
      </c>
      <c r="AB107" s="163">
        <f ca="1"/>
        <v>0</v>
      </c>
      <c r="AC107" s="163">
        <f ca="1"/>
        <v>2.3935866468854372E-2</v>
      </c>
      <c r="AD107" s="163">
        <f ca="1"/>
        <v>4.3851938544799518E-2</v>
      </c>
      <c r="AE107" s="139">
        <f ca="1"/>
        <v>8.1195196467186204E-2</v>
      </c>
      <c r="AH107" s="136"/>
      <c r="AI107" s="136"/>
      <c r="AJ107" s="136"/>
      <c r="AK107" s="136"/>
      <c r="AM107" s="136"/>
      <c r="AN107" s="136"/>
      <c r="AO107" s="136"/>
      <c r="AQ107" s="136"/>
      <c r="AR107" s="136"/>
      <c r="AS107" s="136"/>
      <c r="AT107" s="136"/>
      <c r="AV107" s="136"/>
      <c r="AW107" s="136"/>
      <c r="AX107" s="136"/>
    </row>
    <row r="108" spans="1:50" s="79" customFormat="1" ht="11.25">
      <c r="A108" s="96">
        <f t="shared" ca="1" si="3"/>
        <v>97</v>
      </c>
      <c r="B108" s="68" t="s">
        <v>185</v>
      </c>
      <c r="C108" s="97">
        <v>0.4</v>
      </c>
      <c r="D108" s="69" t="s">
        <v>66</v>
      </c>
      <c r="E108" s="137" t="s">
        <v>87</v>
      </c>
      <c r="F108" s="156">
        <v>6.9999999999999999E-4</v>
      </c>
      <c r="G108" s="156">
        <v>1.1000000000000001E-3</v>
      </c>
      <c r="H108" s="156">
        <v>2E-3</v>
      </c>
      <c r="I108" s="156">
        <v>2.8999999999999998E-3</v>
      </c>
      <c r="J108" s="156" t="s">
        <v>87</v>
      </c>
      <c r="K108" s="156">
        <v>4.8999999999999998E-3</v>
      </c>
      <c r="L108" s="156">
        <v>6.0000000000000001E-3</v>
      </c>
      <c r="M108" s="156">
        <v>7.1999999999999998E-3</v>
      </c>
      <c r="N108" s="138" cm="1">
        <f t="array" aca="1" ref="N108:AE108" ca="1">IF(OR(B108="",NOT($J$2)),"",GetStripDefaultProbability(A108,B108,Parameter_Date,CDSRollDate,E108:M108,SpreadCurveMaturities,D108,C108,$J$4,$J$6))</f>
        <v>0</v>
      </c>
      <c r="O108" s="163">
        <f ca="1"/>
        <v>6.98147686336692E-4</v>
      </c>
      <c r="P108" s="163">
        <f ca="1"/>
        <v>2.0259132685517267E-3</v>
      </c>
      <c r="Q108" s="163">
        <f ca="1"/>
        <v>7.0939795454862953E-3</v>
      </c>
      <c r="R108" s="163">
        <f ca="1"/>
        <v>1.5278796060471E-2</v>
      </c>
      <c r="S108" s="163">
        <f ca="1"/>
        <v>0</v>
      </c>
      <c r="T108" s="163">
        <f ca="1"/>
        <v>4.2808547051744084E-2</v>
      </c>
      <c r="U108" s="163">
        <f ca="1"/>
        <v>7.2642192137468808E-2</v>
      </c>
      <c r="V108" s="139">
        <f ca="1"/>
        <v>0.12291324653229241</v>
      </c>
      <c r="W108" s="138">
        <f ca="1"/>
        <v>0</v>
      </c>
      <c r="X108" s="163">
        <f ca="1"/>
        <v>7.9784215457201491E-4</v>
      </c>
      <c r="Y108" s="163">
        <f ca="1"/>
        <v>2.1922284230295741E-3</v>
      </c>
      <c r="Z108" s="163">
        <f ca="1"/>
        <v>7.4435008925437529E-3</v>
      </c>
      <c r="AA108" s="163">
        <f ca="1"/>
        <v>1.603396376795807E-2</v>
      </c>
      <c r="AB108" s="163">
        <f ca="1"/>
        <v>0</v>
      </c>
      <c r="AC108" s="163">
        <f ca="1"/>
        <v>4.4905112947298598E-2</v>
      </c>
      <c r="AD108" s="163">
        <f ca="1"/>
        <v>7.6161257659842718E-2</v>
      </c>
      <c r="AE108" s="139">
        <f ca="1"/>
        <v>0.12875305294326356</v>
      </c>
      <c r="AH108" s="136"/>
      <c r="AI108" s="136"/>
      <c r="AJ108" s="136"/>
      <c r="AK108" s="136"/>
      <c r="AM108" s="136"/>
      <c r="AN108" s="136"/>
      <c r="AO108" s="136"/>
      <c r="AQ108" s="136"/>
      <c r="AR108" s="136"/>
      <c r="AS108" s="136"/>
      <c r="AT108" s="136"/>
      <c r="AV108" s="136"/>
      <c r="AW108" s="136"/>
      <c r="AX108" s="136"/>
    </row>
    <row r="109" spans="1:50" s="79" customFormat="1" ht="11.25">
      <c r="A109" s="96">
        <f t="shared" ca="1" si="3"/>
        <v>98</v>
      </c>
      <c r="B109" s="68" t="s">
        <v>186</v>
      </c>
      <c r="C109" s="97">
        <v>0.4</v>
      </c>
      <c r="D109" s="69" t="s">
        <v>66</v>
      </c>
      <c r="E109" s="137" t="s">
        <v>87</v>
      </c>
      <c r="F109" s="156">
        <v>4.0000000000000002E-4</v>
      </c>
      <c r="G109" s="156">
        <v>8.9999999999999998E-4</v>
      </c>
      <c r="H109" s="156">
        <v>1.4E-3</v>
      </c>
      <c r="I109" s="156">
        <v>1.6999999999999999E-3</v>
      </c>
      <c r="J109" s="156" t="s">
        <v>87</v>
      </c>
      <c r="K109" s="156">
        <v>2.5000000000000001E-3</v>
      </c>
      <c r="L109" s="156">
        <v>2.8999999999999998E-3</v>
      </c>
      <c r="M109" s="156">
        <v>3.3999999999999998E-3</v>
      </c>
      <c r="N109" s="138" cm="1">
        <f t="array" aca="1" ref="N109:AE109" ca="1">IF(OR(B109="",NOT($J$2)),"",GetStripDefaultProbability(A109,B109,Parameter_Date,CDSRollDate,E109:M109,SpreadCurveMaturities,D109,C109,$J$4,$J$6))</f>
        <v>0</v>
      </c>
      <c r="O109" s="163">
        <f ca="1"/>
        <v>3.9900104827061966E-4</v>
      </c>
      <c r="P109" s="163">
        <f ca="1"/>
        <v>1.6622452761001494E-3</v>
      </c>
      <c r="Q109" s="163">
        <f ca="1"/>
        <v>4.9635767122303553E-3</v>
      </c>
      <c r="R109" s="163">
        <f ca="1"/>
        <v>8.9218134945693306E-3</v>
      </c>
      <c r="S109" s="163">
        <f ca="1"/>
        <v>0</v>
      </c>
      <c r="T109" s="163">
        <f ca="1"/>
        <v>2.1819167223315561E-2</v>
      </c>
      <c r="U109" s="163">
        <f ca="1"/>
        <v>3.5249282679540306E-2</v>
      </c>
      <c r="V109" s="139">
        <f ca="1"/>
        <v>5.8987670992882268E-2</v>
      </c>
      <c r="W109" s="138">
        <f ca="1"/>
        <v>0</v>
      </c>
      <c r="X109" s="163">
        <f ca="1"/>
        <v>4.9872606913303752E-4</v>
      </c>
      <c r="Y109" s="163">
        <f ca="1"/>
        <v>1.828621036846334E-3</v>
      </c>
      <c r="Z109" s="163">
        <f ca="1"/>
        <v>5.3137665251158372E-3</v>
      </c>
      <c r="AA109" s="163">
        <f ca="1"/>
        <v>9.4371669478802156E-3</v>
      </c>
      <c r="AB109" s="163">
        <f ca="1"/>
        <v>0</v>
      </c>
      <c r="AC109" s="163">
        <f ca="1"/>
        <v>2.2883235806730795E-2</v>
      </c>
      <c r="AD109" s="163">
        <f ca="1"/>
        <v>3.6968634785527921E-2</v>
      </c>
      <c r="AE109" s="139">
        <f ca="1"/>
        <v>6.184089020757555E-2</v>
      </c>
      <c r="AH109" s="136"/>
      <c r="AI109" s="136"/>
      <c r="AJ109" s="136"/>
      <c r="AK109" s="136"/>
      <c r="AM109" s="136"/>
      <c r="AN109" s="136"/>
      <c r="AO109" s="136"/>
      <c r="AQ109" s="136"/>
      <c r="AR109" s="136"/>
      <c r="AS109" s="136"/>
      <c r="AT109" s="136"/>
      <c r="AV109" s="136"/>
      <c r="AW109" s="136"/>
      <c r="AX109" s="136"/>
    </row>
    <row r="110" spans="1:50" s="79" customFormat="1" ht="11.25">
      <c r="A110" s="96">
        <f t="shared" ca="1" si="3"/>
        <v>99</v>
      </c>
      <c r="B110" s="68" t="s">
        <v>187</v>
      </c>
      <c r="C110" s="97">
        <v>0.4</v>
      </c>
      <c r="D110" s="69" t="s">
        <v>66</v>
      </c>
      <c r="E110" s="137" t="s">
        <v>87</v>
      </c>
      <c r="F110" s="156">
        <v>8.0000000000000004E-4</v>
      </c>
      <c r="G110" s="156">
        <v>8.0000000000000004E-4</v>
      </c>
      <c r="H110" s="156">
        <v>1.6999999999999999E-3</v>
      </c>
      <c r="I110" s="156">
        <v>2.3E-3</v>
      </c>
      <c r="J110" s="156" t="s">
        <v>87</v>
      </c>
      <c r="K110" s="156">
        <v>4.1999999999999997E-3</v>
      </c>
      <c r="L110" s="156">
        <v>5.3E-3</v>
      </c>
      <c r="M110" s="156">
        <v>6.4999999999999997E-3</v>
      </c>
      <c r="N110" s="138" cm="1">
        <f t="array" aca="1" ref="N110:AE110" ca="1">IF(OR(B110="",NOT($J$2)),"",GetStripDefaultProbability(A110,B110,Parameter_Date,CDSRollDate,E110:M110,SpreadCurveMaturities,D110,C110,$J$4,$J$6))</f>
        <v>0</v>
      </c>
      <c r="O110" s="163">
        <f ca="1"/>
        <v>7.978434025011083E-4</v>
      </c>
      <c r="P110" s="163">
        <f ca="1"/>
        <v>1.4662726570359164E-3</v>
      </c>
      <c r="Q110" s="163">
        <f ca="1"/>
        <v>6.0356129129115477E-3</v>
      </c>
      <c r="R110" s="163">
        <f ca="1"/>
        <v>1.2109773616963415E-2</v>
      </c>
      <c r="S110" s="163">
        <f ca="1"/>
        <v>0</v>
      </c>
      <c r="T110" s="163">
        <f ca="1"/>
        <v>3.6852061533978464E-2</v>
      </c>
      <c r="U110" s="163">
        <f ca="1"/>
        <v>6.4620894131183992E-2</v>
      </c>
      <c r="V110" s="139">
        <f ca="1"/>
        <v>0.11208188468942548</v>
      </c>
      <c r="W110" s="138">
        <f ca="1"/>
        <v>0</v>
      </c>
      <c r="X110" s="163">
        <f ca="1"/>
        <v>8.9752759609718069E-4</v>
      </c>
      <c r="Y110" s="163">
        <f ca="1"/>
        <v>1.6326810771705169E-3</v>
      </c>
      <c r="Z110" s="163">
        <f ca="1"/>
        <v>6.3854807391146018E-3</v>
      </c>
      <c r="AA110" s="163">
        <f ca="1"/>
        <v>1.270476337604487E-2</v>
      </c>
      <c r="AB110" s="163">
        <f ca="1"/>
        <v>0</v>
      </c>
      <c r="AC110" s="163">
        <f ca="1"/>
        <v>3.8657820102159679E-2</v>
      </c>
      <c r="AD110" s="163">
        <f ca="1"/>
        <v>6.7760077206375224E-2</v>
      </c>
      <c r="AE110" s="139">
        <f ca="1"/>
        <v>0.11743511694411424</v>
      </c>
      <c r="AH110" s="136"/>
      <c r="AI110" s="136"/>
      <c r="AJ110" s="136"/>
      <c r="AK110" s="136"/>
      <c r="AM110" s="136"/>
      <c r="AN110" s="136"/>
      <c r="AO110" s="136"/>
      <c r="AQ110" s="136"/>
      <c r="AR110" s="136"/>
      <c r="AS110" s="136"/>
      <c r="AT110" s="136"/>
      <c r="AV110" s="136"/>
      <c r="AW110" s="136"/>
      <c r="AX110" s="136"/>
    </row>
    <row r="111" spans="1:50" s="79" customFormat="1" ht="11.25">
      <c r="A111" s="96">
        <f t="shared" ca="1" si="3"/>
        <v>100</v>
      </c>
      <c r="B111" s="68" t="s">
        <v>188</v>
      </c>
      <c r="C111" s="97">
        <v>0.4</v>
      </c>
      <c r="D111" s="69" t="s">
        <v>66</v>
      </c>
      <c r="E111" s="137" t="s">
        <v>87</v>
      </c>
      <c r="F111" s="156">
        <v>1.6000000000000001E-3</v>
      </c>
      <c r="G111" s="156">
        <v>1.9E-3</v>
      </c>
      <c r="H111" s="156">
        <v>2.3999999999999998E-3</v>
      </c>
      <c r="I111" s="156">
        <v>2.7000000000000001E-3</v>
      </c>
      <c r="J111" s="156" t="s">
        <v>87</v>
      </c>
      <c r="K111" s="156">
        <v>3.3E-3</v>
      </c>
      <c r="L111" s="156">
        <v>3.65E-3</v>
      </c>
      <c r="M111" s="156">
        <v>4.1000000000000003E-3</v>
      </c>
      <c r="N111" s="138" cm="1">
        <f t="array" aca="1" ref="N111:AE111" ca="1">IF(OR(B111="",NOT($J$2)),"",GetStripDefaultProbability(A111,B111,Parameter_Date,CDSRollDate,E111:M111,SpreadCurveMaturities,D111,C111,$J$4,$J$6))</f>
        <v>0</v>
      </c>
      <c r="O111" s="163">
        <f ca="1"/>
        <v>1.5950524072884109E-3</v>
      </c>
      <c r="P111" s="163">
        <f ca="1"/>
        <v>3.4868583568682388E-3</v>
      </c>
      <c r="Q111" s="163">
        <f ca="1"/>
        <v>8.4491677079822081E-3</v>
      </c>
      <c r="R111" s="163">
        <f ca="1"/>
        <v>1.4052641314305725E-2</v>
      </c>
      <c r="S111" s="163">
        <f ca="1"/>
        <v>0</v>
      </c>
      <c r="T111" s="163">
        <f ca="1"/>
        <v>2.8369555971785698E-2</v>
      </c>
      <c r="U111" s="163">
        <f ca="1"/>
        <v>4.364505125716589E-2</v>
      </c>
      <c r="V111" s="139">
        <f ca="1"/>
        <v>6.9778050586403295E-2</v>
      </c>
      <c r="W111" s="138">
        <f ca="1"/>
        <v>0</v>
      </c>
      <c r="X111" s="163">
        <f ca="1"/>
        <v>1.6946527080009544E-3</v>
      </c>
      <c r="Y111" s="163">
        <f ca="1"/>
        <v>3.6529300407820431E-3</v>
      </c>
      <c r="Z111" s="163">
        <f ca="1"/>
        <v>8.8696246397431677E-3</v>
      </c>
      <c r="AA111" s="163">
        <f ca="1"/>
        <v>1.4750367466717318E-2</v>
      </c>
      <c r="AB111" s="163">
        <f ca="1"/>
        <v>0</v>
      </c>
      <c r="AC111" s="163">
        <f ca="1"/>
        <v>2.9768149519743825E-2</v>
      </c>
      <c r="AD111" s="163">
        <f ca="1"/>
        <v>4.5782322309931178E-2</v>
      </c>
      <c r="AE111" s="139">
        <f ca="1"/>
        <v>7.3148035852921844E-2</v>
      </c>
      <c r="AH111" s="136"/>
      <c r="AI111" s="136"/>
      <c r="AJ111" s="136"/>
      <c r="AK111" s="136"/>
      <c r="AM111" s="136"/>
      <c r="AN111" s="136"/>
      <c r="AO111" s="136"/>
      <c r="AQ111" s="136"/>
      <c r="AR111" s="136"/>
      <c r="AS111" s="136"/>
      <c r="AT111" s="136"/>
      <c r="AV111" s="136"/>
      <c r="AW111" s="136"/>
      <c r="AX111" s="136"/>
    </row>
    <row r="112" spans="1:50" s="79" customFormat="1" ht="11.25">
      <c r="A112" s="96">
        <f t="shared" ca="1" si="3"/>
        <v>101</v>
      </c>
      <c r="B112" s="68" t="s">
        <v>189</v>
      </c>
      <c r="C112" s="97">
        <v>0.4</v>
      </c>
      <c r="D112" s="69" t="s">
        <v>66</v>
      </c>
      <c r="E112" s="137" t="s">
        <v>87</v>
      </c>
      <c r="F112" s="156">
        <v>6.9999999999999999E-4</v>
      </c>
      <c r="G112" s="156">
        <v>1.4E-3</v>
      </c>
      <c r="H112" s="156">
        <v>2.5000000000000001E-3</v>
      </c>
      <c r="I112" s="156">
        <v>3.5999999999999999E-3</v>
      </c>
      <c r="J112" s="156" t="s">
        <v>87</v>
      </c>
      <c r="K112" s="156">
        <v>5.5999999999999999E-3</v>
      </c>
      <c r="L112" s="156">
        <v>7.0000000000000001E-3</v>
      </c>
      <c r="M112" s="156">
        <v>8.6E-3</v>
      </c>
      <c r="N112" s="138" cm="1">
        <f t="array" aca="1" ref="N112:AE112" ca="1">IF(OR(B112="",NOT($J$2)),"",GetStripDefaultProbability(A112,B112,Parameter_Date,CDSRollDate,E112:M112,SpreadCurveMaturities,D112,C112,$J$4,$J$6))</f>
        <v>0</v>
      </c>
      <c r="O112" s="163">
        <f ca="1"/>
        <v>6.98147686336692E-4</v>
      </c>
      <c r="P112" s="163">
        <f ca="1"/>
        <v>2.5828557111488015E-3</v>
      </c>
      <c r="Q112" s="163">
        <f ca="1"/>
        <v>8.8648331518841328E-3</v>
      </c>
      <c r="R112" s="163">
        <f ca="1"/>
        <v>1.8941776763836682E-2</v>
      </c>
      <c r="S112" s="163">
        <f ca="1"/>
        <v>0</v>
      </c>
      <c r="T112" s="163">
        <f ca="1"/>
        <v>4.8653083475991732E-2</v>
      </c>
      <c r="U112" s="163">
        <f ca="1"/>
        <v>8.4368754918549782E-2</v>
      </c>
      <c r="V112" s="139">
        <f ca="1"/>
        <v>0.14598513419569548</v>
      </c>
      <c r="W112" s="138">
        <f ca="1"/>
        <v>0</v>
      </c>
      <c r="X112" s="163">
        <f ca="1"/>
        <v>7.9784215457201491E-4</v>
      </c>
      <c r="Y112" s="163">
        <f ca="1"/>
        <v>2.7490780496143286E-3</v>
      </c>
      <c r="Z112" s="163">
        <f ca="1"/>
        <v>9.3032484729109743E-3</v>
      </c>
      <c r="AA112" s="163">
        <f ca="1"/>
        <v>1.9878584176902137E-2</v>
      </c>
      <c r="AB112" s="163">
        <f ca="1"/>
        <v>0</v>
      </c>
      <c r="AC112" s="163">
        <f ca="1"/>
        <v>5.1030326516313118E-2</v>
      </c>
      <c r="AD112" s="163">
        <f ca="1"/>
        <v>8.8435378026885614E-2</v>
      </c>
      <c r="AE112" s="139">
        <f ca="1"/>
        <v>0.15286030986107457</v>
      </c>
      <c r="AH112" s="136"/>
      <c r="AI112" s="136"/>
      <c r="AJ112" s="136"/>
      <c r="AK112" s="136"/>
      <c r="AM112" s="136"/>
      <c r="AN112" s="136"/>
      <c r="AO112" s="136"/>
      <c r="AQ112" s="136"/>
      <c r="AR112" s="136"/>
      <c r="AS112" s="136"/>
      <c r="AT112" s="136"/>
      <c r="AV112" s="136"/>
      <c r="AW112" s="136"/>
      <c r="AX112" s="136"/>
    </row>
    <row r="113" spans="1:50" s="79" customFormat="1" ht="11.25">
      <c r="A113" s="96">
        <f t="shared" ca="1" si="3"/>
        <v>102</v>
      </c>
      <c r="B113" s="68" t="s">
        <v>190</v>
      </c>
      <c r="C113" s="97">
        <v>0.4</v>
      </c>
      <c r="D113" s="69" t="s">
        <v>66</v>
      </c>
      <c r="E113" s="137" t="s">
        <v>87</v>
      </c>
      <c r="F113" s="156">
        <v>1.1999999999999999E-3</v>
      </c>
      <c r="G113" s="156">
        <v>1.6999999999999999E-3</v>
      </c>
      <c r="H113" s="156">
        <v>3.0999999999999999E-3</v>
      </c>
      <c r="I113" s="156">
        <v>4.1000000000000003E-3</v>
      </c>
      <c r="J113" s="156" t="s">
        <v>87</v>
      </c>
      <c r="K113" s="156">
        <v>5.1000000000000004E-3</v>
      </c>
      <c r="L113" s="156">
        <v>6.1000000000000004E-3</v>
      </c>
      <c r="M113" s="156">
        <v>7.7000000000000002E-3</v>
      </c>
      <c r="N113" s="138" cm="1">
        <f t="array" aca="1" ref="N113:AE113" ca="1">IF(OR(B113="",NOT($J$2)),"",GetStripDefaultProbability(A113,B113,Parameter_Date,CDSRollDate,E113:M113,SpreadCurveMaturities,D113,C113,$J$4,$J$6))</f>
        <v>0</v>
      </c>
      <c r="O113" s="163">
        <f ca="1"/>
        <v>1.1965271572978997E-3</v>
      </c>
      <c r="P113" s="163">
        <f ca="1"/>
        <v>3.1264563217608954E-3</v>
      </c>
      <c r="Q113" s="163">
        <f ca="1"/>
        <v>1.0977297814335762E-2</v>
      </c>
      <c r="R113" s="163">
        <f ca="1"/>
        <v>2.1488221604089475E-2</v>
      </c>
      <c r="S113" s="163">
        <f ca="1"/>
        <v>0</v>
      </c>
      <c r="T113" s="163">
        <f ca="1"/>
        <v>4.3827605966736405E-2</v>
      </c>
      <c r="U113" s="163">
        <f ca="1"/>
        <v>7.2950285483911137E-2</v>
      </c>
      <c r="V113" s="139">
        <f ca="1"/>
        <v>0.13111150007686323</v>
      </c>
      <c r="W113" s="138">
        <f ca="1"/>
        <v>0</v>
      </c>
      <c r="X113" s="163">
        <f ca="1"/>
        <v>1.2961697875810696E-3</v>
      </c>
      <c r="Y113" s="163">
        <f ca="1"/>
        <v>3.2925880676745178E-3</v>
      </c>
      <c r="Z113" s="163">
        <f ca="1"/>
        <v>1.1522064172241997E-2</v>
      </c>
      <c r="AA113" s="163">
        <f ca="1"/>
        <v>2.2551660058692691E-2</v>
      </c>
      <c r="AB113" s="163">
        <f ca="1"/>
        <v>0</v>
      </c>
      <c r="AC113" s="163">
        <f ca="1"/>
        <v>4.5972462322889096E-2</v>
      </c>
      <c r="AD113" s="163">
        <f ca="1"/>
        <v>7.6477669069068943E-2</v>
      </c>
      <c r="AE113" s="139">
        <f ca="1"/>
        <v>0.13732239714147676</v>
      </c>
      <c r="AH113" s="136"/>
      <c r="AI113" s="136"/>
      <c r="AJ113" s="136"/>
      <c r="AK113" s="136"/>
      <c r="AM113" s="136"/>
      <c r="AN113" s="136"/>
      <c r="AO113" s="136"/>
      <c r="AQ113" s="136"/>
      <c r="AR113" s="136"/>
      <c r="AS113" s="136"/>
      <c r="AT113" s="136"/>
      <c r="AV113" s="136"/>
      <c r="AW113" s="136"/>
      <c r="AX113" s="136"/>
    </row>
    <row r="114" spans="1:50" s="79" customFormat="1" ht="11.25">
      <c r="A114" s="96">
        <f t="shared" ca="1" si="3"/>
        <v>103</v>
      </c>
      <c r="B114" s="68" t="s">
        <v>191</v>
      </c>
      <c r="C114" s="97">
        <v>0.4</v>
      </c>
      <c r="D114" s="69" t="s">
        <v>66</v>
      </c>
      <c r="E114" s="137" t="s">
        <v>87</v>
      </c>
      <c r="F114" s="156">
        <v>1.8E-3</v>
      </c>
      <c r="G114" s="156">
        <v>2.0999999999999999E-3</v>
      </c>
      <c r="H114" s="156">
        <v>2.3E-3</v>
      </c>
      <c r="I114" s="156">
        <v>2.7000000000000001E-3</v>
      </c>
      <c r="J114" s="156" t="s">
        <v>87</v>
      </c>
      <c r="K114" s="156">
        <v>3.8E-3</v>
      </c>
      <c r="L114" s="156">
        <v>4.5999999999999999E-3</v>
      </c>
      <c r="M114" s="156">
        <v>5.7000000000000002E-3</v>
      </c>
      <c r="N114" s="138" cm="1">
        <f t="array" aca="1" ref="N114:AE114" ca="1">IF(OR(B114="",NOT($J$2)),"",GetStripDefaultProbability(A114,B114,Parameter_Date,CDSRollDate,E114:M114,SpreadCurveMaturities,D114,C114,$J$4,$J$6))</f>
        <v>0</v>
      </c>
      <c r="O114" s="163">
        <f ca="1"/>
        <v>1.794255622488361E-3</v>
      </c>
      <c r="P114" s="163">
        <f ca="1"/>
        <v>3.8524056808505458E-3</v>
      </c>
      <c r="Q114" s="163">
        <f ca="1"/>
        <v>8.0726228485795692E-3</v>
      </c>
      <c r="R114" s="163">
        <f ca="1"/>
        <v>1.4051080608818767E-2</v>
      </c>
      <c r="S114" s="163">
        <f ca="1"/>
        <v>0</v>
      </c>
      <c r="T114" s="163">
        <f ca="1"/>
        <v>3.2865832063285971E-2</v>
      </c>
      <c r="U114" s="163">
        <f ca="1"/>
        <v>5.5533374705607819E-2</v>
      </c>
      <c r="V114" s="139">
        <f ca="1"/>
        <v>9.8203857332577527E-2</v>
      </c>
      <c r="W114" s="138">
        <f ca="1"/>
        <v>0</v>
      </c>
      <c r="X114" s="163">
        <f ca="1"/>
        <v>1.8938344616186154E-3</v>
      </c>
      <c r="Y114" s="163">
        <f ca="1"/>
        <v>4.0443901075771782E-3</v>
      </c>
      <c r="Z114" s="163">
        <f ca="1"/>
        <v>8.4743141420680068E-3</v>
      </c>
      <c r="AA114" s="163">
        <f ca="1"/>
        <v>1.4748707812374029E-2</v>
      </c>
      <c r="AB114" s="163">
        <f ca="1"/>
        <v>0</v>
      </c>
      <c r="AC114" s="163">
        <f ca="1"/>
        <v>3.448360143926632E-2</v>
      </c>
      <c r="AD114" s="163">
        <f ca="1"/>
        <v>5.8242650240918126E-2</v>
      </c>
      <c r="AE114" s="139">
        <f ca="1"/>
        <v>0.10292190700792037</v>
      </c>
      <c r="AH114" s="136"/>
      <c r="AI114" s="136"/>
      <c r="AJ114" s="136"/>
      <c r="AK114" s="136"/>
      <c r="AM114" s="136"/>
      <c r="AN114" s="136"/>
      <c r="AO114" s="136"/>
      <c r="AQ114" s="136"/>
      <c r="AR114" s="136"/>
      <c r="AS114" s="136"/>
      <c r="AT114" s="136"/>
      <c r="AV114" s="136"/>
      <c r="AW114" s="136"/>
      <c r="AX114" s="136"/>
    </row>
    <row r="115" spans="1:50" s="79" customFormat="1" ht="11.25">
      <c r="A115" s="96">
        <f t="shared" ca="1" si="3"/>
        <v>104</v>
      </c>
      <c r="B115" s="68" t="s">
        <v>192</v>
      </c>
      <c r="C115" s="97">
        <v>0.4</v>
      </c>
      <c r="D115" s="69" t="s">
        <v>66</v>
      </c>
      <c r="E115" s="137" t="s">
        <v>87</v>
      </c>
      <c r="F115" s="156">
        <v>5.9999999999999995E-4</v>
      </c>
      <c r="G115" s="156">
        <v>8.0000000000000004E-4</v>
      </c>
      <c r="H115" s="156">
        <v>1.4E-3</v>
      </c>
      <c r="I115" s="156">
        <v>1.9E-3</v>
      </c>
      <c r="J115" s="156" t="s">
        <v>87</v>
      </c>
      <c r="K115" s="156">
        <v>3.0000000000000001E-3</v>
      </c>
      <c r="L115" s="156">
        <v>3.7000000000000002E-3</v>
      </c>
      <c r="M115" s="156">
        <v>4.8999999999999998E-3</v>
      </c>
      <c r="N115" s="138" cm="1">
        <f t="array" aca="1" ref="N115:AE115" ca="1">IF(OR(B115="",NOT($J$2)),"",GetStripDefaultProbability(A115,B115,Parameter_Date,CDSRollDate,E115:M115,SpreadCurveMaturities,D115,C115,$J$4,$J$6))</f>
        <v>0</v>
      </c>
      <c r="O115" s="163">
        <f ca="1"/>
        <v>5.9844205622783253E-4</v>
      </c>
      <c r="P115" s="163">
        <f ca="1"/>
        <v>1.4713900701842642E-3</v>
      </c>
      <c r="Q115" s="163">
        <f ca="1"/>
        <v>4.9648127830491662E-3</v>
      </c>
      <c r="R115" s="163">
        <f ca="1"/>
        <v>1.0004528707577176E-2</v>
      </c>
      <c r="S115" s="163">
        <f ca="1"/>
        <v>0</v>
      </c>
      <c r="T115" s="163">
        <f ca="1"/>
        <v>2.6261396503247436E-2</v>
      </c>
      <c r="U115" s="163">
        <f ca="1"/>
        <v>4.5182077933393905E-2</v>
      </c>
      <c r="V115" s="139">
        <f ca="1"/>
        <v>8.5963553532785286E-2</v>
      </c>
      <c r="W115" s="138">
        <f ca="1"/>
        <v>0</v>
      </c>
      <c r="X115" s="163">
        <f ca="1"/>
        <v>6.9814675354706868E-4</v>
      </c>
      <c r="Y115" s="163">
        <f ca="1"/>
        <v>1.6377976374900571E-3</v>
      </c>
      <c r="Z115" s="163">
        <f ca="1"/>
        <v>5.3150020644165963E-3</v>
      </c>
      <c r="AA115" s="163">
        <f ca="1"/>
        <v>1.0519487692372875E-2</v>
      </c>
      <c r="AB115" s="163">
        <f ca="1"/>
        <v>0</v>
      </c>
      <c r="AC115" s="163">
        <f ca="1"/>
        <v>2.7546916763424911E-2</v>
      </c>
      <c r="AD115" s="163">
        <f ca="1"/>
        <v>4.7386375675615988E-2</v>
      </c>
      <c r="AE115" s="139">
        <f ca="1"/>
        <v>9.0112275820203092E-2</v>
      </c>
      <c r="AH115" s="136"/>
      <c r="AI115" s="136"/>
      <c r="AJ115" s="136"/>
      <c r="AK115" s="136"/>
      <c r="AM115" s="136"/>
      <c r="AN115" s="136"/>
      <c r="AO115" s="136"/>
      <c r="AQ115" s="136"/>
      <c r="AR115" s="136"/>
      <c r="AS115" s="136"/>
      <c r="AT115" s="136"/>
      <c r="AV115" s="136"/>
      <c r="AW115" s="136"/>
      <c r="AX115" s="136"/>
    </row>
    <row r="116" spans="1:50" s="79" customFormat="1" ht="11.25">
      <c r="A116" s="96">
        <f t="shared" ca="1" si="3"/>
        <v>105</v>
      </c>
      <c r="B116" s="68" t="s">
        <v>193</v>
      </c>
      <c r="C116" s="97">
        <v>0.4</v>
      </c>
      <c r="D116" s="69" t="s">
        <v>66</v>
      </c>
      <c r="E116" s="137" t="s">
        <v>87</v>
      </c>
      <c r="F116" s="156">
        <v>8.9999999999999998E-4</v>
      </c>
      <c r="G116" s="156">
        <v>1E-3</v>
      </c>
      <c r="H116" s="156">
        <v>1.8E-3</v>
      </c>
      <c r="I116" s="156">
        <v>2.0999999999999999E-3</v>
      </c>
      <c r="J116" s="156" t="s">
        <v>87</v>
      </c>
      <c r="K116" s="156">
        <v>3.3E-3</v>
      </c>
      <c r="L116" s="156">
        <v>4.1000000000000003E-3</v>
      </c>
      <c r="M116" s="156">
        <v>5.1999999999999998E-3</v>
      </c>
      <c r="N116" s="138" cm="1">
        <f t="array" aca="1" ref="N116:AE116" ca="1">IF(OR(B116="",NOT($J$2)),"",GetStripDefaultProbability(A116,B116,Parameter_Date,CDSRollDate,E116:M116,SpreadCurveMaturities,D116,C116,$J$4,$J$6))</f>
        <v>0</v>
      </c>
      <c r="O116" s="163">
        <f ca="1"/>
        <v>8.9752920618468846E-4</v>
      </c>
      <c r="P116" s="163">
        <f ca="1"/>
        <v>1.8350811962297708E-3</v>
      </c>
      <c r="Q116" s="163">
        <f ca="1"/>
        <v>6.378429296703958E-3</v>
      </c>
      <c r="R116" s="163">
        <f ca="1"/>
        <v>1.0996615786765918E-2</v>
      </c>
      <c r="S116" s="163">
        <f ca="1"/>
        <v>0</v>
      </c>
      <c r="T116" s="163">
        <f ca="1"/>
        <v>2.8796818659289736E-2</v>
      </c>
      <c r="U116" s="163">
        <f ca="1"/>
        <v>4.9944993613017186E-2</v>
      </c>
      <c r="V116" s="139">
        <f ca="1"/>
        <v>9.0513205770614502E-2</v>
      </c>
      <c r="W116" s="138">
        <f ca="1"/>
        <v>0</v>
      </c>
      <c r="X116" s="163">
        <f ca="1"/>
        <v>9.9720307914286099E-4</v>
      </c>
      <c r="Y116" s="163">
        <f ca="1"/>
        <v>2.0014281533969891E-3</v>
      </c>
      <c r="Z116" s="163">
        <f ca="1"/>
        <v>6.7281551174490639E-3</v>
      </c>
      <c r="AA116" s="163">
        <f ca="1"/>
        <v>1.1537938338972542E-2</v>
      </c>
      <c r="AB116" s="163">
        <f ca="1"/>
        <v>0</v>
      </c>
      <c r="AC116" s="163">
        <f ca="1"/>
        <v>3.0212174402523106E-2</v>
      </c>
      <c r="AD116" s="163">
        <f ca="1"/>
        <v>5.2384239773746066E-2</v>
      </c>
      <c r="AE116" s="139">
        <f ca="1"/>
        <v>9.4876090928321832E-2</v>
      </c>
      <c r="AH116" s="136"/>
      <c r="AI116" s="136"/>
      <c r="AJ116" s="136"/>
      <c r="AK116" s="136"/>
      <c r="AM116" s="136"/>
      <c r="AN116" s="136"/>
      <c r="AO116" s="136"/>
      <c r="AQ116" s="136"/>
      <c r="AR116" s="136"/>
      <c r="AS116" s="136"/>
      <c r="AT116" s="136"/>
      <c r="AV116" s="136"/>
      <c r="AW116" s="136"/>
      <c r="AX116" s="136"/>
    </row>
    <row r="117" spans="1:50" s="79" customFormat="1" ht="11.25">
      <c r="A117" s="96">
        <f t="shared" ca="1" si="3"/>
        <v>106</v>
      </c>
      <c r="B117" s="68" t="s">
        <v>194</v>
      </c>
      <c r="C117" s="97">
        <v>0.4</v>
      </c>
      <c r="D117" s="69" t="s">
        <v>66</v>
      </c>
      <c r="E117" s="137" t="s">
        <v>87</v>
      </c>
      <c r="F117" s="156">
        <v>5.0000000000000001E-4</v>
      </c>
      <c r="G117" s="156">
        <v>6.9999999999999999E-4</v>
      </c>
      <c r="H117" s="156">
        <v>1.1999999999999999E-3</v>
      </c>
      <c r="I117" s="156">
        <v>1.8E-3</v>
      </c>
      <c r="J117" s="156" t="s">
        <v>87</v>
      </c>
      <c r="K117" s="156">
        <v>2.8999999999999998E-3</v>
      </c>
      <c r="L117" s="156">
        <v>3.5000000000000001E-3</v>
      </c>
      <c r="M117" s="156">
        <v>4.7000000000000002E-3</v>
      </c>
      <c r="N117" s="138" cm="1">
        <f t="array" aca="1" ref="N117:AE117" ca="1">IF(OR(B117="",NOT($J$2)),"",GetStripDefaultProbability(A117,B117,Parameter_Date,CDSRollDate,E117:M117,SpreadCurveMaturities,D117,C117,$J$4,$J$6))</f>
        <v>0</v>
      </c>
      <c r="O117" s="163">
        <f ca="1"/>
        <v>4.9872651070981266E-4</v>
      </c>
      <c r="P117" s="163">
        <f ca="1"/>
        <v>1.2882057658748503E-3</v>
      </c>
      <c r="Q117" s="163">
        <f ca="1"/>
        <v>4.2561330240462603E-3</v>
      </c>
      <c r="R117" s="163">
        <f ca="1"/>
        <v>9.5065868062521597E-3</v>
      </c>
      <c r="S117" s="163">
        <f ca="1"/>
        <v>0</v>
      </c>
      <c r="T117" s="163">
        <f ca="1"/>
        <v>2.5442031454927072E-2</v>
      </c>
      <c r="U117" s="163">
        <f ca="1"/>
        <v>4.2745393805141085E-2</v>
      </c>
      <c r="V117" s="139">
        <f ca="1"/>
        <v>8.2690114212774501E-2</v>
      </c>
      <c r="W117" s="138">
        <f ca="1"/>
        <v>0</v>
      </c>
      <c r="X117" s="163">
        <f ca="1"/>
        <v>5.9844139207421154E-4</v>
      </c>
      <c r="Y117" s="163">
        <f ca="1"/>
        <v>1.454643861349969E-3</v>
      </c>
      <c r="Z117" s="163">
        <f ca="1"/>
        <v>4.6065463982000177E-3</v>
      </c>
      <c r="AA117" s="163">
        <f ca="1"/>
        <v>1.0021858725201227E-2</v>
      </c>
      <c r="AB117" s="163">
        <f ca="1"/>
        <v>0</v>
      </c>
      <c r="AC117" s="163">
        <f ca="1"/>
        <v>2.6683557896655996E-2</v>
      </c>
      <c r="AD117" s="163">
        <f ca="1"/>
        <v>4.4828119890204743E-2</v>
      </c>
      <c r="AE117" s="139">
        <f ca="1"/>
        <v>8.665799064211932E-2</v>
      </c>
      <c r="AH117" s="136"/>
      <c r="AI117" s="136"/>
      <c r="AJ117" s="136"/>
      <c r="AK117" s="136"/>
      <c r="AM117" s="136"/>
      <c r="AN117" s="136"/>
      <c r="AO117" s="136"/>
      <c r="AQ117" s="136"/>
      <c r="AR117" s="136"/>
      <c r="AS117" s="136"/>
      <c r="AT117" s="136"/>
      <c r="AV117" s="136"/>
      <c r="AW117" s="136"/>
      <c r="AX117" s="136"/>
    </row>
    <row r="118" spans="1:50" s="79" customFormat="1" ht="11.25">
      <c r="A118" s="96">
        <f t="shared" ca="1" si="3"/>
        <v>107</v>
      </c>
      <c r="B118" s="68" t="s">
        <v>195</v>
      </c>
      <c r="C118" s="97">
        <v>0.4</v>
      </c>
      <c r="D118" s="69" t="s">
        <v>66</v>
      </c>
      <c r="E118" s="137" t="s">
        <v>87</v>
      </c>
      <c r="F118" s="156">
        <v>2.0000000000000001E-4</v>
      </c>
      <c r="G118" s="156">
        <v>5.0000000000000001E-4</v>
      </c>
      <c r="H118" s="156">
        <v>1E-3</v>
      </c>
      <c r="I118" s="156">
        <v>1.5E-3</v>
      </c>
      <c r="J118" s="156" t="s">
        <v>87</v>
      </c>
      <c r="K118" s="156">
        <v>2.3E-3</v>
      </c>
      <c r="L118" s="156">
        <v>2.8E-3</v>
      </c>
      <c r="M118" s="156">
        <v>3.5000000000000001E-3</v>
      </c>
      <c r="N118" s="138" cm="1">
        <f t="array" aca="1" ref="N118:AE118" ca="1">IF(OR(B118="",NOT($J$2)),"",GetStripDefaultProbability(A118,B118,Parameter_Date,CDSRollDate,E118:M118,SpreadCurveMaturities,D118,C118,$J$4,$J$6))</f>
        <v>0</v>
      </c>
      <c r="O118" s="163">
        <f ca="1"/>
        <v>1.9952036681669671E-4</v>
      </c>
      <c r="P118" s="163">
        <f ca="1"/>
        <v>9.2426851716076452E-4</v>
      </c>
      <c r="Q118" s="163">
        <f ca="1"/>
        <v>3.5586016135200627E-3</v>
      </c>
      <c r="R118" s="163">
        <f ca="1"/>
        <v>7.9375249990072394E-3</v>
      </c>
      <c r="S118" s="163">
        <f ca="1"/>
        <v>0</v>
      </c>
      <c r="T118" s="163">
        <f ca="1"/>
        <v>2.0186614712244033E-2</v>
      </c>
      <c r="U118" s="163">
        <f ca="1"/>
        <v>3.4300502069881E-2</v>
      </c>
      <c r="V118" s="139">
        <f ca="1"/>
        <v>6.1477106599801878E-2</v>
      </c>
      <c r="W118" s="138">
        <f ca="1"/>
        <v>0</v>
      </c>
      <c r="X118" s="163">
        <f ca="1"/>
        <v>2.9926553473869077E-4</v>
      </c>
      <c r="Y118" s="163">
        <f ca="1"/>
        <v>1.0907672637936461E-3</v>
      </c>
      <c r="Z118" s="163">
        <f ca="1"/>
        <v>3.9092728740328653E-3</v>
      </c>
      <c r="AA118" s="163">
        <f ca="1"/>
        <v>8.4535498418172317E-3</v>
      </c>
      <c r="AB118" s="163">
        <f ca="1"/>
        <v>0</v>
      </c>
      <c r="AC118" s="163">
        <f ca="1"/>
        <v>2.1162160396224872E-2</v>
      </c>
      <c r="AD118" s="163">
        <f ca="1"/>
        <v>3.5965995004985984E-2</v>
      </c>
      <c r="AE118" s="139">
        <f ca="1"/>
        <v>6.4442301620043385E-2</v>
      </c>
      <c r="AH118" s="136"/>
      <c r="AI118" s="136"/>
      <c r="AJ118" s="136"/>
      <c r="AK118" s="136"/>
      <c r="AM118" s="136"/>
      <c r="AN118" s="136"/>
      <c r="AO118" s="136"/>
      <c r="AQ118" s="136"/>
      <c r="AR118" s="136"/>
      <c r="AS118" s="136"/>
      <c r="AT118" s="136"/>
      <c r="AV118" s="136"/>
      <c r="AW118" s="136"/>
      <c r="AX118" s="136"/>
    </row>
    <row r="119" spans="1:50" s="79" customFormat="1" ht="11.25">
      <c r="A119" s="96">
        <f t="shared" ca="1" si="3"/>
        <v>108</v>
      </c>
      <c r="B119" s="68" t="s">
        <v>196</v>
      </c>
      <c r="C119" s="97">
        <v>0.4</v>
      </c>
      <c r="D119" s="69" t="s">
        <v>66</v>
      </c>
      <c r="E119" s="137" t="s">
        <v>87</v>
      </c>
      <c r="F119" s="156">
        <v>5.9999999999999995E-4</v>
      </c>
      <c r="G119" s="156">
        <v>8.9999999999999998E-4</v>
      </c>
      <c r="H119" s="156">
        <v>1.6999999999999999E-3</v>
      </c>
      <c r="I119" s="156">
        <v>2.3999999999999998E-3</v>
      </c>
      <c r="J119" s="156" t="s">
        <v>87</v>
      </c>
      <c r="K119" s="156">
        <v>3.8E-3</v>
      </c>
      <c r="L119" s="156">
        <v>4.8999999999999998E-3</v>
      </c>
      <c r="M119" s="156">
        <v>6.4000000000000003E-3</v>
      </c>
      <c r="N119" s="138" cm="1">
        <f t="array" aca="1" ref="N119:AE119" ca="1">IF(OR(B119="",NOT($J$2)),"",GetStripDefaultProbability(A119,B119,Parameter_Date,CDSRollDate,E119:M119,SpreadCurveMaturities,D119,C119,$J$4,$J$6))</f>
        <v>0</v>
      </c>
      <c r="O119" s="163">
        <f ca="1"/>
        <v>5.9844205622783253E-4</v>
      </c>
      <c r="P119" s="163">
        <f ca="1"/>
        <v>1.6571087313170807E-3</v>
      </c>
      <c r="Q119" s="163">
        <f ca="1"/>
        <v>6.0343616143641032E-3</v>
      </c>
      <c r="R119" s="163">
        <f ca="1"/>
        <v>1.2648539688500993E-2</v>
      </c>
      <c r="S119" s="163">
        <f ca="1"/>
        <v>0</v>
      </c>
      <c r="T119" s="163">
        <f ca="1"/>
        <v>3.3211747844532735E-2</v>
      </c>
      <c r="U119" s="163">
        <f ca="1"/>
        <v>5.9782188979131567E-2</v>
      </c>
      <c r="V119" s="139">
        <f ca="1"/>
        <v>0.11130315550008352</v>
      </c>
      <c r="W119" s="138">
        <f ca="1"/>
        <v>0</v>
      </c>
      <c r="X119" s="163">
        <f ca="1"/>
        <v>6.9814675354706868E-4</v>
      </c>
      <c r="Y119" s="163">
        <f ca="1"/>
        <v>1.8234853480852964E-3</v>
      </c>
      <c r="Z119" s="163">
        <f ca="1"/>
        <v>6.3842316029241175E-3</v>
      </c>
      <c r="AA119" s="163">
        <f ca="1"/>
        <v>1.3270291358247976E-2</v>
      </c>
      <c r="AB119" s="163">
        <f ca="1"/>
        <v>0</v>
      </c>
      <c r="AC119" s="163">
        <f ca="1"/>
        <v>3.484063900757195E-2</v>
      </c>
      <c r="AD119" s="163">
        <f ca="1"/>
        <v>6.2690738446918748E-2</v>
      </c>
      <c r="AE119" s="139">
        <f ca="1"/>
        <v>0.11663074805022655</v>
      </c>
      <c r="AH119" s="136"/>
      <c r="AI119" s="136"/>
      <c r="AJ119" s="136"/>
      <c r="AK119" s="136"/>
      <c r="AM119" s="136"/>
      <c r="AN119" s="136"/>
      <c r="AO119" s="136"/>
      <c r="AQ119" s="136"/>
      <c r="AR119" s="136"/>
      <c r="AS119" s="136"/>
      <c r="AT119" s="136"/>
      <c r="AV119" s="136"/>
      <c r="AW119" s="136"/>
      <c r="AX119" s="136"/>
    </row>
    <row r="120" spans="1:50" s="79" customFormat="1" ht="11.25">
      <c r="A120" s="96">
        <f t="shared" ca="1" si="3"/>
        <v>109</v>
      </c>
      <c r="B120" s="68" t="s">
        <v>197</v>
      </c>
      <c r="C120" s="97">
        <v>0.4</v>
      </c>
      <c r="D120" s="69" t="s">
        <v>66</v>
      </c>
      <c r="E120" s="137" t="s">
        <v>87</v>
      </c>
      <c r="F120" s="156">
        <v>1.14E-3</v>
      </c>
      <c r="G120" s="156">
        <v>1.64E-3</v>
      </c>
      <c r="H120" s="156">
        <v>2.3600000000000001E-3</v>
      </c>
      <c r="I120" s="156">
        <v>2.9199999999999999E-3</v>
      </c>
      <c r="J120" s="156" t="s">
        <v>87</v>
      </c>
      <c r="K120" s="156">
        <v>4.0000000000000001E-3</v>
      </c>
      <c r="L120" s="156">
        <v>4.4000000000000003E-3</v>
      </c>
      <c r="M120" s="156">
        <v>4.7000000000000002E-3</v>
      </c>
      <c r="N120" s="138" cm="1">
        <f t="array" aca="1" ref="N120:AE120" ca="1">IF(OR(B120="",NOT($J$2)),"",GetStripDefaultProbability(A120,B120,Parameter_Date,CDSRollDate,E120:M120,SpreadCurveMaturities,D120,C120,$J$4,$J$6))</f>
        <v>0</v>
      </c>
      <c r="O120" s="163">
        <f ca="1"/>
        <v>1.1367347010834417E-3</v>
      </c>
      <c r="P120" s="163">
        <f ca="1"/>
        <v>3.0167150157023315E-3</v>
      </c>
      <c r="Q120" s="163">
        <f ca="1"/>
        <v>8.3357458205973733E-3</v>
      </c>
      <c r="R120" s="163">
        <f ca="1"/>
        <v>1.5275308452908365E-2</v>
      </c>
      <c r="S120" s="163">
        <f ca="1"/>
        <v>0</v>
      </c>
      <c r="T120" s="163">
        <f ca="1"/>
        <v>3.4611935088614709E-2</v>
      </c>
      <c r="U120" s="163">
        <f ca="1"/>
        <v>5.2690447926393769E-2</v>
      </c>
      <c r="V120" s="139">
        <f ca="1"/>
        <v>7.9236514310441208E-2</v>
      </c>
      <c r="W120" s="138">
        <f ca="1"/>
        <v>0</v>
      </c>
      <c r="X120" s="163">
        <f ca="1"/>
        <v>1.2363836139693829E-3</v>
      </c>
      <c r="Y120" s="163">
        <f ca="1"/>
        <v>3.1828650503140654E-3</v>
      </c>
      <c r="Z120" s="163">
        <f ca="1"/>
        <v>8.7491891942165223E-3</v>
      </c>
      <c r="AA120" s="163">
        <f ca="1"/>
        <v>1.6032232160833493E-2</v>
      </c>
      <c r="AB120" s="163">
        <f ca="1"/>
        <v>0</v>
      </c>
      <c r="AC120" s="163">
        <f ca="1"/>
        <v>3.6313110461688947E-2</v>
      </c>
      <c r="AD120" s="163">
        <f ca="1"/>
        <v>5.52602009243639E-2</v>
      </c>
      <c r="AE120" s="139">
        <f ca="1"/>
        <v>8.3041940205734077E-2</v>
      </c>
      <c r="AH120" s="136"/>
      <c r="AI120" s="136"/>
      <c r="AJ120" s="136"/>
      <c r="AK120" s="136"/>
      <c r="AM120" s="136"/>
      <c r="AN120" s="136"/>
      <c r="AO120" s="136"/>
      <c r="AQ120" s="136"/>
      <c r="AR120" s="136"/>
      <c r="AS120" s="136"/>
      <c r="AT120" s="136"/>
      <c r="AV120" s="136"/>
      <c r="AW120" s="136"/>
      <c r="AX120" s="136"/>
    </row>
    <row r="121" spans="1:50" s="79" customFormat="1" ht="11.25">
      <c r="A121" s="96">
        <f t="shared" ca="1" si="3"/>
        <v>110</v>
      </c>
      <c r="B121" s="68" t="s">
        <v>198</v>
      </c>
      <c r="C121" s="97">
        <v>0.4</v>
      </c>
      <c r="D121" s="69" t="s">
        <v>66</v>
      </c>
      <c r="E121" s="137" t="s">
        <v>87</v>
      </c>
      <c r="F121" s="156">
        <v>1.15E-3</v>
      </c>
      <c r="G121" s="156">
        <v>1.81E-3</v>
      </c>
      <c r="H121" s="156">
        <v>2.8E-3</v>
      </c>
      <c r="I121" s="156">
        <v>3.5000000000000001E-3</v>
      </c>
      <c r="J121" s="156" t="s">
        <v>87</v>
      </c>
      <c r="K121" s="156">
        <v>4.5999999999999999E-3</v>
      </c>
      <c r="L121" s="156">
        <v>5.1999999999999998E-3</v>
      </c>
      <c r="M121" s="156">
        <v>5.7000000000000002E-3</v>
      </c>
      <c r="N121" s="138" cm="1">
        <f t="array" aca="1" ref="N121:AE121" ca="1">IF(OR(B121="",NOT($J$2)),"",GetStripDefaultProbability(A121,B121,Parameter_Date,CDSRollDate,E121:M121,SpreadCurveMaturities,D121,C121,$J$4,$J$6))</f>
        <v>0</v>
      </c>
      <c r="O121" s="163">
        <f ca="1"/>
        <v>1.1467003581168145E-3</v>
      </c>
      <c r="P121" s="163">
        <f ca="1"/>
        <v>3.3318572044148675E-3</v>
      </c>
      <c r="Q121" s="163">
        <f ca="1"/>
        <v>9.8984298376574298E-3</v>
      </c>
      <c r="R121" s="163">
        <f ca="1"/>
        <v>1.8309326501480538E-2</v>
      </c>
      <c r="S121" s="163">
        <f ca="1"/>
        <v>0</v>
      </c>
      <c r="T121" s="163">
        <f ca="1"/>
        <v>3.9659348673085626E-2</v>
      </c>
      <c r="U121" s="163">
        <f ca="1"/>
        <v>6.2142756136775668E-2</v>
      </c>
      <c r="V121" s="139">
        <f ca="1"/>
        <v>9.5936337618325762E-2</v>
      </c>
      <c r="W121" s="138">
        <f ca="1"/>
        <v>0</v>
      </c>
      <c r="X121" s="163">
        <f ca="1"/>
        <v>1.2463482251061642E-3</v>
      </c>
      <c r="Y121" s="163">
        <f ca="1"/>
        <v>3.4979547197019345E-3</v>
      </c>
      <c r="Z121" s="163">
        <f ca="1"/>
        <v>1.0389982203571457E-2</v>
      </c>
      <c r="AA121" s="163">
        <f ca="1"/>
        <v>1.9216435378708985E-2</v>
      </c>
      <c r="AB121" s="163">
        <f ca="1"/>
        <v>0</v>
      </c>
      <c r="AC121" s="163">
        <f ca="1"/>
        <v>4.1604470504921109E-2</v>
      </c>
      <c r="AD121" s="163">
        <f ca="1"/>
        <v>6.5161315998461755E-2</v>
      </c>
      <c r="AE121" s="139">
        <f ca="1"/>
        <v>0.10050760207043041</v>
      </c>
      <c r="AH121" s="136"/>
      <c r="AI121" s="136"/>
      <c r="AJ121" s="136"/>
      <c r="AK121" s="136"/>
      <c r="AM121" s="136"/>
      <c r="AN121" s="136"/>
      <c r="AO121" s="136"/>
      <c r="AQ121" s="136"/>
      <c r="AR121" s="136"/>
      <c r="AS121" s="136"/>
      <c r="AT121" s="136"/>
      <c r="AV121" s="136"/>
      <c r="AW121" s="136"/>
      <c r="AX121" s="136"/>
    </row>
    <row r="122" spans="1:50" s="79" customFormat="1" ht="11.25">
      <c r="A122" s="96">
        <f t="shared" ca="1" si="3"/>
        <v>111</v>
      </c>
      <c r="B122" s="68" t="s">
        <v>199</v>
      </c>
      <c r="C122" s="97">
        <v>0.4</v>
      </c>
      <c r="D122" s="69" t="s">
        <v>66</v>
      </c>
      <c r="E122" s="137" t="s">
        <v>87</v>
      </c>
      <c r="F122" s="156">
        <v>2.9999999999999997E-4</v>
      </c>
      <c r="G122" s="156">
        <v>2.9999999999999997E-4</v>
      </c>
      <c r="H122" s="156">
        <v>6.9999999999999999E-4</v>
      </c>
      <c r="I122" s="156">
        <v>1E-3</v>
      </c>
      <c r="J122" s="156" t="s">
        <v>87</v>
      </c>
      <c r="K122" s="156">
        <v>1.6999999999999999E-3</v>
      </c>
      <c r="L122" s="156">
        <v>2.2000000000000001E-3</v>
      </c>
      <c r="M122" s="156">
        <v>2.8E-3</v>
      </c>
      <c r="N122" s="138" cm="1">
        <f t="array" aca="1" ref="N122:AE122" ca="1">IF(OR(B122="",NOT($J$2)),"",GetStripDefaultProbability(A122,B122,Parameter_Date,CDSRollDate,E122:M122,SpreadCurveMaturities,D122,C122,$J$4,$J$6))</f>
        <v>0</v>
      </c>
      <c r="O122" s="163">
        <f ca="1"/>
        <v>2.9926566746929506E-4</v>
      </c>
      <c r="P122" s="163">
        <f ca="1"/>
        <v>5.5010443373293416E-4</v>
      </c>
      <c r="Q122" s="163">
        <f ca="1"/>
        <v>2.4909994946761271E-3</v>
      </c>
      <c r="R122" s="163">
        <f ca="1"/>
        <v>5.2887442566346143E-3</v>
      </c>
      <c r="S122" s="163">
        <f ca="1"/>
        <v>0</v>
      </c>
      <c r="T122" s="163">
        <f ca="1"/>
        <v>1.4996410078114919E-2</v>
      </c>
      <c r="U122" s="163">
        <f ca="1"/>
        <v>2.7205784203157779E-2</v>
      </c>
      <c r="V122" s="139">
        <f ca="1"/>
        <v>4.9699114308035308E-2</v>
      </c>
      <c r="W122" s="138">
        <f ca="1"/>
        <v>0</v>
      </c>
      <c r="X122" s="163">
        <f ca="1"/>
        <v>3.9900078367871572E-4</v>
      </c>
      <c r="Y122" s="163">
        <f ca="1"/>
        <v>7.1666553585658654E-4</v>
      </c>
      <c r="Z122" s="163">
        <f ca="1"/>
        <v>2.8419887185339165E-3</v>
      </c>
      <c r="AA122" s="163">
        <f ca="1"/>
        <v>5.8059180169094393E-3</v>
      </c>
      <c r="AB122" s="163">
        <f ca="1"/>
        <v>0</v>
      </c>
      <c r="AC122" s="163">
        <f ca="1"/>
        <v>1.5840525659871596E-2</v>
      </c>
      <c r="AD122" s="163">
        <f ca="1"/>
        <v>2.8500185240176723E-2</v>
      </c>
      <c r="AE122" s="139">
        <f ca="1"/>
        <v>5.2079667909995297E-2</v>
      </c>
      <c r="AH122" s="136"/>
      <c r="AI122" s="136"/>
      <c r="AJ122" s="136"/>
      <c r="AK122" s="136"/>
      <c r="AM122" s="136"/>
      <c r="AN122" s="136"/>
      <c r="AO122" s="136"/>
      <c r="AQ122" s="136"/>
      <c r="AR122" s="136"/>
      <c r="AS122" s="136"/>
      <c r="AT122" s="136"/>
      <c r="AV122" s="136"/>
      <c r="AW122" s="136"/>
      <c r="AX122" s="136"/>
    </row>
    <row r="123" spans="1:50" s="79" customFormat="1" ht="11.25">
      <c r="A123" s="96">
        <f t="shared" ca="1" si="3"/>
        <v>112</v>
      </c>
      <c r="B123" s="68" t="s">
        <v>200</v>
      </c>
      <c r="C123" s="97">
        <v>0.4</v>
      </c>
      <c r="D123" s="69" t="s">
        <v>66</v>
      </c>
      <c r="E123" s="137" t="s">
        <v>87</v>
      </c>
      <c r="F123" s="156">
        <v>6.9999999999999999E-4</v>
      </c>
      <c r="G123" s="156">
        <v>1.1999999999999999E-3</v>
      </c>
      <c r="H123" s="156">
        <v>1.9E-3</v>
      </c>
      <c r="I123" s="156">
        <v>2.5999999999999999E-3</v>
      </c>
      <c r="J123" s="156" t="s">
        <v>87</v>
      </c>
      <c r="K123" s="156">
        <v>3.8E-3</v>
      </c>
      <c r="L123" s="156">
        <v>4.5999999999999999E-3</v>
      </c>
      <c r="M123" s="156">
        <v>5.4999999999999997E-3</v>
      </c>
      <c r="N123" s="138" cm="1">
        <f t="array" aca="1" ref="N123:AE123" ca="1">IF(OR(B123="",NOT($J$2)),"",GetStripDefaultProbability(A123,B123,Parameter_Date,CDSRollDate,E123:M123,SpreadCurveMaturities,D123,C123,$J$4,$J$6))</f>
        <v>0</v>
      </c>
      <c r="O123" s="163">
        <f ca="1"/>
        <v>6.98147686336692E-4</v>
      </c>
      <c r="P123" s="163">
        <f ca="1"/>
        <v>2.2115762542517237E-3</v>
      </c>
      <c r="Q123" s="163">
        <f ca="1"/>
        <v>6.7290368381808241E-3</v>
      </c>
      <c r="R123" s="163">
        <f ca="1"/>
        <v>1.3671012845896779E-2</v>
      </c>
      <c r="S123" s="163">
        <f ca="1"/>
        <v>0</v>
      </c>
      <c r="T123" s="163">
        <f ca="1"/>
        <v>3.3070622243052572E-2</v>
      </c>
      <c r="U123" s="163">
        <f ca="1"/>
        <v>5.5740616955878397E-2</v>
      </c>
      <c r="V123" s="139">
        <f ca="1"/>
        <v>9.4622414925461973E-2</v>
      </c>
      <c r="W123" s="138">
        <f ca="1"/>
        <v>0</v>
      </c>
      <c r="X123" s="163">
        <f ca="1"/>
        <v>7.9784215457201491E-4</v>
      </c>
      <c r="Y123" s="163">
        <f ca="1"/>
        <v>2.3778604674680182E-3</v>
      </c>
      <c r="Z123" s="163">
        <f ca="1"/>
        <v>7.0786469571798571E-3</v>
      </c>
      <c r="AA123" s="163">
        <f ca="1"/>
        <v>1.4346066709864824E-2</v>
      </c>
      <c r="AB123" s="163">
        <f ca="1"/>
        <v>0</v>
      </c>
      <c r="AC123" s="163">
        <f ca="1"/>
        <v>3.4695022859932423E-2</v>
      </c>
      <c r="AD123" s="163">
        <f ca="1"/>
        <v>5.8456912555394869E-2</v>
      </c>
      <c r="AE123" s="139">
        <f ca="1"/>
        <v>9.9144220580491438E-2</v>
      </c>
      <c r="AH123" s="136"/>
      <c r="AI123" s="136"/>
      <c r="AJ123" s="136"/>
      <c r="AK123" s="136"/>
      <c r="AM123" s="136"/>
      <c r="AN123" s="136"/>
      <c r="AO123" s="136"/>
      <c r="AQ123" s="136"/>
      <c r="AR123" s="136"/>
      <c r="AS123" s="136"/>
      <c r="AT123" s="136"/>
      <c r="AV123" s="136"/>
      <c r="AW123" s="136"/>
      <c r="AX123" s="136"/>
    </row>
    <row r="124" spans="1:50" s="79" customFormat="1" ht="11.25">
      <c r="A124" s="96">
        <f t="shared" ca="1" si="3"/>
        <v>113</v>
      </c>
      <c r="B124" s="68" t="s">
        <v>201</v>
      </c>
      <c r="C124" s="97">
        <v>0.4</v>
      </c>
      <c r="D124" s="69" t="s">
        <v>66</v>
      </c>
      <c r="E124" s="137" t="s">
        <v>87</v>
      </c>
      <c r="F124" s="156">
        <v>5.9999999999999995E-4</v>
      </c>
      <c r="G124" s="156">
        <v>8.0000000000000004E-4</v>
      </c>
      <c r="H124" s="156">
        <v>1.4E-3</v>
      </c>
      <c r="I124" s="156">
        <v>2E-3</v>
      </c>
      <c r="J124" s="156" t="s">
        <v>87</v>
      </c>
      <c r="K124" s="156">
        <v>3.0999999999999999E-3</v>
      </c>
      <c r="L124" s="156">
        <v>3.8999999999999998E-3</v>
      </c>
      <c r="M124" s="156">
        <v>4.7000000000000002E-3</v>
      </c>
      <c r="N124" s="138" cm="1">
        <f t="array" aca="1" ref="N124:AE124" ca="1">IF(OR(B124="",NOT($J$2)),"",GetStripDefaultProbability(A124,B124,Parameter_Date,CDSRollDate,E124:M124,SpreadCurveMaturities,D124,C124,$J$4,$J$6))</f>
        <v>0</v>
      </c>
      <c r="O124" s="163">
        <f ca="1"/>
        <v>5.9844205622783253E-4</v>
      </c>
      <c r="P124" s="163">
        <f ca="1"/>
        <v>1.4713900701842642E-3</v>
      </c>
      <c r="Q124" s="163">
        <f ca="1"/>
        <v>4.9648127830491662E-3</v>
      </c>
      <c r="R124" s="163">
        <f ca="1"/>
        <v>1.0545129428882083E-2</v>
      </c>
      <c r="S124" s="163">
        <f ca="1"/>
        <v>0</v>
      </c>
      <c r="T124" s="163">
        <f ca="1"/>
        <v>2.7124298652842049E-2</v>
      </c>
      <c r="U124" s="163">
        <f ca="1"/>
        <v>4.765993804316393E-2</v>
      </c>
      <c r="V124" s="139">
        <f ca="1"/>
        <v>8.1631941498346516E-2</v>
      </c>
      <c r="W124" s="138">
        <f ca="1"/>
        <v>0</v>
      </c>
      <c r="X124" s="163">
        <f ca="1"/>
        <v>6.9814675354706868E-4</v>
      </c>
      <c r="Y124" s="163">
        <f ca="1"/>
        <v>1.6377976374900571E-3</v>
      </c>
      <c r="Z124" s="163">
        <f ca="1"/>
        <v>5.3150020644165963E-3</v>
      </c>
      <c r="AA124" s="163">
        <f ca="1"/>
        <v>1.1059885503685307E-2</v>
      </c>
      <c r="AB124" s="163">
        <f ca="1"/>
        <v>0</v>
      </c>
      <c r="AC124" s="163">
        <f ca="1"/>
        <v>2.8453957889656656E-2</v>
      </c>
      <c r="AD124" s="163">
        <f ca="1"/>
        <v>4.9985643012915748E-2</v>
      </c>
      <c r="AE124" s="139">
        <f ca="1"/>
        <v>8.5554293537967618E-2</v>
      </c>
      <c r="AH124" s="136"/>
      <c r="AI124" s="136"/>
      <c r="AJ124" s="136"/>
      <c r="AK124" s="136"/>
      <c r="AM124" s="136"/>
      <c r="AN124" s="136"/>
      <c r="AO124" s="136"/>
      <c r="AQ124" s="136"/>
      <c r="AR124" s="136"/>
      <c r="AS124" s="136"/>
      <c r="AT124" s="136"/>
      <c r="AV124" s="136"/>
      <c r="AW124" s="136"/>
      <c r="AX124" s="136"/>
    </row>
    <row r="125" spans="1:50" s="79" customFormat="1" ht="11.25">
      <c r="A125" s="96">
        <f t="shared" ca="1" si="3"/>
        <v>114</v>
      </c>
      <c r="B125" s="68" t="s">
        <v>202</v>
      </c>
      <c r="C125" s="97">
        <v>0.4</v>
      </c>
      <c r="D125" s="69" t="s">
        <v>66</v>
      </c>
      <c r="E125" s="137" t="s">
        <v>87</v>
      </c>
      <c r="F125" s="156">
        <v>2.0999999999999999E-3</v>
      </c>
      <c r="G125" s="156">
        <v>2.0999999999999999E-3</v>
      </c>
      <c r="H125" s="156">
        <v>3.8E-3</v>
      </c>
      <c r="I125" s="156">
        <v>7.1000000000000004E-3</v>
      </c>
      <c r="J125" s="156" t="s">
        <v>87</v>
      </c>
      <c r="K125" s="156">
        <v>9.5999999999999992E-3</v>
      </c>
      <c r="L125" s="156">
        <v>1.15E-2</v>
      </c>
      <c r="M125" s="156">
        <v>1.32E-2</v>
      </c>
      <c r="N125" s="138" cm="1">
        <f t="array" aca="1" ref="N125:AE125" ca="1">IF(OR(B125="",NOT($J$2)),"",GetStripDefaultProbability(A125,B125,Parameter_Date,CDSRollDate,E125:M125,SpreadCurveMaturities,D125,C125,$J$4,$J$6))</f>
        <v>0</v>
      </c>
      <c r="O125" s="163">
        <f ca="1"/>
        <v>2.0929862162898383E-3</v>
      </c>
      <c r="P125" s="163">
        <f ca="1"/>
        <v>3.8443811881150314E-3</v>
      </c>
      <c r="Q125" s="163">
        <f ca="1"/>
        <v>1.3425011327180214E-2</v>
      </c>
      <c r="R125" s="163">
        <f ca="1"/>
        <v>3.7372144616135028E-2</v>
      </c>
      <c r="S125" s="163">
        <f ca="1"/>
        <v>0</v>
      </c>
      <c r="T125" s="163">
        <f ca="1"/>
        <v>8.2033013392786014E-2</v>
      </c>
      <c r="U125" s="163">
        <f ca="1"/>
        <v>0.13490027212890188</v>
      </c>
      <c r="V125" s="139">
        <f ca="1"/>
        <v>0.21402665422858758</v>
      </c>
      <c r="W125" s="138">
        <f ca="1"/>
        <v>0</v>
      </c>
      <c r="X125" s="163">
        <f ca="1"/>
        <v>2.1975100232369815E-3</v>
      </c>
      <c r="Y125" s="163">
        <f ca="1"/>
        <v>4.036205793413572E-3</v>
      </c>
      <c r="Z125" s="163">
        <f ca="1"/>
        <v>1.4092266803199971E-2</v>
      </c>
      <c r="AA125" s="163">
        <f ca="1"/>
        <v>3.9215287227256201E-2</v>
      </c>
      <c r="AB125" s="163">
        <f ca="1"/>
        <v>0</v>
      </c>
      <c r="AC125" s="163">
        <f ca="1"/>
        <v>8.6004265330817953E-2</v>
      </c>
      <c r="AD125" s="163">
        <f ca="1"/>
        <v>0.1412753667268245</v>
      </c>
      <c r="AE125" s="139">
        <f ca="1"/>
        <v>0.22372780085431043</v>
      </c>
      <c r="AH125" s="136"/>
      <c r="AI125" s="136"/>
      <c r="AJ125" s="136"/>
      <c r="AK125" s="136"/>
      <c r="AM125" s="136"/>
      <c r="AN125" s="136"/>
      <c r="AO125" s="136"/>
      <c r="AQ125" s="136"/>
      <c r="AR125" s="136"/>
      <c r="AS125" s="136"/>
      <c r="AT125" s="136"/>
      <c r="AV125" s="136"/>
      <c r="AW125" s="136"/>
      <c r="AX125" s="136"/>
    </row>
    <row r="126" spans="1:50" s="79" customFormat="1" ht="11.25">
      <c r="A126" s="96">
        <f t="shared" ca="1" si="3"/>
        <v>115</v>
      </c>
      <c r="B126" s="68" t="s">
        <v>203</v>
      </c>
      <c r="C126" s="97">
        <v>0.4</v>
      </c>
      <c r="D126" s="69" t="s">
        <v>66</v>
      </c>
      <c r="E126" s="137" t="s">
        <v>87</v>
      </c>
      <c r="F126" s="156">
        <v>1.4E-3</v>
      </c>
      <c r="G126" s="156">
        <v>1.6999999999999999E-3</v>
      </c>
      <c r="H126" s="156">
        <v>3.2000000000000002E-3</v>
      </c>
      <c r="I126" s="156">
        <v>4.4000000000000003E-3</v>
      </c>
      <c r="J126" s="156" t="s">
        <v>87</v>
      </c>
      <c r="K126" s="156">
        <v>6.4000000000000003E-3</v>
      </c>
      <c r="L126" s="156">
        <v>8.0000000000000002E-3</v>
      </c>
      <c r="M126" s="156">
        <v>9.2999999999999992E-3</v>
      </c>
      <c r="N126" s="138" cm="1">
        <f t="array" aca="1" ref="N126:AE126" ca="1">IF(OR(B126="",NOT($J$2)),"",GetStripDefaultProbability(A126,B126,Parameter_Date,CDSRollDate,E126:M126,SpreadCurveMaturities,D126,C126,$J$4,$J$6))</f>
        <v>0</v>
      </c>
      <c r="O126" s="163">
        <f ca="1"/>
        <v>1.3958095894961442E-3</v>
      </c>
      <c r="P126" s="163">
        <f ca="1"/>
        <v>3.1211769014234392E-3</v>
      </c>
      <c r="Q126" s="163">
        <f ca="1"/>
        <v>1.1329240461688039E-2</v>
      </c>
      <c r="R126" s="163">
        <f ca="1"/>
        <v>2.3075996535224852E-2</v>
      </c>
      <c r="S126" s="163">
        <f ca="1"/>
        <v>0</v>
      </c>
      <c r="T126" s="163">
        <f ca="1"/>
        <v>5.5251889635772544E-2</v>
      </c>
      <c r="U126" s="163">
        <f ca="1"/>
        <v>9.5779877418017634E-2</v>
      </c>
      <c r="V126" s="139">
        <f ca="1"/>
        <v>0.15557128644305251</v>
      </c>
      <c r="W126" s="138">
        <f ca="1"/>
        <v>0</v>
      </c>
      <c r="X126" s="163">
        <f ca="1"/>
        <v>1.4954311526670372E-3</v>
      </c>
      <c r="Y126" s="163">
        <f ca="1"/>
        <v>3.2873095271738206E-3</v>
      </c>
      <c r="Z126" s="163">
        <f ca="1"/>
        <v>1.1891696438945942E-2</v>
      </c>
      <c r="AA126" s="163">
        <f ca="1"/>
        <v>2.4217826162638234E-2</v>
      </c>
      <c r="AB126" s="163">
        <f ca="1"/>
        <v>0</v>
      </c>
      <c r="AC126" s="163">
        <f ca="1"/>
        <v>5.7944331310995412E-2</v>
      </c>
      <c r="AD126" s="163">
        <f ca="1"/>
        <v>0.10037216411304162</v>
      </c>
      <c r="AE126" s="139">
        <f ca="1"/>
        <v>0.16284559244214536</v>
      </c>
      <c r="AH126" s="136"/>
      <c r="AI126" s="136"/>
      <c r="AJ126" s="136"/>
      <c r="AK126" s="136"/>
      <c r="AM126" s="136"/>
      <c r="AN126" s="136"/>
      <c r="AO126" s="136"/>
      <c r="AQ126" s="136"/>
      <c r="AR126" s="136"/>
      <c r="AS126" s="136"/>
      <c r="AT126" s="136"/>
      <c r="AV126" s="136"/>
      <c r="AW126" s="136"/>
      <c r="AX126" s="136"/>
    </row>
    <row r="127" spans="1:50" s="79" customFormat="1" ht="11.25">
      <c r="A127" s="96">
        <f t="shared" ca="1" si="3"/>
        <v>116</v>
      </c>
      <c r="B127" s="68" t="s">
        <v>204</v>
      </c>
      <c r="C127" s="97">
        <v>0.4</v>
      </c>
      <c r="D127" s="69" t="s">
        <v>66</v>
      </c>
      <c r="E127" s="137" t="s">
        <v>87</v>
      </c>
      <c r="F127" s="156">
        <v>2.9999999999999997E-4</v>
      </c>
      <c r="G127" s="156">
        <v>5.9999999999999995E-4</v>
      </c>
      <c r="H127" s="156">
        <v>1.1000000000000001E-3</v>
      </c>
      <c r="I127" s="156">
        <v>1.4E-3</v>
      </c>
      <c r="J127" s="156" t="s">
        <v>87</v>
      </c>
      <c r="K127" s="156">
        <v>2.2000000000000001E-3</v>
      </c>
      <c r="L127" s="156">
        <v>2.5999999999999999E-3</v>
      </c>
      <c r="M127" s="156">
        <v>3.0999999999999999E-3</v>
      </c>
      <c r="N127" s="138" cm="1">
        <f t="array" aca="1" ref="N127:AE127" ca="1">IF(OR(B127="",NOT($J$2)),"",GetStripDefaultProbability(A127,B127,Parameter_Date,CDSRollDate,E127:M127,SpreadCurveMaturities,D127,C127,$J$4,$J$6))</f>
        <v>0</v>
      </c>
      <c r="O127" s="163">
        <f ca="1"/>
        <v>2.9926566746929506E-4</v>
      </c>
      <c r="P127" s="163">
        <f ca="1"/>
        <v>1.1075289891454565E-3</v>
      </c>
      <c r="Q127" s="163">
        <f ca="1"/>
        <v>3.9087248521947338E-3</v>
      </c>
      <c r="R127" s="163">
        <f ca="1"/>
        <v>7.370520624523258E-3</v>
      </c>
      <c r="S127" s="163">
        <f ca="1"/>
        <v>0</v>
      </c>
      <c r="T127" s="163">
        <f ca="1"/>
        <v>1.92931104465901E-2</v>
      </c>
      <c r="U127" s="163">
        <f ca="1"/>
        <v>3.17757068228669E-2</v>
      </c>
      <c r="V127" s="139">
        <f ca="1"/>
        <v>5.4149539225119447E-2</v>
      </c>
      <c r="W127" s="138">
        <f ca="1"/>
        <v>0</v>
      </c>
      <c r="X127" s="163">
        <f ca="1"/>
        <v>3.9900078367871572E-4</v>
      </c>
      <c r="Y127" s="163">
        <f ca="1"/>
        <v>1.2739971949056184E-3</v>
      </c>
      <c r="Z127" s="163">
        <f ca="1"/>
        <v>4.2592716513922824E-3</v>
      </c>
      <c r="AA127" s="163">
        <f ca="1"/>
        <v>7.8866685134076908E-3</v>
      </c>
      <c r="AB127" s="163">
        <f ca="1"/>
        <v>0</v>
      </c>
      <c r="AC127" s="163">
        <f ca="1"/>
        <v>2.0224054310295836E-2</v>
      </c>
      <c r="AD127" s="163">
        <f ca="1"/>
        <v>3.3317553760871976E-2</v>
      </c>
      <c r="AE127" s="139">
        <f ca="1"/>
        <v>5.6765268740170738E-2</v>
      </c>
      <c r="AH127" s="136"/>
      <c r="AI127" s="136"/>
      <c r="AJ127" s="136"/>
      <c r="AK127" s="136"/>
      <c r="AM127" s="136"/>
      <c r="AN127" s="136"/>
      <c r="AO127" s="136"/>
      <c r="AQ127" s="136"/>
      <c r="AR127" s="136"/>
      <c r="AS127" s="136"/>
      <c r="AT127" s="136"/>
      <c r="AV127" s="136"/>
      <c r="AW127" s="136"/>
      <c r="AX127" s="136"/>
    </row>
    <row r="128" spans="1:50" s="79" customFormat="1" ht="11.25">
      <c r="A128" s="96">
        <f t="shared" ca="1" si="3"/>
        <v>117</v>
      </c>
      <c r="B128" s="68" t="s">
        <v>205</v>
      </c>
      <c r="C128" s="97">
        <v>0.4</v>
      </c>
      <c r="D128" s="69" t="s">
        <v>66</v>
      </c>
      <c r="E128" s="137" t="s">
        <v>87</v>
      </c>
      <c r="F128" s="156">
        <v>5.0000000000000001E-4</v>
      </c>
      <c r="G128" s="156">
        <v>1.1000000000000001E-3</v>
      </c>
      <c r="H128" s="156">
        <v>1.9E-3</v>
      </c>
      <c r="I128" s="156">
        <v>2.5000000000000001E-3</v>
      </c>
      <c r="J128" s="156" t="s">
        <v>87</v>
      </c>
      <c r="K128" s="156">
        <v>3.8E-3</v>
      </c>
      <c r="L128" s="156">
        <v>4.5999999999999999E-3</v>
      </c>
      <c r="M128" s="156">
        <v>5.5999999999999999E-3</v>
      </c>
      <c r="N128" s="138" cm="1">
        <f t="array" aca="1" ref="N128:AE128" ca="1">IF(OR(B128="",NOT($J$2)),"",GetStripDefaultProbability(A128,B128,Parameter_Date,CDSRollDate,E128:M128,SpreadCurveMaturities,D128,C128,$J$4,$J$6))</f>
        <v>0</v>
      </c>
      <c r="O128" s="163">
        <f ca="1"/>
        <v>4.9872651070981266E-4</v>
      </c>
      <c r="P128" s="163">
        <f ca="1"/>
        <v>2.031085980992442E-3</v>
      </c>
      <c r="Q128" s="163">
        <f ca="1"/>
        <v>6.7409126160101751E-3</v>
      </c>
      <c r="R128" s="163">
        <f ca="1"/>
        <v>1.3143430507000731E-2</v>
      </c>
      <c r="S128" s="163">
        <f ca="1"/>
        <v>0</v>
      </c>
      <c r="T128" s="163">
        <f ca="1"/>
        <v>3.3124108583041156E-2</v>
      </c>
      <c r="U128" s="163">
        <f ca="1"/>
        <v>5.579458676885285E-2</v>
      </c>
      <c r="V128" s="139">
        <f ca="1"/>
        <v>9.6561445438107518E-2</v>
      </c>
      <c r="W128" s="138">
        <f ca="1"/>
        <v>0</v>
      </c>
      <c r="X128" s="163">
        <f ca="1"/>
        <v>5.9844139207421154E-4</v>
      </c>
      <c r="Y128" s="163">
        <f ca="1"/>
        <v>2.1974002734161946E-3</v>
      </c>
      <c r="Z128" s="163">
        <f ca="1"/>
        <v>7.0905553041267222E-3</v>
      </c>
      <c r="AA128" s="163">
        <f ca="1"/>
        <v>1.3791795043229138E-2</v>
      </c>
      <c r="AB128" s="163">
        <f ca="1"/>
        <v>0</v>
      </c>
      <c r="AC128" s="163">
        <f ca="1"/>
        <v>3.4750660456767335E-2</v>
      </c>
      <c r="AD128" s="163">
        <f ca="1"/>
        <v>5.8513300772592203E-2</v>
      </c>
      <c r="AE128" s="139">
        <f ca="1"/>
        <v>0.10119874104391513</v>
      </c>
      <c r="AH128" s="136"/>
      <c r="AI128" s="136"/>
      <c r="AJ128" s="136"/>
      <c r="AK128" s="136"/>
      <c r="AM128" s="136"/>
      <c r="AN128" s="136"/>
      <c r="AO128" s="136"/>
      <c r="AQ128" s="136"/>
      <c r="AR128" s="136"/>
      <c r="AS128" s="136"/>
      <c r="AT128" s="136"/>
      <c r="AV128" s="136"/>
      <c r="AW128" s="136"/>
      <c r="AX128" s="136"/>
    </row>
    <row r="129" spans="1:50" s="79" customFormat="1" ht="11.25">
      <c r="A129" s="96">
        <f t="shared" ca="1" si="3"/>
        <v>118</v>
      </c>
      <c r="B129" s="68" t="s">
        <v>206</v>
      </c>
      <c r="C129" s="97">
        <v>0.4</v>
      </c>
      <c r="D129" s="69" t="s">
        <v>66</v>
      </c>
      <c r="E129" s="137" t="s">
        <v>87</v>
      </c>
      <c r="F129" s="156">
        <v>1E-3</v>
      </c>
      <c r="G129" s="156">
        <v>1.6000000000000001E-3</v>
      </c>
      <c r="H129" s="156">
        <v>2.3999999999999998E-3</v>
      </c>
      <c r="I129" s="156">
        <v>3.0999999999999999E-3</v>
      </c>
      <c r="J129" s="156" t="s">
        <v>87</v>
      </c>
      <c r="K129" s="156">
        <v>5.1999999999999998E-3</v>
      </c>
      <c r="L129" s="156">
        <v>6.3E-3</v>
      </c>
      <c r="M129" s="156">
        <v>7.1999999999999998E-3</v>
      </c>
      <c r="N129" s="138" cm="1">
        <f t="array" aca="1" ref="N129:AE129" ca="1">IF(OR(B129="",NOT($J$2)),"",GetStripDefaultProbability(A129,B129,Parameter_Date,CDSRollDate,E129:M129,SpreadCurveMaturities,D129,C129,$J$4,$J$6))</f>
        <v>0</v>
      </c>
      <c r="O129" s="163">
        <f ca="1"/>
        <v>9.9720509892320397E-4</v>
      </c>
      <c r="P129" s="163">
        <f ca="1"/>
        <v>2.9461785444060418E-3</v>
      </c>
      <c r="Q129" s="163">
        <f ca="1"/>
        <v>8.4853731346655747E-3</v>
      </c>
      <c r="R129" s="163">
        <f ca="1"/>
        <v>1.6244762687902758E-2</v>
      </c>
      <c r="S129" s="163">
        <f ca="1"/>
        <v>0</v>
      </c>
      <c r="T129" s="163">
        <f ca="1"/>
        <v>4.5290086842711186E-2</v>
      </c>
      <c r="U129" s="163">
        <f ca="1"/>
        <v>7.5997666948731557E-2</v>
      </c>
      <c r="V129" s="139">
        <f ca="1"/>
        <v>0.12182472927298338</v>
      </c>
      <c r="W129" s="138">
        <f ca="1"/>
        <v>0</v>
      </c>
      <c r="X129" s="163">
        <f ca="1"/>
        <v>1.0968686047534426E-3</v>
      </c>
      <c r="Y129" s="163">
        <f ca="1"/>
        <v>3.1123403341233313E-3</v>
      </c>
      <c r="Z129" s="163">
        <f ca="1"/>
        <v>8.9059484125890709E-3</v>
      </c>
      <c r="AA129" s="163">
        <f ca="1"/>
        <v>1.704932613092125E-2</v>
      </c>
      <c r="AB129" s="163">
        <f ca="1"/>
        <v>0</v>
      </c>
      <c r="AC129" s="163">
        <f ca="1"/>
        <v>4.750725392606503E-2</v>
      </c>
      <c r="AD129" s="163">
        <f ca="1"/>
        <v>7.9674677025391882E-2</v>
      </c>
      <c r="AE129" s="139">
        <f ca="1"/>
        <v>0.12760428614109021</v>
      </c>
      <c r="AH129" s="136"/>
      <c r="AI129" s="136"/>
      <c r="AJ129" s="136"/>
      <c r="AK129" s="136"/>
      <c r="AM129" s="136"/>
      <c r="AN129" s="136"/>
      <c r="AO129" s="136"/>
      <c r="AQ129" s="136"/>
      <c r="AR129" s="136"/>
      <c r="AS129" s="136"/>
      <c r="AT129" s="136"/>
      <c r="AV129" s="136"/>
      <c r="AW129" s="136"/>
      <c r="AX129" s="136"/>
    </row>
    <row r="130" spans="1:50" s="79" customFormat="1" ht="11.25">
      <c r="A130" s="96">
        <f t="shared" ca="1" si="3"/>
        <v>119</v>
      </c>
      <c r="B130" s="68" t="s">
        <v>207</v>
      </c>
      <c r="C130" s="97">
        <v>0.4</v>
      </c>
      <c r="D130" s="69" t="s">
        <v>66</v>
      </c>
      <c r="E130" s="137" t="s">
        <v>87</v>
      </c>
      <c r="F130" s="156">
        <v>6.9999999999999999E-4</v>
      </c>
      <c r="G130" s="156">
        <v>1E-3</v>
      </c>
      <c r="H130" s="156">
        <v>1.6999999999999999E-3</v>
      </c>
      <c r="I130" s="156">
        <v>2.3999999999999998E-3</v>
      </c>
      <c r="J130" s="156" t="s">
        <v>87</v>
      </c>
      <c r="K130" s="156">
        <v>3.8E-3</v>
      </c>
      <c r="L130" s="156">
        <v>4.7999999999999996E-3</v>
      </c>
      <c r="M130" s="156">
        <v>6.0000000000000001E-3</v>
      </c>
      <c r="N130" s="138" cm="1">
        <f t="array" aca="1" ref="N130:AE130" ca="1">IF(OR(B130="",NOT($J$2)),"",GetStripDefaultProbability(A130,B130,Parameter_Date,CDSRollDate,E130:M130,SpreadCurveMaturities,D130,C130,$J$4,$J$6))</f>
        <v>0</v>
      </c>
      <c r="O130" s="163">
        <f ca="1"/>
        <v>6.98147686336692E-4</v>
      </c>
      <c r="P130" s="163">
        <f ca="1"/>
        <v>1.8402347754473691E-3</v>
      </c>
      <c r="Q130" s="163">
        <f ca="1"/>
        <v>6.0252019880088215E-3</v>
      </c>
      <c r="R130" s="163">
        <f ca="1"/>
        <v>1.2639187508017513E-2</v>
      </c>
      <c r="S130" s="163">
        <f ca="1"/>
        <v>0</v>
      </c>
      <c r="T130" s="163">
        <f ca="1"/>
        <v>3.3202036496963516E-2</v>
      </c>
      <c r="U130" s="163">
        <f ca="1"/>
        <v>5.8473047304337555E-2</v>
      </c>
      <c r="V130" s="139">
        <f ca="1"/>
        <v>0.10388364314029597</v>
      </c>
      <c r="W130" s="138">
        <f ca="1"/>
        <v>0</v>
      </c>
      <c r="X130" s="163">
        <f ca="1"/>
        <v>7.9784215457201491E-4</v>
      </c>
      <c r="Y130" s="163">
        <f ca="1"/>
        <v>2.0065808737579349E-3</v>
      </c>
      <c r="Z130" s="163">
        <f ca="1"/>
        <v>6.3750475929040817E-3</v>
      </c>
      <c r="AA130" s="163">
        <f ca="1"/>
        <v>1.3260903706537652E-2</v>
      </c>
      <c r="AB130" s="163">
        <f ca="1"/>
        <v>0</v>
      </c>
      <c r="AC130" s="163">
        <f ca="1"/>
        <v>3.4830875316545606E-2</v>
      </c>
      <c r="AD130" s="163">
        <f ca="1"/>
        <v>6.1319217410938043E-2</v>
      </c>
      <c r="AE130" s="139">
        <f ca="1"/>
        <v>0.10886314814452969</v>
      </c>
      <c r="AH130" s="136"/>
      <c r="AI130" s="136"/>
      <c r="AJ130" s="136"/>
      <c r="AK130" s="136"/>
      <c r="AM130" s="136"/>
      <c r="AN130" s="136"/>
      <c r="AO130" s="136"/>
      <c r="AQ130" s="136"/>
      <c r="AR130" s="136"/>
      <c r="AS130" s="136"/>
      <c r="AT130" s="136"/>
      <c r="AV130" s="136"/>
      <c r="AW130" s="136"/>
      <c r="AX130" s="136"/>
    </row>
    <row r="131" spans="1:50" s="79" customFormat="1" ht="11.25">
      <c r="A131" s="96">
        <f t="shared" ca="1" si="3"/>
        <v>120</v>
      </c>
      <c r="B131" s="68" t="s">
        <v>208</v>
      </c>
      <c r="C131" s="97">
        <v>0.4</v>
      </c>
      <c r="D131" s="69" t="s">
        <v>66</v>
      </c>
      <c r="E131" s="137" t="s">
        <v>87</v>
      </c>
      <c r="F131" s="156">
        <v>1.1000000000000001E-3</v>
      </c>
      <c r="G131" s="156">
        <v>1.5E-3</v>
      </c>
      <c r="H131" s="156">
        <v>1.9E-3</v>
      </c>
      <c r="I131" s="156">
        <v>2.5999999999999999E-3</v>
      </c>
      <c r="J131" s="156" t="s">
        <v>87</v>
      </c>
      <c r="K131" s="156">
        <v>3.8E-3</v>
      </c>
      <c r="L131" s="156">
        <v>4.7000000000000002E-3</v>
      </c>
      <c r="M131" s="156">
        <v>5.7000000000000002E-3</v>
      </c>
      <c r="N131" s="138" cm="1">
        <f t="array" aca="1" ref="N131:AE131" ca="1">IF(OR(B131="",NOT($J$2)),"",GetStripDefaultProbability(A131,B131,Parameter_Date,CDSRollDate,E131:M131,SpreadCurveMaturities,D131,C131,$J$4,$J$6))</f>
        <v>0</v>
      </c>
      <c r="O131" s="163">
        <f ca="1"/>
        <v>1.0968710821319672E-3</v>
      </c>
      <c r="P131" s="163">
        <f ca="1"/>
        <v>2.757983019723742E-3</v>
      </c>
      <c r="Q131" s="163">
        <f ca="1"/>
        <v>6.6987273707558304E-3</v>
      </c>
      <c r="R131" s="163">
        <f ca="1"/>
        <v>1.364008161291308E-2</v>
      </c>
      <c r="S131" s="163">
        <f ca="1"/>
        <v>0</v>
      </c>
      <c r="T131" s="163">
        <f ca="1"/>
        <v>3.3038739946464224E-2</v>
      </c>
      <c r="U131" s="163">
        <f ca="1"/>
        <v>5.7007885844327588E-2</v>
      </c>
      <c r="V131" s="139">
        <f ca="1"/>
        <v>9.8193416234752307E-2</v>
      </c>
      <c r="W131" s="138">
        <f ca="1"/>
        <v>0</v>
      </c>
      <c r="X131" s="163">
        <f ca="1"/>
        <v>1.1965241739009258E-3</v>
      </c>
      <c r="Y131" s="163">
        <f ca="1"/>
        <v>2.9241761727488713E-3</v>
      </c>
      <c r="Z131" s="163">
        <f ca="1"/>
        <v>7.0482556332173152E-3</v>
      </c>
      <c r="AA131" s="163">
        <f ca="1"/>
        <v>1.431500878586478E-2</v>
      </c>
      <c r="AB131" s="163">
        <f ca="1"/>
        <v>0</v>
      </c>
      <c r="AC131" s="163">
        <f ca="1"/>
        <v>3.4662969748143646E-2</v>
      </c>
      <c r="AD131" s="163">
        <f ca="1"/>
        <v>5.9786438403082176E-2</v>
      </c>
      <c r="AE131" s="139">
        <f ca="1"/>
        <v>0.10290793114959829</v>
      </c>
      <c r="AH131" s="136"/>
      <c r="AI131" s="136"/>
      <c r="AJ131" s="136"/>
      <c r="AK131" s="136"/>
      <c r="AM131" s="136"/>
      <c r="AN131" s="136"/>
      <c r="AO131" s="136"/>
      <c r="AQ131" s="136"/>
      <c r="AR131" s="136"/>
      <c r="AS131" s="136"/>
      <c r="AT131" s="136"/>
      <c r="AV131" s="136"/>
      <c r="AW131" s="136"/>
      <c r="AX131" s="136"/>
    </row>
    <row r="132" spans="1:50" s="79" customFormat="1" ht="11.25">
      <c r="A132" s="96">
        <f t="shared" ca="1" si="3"/>
        <v>121</v>
      </c>
      <c r="B132" s="68" t="s">
        <v>209</v>
      </c>
      <c r="C132" s="97">
        <v>0.4</v>
      </c>
      <c r="D132" s="69" t="s">
        <v>66</v>
      </c>
      <c r="E132" s="137" t="s">
        <v>87</v>
      </c>
      <c r="F132" s="156">
        <v>8.0000000000000004E-4</v>
      </c>
      <c r="G132" s="156">
        <v>1E-3</v>
      </c>
      <c r="H132" s="156">
        <v>1.9E-3</v>
      </c>
      <c r="I132" s="156">
        <v>2.3999999999999998E-3</v>
      </c>
      <c r="J132" s="156" t="s">
        <v>87</v>
      </c>
      <c r="K132" s="156">
        <v>3.8E-3</v>
      </c>
      <c r="L132" s="156">
        <v>4.4999999999999997E-3</v>
      </c>
      <c r="M132" s="156">
        <v>5.4000000000000003E-3</v>
      </c>
      <c r="N132" s="138" cm="1">
        <f t="array" aca="1" ref="N132:AE132" ca="1">IF(OR(B132="",NOT($J$2)),"",GetStripDefaultProbability(A132,B132,Parameter_Date,CDSRollDate,E132:M132,SpreadCurveMaturities,D132,C132,$J$4,$J$6))</f>
        <v>0</v>
      </c>
      <c r="O132" s="163">
        <f ca="1"/>
        <v>7.978434025011083E-4</v>
      </c>
      <c r="P132" s="163">
        <f ca="1"/>
        <v>1.8376578808882993E-3</v>
      </c>
      <c r="Q132" s="163">
        <f ca="1"/>
        <v>6.7395213602603476E-3</v>
      </c>
      <c r="R132" s="163">
        <f ca="1"/>
        <v>1.2602225890495644E-2</v>
      </c>
      <c r="S132" s="163">
        <f ca="1"/>
        <v>0</v>
      </c>
      <c r="T132" s="163">
        <f ca="1"/>
        <v>3.3163656242900297E-2</v>
      </c>
      <c r="U132" s="163">
        <f ca="1"/>
        <v>5.4534072825437874E-2</v>
      </c>
      <c r="V132" s="139">
        <f ca="1"/>
        <v>9.2993490061680339E-2</v>
      </c>
      <c r="W132" s="138">
        <f ca="1"/>
        <v>0</v>
      </c>
      <c r="X132" s="163">
        <f ca="1"/>
        <v>8.9752759609718069E-4</v>
      </c>
      <c r="Y132" s="163">
        <f ca="1"/>
        <v>2.0040044086446773E-3</v>
      </c>
      <c r="Z132" s="163">
        <f ca="1"/>
        <v>7.0891525928048482E-3</v>
      </c>
      <c r="AA132" s="163">
        <f ca="1"/>
        <v>1.3223834931790024E-2</v>
      </c>
      <c r="AB132" s="163">
        <f ca="1"/>
        <v>0</v>
      </c>
      <c r="AC132" s="163">
        <f ca="1"/>
        <v>3.4792280489115868E-2</v>
      </c>
      <c r="AD132" s="163">
        <f ca="1"/>
        <v>5.7192568592737913E-2</v>
      </c>
      <c r="AE132" s="139">
        <f ca="1"/>
        <v>9.7440443468932991E-2</v>
      </c>
      <c r="AH132" s="136"/>
      <c r="AI132" s="136"/>
      <c r="AJ132" s="136"/>
      <c r="AK132" s="136"/>
      <c r="AM132" s="136"/>
      <c r="AN132" s="136"/>
      <c r="AO132" s="136"/>
      <c r="AQ132" s="136"/>
      <c r="AR132" s="136"/>
      <c r="AS132" s="136"/>
      <c r="AT132" s="136"/>
      <c r="AV132" s="136"/>
      <c r="AW132" s="136"/>
      <c r="AX132" s="136"/>
    </row>
    <row r="133" spans="1:50" s="79" customFormat="1" ht="11.25">
      <c r="A133" s="96">
        <f t="shared" ca="1" si="3"/>
        <v>122</v>
      </c>
      <c r="B133" s="68" t="s">
        <v>210</v>
      </c>
      <c r="C133" s="97">
        <v>0.4</v>
      </c>
      <c r="D133" s="69" t="s">
        <v>66</v>
      </c>
      <c r="E133" s="137" t="s">
        <v>87</v>
      </c>
      <c r="F133" s="156">
        <v>6.9999999999999999E-4</v>
      </c>
      <c r="G133" s="156">
        <v>8.0000000000000004E-4</v>
      </c>
      <c r="H133" s="156">
        <v>1.2999999999999999E-3</v>
      </c>
      <c r="I133" s="156">
        <v>1.6999999999999999E-3</v>
      </c>
      <c r="J133" s="156" t="s">
        <v>87</v>
      </c>
      <c r="K133" s="156">
        <v>2.7000000000000001E-3</v>
      </c>
      <c r="L133" s="156">
        <v>3.0999999999999999E-3</v>
      </c>
      <c r="M133" s="156">
        <v>3.8999999999999998E-3</v>
      </c>
      <c r="N133" s="138" cm="1">
        <f t="array" aca="1" ref="N133:AE133" ca="1">IF(OR(B133="",NOT($J$2)),"",GetStripDefaultProbability(A133,B133,Parameter_Date,CDSRollDate,E133:M133,SpreadCurveMaturities,D133,C133,$J$4,$J$6))</f>
        <v>0</v>
      </c>
      <c r="O133" s="163">
        <f ca="1"/>
        <v>6.98147686336692E-4</v>
      </c>
      <c r="P133" s="163">
        <f ca="1"/>
        <v>1.4688312592168185E-3</v>
      </c>
      <c r="Q133" s="163">
        <f ca="1"/>
        <v>4.6034016974833003E-3</v>
      </c>
      <c r="R133" s="163">
        <f ca="1"/>
        <v>8.9371533265978353E-3</v>
      </c>
      <c r="S133" s="163">
        <f ca="1"/>
        <v>0</v>
      </c>
      <c r="T133" s="163">
        <f ca="1"/>
        <v>2.3644225880325997E-2</v>
      </c>
      <c r="U133" s="163">
        <f ca="1"/>
        <v>3.7703109320587624E-2</v>
      </c>
      <c r="V133" s="139">
        <f ca="1"/>
        <v>6.8161934019231096E-2</v>
      </c>
      <c r="W133" s="138">
        <f ca="1"/>
        <v>0</v>
      </c>
      <c r="X133" s="163">
        <f ca="1"/>
        <v>7.9784215457201491E-4</v>
      </c>
      <c r="Y133" s="163">
        <f ca="1"/>
        <v>1.6352392529477289E-3</v>
      </c>
      <c r="Z133" s="163">
        <f ca="1"/>
        <v>4.9536814715206434E-3</v>
      </c>
      <c r="AA133" s="163">
        <f ca="1"/>
        <v>9.4525465241837026E-3</v>
      </c>
      <c r="AB133" s="163">
        <f ca="1"/>
        <v>0</v>
      </c>
      <c r="AC133" s="163">
        <f ca="1"/>
        <v>2.4797093000340942E-2</v>
      </c>
      <c r="AD133" s="163">
        <f ca="1"/>
        <v>3.9540818646312426E-2</v>
      </c>
      <c r="AE133" s="139">
        <f ca="1"/>
        <v>7.144849960962929E-2</v>
      </c>
      <c r="AH133" s="136"/>
      <c r="AI133" s="136"/>
      <c r="AJ133" s="136"/>
      <c r="AK133" s="136"/>
      <c r="AM133" s="136"/>
      <c r="AN133" s="136"/>
      <c r="AO133" s="136"/>
      <c r="AQ133" s="136"/>
      <c r="AR133" s="136"/>
      <c r="AS133" s="136"/>
      <c r="AT133" s="136"/>
      <c r="AV133" s="136"/>
      <c r="AW133" s="136"/>
      <c r="AX133" s="136"/>
    </row>
    <row r="134" spans="1:50" s="79" customFormat="1" ht="11.25">
      <c r="A134" s="96">
        <f ca="1">IF(B134="","",A133+1)</f>
        <v>123</v>
      </c>
      <c r="B134" s="68" t="s">
        <v>211</v>
      </c>
      <c r="C134" s="97">
        <v>0.4</v>
      </c>
      <c r="D134" s="69" t="s">
        <v>66</v>
      </c>
      <c r="E134" s="137" t="s">
        <v>87</v>
      </c>
      <c r="F134" s="156">
        <v>2.9999999999999997E-4</v>
      </c>
      <c r="G134" s="156">
        <v>5.9999999999999995E-4</v>
      </c>
      <c r="H134" s="156">
        <v>1.2999999999999999E-3</v>
      </c>
      <c r="I134" s="156">
        <v>1.8E-3</v>
      </c>
      <c r="J134" s="156" t="s">
        <v>87</v>
      </c>
      <c r="K134" s="156">
        <v>2.8999999999999998E-3</v>
      </c>
      <c r="L134" s="156">
        <v>3.5000000000000001E-3</v>
      </c>
      <c r="M134" s="156">
        <v>4.4999999999999997E-3</v>
      </c>
      <c r="N134" s="138" cm="1">
        <f t="array" aca="1" ref="N134:AE134" ca="1">IF(OR(B134="",NOT($J$2)),"",GetStripDefaultProbability(A134,B134,Parameter_Date,CDSRollDate,E134:M134,SpreadCurveMaturities,D134,C134,$J$4,$J$6))</f>
        <v>0</v>
      </c>
      <c r="O134" s="163">
        <f ca="1"/>
        <v>2.9926566746929506E-4</v>
      </c>
      <c r="P134" s="163">
        <f ca="1"/>
        <v>1.1075289891454565E-3</v>
      </c>
      <c r="Q134" s="163">
        <f ca="1"/>
        <v>4.6266719578877957E-3</v>
      </c>
      <c r="R134" s="163">
        <f ca="1"/>
        <v>9.5016083998972212E-3</v>
      </c>
      <c r="S134" s="163">
        <f ca="1"/>
        <v>0</v>
      </c>
      <c r="T134" s="163">
        <f ca="1"/>
        <v>2.5436892158934521E-2</v>
      </c>
      <c r="U134" s="163">
        <f ca="1"/>
        <v>4.2740191216268708E-2</v>
      </c>
      <c r="V134" s="139">
        <f ca="1"/>
        <v>7.8828081150318696E-2</v>
      </c>
      <c r="W134" s="138">
        <f ca="1"/>
        <v>0</v>
      </c>
      <c r="X134" s="163">
        <f ca="1"/>
        <v>3.9900078367871572E-4</v>
      </c>
      <c r="Y134" s="163">
        <f ca="1"/>
        <v>1.2739971949056184E-3</v>
      </c>
      <c r="Z134" s="163">
        <f ca="1"/>
        <v>4.9770210846985519E-3</v>
      </c>
      <c r="AA134" s="163">
        <f ca="1"/>
        <v>1.0016876675032038E-2</v>
      </c>
      <c r="AB134" s="163">
        <f ca="1"/>
        <v>0</v>
      </c>
      <c r="AC134" s="163">
        <f ca="1"/>
        <v>2.6678393220868846E-2</v>
      </c>
      <c r="AD134" s="163">
        <f ca="1"/>
        <v>4.4822889204991001E-2</v>
      </c>
      <c r="AE134" s="139">
        <f ca="1"/>
        <v>8.2615735993512796E-2</v>
      </c>
      <c r="AH134" s="136"/>
      <c r="AI134" s="136"/>
      <c r="AJ134" s="136"/>
      <c r="AK134" s="136"/>
      <c r="AM134" s="136"/>
      <c r="AN134" s="136"/>
      <c r="AO134" s="136"/>
      <c r="AQ134" s="136"/>
      <c r="AR134" s="136"/>
      <c r="AS134" s="136"/>
      <c r="AT134" s="136"/>
      <c r="AV134" s="136"/>
      <c r="AW134" s="136"/>
      <c r="AX134" s="136"/>
    </row>
    <row r="135" spans="1:50" s="79" customFormat="1" ht="11.25">
      <c r="A135" s="96">
        <f ca="1">IF(B135="","",A134+1)</f>
        <v>124</v>
      </c>
      <c r="B135" s="68" t="s">
        <v>212</v>
      </c>
      <c r="C135" s="97">
        <v>0.4</v>
      </c>
      <c r="D135" s="69" t="s">
        <v>66</v>
      </c>
      <c r="E135" s="137" t="s">
        <v>87</v>
      </c>
      <c r="F135" s="156">
        <v>5.9999999999999995E-4</v>
      </c>
      <c r="G135" s="156">
        <v>8.9999999999999998E-4</v>
      </c>
      <c r="H135" s="156">
        <v>1.8E-3</v>
      </c>
      <c r="I135" s="156">
        <v>2.5000000000000001E-3</v>
      </c>
      <c r="J135" s="156" t="s">
        <v>87</v>
      </c>
      <c r="K135" s="156">
        <v>3.8999999999999998E-3</v>
      </c>
      <c r="L135" s="156">
        <v>4.7999999999999996E-3</v>
      </c>
      <c r="M135" s="156">
        <v>6.3E-3</v>
      </c>
      <c r="N135" s="138" cm="1">
        <f t="array" aca="1" ref="N135:AE135" ca="1">IF(OR(B135="",NOT($J$2)),"",GetStripDefaultProbability(A135,B135,Parameter_Date,CDSRollDate,E135:M135,SpreadCurveMaturities,D135,C135,$J$4,$J$6))</f>
        <v>0</v>
      </c>
      <c r="O135" s="163">
        <f ca="1"/>
        <v>5.9844205622783253E-4</v>
      </c>
      <c r="P135" s="163">
        <f ca="1"/>
        <v>1.6571087313170807E-3</v>
      </c>
      <c r="Q135" s="163">
        <f ca="1"/>
        <v>6.3929100644375403E-3</v>
      </c>
      <c r="R135" s="163">
        <f ca="1"/>
        <v>1.3171289044288881E-2</v>
      </c>
      <c r="S135" s="163">
        <f ca="1"/>
        <v>0</v>
      </c>
      <c r="T135" s="163">
        <f ca="1"/>
        <v>3.4052545523805544E-2</v>
      </c>
      <c r="U135" s="163">
        <f ca="1"/>
        <v>5.8325306879322469E-2</v>
      </c>
      <c r="V135" s="139">
        <f ca="1"/>
        <v>0.10943479939003231</v>
      </c>
      <c r="W135" s="138">
        <f ca="1"/>
        <v>0</v>
      </c>
      <c r="X135" s="163">
        <f ca="1"/>
        <v>6.9814675354706868E-4</v>
      </c>
      <c r="Y135" s="163">
        <f ca="1"/>
        <v>1.8234853480852964E-3</v>
      </c>
      <c r="Z135" s="163">
        <f ca="1"/>
        <v>6.7426772065970475E-3</v>
      </c>
      <c r="AA135" s="163">
        <f ca="1"/>
        <v>1.3819746556004597E-2</v>
      </c>
      <c r="AB135" s="163">
        <f ca="1"/>
        <v>0</v>
      </c>
      <c r="AC135" s="163">
        <f ca="1"/>
        <v>3.5723017038707949E-2</v>
      </c>
      <c r="AD135" s="163">
        <f ca="1"/>
        <v>6.1164017810441673E-2</v>
      </c>
      <c r="AE135" s="139">
        <f ca="1"/>
        <v>0.1146753281670817</v>
      </c>
      <c r="AH135" s="136"/>
      <c r="AI135" s="136"/>
      <c r="AJ135" s="136"/>
      <c r="AK135" s="136"/>
      <c r="AM135" s="136"/>
      <c r="AN135" s="136"/>
      <c r="AO135" s="136"/>
      <c r="AQ135" s="136"/>
      <c r="AR135" s="136"/>
      <c r="AS135" s="136"/>
      <c r="AT135" s="136"/>
      <c r="AV135" s="136"/>
      <c r="AW135" s="136"/>
      <c r="AX135" s="136"/>
    </row>
    <row r="136" spans="1:50" s="79" customFormat="1" ht="11.25">
      <c r="A136" s="96">
        <f ca="1">IF(B136="","",A135+1)</f>
        <v>125</v>
      </c>
      <c r="B136" s="68" t="s">
        <v>213</v>
      </c>
      <c r="C136" s="97">
        <v>0.4</v>
      </c>
      <c r="D136" s="69" t="s">
        <v>66</v>
      </c>
      <c r="E136" s="137" t="s">
        <v>87</v>
      </c>
      <c r="F136" s="156">
        <v>1.1800000000000001E-3</v>
      </c>
      <c r="G136" s="156">
        <v>1.5299999999999999E-3</v>
      </c>
      <c r="H136" s="156">
        <v>2.0699999999999998E-3</v>
      </c>
      <c r="I136" s="156">
        <v>2.49E-3</v>
      </c>
      <c r="J136" s="156" t="s">
        <v>87</v>
      </c>
      <c r="K136" s="156">
        <v>3.2000000000000002E-3</v>
      </c>
      <c r="L136" s="156">
        <v>3.62E-3</v>
      </c>
      <c r="M136" s="156">
        <v>4.0000000000000001E-3</v>
      </c>
      <c r="N136" s="138" cm="1">
        <f t="array" aca="1" ref="N136:AE136" ca="1">IF(OR(B136="",NOT($J$2)),"",GetStripDefaultProbability(A136,B136,Parameter_Date,CDSRollDate,E136:M136,SpreadCurveMaturities,D136,C136,$J$4,$J$6))</f>
        <v>0</v>
      </c>
      <c r="O136" s="163">
        <f ca="1"/>
        <v>1.1765967348282835E-3</v>
      </c>
      <c r="P136" s="163">
        <f ca="1"/>
        <v>2.8115543550077948E-3</v>
      </c>
      <c r="Q136" s="163">
        <f ca="1"/>
        <v>7.3035948587600874E-3</v>
      </c>
      <c r="R136" s="163">
        <f ca="1"/>
        <v>1.3013208196306913E-2</v>
      </c>
      <c r="S136" s="163">
        <f ca="1"/>
        <v>0</v>
      </c>
      <c r="T136" s="163">
        <f ca="1"/>
        <v>2.7647434614780697E-2</v>
      </c>
      <c r="U136" s="163">
        <f ca="1"/>
        <v>4.3526577496138641E-2</v>
      </c>
      <c r="V136" s="139">
        <f ca="1"/>
        <v>6.8173939018584373E-2</v>
      </c>
      <c r="W136" s="138">
        <f ca="1"/>
        <v>0</v>
      </c>
      <c r="X136" s="163">
        <f ca="1"/>
        <v>1.2762414612336181E-3</v>
      </c>
      <c r="Y136" s="163">
        <f ca="1"/>
        <v>2.9777385802168821E-3</v>
      </c>
      <c r="Z136" s="163">
        <f ca="1"/>
        <v>7.6654702369950423E-3</v>
      </c>
      <c r="AA136" s="163">
        <f ca="1"/>
        <v>1.365802275576411E-2</v>
      </c>
      <c r="AB136" s="163">
        <f ca="1"/>
        <v>0</v>
      </c>
      <c r="AC136" s="163">
        <f ca="1"/>
        <v>2.9009698103667714E-2</v>
      </c>
      <c r="AD136" s="163">
        <f ca="1"/>
        <v>4.5657784205722307E-2</v>
      </c>
      <c r="AE136" s="139">
        <f ca="1"/>
        <v>7.1468436043979344E-2</v>
      </c>
      <c r="AH136" s="136"/>
      <c r="AI136" s="136"/>
      <c r="AJ136" s="136"/>
      <c r="AK136" s="136"/>
      <c r="AM136" s="136"/>
      <c r="AN136" s="136"/>
      <c r="AO136" s="136"/>
      <c r="AQ136" s="136"/>
      <c r="AR136" s="136"/>
      <c r="AS136" s="136"/>
      <c r="AT136" s="136"/>
      <c r="AV136" s="136"/>
      <c r="AW136" s="136"/>
      <c r="AX136" s="136"/>
    </row>
    <row r="137" spans="1:50" s="79" customFormat="1" ht="11.25">
      <c r="A137" s="96">
        <f ca="1">IF(B137="","",A136+1)</f>
        <v>126</v>
      </c>
      <c r="B137" s="68" t="s">
        <v>214</v>
      </c>
      <c r="C137" s="97">
        <v>0.4</v>
      </c>
      <c r="D137" s="69" t="s">
        <v>67</v>
      </c>
      <c r="E137" s="137" t="s">
        <v>87</v>
      </c>
      <c r="F137" s="156" t="s">
        <v>87</v>
      </c>
      <c r="G137" s="156">
        <v>7.1500000000000003E-4</v>
      </c>
      <c r="H137" s="156" t="s">
        <v>87</v>
      </c>
      <c r="I137" s="156">
        <v>1.815E-3</v>
      </c>
      <c r="J137" s="156" t="s">
        <v>87</v>
      </c>
      <c r="K137" s="156">
        <v>2.7499999999999998E-3</v>
      </c>
      <c r="L137" s="156">
        <v>3.0799999999999998E-3</v>
      </c>
      <c r="M137" s="156">
        <v>3.63E-3</v>
      </c>
      <c r="N137" s="138" cm="1">
        <f t="array" aca="1" ref="N137:AE137" ca="1">IF(OR(B137="",NOT($J$2)),"",GetStripDefaultProbability(A137,B137,Parameter_Date,CDSRollDate,E137:M137,SpreadCurveMaturities,D137,C137,$J$4,$J$6))</f>
        <v>0</v>
      </c>
      <c r="O137" s="163">
        <f ca="1"/>
        <v>0</v>
      </c>
      <c r="P137" s="163">
        <f ca="1"/>
        <v>1.3106077170644825E-3</v>
      </c>
      <c r="Q137" s="163">
        <f ca="1"/>
        <v>0</v>
      </c>
      <c r="R137" s="163">
        <f ca="1"/>
        <v>9.5265310793375413E-3</v>
      </c>
      <c r="S137" s="163">
        <f ca="1"/>
        <v>0</v>
      </c>
      <c r="T137" s="163">
        <f ca="1"/>
        <v>2.4055194150494508E-2</v>
      </c>
      <c r="U137" s="163">
        <f ca="1"/>
        <v>3.7405712422987736E-2</v>
      </c>
      <c r="V137" s="139">
        <f ca="1"/>
        <v>6.3171464773917885E-2</v>
      </c>
      <c r="W137" s="138">
        <f ca="1"/>
        <v>0</v>
      </c>
      <c r="X137" s="163">
        <f ca="1"/>
        <v>0</v>
      </c>
      <c r="Y137" s="163">
        <f ca="1"/>
        <v>1.4770420791802019E-3</v>
      </c>
      <c r="Z137" s="163">
        <f ca="1"/>
        <v>0</v>
      </c>
      <c r="AA137" s="163">
        <f ca="1"/>
        <v>1.0041718808282973E-2</v>
      </c>
      <c r="AB137" s="163">
        <f ca="1"/>
        <v>0</v>
      </c>
      <c r="AC137" s="163">
        <f ca="1"/>
        <v>2.5231900664734019E-2</v>
      </c>
      <c r="AD137" s="163">
        <f ca="1"/>
        <v>3.9232398337622709E-2</v>
      </c>
      <c r="AE137" s="139">
        <f ca="1"/>
        <v>6.6224065437549773E-2</v>
      </c>
      <c r="AI137" s="136"/>
      <c r="AK137" s="136"/>
      <c r="AM137" s="136"/>
      <c r="AN137" s="136"/>
      <c r="AO137" s="136"/>
      <c r="AR137" s="136"/>
      <c r="AT137" s="136"/>
      <c r="AV137" s="136"/>
      <c r="AW137" s="136"/>
      <c r="AX137" s="136"/>
    </row>
    <row r="138" spans="1:50" s="79" customFormat="1" ht="11.25">
      <c r="A138" s="96">
        <f ca="1">IF(B138="","",A137+1)</f>
        <v>127</v>
      </c>
      <c r="B138" s="68" t="s">
        <v>215</v>
      </c>
      <c r="C138" s="97">
        <v>0.4</v>
      </c>
      <c r="D138" s="69" t="s">
        <v>67</v>
      </c>
      <c r="E138" s="137" t="s">
        <v>87</v>
      </c>
      <c r="F138" s="156" t="s">
        <v>87</v>
      </c>
      <c r="G138" s="156">
        <v>1.4220000000000001E-3</v>
      </c>
      <c r="H138" s="156" t="s">
        <v>87</v>
      </c>
      <c r="I138" s="156">
        <v>2.6410000000000001E-3</v>
      </c>
      <c r="J138" s="156" t="s">
        <v>87</v>
      </c>
      <c r="K138" s="156">
        <v>3.8600000000000001E-3</v>
      </c>
      <c r="L138" s="156">
        <v>4.7739999999999996E-3</v>
      </c>
      <c r="M138" s="156">
        <v>5.6880000000000003E-3</v>
      </c>
      <c r="N138" s="138" cm="1">
        <f t="array" aca="1" ref="N138:AE138" ca="1">IF(OR(B138="",NOT($J$2)),"",GetStripDefaultProbability(A138,B138,Parameter_Date,CDSRollDate,E138:M138,SpreadCurveMaturities,D138,C138,$J$4,$J$6))</f>
        <v>0</v>
      </c>
      <c r="O138" s="163">
        <f ca="1"/>
        <v>0</v>
      </c>
      <c r="P138" s="163">
        <f ca="1"/>
        <v>2.6048757300257686E-3</v>
      </c>
      <c r="Q138" s="163">
        <f ca="1"/>
        <v>0</v>
      </c>
      <c r="R138" s="163">
        <f ca="1"/>
        <v>1.378518311852972E-2</v>
      </c>
      <c r="S138" s="163">
        <f ca="1"/>
        <v>0</v>
      </c>
      <c r="T138" s="163">
        <f ca="1"/>
        <v>3.3531282380681482E-2</v>
      </c>
      <c r="U138" s="163">
        <f ca="1"/>
        <v>5.8017597423939526E-2</v>
      </c>
      <c r="V138" s="139">
        <f ca="1"/>
        <v>9.8271212743689551E-2</v>
      </c>
      <c r="W138" s="138">
        <f ca="1"/>
        <v>0</v>
      </c>
      <c r="X138" s="163">
        <f ca="1"/>
        <v>0</v>
      </c>
      <c r="Y138" s="163">
        <f ca="1"/>
        <v>2.7710943987939718E-3</v>
      </c>
      <c r="Z138" s="163">
        <f ca="1"/>
        <v>0</v>
      </c>
      <c r="AA138" s="163">
        <f ca="1"/>
        <v>1.4466435541723999E-2</v>
      </c>
      <c r="AB138" s="163">
        <f ca="1"/>
        <v>0</v>
      </c>
      <c r="AC138" s="163">
        <f ca="1"/>
        <v>3.5178952316895384E-2</v>
      </c>
      <c r="AD138" s="163">
        <f ca="1"/>
        <v>6.0843561615839037E-2</v>
      </c>
      <c r="AE138" s="139">
        <f ca="1"/>
        <v>0.10298808333669407</v>
      </c>
      <c r="AI138" s="136"/>
      <c r="AK138" s="136"/>
      <c r="AM138" s="136"/>
      <c r="AN138" s="136"/>
      <c r="AO138" s="136"/>
      <c r="AR138" s="136"/>
      <c r="AT138" s="136"/>
      <c r="AV138" s="136"/>
      <c r="AW138" s="136"/>
      <c r="AX138" s="136"/>
    </row>
    <row r="139" spans="1:50" s="79" customFormat="1" ht="11.25">
      <c r="A139" s="96">
        <f t="shared" ref="A139:A202" ca="1" si="4">IF(B139="","",A138+1)</f>
        <v>128</v>
      </c>
      <c r="B139" s="68" t="s">
        <v>216</v>
      </c>
      <c r="C139" s="97">
        <v>0.4</v>
      </c>
      <c r="D139" s="69" t="s">
        <v>67</v>
      </c>
      <c r="E139" s="137" t="s">
        <v>87</v>
      </c>
      <c r="F139" s="156">
        <v>1.34E-3</v>
      </c>
      <c r="G139" s="156">
        <v>2.0799999999999998E-3</v>
      </c>
      <c r="H139" s="156">
        <v>3.0500000000000002E-3</v>
      </c>
      <c r="I139" s="156">
        <v>3.5400000000000002E-3</v>
      </c>
      <c r="J139" s="156" t="s">
        <v>87</v>
      </c>
      <c r="K139" s="156">
        <v>4.2700000000000004E-3</v>
      </c>
      <c r="L139" s="156">
        <v>4.64E-3</v>
      </c>
      <c r="M139" s="156">
        <v>5.0099999999999997E-3</v>
      </c>
      <c r="N139" s="138" cm="1">
        <f t="array" aca="1" ref="N139:AE139" ca="1">IF(OR(B139="",NOT($J$2)),"",GetStripDefaultProbability(A139,B139,Parameter_Date,CDSRollDate,E139:M139,SpreadCurveMaturities,D139,C139,$J$4,$J$6))</f>
        <v>0</v>
      </c>
      <c r="O139" s="163">
        <f ca="1"/>
        <v>1.3360488935706405E-3</v>
      </c>
      <c r="P139" s="163">
        <f ca="1"/>
        <v>3.8276266912234957E-3</v>
      </c>
      <c r="Q139" s="163">
        <f ca="1"/>
        <v>1.0768373733895165E-2</v>
      </c>
      <c r="R139" s="163">
        <f ca="1"/>
        <v>1.8455983852007862E-2</v>
      </c>
      <c r="S139" s="163">
        <f ca="1"/>
        <v>0</v>
      </c>
      <c r="T139" s="163">
        <f ca="1"/>
        <v>3.6641715886405746E-2</v>
      </c>
      <c r="U139" s="163">
        <f ca="1"/>
        <v>5.5209081666842019E-2</v>
      </c>
      <c r="V139" s="139">
        <f ca="1"/>
        <v>8.4295933326773209E-2</v>
      </c>
      <c r="W139" s="138">
        <f ca="1"/>
        <v>0</v>
      </c>
      <c r="X139" s="163">
        <f ca="1"/>
        <v>1.4356782860220907E-3</v>
      </c>
      <c r="Y139" s="163">
        <f ca="1"/>
        <v>4.0178029468835863E-3</v>
      </c>
      <c r="Z139" s="163">
        <f ca="1"/>
        <v>1.1303265955191044E-2</v>
      </c>
      <c r="AA139" s="163">
        <f ca="1"/>
        <v>1.9370252467699078E-2</v>
      </c>
      <c r="AB139" s="163">
        <f ca="1"/>
        <v>0</v>
      </c>
      <c r="AC139" s="163">
        <f ca="1"/>
        <v>3.8440035559710539E-2</v>
      </c>
      <c r="AD139" s="163">
        <f ca="1"/>
        <v>5.7896118462504198E-2</v>
      </c>
      <c r="AE139" s="139">
        <f ca="1"/>
        <v>8.8330842477083893E-2</v>
      </c>
      <c r="AH139" s="136"/>
      <c r="AI139" s="136"/>
      <c r="AJ139" s="136"/>
      <c r="AK139" s="136"/>
      <c r="AM139" s="136"/>
      <c r="AN139" s="136"/>
      <c r="AO139" s="136"/>
      <c r="AQ139" s="136"/>
      <c r="AR139" s="136"/>
      <c r="AS139" s="136"/>
      <c r="AT139" s="136"/>
      <c r="AV139" s="136"/>
      <c r="AW139" s="136"/>
      <c r="AX139" s="136"/>
    </row>
    <row r="140" spans="1:50" s="79" customFormat="1" ht="11.25">
      <c r="A140" s="96">
        <f t="shared" ca="1" si="4"/>
        <v>129</v>
      </c>
      <c r="B140" s="68" t="s">
        <v>217</v>
      </c>
      <c r="C140" s="97">
        <v>0.4</v>
      </c>
      <c r="D140" s="69" t="s">
        <v>67</v>
      </c>
      <c r="E140" s="137" t="s">
        <v>87</v>
      </c>
      <c r="F140" s="156" t="s">
        <v>87</v>
      </c>
      <c r="G140" s="156">
        <v>7.7700000000000002E-4</v>
      </c>
      <c r="H140" s="156" t="s">
        <v>87</v>
      </c>
      <c r="I140" s="156">
        <v>1.4959999999999999E-3</v>
      </c>
      <c r="J140" s="156" t="s">
        <v>87</v>
      </c>
      <c r="K140" s="156">
        <v>2.1710000000000002E-3</v>
      </c>
      <c r="L140" s="156">
        <v>2.5089999999999999E-3</v>
      </c>
      <c r="M140" s="156">
        <v>3.4740000000000001E-3</v>
      </c>
      <c r="N140" s="138" cm="1">
        <f t="array" aca="1" ref="N140:AE140" ca="1">IF(OR(B140="",NOT($J$2)),"",GetStripDefaultProbability(A140,B140,Parameter_Date,CDSRollDate,E140:M140,SpreadCurveMaturities,D140,C140,$J$4,$J$6))</f>
        <v>0</v>
      </c>
      <c r="O140" s="163">
        <f ca="1"/>
        <v>0</v>
      </c>
      <c r="P140" s="163">
        <f ca="1"/>
        <v>1.424174484044527E-3</v>
      </c>
      <c r="Q140" s="163">
        <f ca="1"/>
        <v>0</v>
      </c>
      <c r="R140" s="163">
        <f ca="1"/>
        <v>7.8317192268845259E-3</v>
      </c>
      <c r="S140" s="163">
        <f ca="1"/>
        <v>0</v>
      </c>
      <c r="T140" s="163">
        <f ca="1"/>
        <v>1.8960198799860328E-2</v>
      </c>
      <c r="U140" s="163">
        <f ca="1"/>
        <v>3.059057354009509E-2</v>
      </c>
      <c r="V140" s="139">
        <f ca="1"/>
        <v>6.2048835134654978E-2</v>
      </c>
      <c r="W140" s="138">
        <f ca="1"/>
        <v>0</v>
      </c>
      <c r="X140" s="163">
        <f ca="1"/>
        <v>0</v>
      </c>
      <c r="Y140" s="163">
        <f ca="1"/>
        <v>1.5905899199584184E-3</v>
      </c>
      <c r="Z140" s="163">
        <f ca="1"/>
        <v>0</v>
      </c>
      <c r="AA140" s="163">
        <f ca="1"/>
        <v>8.3477931989638376E-3</v>
      </c>
      <c r="AB140" s="163">
        <f ca="1"/>
        <v>0</v>
      </c>
      <c r="AC140" s="163">
        <f ca="1"/>
        <v>1.9878592235150205E-2</v>
      </c>
      <c r="AD140" s="163">
        <f ca="1"/>
        <v>3.207824705646567E-2</v>
      </c>
      <c r="AE140" s="139">
        <f ca="1"/>
        <v>6.5043537813380348E-2</v>
      </c>
      <c r="AI140" s="136"/>
      <c r="AK140" s="136"/>
      <c r="AM140" s="136"/>
      <c r="AN140" s="136"/>
      <c r="AO140" s="136"/>
      <c r="AR140" s="136"/>
      <c r="AT140" s="136"/>
      <c r="AV140" s="136"/>
      <c r="AW140" s="136"/>
      <c r="AX140" s="136"/>
    </row>
    <row r="141" spans="1:50" s="79" customFormat="1" ht="11.25">
      <c r="A141" s="96">
        <f t="shared" ca="1" si="4"/>
        <v>130</v>
      </c>
      <c r="B141" s="68" t="s">
        <v>218</v>
      </c>
      <c r="C141" s="97">
        <v>0.4</v>
      </c>
      <c r="D141" s="69" t="s">
        <v>67</v>
      </c>
      <c r="E141" s="137" t="s">
        <v>87</v>
      </c>
      <c r="F141" s="156" t="s">
        <v>87</v>
      </c>
      <c r="G141" s="156">
        <v>9.4300000000000004E-4</v>
      </c>
      <c r="H141" s="156" t="s">
        <v>87</v>
      </c>
      <c r="I141" s="156">
        <v>2.702E-3</v>
      </c>
      <c r="J141" s="156" t="s">
        <v>87</v>
      </c>
      <c r="K141" s="156">
        <v>3.908E-3</v>
      </c>
      <c r="L141" s="156">
        <v>4.6319999999999998E-3</v>
      </c>
      <c r="M141" s="156">
        <v>5.6940000000000003E-3</v>
      </c>
      <c r="N141" s="138" cm="1">
        <f t="array" aca="1" ref="N141:AE141" ca="1">IF(OR(B141="",NOT($J$2)),"",GetStripDefaultProbability(A141,B141,Parameter_Date,CDSRollDate,E141:M141,SpreadCurveMaturities,D141,C141,$J$4,$J$6))</f>
        <v>0</v>
      </c>
      <c r="O141" s="163">
        <f ca="1"/>
        <v>0</v>
      </c>
      <c r="P141" s="163">
        <f ca="1"/>
        <v>1.7281772822107522E-3</v>
      </c>
      <c r="Q141" s="163">
        <f ca="1"/>
        <v>0</v>
      </c>
      <c r="R141" s="163">
        <f ca="1"/>
        <v>1.4174091112915899E-2</v>
      </c>
      <c r="S141" s="163">
        <f ca="1"/>
        <v>0</v>
      </c>
      <c r="T141" s="163">
        <f ca="1"/>
        <v>3.3998473427463649E-2</v>
      </c>
      <c r="U141" s="163">
        <f ca="1"/>
        <v>5.6128064975579206E-2</v>
      </c>
      <c r="V141" s="139">
        <f ca="1"/>
        <v>9.8675245140550594E-2</v>
      </c>
      <c r="W141" s="138">
        <f ca="1"/>
        <v>0</v>
      </c>
      <c r="X141" s="163">
        <f ca="1"/>
        <v>0</v>
      </c>
      <c r="Y141" s="163">
        <f ca="1"/>
        <v>1.8945420552196612E-3</v>
      </c>
      <c r="Z141" s="163">
        <f ca="1"/>
        <v>0</v>
      </c>
      <c r="AA141" s="163">
        <f ca="1"/>
        <v>1.4871257916156955E-2</v>
      </c>
      <c r="AB141" s="163">
        <f ca="1"/>
        <v>0</v>
      </c>
      <c r="AC141" s="163">
        <f ca="1"/>
        <v>3.5665760123579249E-2</v>
      </c>
      <c r="AD141" s="163">
        <f ca="1"/>
        <v>5.8860022220785679E-2</v>
      </c>
      <c r="AE141" s="139">
        <f ca="1"/>
        <v>0.10340985705079986</v>
      </c>
      <c r="AI141" s="136"/>
      <c r="AK141" s="136"/>
      <c r="AM141" s="136"/>
      <c r="AN141" s="136"/>
      <c r="AO141" s="136"/>
      <c r="AR141" s="136"/>
      <c r="AT141" s="136"/>
      <c r="AV141" s="136"/>
      <c r="AW141" s="136"/>
      <c r="AX141" s="136"/>
    </row>
    <row r="142" spans="1:50" s="79" customFormat="1" ht="11.25">
      <c r="A142" s="96">
        <f t="shared" ca="1" si="4"/>
        <v>131</v>
      </c>
      <c r="B142" s="68" t="s">
        <v>219</v>
      </c>
      <c r="C142" s="97">
        <v>0.4</v>
      </c>
      <c r="D142" s="69" t="s">
        <v>67</v>
      </c>
      <c r="E142" s="137" t="s">
        <v>87</v>
      </c>
      <c r="F142" s="156" t="s">
        <v>87</v>
      </c>
      <c r="G142" s="156">
        <v>1.206E-3</v>
      </c>
      <c r="H142" s="156" t="s">
        <v>87</v>
      </c>
      <c r="I142" s="156">
        <v>1.9189999999999999E-3</v>
      </c>
      <c r="J142" s="156" t="s">
        <v>87</v>
      </c>
      <c r="K142" s="156">
        <v>2.4130000000000002E-3</v>
      </c>
      <c r="L142" s="156">
        <v>2.6809999999999998E-3</v>
      </c>
      <c r="M142" s="156">
        <v>3.2169999999999998E-3</v>
      </c>
      <c r="N142" s="138" cm="1">
        <f t="array" aca="1" ref="N142:AE142" ca="1">IF(OR(B142="",NOT($J$2)),"",GetStripDefaultProbability(A142,B142,Parameter_Date,CDSRollDate,E142:M142,SpreadCurveMaturities,D142,C142,$J$4,$J$6))</f>
        <v>0</v>
      </c>
      <c r="O142" s="163">
        <f ca="1"/>
        <v>0</v>
      </c>
      <c r="P142" s="163">
        <f ca="1"/>
        <v>2.2096323627830428E-3</v>
      </c>
      <c r="Q142" s="163">
        <f ca="1"/>
        <v>0</v>
      </c>
      <c r="R142" s="163">
        <f ca="1"/>
        <v>1.0008300437686191E-2</v>
      </c>
      <c r="S142" s="163">
        <f ca="1"/>
        <v>0</v>
      </c>
      <c r="T142" s="163">
        <f ca="1"/>
        <v>2.0864338509344438E-2</v>
      </c>
      <c r="U142" s="163">
        <f ca="1"/>
        <v>3.2328649141213139E-2</v>
      </c>
      <c r="V142" s="139">
        <f ca="1"/>
        <v>5.6011545999652412E-2</v>
      </c>
      <c r="W142" s="138">
        <f ca="1"/>
        <v>0</v>
      </c>
      <c r="X142" s="163">
        <f ca="1"/>
        <v>0</v>
      </c>
      <c r="Y142" s="163">
        <f ca="1"/>
        <v>2.3759168999586411E-3</v>
      </c>
      <c r="Z142" s="163">
        <f ca="1"/>
        <v>0</v>
      </c>
      <c r="AA142" s="163">
        <f ca="1"/>
        <v>1.0523097217403854E-2</v>
      </c>
      <c r="AB142" s="163">
        <f ca="1"/>
        <v>0</v>
      </c>
      <c r="AC142" s="163">
        <f ca="1"/>
        <v>2.1890496714306096E-2</v>
      </c>
      <c r="AD142" s="163">
        <f ca="1"/>
        <v>3.3914331327667746E-2</v>
      </c>
      <c r="AE142" s="139">
        <f ca="1"/>
        <v>5.873131311632418E-2</v>
      </c>
      <c r="AI142" s="136"/>
      <c r="AK142" s="136"/>
      <c r="AM142" s="136"/>
      <c r="AN142" s="136"/>
      <c r="AO142" s="136"/>
      <c r="AR142" s="136"/>
      <c r="AT142" s="136"/>
      <c r="AV142" s="136"/>
      <c r="AW142" s="136"/>
      <c r="AX142" s="136"/>
    </row>
    <row r="143" spans="1:50" s="79" customFormat="1" ht="11.25">
      <c r="A143" s="96">
        <f t="shared" ca="1" si="4"/>
        <v>132</v>
      </c>
      <c r="B143" s="68" t="s">
        <v>220</v>
      </c>
      <c r="C143" s="97">
        <v>0.4</v>
      </c>
      <c r="D143" s="69" t="s">
        <v>67</v>
      </c>
      <c r="E143" s="137" t="s">
        <v>87</v>
      </c>
      <c r="F143" s="156" t="s">
        <v>87</v>
      </c>
      <c r="G143" s="156">
        <v>1.178E-3</v>
      </c>
      <c r="H143" s="156" t="s">
        <v>87</v>
      </c>
      <c r="I143" s="156">
        <v>2.3010000000000001E-3</v>
      </c>
      <c r="J143" s="156" t="s">
        <v>87</v>
      </c>
      <c r="K143" s="156">
        <v>3.3779999999999999E-3</v>
      </c>
      <c r="L143" s="156">
        <v>4.3559999999999996E-3</v>
      </c>
      <c r="M143" s="156">
        <v>5.3350000000000003E-3</v>
      </c>
      <c r="N143" s="138" cm="1">
        <f t="array" aca="1" ref="N143:AE143" ca="1">IF(OR(B143="",NOT($J$2)),"",GetStripDefaultProbability(A143,B143,Parameter_Date,CDSRollDate,E143:M143,SpreadCurveMaturities,D143,C143,$J$4,$J$6))</f>
        <v>0</v>
      </c>
      <c r="O143" s="163">
        <f ca="1"/>
        <v>0</v>
      </c>
      <c r="P143" s="163">
        <f ca="1"/>
        <v>2.1583857422923236E-3</v>
      </c>
      <c r="Q143" s="163">
        <f ca="1"/>
        <v>0</v>
      </c>
      <c r="R143" s="163">
        <f ca="1"/>
        <v>1.2027748428299567E-2</v>
      </c>
      <c r="S143" s="163">
        <f ca="1"/>
        <v>0</v>
      </c>
      <c r="T143" s="163">
        <f ca="1"/>
        <v>2.9405663588142894E-2</v>
      </c>
      <c r="U143" s="163">
        <f ca="1"/>
        <v>5.3279010842091745E-2</v>
      </c>
      <c r="V143" s="139">
        <f ca="1"/>
        <v>9.3046022079968149E-2</v>
      </c>
      <c r="W143" s="138">
        <f ca="1"/>
        <v>0</v>
      </c>
      <c r="X143" s="163">
        <f ca="1"/>
        <v>0</v>
      </c>
      <c r="Y143" s="163">
        <f ca="1"/>
        <v>2.3246788198469925E-3</v>
      </c>
      <c r="Z143" s="163">
        <f ca="1"/>
        <v>0</v>
      </c>
      <c r="AA143" s="163">
        <f ca="1"/>
        <v>1.2620731195277735E-2</v>
      </c>
      <c r="AB143" s="163">
        <f ca="1"/>
        <v>0</v>
      </c>
      <c r="AC143" s="163">
        <f ca="1"/>
        <v>3.085148942464111E-2</v>
      </c>
      <c r="AD143" s="163">
        <f ca="1"/>
        <v>5.5878775460468044E-2</v>
      </c>
      <c r="AE143" s="139">
        <f ca="1"/>
        <v>9.7526068839601465E-2</v>
      </c>
      <c r="AI143" s="136"/>
      <c r="AK143" s="136"/>
      <c r="AM143" s="136"/>
      <c r="AN143" s="136"/>
      <c r="AO143" s="136"/>
      <c r="AR143" s="136"/>
      <c r="AT143" s="136"/>
      <c r="AV143" s="136"/>
      <c r="AW143" s="136"/>
      <c r="AX143" s="136"/>
    </row>
    <row r="144" spans="1:50" s="79" customFormat="1" ht="11.25">
      <c r="A144" s="96">
        <f t="shared" ca="1" si="4"/>
        <v>133</v>
      </c>
      <c r="B144" s="68" t="s">
        <v>221</v>
      </c>
      <c r="C144" s="97">
        <v>0.4</v>
      </c>
      <c r="D144" s="69" t="s">
        <v>67</v>
      </c>
      <c r="E144" s="137" t="s">
        <v>87</v>
      </c>
      <c r="F144" s="156" t="s">
        <v>87</v>
      </c>
      <c r="G144" s="156">
        <v>1.1900000000000001E-3</v>
      </c>
      <c r="H144" s="156" t="s">
        <v>87</v>
      </c>
      <c r="I144" s="156">
        <v>2.4269999999999999E-3</v>
      </c>
      <c r="J144" s="156" t="s">
        <v>87</v>
      </c>
      <c r="K144" s="156">
        <v>3.522E-3</v>
      </c>
      <c r="L144" s="156">
        <v>3.6649999999999999E-3</v>
      </c>
      <c r="M144" s="156">
        <v>3.8549999999999999E-3</v>
      </c>
      <c r="N144" s="138" cm="1">
        <f t="array" aca="1" ref="N144:AE144" ca="1">IF(OR(B144="",NOT($J$2)),"",GetStripDefaultProbability(A144,B144,Parameter_Date,CDSRollDate,E144:M144,SpreadCurveMaturities,D144,C144,$J$4,$J$6))</f>
        <v>0</v>
      </c>
      <c r="O144" s="163">
        <f ca="1"/>
        <v>0</v>
      </c>
      <c r="P144" s="163">
        <f ca="1"/>
        <v>2.1803488992062636E-3</v>
      </c>
      <c r="Q144" s="163">
        <f ca="1"/>
        <v>0</v>
      </c>
      <c r="R144" s="163">
        <f ca="1"/>
        <v>1.2690340134871025E-2</v>
      </c>
      <c r="S144" s="163">
        <f ca="1"/>
        <v>0</v>
      </c>
      <c r="T144" s="163">
        <f ca="1"/>
        <v>3.0634087930478171E-2</v>
      </c>
      <c r="U144" s="163">
        <f ca="1"/>
        <v>4.3911700018574473E-2</v>
      </c>
      <c r="V144" s="139">
        <f ca="1"/>
        <v>6.5169761305131191E-2</v>
      </c>
      <c r="W144" s="138">
        <f ca="1"/>
        <v>0</v>
      </c>
      <c r="X144" s="163">
        <f ca="1"/>
        <v>0</v>
      </c>
      <c r="Y144" s="163">
        <f ca="1"/>
        <v>2.3466383165640092E-3</v>
      </c>
      <c r="Z144" s="163">
        <f ca="1"/>
        <v>0</v>
      </c>
      <c r="AA144" s="163">
        <f ca="1"/>
        <v>1.331608267770612E-2</v>
      </c>
      <c r="AB144" s="163">
        <f ca="1"/>
        <v>0</v>
      </c>
      <c r="AC144" s="163">
        <f ca="1"/>
        <v>3.213968170579562E-2</v>
      </c>
      <c r="AD144" s="163">
        <f ca="1"/>
        <v>4.6058385478437436E-2</v>
      </c>
      <c r="AE144" s="139">
        <f ca="1"/>
        <v>6.8317167814968105E-2</v>
      </c>
      <c r="AI144" s="136"/>
      <c r="AK144" s="136"/>
      <c r="AM144" s="136"/>
      <c r="AN144" s="136"/>
      <c r="AO144" s="136"/>
      <c r="AR144" s="136"/>
      <c r="AT144" s="136"/>
      <c r="AV144" s="136"/>
      <c r="AW144" s="136"/>
      <c r="AX144" s="136"/>
    </row>
    <row r="145" spans="1:50" s="79" customFormat="1" ht="11.25">
      <c r="A145" s="96">
        <f t="shared" ca="1" si="4"/>
        <v>134</v>
      </c>
      <c r="B145" s="68" t="s">
        <v>222</v>
      </c>
      <c r="C145" s="97">
        <v>0.4</v>
      </c>
      <c r="D145" s="69" t="s">
        <v>67</v>
      </c>
      <c r="E145" s="137" t="s">
        <v>87</v>
      </c>
      <c r="F145" s="156" t="s">
        <v>87</v>
      </c>
      <c r="G145" s="156">
        <v>1.103E-3</v>
      </c>
      <c r="H145" s="156" t="s">
        <v>87</v>
      </c>
      <c r="I145" s="156">
        <v>1.805E-3</v>
      </c>
      <c r="J145" s="156" t="s">
        <v>87</v>
      </c>
      <c r="K145" s="156">
        <v>2.5569999999999998E-3</v>
      </c>
      <c r="L145" s="156">
        <v>3.46E-3</v>
      </c>
      <c r="M145" s="156">
        <v>4.2620000000000002E-3</v>
      </c>
      <c r="N145" s="138" cm="1">
        <f t="array" aca="1" ref="N145:AE145" ca="1">IF(OR(B145="",NOT($J$2)),"",GetStripDefaultProbability(A145,B145,Parameter_Date,CDSRollDate,E145:M145,SpreadCurveMaturities,D145,C145,$J$4,$J$6))</f>
        <v>0</v>
      </c>
      <c r="O145" s="163">
        <f ca="1"/>
        <v>0</v>
      </c>
      <c r="P145" s="163">
        <f ca="1"/>
        <v>2.0211051498184585E-3</v>
      </c>
      <c r="Q145" s="163">
        <f ca="1"/>
        <v>0</v>
      </c>
      <c r="R145" s="163">
        <f ca="1"/>
        <v>9.4204423907533474E-3</v>
      </c>
      <c r="S145" s="163">
        <f ca="1"/>
        <v>0</v>
      </c>
      <c r="T145" s="163">
        <f ca="1"/>
        <v>2.2252503818895875E-2</v>
      </c>
      <c r="U145" s="163">
        <f ca="1"/>
        <v>4.2612867854111003E-2</v>
      </c>
      <c r="V145" s="139">
        <f ca="1"/>
        <v>7.5060268313349887E-2</v>
      </c>
      <c r="W145" s="138">
        <f ca="1"/>
        <v>0</v>
      </c>
      <c r="X145" s="163">
        <f ca="1"/>
        <v>0</v>
      </c>
      <c r="Y145" s="163">
        <f ca="1"/>
        <v>2.187421105600329E-3</v>
      </c>
      <c r="Z145" s="163">
        <f ca="1"/>
        <v>0</v>
      </c>
      <c r="AA145" s="163">
        <f ca="1"/>
        <v>9.9355840065625811E-3</v>
      </c>
      <c r="AB145" s="163">
        <f ca="1"/>
        <v>0</v>
      </c>
      <c r="AC145" s="163">
        <f ca="1"/>
        <v>2.3343034999650292E-2</v>
      </c>
      <c r="AD145" s="163">
        <f ca="1"/>
        <v>4.4695065604995698E-2</v>
      </c>
      <c r="AE145" s="139">
        <f ca="1"/>
        <v>7.86777187864659E-2</v>
      </c>
      <c r="AI145" s="136"/>
      <c r="AK145" s="136"/>
      <c r="AM145" s="136"/>
      <c r="AN145" s="136"/>
      <c r="AO145" s="136"/>
      <c r="AR145" s="136"/>
      <c r="AT145" s="136"/>
      <c r="AV145" s="136"/>
      <c r="AW145" s="136"/>
      <c r="AX145" s="136"/>
    </row>
    <row r="146" spans="1:50" s="79" customFormat="1" ht="11.25">
      <c r="A146" s="96">
        <f t="shared" ca="1" si="4"/>
        <v>135</v>
      </c>
      <c r="B146" s="68" t="s">
        <v>223</v>
      </c>
      <c r="C146" s="97">
        <v>0.4</v>
      </c>
      <c r="D146" s="69" t="s">
        <v>67</v>
      </c>
      <c r="E146" s="137" t="s">
        <v>87</v>
      </c>
      <c r="F146" s="156" t="s">
        <v>87</v>
      </c>
      <c r="G146" s="156">
        <v>1.1720000000000001E-3</v>
      </c>
      <c r="H146" s="156" t="s">
        <v>87</v>
      </c>
      <c r="I146" s="156">
        <v>3.0980000000000001E-3</v>
      </c>
      <c r="J146" s="156" t="s">
        <v>87</v>
      </c>
      <c r="K146" s="156">
        <v>3.908E-3</v>
      </c>
      <c r="L146" s="156">
        <v>4.8139999999999997E-3</v>
      </c>
      <c r="M146" s="156">
        <v>6.1479999999999998E-3</v>
      </c>
      <c r="N146" s="138" cm="1">
        <f t="array" aca="1" ref="N146:AE146" ca="1">IF(OR(B146="",NOT($J$2)),"",GetStripDefaultProbability(A146,B146,Parameter_Date,CDSRollDate,E146:M146,SpreadCurveMaturities,D146,C146,$J$4,$J$6))</f>
        <v>0</v>
      </c>
      <c r="O146" s="163">
        <f ca="1"/>
        <v>0</v>
      </c>
      <c r="P146" s="163">
        <f ca="1"/>
        <v>2.147403984063434E-3</v>
      </c>
      <c r="Q146" s="163">
        <f ca="1"/>
        <v>0</v>
      </c>
      <c r="R146" s="163">
        <f ca="1"/>
        <v>1.6225758309367899E-2</v>
      </c>
      <c r="S146" s="163">
        <f ca="1"/>
        <v>0</v>
      </c>
      <c r="T146" s="163">
        <f ca="1"/>
        <v>3.373116841012147E-2</v>
      </c>
      <c r="U146" s="163">
        <f ca="1"/>
        <v>5.8254669172952411E-2</v>
      </c>
      <c r="V146" s="139">
        <f ca="1"/>
        <v>0.10684906458989185</v>
      </c>
      <c r="W146" s="138">
        <f ca="1"/>
        <v>0</v>
      </c>
      <c r="X146" s="163">
        <f ca="1"/>
        <v>0</v>
      </c>
      <c r="Y146" s="163">
        <f ca="1"/>
        <v>2.3136988917683565E-3</v>
      </c>
      <c r="Z146" s="163">
        <f ca="1"/>
        <v>0</v>
      </c>
      <c r="AA146" s="163">
        <f ca="1"/>
        <v>1.702534973356995E-2</v>
      </c>
      <c r="AB146" s="163">
        <f ca="1"/>
        <v>0</v>
      </c>
      <c r="AC146" s="163">
        <f ca="1"/>
        <v>3.5386219463815261E-2</v>
      </c>
      <c r="AD146" s="163">
        <f ca="1"/>
        <v>6.1088088793005979E-2</v>
      </c>
      <c r="AE146" s="139">
        <f ca="1"/>
        <v>0.1119663711655372</v>
      </c>
      <c r="AI146" s="136"/>
      <c r="AK146" s="136"/>
      <c r="AM146" s="136"/>
      <c r="AN146" s="136"/>
      <c r="AO146" s="136"/>
      <c r="AR146" s="136"/>
      <c r="AT146" s="136"/>
      <c r="AV146" s="136"/>
      <c r="AW146" s="136"/>
      <c r="AX146" s="136"/>
    </row>
    <row r="147" spans="1:50" s="79" customFormat="1" ht="11.25">
      <c r="A147" s="96">
        <f t="shared" ca="1" si="4"/>
        <v>136</v>
      </c>
      <c r="B147" s="68" t="s">
        <v>224</v>
      </c>
      <c r="C147" s="97">
        <v>0.4</v>
      </c>
      <c r="D147" s="69" t="s">
        <v>67</v>
      </c>
      <c r="E147" s="137" t="s">
        <v>87</v>
      </c>
      <c r="F147" s="156" t="s">
        <v>87</v>
      </c>
      <c r="G147" s="156">
        <v>1.0380000000000001E-3</v>
      </c>
      <c r="H147" s="156" t="s">
        <v>87</v>
      </c>
      <c r="I147" s="156">
        <v>2.8470000000000001E-3</v>
      </c>
      <c r="J147" s="156" t="s">
        <v>87</v>
      </c>
      <c r="K147" s="156">
        <v>4.3429999999999996E-3</v>
      </c>
      <c r="L147" s="156">
        <v>5.4520000000000002E-3</v>
      </c>
      <c r="M147" s="156">
        <v>7.1890000000000001E-3</v>
      </c>
      <c r="N147" s="138" cm="1">
        <f t="array" aca="1" ref="N147:AE147" ca="1">IF(OR(B147="",NOT($J$2)),"",GetStripDefaultProbability(A147,B147,Parameter_Date,CDSRollDate,E147:M147,SpreadCurveMaturities,D147,C147,$J$4,$J$6))</f>
        <v>0</v>
      </c>
      <c r="O147" s="163">
        <f ca="1"/>
        <v>0</v>
      </c>
      <c r="P147" s="163">
        <f ca="1"/>
        <v>1.9021134862052813E-3</v>
      </c>
      <c r="Q147" s="163">
        <f ca="1"/>
        <v>0</v>
      </c>
      <c r="R147" s="163">
        <f ca="1"/>
        <v>1.4924160578970169E-2</v>
      </c>
      <c r="S147" s="163">
        <f ca="1"/>
        <v>0</v>
      </c>
      <c r="T147" s="163">
        <f ca="1"/>
        <v>3.7825069439595072E-2</v>
      </c>
      <c r="U147" s="163">
        <f ca="1"/>
        <v>6.6318850904121263E-2</v>
      </c>
      <c r="V147" s="139">
        <f ca="1"/>
        <v>0.1252886640655303</v>
      </c>
      <c r="W147" s="138">
        <f ca="1"/>
        <v>0</v>
      </c>
      <c r="X147" s="163">
        <f ca="1"/>
        <v>0</v>
      </c>
      <c r="Y147" s="163">
        <f ca="1"/>
        <v>2.0684492722677916E-3</v>
      </c>
      <c r="Z147" s="163">
        <f ca="1"/>
        <v>0</v>
      </c>
      <c r="AA147" s="163">
        <f ca="1"/>
        <v>1.5658873005418794E-2</v>
      </c>
      <c r="AB147" s="163">
        <f ca="1"/>
        <v>0</v>
      </c>
      <c r="AC147" s="163">
        <f ca="1"/>
        <v>3.9678260105843521E-2</v>
      </c>
      <c r="AD147" s="163">
        <f ca="1"/>
        <v>6.9536613071950248E-2</v>
      </c>
      <c r="AE147" s="139">
        <f ca="1"/>
        <v>0.13125651708726682</v>
      </c>
      <c r="AI147" s="136"/>
      <c r="AK147" s="136"/>
      <c r="AM147" s="136"/>
      <c r="AN147" s="136"/>
      <c r="AO147" s="136"/>
      <c r="AR147" s="136"/>
      <c r="AT147" s="136"/>
      <c r="AV147" s="136"/>
      <c r="AW147" s="136"/>
      <c r="AX147" s="136"/>
    </row>
    <row r="148" spans="1:50" s="79" customFormat="1" ht="11.25">
      <c r="A148" s="96">
        <f t="shared" ca="1" si="4"/>
        <v>137</v>
      </c>
      <c r="B148" s="68" t="s">
        <v>225</v>
      </c>
      <c r="C148" s="97">
        <v>0.4</v>
      </c>
      <c r="D148" s="69" t="s">
        <v>67</v>
      </c>
      <c r="E148" s="137" t="s">
        <v>87</v>
      </c>
      <c r="F148" s="156" t="s">
        <v>87</v>
      </c>
      <c r="G148" s="156">
        <v>9.5500000000000001E-4</v>
      </c>
      <c r="H148" s="156" t="s">
        <v>87</v>
      </c>
      <c r="I148" s="156">
        <v>1.8079999999999999E-3</v>
      </c>
      <c r="J148" s="156" t="s">
        <v>87</v>
      </c>
      <c r="K148" s="156">
        <v>3.4740000000000001E-3</v>
      </c>
      <c r="L148" s="156">
        <v>4.7109999999999999E-3</v>
      </c>
      <c r="M148" s="156">
        <v>6.3769999999999999E-3</v>
      </c>
      <c r="N148" s="138" cm="1">
        <f t="array" aca="1" ref="N148:AE148" ca="1">IF(OR(B148="",NOT($J$2)),"",GetStripDefaultProbability(A148,B148,Parameter_Date,CDSRollDate,E148:M148,SpreadCurveMaturities,D148,C148,$J$4,$J$6))</f>
        <v>0</v>
      </c>
      <c r="O148" s="163">
        <f ca="1"/>
        <v>0</v>
      </c>
      <c r="P148" s="163">
        <f ca="1"/>
        <v>1.7501498299049567E-3</v>
      </c>
      <c r="Q148" s="163">
        <f ca="1"/>
        <v>0</v>
      </c>
      <c r="R148" s="163">
        <f ca="1"/>
        <v>9.4565988537972379E-3</v>
      </c>
      <c r="S148" s="163">
        <f ca="1"/>
        <v>0</v>
      </c>
      <c r="T148" s="163">
        <f ca="1"/>
        <v>3.0595260952323011E-2</v>
      </c>
      <c r="U148" s="163">
        <f ca="1"/>
        <v>5.8184954832764313E-2</v>
      </c>
      <c r="V148" s="139">
        <f ca="1"/>
        <v>0.11283438086521103</v>
      </c>
      <c r="W148" s="138">
        <f ca="1"/>
        <v>0</v>
      </c>
      <c r="X148" s="163">
        <f ca="1"/>
        <v>0</v>
      </c>
      <c r="Y148" s="163">
        <f ca="1"/>
        <v>1.9165109411078962E-3</v>
      </c>
      <c r="Z148" s="163">
        <f ca="1"/>
        <v>0</v>
      </c>
      <c r="AA148" s="163">
        <f ca="1"/>
        <v>9.9717616383697694E-3</v>
      </c>
      <c r="AB148" s="163">
        <f ca="1"/>
        <v>0</v>
      </c>
      <c r="AC148" s="163">
        <f ca="1"/>
        <v>3.2092672388860155E-2</v>
      </c>
      <c r="AD148" s="163">
        <f ca="1"/>
        <v>6.1015347375121709E-2</v>
      </c>
      <c r="AE148" s="139">
        <f ca="1"/>
        <v>0.11824086856718707</v>
      </c>
      <c r="AI148" s="136"/>
      <c r="AK148" s="136"/>
      <c r="AM148" s="136"/>
      <c r="AN148" s="136"/>
      <c r="AO148" s="136"/>
      <c r="AR148" s="136"/>
      <c r="AT148" s="136"/>
      <c r="AV148" s="136"/>
      <c r="AW148" s="136"/>
      <c r="AX148" s="136"/>
    </row>
    <row r="149" spans="1:50" s="79" customFormat="1" ht="11.25">
      <c r="A149" s="96">
        <f t="shared" ca="1" si="4"/>
        <v>138</v>
      </c>
      <c r="B149" s="68" t="s">
        <v>226</v>
      </c>
      <c r="C149" s="97">
        <v>0.4</v>
      </c>
      <c r="D149" s="69" t="s">
        <v>67</v>
      </c>
      <c r="E149" s="137" t="s">
        <v>87</v>
      </c>
      <c r="F149" s="156" t="s">
        <v>87</v>
      </c>
      <c r="G149" s="156">
        <v>6.3100000000000005E-4</v>
      </c>
      <c r="H149" s="156" t="s">
        <v>87</v>
      </c>
      <c r="I149" s="156">
        <v>1.8730000000000001E-3</v>
      </c>
      <c r="J149" s="156" t="s">
        <v>87</v>
      </c>
      <c r="K149" s="156">
        <v>3.4259999999999998E-3</v>
      </c>
      <c r="L149" s="156">
        <v>4.339E-3</v>
      </c>
      <c r="M149" s="156">
        <v>5.8009999999999997E-3</v>
      </c>
      <c r="N149" s="138" cm="1">
        <f t="array" aca="1" ref="N149:AE149" ca="1">IF(OR(B149="",NOT($J$2)),"",GetStripDefaultProbability(A149,B149,Parameter_Date,CDSRollDate,E149:M149,SpreadCurveMaturities,D149,C149,$J$4,$J$6))</f>
        <v>0</v>
      </c>
      <c r="O149" s="163">
        <f ca="1"/>
        <v>0</v>
      </c>
      <c r="P149" s="163">
        <f ca="1"/>
        <v>1.1567226251030238E-3</v>
      </c>
      <c r="Q149" s="163">
        <f ca="1"/>
        <v>0</v>
      </c>
      <c r="R149" s="163">
        <f ca="1"/>
        <v>9.8445163732537866E-3</v>
      </c>
      <c r="S149" s="163">
        <f ca="1"/>
        <v>0</v>
      </c>
      <c r="T149" s="163">
        <f ca="1"/>
        <v>3.0168766132727565E-2</v>
      </c>
      <c r="U149" s="163">
        <f ca="1"/>
        <v>5.3334349363229339E-2</v>
      </c>
      <c r="V149" s="139">
        <f ca="1"/>
        <v>0.10247943585984709</v>
      </c>
      <c r="W149" s="138">
        <f ca="1"/>
        <v>0</v>
      </c>
      <c r="X149" s="163">
        <f ca="1"/>
        <v>0</v>
      </c>
      <c r="Y149" s="163">
        <f ca="1"/>
        <v>1.3231826326030038E-3</v>
      </c>
      <c r="Z149" s="163">
        <f ca="1"/>
        <v>0</v>
      </c>
      <c r="AA149" s="163">
        <f ca="1"/>
        <v>1.0359549083528874E-2</v>
      </c>
      <c r="AB149" s="163">
        <f ca="1"/>
        <v>0</v>
      </c>
      <c r="AC149" s="163">
        <f ca="1"/>
        <v>3.1645200146568908E-2</v>
      </c>
      <c r="AD149" s="163">
        <f ca="1"/>
        <v>5.5931436811695212E-2</v>
      </c>
      <c r="AE149" s="139">
        <f ca="1"/>
        <v>0.10740240530727541</v>
      </c>
      <c r="AI149" s="136"/>
      <c r="AK149" s="136"/>
      <c r="AM149" s="136"/>
      <c r="AN149" s="136"/>
      <c r="AO149" s="136"/>
      <c r="AR149" s="136"/>
      <c r="AT149" s="136"/>
      <c r="AV149" s="136"/>
      <c r="AW149" s="136"/>
      <c r="AX149" s="136"/>
    </row>
    <row r="150" spans="1:50" s="79" customFormat="1" ht="11.25">
      <c r="A150" s="96">
        <f t="shared" ca="1" si="4"/>
        <v>139</v>
      </c>
      <c r="B150" s="68" t="s">
        <v>227</v>
      </c>
      <c r="C150" s="97">
        <v>0.4</v>
      </c>
      <c r="D150" s="69" t="s">
        <v>67</v>
      </c>
      <c r="E150" s="137" t="s">
        <v>87</v>
      </c>
      <c r="F150" s="156" t="s">
        <v>87</v>
      </c>
      <c r="G150" s="156">
        <v>3.28E-4</v>
      </c>
      <c r="H150" s="156" t="s">
        <v>87</v>
      </c>
      <c r="I150" s="156">
        <v>9.8400000000000007E-4</v>
      </c>
      <c r="J150" s="156" t="s">
        <v>87</v>
      </c>
      <c r="K150" s="156">
        <v>1.6410000000000001E-3</v>
      </c>
      <c r="L150" s="156">
        <v>2.2030000000000001E-3</v>
      </c>
      <c r="M150" s="156">
        <v>2.9529999999999999E-3</v>
      </c>
      <c r="N150" s="138" cm="1">
        <f t="array" aca="1" ref="N150:AE150" ca="1">IF(OR(B150="",NOT($J$2)),"",GetStripDefaultProbability(A150,B150,Parameter_Date,CDSRollDate,E150:M150,SpreadCurveMaturities,D150,C150,$J$4,$J$6))</f>
        <v>0</v>
      </c>
      <c r="O150" s="163">
        <f ca="1"/>
        <v>0</v>
      </c>
      <c r="P150" s="163">
        <f ca="1"/>
        <v>6.0144160092268084E-4</v>
      </c>
      <c r="Q150" s="163">
        <f ca="1"/>
        <v>0</v>
      </c>
      <c r="R150" s="163">
        <f ca="1"/>
        <v>5.1814087962951394E-3</v>
      </c>
      <c r="S150" s="163">
        <f ca="1"/>
        <v>0</v>
      </c>
      <c r="T150" s="163">
        <f ca="1"/>
        <v>1.4472889288814406E-2</v>
      </c>
      <c r="U150" s="163">
        <f ca="1"/>
        <v>2.7410177357859555E-2</v>
      </c>
      <c r="V150" s="139">
        <f ca="1"/>
        <v>5.3193339249285376E-2</v>
      </c>
      <c r="W150" s="138">
        <f ca="1"/>
        <v>0</v>
      </c>
      <c r="X150" s="163">
        <f ca="1"/>
        <v>0</v>
      </c>
      <c r="Y150" s="163">
        <f ca="1"/>
        <v>7.6799414756312245E-4</v>
      </c>
      <c r="Z150" s="163">
        <f ca="1"/>
        <v>0</v>
      </c>
      <c r="AA150" s="163">
        <f ca="1"/>
        <v>5.6989650640246747E-3</v>
      </c>
      <c r="AB150" s="163">
        <f ca="1"/>
        <v>0</v>
      </c>
      <c r="AC150" s="163">
        <f ca="1"/>
        <v>1.5317538229629113E-2</v>
      </c>
      <c r="AD150" s="163">
        <f ca="1"/>
        <v>2.8708147639254666E-2</v>
      </c>
      <c r="AE150" s="139">
        <f ca="1"/>
        <v>5.5734481484083775E-2</v>
      </c>
      <c r="AI150" s="136"/>
      <c r="AK150" s="136"/>
      <c r="AM150" s="136"/>
      <c r="AN150" s="136"/>
      <c r="AO150" s="136"/>
      <c r="AR150" s="136"/>
      <c r="AT150" s="136"/>
      <c r="AV150" s="136"/>
      <c r="AW150" s="136"/>
      <c r="AX150" s="136"/>
    </row>
    <row r="151" spans="1:50" s="79" customFormat="1" ht="11.25">
      <c r="A151" s="96">
        <f t="shared" ca="1" si="4"/>
        <v>140</v>
      </c>
      <c r="B151" s="68" t="s">
        <v>228</v>
      </c>
      <c r="C151" s="97">
        <v>0.4</v>
      </c>
      <c r="D151" s="69" t="s">
        <v>67</v>
      </c>
      <c r="E151" s="137" t="s">
        <v>87</v>
      </c>
      <c r="F151" s="156" t="s">
        <v>87</v>
      </c>
      <c r="G151" s="156">
        <v>3.0200000000000001E-3</v>
      </c>
      <c r="H151" s="156" t="s">
        <v>87</v>
      </c>
      <c r="I151" s="156">
        <v>9.3609999999999995E-3</v>
      </c>
      <c r="J151" s="156" t="s">
        <v>87</v>
      </c>
      <c r="K151" s="156">
        <v>1.5102000000000001E-2</v>
      </c>
      <c r="L151" s="156">
        <v>1.737E-2</v>
      </c>
      <c r="M151" s="156">
        <v>1.9540999999999999E-2</v>
      </c>
      <c r="N151" s="138" cm="1">
        <f t="array" aca="1" ref="N151:AE151" ca="1">IF(OR(B151="",NOT($J$2)),"",GetStripDefaultProbability(A151,B151,Parameter_Date,CDSRollDate,E151:M151,SpreadCurveMaturities,D151,C151,$J$4,$J$6))</f>
        <v>0</v>
      </c>
      <c r="O151" s="163">
        <f ca="1"/>
        <v>0</v>
      </c>
      <c r="P151" s="163">
        <f ca="1"/>
        <v>5.524128908216186E-3</v>
      </c>
      <c r="Q151" s="163">
        <f ca="1"/>
        <v>0</v>
      </c>
      <c r="R151" s="163">
        <f ca="1"/>
        <v>4.8492975503105051E-2</v>
      </c>
      <c r="S151" s="163">
        <f ca="1"/>
        <v>0</v>
      </c>
      <c r="T151" s="163">
        <f ca="1"/>
        <v>0.12765920066560521</v>
      </c>
      <c r="U151" s="163">
        <f ca="1"/>
        <v>0.19850530442840308</v>
      </c>
      <c r="V151" s="139">
        <f ca="1"/>
        <v>0.30324674630833215</v>
      </c>
      <c r="W151" s="138">
        <f ca="1"/>
        <v>0</v>
      </c>
      <c r="X151" s="163">
        <f ca="1"/>
        <v>0</v>
      </c>
      <c r="Y151" s="163">
        <f ca="1"/>
        <v>5.7993900282928834E-3</v>
      </c>
      <c r="Z151" s="163">
        <f ca="1"/>
        <v>0</v>
      </c>
      <c r="AA151" s="163">
        <f ca="1"/>
        <v>5.0870545732539685E-2</v>
      </c>
      <c r="AB151" s="163">
        <f ca="1"/>
        <v>0</v>
      </c>
      <c r="AC151" s="163">
        <f ca="1"/>
        <v>0.13373443332454715</v>
      </c>
      <c r="AD151" s="163">
        <f ca="1"/>
        <v>0.20760380419202662</v>
      </c>
      <c r="AE151" s="139">
        <f ca="1"/>
        <v>0.31630117219697529</v>
      </c>
      <c r="AI151" s="136"/>
      <c r="AK151" s="136"/>
      <c r="AM151" s="136"/>
      <c r="AN151" s="136"/>
      <c r="AO151" s="136"/>
      <c r="AR151" s="136"/>
      <c r="AT151" s="136"/>
      <c r="AV151" s="136"/>
      <c r="AW151" s="136"/>
      <c r="AX151" s="136"/>
    </row>
    <row r="152" spans="1:50" s="79" customFormat="1" ht="11.25">
      <c r="A152" s="96">
        <f t="shared" ca="1" si="4"/>
        <v>141</v>
      </c>
      <c r="B152" s="68" t="s">
        <v>229</v>
      </c>
      <c r="C152" s="97">
        <v>0.4</v>
      </c>
      <c r="D152" s="69" t="s">
        <v>67</v>
      </c>
      <c r="E152" s="137" t="s">
        <v>87</v>
      </c>
      <c r="F152" s="156" t="s">
        <v>87</v>
      </c>
      <c r="G152" s="156">
        <v>5.31E-4</v>
      </c>
      <c r="H152" s="156" t="s">
        <v>87</v>
      </c>
      <c r="I152" s="156">
        <v>6.7599999999999995E-4</v>
      </c>
      <c r="J152" s="156" t="s">
        <v>87</v>
      </c>
      <c r="K152" s="156">
        <v>1.158E-3</v>
      </c>
      <c r="L152" s="156">
        <v>1.4959999999999999E-3</v>
      </c>
      <c r="M152" s="156">
        <v>1.9780000000000002E-3</v>
      </c>
      <c r="N152" s="138" cm="1">
        <f t="array" aca="1" ref="N152:AE152" ca="1">IF(OR(B152="",NOT($J$2)),"",GetStripDefaultProbability(A152,B152,Parameter_Date,CDSRollDate,E152:M152,SpreadCurveMaturities,D152,C152,$J$4,$J$6))</f>
        <v>0</v>
      </c>
      <c r="O152" s="163">
        <f ca="1"/>
        <v>0</v>
      </c>
      <c r="P152" s="163">
        <f ca="1"/>
        <v>9.7349541371094528E-4</v>
      </c>
      <c r="Q152" s="163">
        <f ca="1"/>
        <v>0</v>
      </c>
      <c r="R152" s="163">
        <f ca="1"/>
        <v>3.5213605761110767E-3</v>
      </c>
      <c r="S152" s="163">
        <f ca="1"/>
        <v>0</v>
      </c>
      <c r="T152" s="163">
        <f ca="1"/>
        <v>1.0197705672951973E-2</v>
      </c>
      <c r="U152" s="163">
        <f ca="1"/>
        <v>1.8577640967548326E-2</v>
      </c>
      <c r="V152" s="139">
        <f ca="1"/>
        <v>3.568521233614308E-2</v>
      </c>
      <c r="W152" s="138">
        <f ca="1"/>
        <v>0</v>
      </c>
      <c r="X152" s="163">
        <f ca="1"/>
        <v>0</v>
      </c>
      <c r="Y152" s="163">
        <f ca="1"/>
        <v>1.1399859565527359E-3</v>
      </c>
      <c r="Z152" s="163">
        <f ca="1"/>
        <v>0</v>
      </c>
      <c r="AA152" s="163">
        <f ca="1"/>
        <v>4.0396174783560168E-3</v>
      </c>
      <c r="AB152" s="163">
        <f ca="1"/>
        <v>0</v>
      </c>
      <c r="AC152" s="163">
        <f ca="1"/>
        <v>1.1045653832377877E-2</v>
      </c>
      <c r="AD152" s="163">
        <f ca="1"/>
        <v>1.9749228296323862E-2</v>
      </c>
      <c r="AE152" s="139">
        <f ca="1"/>
        <v>3.732459304935154E-2</v>
      </c>
      <c r="AI152" s="136"/>
      <c r="AK152" s="136"/>
      <c r="AM152" s="136"/>
      <c r="AN152" s="136"/>
      <c r="AO152" s="136"/>
      <c r="AR152" s="136"/>
      <c r="AT152" s="136"/>
      <c r="AV152" s="136"/>
      <c r="AW152" s="136"/>
      <c r="AX152" s="136"/>
    </row>
    <row r="153" spans="1:50" s="79" customFormat="1" ht="11.25">
      <c r="A153" s="96">
        <f t="shared" ca="1" si="4"/>
        <v>142</v>
      </c>
      <c r="B153" s="68" t="s">
        <v>230</v>
      </c>
      <c r="C153" s="97">
        <v>0.4</v>
      </c>
      <c r="D153" s="69" t="s">
        <v>67</v>
      </c>
      <c r="E153" s="137" t="s">
        <v>87</v>
      </c>
      <c r="F153" s="156" t="s">
        <v>87</v>
      </c>
      <c r="G153" s="156">
        <v>4.7899999999999999E-4</v>
      </c>
      <c r="H153" s="156" t="s">
        <v>87</v>
      </c>
      <c r="I153" s="156">
        <v>1.245E-3</v>
      </c>
      <c r="J153" s="156" t="s">
        <v>87</v>
      </c>
      <c r="K153" s="156">
        <v>2.075E-3</v>
      </c>
      <c r="L153" s="156">
        <v>2.581E-3</v>
      </c>
      <c r="M153" s="156">
        <v>3.0869999999999999E-3</v>
      </c>
      <c r="N153" s="138" cm="1">
        <f t="array" aca="1" ref="N153:AE153" ca="1">IF(OR(B153="",NOT($J$2)),"",GetStripDefaultProbability(A153,B153,Parameter_Date,CDSRollDate,E153:M153,SpreadCurveMaturities,D153,C153,$J$4,$J$6))</f>
        <v>0</v>
      </c>
      <c r="O153" s="163">
        <f ca="1"/>
        <v>0</v>
      </c>
      <c r="P153" s="163">
        <f ca="1"/>
        <v>8.7820408470851152E-4</v>
      </c>
      <c r="Q153" s="163">
        <f ca="1"/>
        <v>0</v>
      </c>
      <c r="R153" s="163">
        <f ca="1"/>
        <v>6.5437735034821198E-3</v>
      </c>
      <c r="S153" s="163">
        <f ca="1"/>
        <v>0</v>
      </c>
      <c r="T153" s="163">
        <f ca="1"/>
        <v>1.8267558351966473E-2</v>
      </c>
      <c r="U153" s="163">
        <f ca="1"/>
        <v>3.1835900816896467E-2</v>
      </c>
      <c r="V153" s="139">
        <f ca="1"/>
        <v>5.4466022888387755E-2</v>
      </c>
      <c r="W153" s="138">
        <f ca="1"/>
        <v>0</v>
      </c>
      <c r="X153" s="163">
        <f ca="1"/>
        <v>0</v>
      </c>
      <c r="Y153" s="163">
        <f ca="1"/>
        <v>1.0447105080978458E-3</v>
      </c>
      <c r="Z153" s="163">
        <f ca="1"/>
        <v>0</v>
      </c>
      <c r="AA153" s="163">
        <f ca="1"/>
        <v>7.0606017188927783E-3</v>
      </c>
      <c r="AB153" s="163">
        <f ca="1"/>
        <v>0</v>
      </c>
      <c r="AC153" s="163">
        <f ca="1"/>
        <v>1.9143174985082445E-2</v>
      </c>
      <c r="AD153" s="163">
        <f ca="1"/>
        <v>3.337625731938787E-2</v>
      </c>
      <c r="AE153" s="139">
        <f ca="1"/>
        <v>5.7092550979801704E-2</v>
      </c>
      <c r="AI153" s="136"/>
      <c r="AK153" s="136"/>
      <c r="AM153" s="136"/>
      <c r="AN153" s="136"/>
      <c r="AO153" s="136"/>
      <c r="AR153" s="136"/>
      <c r="AT153" s="136"/>
      <c r="AV153" s="136"/>
      <c r="AW153" s="136"/>
      <c r="AX153" s="136"/>
    </row>
    <row r="154" spans="1:50" s="79" customFormat="1" ht="11.25">
      <c r="A154" s="96">
        <f t="shared" ca="1" si="4"/>
        <v>143</v>
      </c>
      <c r="B154" s="68" t="s">
        <v>231</v>
      </c>
      <c r="C154" s="97">
        <v>0.4</v>
      </c>
      <c r="D154" s="69" t="s">
        <v>67</v>
      </c>
      <c r="E154" s="137" t="s">
        <v>87</v>
      </c>
      <c r="F154" s="156" t="s">
        <v>87</v>
      </c>
      <c r="G154" s="156">
        <v>9.1699999999999995E-4</v>
      </c>
      <c r="H154" s="156" t="s">
        <v>87</v>
      </c>
      <c r="I154" s="156">
        <v>1.689E-3</v>
      </c>
      <c r="J154" s="156" t="s">
        <v>87</v>
      </c>
      <c r="K154" s="156">
        <v>2.4610000000000001E-3</v>
      </c>
      <c r="L154" s="156">
        <v>3.4450000000000001E-3</v>
      </c>
      <c r="M154" s="156">
        <v>4.6750000000000003E-3</v>
      </c>
      <c r="N154" s="138" cm="1">
        <f t="array" aca="1" ref="N154:AE154" ca="1">IF(OR(B154="",NOT($J$2)),"",GetStripDefaultProbability(A154,B154,Parameter_Date,CDSRollDate,E154:M154,SpreadCurveMaturities,D154,C154,$J$4,$J$6))</f>
        <v>0</v>
      </c>
      <c r="O154" s="163">
        <f ca="1"/>
        <v>0</v>
      </c>
      <c r="P154" s="163">
        <f ca="1"/>
        <v>1.6805684499081597E-3</v>
      </c>
      <c r="Q154" s="163">
        <f ca="1"/>
        <v>0</v>
      </c>
      <c r="R154" s="163">
        <f ca="1"/>
        <v>8.8330272922849673E-3</v>
      </c>
      <c r="S154" s="163">
        <f ca="1"/>
        <v>0</v>
      </c>
      <c r="T154" s="163">
        <f ca="1"/>
        <v>2.147141500207983E-2</v>
      </c>
      <c r="U154" s="163">
        <f ca="1"/>
        <v>4.2611286314394703E-2</v>
      </c>
      <c r="V154" s="139">
        <f ca="1"/>
        <v>8.3428994754445984E-2</v>
      </c>
      <c r="W154" s="138">
        <f ca="1"/>
        <v>0</v>
      </c>
      <c r="X154" s="163">
        <f ca="1"/>
        <v>0</v>
      </c>
      <c r="Y154" s="163">
        <f ca="1"/>
        <v>1.8469411570747329E-3</v>
      </c>
      <c r="Z154" s="163">
        <f ca="1"/>
        <v>0</v>
      </c>
      <c r="AA154" s="163">
        <f ca="1"/>
        <v>9.3485346123894919E-3</v>
      </c>
      <c r="AB154" s="163">
        <f ca="1"/>
        <v>0</v>
      </c>
      <c r="AC154" s="163">
        <f ca="1"/>
        <v>2.251928275224413E-2</v>
      </c>
      <c r="AD154" s="163">
        <f ca="1"/>
        <v>4.4689447104293789E-2</v>
      </c>
      <c r="AE154" s="139">
        <f ca="1"/>
        <v>8.7462573601948312E-2</v>
      </c>
      <c r="AI154" s="136"/>
      <c r="AK154" s="136"/>
      <c r="AM154" s="136"/>
      <c r="AN154" s="136"/>
      <c r="AO154" s="136"/>
      <c r="AR154" s="136"/>
      <c r="AT154" s="136"/>
      <c r="AV154" s="136"/>
      <c r="AW154" s="136"/>
      <c r="AX154" s="136"/>
    </row>
    <row r="155" spans="1:50" s="79" customFormat="1" ht="11.25">
      <c r="A155" s="96">
        <f t="shared" ca="1" si="4"/>
        <v>144</v>
      </c>
      <c r="B155" s="68" t="s">
        <v>232</v>
      </c>
      <c r="C155" s="97">
        <v>0.4</v>
      </c>
      <c r="D155" s="69" t="s">
        <v>67</v>
      </c>
      <c r="E155" s="137" t="s">
        <v>87</v>
      </c>
      <c r="F155" s="156" t="s">
        <v>87</v>
      </c>
      <c r="G155" s="156">
        <v>4.0900000000000002E-4</v>
      </c>
      <c r="H155" s="156" t="s">
        <v>87</v>
      </c>
      <c r="I155" s="156">
        <v>1.271E-3</v>
      </c>
      <c r="J155" s="156" t="s">
        <v>87</v>
      </c>
      <c r="K155" s="156">
        <v>1.882E-3</v>
      </c>
      <c r="L155" s="156">
        <v>2.6949999999999999E-3</v>
      </c>
      <c r="M155" s="156">
        <v>3.3059999999999999E-3</v>
      </c>
      <c r="N155" s="138" cm="1">
        <f t="array" aca="1" ref="N155:AE155" ca="1">IF(OR(B155="",NOT($J$2)),"",GetStripDefaultProbability(A155,B155,Parameter_Date,CDSRollDate,E155:M155,SpreadCurveMaturities,D155,C155,$J$4,$J$6))</f>
        <v>0</v>
      </c>
      <c r="O155" s="163">
        <f ca="1"/>
        <v>0</v>
      </c>
      <c r="P155" s="163">
        <f ca="1"/>
        <v>7.4991305328142577E-4</v>
      </c>
      <c r="Q155" s="163">
        <f ca="1"/>
        <v>0</v>
      </c>
      <c r="R155" s="163">
        <f ca="1"/>
        <v>6.6908708881325829E-3</v>
      </c>
      <c r="S155" s="163">
        <f ca="1"/>
        <v>0</v>
      </c>
      <c r="T155" s="163">
        <f ca="1"/>
        <v>1.6502404578213059E-2</v>
      </c>
      <c r="U155" s="163">
        <f ca="1"/>
        <v>3.3557140099600868E-2</v>
      </c>
      <c r="V155" s="139">
        <f ca="1"/>
        <v>5.8801589335806703E-2</v>
      </c>
      <c r="W155" s="138">
        <f ca="1"/>
        <v>0</v>
      </c>
      <c r="X155" s="163">
        <f ca="1"/>
        <v>0</v>
      </c>
      <c r="Y155" s="163">
        <f ca="1"/>
        <v>9.1644085674036369E-4</v>
      </c>
      <c r="Z155" s="163">
        <f ca="1"/>
        <v>0</v>
      </c>
      <c r="AA155" s="163">
        <f ca="1"/>
        <v>7.2076475536392293E-3</v>
      </c>
      <c r="AB155" s="163">
        <f ca="1"/>
        <v>0</v>
      </c>
      <c r="AC155" s="163">
        <f ca="1"/>
        <v>1.734523198550264E-2</v>
      </c>
      <c r="AD155" s="163">
        <f ca="1"/>
        <v>3.5175729046146298E-2</v>
      </c>
      <c r="AE155" s="139">
        <f ca="1"/>
        <v>6.1630206999176873E-2</v>
      </c>
      <c r="AI155" s="136"/>
      <c r="AK155" s="136"/>
      <c r="AM155" s="136"/>
      <c r="AN155" s="136"/>
      <c r="AO155" s="136"/>
      <c r="AR155" s="136"/>
      <c r="AT155" s="136"/>
      <c r="AV155" s="136"/>
      <c r="AW155" s="136"/>
      <c r="AX155" s="136"/>
    </row>
    <row r="156" spans="1:50" s="79" customFormat="1" ht="11.25">
      <c r="A156" s="96">
        <f t="shared" ca="1" si="4"/>
        <v>145</v>
      </c>
      <c r="B156" s="68" t="s">
        <v>233</v>
      </c>
      <c r="C156" s="97">
        <v>0.4</v>
      </c>
      <c r="D156" s="69" t="s">
        <v>67</v>
      </c>
      <c r="E156" s="137" t="s">
        <v>87</v>
      </c>
      <c r="F156" s="156" t="s">
        <v>87</v>
      </c>
      <c r="G156" s="156">
        <v>4.516E-3</v>
      </c>
      <c r="H156" s="156" t="s">
        <v>87</v>
      </c>
      <c r="I156" s="156">
        <v>5.5579999999999996E-3</v>
      </c>
      <c r="J156" s="156" t="s">
        <v>87</v>
      </c>
      <c r="K156" s="156">
        <v>6.9480000000000002E-3</v>
      </c>
      <c r="L156" s="156">
        <v>6.9480000000000002E-3</v>
      </c>
      <c r="M156" s="156">
        <v>6.9480000000000002E-3</v>
      </c>
      <c r="N156" s="138" cm="1">
        <f t="array" aca="1" ref="N156:AE156" ca="1">IF(OR(B156="",NOT($J$2)),"",GetStripDefaultProbability(A156,B156,Parameter_Date,CDSRollDate,E156:M156,SpreadCurveMaturities,D156,C156,$J$4,$J$6))</f>
        <v>0</v>
      </c>
      <c r="O156" s="163">
        <f ca="1"/>
        <v>0</v>
      </c>
      <c r="P156" s="163">
        <f ca="1"/>
        <v>8.2493801980226822E-3</v>
      </c>
      <c r="Q156" s="163">
        <f ca="1"/>
        <v>0</v>
      </c>
      <c r="R156" s="163">
        <f ca="1"/>
        <v>2.8596027734377194E-2</v>
      </c>
      <c r="S156" s="163">
        <f ca="1"/>
        <v>0</v>
      </c>
      <c r="T156" s="163">
        <f ca="1"/>
        <v>5.8934500898560782E-2</v>
      </c>
      <c r="U156" s="163">
        <f ca="1"/>
        <v>8.061303084777649E-2</v>
      </c>
      <c r="V156" s="139">
        <f ca="1"/>
        <v>0.11226014096929071</v>
      </c>
      <c r="W156" s="138">
        <f ca="1"/>
        <v>0</v>
      </c>
      <c r="X156" s="163">
        <f ca="1"/>
        <v>0</v>
      </c>
      <c r="Y156" s="163">
        <f ca="1"/>
        <v>8.6597215361626789E-3</v>
      </c>
      <c r="Z156" s="163">
        <f ca="1"/>
        <v>0</v>
      </c>
      <c r="AA156" s="163">
        <f ca="1"/>
        <v>3.0001811609595364E-2</v>
      </c>
      <c r="AB156" s="163">
        <f ca="1"/>
        <v>0</v>
      </c>
      <c r="AC156" s="163">
        <f ca="1"/>
        <v>6.1793231077551081E-2</v>
      </c>
      <c r="AD156" s="163">
        <f ca="1"/>
        <v>8.4479112156426783E-2</v>
      </c>
      <c r="AE156" s="139">
        <f ca="1"/>
        <v>0.11752792169734572</v>
      </c>
      <c r="AI156" s="136"/>
      <c r="AK156" s="136"/>
      <c r="AM156" s="136"/>
      <c r="AN156" s="136"/>
      <c r="AO156" s="136"/>
      <c r="AR156" s="136"/>
      <c r="AT156" s="136"/>
      <c r="AV156" s="136"/>
      <c r="AW156" s="136"/>
      <c r="AX156" s="136"/>
    </row>
    <row r="157" spans="1:50" s="79" customFormat="1" ht="11.25">
      <c r="A157" s="96">
        <f t="shared" ca="1" si="4"/>
        <v>146</v>
      </c>
      <c r="B157" s="68" t="s">
        <v>234</v>
      </c>
      <c r="C157" s="97">
        <v>0.4</v>
      </c>
      <c r="D157" s="69" t="s">
        <v>67</v>
      </c>
      <c r="E157" s="137" t="s">
        <v>87</v>
      </c>
      <c r="F157" s="156" t="s">
        <v>87</v>
      </c>
      <c r="G157" s="156">
        <v>6.8499999999999995E-4</v>
      </c>
      <c r="H157" s="156" t="s">
        <v>87</v>
      </c>
      <c r="I157" s="156">
        <v>1.8890000000000001E-3</v>
      </c>
      <c r="J157" s="156" t="s">
        <v>87</v>
      </c>
      <c r="K157" s="156">
        <v>2.6540000000000001E-3</v>
      </c>
      <c r="L157" s="156">
        <v>3.5980000000000001E-3</v>
      </c>
      <c r="M157" s="156">
        <v>4.5880000000000001E-3</v>
      </c>
      <c r="N157" s="138" cm="1">
        <f t="array" aca="1" ref="N157:AE157" ca="1">IF(OR(B157="",NOT($J$2)),"",GetStripDefaultProbability(A157,B157,Parameter_Date,CDSRollDate,E157:M157,SpreadCurveMaturities,D157,C157,$J$4,$J$6))</f>
        <v>0</v>
      </c>
      <c r="O157" s="163">
        <f ca="1"/>
        <v>0</v>
      </c>
      <c r="P157" s="163">
        <f ca="1"/>
        <v>1.2556514558499376E-3</v>
      </c>
      <c r="Q157" s="163">
        <f ca="1"/>
        <v>0</v>
      </c>
      <c r="R157" s="163">
        <f ca="1"/>
        <v>9.9216082935525973E-3</v>
      </c>
      <c r="S157" s="163">
        <f ca="1"/>
        <v>0</v>
      </c>
      <c r="T157" s="163">
        <f ca="1"/>
        <v>2.3144757819313355E-2</v>
      </c>
      <c r="U157" s="163">
        <f ca="1"/>
        <v>4.4350735247243089E-2</v>
      </c>
      <c r="V157" s="139">
        <f ca="1"/>
        <v>8.1116122212519071E-2</v>
      </c>
      <c r="W157" s="138">
        <f ca="1"/>
        <v>0</v>
      </c>
      <c r="X157" s="163">
        <f ca="1"/>
        <v>0</v>
      </c>
      <c r="Y157" s="163">
        <f ca="1"/>
        <v>1.4220949765846314E-3</v>
      </c>
      <c r="Z157" s="163">
        <f ca="1"/>
        <v>0</v>
      </c>
      <c r="AA157" s="163">
        <f ca="1"/>
        <v>1.0436585024190648E-2</v>
      </c>
      <c r="AB157" s="163">
        <f ca="1"/>
        <v>0</v>
      </c>
      <c r="AC157" s="163">
        <f ca="1"/>
        <v>2.427869879655975E-2</v>
      </c>
      <c r="AD157" s="163">
        <f ca="1"/>
        <v>4.6516482912875579E-2</v>
      </c>
      <c r="AE157" s="139">
        <f ca="1"/>
        <v>8.5015970778853478E-2</v>
      </c>
      <c r="AI157" s="136"/>
      <c r="AK157" s="136"/>
      <c r="AM157" s="136"/>
      <c r="AN157" s="136"/>
      <c r="AO157" s="136"/>
      <c r="AR157" s="136"/>
      <c r="AT157" s="136"/>
      <c r="AV157" s="136"/>
      <c r="AW157" s="136"/>
      <c r="AX157" s="136"/>
    </row>
    <row r="158" spans="1:50" s="79" customFormat="1" ht="11.25">
      <c r="A158" s="96">
        <f t="shared" ca="1" si="4"/>
        <v>147</v>
      </c>
      <c r="B158" s="68" t="s">
        <v>235</v>
      </c>
      <c r="C158" s="97">
        <v>0.4</v>
      </c>
      <c r="D158" s="69" t="s">
        <v>67</v>
      </c>
      <c r="E158" s="137" t="s">
        <v>87</v>
      </c>
      <c r="F158" s="156" t="s">
        <v>87</v>
      </c>
      <c r="G158" s="156">
        <v>9.0200000000000002E-4</v>
      </c>
      <c r="H158" s="156" t="s">
        <v>87</v>
      </c>
      <c r="I158" s="156">
        <v>2.1849999999999999E-3</v>
      </c>
      <c r="J158" s="156" t="s">
        <v>87</v>
      </c>
      <c r="K158" s="156">
        <v>3.4259999999999998E-3</v>
      </c>
      <c r="L158" s="156">
        <v>4.3189999999999999E-3</v>
      </c>
      <c r="M158" s="156">
        <v>5.1630000000000001E-3</v>
      </c>
      <c r="N158" s="138" cm="1">
        <f t="array" aca="1" ref="N158:AE158" ca="1">IF(OR(B158="",NOT($J$2)),"",GetStripDefaultProbability(A158,B158,Parameter_Date,CDSRollDate,E158:M158,SpreadCurveMaturities,D158,C158,$J$4,$J$6))</f>
        <v>0</v>
      </c>
      <c r="O158" s="163">
        <f ca="1"/>
        <v>0</v>
      </c>
      <c r="P158" s="163">
        <f ca="1"/>
        <v>1.653100791487061E-3</v>
      </c>
      <c r="Q158" s="163">
        <f ca="1"/>
        <v>0</v>
      </c>
      <c r="R158" s="163">
        <f ca="1"/>
        <v>1.1454311987458721E-2</v>
      </c>
      <c r="S158" s="163">
        <f ca="1"/>
        <v>0</v>
      </c>
      <c r="T158" s="163">
        <f ca="1"/>
        <v>2.9947624406421181E-2</v>
      </c>
      <c r="U158" s="163">
        <f ca="1"/>
        <v>5.2846048518422672E-2</v>
      </c>
      <c r="V158" s="139">
        <f ca="1"/>
        <v>8.9835484268993793E-2</v>
      </c>
      <c r="W158" s="138">
        <f ca="1"/>
        <v>0</v>
      </c>
      <c r="X158" s="163">
        <f ca="1"/>
        <v>0</v>
      </c>
      <c r="Y158" s="163">
        <f ca="1"/>
        <v>1.8194780761956464E-3</v>
      </c>
      <c r="Z158" s="163">
        <f ca="1"/>
        <v>0</v>
      </c>
      <c r="AA158" s="163">
        <f ca="1"/>
        <v>1.2017148419341983E-2</v>
      </c>
      <c r="AB158" s="163">
        <f ca="1"/>
        <v>0</v>
      </c>
      <c r="AC158" s="163">
        <f ca="1"/>
        <v>3.1418303647820833E-2</v>
      </c>
      <c r="AD158" s="163">
        <f ca="1"/>
        <v>5.5423679761886335E-2</v>
      </c>
      <c r="AE158" s="139">
        <f ca="1"/>
        <v>9.4137997913433358E-2</v>
      </c>
      <c r="AI158" s="136"/>
      <c r="AK158" s="136"/>
      <c r="AM158" s="136"/>
      <c r="AN158" s="136"/>
      <c r="AO158" s="136"/>
      <c r="AR158" s="136"/>
      <c r="AT158" s="136"/>
      <c r="AV158" s="136"/>
      <c r="AW158" s="136"/>
      <c r="AX158" s="136"/>
    </row>
    <row r="159" spans="1:50" s="79" customFormat="1" ht="11.25">
      <c r="A159" s="96">
        <f t="shared" ca="1" si="4"/>
        <v>148</v>
      </c>
      <c r="B159" s="68" t="s">
        <v>236</v>
      </c>
      <c r="C159" s="97">
        <v>0.4</v>
      </c>
      <c r="D159" s="69" t="s">
        <v>67</v>
      </c>
      <c r="E159" s="137" t="s">
        <v>87</v>
      </c>
      <c r="F159" s="156" t="s">
        <v>87</v>
      </c>
      <c r="G159" s="156">
        <v>6.29E-4</v>
      </c>
      <c r="H159" s="156" t="s">
        <v>87</v>
      </c>
      <c r="I159" s="156">
        <v>1.8E-3</v>
      </c>
      <c r="J159" s="156" t="s">
        <v>87</v>
      </c>
      <c r="K159" s="156">
        <v>2.6059999999999998E-3</v>
      </c>
      <c r="L159" s="156">
        <v>3.2690000000000002E-3</v>
      </c>
      <c r="M159" s="156">
        <v>3.885E-3</v>
      </c>
      <c r="N159" s="138" cm="1">
        <f t="array" aca="1" ref="N159:AE159" ca="1">IF(OR(B159="",NOT($J$2)),"",GetStripDefaultProbability(A159,B159,Parameter_Date,CDSRollDate,E159:M159,SpreadCurveMaturities,D159,C159,$J$4,$J$6))</f>
        <v>0</v>
      </c>
      <c r="O159" s="163">
        <f ca="1"/>
        <v>0</v>
      </c>
      <c r="P159" s="163">
        <f ca="1"/>
        <v>1.1530584076632211E-3</v>
      </c>
      <c r="Q159" s="163">
        <f ca="1"/>
        <v>0</v>
      </c>
      <c r="R159" s="163">
        <f ca="1"/>
        <v>9.459078930265985E-3</v>
      </c>
      <c r="S159" s="163">
        <f ca="1"/>
        <v>0</v>
      </c>
      <c r="T159" s="163">
        <f ca="1"/>
        <v>2.2767071795107952E-2</v>
      </c>
      <c r="U159" s="163">
        <f ca="1"/>
        <v>4.0093033839392667E-2</v>
      </c>
      <c r="V159" s="139">
        <f ca="1"/>
        <v>6.8012747809871099E-2</v>
      </c>
      <c r="W159" s="138">
        <f ca="1"/>
        <v>0</v>
      </c>
      <c r="X159" s="163">
        <f ca="1"/>
        <v>0</v>
      </c>
      <c r="Y159" s="163">
        <f ca="1"/>
        <v>1.3195190258332712E-3</v>
      </c>
      <c r="Z159" s="163">
        <f ca="1"/>
        <v>0</v>
      </c>
      <c r="AA159" s="163">
        <f ca="1"/>
        <v>9.9743255964180877E-3</v>
      </c>
      <c r="AB159" s="163">
        <f ca="1"/>
        <v>0</v>
      </c>
      <c r="AC159" s="163">
        <f ca="1"/>
        <v>2.387970561713737E-2</v>
      </c>
      <c r="AD159" s="163">
        <f ca="1"/>
        <v>4.2049784819488956E-2</v>
      </c>
      <c r="AE159" s="139">
        <f ca="1"/>
        <v>7.1294702964599055E-2</v>
      </c>
      <c r="AI159" s="136"/>
      <c r="AK159" s="136"/>
      <c r="AM159" s="136"/>
      <c r="AN159" s="136"/>
      <c r="AO159" s="136"/>
      <c r="AR159" s="136"/>
      <c r="AT159" s="136"/>
      <c r="AV159" s="136"/>
      <c r="AW159" s="136"/>
      <c r="AX159" s="136"/>
    </row>
    <row r="160" spans="1:50" s="79" customFormat="1" ht="11.25">
      <c r="A160" s="96">
        <f t="shared" ca="1" si="4"/>
        <v>149</v>
      </c>
      <c r="B160" s="68" t="s">
        <v>237</v>
      </c>
      <c r="C160" s="97">
        <v>0.4</v>
      </c>
      <c r="D160" s="69" t="s">
        <v>67</v>
      </c>
      <c r="E160" s="137" t="s">
        <v>87</v>
      </c>
      <c r="F160" s="156" t="s">
        <v>87</v>
      </c>
      <c r="G160" s="156">
        <v>1.238E-3</v>
      </c>
      <c r="H160" s="156" t="s">
        <v>87</v>
      </c>
      <c r="I160" s="156">
        <v>4.0530000000000002E-3</v>
      </c>
      <c r="J160" s="156" t="s">
        <v>87</v>
      </c>
      <c r="K160" s="156">
        <v>5.6940000000000003E-3</v>
      </c>
      <c r="L160" s="156">
        <v>7.4310000000000001E-3</v>
      </c>
      <c r="M160" s="156">
        <v>9.3609999999999995E-3</v>
      </c>
      <c r="N160" s="138" cm="1">
        <f t="array" aca="1" ref="N160:AE160" ca="1">IF(OR(B160="",NOT($J$2)),"",GetStripDefaultProbability(A160,B160,Parameter_Date,CDSRollDate,E160:M160,SpreadCurveMaturities,D160,C160,$J$4,$J$6))</f>
        <v>0</v>
      </c>
      <c r="O160" s="163">
        <f ca="1"/>
        <v>0</v>
      </c>
      <c r="P160" s="163">
        <f ca="1"/>
        <v>2.2681967334421405E-3</v>
      </c>
      <c r="Q160" s="163">
        <f ca="1"/>
        <v>0</v>
      </c>
      <c r="R160" s="163">
        <f ca="1"/>
        <v>2.1230780302285979E-2</v>
      </c>
      <c r="S160" s="163">
        <f ca="1"/>
        <v>0</v>
      </c>
      <c r="T160" s="163">
        <f ca="1"/>
        <v>4.9203086810287178E-2</v>
      </c>
      <c r="U160" s="163">
        <f ca="1"/>
        <v>8.9793466989458781E-2</v>
      </c>
      <c r="V160" s="139">
        <f ca="1"/>
        <v>0.1599472243815514</v>
      </c>
      <c r="W160" s="138">
        <f ca="1"/>
        <v>0</v>
      </c>
      <c r="X160" s="163">
        <f ca="1"/>
        <v>0</v>
      </c>
      <c r="Y160" s="163">
        <f ca="1"/>
        <v>2.4344715107235126E-3</v>
      </c>
      <c r="Z160" s="163">
        <f ca="1"/>
        <v>0</v>
      </c>
      <c r="AA160" s="163">
        <f ca="1"/>
        <v>2.2275946977876493E-2</v>
      </c>
      <c r="AB160" s="163">
        <f ca="1"/>
        <v>0</v>
      </c>
      <c r="AC160" s="163">
        <f ca="1"/>
        <v>5.1603113273045342E-2</v>
      </c>
      <c r="AD160" s="163">
        <f ca="1"/>
        <v>9.4107308407200163E-2</v>
      </c>
      <c r="AE160" s="139">
        <f ca="1"/>
        <v>0.16744828608631412</v>
      </c>
      <c r="AI160" s="136"/>
      <c r="AK160" s="136"/>
      <c r="AM160" s="136"/>
      <c r="AN160" s="136"/>
      <c r="AO160" s="136"/>
      <c r="AR160" s="136"/>
      <c r="AT160" s="136"/>
      <c r="AV160" s="136"/>
      <c r="AW160" s="136"/>
      <c r="AX160" s="136"/>
    </row>
    <row r="161" spans="1:50" s="79" customFormat="1" ht="11.25">
      <c r="A161" s="96">
        <f t="shared" ca="1" si="4"/>
        <v>150</v>
      </c>
      <c r="B161" s="68" t="s">
        <v>238</v>
      </c>
      <c r="C161" s="97">
        <v>0.4</v>
      </c>
      <c r="D161" s="69" t="s">
        <v>67</v>
      </c>
      <c r="E161" s="137" t="s">
        <v>87</v>
      </c>
      <c r="F161" s="156" t="s">
        <v>87</v>
      </c>
      <c r="G161" s="156">
        <v>3.4431999999999997E-2</v>
      </c>
      <c r="H161" s="156" t="s">
        <v>87</v>
      </c>
      <c r="I161" s="156">
        <v>3.3938000000000003E-2</v>
      </c>
      <c r="J161" s="156" t="s">
        <v>87</v>
      </c>
      <c r="K161" s="156">
        <v>3.006E-2</v>
      </c>
      <c r="L161" s="156">
        <v>2.8119999999999999E-2</v>
      </c>
      <c r="M161" s="156">
        <v>2.7151000000000002E-2</v>
      </c>
      <c r="N161" s="138" cm="1">
        <f t="array" aca="1" ref="N161:AE161" ca="1">IF(OR(B161="",NOT($J$2)),"",GetStripDefaultProbability(A161,B161,Parameter_Date,CDSRollDate,E161:M161,SpreadCurveMaturities,D161,C161,$J$4,$J$6))</f>
        <v>0</v>
      </c>
      <c r="O161" s="163">
        <f ca="1"/>
        <v>0</v>
      </c>
      <c r="P161" s="163">
        <f ca="1"/>
        <v>6.1201185043458617E-2</v>
      </c>
      <c r="Q161" s="163">
        <f ca="1"/>
        <v>0</v>
      </c>
      <c r="R161" s="163">
        <f ca="1"/>
        <v>0.16136448044581964</v>
      </c>
      <c r="S161" s="163">
        <f ca="1"/>
        <v>0</v>
      </c>
      <c r="T161" s="163">
        <f ca="1"/>
        <v>0.22213878348468752</v>
      </c>
      <c r="U161" s="163">
        <f ca="1"/>
        <v>0.27562552029540921</v>
      </c>
      <c r="V161" s="139">
        <f ca="1"/>
        <v>0.35645189259276133</v>
      </c>
      <c r="W161" s="138">
        <f ca="1"/>
        <v>0</v>
      </c>
      <c r="X161" s="163">
        <f ca="1"/>
        <v>0</v>
      </c>
      <c r="Y161" s="163">
        <f ca="1"/>
        <v>6.4160891142586607E-2</v>
      </c>
      <c r="Z161" s="163">
        <f ca="1"/>
        <v>0</v>
      </c>
      <c r="AA161" s="163">
        <f ca="1"/>
        <v>0.16870717104676036</v>
      </c>
      <c r="AB161" s="163">
        <f ca="1"/>
        <v>0</v>
      </c>
      <c r="AC161" s="163">
        <f ca="1"/>
        <v>0.2317122292630589</v>
      </c>
      <c r="AD161" s="163">
        <f ca="1"/>
        <v>0.28695142140091856</v>
      </c>
      <c r="AE161" s="139">
        <f ca="1"/>
        <v>0.37012308407321937</v>
      </c>
      <c r="AI161" s="136"/>
      <c r="AK161" s="136"/>
      <c r="AM161" s="136"/>
      <c r="AN161" s="136"/>
      <c r="AO161" s="136"/>
      <c r="AR161" s="136"/>
      <c r="AT161" s="136"/>
      <c r="AV161" s="136"/>
      <c r="AW161" s="136"/>
      <c r="AX161" s="136"/>
    </row>
    <row r="162" spans="1:50" s="79" customFormat="1" ht="11.25">
      <c r="A162" s="96">
        <f t="shared" ca="1" si="4"/>
        <v>151</v>
      </c>
      <c r="B162" s="68" t="s">
        <v>239</v>
      </c>
      <c r="C162" s="97">
        <v>0.4</v>
      </c>
      <c r="D162" s="69" t="s">
        <v>67</v>
      </c>
      <c r="E162" s="137" t="s">
        <v>87</v>
      </c>
      <c r="F162" s="156" t="s">
        <v>87</v>
      </c>
      <c r="G162" s="156">
        <v>1.083E-3</v>
      </c>
      <c r="H162" s="156" t="s">
        <v>87</v>
      </c>
      <c r="I162" s="156">
        <v>3.0460000000000001E-3</v>
      </c>
      <c r="J162" s="156" t="s">
        <v>87</v>
      </c>
      <c r="K162" s="156">
        <v>4.8729999999999997E-3</v>
      </c>
      <c r="L162" s="156">
        <v>6.4980000000000003E-3</v>
      </c>
      <c r="M162" s="156">
        <v>8.6300000000000005E-3</v>
      </c>
      <c r="N162" s="138" cm="1">
        <f t="array" aca="1" ref="N162:AE162" ca="1">IF(OR(B162="",NOT($J$2)),"",GetStripDefaultProbability(A162,B162,Parameter_Date,CDSRollDate,E162:M162,SpreadCurveMaturities,D162,C162,$J$4,$J$6))</f>
        <v>0</v>
      </c>
      <c r="O162" s="163">
        <f ca="1"/>
        <v>0</v>
      </c>
      <c r="P162" s="163">
        <f ca="1"/>
        <v>1.9844938287315594E-3</v>
      </c>
      <c r="Q162" s="163">
        <f ca="1"/>
        <v>0</v>
      </c>
      <c r="R162" s="163">
        <f ca="1"/>
        <v>1.5964974846010449E-2</v>
      </c>
      <c r="S162" s="163">
        <f ca="1"/>
        <v>0</v>
      </c>
      <c r="T162" s="163">
        <f ca="1"/>
        <v>4.2473378208837786E-2</v>
      </c>
      <c r="U162" s="163">
        <f ca="1"/>
        <v>7.9271938278519083E-2</v>
      </c>
      <c r="V162" s="139">
        <f ca="1"/>
        <v>0.14983431826800697</v>
      </c>
      <c r="W162" s="138">
        <f ca="1"/>
        <v>0</v>
      </c>
      <c r="X162" s="163">
        <f ca="1"/>
        <v>0</v>
      </c>
      <c r="Y162" s="163">
        <f ca="1"/>
        <v>2.1508158858510873E-3</v>
      </c>
      <c r="Z162" s="163">
        <f ca="1"/>
        <v>0</v>
      </c>
      <c r="AA162" s="163">
        <f ca="1"/>
        <v>1.675115056956622E-2</v>
      </c>
      <c r="AB162" s="163">
        <f ca="1"/>
        <v>0</v>
      </c>
      <c r="AC162" s="163">
        <f ca="1"/>
        <v>4.4551041888706955E-2</v>
      </c>
      <c r="AD162" s="163">
        <f ca="1"/>
        <v>8.3100959870706537E-2</v>
      </c>
      <c r="AE162" s="139">
        <f ca="1"/>
        <v>0.15691249991687561</v>
      </c>
      <c r="AI162" s="136"/>
      <c r="AK162" s="136"/>
      <c r="AM162" s="136"/>
      <c r="AN162" s="136"/>
      <c r="AO162" s="136"/>
      <c r="AR162" s="136"/>
      <c r="AT162" s="136"/>
      <c r="AV162" s="136"/>
      <c r="AW162" s="136"/>
      <c r="AX162" s="136"/>
    </row>
    <row r="163" spans="1:50" s="79" customFormat="1" ht="11.25">
      <c r="A163" s="96">
        <f t="shared" ca="1" si="4"/>
        <v>152</v>
      </c>
      <c r="B163" s="68" t="s">
        <v>240</v>
      </c>
      <c r="C163" s="97">
        <v>0.4</v>
      </c>
      <c r="D163" s="69" t="s">
        <v>67</v>
      </c>
      <c r="E163" s="137" t="s">
        <v>87</v>
      </c>
      <c r="F163" s="156" t="s">
        <v>87</v>
      </c>
      <c r="G163" s="156">
        <v>1.0970000000000001E-3</v>
      </c>
      <c r="H163" s="156" t="s">
        <v>87</v>
      </c>
      <c r="I163" s="156">
        <v>1.645E-3</v>
      </c>
      <c r="J163" s="156" t="s">
        <v>87</v>
      </c>
      <c r="K163" s="156">
        <v>2.4130000000000002E-3</v>
      </c>
      <c r="L163" s="156">
        <v>2.6689999999999999E-3</v>
      </c>
      <c r="M163" s="156">
        <v>3.2850000000000002E-3</v>
      </c>
      <c r="N163" s="138" cm="1">
        <f t="array" aca="1" ref="N163:AE163" ca="1">IF(OR(B163="",NOT($J$2)),"",GetStripDefaultProbability(A163,B163,Parameter_Date,CDSRollDate,E163:M163,SpreadCurveMaturities,D163,C163,$J$4,$J$6))</f>
        <v>0</v>
      </c>
      <c r="O163" s="163">
        <f ca="1"/>
        <v>0</v>
      </c>
      <c r="P163" s="163">
        <f ca="1"/>
        <v>2.0101218933307186E-3</v>
      </c>
      <c r="Q163" s="163">
        <f ca="1"/>
        <v>0</v>
      </c>
      <c r="R163" s="163">
        <f ca="1"/>
        <v>8.5759062544661369E-3</v>
      </c>
      <c r="S163" s="163">
        <f ca="1"/>
        <v>0</v>
      </c>
      <c r="T163" s="163">
        <f ca="1"/>
        <v>2.1034658901172731E-2</v>
      </c>
      <c r="U163" s="163">
        <f ca="1"/>
        <v>3.2338881482947834E-2</v>
      </c>
      <c r="V163" s="139">
        <f ca="1"/>
        <v>5.7562388754736848E-2</v>
      </c>
      <c r="W163" s="138">
        <f ca="1"/>
        <v>0</v>
      </c>
      <c r="X163" s="163">
        <f ca="1"/>
        <v>0</v>
      </c>
      <c r="Y163" s="163">
        <f ca="1"/>
        <v>2.176439679468456E-3</v>
      </c>
      <c r="Z163" s="163">
        <f ca="1"/>
        <v>0</v>
      </c>
      <c r="AA163" s="163">
        <f ca="1"/>
        <v>9.0914955509138196E-3</v>
      </c>
      <c r="AB163" s="163">
        <f ca="1"/>
        <v>0</v>
      </c>
      <c r="AC163" s="163">
        <f ca="1"/>
        <v>2.206103007257898E-2</v>
      </c>
      <c r="AD163" s="163">
        <f ca="1"/>
        <v>3.3917340458504142E-2</v>
      </c>
      <c r="AE163" s="139">
        <f ca="1"/>
        <v>6.034849250732166E-2</v>
      </c>
      <c r="AI163" s="136"/>
      <c r="AK163" s="136"/>
      <c r="AM163" s="136"/>
      <c r="AN163" s="136"/>
      <c r="AO163" s="136"/>
      <c r="AR163" s="136"/>
      <c r="AT163" s="136"/>
      <c r="AV163" s="136"/>
      <c r="AW163" s="136"/>
      <c r="AX163" s="136"/>
    </row>
    <row r="164" spans="1:50" s="79" customFormat="1" ht="11.25">
      <c r="A164" s="96">
        <f t="shared" ca="1" si="4"/>
        <v>153</v>
      </c>
      <c r="B164" s="68" t="s">
        <v>241</v>
      </c>
      <c r="C164" s="97">
        <v>0.4</v>
      </c>
      <c r="D164" s="69" t="s">
        <v>67</v>
      </c>
      <c r="E164" s="137" t="s">
        <v>87</v>
      </c>
      <c r="F164" s="156" t="s">
        <v>87</v>
      </c>
      <c r="G164" s="156">
        <v>1.505E-3</v>
      </c>
      <c r="H164" s="156" t="s">
        <v>87</v>
      </c>
      <c r="I164" s="156">
        <v>2.6090000000000002E-3</v>
      </c>
      <c r="J164" s="156" t="s">
        <v>87</v>
      </c>
      <c r="K164" s="156">
        <v>3.764E-3</v>
      </c>
      <c r="L164" s="156">
        <v>4.8170000000000001E-3</v>
      </c>
      <c r="M164" s="156">
        <v>5.8209999999999998E-3</v>
      </c>
      <c r="N164" s="138" cm="1">
        <f t="array" aca="1" ref="N164:AE164" ca="1">IF(OR(B164="",NOT($J$2)),"",GetStripDefaultProbability(A164,B164,Parameter_Date,CDSRollDate,E164:M164,SpreadCurveMaturities,D164,C164,$J$4,$J$6))</f>
        <v>0</v>
      </c>
      <c r="O164" s="163">
        <f ca="1"/>
        <v>0</v>
      </c>
      <c r="P164" s="163">
        <f ca="1"/>
        <v>2.7567103676580107E-3</v>
      </c>
      <c r="Q164" s="163">
        <f ca="1"/>
        <v>0</v>
      </c>
      <c r="R164" s="163">
        <f ca="1"/>
        <v>1.3604968578091792E-2</v>
      </c>
      <c r="S164" s="163">
        <f ca="1"/>
        <v>0</v>
      </c>
      <c r="T164" s="163">
        <f ca="1"/>
        <v>3.2670589745089074E-2</v>
      </c>
      <c r="U164" s="163">
        <f ca="1"/>
        <v>5.869798860171771E-2</v>
      </c>
      <c r="V164" s="139">
        <f ca="1"/>
        <v>0.10088457527018324</v>
      </c>
      <c r="W164" s="138">
        <f ca="1"/>
        <v>0</v>
      </c>
      <c r="X164" s="163">
        <f ca="1"/>
        <v>0</v>
      </c>
      <c r="Y164" s="163">
        <f ca="1"/>
        <v>2.9229037327430651E-3</v>
      </c>
      <c r="Z164" s="163">
        <f ca="1"/>
        <v>0</v>
      </c>
      <c r="AA164" s="163">
        <f ca="1"/>
        <v>1.427790214482505E-2</v>
      </c>
      <c r="AB164" s="163">
        <f ca="1"/>
        <v>0</v>
      </c>
      <c r="AC164" s="163">
        <f ca="1"/>
        <v>3.4276991045445016E-2</v>
      </c>
      <c r="AD164" s="163">
        <f ca="1"/>
        <v>6.1557471973770483E-2</v>
      </c>
      <c r="AE164" s="139">
        <f ca="1"/>
        <v>0.10572606083079794</v>
      </c>
      <c r="AI164" s="136"/>
      <c r="AK164" s="136"/>
      <c r="AM164" s="136"/>
      <c r="AN164" s="136"/>
      <c r="AO164" s="136"/>
      <c r="AR164" s="136"/>
      <c r="AT164" s="136"/>
      <c r="AV164" s="136"/>
      <c r="AW164" s="136"/>
      <c r="AX164" s="136"/>
    </row>
    <row r="165" spans="1:50" s="79" customFormat="1" ht="11.25">
      <c r="A165" s="96">
        <f t="shared" ca="1" si="4"/>
        <v>154</v>
      </c>
      <c r="B165" s="68" t="s">
        <v>242</v>
      </c>
      <c r="C165" s="97">
        <v>0.4</v>
      </c>
      <c r="D165" s="69" t="s">
        <v>67</v>
      </c>
      <c r="E165" s="137" t="s">
        <v>87</v>
      </c>
      <c r="F165" s="156" t="s">
        <v>87</v>
      </c>
      <c r="G165" s="156">
        <v>5.31E-4</v>
      </c>
      <c r="H165" s="156" t="s">
        <v>87</v>
      </c>
      <c r="I165" s="156">
        <v>1.4480000000000001E-3</v>
      </c>
      <c r="J165" s="156" t="s">
        <v>87</v>
      </c>
      <c r="K165" s="156">
        <v>2.1229999999999999E-3</v>
      </c>
      <c r="L165" s="156">
        <v>2.7989999999999998E-3</v>
      </c>
      <c r="M165" s="156">
        <v>3.9569999999999996E-3</v>
      </c>
      <c r="N165" s="138" cm="1">
        <f t="array" aca="1" ref="N165:AE165" ca="1">IF(OR(B165="",NOT($J$2)),"",GetStripDefaultProbability(A165,B165,Parameter_Date,CDSRollDate,E165:M165,SpreadCurveMaturities,D165,C165,$J$4,$J$6))</f>
        <v>0</v>
      </c>
      <c r="O165" s="163">
        <f ca="1"/>
        <v>0</v>
      </c>
      <c r="P165" s="163">
        <f ca="1"/>
        <v>9.7349541371094528E-4</v>
      </c>
      <c r="Q165" s="163">
        <f ca="1"/>
        <v>0</v>
      </c>
      <c r="R165" s="163">
        <f ca="1"/>
        <v>7.6111940694557623E-3</v>
      </c>
      <c r="S165" s="163">
        <f ca="1"/>
        <v>0</v>
      </c>
      <c r="T165" s="163">
        <f ca="1"/>
        <v>1.8583852823187974E-2</v>
      </c>
      <c r="U165" s="163">
        <f ca="1"/>
        <v>3.4570158516196492E-2</v>
      </c>
      <c r="V165" s="139">
        <f ca="1"/>
        <v>7.1168095696018341E-2</v>
      </c>
      <c r="W165" s="138">
        <f ca="1"/>
        <v>0</v>
      </c>
      <c r="X165" s="163">
        <f ca="1"/>
        <v>0</v>
      </c>
      <c r="Y165" s="163">
        <f ca="1"/>
        <v>1.1399859565527359E-3</v>
      </c>
      <c r="Z165" s="163">
        <f ca="1"/>
        <v>0</v>
      </c>
      <c r="AA165" s="163">
        <f ca="1"/>
        <v>8.12745810962201E-3</v>
      </c>
      <c r="AB165" s="163">
        <f ca="1"/>
        <v>0</v>
      </c>
      <c r="AC165" s="163">
        <f ca="1"/>
        <v>1.9480878757724529E-2</v>
      </c>
      <c r="AD165" s="163">
        <f ca="1"/>
        <v>3.6249399450434705E-2</v>
      </c>
      <c r="AE165" s="139">
        <f ca="1"/>
        <v>7.4591876780379374E-2</v>
      </c>
      <c r="AI165" s="136"/>
      <c r="AK165" s="136"/>
      <c r="AM165" s="136"/>
      <c r="AN165" s="136"/>
      <c r="AO165" s="136"/>
      <c r="AR165" s="136"/>
      <c r="AT165" s="136"/>
      <c r="AV165" s="136"/>
      <c r="AW165" s="136"/>
      <c r="AX165" s="136"/>
    </row>
    <row r="166" spans="1:50" s="79" customFormat="1" ht="11.25">
      <c r="A166" s="96">
        <f t="shared" ca="1" si="4"/>
        <v>155</v>
      </c>
      <c r="B166" s="68" t="s">
        <v>243</v>
      </c>
      <c r="C166" s="97">
        <v>0.4</v>
      </c>
      <c r="D166" s="69" t="s">
        <v>67</v>
      </c>
      <c r="E166" s="137" t="s">
        <v>87</v>
      </c>
      <c r="F166" s="156" t="s">
        <v>87</v>
      </c>
      <c r="G166" s="156">
        <v>3.0165999999999998E-2</v>
      </c>
      <c r="H166" s="156" t="s">
        <v>87</v>
      </c>
      <c r="I166" s="156">
        <v>2.1916999999999999E-2</v>
      </c>
      <c r="J166" s="156" t="s">
        <v>87</v>
      </c>
      <c r="K166" s="156">
        <v>1.8335000000000001E-2</v>
      </c>
      <c r="L166" s="156">
        <v>1.6732E-2</v>
      </c>
      <c r="M166" s="156">
        <v>1.5789999999999998E-2</v>
      </c>
      <c r="N166" s="138" cm="1">
        <f t="array" aca="1" ref="N166:AE166" ca="1">IF(OR(B166="",NOT($J$2)),"",GetStripDefaultProbability(A166,B166,Parameter_Date,CDSRollDate,E166:M166,SpreadCurveMaturities,D166,C166,$J$4,$J$6))</f>
        <v>0</v>
      </c>
      <c r="O166" s="163">
        <f ca="1"/>
        <v>0</v>
      </c>
      <c r="P166" s="163">
        <f ca="1"/>
        <v>5.3826825870287975E-2</v>
      </c>
      <c r="Q166" s="163">
        <f ca="1"/>
        <v>0</v>
      </c>
      <c r="R166" s="163">
        <f ca="1"/>
        <v>0.10573535060928119</v>
      </c>
      <c r="S166" s="163">
        <f ca="1"/>
        <v>0</v>
      </c>
      <c r="T166" s="163">
        <f ca="1"/>
        <v>0.1400945058723293</v>
      </c>
      <c r="U166" s="163">
        <f ca="1"/>
        <v>0.17247198358108062</v>
      </c>
      <c r="V166" s="139">
        <f ca="1"/>
        <v>0.22317988694893154</v>
      </c>
      <c r="W166" s="138">
        <f ca="1"/>
        <v>0</v>
      </c>
      <c r="X166" s="163">
        <f ca="1"/>
        <v>0</v>
      </c>
      <c r="Y166" s="163">
        <f ca="1"/>
        <v>5.6440727703090277E-2</v>
      </c>
      <c r="Z166" s="163">
        <f ca="1"/>
        <v>0</v>
      </c>
      <c r="AA166" s="163">
        <f ca="1"/>
        <v>0.11067407293146669</v>
      </c>
      <c r="AB166" s="163">
        <f ca="1"/>
        <v>0</v>
      </c>
      <c r="AC166" s="163">
        <f ca="1"/>
        <v>0.14643073037640486</v>
      </c>
      <c r="AD166" s="163">
        <f ca="1"/>
        <v>0.18008596157877876</v>
      </c>
      <c r="AE166" s="139">
        <f ca="1"/>
        <v>0.23270332692435225</v>
      </c>
      <c r="AI166" s="136"/>
      <c r="AK166" s="136"/>
      <c r="AM166" s="136"/>
      <c r="AN166" s="136"/>
      <c r="AO166" s="136"/>
      <c r="AR166" s="136"/>
      <c r="AT166" s="136"/>
      <c r="AV166" s="136"/>
      <c r="AW166" s="136"/>
      <c r="AX166" s="136"/>
    </row>
    <row r="167" spans="1:50" s="79" customFormat="1" ht="11.25">
      <c r="A167" s="96">
        <f t="shared" ca="1" si="4"/>
        <v>156</v>
      </c>
      <c r="B167" s="68" t="s">
        <v>244</v>
      </c>
      <c r="C167" s="97">
        <v>0.4</v>
      </c>
      <c r="D167" s="69" t="s">
        <v>67</v>
      </c>
      <c r="E167" s="137" t="s">
        <v>87</v>
      </c>
      <c r="F167" s="156" t="s">
        <v>87</v>
      </c>
      <c r="G167" s="156">
        <v>8.2399999999999997E-4</v>
      </c>
      <c r="H167" s="156" t="s">
        <v>87</v>
      </c>
      <c r="I167" s="156">
        <v>2.5300000000000001E-3</v>
      </c>
      <c r="J167" s="156" t="s">
        <v>87</v>
      </c>
      <c r="K167" s="156">
        <v>3.522E-3</v>
      </c>
      <c r="L167" s="156">
        <v>4.5840000000000004E-3</v>
      </c>
      <c r="M167" s="156">
        <v>5.9350000000000002E-3</v>
      </c>
      <c r="N167" s="138" cm="1">
        <f t="array" aca="1" ref="N167:AE167" ca="1">IF(OR(B167="",NOT($J$2)),"",GetStripDefaultProbability(A167,B167,Parameter_Date,CDSRollDate,E167:M167,SpreadCurveMaturities,D167,C167,$J$4,$J$6))</f>
        <v>0</v>
      </c>
      <c r="O167" s="163">
        <f ca="1"/>
        <v>0</v>
      </c>
      <c r="P167" s="163">
        <f ca="1"/>
        <v>1.5102568835001495E-3</v>
      </c>
      <c r="Q167" s="163">
        <f ca="1"/>
        <v>0</v>
      </c>
      <c r="R167" s="163">
        <f ca="1"/>
        <v>1.3284604916279918E-2</v>
      </c>
      <c r="S167" s="163">
        <f ca="1"/>
        <v>0</v>
      </c>
      <c r="T167" s="163">
        <f ca="1"/>
        <v>3.0626429412448308E-2</v>
      </c>
      <c r="U167" s="163">
        <f ca="1"/>
        <v>5.6044597199382484E-2</v>
      </c>
      <c r="V167" s="139">
        <f ca="1"/>
        <v>0.10403040898422233</v>
      </c>
      <c r="W167" s="138">
        <f ca="1"/>
        <v>0</v>
      </c>
      <c r="X167" s="163">
        <f ca="1"/>
        <v>0</v>
      </c>
      <c r="Y167" s="163">
        <f ca="1"/>
        <v>1.6766579735391085E-3</v>
      </c>
      <c r="Z167" s="163">
        <f ca="1"/>
        <v>0</v>
      </c>
      <c r="AA167" s="163">
        <f ca="1"/>
        <v>1.393716996593064E-2</v>
      </c>
      <c r="AB167" s="163">
        <f ca="1"/>
        <v>0</v>
      </c>
      <c r="AC167" s="163">
        <f ca="1"/>
        <v>3.2129209268709435E-2</v>
      </c>
      <c r="AD167" s="163">
        <f ca="1"/>
        <v>5.8773657470617358E-2</v>
      </c>
      <c r="AE167" s="139">
        <f ca="1"/>
        <v>0.10902330815632277</v>
      </c>
      <c r="AI167" s="136"/>
      <c r="AK167" s="136"/>
      <c r="AM167" s="136"/>
      <c r="AN167" s="136"/>
      <c r="AO167" s="136"/>
      <c r="AR167" s="136"/>
      <c r="AT167" s="136"/>
      <c r="AV167" s="136"/>
      <c r="AW167" s="136"/>
      <c r="AX167" s="136"/>
    </row>
    <row r="168" spans="1:50" s="79" customFormat="1" ht="11.25">
      <c r="A168" s="96">
        <f t="shared" ca="1" si="4"/>
        <v>157</v>
      </c>
      <c r="B168" s="68" t="s">
        <v>245</v>
      </c>
      <c r="C168" s="97">
        <v>0.4</v>
      </c>
      <c r="D168" s="69" t="s">
        <v>67</v>
      </c>
      <c r="E168" s="137" t="s">
        <v>87</v>
      </c>
      <c r="F168" s="156" t="s">
        <v>87</v>
      </c>
      <c r="G168" s="156">
        <v>6.8499999999999995E-4</v>
      </c>
      <c r="H168" s="156" t="s">
        <v>87</v>
      </c>
      <c r="I168" s="156">
        <v>2.2669999999999999E-3</v>
      </c>
      <c r="J168" s="156" t="s">
        <v>87</v>
      </c>
      <c r="K168" s="156">
        <v>3.4259999999999998E-3</v>
      </c>
      <c r="L168" s="156">
        <v>4.8869999999999999E-3</v>
      </c>
      <c r="M168" s="156">
        <v>6.398E-3</v>
      </c>
      <c r="N168" s="138" cm="1">
        <f t="array" aca="1" ref="N168:AE168" ca="1">IF(OR(B168="",NOT($J$2)),"",GetStripDefaultProbability(A168,B168,Parameter_Date,CDSRollDate,E168:M168,SpreadCurveMaturities,D168,C168,$J$4,$J$6))</f>
        <v>0</v>
      </c>
      <c r="O168" s="163">
        <f ca="1"/>
        <v>0</v>
      </c>
      <c r="P168" s="163">
        <f ca="1"/>
        <v>1.2556514558499376E-3</v>
      </c>
      <c r="Q168" s="163">
        <f ca="1"/>
        <v>0</v>
      </c>
      <c r="R168" s="163">
        <f ca="1"/>
        <v>1.1917172789131736E-2</v>
      </c>
      <c r="S168" s="163">
        <f ca="1"/>
        <v>0</v>
      </c>
      <c r="T168" s="163">
        <f ca="1"/>
        <v>2.9930886376780541E-2</v>
      </c>
      <c r="U168" s="163">
        <f ca="1"/>
        <v>6.0325608752388127E-2</v>
      </c>
      <c r="V168" s="139">
        <f ca="1"/>
        <v>0.1126720439412614</v>
      </c>
      <c r="W168" s="138">
        <f ca="1"/>
        <v>0</v>
      </c>
      <c r="X168" s="163">
        <f ca="1"/>
        <v>0</v>
      </c>
      <c r="Y168" s="163">
        <f ca="1"/>
        <v>1.4220949765846314E-3</v>
      </c>
      <c r="Z168" s="163">
        <f ca="1"/>
        <v>0</v>
      </c>
      <c r="AA168" s="163">
        <f ca="1"/>
        <v>1.2501393316142972E-2</v>
      </c>
      <c r="AB168" s="163">
        <f ca="1"/>
        <v>0</v>
      </c>
      <c r="AC168" s="163">
        <f ca="1"/>
        <v>3.1399280906990956E-2</v>
      </c>
      <c r="AD168" s="163">
        <f ca="1"/>
        <v>6.3260419296764292E-2</v>
      </c>
      <c r="AE168" s="139">
        <f ca="1"/>
        <v>0.11806975265500907</v>
      </c>
      <c r="AI168" s="136"/>
      <c r="AK168" s="136"/>
      <c r="AM168" s="136"/>
      <c r="AN168" s="136"/>
      <c r="AO168" s="136"/>
      <c r="AR168" s="136"/>
      <c r="AT168" s="136"/>
      <c r="AV168" s="136"/>
      <c r="AW168" s="136"/>
      <c r="AX168" s="136"/>
    </row>
    <row r="169" spans="1:50" s="79" customFormat="1" ht="11.25">
      <c r="A169" s="96">
        <f t="shared" ca="1" si="4"/>
        <v>158</v>
      </c>
      <c r="B169" s="68" t="s">
        <v>246</v>
      </c>
      <c r="C169" s="97">
        <v>0.4</v>
      </c>
      <c r="D169" s="69" t="s">
        <v>67</v>
      </c>
      <c r="E169" s="137" t="s">
        <v>87</v>
      </c>
      <c r="F169" s="156" t="s">
        <v>87</v>
      </c>
      <c r="G169" s="156">
        <v>4.5399999999999998E-4</v>
      </c>
      <c r="H169" s="156" t="s">
        <v>87</v>
      </c>
      <c r="I169" s="156">
        <v>1.5560000000000001E-3</v>
      </c>
      <c r="J169" s="156" t="s">
        <v>87</v>
      </c>
      <c r="K169" s="156">
        <v>2.2680000000000001E-3</v>
      </c>
      <c r="L169" s="156">
        <v>2.9789999999999999E-3</v>
      </c>
      <c r="M169" s="156">
        <v>3.6459999999999999E-3</v>
      </c>
      <c r="N169" s="138" cm="1">
        <f t="array" aca="1" ref="N169:AE169" ca="1">IF(OR(B169="",NOT($J$2)),"",GetStripDefaultProbability(A169,B169,Parameter_Date,CDSRollDate,E169:M169,SpreadCurveMaturities,D169,C169,$J$4,$J$6))</f>
        <v>0</v>
      </c>
      <c r="O169" s="163">
        <f ca="1"/>
        <v>0</v>
      </c>
      <c r="P169" s="163">
        <f ca="1"/>
        <v>8.3238773554039636E-4</v>
      </c>
      <c r="Q169" s="163">
        <f ca="1"/>
        <v>0</v>
      </c>
      <c r="R169" s="163">
        <f ca="1"/>
        <v>8.1930020119637126E-3</v>
      </c>
      <c r="S169" s="163">
        <f ca="1"/>
        <v>0</v>
      </c>
      <c r="T169" s="163">
        <f ca="1"/>
        <v>1.9854508010922256E-2</v>
      </c>
      <c r="U169" s="163">
        <f ca="1"/>
        <v>3.6762841992625028E-2</v>
      </c>
      <c r="V169" s="139">
        <f ca="1"/>
        <v>6.4401100398463362E-2</v>
      </c>
      <c r="W169" s="138">
        <f ca="1"/>
        <v>0</v>
      </c>
      <c r="X169" s="163">
        <f ca="1"/>
        <v>0</v>
      </c>
      <c r="Y169" s="163">
        <f ca="1"/>
        <v>9.9890179437833737E-4</v>
      </c>
      <c r="Z169" s="163">
        <f ca="1"/>
        <v>0</v>
      </c>
      <c r="AA169" s="163">
        <f ca="1"/>
        <v>8.7089817493386512E-3</v>
      </c>
      <c r="AB169" s="163">
        <f ca="1"/>
        <v>0</v>
      </c>
      <c r="AC169" s="163">
        <f ca="1"/>
        <v>2.0816431338824049E-2</v>
      </c>
      <c r="AD169" s="163">
        <f ca="1"/>
        <v>3.855094369858425E-2</v>
      </c>
      <c r="AE169" s="139">
        <f ca="1"/>
        <v>6.750719064634092E-2</v>
      </c>
      <c r="AI169" s="136"/>
      <c r="AK169" s="136"/>
      <c r="AM169" s="136"/>
      <c r="AN169" s="136"/>
      <c r="AO169" s="136"/>
      <c r="AR169" s="136"/>
      <c r="AT169" s="136"/>
      <c r="AV169" s="136"/>
      <c r="AW169" s="136"/>
      <c r="AX169" s="136"/>
    </row>
    <row r="170" spans="1:50" s="79" customFormat="1" ht="11.25">
      <c r="A170" s="96">
        <f t="shared" ca="1" si="4"/>
        <v>159</v>
      </c>
      <c r="B170" s="68" t="s">
        <v>247</v>
      </c>
      <c r="C170" s="97">
        <v>0.4</v>
      </c>
      <c r="D170" s="69" t="s">
        <v>67</v>
      </c>
      <c r="E170" s="137" t="s">
        <v>87</v>
      </c>
      <c r="F170" s="156" t="s">
        <v>87</v>
      </c>
      <c r="G170" s="156">
        <v>7.3800000000000005E-4</v>
      </c>
      <c r="H170" s="156" t="s">
        <v>87</v>
      </c>
      <c r="I170" s="156">
        <v>2.0179999999999998E-3</v>
      </c>
      <c r="J170" s="156" t="s">
        <v>87</v>
      </c>
      <c r="K170" s="156">
        <v>2.4610000000000001E-3</v>
      </c>
      <c r="L170" s="156">
        <v>2.8050000000000002E-3</v>
      </c>
      <c r="M170" s="156">
        <v>3.5929999999999998E-3</v>
      </c>
      <c r="N170" s="138" cm="1">
        <f t="array" aca="1" ref="N170:AE170" ca="1">IF(OR(B170="",NOT($J$2)),"",GetStripDefaultProbability(A170,B170,Parameter_Date,CDSRollDate,E170:M170,SpreadCurveMaturities,D170,C170,$J$4,$J$6))</f>
        <v>0</v>
      </c>
      <c r="O170" s="163">
        <f ca="1"/>
        <v>0</v>
      </c>
      <c r="P170" s="163">
        <f ca="1"/>
        <v>1.3527388190326395E-3</v>
      </c>
      <c r="Q170" s="163">
        <f ca="1"/>
        <v>0</v>
      </c>
      <c r="R170" s="163">
        <f ca="1"/>
        <v>1.0595584850539019E-2</v>
      </c>
      <c r="S170" s="163">
        <f ca="1"/>
        <v>0</v>
      </c>
      <c r="T170" s="163">
        <f ca="1"/>
        <v>2.1309704813766372E-2</v>
      </c>
      <c r="U170" s="163">
        <f ca="1"/>
        <v>3.3937598350883169E-2</v>
      </c>
      <c r="V170" s="139">
        <f ca="1"/>
        <v>6.3197930969952854E-2</v>
      </c>
      <c r="W170" s="138">
        <f ca="1"/>
        <v>0</v>
      </c>
      <c r="X170" s="163">
        <f ca="1"/>
        <v>0</v>
      </c>
      <c r="Y170" s="163">
        <f ca="1"/>
        <v>1.5191661599188722E-3</v>
      </c>
      <c r="Z170" s="163">
        <f ca="1"/>
        <v>0</v>
      </c>
      <c r="AA170" s="163">
        <f ca="1"/>
        <v>1.1114919750485508E-2</v>
      </c>
      <c r="AB170" s="163">
        <f ca="1"/>
        <v>0</v>
      </c>
      <c r="AC170" s="163">
        <f ca="1"/>
        <v>2.2356955802829481E-2</v>
      </c>
      <c r="AD170" s="163">
        <f ca="1"/>
        <v>3.5600791660423958E-2</v>
      </c>
      <c r="AE170" s="139">
        <f ca="1"/>
        <v>6.6258112196974861E-2</v>
      </c>
      <c r="AI170" s="136"/>
      <c r="AK170" s="136"/>
      <c r="AM170" s="136"/>
      <c r="AN170" s="136"/>
      <c r="AO170" s="136"/>
      <c r="AR170" s="136"/>
      <c r="AT170" s="136"/>
      <c r="AV170" s="136"/>
      <c r="AW170" s="136"/>
      <c r="AX170" s="136"/>
    </row>
    <row r="171" spans="1:50" s="79" customFormat="1" ht="11.25">
      <c r="A171" s="96">
        <f t="shared" ca="1" si="4"/>
        <v>160</v>
      </c>
      <c r="B171" s="68" t="s">
        <v>248</v>
      </c>
      <c r="C171" s="97">
        <v>0.4</v>
      </c>
      <c r="D171" s="69" t="s">
        <v>67</v>
      </c>
      <c r="E171" s="137" t="s">
        <v>87</v>
      </c>
      <c r="F171" s="156" t="s">
        <v>87</v>
      </c>
      <c r="G171" s="156">
        <v>9.7499999999999996E-4</v>
      </c>
      <c r="H171" s="156" t="s">
        <v>87</v>
      </c>
      <c r="I171" s="156">
        <v>3.0920000000000001E-3</v>
      </c>
      <c r="J171" s="156" t="s">
        <v>87</v>
      </c>
      <c r="K171" s="156">
        <v>4.8729999999999997E-3</v>
      </c>
      <c r="L171" s="156">
        <v>6.0260000000000001E-3</v>
      </c>
      <c r="M171" s="156">
        <v>7.0740000000000004E-3</v>
      </c>
      <c r="N171" s="138" cm="1">
        <f t="array" aca="1" ref="N171:AE171" ca="1">IF(OR(B171="",NOT($J$2)),"",GetStripDefaultProbability(A171,B171,Parameter_Date,CDSRollDate,E171:M171,SpreadCurveMaturities,D171,C171,$J$4,$J$6))</f>
        <v>0</v>
      </c>
      <c r="O171" s="163">
        <f ca="1"/>
        <v>0</v>
      </c>
      <c r="P171" s="163">
        <f ca="1"/>
        <v>1.7867696767548402E-3</v>
      </c>
      <c r="Q171" s="163">
        <f ca="1"/>
        <v>0</v>
      </c>
      <c r="R171" s="163">
        <f ca="1"/>
        <v>1.6222411158699823E-2</v>
      </c>
      <c r="S171" s="163">
        <f ca="1"/>
        <v>0</v>
      </c>
      <c r="T171" s="163">
        <f ca="1"/>
        <v>4.2461567074148721E-2</v>
      </c>
      <c r="U171" s="163">
        <f ca="1"/>
        <v>7.3091997810540099E-2</v>
      </c>
      <c r="V171" s="139">
        <f ca="1"/>
        <v>0.12105425177446338</v>
      </c>
      <c r="W171" s="138">
        <f ca="1"/>
        <v>0</v>
      </c>
      <c r="X171" s="163">
        <f ca="1"/>
        <v>0</v>
      </c>
      <c r="Y171" s="163">
        <f ca="1"/>
        <v>1.9531246851551831E-3</v>
      </c>
      <c r="Z171" s="163">
        <f ca="1"/>
        <v>0</v>
      </c>
      <c r="AA171" s="163">
        <f ca="1"/>
        <v>1.702049408738926E-2</v>
      </c>
      <c r="AB171" s="163">
        <f ca="1"/>
        <v>0</v>
      </c>
      <c r="AC171" s="163">
        <f ca="1"/>
        <v>4.4537915845890397E-2</v>
      </c>
      <c r="AD171" s="163">
        <f ca="1"/>
        <v>7.6628052217515008E-2</v>
      </c>
      <c r="AE171" s="139">
        <f ca="1"/>
        <v>0.12680454128135554</v>
      </c>
      <c r="AI171" s="136"/>
      <c r="AK171" s="136"/>
      <c r="AM171" s="136"/>
      <c r="AN171" s="136"/>
      <c r="AO171" s="136"/>
      <c r="AR171" s="136"/>
      <c r="AT171" s="136"/>
      <c r="AV171" s="136"/>
      <c r="AW171" s="136"/>
      <c r="AX171" s="136"/>
    </row>
    <row r="172" spans="1:50" s="79" customFormat="1" ht="11.25">
      <c r="A172" s="96">
        <f t="shared" ca="1" si="4"/>
        <v>161</v>
      </c>
      <c r="B172" s="68" t="s">
        <v>249</v>
      </c>
      <c r="C172" s="97">
        <v>0.4</v>
      </c>
      <c r="D172" s="69" t="s">
        <v>67</v>
      </c>
      <c r="E172" s="137" t="s">
        <v>87</v>
      </c>
      <c r="F172" s="156" t="s">
        <v>87</v>
      </c>
      <c r="G172" s="156">
        <v>8.5298437190000007E-2</v>
      </c>
      <c r="H172" s="156" t="s">
        <v>87</v>
      </c>
      <c r="I172" s="156">
        <v>5.2450613260000001E-2</v>
      </c>
      <c r="J172" s="156" t="s">
        <v>87</v>
      </c>
      <c r="K172" s="156">
        <v>3.9500213579999999E-2</v>
      </c>
      <c r="L172" s="156">
        <v>3.2934272280000003E-2</v>
      </c>
      <c r="M172" s="156">
        <v>2.9231474059999998E-2</v>
      </c>
      <c r="N172" s="138" cm="1">
        <f t="array" aca="1" ref="N172:AE172" ca="1">IF(OR(B172="",NOT($J$2)),"",GetStripDefaultProbability(A172,B172,Parameter_Date,CDSRollDate,E172:M172,SpreadCurveMaturities,D172,C172,$J$4,$J$6))</f>
        <v>0</v>
      </c>
      <c r="O172" s="163">
        <f ca="1"/>
        <v>0</v>
      </c>
      <c r="P172" s="163">
        <f ca="1"/>
        <v>0.14482341319914216</v>
      </c>
      <c r="Q172" s="163">
        <f ca="1"/>
        <v>0</v>
      </c>
      <c r="R172" s="163">
        <f ca="1"/>
        <v>0.22819227041731838</v>
      </c>
      <c r="S172" s="163">
        <f ca="1"/>
        <v>0</v>
      </c>
      <c r="T172" s="163">
        <f ca="1"/>
        <v>0.26353749330159848</v>
      </c>
      <c r="U172" s="163">
        <f ca="1"/>
        <v>0.28878131551280128</v>
      </c>
      <c r="V172" s="139">
        <f ca="1"/>
        <v>0.34394074184249945</v>
      </c>
      <c r="W172" s="138">
        <f ca="1"/>
        <v>0</v>
      </c>
      <c r="X172" s="163">
        <f ca="1"/>
        <v>0</v>
      </c>
      <c r="Y172" s="163">
        <f ca="1"/>
        <v>0.15148654994409771</v>
      </c>
      <c r="Z172" s="163">
        <f ca="1"/>
        <v>0</v>
      </c>
      <c r="AA172" s="163">
        <f ca="1"/>
        <v>0.23775250653845936</v>
      </c>
      <c r="AB172" s="163">
        <f ca="1"/>
        <v>0</v>
      </c>
      <c r="AC172" s="163">
        <f ca="1"/>
        <v>0.27398241207385954</v>
      </c>
      <c r="AD172" s="163">
        <f ca="1"/>
        <v>0.29977242745227317</v>
      </c>
      <c r="AE172" s="139">
        <f ca="1"/>
        <v>0.35640303719982125</v>
      </c>
      <c r="AI172" s="136"/>
      <c r="AK172" s="136"/>
      <c r="AM172" s="136"/>
      <c r="AN172" s="136"/>
      <c r="AO172" s="136"/>
      <c r="AR172" s="136"/>
      <c r="AT172" s="136"/>
      <c r="AV172" s="136"/>
      <c r="AW172" s="136"/>
      <c r="AX172" s="136"/>
    </row>
    <row r="173" spans="1:50" s="79" customFormat="1" ht="11.25">
      <c r="A173" s="96">
        <f t="shared" ca="1" si="4"/>
        <v>162</v>
      </c>
      <c r="B173" s="68" t="s">
        <v>250</v>
      </c>
      <c r="C173" s="97">
        <v>0.4</v>
      </c>
      <c r="D173" s="69" t="s">
        <v>67</v>
      </c>
      <c r="E173" s="137" t="s">
        <v>87</v>
      </c>
      <c r="F173" s="156" t="s">
        <v>87</v>
      </c>
      <c r="G173" s="156">
        <v>9.8200000000000002E-4</v>
      </c>
      <c r="H173" s="156" t="s">
        <v>87</v>
      </c>
      <c r="I173" s="156">
        <v>3.1849999999999999E-3</v>
      </c>
      <c r="J173" s="156" t="s">
        <v>87</v>
      </c>
      <c r="K173" s="156">
        <v>4.5840000000000004E-3</v>
      </c>
      <c r="L173" s="156">
        <v>5.8869999999999999E-3</v>
      </c>
      <c r="M173" s="156">
        <v>7.3340000000000002E-3</v>
      </c>
      <c r="N173" s="138" cm="1">
        <f t="array" aca="1" ref="N173:AE173" ca="1">IF(OR(B173="",NOT($J$2)),"",GetStripDefaultProbability(A173,B173,Parameter_Date,CDSRollDate,E173:M173,SpreadCurveMaturities,D173,C173,$J$4,$J$6))</f>
        <v>0</v>
      </c>
      <c r="O173" s="163">
        <f ca="1"/>
        <v>0</v>
      </c>
      <c r="P173" s="163">
        <f ca="1"/>
        <v>1.7995863084349084E-3</v>
      </c>
      <c r="Q173" s="163">
        <f ca="1"/>
        <v>0</v>
      </c>
      <c r="R173" s="163">
        <f ca="1"/>
        <v>1.6710541388546551E-2</v>
      </c>
      <c r="S173" s="163">
        <f ca="1"/>
        <v>0</v>
      </c>
      <c r="T173" s="163">
        <f ca="1"/>
        <v>3.9802396444192256E-2</v>
      </c>
      <c r="U173" s="163">
        <f ca="1"/>
        <v>7.1547290251290141E-2</v>
      </c>
      <c r="V173" s="139">
        <f ca="1"/>
        <v>0.12664028501159708</v>
      </c>
      <c r="W173" s="138">
        <f ca="1"/>
        <v>0</v>
      </c>
      <c r="X173" s="163">
        <f ca="1"/>
        <v>0</v>
      </c>
      <c r="Y173" s="163">
        <f ca="1"/>
        <v>1.965939180911036E-3</v>
      </c>
      <c r="Z173" s="163">
        <f ca="1"/>
        <v>0</v>
      </c>
      <c r="AA173" s="163">
        <f ca="1"/>
        <v>1.7532635975952005E-2</v>
      </c>
      <c r="AB173" s="163">
        <f ca="1"/>
        <v>0</v>
      </c>
      <c r="AC173" s="163">
        <f ca="1"/>
        <v>4.1750284903871226E-2</v>
      </c>
      <c r="AD173" s="163">
        <f ca="1"/>
        <v>7.5010478168800576E-2</v>
      </c>
      <c r="AE173" s="139">
        <f ca="1"/>
        <v>0.13265705881538026</v>
      </c>
      <c r="AI173" s="136"/>
      <c r="AK173" s="136"/>
      <c r="AM173" s="136"/>
      <c r="AN173" s="136"/>
      <c r="AO173" s="136"/>
      <c r="AR173" s="136"/>
      <c r="AT173" s="136"/>
      <c r="AV173" s="136"/>
      <c r="AW173" s="136"/>
      <c r="AX173" s="136"/>
    </row>
    <row r="174" spans="1:50" s="79" customFormat="1" ht="11.25">
      <c r="A174" s="96">
        <f t="shared" ca="1" si="4"/>
        <v>163</v>
      </c>
      <c r="B174" s="68" t="s">
        <v>251</v>
      </c>
      <c r="C174" s="97">
        <v>0.4</v>
      </c>
      <c r="D174" s="69" t="s">
        <v>67</v>
      </c>
      <c r="E174" s="137" t="s">
        <v>87</v>
      </c>
      <c r="F174" s="156" t="s">
        <v>87</v>
      </c>
      <c r="G174" s="156">
        <v>1.206E-3</v>
      </c>
      <c r="H174" s="156" t="s">
        <v>87</v>
      </c>
      <c r="I174" s="156">
        <v>2.8470000000000001E-3</v>
      </c>
      <c r="J174" s="156" t="s">
        <v>87</v>
      </c>
      <c r="K174" s="156">
        <v>4.6800000000000001E-3</v>
      </c>
      <c r="L174" s="156">
        <v>6.2880000000000002E-3</v>
      </c>
      <c r="M174" s="156">
        <v>7.5170000000000002E-3</v>
      </c>
      <c r="N174" s="138" cm="1">
        <f t="array" aca="1" ref="N174:AE174" ca="1">IF(OR(B174="",NOT($J$2)),"",GetStripDefaultProbability(A174,B174,Parameter_Date,CDSRollDate,E174:M174,SpreadCurveMaturities,D174,C174,$J$4,$J$6))</f>
        <v>0</v>
      </c>
      <c r="O174" s="163">
        <f ca="1"/>
        <v>0</v>
      </c>
      <c r="P174" s="163">
        <f ca="1"/>
        <v>2.2096323627830428E-3</v>
      </c>
      <c r="Q174" s="163">
        <f ca="1"/>
        <v>0</v>
      </c>
      <c r="R174" s="163">
        <f ca="1"/>
        <v>1.490029707589835E-2</v>
      </c>
      <c r="S174" s="163">
        <f ca="1"/>
        <v>0</v>
      </c>
      <c r="T174" s="163">
        <f ca="1"/>
        <v>4.0837858936423332E-2</v>
      </c>
      <c r="U174" s="163">
        <f ca="1"/>
        <v>7.6856996779538944E-2</v>
      </c>
      <c r="V174" s="139">
        <f ca="1"/>
        <v>0.12933141197890674</v>
      </c>
      <c r="W174" s="138">
        <f ca="1"/>
        <v>0</v>
      </c>
      <c r="X174" s="163">
        <f ca="1"/>
        <v>0</v>
      </c>
      <c r="Y174" s="163">
        <f ca="1"/>
        <v>2.3759168999586411E-3</v>
      </c>
      <c r="Z174" s="163">
        <f ca="1"/>
        <v>0</v>
      </c>
      <c r="AA174" s="163">
        <f ca="1"/>
        <v>1.5634975024764297E-2</v>
      </c>
      <c r="AB174" s="163">
        <f ca="1"/>
        <v>0</v>
      </c>
      <c r="AC174" s="163">
        <f ca="1"/>
        <v>4.2837724168593216E-2</v>
      </c>
      <c r="AD174" s="163">
        <f ca="1"/>
        <v>8.0574654777129662E-2</v>
      </c>
      <c r="AE174" s="139">
        <f ca="1"/>
        <v>0.13546787368258018</v>
      </c>
      <c r="AI174" s="136"/>
      <c r="AK174" s="136"/>
      <c r="AM174" s="136"/>
      <c r="AN174" s="136"/>
      <c r="AO174" s="136"/>
      <c r="AR174" s="136"/>
      <c r="AT174" s="136"/>
      <c r="AV174" s="136"/>
      <c r="AW174" s="136"/>
      <c r="AX174" s="136"/>
    </row>
    <row r="175" spans="1:50" s="79" customFormat="1" ht="11.25">
      <c r="A175" s="96">
        <f t="shared" ca="1" si="4"/>
        <v>164</v>
      </c>
      <c r="B175" s="68" t="s">
        <v>252</v>
      </c>
      <c r="C175" s="97">
        <v>0.4</v>
      </c>
      <c r="D175" s="69" t="s">
        <v>67</v>
      </c>
      <c r="E175" s="137" t="s">
        <v>87</v>
      </c>
      <c r="F175" s="156" t="s">
        <v>87</v>
      </c>
      <c r="G175" s="156">
        <v>5.0299999999999997E-4</v>
      </c>
      <c r="H175" s="156" t="s">
        <v>87</v>
      </c>
      <c r="I175" s="156">
        <v>2.1450000000000002E-3</v>
      </c>
      <c r="J175" s="156" t="s">
        <v>87</v>
      </c>
      <c r="K175" s="156">
        <v>2.9429999999999999E-3</v>
      </c>
      <c r="L175" s="156">
        <v>3.8409999999999998E-3</v>
      </c>
      <c r="M175" s="156">
        <v>4.9890000000000004E-3</v>
      </c>
      <c r="N175" s="138" cm="1">
        <f t="array" aca="1" ref="N175:AE175" ca="1">IF(OR(B175="",NOT($J$2)),"",GetStripDefaultProbability(A175,B175,Parameter_Date,CDSRollDate,E175:M175,SpreadCurveMaturities,D175,C175,$J$4,$J$6))</f>
        <v>0</v>
      </c>
      <c r="O175" s="163">
        <f ca="1"/>
        <v>0</v>
      </c>
      <c r="P175" s="163">
        <f ca="1"/>
        <v>9.2218581872538508E-4</v>
      </c>
      <c r="Q175" s="163">
        <f ca="1"/>
        <v>0</v>
      </c>
      <c r="R175" s="163">
        <f ca="1"/>
        <v>1.1298652730092007E-2</v>
      </c>
      <c r="S175" s="163">
        <f ca="1"/>
        <v>0</v>
      </c>
      <c r="T175" s="163">
        <f ca="1"/>
        <v>2.5648243399278514E-2</v>
      </c>
      <c r="U175" s="163">
        <f ca="1"/>
        <v>4.713488724404058E-2</v>
      </c>
      <c r="V175" s="139">
        <f ca="1"/>
        <v>8.8031490688050495E-2</v>
      </c>
      <c r="W175" s="138">
        <f ca="1"/>
        <v>0</v>
      </c>
      <c r="X175" s="163">
        <f ca="1"/>
        <v>0</v>
      </c>
      <c r="Y175" s="163">
        <f ca="1"/>
        <v>1.0886849124411846E-3</v>
      </c>
      <c r="Z175" s="163">
        <f ca="1"/>
        <v>0</v>
      </c>
      <c r="AA175" s="163">
        <f ca="1"/>
        <v>1.185113032548657E-2</v>
      </c>
      <c r="AB175" s="163">
        <f ca="1"/>
        <v>0</v>
      </c>
      <c r="AC175" s="163">
        <f ca="1"/>
        <v>2.6906508839579235E-2</v>
      </c>
      <c r="AD175" s="163">
        <f ca="1"/>
        <v>4.9435875276649388E-2</v>
      </c>
      <c r="AE175" s="139">
        <f ca="1"/>
        <v>9.2280491065212633E-2</v>
      </c>
      <c r="AI175" s="136"/>
      <c r="AK175" s="136"/>
      <c r="AM175" s="136"/>
      <c r="AN175" s="136"/>
      <c r="AO175" s="136"/>
      <c r="AR175" s="136"/>
      <c r="AT175" s="136"/>
      <c r="AV175" s="136"/>
      <c r="AW175" s="136"/>
      <c r="AX175" s="136"/>
    </row>
    <row r="176" spans="1:50" s="79" customFormat="1" ht="11.25">
      <c r="A176" s="96">
        <f t="shared" ca="1" si="4"/>
        <v>165</v>
      </c>
      <c r="B176" s="68" t="s">
        <v>253</v>
      </c>
      <c r="C176" s="97">
        <v>0.4</v>
      </c>
      <c r="D176" s="69" t="s">
        <v>67</v>
      </c>
      <c r="E176" s="137" t="s">
        <v>87</v>
      </c>
      <c r="F176" s="156" t="s">
        <v>87</v>
      </c>
      <c r="G176" s="156">
        <v>1.5280000000000001E-3</v>
      </c>
      <c r="H176" s="156" t="s">
        <v>87</v>
      </c>
      <c r="I176" s="156">
        <v>2.96E-3</v>
      </c>
      <c r="J176" s="156" t="s">
        <v>87</v>
      </c>
      <c r="K176" s="156">
        <v>4.5840000000000004E-3</v>
      </c>
      <c r="L176" s="156">
        <v>5.6340000000000001E-3</v>
      </c>
      <c r="M176" s="156">
        <v>7.4009999999999996E-3</v>
      </c>
      <c r="N176" s="138" cm="1">
        <f t="array" aca="1" ref="N176:AE176" ca="1">IF(OR(B176="",NOT($J$2)),"",GetStripDefaultProbability(A176,B176,Parameter_Date,CDSRollDate,E176:M176,SpreadCurveMaturities,D176,C176,$J$4,$J$6))</f>
        <v>0</v>
      </c>
      <c r="O176" s="163">
        <f ca="1"/>
        <v>0</v>
      </c>
      <c r="P176" s="163">
        <f ca="1"/>
        <v>2.7987809715404044E-3</v>
      </c>
      <c r="Q176" s="163">
        <f ca="1"/>
        <v>0</v>
      </c>
      <c r="R176" s="163">
        <f ca="1"/>
        <v>1.5449072373406536E-2</v>
      </c>
      <c r="S176" s="163">
        <f ca="1"/>
        <v>0</v>
      </c>
      <c r="T176" s="163">
        <f ca="1"/>
        <v>3.9857089191893791E-2</v>
      </c>
      <c r="U176" s="163">
        <f ca="1"/>
        <v>6.8288623446594476E-2</v>
      </c>
      <c r="V176" s="139">
        <f ca="1"/>
        <v>0.12854746476346079</v>
      </c>
      <c r="W176" s="138">
        <f ca="1"/>
        <v>0</v>
      </c>
      <c r="X176" s="163">
        <f ca="1"/>
        <v>0</v>
      </c>
      <c r="Y176" s="163">
        <f ca="1"/>
        <v>2.9649673254783515E-3</v>
      </c>
      <c r="Z176" s="163">
        <f ca="1"/>
        <v>0</v>
      </c>
      <c r="AA176" s="163">
        <f ca="1"/>
        <v>1.6212917082338629E-2</v>
      </c>
      <c r="AB176" s="163">
        <f ca="1"/>
        <v>0</v>
      </c>
      <c r="AC176" s="163">
        <f ca="1"/>
        <v>4.1811392899942623E-2</v>
      </c>
      <c r="AD176" s="163">
        <f ca="1"/>
        <v>7.1601745899556146E-2</v>
      </c>
      <c r="AE176" s="139">
        <f ca="1"/>
        <v>0.13466322669398711</v>
      </c>
      <c r="AI176" s="136"/>
      <c r="AK176" s="136"/>
      <c r="AM176" s="136"/>
      <c r="AN176" s="136"/>
      <c r="AO176" s="136"/>
      <c r="AR176" s="136"/>
      <c r="AT176" s="136"/>
      <c r="AV176" s="136"/>
      <c r="AW176" s="136"/>
      <c r="AX176" s="136"/>
    </row>
    <row r="177" spans="1:50" s="79" customFormat="1" ht="11.25">
      <c r="A177" s="96">
        <f t="shared" ca="1" si="4"/>
        <v>166</v>
      </c>
      <c r="B177" s="68" t="s">
        <v>254</v>
      </c>
      <c r="C177" s="97">
        <v>0.4</v>
      </c>
      <c r="D177" s="69" t="s">
        <v>67</v>
      </c>
      <c r="E177" s="137" t="s">
        <v>87</v>
      </c>
      <c r="F177" s="156" t="s">
        <v>87</v>
      </c>
      <c r="G177" s="156">
        <v>5.3899999999999998E-4</v>
      </c>
      <c r="H177" s="156" t="s">
        <v>87</v>
      </c>
      <c r="I177" s="156">
        <v>1.8E-3</v>
      </c>
      <c r="J177" s="156" t="s">
        <v>87</v>
      </c>
      <c r="K177" s="156">
        <v>2.6059999999999998E-3</v>
      </c>
      <c r="L177" s="156">
        <v>3.2690000000000002E-3</v>
      </c>
      <c r="M177" s="156">
        <v>3.885E-3</v>
      </c>
      <c r="N177" s="138" cm="1">
        <f t="array" aca="1" ref="N177:AE177" ca="1">IF(OR(B177="",NOT($J$2)),"",GetStripDefaultProbability(A177,B177,Parameter_Date,CDSRollDate,E177:M177,SpreadCurveMaturities,D177,C177,$J$4,$J$6))</f>
        <v>0</v>
      </c>
      <c r="O177" s="163">
        <f ca="1"/>
        <v>0</v>
      </c>
      <c r="P177" s="163">
        <f ca="1"/>
        <v>9.881548177296251E-4</v>
      </c>
      <c r="Q177" s="163">
        <f ca="1"/>
        <v>0</v>
      </c>
      <c r="R177" s="163">
        <f ca="1"/>
        <v>9.4714351965353716E-3</v>
      </c>
      <c r="S177" s="163">
        <f ca="1"/>
        <v>0</v>
      </c>
      <c r="T177" s="163">
        <f ca="1"/>
        <v>2.2779670574595179E-2</v>
      </c>
      <c r="U177" s="163">
        <f ca="1"/>
        <v>4.0105807822360506E-2</v>
      </c>
      <c r="V177" s="139">
        <f ca="1"/>
        <v>6.8025578380477625E-2</v>
      </c>
      <c r="W177" s="138">
        <f ca="1"/>
        <v>0</v>
      </c>
      <c r="X177" s="163">
        <f ca="1"/>
        <v>0</v>
      </c>
      <c r="Y177" s="163">
        <f ca="1"/>
        <v>1.1546429175129935E-3</v>
      </c>
      <c r="Z177" s="163">
        <f ca="1"/>
        <v>0</v>
      </c>
      <c r="AA177" s="163">
        <f ca="1"/>
        <v>9.9866975810929404E-3</v>
      </c>
      <c r="AB177" s="163">
        <f ca="1"/>
        <v>0</v>
      </c>
      <c r="AC177" s="163">
        <f ca="1"/>
        <v>2.38923539254563E-2</v>
      </c>
      <c r="AD177" s="163">
        <f ca="1"/>
        <v>4.2062616004772124E-2</v>
      </c>
      <c r="AE177" s="139">
        <f ca="1"/>
        <v>7.130759150099053E-2</v>
      </c>
      <c r="AI177" s="136"/>
      <c r="AK177" s="136"/>
      <c r="AM177" s="136"/>
      <c r="AN177" s="136"/>
      <c r="AO177" s="136"/>
      <c r="AR177" s="136"/>
      <c r="AT177" s="136"/>
      <c r="AV177" s="136"/>
      <c r="AW177" s="136"/>
      <c r="AX177" s="136"/>
    </row>
    <row r="178" spans="1:50" s="79" customFormat="1" ht="11.25">
      <c r="A178" s="96">
        <f t="shared" ca="1" si="4"/>
        <v>167</v>
      </c>
      <c r="B178" s="68" t="s">
        <v>255</v>
      </c>
      <c r="C178" s="97">
        <v>0.4</v>
      </c>
      <c r="D178" s="69" t="s">
        <v>67</v>
      </c>
      <c r="E178" s="137" t="s">
        <v>87</v>
      </c>
      <c r="F178" s="156" t="s">
        <v>87</v>
      </c>
      <c r="G178" s="156">
        <v>6.2E-4</v>
      </c>
      <c r="H178" s="156" t="s">
        <v>87</v>
      </c>
      <c r="I178" s="156">
        <v>1.565E-3</v>
      </c>
      <c r="J178" s="156" t="s">
        <v>87</v>
      </c>
      <c r="K178" s="156">
        <v>2.1710000000000002E-3</v>
      </c>
      <c r="L178" s="156">
        <v>2.8279999999999998E-3</v>
      </c>
      <c r="M178" s="156">
        <v>3.6359999999999999E-3</v>
      </c>
      <c r="N178" s="138" cm="1">
        <f t="array" aca="1" ref="N178:AE178" ca="1">IF(OR(B178="",NOT($J$2)),"",GetStripDefaultProbability(A178,B178,Parameter_Date,CDSRollDate,E178:M178,SpreadCurveMaturities,D178,C178,$J$4,$J$6))</f>
        <v>0</v>
      </c>
      <c r="O178" s="163">
        <f ca="1"/>
        <v>0</v>
      </c>
      <c r="P178" s="163">
        <f ca="1"/>
        <v>1.1365692640072922E-3</v>
      </c>
      <c r="Q178" s="163">
        <f ca="1"/>
        <v>0</v>
      </c>
      <c r="R178" s="163">
        <f ca="1"/>
        <v>8.217996140760242E-3</v>
      </c>
      <c r="S178" s="163">
        <f ca="1"/>
        <v>0</v>
      </c>
      <c r="T178" s="163">
        <f ca="1"/>
        <v>1.8943059641820859E-2</v>
      </c>
      <c r="U178" s="163">
        <f ca="1"/>
        <v>3.4826465755689373E-2</v>
      </c>
      <c r="V178" s="139">
        <f ca="1"/>
        <v>6.4592554885072762E-2</v>
      </c>
      <c r="W178" s="138">
        <f ca="1"/>
        <v>0</v>
      </c>
      <c r="X178" s="163">
        <f ca="1"/>
        <v>0</v>
      </c>
      <c r="Y178" s="163">
        <f ca="1"/>
        <v>1.3030326301095574E-3</v>
      </c>
      <c r="Z178" s="163">
        <f ca="1"/>
        <v>0</v>
      </c>
      <c r="AA178" s="163">
        <f ca="1"/>
        <v>8.7339150679704991E-3</v>
      </c>
      <c r="AB178" s="163">
        <f ca="1"/>
        <v>0</v>
      </c>
      <c r="AC178" s="163">
        <f ca="1"/>
        <v>1.9861490440558405E-2</v>
      </c>
      <c r="AD178" s="163">
        <f ca="1"/>
        <v>3.65216872034968E-2</v>
      </c>
      <c r="AE178" s="139">
        <f ca="1"/>
        <v>6.7709369436448119E-2</v>
      </c>
      <c r="AI178" s="136"/>
      <c r="AK178" s="136"/>
      <c r="AM178" s="136"/>
      <c r="AN178" s="136"/>
      <c r="AO178" s="136"/>
      <c r="AR178" s="136"/>
      <c r="AT178" s="136"/>
      <c r="AV178" s="136"/>
      <c r="AW178" s="136"/>
      <c r="AX178" s="136"/>
    </row>
    <row r="179" spans="1:50" s="79" customFormat="1" ht="11.25">
      <c r="A179" s="96">
        <f t="shared" ca="1" si="4"/>
        <v>168</v>
      </c>
      <c r="B179" s="68" t="s">
        <v>256</v>
      </c>
      <c r="C179" s="97">
        <v>0.4</v>
      </c>
      <c r="D179" s="69" t="s">
        <v>67</v>
      </c>
      <c r="E179" s="137" t="s">
        <v>87</v>
      </c>
      <c r="F179" s="156" t="s">
        <v>87</v>
      </c>
      <c r="G179" s="156">
        <v>1.0510000000000001E-3</v>
      </c>
      <c r="H179" s="156" t="s">
        <v>87</v>
      </c>
      <c r="I179" s="156">
        <v>2.1979999999999999E-3</v>
      </c>
      <c r="J179" s="156" t="s">
        <v>87</v>
      </c>
      <c r="K179" s="156">
        <v>3.2330000000000002E-3</v>
      </c>
      <c r="L179" s="156">
        <v>4.267E-3</v>
      </c>
      <c r="M179" s="156">
        <v>5.1720000000000004E-3</v>
      </c>
      <c r="N179" s="138" cm="1">
        <f t="array" aca="1" ref="N179:AE179" ca="1">IF(OR(B179="",NOT($J$2)),"",GetStripDefaultProbability(A179,B179,Parameter_Date,CDSRollDate,E179:M179,SpreadCurveMaturities,D179,C179,$J$4,$J$6))</f>
        <v>0</v>
      </c>
      <c r="O179" s="163">
        <f ca="1"/>
        <v>0</v>
      </c>
      <c r="P179" s="163">
        <f ca="1"/>
        <v>1.9259129445186041E-3</v>
      </c>
      <c r="Q179" s="163">
        <f ca="1"/>
        <v>0</v>
      </c>
      <c r="R179" s="163">
        <f ca="1"/>
        <v>1.1502183780383257E-2</v>
      </c>
      <c r="S179" s="163">
        <f ca="1"/>
        <v>0</v>
      </c>
      <c r="T179" s="163">
        <f ca="1"/>
        <v>2.8169978512945337E-2</v>
      </c>
      <c r="U179" s="163">
        <f ca="1"/>
        <v>5.2342835267629284E-2</v>
      </c>
      <c r="V179" s="139">
        <f ca="1"/>
        <v>9.0307261910918757E-2</v>
      </c>
      <c r="W179" s="138">
        <f ca="1"/>
        <v>0</v>
      </c>
      <c r="X179" s="163">
        <f ca="1"/>
        <v>0</v>
      </c>
      <c r="Y179" s="163">
        <f ca="1"/>
        <v>2.0922447643286768E-3</v>
      </c>
      <c r="Z179" s="163">
        <f ca="1"/>
        <v>0</v>
      </c>
      <c r="AA179" s="163">
        <f ca="1"/>
        <v>1.2068380233257514E-2</v>
      </c>
      <c r="AB179" s="163">
        <f ca="1"/>
        <v>0</v>
      </c>
      <c r="AC179" s="163">
        <f ca="1"/>
        <v>2.9554858180978916E-2</v>
      </c>
      <c r="AD179" s="163">
        <f ca="1"/>
        <v>5.4897550516143201E-2</v>
      </c>
      <c r="AE179" s="139">
        <f ca="1"/>
        <v>9.4634256407599815E-2</v>
      </c>
      <c r="AI179" s="136"/>
      <c r="AK179" s="136"/>
      <c r="AM179" s="136"/>
      <c r="AN179" s="136"/>
      <c r="AO179" s="136"/>
      <c r="AR179" s="136"/>
      <c r="AT179" s="136"/>
      <c r="AV179" s="136"/>
      <c r="AW179" s="136"/>
      <c r="AX179" s="136"/>
    </row>
    <row r="180" spans="1:50" s="79" customFormat="1" ht="11.25">
      <c r="A180" s="96">
        <f t="shared" ca="1" si="4"/>
        <v>169</v>
      </c>
      <c r="B180" s="68" t="s">
        <v>257</v>
      </c>
      <c r="C180" s="97">
        <v>0.4</v>
      </c>
      <c r="D180" s="69" t="s">
        <v>67</v>
      </c>
      <c r="E180" s="137" t="s">
        <v>87</v>
      </c>
      <c r="F180" s="156" t="s">
        <v>87</v>
      </c>
      <c r="G180" s="156">
        <v>3.6499999999999998E-4</v>
      </c>
      <c r="H180" s="156" t="s">
        <v>87</v>
      </c>
      <c r="I180" s="156">
        <v>2.3809999999999999E-3</v>
      </c>
      <c r="J180" s="156" t="s">
        <v>87</v>
      </c>
      <c r="K180" s="156">
        <v>3.0400000000000002E-3</v>
      </c>
      <c r="L180" s="156">
        <v>3.901E-3</v>
      </c>
      <c r="M180" s="156">
        <v>4.914E-3</v>
      </c>
      <c r="N180" s="138" cm="1">
        <f t="array" aca="1" ref="N180:AE180" ca="1">IF(OR(B180="",NOT($J$2)),"",GetStripDefaultProbability(A180,B180,Parameter_Date,CDSRollDate,E180:M180,SpreadCurveMaturities,D180,C180,$J$4,$J$6))</f>
        <v>0</v>
      </c>
      <c r="O180" s="163">
        <f ca="1"/>
        <v>0</v>
      </c>
      <c r="P180" s="163">
        <f ca="1"/>
        <v>6.6926460984739755E-4</v>
      </c>
      <c r="Q180" s="163">
        <f ca="1"/>
        <v>0</v>
      </c>
      <c r="R180" s="163">
        <f ca="1"/>
        <v>1.2563325962694272E-2</v>
      </c>
      <c r="S180" s="163">
        <f ca="1"/>
        <v>0</v>
      </c>
      <c r="T180" s="163">
        <f ca="1"/>
        <v>2.6411769359492188E-2</v>
      </c>
      <c r="U180" s="163">
        <f ca="1"/>
        <v>4.7705400517291441E-2</v>
      </c>
      <c r="V180" s="139">
        <f ca="1"/>
        <v>8.6228068865718099E-2</v>
      </c>
      <c r="W180" s="138">
        <f ca="1"/>
        <v>0</v>
      </c>
      <c r="X180" s="163">
        <f ca="1"/>
        <v>0</v>
      </c>
      <c r="Y180" s="163">
        <f ca="1"/>
        <v>8.3580585359255277E-4</v>
      </c>
      <c r="Z180" s="163">
        <f ca="1"/>
        <v>0</v>
      </c>
      <c r="AA180" s="163">
        <f ca="1"/>
        <v>1.3177249597581042E-2</v>
      </c>
      <c r="AB180" s="163">
        <f ca="1"/>
        <v>0</v>
      </c>
      <c r="AC180" s="163">
        <f ca="1"/>
        <v>2.7706190358341987E-2</v>
      </c>
      <c r="AD180" s="163">
        <f ca="1"/>
        <v>5.0031948410683924E-2</v>
      </c>
      <c r="AE180" s="139">
        <f ca="1"/>
        <v>9.0361874022336974E-2</v>
      </c>
      <c r="AI180" s="136"/>
      <c r="AK180" s="136"/>
      <c r="AM180" s="136"/>
      <c r="AN180" s="136"/>
      <c r="AO180" s="136"/>
      <c r="AR180" s="136"/>
      <c r="AT180" s="136"/>
      <c r="AV180" s="136"/>
      <c r="AW180" s="136"/>
      <c r="AX180" s="136"/>
    </row>
    <row r="181" spans="1:50" s="79" customFormat="1" ht="11.25">
      <c r="A181" s="96">
        <f t="shared" ca="1" si="4"/>
        <v>170</v>
      </c>
      <c r="B181" s="68" t="s">
        <v>258</v>
      </c>
      <c r="C181" s="97">
        <v>0.4</v>
      </c>
      <c r="D181" s="69" t="s">
        <v>67</v>
      </c>
      <c r="E181" s="137" t="s">
        <v>87</v>
      </c>
      <c r="F181" s="156" t="s">
        <v>87</v>
      </c>
      <c r="G181" s="156">
        <v>1.371E-3</v>
      </c>
      <c r="H181" s="156" t="s">
        <v>87</v>
      </c>
      <c r="I181" s="156">
        <v>1.9380000000000001E-3</v>
      </c>
      <c r="J181" s="156" t="s">
        <v>87</v>
      </c>
      <c r="K181" s="156">
        <v>3.3289999999999999E-3</v>
      </c>
      <c r="L181" s="156">
        <v>4.4219999999999997E-3</v>
      </c>
      <c r="M181" s="156">
        <v>5.3169999999999997E-3</v>
      </c>
      <c r="N181" s="138" cm="1">
        <f t="array" aca="1" ref="N181:AE181" ca="1">IF(OR(B181="",NOT($J$2)),"",GetStripDefaultProbability(A181,B181,Parameter_Date,CDSRollDate,E181:M181,SpreadCurveMaturities,D181,C181,$J$4,$J$6))</f>
        <v>0</v>
      </c>
      <c r="O181" s="163">
        <f ca="1"/>
        <v>0</v>
      </c>
      <c r="P181" s="163">
        <f ca="1"/>
        <v>2.5115683804760591E-3</v>
      </c>
      <c r="Q181" s="163">
        <f ca="1"/>
        <v>0</v>
      </c>
      <c r="R181" s="163">
        <f ca="1"/>
        <v>1.0085876077197575E-2</v>
      </c>
      <c r="S181" s="163">
        <f ca="1"/>
        <v>0</v>
      </c>
      <c r="T181" s="163">
        <f ca="1"/>
        <v>2.9145467098384392E-2</v>
      </c>
      <c r="U181" s="163">
        <f ca="1"/>
        <v>5.4391719250524773E-2</v>
      </c>
      <c r="V181" s="139">
        <f ca="1"/>
        <v>9.2818549981544374E-2</v>
      </c>
      <c r="W181" s="138">
        <f ca="1"/>
        <v>0</v>
      </c>
      <c r="X181" s="163">
        <f ca="1"/>
        <v>0</v>
      </c>
      <c r="Y181" s="163">
        <f ca="1"/>
        <v>2.6778025991688326E-3</v>
      </c>
      <c r="Z181" s="163">
        <f ca="1"/>
        <v>0</v>
      </c>
      <c r="AA181" s="163">
        <f ca="1"/>
        <v>1.060058648155171E-2</v>
      </c>
      <c r="AB181" s="163">
        <f ca="1"/>
        <v>0</v>
      </c>
      <c r="AC181" s="163">
        <f ca="1"/>
        <v>3.0578478605943316E-2</v>
      </c>
      <c r="AD181" s="163">
        <f ca="1"/>
        <v>5.7046112193716136E-2</v>
      </c>
      <c r="AE181" s="139">
        <f ca="1"/>
        <v>9.726254694066927E-2</v>
      </c>
      <c r="AI181" s="136"/>
      <c r="AK181" s="136"/>
      <c r="AM181" s="136"/>
      <c r="AN181" s="136"/>
      <c r="AO181" s="136"/>
      <c r="AR181" s="136"/>
      <c r="AT181" s="136"/>
      <c r="AV181" s="136"/>
      <c r="AW181" s="136"/>
      <c r="AX181" s="136"/>
    </row>
    <row r="182" spans="1:50" s="79" customFormat="1" ht="11.25">
      <c r="A182" s="96">
        <f t="shared" ca="1" si="4"/>
        <v>171</v>
      </c>
      <c r="B182" s="68" t="s">
        <v>259</v>
      </c>
      <c r="C182" s="97">
        <v>0.4</v>
      </c>
      <c r="D182" s="69" t="s">
        <v>67</v>
      </c>
      <c r="E182" s="137" t="s">
        <v>87</v>
      </c>
      <c r="F182" s="156" t="s">
        <v>87</v>
      </c>
      <c r="G182" s="156">
        <v>4.4099999999999999E-4</v>
      </c>
      <c r="H182" s="156" t="s">
        <v>87</v>
      </c>
      <c r="I182" s="156">
        <v>1.4480000000000001E-3</v>
      </c>
      <c r="J182" s="156" t="s">
        <v>87</v>
      </c>
      <c r="K182" s="156">
        <v>2.0270000000000002E-3</v>
      </c>
      <c r="L182" s="156">
        <v>2.7499999999999998E-3</v>
      </c>
      <c r="M182" s="156">
        <v>3.6189999999999998E-3</v>
      </c>
      <c r="N182" s="138" cm="1">
        <f t="array" aca="1" ref="N182:AE182" ca="1">IF(OR(B182="",NOT($J$2)),"",GetStripDefaultProbability(A182,B182,Parameter_Date,CDSRollDate,E182:M182,SpreadCurveMaturities,D182,C182,$J$4,$J$6))</f>
        <v>0</v>
      </c>
      <c r="O182" s="163">
        <f ca="1"/>
        <v>0</v>
      </c>
      <c r="P182" s="163">
        <f ca="1"/>
        <v>8.0856241005566876E-4</v>
      </c>
      <c r="Q182" s="163">
        <f ca="1"/>
        <v>0</v>
      </c>
      <c r="R182" s="163">
        <f ca="1"/>
        <v>7.6234044100175202E-3</v>
      </c>
      <c r="S182" s="163">
        <f ca="1"/>
        <v>0</v>
      </c>
      <c r="T182" s="163">
        <f ca="1"/>
        <v>1.7721321643061172E-2</v>
      </c>
      <c r="U182" s="163">
        <f ca="1"/>
        <v>3.4031630906177002E-2</v>
      </c>
      <c r="V182" s="139">
        <f ca="1"/>
        <v>6.4664220071611656E-2</v>
      </c>
      <c r="W182" s="138">
        <f ca="1"/>
        <v>0</v>
      </c>
      <c r="X182" s="163">
        <f ca="1"/>
        <v>0</v>
      </c>
      <c r="Y182" s="163">
        <f ca="1"/>
        <v>9.7508043941274547E-4</v>
      </c>
      <c r="Z182" s="163">
        <f ca="1"/>
        <v>0</v>
      </c>
      <c r="AA182" s="163">
        <f ca="1"/>
        <v>8.1396891926508452E-3</v>
      </c>
      <c r="AB182" s="163">
        <f ca="1"/>
        <v>0</v>
      </c>
      <c r="AC182" s="163">
        <f ca="1"/>
        <v>1.8575355145862837E-2</v>
      </c>
      <c r="AD182" s="163">
        <f ca="1"/>
        <v>3.5684191245819563E-2</v>
      </c>
      <c r="AE182" s="139">
        <f ca="1"/>
        <v>6.7781256184311856E-2</v>
      </c>
      <c r="AI182" s="136"/>
      <c r="AK182" s="136"/>
      <c r="AM182" s="136"/>
      <c r="AN182" s="136"/>
      <c r="AO182" s="136"/>
      <c r="AR182" s="136"/>
      <c r="AT182" s="136"/>
      <c r="AV182" s="136"/>
      <c r="AW182" s="136"/>
      <c r="AX182" s="136"/>
    </row>
    <row r="183" spans="1:50" s="79" customFormat="1" ht="11.25">
      <c r="A183" s="96">
        <f t="shared" ca="1" si="4"/>
        <v>172</v>
      </c>
      <c r="B183" s="68" t="s">
        <v>260</v>
      </c>
      <c r="C183" s="97">
        <v>0.4</v>
      </c>
      <c r="D183" s="69" t="s">
        <v>67</v>
      </c>
      <c r="E183" s="137" t="s">
        <v>87</v>
      </c>
      <c r="F183" s="156" t="s">
        <v>87</v>
      </c>
      <c r="G183" s="156">
        <v>7.6599999999999997E-4</v>
      </c>
      <c r="H183" s="156" t="s">
        <v>87</v>
      </c>
      <c r="I183" s="156">
        <v>2.5040000000000001E-3</v>
      </c>
      <c r="J183" s="156" t="s">
        <v>87</v>
      </c>
      <c r="K183" s="156">
        <v>3.2330000000000002E-3</v>
      </c>
      <c r="L183" s="156">
        <v>4.2339999999999999E-3</v>
      </c>
      <c r="M183" s="156">
        <v>5.1450000000000003E-3</v>
      </c>
      <c r="N183" s="138" cm="1">
        <f t="array" aca="1" ref="N183:AE183" ca="1">IF(OR(B183="",NOT($J$2)),"",GetStripDefaultProbability(A183,B183,Parameter_Date,CDSRollDate,E183:M183,SpreadCurveMaturities,D183,C183,$J$4,$J$6))</f>
        <v>0</v>
      </c>
      <c r="O183" s="163">
        <f ca="1"/>
        <v>0</v>
      </c>
      <c r="P183" s="163">
        <f ca="1"/>
        <v>1.4040264763934829E-3</v>
      </c>
      <c r="Q183" s="163">
        <f ca="1"/>
        <v>0</v>
      </c>
      <c r="R183" s="163">
        <f ca="1"/>
        <v>1.3155709435942908E-2</v>
      </c>
      <c r="S183" s="163">
        <f ca="1"/>
        <v>0</v>
      </c>
      <c r="T183" s="163">
        <f ca="1"/>
        <v>2.8033064035710376E-2</v>
      </c>
      <c r="U183" s="163">
        <f ca="1"/>
        <v>5.1767688839026271E-2</v>
      </c>
      <c r="V183" s="139">
        <f ca="1"/>
        <v>8.9708704508447146E-2</v>
      </c>
      <c r="W183" s="138">
        <f ca="1"/>
        <v>0</v>
      </c>
      <c r="X183" s="163">
        <f ca="1"/>
        <v>0</v>
      </c>
      <c r="Y183" s="163">
        <f ca="1"/>
        <v>1.5704452700175953E-3</v>
      </c>
      <c r="Z183" s="163">
        <f ca="1"/>
        <v>0</v>
      </c>
      <c r="AA183" s="163">
        <f ca="1"/>
        <v>1.3801532998057864E-2</v>
      </c>
      <c r="AB183" s="163">
        <f ca="1"/>
        <v>0</v>
      </c>
      <c r="AC183" s="163">
        <f ca="1"/>
        <v>2.9409037756552681E-2</v>
      </c>
      <c r="AD183" s="163">
        <f ca="1"/>
        <v>5.4291618523845786E-2</v>
      </c>
      <c r="AE183" s="139">
        <f ca="1"/>
        <v>9.400453908230999E-2</v>
      </c>
      <c r="AI183" s="136"/>
      <c r="AK183" s="136"/>
      <c r="AM183" s="136"/>
      <c r="AN183" s="136"/>
      <c r="AO183" s="136"/>
      <c r="AR183" s="136"/>
      <c r="AT183" s="136"/>
      <c r="AV183" s="136"/>
      <c r="AW183" s="136"/>
      <c r="AX183" s="136"/>
    </row>
    <row r="184" spans="1:50" s="79" customFormat="1" ht="11.25">
      <c r="A184" s="96">
        <f t="shared" ca="1" si="4"/>
        <v>173</v>
      </c>
      <c r="B184" s="68" t="s">
        <v>261</v>
      </c>
      <c r="C184" s="97">
        <v>0.4</v>
      </c>
      <c r="D184" s="69" t="s">
        <v>67</v>
      </c>
      <c r="E184" s="137" t="s">
        <v>87</v>
      </c>
      <c r="F184" s="156" t="s">
        <v>87</v>
      </c>
      <c r="G184" s="156">
        <v>1.694E-3</v>
      </c>
      <c r="H184" s="156" t="s">
        <v>87</v>
      </c>
      <c r="I184" s="156">
        <v>4.3359999999999996E-3</v>
      </c>
      <c r="J184" s="156" t="s">
        <v>87</v>
      </c>
      <c r="K184" s="156">
        <v>7.3819999999999997E-3</v>
      </c>
      <c r="L184" s="156">
        <v>9.6019999999999994E-3</v>
      </c>
      <c r="M184" s="156">
        <v>1.2803E-2</v>
      </c>
      <c r="N184" s="138">
        <f t="array" aca="1" ref="N184:AE184" ca="1">IF(OR(B184="",NOT($J$2)),"",GetStripDefaultProbability(A184,B184,Parameter_Date,CDSRollDate,E184:M184,SpreadCurveMaturities,D184,C184,$J$4,$J$6))</f>
        <v>0</v>
      </c>
      <c r="O184" s="163">
        <f ca="1"/>
        <v>0</v>
      </c>
      <c r="P184" s="163">
        <f ca="1"/>
        <v>3.1023688162329366E-3</v>
      </c>
      <c r="Q184" s="163">
        <f ca="1"/>
        <v>0</v>
      </c>
      <c r="R184" s="163">
        <f ca="1"/>
        <v>2.2645844191151343E-2</v>
      </c>
      <c r="S184" s="163">
        <f ca="1"/>
        <v>0</v>
      </c>
      <c r="T184" s="163">
        <f ca="1"/>
        <v>6.4024991575246992E-2</v>
      </c>
      <c r="U184" s="163">
        <f ca="1"/>
        <v>0.11545960599864169</v>
      </c>
      <c r="V184" s="139">
        <f ca="1"/>
        <v>0.21674924148006691</v>
      </c>
      <c r="W184" s="138">
        <f ca="1"/>
        <v>0</v>
      </c>
      <c r="X184" s="163">
        <f ca="1"/>
        <v>0</v>
      </c>
      <c r="Y184" s="163">
        <f ca="1"/>
        <v>3.2685045764200282E-3</v>
      </c>
      <c r="Z184" s="163">
        <f ca="1"/>
        <v>0</v>
      </c>
      <c r="AA184" s="163">
        <f ca="1"/>
        <v>2.3763250858420237E-2</v>
      </c>
      <c r="AB184" s="163">
        <f ca="1"/>
        <v>0</v>
      </c>
      <c r="AC184" s="163">
        <f ca="1"/>
        <v>6.7132064886755827E-2</v>
      </c>
      <c r="AD184" s="163">
        <f ca="1"/>
        <v>0.12098763237462185</v>
      </c>
      <c r="AE184" s="139">
        <f ca="1"/>
        <v>0.2267102455449902</v>
      </c>
      <c r="AI184" s="136"/>
      <c r="AK184" s="136"/>
      <c r="AM184" s="136"/>
      <c r="AN184" s="136"/>
      <c r="AO184" s="136"/>
      <c r="AR184" s="136"/>
      <c r="AT184" s="136"/>
      <c r="AV184" s="136"/>
      <c r="AW184" s="136"/>
      <c r="AX184" s="136"/>
    </row>
    <row r="185" spans="1:50" s="79" customFormat="1" ht="11.25">
      <c r="A185" s="96">
        <f t="shared" ca="1" si="4"/>
        <v>174</v>
      </c>
      <c r="B185" s="68" t="s">
        <v>262</v>
      </c>
      <c r="C185" s="97">
        <v>0.4</v>
      </c>
      <c r="D185" s="69" t="s">
        <v>67</v>
      </c>
      <c r="E185" s="137" t="s">
        <v>87</v>
      </c>
      <c r="F185" s="156">
        <v>5.5999999999999995E-4</v>
      </c>
      <c r="G185" s="156">
        <v>6.9999999999999999E-4</v>
      </c>
      <c r="H185" s="156">
        <v>1.1199999999999999E-3</v>
      </c>
      <c r="I185" s="156">
        <v>1.5399999999999999E-3</v>
      </c>
      <c r="J185" s="156" t="s">
        <v>87</v>
      </c>
      <c r="K185" s="156">
        <v>2.3700000000000001E-3</v>
      </c>
      <c r="L185" s="156">
        <v>2.65E-3</v>
      </c>
      <c r="M185" s="156">
        <v>3.0699999999999998E-3</v>
      </c>
      <c r="N185" s="138" cm="1">
        <f t="array" aca="1" ref="N185:AE185" ca="1">IF(OR(B185="",NOT($J$2)),"",GetStripDefaultProbability(A185,B185,Parameter_Date,CDSRollDate,E185:M185,SpreadCurveMaturities,D185,C185,$J$4,$J$6))</f>
        <v>0</v>
      </c>
      <c r="O185" s="163">
        <f ca="1"/>
        <v>5.5856534252274326E-4</v>
      </c>
      <c r="P185" s="163">
        <f ca="1"/>
        <v>1.2866833047004977E-3</v>
      </c>
      <c r="Q185" s="163">
        <f ca="1"/>
        <v>3.9672898452806082E-3</v>
      </c>
      <c r="R185" s="163">
        <f ca="1"/>
        <v>8.1129448072202459E-3</v>
      </c>
      <c r="S185" s="163">
        <f ca="1"/>
        <v>0</v>
      </c>
      <c r="T185" s="163">
        <f ca="1"/>
        <v>2.079731737865087E-2</v>
      </c>
      <c r="U185" s="163">
        <f ca="1"/>
        <v>3.2285294150445565E-2</v>
      </c>
      <c r="V185" s="139">
        <f ca="1"/>
        <v>5.3514130244475711E-2</v>
      </c>
      <c r="W185" s="138">
        <f ca="1"/>
        <v>0</v>
      </c>
      <c r="X185" s="163">
        <f ca="1"/>
        <v>6.5827560380493644E-4</v>
      </c>
      <c r="Y185" s="163">
        <f ca="1"/>
        <v>1.4531216539086511E-3</v>
      </c>
      <c r="Z185" s="163">
        <f ca="1"/>
        <v>4.3177663315344672E-3</v>
      </c>
      <c r="AA185" s="163">
        <f ca="1"/>
        <v>8.6286678275359074E-3</v>
      </c>
      <c r="AB185" s="163">
        <f ca="1"/>
        <v>0</v>
      </c>
      <c r="AC185" s="163">
        <f ca="1"/>
        <v>2.1804154250698926E-2</v>
      </c>
      <c r="AD185" s="163">
        <f ca="1"/>
        <v>3.3853532267608344E-2</v>
      </c>
      <c r="AE185" s="139">
        <f ca="1"/>
        <v>5.6099792791472369E-2</v>
      </c>
      <c r="AH185" s="136"/>
      <c r="AI185" s="136"/>
      <c r="AJ185" s="136"/>
      <c r="AK185" s="136"/>
      <c r="AM185" s="136"/>
      <c r="AN185" s="136"/>
      <c r="AO185" s="136"/>
      <c r="AQ185" s="136"/>
      <c r="AR185" s="136"/>
      <c r="AS185" s="136"/>
      <c r="AT185" s="136"/>
      <c r="AV185" s="136"/>
      <c r="AW185" s="136"/>
      <c r="AX185" s="136"/>
    </row>
    <row r="186" spans="1:50" s="79" customFormat="1" ht="11.25">
      <c r="A186" s="96">
        <f t="shared" ca="1" si="4"/>
        <v>175</v>
      </c>
      <c r="B186" s="68" t="s">
        <v>263</v>
      </c>
      <c r="C186" s="97">
        <v>0.4</v>
      </c>
      <c r="D186" s="69" t="s">
        <v>67</v>
      </c>
      <c r="E186" s="137" t="s">
        <v>87</v>
      </c>
      <c r="F186" s="156" t="s">
        <v>87</v>
      </c>
      <c r="G186" s="156">
        <v>3.5379999999999999E-3</v>
      </c>
      <c r="H186" s="156" t="s">
        <v>87</v>
      </c>
      <c r="I186" s="156">
        <v>6.4209999999999996E-3</v>
      </c>
      <c r="J186" s="156" t="s">
        <v>87</v>
      </c>
      <c r="K186" s="156">
        <v>1.0614999999999999E-2</v>
      </c>
      <c r="L186" s="156">
        <v>1.2324E-2</v>
      </c>
      <c r="M186" s="156">
        <v>1.4395E-2</v>
      </c>
      <c r="N186" s="138" cm="1">
        <f t="array" aca="1" ref="N186:AE186" ca="1">IF(OR(B186="",NOT($J$2)),"",GetStripDefaultProbability(A186,B186,Parameter_Date,CDSRollDate,E186:M186,SpreadCurveMaturities,D186,C186,$J$4,$J$6))</f>
        <v>0</v>
      </c>
      <c r="O186" s="163">
        <f ca="1"/>
        <v>0</v>
      </c>
      <c r="P186" s="163">
        <f ca="1"/>
        <v>6.4686028818313757E-3</v>
      </c>
      <c r="Q186" s="163">
        <f ca="1"/>
        <v>0</v>
      </c>
      <c r="R186" s="163">
        <f ca="1"/>
        <v>3.3233062582516015E-2</v>
      </c>
      <c r="S186" s="163">
        <f ca="1"/>
        <v>0</v>
      </c>
      <c r="T186" s="163">
        <f ca="1"/>
        <v>9.0830394140298476E-2</v>
      </c>
      <c r="U186" s="163">
        <f ca="1"/>
        <v>0.14417835717250271</v>
      </c>
      <c r="V186" s="139">
        <f ca="1"/>
        <v>0.23328744578448413</v>
      </c>
      <c r="W186" s="138">
        <f ca="1"/>
        <v>0</v>
      </c>
      <c r="X186" s="163">
        <f ca="1"/>
        <v>0</v>
      </c>
      <c r="Y186" s="163">
        <f ca="1"/>
        <v>6.7907325490942361E-3</v>
      </c>
      <c r="Z186" s="163">
        <f ca="1"/>
        <v>0</v>
      </c>
      <c r="AA186" s="163">
        <f ca="1"/>
        <v>3.4863366108278449E-2</v>
      </c>
      <c r="AB186" s="163">
        <f ca="1"/>
        <v>0</v>
      </c>
      <c r="AC186" s="163">
        <f ca="1"/>
        <v>9.5216601579933502E-2</v>
      </c>
      <c r="AD186" s="163">
        <f ca="1"/>
        <v>0.15096017746071377</v>
      </c>
      <c r="AE186" s="139">
        <f ca="1"/>
        <v>0.24377436992540136</v>
      </c>
      <c r="AI186" s="136"/>
      <c r="AK186" s="136"/>
      <c r="AM186" s="136"/>
      <c r="AN186" s="136"/>
      <c r="AO186" s="136"/>
      <c r="AR186" s="136"/>
      <c r="AT186" s="136"/>
      <c r="AV186" s="136"/>
      <c r="AW186" s="136"/>
      <c r="AX186" s="136"/>
    </row>
    <row r="187" spans="1:50" s="79" customFormat="1" ht="11.25">
      <c r="A187" s="96">
        <f t="shared" ca="1" si="4"/>
        <v>176</v>
      </c>
      <c r="B187" s="68" t="s">
        <v>264</v>
      </c>
      <c r="C187" s="97">
        <v>0.4</v>
      </c>
      <c r="D187" s="69" t="s">
        <v>67</v>
      </c>
      <c r="E187" s="137" t="s">
        <v>87</v>
      </c>
      <c r="F187" s="156" t="s">
        <v>87</v>
      </c>
      <c r="G187" s="156">
        <v>1.0579999999999999E-3</v>
      </c>
      <c r="H187" s="156" t="s">
        <v>87</v>
      </c>
      <c r="I187" s="156">
        <v>1.954E-3</v>
      </c>
      <c r="J187" s="156" t="s">
        <v>87</v>
      </c>
      <c r="K187" s="156">
        <v>2.6059999999999998E-3</v>
      </c>
      <c r="L187" s="156">
        <v>2.7680000000000001E-3</v>
      </c>
      <c r="M187" s="156">
        <v>3.1749999999999999E-3</v>
      </c>
      <c r="N187" s="138" cm="1">
        <f t="array" aca="1" ref="N187:AE187" ca="1">IF(OR(B187="",NOT($J$2)),"",GetStripDefaultProbability(A187,B187,Parameter_Date,CDSRollDate,E187:M187,SpreadCurveMaturities,D187,C187,$J$4,$J$6))</f>
        <v>0</v>
      </c>
      <c r="O187" s="163">
        <f ca="1"/>
        <v>0</v>
      </c>
      <c r="P187" s="163">
        <f ca="1"/>
        <v>1.9387278043044853E-3</v>
      </c>
      <c r="Q187" s="163">
        <f ca="1"/>
        <v>0</v>
      </c>
      <c r="R187" s="163">
        <f ca="1"/>
        <v>1.0213483788974798E-2</v>
      </c>
      <c r="S187" s="163">
        <f ca="1"/>
        <v>0</v>
      </c>
      <c r="T187" s="163">
        <f ca="1"/>
        <v>2.261931012895535E-2</v>
      </c>
      <c r="U187" s="163">
        <f ca="1"/>
        <v>3.3282853570236637E-2</v>
      </c>
      <c r="V187" s="139">
        <f ca="1"/>
        <v>5.4792051866674907E-2</v>
      </c>
      <c r="W187" s="138">
        <f ca="1"/>
        <v>0</v>
      </c>
      <c r="X187" s="163">
        <f ca="1"/>
        <v>0</v>
      </c>
      <c r="Y187" s="163">
        <f ca="1"/>
        <v>2.1050574884856621E-3</v>
      </c>
      <c r="Z187" s="163">
        <f ca="1"/>
        <v>0</v>
      </c>
      <c r="AA187" s="163">
        <f ca="1"/>
        <v>1.0728206791567163E-2</v>
      </c>
      <c r="AB187" s="163">
        <f ca="1"/>
        <v>0</v>
      </c>
      <c r="AC187" s="163">
        <f ca="1"/>
        <v>2.373161760262843E-2</v>
      </c>
      <c r="AD187" s="163">
        <f ca="1"/>
        <v>3.4914639841531536E-2</v>
      </c>
      <c r="AE187" s="139">
        <f ca="1"/>
        <v>5.7452467765377269E-2</v>
      </c>
      <c r="AI187" s="136"/>
      <c r="AK187" s="136"/>
      <c r="AM187" s="136"/>
      <c r="AN187" s="136"/>
      <c r="AO187" s="136"/>
      <c r="AR187" s="136"/>
      <c r="AT187" s="136"/>
      <c r="AV187" s="136"/>
      <c r="AW187" s="136"/>
      <c r="AX187" s="136"/>
    </row>
    <row r="188" spans="1:50" s="79" customFormat="1" ht="11.25">
      <c r="A188" s="96">
        <f t="shared" ca="1" si="4"/>
        <v>177</v>
      </c>
      <c r="B188" s="68" t="s">
        <v>265</v>
      </c>
      <c r="C188" s="97">
        <v>0.4</v>
      </c>
      <c r="D188" s="69" t="s">
        <v>67</v>
      </c>
      <c r="E188" s="137" t="s">
        <v>87</v>
      </c>
      <c r="F188" s="156" t="s">
        <v>87</v>
      </c>
      <c r="G188" s="156">
        <v>1.206E-3</v>
      </c>
      <c r="H188" s="156" t="s">
        <v>87</v>
      </c>
      <c r="I188" s="156">
        <v>3.0339999999999998E-3</v>
      </c>
      <c r="J188" s="156" t="s">
        <v>87</v>
      </c>
      <c r="K188" s="156">
        <v>4.8250000000000003E-3</v>
      </c>
      <c r="L188" s="156">
        <v>5.8199999999999997E-3</v>
      </c>
      <c r="M188" s="156">
        <v>6.8149999999999999E-3</v>
      </c>
      <c r="N188" s="138" cm="1">
        <f t="array" aca="1" ref="N188:AE188" ca="1">IF(OR(B188="",NOT($J$2)),"",GetStripDefaultProbability(A188,B188,Parameter_Date,CDSRollDate,E188:M188,SpreadCurveMaturities,D188,C188,$J$4,$J$6))</f>
        <v>0</v>
      </c>
      <c r="O188" s="163">
        <f ca="1"/>
        <v>0</v>
      </c>
      <c r="P188" s="163">
        <f ca="1"/>
        <v>2.2096323627830428E-3</v>
      </c>
      <c r="Q188" s="163">
        <f ca="1"/>
        <v>0</v>
      </c>
      <c r="R188" s="163">
        <f ca="1"/>
        <v>1.588426847223201E-2</v>
      </c>
      <c r="S188" s="163">
        <f ca="1"/>
        <v>0</v>
      </c>
      <c r="T188" s="163">
        <f ca="1"/>
        <v>4.2030276079184525E-2</v>
      </c>
      <c r="U188" s="163">
        <f ca="1"/>
        <v>7.0452489579254429E-2</v>
      </c>
      <c r="V188" s="139">
        <f ca="1"/>
        <v>0.11656927102943393</v>
      </c>
      <c r="W188" s="138">
        <f ca="1"/>
        <v>0</v>
      </c>
      <c r="X188" s="163">
        <f ca="1"/>
        <v>0</v>
      </c>
      <c r="Y188" s="163">
        <f ca="1"/>
        <v>2.3759168999586411E-3</v>
      </c>
      <c r="Z188" s="163">
        <f ca="1"/>
        <v>0</v>
      </c>
      <c r="AA188" s="163">
        <f ca="1"/>
        <v>1.6667316832602808E-2</v>
      </c>
      <c r="AB188" s="163">
        <f ca="1"/>
        <v>0</v>
      </c>
      <c r="AC188" s="163">
        <f ca="1"/>
        <v>4.4087357010009431E-2</v>
      </c>
      <c r="AD188" s="163">
        <f ca="1"/>
        <v>7.386526235557489E-2</v>
      </c>
      <c r="AE188" s="139">
        <f ca="1"/>
        <v>0.12211607193939267</v>
      </c>
      <c r="AI188" s="136"/>
      <c r="AK188" s="136"/>
      <c r="AM188" s="136"/>
      <c r="AN188" s="136"/>
      <c r="AO188" s="136"/>
      <c r="AR188" s="136"/>
      <c r="AT188" s="136"/>
      <c r="AV188" s="136"/>
      <c r="AW188" s="136"/>
      <c r="AX188" s="136"/>
    </row>
    <row r="189" spans="1:50" s="79" customFormat="1" ht="11.25">
      <c r="A189" s="96">
        <f t="shared" ca="1" si="4"/>
        <v>178</v>
      </c>
      <c r="B189" s="68" t="s">
        <v>266</v>
      </c>
      <c r="C189" s="97">
        <v>0.4</v>
      </c>
      <c r="D189" s="69" t="s">
        <v>67</v>
      </c>
      <c r="E189" s="137" t="s">
        <v>87</v>
      </c>
      <c r="F189" s="156" t="s">
        <v>87</v>
      </c>
      <c r="G189" s="156">
        <v>2.6489999999999999E-3</v>
      </c>
      <c r="H189" s="156" t="s">
        <v>87</v>
      </c>
      <c r="I189" s="156">
        <v>4.8570000000000002E-3</v>
      </c>
      <c r="J189" s="156" t="s">
        <v>87</v>
      </c>
      <c r="K189" s="156">
        <v>7.2859999999999999E-3</v>
      </c>
      <c r="L189" s="156">
        <v>8.4169999999999991E-3</v>
      </c>
      <c r="M189" s="156">
        <v>9.5029999999999993E-3</v>
      </c>
      <c r="N189" s="138" cm="1">
        <f t="array" aca="1" ref="N189:AE189" ca="1">IF(OR(B189="",NOT($J$2)),"",GetStripDefaultProbability(A189,B189,Parameter_Date,CDSRollDate,E189:M189,SpreadCurveMaturities,D189,C189,$J$4,$J$6))</f>
        <v>0</v>
      </c>
      <c r="O189" s="163">
        <f ca="1"/>
        <v>0</v>
      </c>
      <c r="P189" s="163">
        <f ca="1"/>
        <v>4.8471351642963567E-3</v>
      </c>
      <c r="Q189" s="163">
        <f ca="1"/>
        <v>0</v>
      </c>
      <c r="R189" s="163">
        <f ca="1"/>
        <v>2.5226936819930934E-2</v>
      </c>
      <c r="S189" s="163">
        <f ca="1"/>
        <v>0</v>
      </c>
      <c r="T189" s="163">
        <f ca="1"/>
        <v>6.2681662522351189E-2</v>
      </c>
      <c r="U189" s="163">
        <f ca="1"/>
        <v>9.9887774436762111E-2</v>
      </c>
      <c r="V189" s="139">
        <f ca="1"/>
        <v>0.15773984308094402</v>
      </c>
      <c r="W189" s="138">
        <f ca="1"/>
        <v>0</v>
      </c>
      <c r="X189" s="163">
        <f ca="1"/>
        <v>0</v>
      </c>
      <c r="Y189" s="163">
        <f ca="1"/>
        <v>5.0887658861680229E-3</v>
      </c>
      <c r="Z189" s="163">
        <f ca="1"/>
        <v>0</v>
      </c>
      <c r="AA189" s="163">
        <f ca="1"/>
        <v>2.6470466780224911E-2</v>
      </c>
      <c r="AB189" s="163">
        <f ca="1"/>
        <v>0</v>
      </c>
      <c r="AC189" s="163">
        <f ca="1"/>
        <v>6.5723169352059463E-2</v>
      </c>
      <c r="AD189" s="163">
        <f ca="1"/>
        <v>0.10466000582974344</v>
      </c>
      <c r="AE189" s="139">
        <f ca="1"/>
        <v>0.16508614107725839</v>
      </c>
      <c r="AI189" s="136"/>
      <c r="AK189" s="136"/>
      <c r="AM189" s="136"/>
      <c r="AN189" s="136"/>
      <c r="AO189" s="136"/>
      <c r="AR189" s="136"/>
      <c r="AT189" s="136"/>
      <c r="AV189" s="136"/>
      <c r="AW189" s="136"/>
      <c r="AX189" s="136"/>
    </row>
    <row r="190" spans="1:50" s="79" customFormat="1" ht="11.25">
      <c r="A190" s="96">
        <f t="shared" ca="1" si="4"/>
        <v>179</v>
      </c>
      <c r="B190" s="68" t="s">
        <v>267</v>
      </c>
      <c r="C190" s="97">
        <v>0.4</v>
      </c>
      <c r="D190" s="69" t="s">
        <v>67</v>
      </c>
      <c r="E190" s="137" t="s">
        <v>87</v>
      </c>
      <c r="F190" s="156" t="s">
        <v>87</v>
      </c>
      <c r="G190" s="156">
        <v>1.451E-3</v>
      </c>
      <c r="H190" s="156" t="s">
        <v>87</v>
      </c>
      <c r="I190" s="156">
        <v>4.3909999999999999E-3</v>
      </c>
      <c r="J190" s="156" t="s">
        <v>87</v>
      </c>
      <c r="K190" s="156">
        <v>6.803E-3</v>
      </c>
      <c r="L190" s="156">
        <v>8.1539999999999998E-3</v>
      </c>
      <c r="M190" s="156">
        <v>9.9399999999999992E-3</v>
      </c>
      <c r="N190" s="138" cm="1">
        <f t="array" aca="1" ref="N190:AE190" ca="1">IF(OR(B190="",NOT($J$2)),"",GetStripDefaultProbability(A190,B190,Parameter_Date,CDSRollDate,E190:M190,SpreadCurveMaturities,D190,C190,$J$4,$J$6))</f>
        <v>0</v>
      </c>
      <c r="O190" s="163">
        <f ca="1"/>
        <v>0</v>
      </c>
      <c r="P190" s="163">
        <f ca="1"/>
        <v>2.6579289911992099E-3</v>
      </c>
      <c r="Q190" s="163">
        <f ca="1"/>
        <v>0</v>
      </c>
      <c r="R190" s="163">
        <f ca="1"/>
        <v>2.2970001968006359E-2</v>
      </c>
      <c r="S190" s="163">
        <f ca="1"/>
        <v>0</v>
      </c>
      <c r="T190" s="163">
        <f ca="1"/>
        <v>5.8869352040091472E-2</v>
      </c>
      <c r="U190" s="163">
        <f ca="1"/>
        <v>9.7573183184009871E-2</v>
      </c>
      <c r="V190" s="139">
        <f ca="1"/>
        <v>0.16762419389660754</v>
      </c>
      <c r="W190" s="138">
        <f ca="1"/>
        <v>0</v>
      </c>
      <c r="X190" s="163">
        <f ca="1"/>
        <v>0</v>
      </c>
      <c r="Y190" s="163">
        <f ca="1"/>
        <v>2.8241388184757632E-3</v>
      </c>
      <c r="Z190" s="163">
        <f ca="1"/>
        <v>0</v>
      </c>
      <c r="AA190" s="163">
        <f ca="1"/>
        <v>2.4101514137066626E-2</v>
      </c>
      <c r="AB190" s="163">
        <f ca="1"/>
        <v>0</v>
      </c>
      <c r="AC190" s="163">
        <f ca="1"/>
        <v>6.1730834167843862E-2</v>
      </c>
      <c r="AD190" s="163">
        <f ca="1"/>
        <v>0.10224378056466465</v>
      </c>
      <c r="AE190" s="139">
        <f ca="1"/>
        <v>0.17543772546170255</v>
      </c>
      <c r="AI190" s="136"/>
      <c r="AK190" s="136"/>
      <c r="AM190" s="136"/>
      <c r="AN190" s="136"/>
      <c r="AO190" s="136"/>
      <c r="AR190" s="136"/>
      <c r="AT190" s="136"/>
      <c r="AV190" s="136"/>
      <c r="AW190" s="136"/>
      <c r="AX190" s="136"/>
    </row>
    <row r="191" spans="1:50" s="79" customFormat="1" ht="11.25">
      <c r="A191" s="96">
        <f t="shared" ca="1" si="4"/>
        <v>180</v>
      </c>
      <c r="B191" s="68" t="s">
        <v>268</v>
      </c>
      <c r="C191" s="97">
        <v>0.4</v>
      </c>
      <c r="D191" s="69" t="s">
        <v>67</v>
      </c>
      <c r="E191" s="137" t="s">
        <v>87</v>
      </c>
      <c r="F191" s="156" t="s">
        <v>87</v>
      </c>
      <c r="G191" s="156">
        <v>1.689E-3</v>
      </c>
      <c r="H191" s="156" t="s">
        <v>87</v>
      </c>
      <c r="I191" s="156">
        <v>2.6540000000000001E-3</v>
      </c>
      <c r="J191" s="156" t="s">
        <v>87</v>
      </c>
      <c r="K191" s="156">
        <v>3.2810000000000001E-3</v>
      </c>
      <c r="L191" s="156">
        <v>3.3289999999999999E-3</v>
      </c>
      <c r="M191" s="156">
        <v>3.4740000000000001E-3</v>
      </c>
      <c r="N191" s="138" cm="1">
        <f t="array" aca="1" ref="N191:AE191" ca="1">IF(OR(B191="",NOT($J$2)),"",GetStripDefaultProbability(A191,B191,Parameter_Date,CDSRollDate,E191:M191,SpreadCurveMaturities,D191,C191,$J$4,$J$6))</f>
        <v>0</v>
      </c>
      <c r="O191" s="163">
        <f ca="1"/>
        <v>0</v>
      </c>
      <c r="P191" s="163">
        <f ca="1"/>
        <v>3.0932259423276376E-3</v>
      </c>
      <c r="Q191" s="163">
        <f ca="1"/>
        <v>0</v>
      </c>
      <c r="R191" s="163">
        <f ca="1"/>
        <v>1.3815979933588185E-2</v>
      </c>
      <c r="S191" s="163">
        <f ca="1"/>
        <v>0</v>
      </c>
      <c r="T191" s="163">
        <f ca="1"/>
        <v>2.8249315555982535E-2</v>
      </c>
      <c r="U191" s="163">
        <f ca="1"/>
        <v>3.9522449906273405E-2</v>
      </c>
      <c r="V191" s="139">
        <f ca="1"/>
        <v>5.8379707271212E-2</v>
      </c>
      <c r="W191" s="138">
        <f ca="1"/>
        <v>0</v>
      </c>
      <c r="X191" s="163">
        <f ca="1"/>
        <v>0</v>
      </c>
      <c r="Y191" s="163">
        <f ca="1"/>
        <v>3.259363226178924E-3</v>
      </c>
      <c r="Z191" s="163">
        <f ca="1"/>
        <v>0</v>
      </c>
      <c r="AA191" s="163">
        <f ca="1"/>
        <v>1.4500543557655954E-2</v>
      </c>
      <c r="AB191" s="163">
        <f ca="1"/>
        <v>0</v>
      </c>
      <c r="AC191" s="163">
        <f ca="1"/>
        <v>2.9641394331980875E-2</v>
      </c>
      <c r="AD191" s="163">
        <f ca="1"/>
        <v>4.1459312024912931E-2</v>
      </c>
      <c r="AE191" s="139">
        <f ca="1"/>
        <v>6.1209290313466558E-2</v>
      </c>
      <c r="AI191" s="136"/>
      <c r="AK191" s="136"/>
      <c r="AM191" s="136"/>
      <c r="AN191" s="136"/>
      <c r="AO191" s="136"/>
      <c r="AR191" s="136"/>
      <c r="AT191" s="136"/>
      <c r="AV191" s="136"/>
      <c r="AW191" s="136"/>
      <c r="AX191" s="136"/>
    </row>
    <row r="192" spans="1:50" s="79" customFormat="1" ht="11.25">
      <c r="A192" s="96">
        <f t="shared" ca="1" si="4"/>
        <v>181</v>
      </c>
      <c r="B192" s="68" t="s">
        <v>269</v>
      </c>
      <c r="C192" s="97">
        <v>0.4</v>
      </c>
      <c r="D192" s="69" t="s">
        <v>67</v>
      </c>
      <c r="E192" s="137" t="s">
        <v>87</v>
      </c>
      <c r="F192" s="156" t="s">
        <v>87</v>
      </c>
      <c r="G192" s="156">
        <v>5.1599999999999997E-4</v>
      </c>
      <c r="H192" s="156" t="s">
        <v>87</v>
      </c>
      <c r="I192" s="156">
        <v>1.9E-3</v>
      </c>
      <c r="J192" s="156" t="s">
        <v>87</v>
      </c>
      <c r="K192" s="156">
        <v>2.7499999999999998E-3</v>
      </c>
      <c r="L192" s="156">
        <v>3.5500000000000002E-3</v>
      </c>
      <c r="M192" s="156">
        <v>4.5999999999999999E-3</v>
      </c>
      <c r="N192" s="138" cm="1">
        <f t="array" aca="1" ref="N192:AE192" ca="1">IF(OR(B192="",NOT($J$2)),"",GetStripDefaultProbability(A192,B192,Parameter_Date,CDSRollDate,E192:M192,SpreadCurveMaturities,D192,C192,$J$4,$J$6))</f>
        <v>0</v>
      </c>
      <c r="O192" s="163">
        <f ca="1"/>
        <v>0</v>
      </c>
      <c r="P192" s="163">
        <f ca="1"/>
        <v>9.4600845585657289E-4</v>
      </c>
      <c r="Q192" s="163">
        <f ca="1"/>
        <v>0</v>
      </c>
      <c r="R192" s="163">
        <f ca="1"/>
        <v>1.0002995922451019E-2</v>
      </c>
      <c r="S192" s="163">
        <f ca="1"/>
        <v>0</v>
      </c>
      <c r="T192" s="163">
        <f ca="1"/>
        <v>2.403451236598797E-2</v>
      </c>
      <c r="U192" s="163">
        <f ca="1"/>
        <v>4.3627290432933674E-2</v>
      </c>
      <c r="V192" s="139">
        <f ca="1"/>
        <v>8.136866321805003E-2</v>
      </c>
      <c r="W192" s="138">
        <f ca="1"/>
        <v>0</v>
      </c>
      <c r="X192" s="163">
        <f ca="1"/>
        <v>0</v>
      </c>
      <c r="Y192" s="163">
        <f ca="1"/>
        <v>1.1125035794568028E-3</v>
      </c>
      <c r="Z192" s="163">
        <f ca="1"/>
        <v>0</v>
      </c>
      <c r="AA192" s="163">
        <f ca="1"/>
        <v>1.0517966932754308E-2</v>
      </c>
      <c r="AB192" s="163">
        <f ca="1"/>
        <v>0</v>
      </c>
      <c r="AC192" s="163">
        <f ca="1"/>
        <v>2.5211288993200465E-2</v>
      </c>
      <c r="AD192" s="163">
        <f ca="1"/>
        <v>4.5757046810396829E-2</v>
      </c>
      <c r="AE192" s="139">
        <f ca="1"/>
        <v>8.5278497595269509E-2</v>
      </c>
      <c r="AI192" s="136"/>
      <c r="AK192" s="136"/>
      <c r="AM192" s="136"/>
      <c r="AN192" s="136"/>
      <c r="AO192" s="136"/>
      <c r="AR192" s="136"/>
      <c r="AT192" s="136"/>
      <c r="AV192" s="136"/>
      <c r="AW192" s="136"/>
      <c r="AX192" s="136"/>
    </row>
    <row r="193" spans="1:50" s="79" customFormat="1" ht="11.25">
      <c r="A193" s="96">
        <f t="shared" ca="1" si="4"/>
        <v>182</v>
      </c>
      <c r="B193" s="68" t="s">
        <v>270</v>
      </c>
      <c r="C193" s="97">
        <v>0.4</v>
      </c>
      <c r="D193" s="69" t="s">
        <v>67</v>
      </c>
      <c r="E193" s="137" t="s">
        <v>87</v>
      </c>
      <c r="F193" s="156" t="s">
        <v>87</v>
      </c>
      <c r="G193" s="156">
        <v>4.7899999999999999E-4</v>
      </c>
      <c r="H193" s="156" t="s">
        <v>87</v>
      </c>
      <c r="I193" s="156">
        <v>1.351E-3</v>
      </c>
      <c r="J193" s="156" t="s">
        <v>87</v>
      </c>
      <c r="K193" s="156">
        <v>2.075E-3</v>
      </c>
      <c r="L193" s="156">
        <v>2.895E-3</v>
      </c>
      <c r="M193" s="156">
        <v>3.9569999999999996E-3</v>
      </c>
      <c r="N193" s="138" cm="1">
        <f t="array" aca="1" ref="N193:AE193" ca="1">IF(OR(B193="",NOT($J$2)),"",GetStripDefaultProbability(A193,B193,Parameter_Date,CDSRollDate,E193:M193,SpreadCurveMaturities,D193,C193,$J$4,$J$6))</f>
        <v>0</v>
      </c>
      <c r="O193" s="163">
        <f ca="1"/>
        <v>0</v>
      </c>
      <c r="P193" s="163">
        <f ca="1"/>
        <v>8.7820408470851152E-4</v>
      </c>
      <c r="Q193" s="163">
        <f ca="1"/>
        <v>0</v>
      </c>
      <c r="R193" s="163">
        <f ca="1"/>
        <v>7.1049193002542532E-3</v>
      </c>
      <c r="S193" s="163">
        <f ca="1"/>
        <v>0</v>
      </c>
      <c r="T193" s="163">
        <f ca="1"/>
        <v>1.8208043995716849E-2</v>
      </c>
      <c r="U193" s="163">
        <f ca="1"/>
        <v>3.596364636230398E-2</v>
      </c>
      <c r="V193" s="139">
        <f ca="1"/>
        <v>7.1081632378296011E-2</v>
      </c>
      <c r="W193" s="138">
        <f ca="1"/>
        <v>0</v>
      </c>
      <c r="X193" s="163">
        <f ca="1"/>
        <v>0</v>
      </c>
      <c r="Y193" s="163">
        <f ca="1"/>
        <v>1.0447105080978458E-3</v>
      </c>
      <c r="Z193" s="163">
        <f ca="1"/>
        <v>0</v>
      </c>
      <c r="AA193" s="163">
        <f ca="1"/>
        <v>7.6214616049944395E-3</v>
      </c>
      <c r="AB193" s="163">
        <f ca="1"/>
        <v>0</v>
      </c>
      <c r="AC193" s="163">
        <f ca="1"/>
        <v>1.9083622807400835E-2</v>
      </c>
      <c r="AD193" s="163">
        <f ca="1"/>
        <v>3.7708030205148568E-2</v>
      </c>
      <c r="AE193" s="139">
        <f ca="1"/>
        <v>7.4499418763111058E-2</v>
      </c>
      <c r="AI193" s="136"/>
      <c r="AK193" s="136"/>
      <c r="AM193" s="136"/>
      <c r="AN193" s="136"/>
      <c r="AO193" s="136"/>
      <c r="AR193" s="136"/>
      <c r="AT193" s="136"/>
      <c r="AV193" s="136"/>
      <c r="AW193" s="136"/>
      <c r="AX193" s="136"/>
    </row>
    <row r="194" spans="1:50" s="79" customFormat="1" ht="11.25">
      <c r="A194" s="96">
        <f t="shared" ca="1" si="4"/>
        <v>183</v>
      </c>
      <c r="B194" s="68" t="s">
        <v>271</v>
      </c>
      <c r="C194" s="97">
        <v>0.4</v>
      </c>
      <c r="D194" s="69" t="s">
        <v>67</v>
      </c>
      <c r="E194" s="137" t="s">
        <v>87</v>
      </c>
      <c r="F194" s="156" t="s">
        <v>87</v>
      </c>
      <c r="G194" s="156">
        <v>4.7899999999999999E-4</v>
      </c>
      <c r="H194" s="156" t="s">
        <v>87</v>
      </c>
      <c r="I194" s="156">
        <v>1.433E-3</v>
      </c>
      <c r="J194" s="156" t="s">
        <v>87</v>
      </c>
      <c r="K194" s="156">
        <v>2.075E-3</v>
      </c>
      <c r="L194" s="156">
        <v>2.7659999999999998E-3</v>
      </c>
      <c r="M194" s="156">
        <v>3.5569999999999998E-3</v>
      </c>
      <c r="N194" s="138" cm="1">
        <f t="array" aca="1" ref="N194:AE194" ca="1">IF(OR(B194="",NOT($J$2)),"",GetStripDefaultProbability(A194,B194,Parameter_Date,CDSRollDate,E194:M194,SpreadCurveMaturities,D194,C194,$J$4,$J$6))</f>
        <v>0</v>
      </c>
      <c r="O194" s="163">
        <f ca="1"/>
        <v>0</v>
      </c>
      <c r="P194" s="163">
        <f ca="1"/>
        <v>8.7820408470851152E-4</v>
      </c>
      <c r="Q194" s="163">
        <f ca="1"/>
        <v>0</v>
      </c>
      <c r="R194" s="163">
        <f ca="1"/>
        <v>7.5388786156446175E-3</v>
      </c>
      <c r="S194" s="163">
        <f ca="1"/>
        <v>0</v>
      </c>
      <c r="T194" s="163">
        <f ca="1"/>
        <v>1.8162015046639501E-2</v>
      </c>
      <c r="U194" s="163">
        <f ca="1"/>
        <v>3.4197121392785745E-2</v>
      </c>
      <c r="V194" s="139">
        <f ca="1"/>
        <v>6.3348161892364252E-2</v>
      </c>
      <c r="W194" s="138">
        <f ca="1"/>
        <v>0</v>
      </c>
      <c r="X194" s="163">
        <f ca="1"/>
        <v>0</v>
      </c>
      <c r="Y194" s="163">
        <f ca="1"/>
        <v>1.0447105080978458E-3</v>
      </c>
      <c r="Z194" s="163">
        <f ca="1"/>
        <v>0</v>
      </c>
      <c r="AA194" s="163">
        <f ca="1"/>
        <v>8.0551961575184849E-3</v>
      </c>
      <c r="AB194" s="163">
        <f ca="1"/>
        <v>0</v>
      </c>
      <c r="AC194" s="163">
        <f ca="1"/>
        <v>1.9037560310824153E-2</v>
      </c>
      <c r="AD194" s="163">
        <f ca="1"/>
        <v>3.5857535851931854E-2</v>
      </c>
      <c r="AE194" s="139">
        <f ca="1"/>
        <v>6.6402418914428996E-2</v>
      </c>
      <c r="AI194" s="136"/>
      <c r="AK194" s="136"/>
      <c r="AM194" s="136"/>
      <c r="AN194" s="136"/>
      <c r="AO194" s="136"/>
      <c r="AR194" s="136"/>
      <c r="AT194" s="136"/>
      <c r="AV194" s="136"/>
      <c r="AW194" s="136"/>
      <c r="AX194" s="136"/>
    </row>
    <row r="195" spans="1:50" s="79" customFormat="1" ht="11.25">
      <c r="A195" s="96">
        <f t="shared" ca="1" si="4"/>
        <v>184</v>
      </c>
      <c r="B195" s="68" t="s">
        <v>272</v>
      </c>
      <c r="C195" s="97">
        <v>0.4</v>
      </c>
      <c r="D195" s="69" t="s">
        <v>67</v>
      </c>
      <c r="E195" s="137" t="s">
        <v>87</v>
      </c>
      <c r="F195" s="156" t="s">
        <v>87</v>
      </c>
      <c r="G195" s="156">
        <v>8.5499999999999997E-4</v>
      </c>
      <c r="H195" s="156" t="s">
        <v>87</v>
      </c>
      <c r="I195" s="156">
        <v>1.8420000000000001E-3</v>
      </c>
      <c r="J195" s="156" t="s">
        <v>87</v>
      </c>
      <c r="K195" s="156">
        <v>2.895E-3</v>
      </c>
      <c r="L195" s="156">
        <v>3.1580000000000002E-3</v>
      </c>
      <c r="M195" s="156">
        <v>3.79E-3</v>
      </c>
      <c r="N195" s="138" cm="1">
        <f t="array" aca="1" ref="N195:AE195" ca="1">IF(OR(B195="",NOT($J$2)),"",GetStripDefaultProbability(A195,B195,Parameter_Date,CDSRollDate,E195:M195,SpreadCurveMaturities,D195,C195,$J$4,$J$6))</f>
        <v>0</v>
      </c>
      <c r="O195" s="163">
        <f ca="1"/>
        <v>0</v>
      </c>
      <c r="P195" s="163">
        <f ca="1"/>
        <v>1.5670306075583618E-3</v>
      </c>
      <c r="Q195" s="163">
        <f ca="1"/>
        <v>0</v>
      </c>
      <c r="R195" s="163">
        <f ca="1"/>
        <v>9.6499427483474065E-3</v>
      </c>
      <c r="S195" s="163">
        <f ca="1"/>
        <v>0</v>
      </c>
      <c r="T195" s="163">
        <f ca="1"/>
        <v>2.5337062553082212E-2</v>
      </c>
      <c r="U195" s="163">
        <f ca="1"/>
        <v>3.825147768156989E-2</v>
      </c>
      <c r="V195" s="139">
        <f ca="1"/>
        <v>6.599418365097709E-2</v>
      </c>
      <c r="W195" s="138">
        <f ca="1"/>
        <v>0</v>
      </c>
      <c r="X195" s="163">
        <f ca="1"/>
        <v>0</v>
      </c>
      <c r="Y195" s="163">
        <f ca="1"/>
        <v>1.7334222361062857E-3</v>
      </c>
      <c r="Z195" s="163">
        <f ca="1"/>
        <v>0</v>
      </c>
      <c r="AA195" s="163">
        <f ca="1"/>
        <v>1.0165026861755244E-2</v>
      </c>
      <c r="AB195" s="163">
        <f ca="1"/>
        <v>0</v>
      </c>
      <c r="AC195" s="163">
        <f ca="1"/>
        <v>2.6578140895131441E-2</v>
      </c>
      <c r="AD195" s="163">
        <f ca="1"/>
        <v>4.0120526971095916E-2</v>
      </c>
      <c r="AE195" s="139">
        <f ca="1"/>
        <v>6.9180962175744543E-2</v>
      </c>
      <c r="AI195" s="136"/>
      <c r="AK195" s="136"/>
      <c r="AM195" s="136"/>
      <c r="AN195" s="136"/>
      <c r="AO195" s="136"/>
      <c r="AR195" s="136"/>
      <c r="AT195" s="136"/>
      <c r="AV195" s="136"/>
      <c r="AW195" s="136"/>
      <c r="AX195" s="136"/>
    </row>
    <row r="196" spans="1:50" s="79" customFormat="1" ht="11.25">
      <c r="A196" s="96">
        <f t="shared" ca="1" si="4"/>
        <v>185</v>
      </c>
      <c r="B196" s="68" t="s">
        <v>273</v>
      </c>
      <c r="C196" s="97">
        <v>0.4</v>
      </c>
      <c r="D196" s="69" t="s">
        <v>67</v>
      </c>
      <c r="E196" s="137" t="s">
        <v>87</v>
      </c>
      <c r="F196" s="156" t="s">
        <v>87</v>
      </c>
      <c r="G196" s="156">
        <v>4.15E-4</v>
      </c>
      <c r="H196" s="156" t="s">
        <v>87</v>
      </c>
      <c r="I196" s="156">
        <v>1.5920000000000001E-3</v>
      </c>
      <c r="J196" s="156" t="s">
        <v>87</v>
      </c>
      <c r="K196" s="156">
        <v>2.075E-3</v>
      </c>
      <c r="L196" s="156">
        <v>2.7499999999999998E-3</v>
      </c>
      <c r="M196" s="156">
        <v>3.522E-3</v>
      </c>
      <c r="N196" s="138" cm="1">
        <f t="array" aca="1" ref="N196:AE196" ca="1">IF(OR(B196="",NOT($J$2)),"",GetStripDefaultProbability(A196,B196,Parameter_Date,CDSRollDate,E196:M196,SpreadCurveMaturities,D196,C196,$J$4,$J$6))</f>
        <v>0</v>
      </c>
      <c r="O196" s="163">
        <f ca="1"/>
        <v>0</v>
      </c>
      <c r="P196" s="163">
        <f ca="1"/>
        <v>7.6091006788447935E-4</v>
      </c>
      <c r="Q196" s="163">
        <f ca="1"/>
        <v>0</v>
      </c>
      <c r="R196" s="163">
        <f ca="1"/>
        <v>8.3887284071818558E-3</v>
      </c>
      <c r="S196" s="163">
        <f ca="1"/>
        <v>0</v>
      </c>
      <c r="T196" s="163">
        <f ca="1"/>
        <v>1.8081601196516583E-2</v>
      </c>
      <c r="U196" s="163">
        <f ca="1"/>
        <v>3.3902373615057546E-2</v>
      </c>
      <c r="V196" s="139">
        <f ca="1"/>
        <v>6.2602246559473662E-2</v>
      </c>
      <c r="W196" s="138">
        <f ca="1"/>
        <v>0</v>
      </c>
      <c r="X196" s="163">
        <f ca="1"/>
        <v>0</v>
      </c>
      <c r="Y196" s="163">
        <f ca="1"/>
        <v>9.274360386504199E-4</v>
      </c>
      <c r="Z196" s="163">
        <f ca="1"/>
        <v>0</v>
      </c>
      <c r="AA196" s="163">
        <f ca="1"/>
        <v>8.9046141058231054E-3</v>
      </c>
      <c r="AB196" s="163">
        <f ca="1"/>
        <v>0</v>
      </c>
      <c r="AC196" s="163">
        <f ca="1"/>
        <v>1.8957098076461731E-2</v>
      </c>
      <c r="AD196" s="163">
        <f ca="1"/>
        <v>3.5552097812297956E-2</v>
      </c>
      <c r="AE196" s="139">
        <f ca="1"/>
        <v>6.5624684975378211E-2</v>
      </c>
      <c r="AI196" s="136"/>
      <c r="AK196" s="136"/>
      <c r="AM196" s="136"/>
      <c r="AN196" s="136"/>
      <c r="AO196" s="136"/>
      <c r="AR196" s="136"/>
      <c r="AT196" s="136"/>
      <c r="AV196" s="136"/>
      <c r="AW196" s="136"/>
      <c r="AX196" s="136"/>
    </row>
    <row r="197" spans="1:50" s="79" customFormat="1" ht="11.25">
      <c r="A197" s="96">
        <f t="shared" ca="1" si="4"/>
        <v>186</v>
      </c>
      <c r="B197" s="68" t="s">
        <v>274</v>
      </c>
      <c r="C197" s="97">
        <v>0.4</v>
      </c>
      <c r="D197" s="69" t="s">
        <v>67</v>
      </c>
      <c r="E197" s="137" t="s">
        <v>87</v>
      </c>
      <c r="F197" s="156" t="s">
        <v>87</v>
      </c>
      <c r="G197" s="156">
        <v>2.2030000000000001E-3</v>
      </c>
      <c r="H197" s="156" t="s">
        <v>87</v>
      </c>
      <c r="I197" s="156">
        <v>3.8249999999999998E-3</v>
      </c>
      <c r="J197" s="156" t="s">
        <v>87</v>
      </c>
      <c r="K197" s="156">
        <v>5.2589999999999998E-3</v>
      </c>
      <c r="L197" s="156">
        <v>6.0720000000000001E-3</v>
      </c>
      <c r="M197" s="156">
        <v>7.2199999999999999E-3</v>
      </c>
      <c r="N197" s="138" cm="1">
        <f t="array" aca="1" ref="N197:AE197" ca="1">IF(OR(B197="",NOT($J$2)),"",GetStripDefaultProbability(A197,B197,Parameter_Date,CDSRollDate,E197:M197,SpreadCurveMaturities,D197,C197,$J$4,$J$6))</f>
        <v>0</v>
      </c>
      <c r="O197" s="163">
        <f ca="1"/>
        <v>0</v>
      </c>
      <c r="P197" s="163">
        <f ca="1"/>
        <v>4.0326787116018448E-3</v>
      </c>
      <c r="Q197" s="163">
        <f ca="1"/>
        <v>0</v>
      </c>
      <c r="R197" s="163">
        <f ca="1"/>
        <v>1.9893723608990665E-2</v>
      </c>
      <c r="S197" s="163">
        <f ca="1"/>
        <v>0</v>
      </c>
      <c r="T197" s="163">
        <f ca="1"/>
        <v>4.5298280370642208E-2</v>
      </c>
      <c r="U197" s="163">
        <f ca="1"/>
        <v>7.2612488818158627E-2</v>
      </c>
      <c r="V197" s="139">
        <f ca="1"/>
        <v>0.12268468447374814</v>
      </c>
      <c r="W197" s="138">
        <f ca="1"/>
        <v>0</v>
      </c>
      <c r="X197" s="163">
        <f ca="1"/>
        <v>0</v>
      </c>
      <c r="Y197" s="163">
        <f ca="1"/>
        <v>4.2338116678425353E-3</v>
      </c>
      <c r="Z197" s="163">
        <f ca="1"/>
        <v>0</v>
      </c>
      <c r="AA197" s="163">
        <f ca="1"/>
        <v>2.087737222187902E-2</v>
      </c>
      <c r="AB197" s="163">
        <f ca="1"/>
        <v>0</v>
      </c>
      <c r="AC197" s="163">
        <f ca="1"/>
        <v>4.7514394265002702E-2</v>
      </c>
      <c r="AD197" s="163">
        <f ca="1"/>
        <v>7.6124446857418149E-2</v>
      </c>
      <c r="AE197" s="139">
        <f ca="1"/>
        <v>0.12850544101089179</v>
      </c>
      <c r="AI197" s="136"/>
      <c r="AK197" s="136"/>
      <c r="AM197" s="136"/>
      <c r="AN197" s="136"/>
      <c r="AO197" s="136"/>
      <c r="AR197" s="136"/>
      <c r="AT197" s="136"/>
      <c r="AV197" s="136"/>
      <c r="AW197" s="136"/>
      <c r="AX197" s="136"/>
    </row>
    <row r="198" spans="1:50" s="79" customFormat="1" ht="11.25">
      <c r="A198" s="96">
        <f t="shared" ca="1" si="4"/>
        <v>187</v>
      </c>
      <c r="B198" s="68" t="s">
        <v>275</v>
      </c>
      <c r="C198" s="97">
        <v>0.4</v>
      </c>
      <c r="D198" s="69" t="s">
        <v>67</v>
      </c>
      <c r="E198" s="137" t="s">
        <v>87</v>
      </c>
      <c r="F198" s="156" t="s">
        <v>87</v>
      </c>
      <c r="G198" s="156">
        <v>4.8999999999999998E-4</v>
      </c>
      <c r="H198" s="156" t="s">
        <v>87</v>
      </c>
      <c r="I198" s="156">
        <v>1.544E-3</v>
      </c>
      <c r="J198" s="156" t="s">
        <v>87</v>
      </c>
      <c r="K198" s="156">
        <v>2.1229999999999999E-3</v>
      </c>
      <c r="L198" s="156">
        <v>2.7989999999999998E-3</v>
      </c>
      <c r="M198" s="156">
        <v>3.6670000000000001E-3</v>
      </c>
      <c r="N198" s="138" cm="1">
        <f t="array" aca="1" ref="N198:AE198" ca="1">IF(OR(B198="",NOT($J$2)),"",GetStripDefaultProbability(A198,B198,Parameter_Date,CDSRollDate,E198:M198,SpreadCurveMaturities,D198,C198,$J$4,$J$6))</f>
        <v>0</v>
      </c>
      <c r="O198" s="163">
        <f ca="1"/>
        <v>0</v>
      </c>
      <c r="P198" s="163">
        <f ca="1"/>
        <v>8.9836261792797245E-4</v>
      </c>
      <c r="Q198" s="163">
        <f ca="1"/>
        <v>0</v>
      </c>
      <c r="R198" s="163">
        <f ca="1"/>
        <v>8.1246270795388709E-3</v>
      </c>
      <c r="S198" s="163">
        <f ca="1"/>
        <v>0</v>
      </c>
      <c r="T198" s="163">
        <f ca="1"/>
        <v>1.8535555698578565E-2</v>
      </c>
      <c r="U198" s="163">
        <f ca="1"/>
        <v>3.452128474859939E-2</v>
      </c>
      <c r="V198" s="139">
        <f ca="1"/>
        <v>6.5351980606389581E-2</v>
      </c>
      <c r="W198" s="138">
        <f ca="1"/>
        <v>0</v>
      </c>
      <c r="X198" s="163">
        <f ca="1"/>
        <v>0</v>
      </c>
      <c r="Y198" s="163">
        <f ca="1"/>
        <v>1.0648656818530444E-3</v>
      </c>
      <c r="Z198" s="163">
        <f ca="1"/>
        <v>0</v>
      </c>
      <c r="AA198" s="163">
        <f ca="1"/>
        <v>8.6406329866393072E-3</v>
      </c>
      <c r="AB198" s="163">
        <f ca="1"/>
        <v>0</v>
      </c>
      <c r="AC198" s="163">
        <f ca="1"/>
        <v>1.9432555414942598E-2</v>
      </c>
      <c r="AD198" s="163">
        <f ca="1"/>
        <v>3.6200349585280511E-2</v>
      </c>
      <c r="AE198" s="139">
        <f ca="1"/>
        <v>6.8503685706760908E-2</v>
      </c>
      <c r="AI198" s="136"/>
      <c r="AK198" s="136"/>
      <c r="AM198" s="136"/>
      <c r="AN198" s="136"/>
      <c r="AO198" s="136"/>
      <c r="AR198" s="136"/>
      <c r="AT198" s="136"/>
      <c r="AV198" s="136"/>
      <c r="AW198" s="136"/>
      <c r="AX198" s="136"/>
    </row>
    <row r="199" spans="1:50" s="79" customFormat="1" ht="11.25">
      <c r="A199" s="96">
        <f t="shared" ca="1" si="4"/>
        <v>188</v>
      </c>
      <c r="B199" s="68" t="s">
        <v>276</v>
      </c>
      <c r="C199" s="97">
        <v>0.4</v>
      </c>
      <c r="D199" s="69" t="s">
        <v>67</v>
      </c>
      <c r="E199" s="137" t="s">
        <v>87</v>
      </c>
      <c r="F199" s="156" t="s">
        <v>87</v>
      </c>
      <c r="G199" s="156">
        <v>8.1499999999999997E-4</v>
      </c>
      <c r="H199" s="156" t="s">
        <v>87</v>
      </c>
      <c r="I199" s="156">
        <v>1.572E-3</v>
      </c>
      <c r="J199" s="156" t="s">
        <v>87</v>
      </c>
      <c r="K199" s="156">
        <v>1.9780000000000002E-3</v>
      </c>
      <c r="L199" s="156">
        <v>2.5869999999999999E-3</v>
      </c>
      <c r="M199" s="156">
        <v>3.297E-3</v>
      </c>
      <c r="N199" s="138" cm="1">
        <f t="array" aca="1" ref="N199:AE199" ca="1">IF(OR(B199="",NOT($J$2)),"",GetStripDefaultProbability(A199,B199,Parameter_Date,CDSRollDate,E199:M199,SpreadCurveMaturities,D199,C199,$J$4,$J$6))</f>
        <v>0</v>
      </c>
      <c r="O199" s="163">
        <f ca="1"/>
        <v>0</v>
      </c>
      <c r="P199" s="163">
        <f ca="1"/>
        <v>1.4937735896077831E-3</v>
      </c>
      <c r="Q199" s="163">
        <f ca="1"/>
        <v>0</v>
      </c>
      <c r="R199" s="163">
        <f ca="1"/>
        <v>8.2284564434360608E-3</v>
      </c>
      <c r="S199" s="163">
        <f ca="1"/>
        <v>0</v>
      </c>
      <c r="T199" s="163">
        <f ca="1"/>
        <v>1.7153932757138945E-2</v>
      </c>
      <c r="U199" s="163">
        <f ca="1"/>
        <v>3.1786948054937092E-2</v>
      </c>
      <c r="V199" s="139">
        <f ca="1"/>
        <v>5.8514704967822073E-2</v>
      </c>
      <c r="W199" s="138">
        <f ca="1"/>
        <v>0</v>
      </c>
      <c r="X199" s="163">
        <f ca="1"/>
        <v>0</v>
      </c>
      <c r="Y199" s="163">
        <f ca="1"/>
        <v>1.6601774266482572E-3</v>
      </c>
      <c r="Z199" s="163">
        <f ca="1"/>
        <v>0</v>
      </c>
      <c r="AA199" s="163">
        <f ca="1"/>
        <v>8.7443123179252735E-3</v>
      </c>
      <c r="AB199" s="163">
        <f ca="1"/>
        <v>0</v>
      </c>
      <c r="AC199" s="163">
        <f ca="1"/>
        <v>1.7995790506498022E-2</v>
      </c>
      <c r="AD199" s="163">
        <f ca="1"/>
        <v>3.3334430229271073E-2</v>
      </c>
      <c r="AE199" s="139">
        <f ca="1"/>
        <v>6.1344055382716811E-2</v>
      </c>
      <c r="AI199" s="136"/>
      <c r="AK199" s="136"/>
      <c r="AM199" s="136"/>
      <c r="AN199" s="136"/>
      <c r="AO199" s="136"/>
      <c r="AR199" s="136"/>
      <c r="AT199" s="136"/>
      <c r="AV199" s="136"/>
      <c r="AW199" s="136"/>
      <c r="AX199" s="136"/>
    </row>
    <row r="200" spans="1:50" s="79" customFormat="1" ht="11.25">
      <c r="A200" s="96">
        <f t="shared" ca="1" si="4"/>
        <v>189</v>
      </c>
      <c r="B200" s="68" t="s">
        <v>277</v>
      </c>
      <c r="C200" s="97">
        <v>0.4</v>
      </c>
      <c r="D200" s="69" t="s">
        <v>67</v>
      </c>
      <c r="E200" s="137" t="s">
        <v>87</v>
      </c>
      <c r="F200" s="156" t="s">
        <v>87</v>
      </c>
      <c r="G200" s="156">
        <v>4.9200000000000003E-4</v>
      </c>
      <c r="H200" s="156" t="s">
        <v>87</v>
      </c>
      <c r="I200" s="156">
        <v>1.6999999999999999E-3</v>
      </c>
      <c r="J200" s="156" t="s">
        <v>87</v>
      </c>
      <c r="K200" s="156">
        <v>2.4610000000000001E-3</v>
      </c>
      <c r="L200" s="156">
        <v>3.042E-3</v>
      </c>
      <c r="M200" s="156">
        <v>3.7580000000000001E-3</v>
      </c>
      <c r="N200" s="138" cm="1">
        <f t="array" aca="1" ref="N200:AE200" ca="1">IF(OR(B200="",NOT($J$2)),"",GetStripDefaultProbability(A200,B200,Parameter_Date,CDSRollDate,E200:M200,SpreadCurveMaturities,D200,C200,$J$4,$J$6))</f>
        <v>0</v>
      </c>
      <c r="O200" s="163">
        <f ca="1"/>
        <v>0</v>
      </c>
      <c r="P200" s="163">
        <f ca="1"/>
        <v>9.0202776245118521E-4</v>
      </c>
      <c r="Q200" s="163">
        <f ca="1"/>
        <v>0</v>
      </c>
      <c r="R200" s="163">
        <f ca="1"/>
        <v>8.9493004670437859E-3</v>
      </c>
      <c r="S200" s="163">
        <f ca="1"/>
        <v>0</v>
      </c>
      <c r="T200" s="163">
        <f ca="1"/>
        <v>2.1524402317572466E-2</v>
      </c>
      <c r="U200" s="163">
        <f ca="1"/>
        <v>3.7307119193118021E-2</v>
      </c>
      <c r="V200" s="139">
        <f ca="1"/>
        <v>6.6200260405068656E-2</v>
      </c>
      <c r="W200" s="138">
        <f ca="1"/>
        <v>0</v>
      </c>
      <c r="X200" s="163">
        <f ca="1"/>
        <v>0</v>
      </c>
      <c r="Y200" s="163">
        <f ca="1"/>
        <v>1.0685302155517551E-3</v>
      </c>
      <c r="Z200" s="163">
        <f ca="1"/>
        <v>0</v>
      </c>
      <c r="AA200" s="163">
        <f ca="1"/>
        <v>9.4648617494335063E-3</v>
      </c>
      <c r="AB200" s="163">
        <f ca="1"/>
        <v>0</v>
      </c>
      <c r="AC200" s="163">
        <f ca="1"/>
        <v>2.2572483219003958E-2</v>
      </c>
      <c r="AD200" s="163">
        <f ca="1"/>
        <v>3.9125293861628663E-2</v>
      </c>
      <c r="AE200" s="139">
        <f ca="1"/>
        <v>6.9394029001445534E-2</v>
      </c>
      <c r="AI200" s="136"/>
      <c r="AK200" s="136"/>
      <c r="AM200" s="136"/>
      <c r="AN200" s="136"/>
      <c r="AO200" s="136"/>
      <c r="AR200" s="136"/>
      <c r="AT200" s="136"/>
      <c r="AV200" s="136"/>
      <c r="AW200" s="136"/>
      <c r="AX200" s="136"/>
    </row>
    <row r="201" spans="1:50" s="79" customFormat="1" ht="11.25">
      <c r="A201" s="96">
        <f t="shared" ca="1" si="4"/>
        <v>190</v>
      </c>
      <c r="B201" s="68" t="s">
        <v>278</v>
      </c>
      <c r="C201" s="97">
        <v>0.4</v>
      </c>
      <c r="D201" s="69" t="s">
        <v>67</v>
      </c>
      <c r="E201" s="137" t="s">
        <v>87</v>
      </c>
      <c r="F201" s="156" t="s">
        <v>87</v>
      </c>
      <c r="G201" s="156">
        <v>2.6540000000000001E-3</v>
      </c>
      <c r="H201" s="156" t="s">
        <v>87</v>
      </c>
      <c r="I201" s="156">
        <v>6.8830000000000002E-3</v>
      </c>
      <c r="J201" s="156" t="s">
        <v>87</v>
      </c>
      <c r="K201" s="156">
        <v>1.0614999999999999E-2</v>
      </c>
      <c r="L201" s="156">
        <v>1.2263E-2</v>
      </c>
      <c r="M201" s="156">
        <v>1.5025999999999999E-2</v>
      </c>
      <c r="N201" s="138" cm="1">
        <f t="array" aca="1" ref="N201:AE201" ca="1">IF(OR(B201="",NOT($J$2)),"",GetStripDefaultProbability(A201,B201,Parameter_Date,CDSRollDate,E201:M201,SpreadCurveMaturities,D201,C201,$J$4,$J$6))</f>
        <v>0</v>
      </c>
      <c r="O201" s="163">
        <f ca="1"/>
        <v>0</v>
      </c>
      <c r="P201" s="163">
        <f ca="1"/>
        <v>4.8562621020157293E-3</v>
      </c>
      <c r="Q201" s="163">
        <f ca="1"/>
        <v>0</v>
      </c>
      <c r="R201" s="163">
        <f ca="1"/>
        <v>3.5771281463268467E-2</v>
      </c>
      <c r="S201" s="163">
        <f ca="1"/>
        <v>0</v>
      </c>
      <c r="T201" s="163">
        <f ca="1"/>
        <v>9.0663056395481889E-2</v>
      </c>
      <c r="U201" s="163">
        <f ca="1"/>
        <v>0.143244316307236</v>
      </c>
      <c r="V201" s="139">
        <f ca="1"/>
        <v>0.24462747761458725</v>
      </c>
      <c r="W201" s="138">
        <f ca="1"/>
        <v>0</v>
      </c>
      <c r="X201" s="163">
        <f ca="1"/>
        <v>0</v>
      </c>
      <c r="Y201" s="163">
        <f ca="1"/>
        <v>5.098346409421084E-3</v>
      </c>
      <c r="Z201" s="163">
        <f ca="1"/>
        <v>0</v>
      </c>
      <c r="AA201" s="163">
        <f ca="1"/>
        <v>3.7524177068472664E-2</v>
      </c>
      <c r="AB201" s="163">
        <f ca="1"/>
        <v>0</v>
      </c>
      <c r="AC201" s="163">
        <f ca="1"/>
        <v>9.5039335325988628E-2</v>
      </c>
      <c r="AD201" s="163">
        <f ca="1"/>
        <v>0.14998097931727439</v>
      </c>
      <c r="AE201" s="139">
        <f ca="1"/>
        <v>0.25560419873952811</v>
      </c>
      <c r="AI201" s="136"/>
      <c r="AK201" s="136"/>
      <c r="AM201" s="136"/>
      <c r="AN201" s="136"/>
      <c r="AO201" s="136"/>
      <c r="AR201" s="136"/>
      <c r="AT201" s="136"/>
      <c r="AV201" s="136"/>
      <c r="AW201" s="136"/>
      <c r="AX201" s="136"/>
    </row>
    <row r="202" spans="1:50" s="79" customFormat="1" ht="11.25">
      <c r="A202" s="96">
        <f t="shared" ca="1" si="4"/>
        <v>191</v>
      </c>
      <c r="B202" s="68" t="s">
        <v>279</v>
      </c>
      <c r="C202" s="97">
        <v>0.4</v>
      </c>
      <c r="D202" s="69" t="s">
        <v>67</v>
      </c>
      <c r="E202" s="137" t="s">
        <v>87</v>
      </c>
      <c r="F202" s="156" t="s">
        <v>87</v>
      </c>
      <c r="G202" s="156">
        <v>1.689E-3</v>
      </c>
      <c r="H202" s="156" t="s">
        <v>87</v>
      </c>
      <c r="I202" s="156">
        <v>3.1359999999999999E-3</v>
      </c>
      <c r="J202" s="156" t="s">
        <v>87</v>
      </c>
      <c r="K202" s="156">
        <v>4.1009999999999996E-3</v>
      </c>
      <c r="L202" s="156">
        <v>4.4869999999999997E-3</v>
      </c>
      <c r="M202" s="156">
        <v>4.777E-3</v>
      </c>
      <c r="N202" s="138" cm="1">
        <f t="array" aca="1" ref="N202:AE202" ca="1">IF(OR(B202="",NOT($J$2)),"",GetStripDefaultProbability(A202,B202,Parameter_Date,CDSRollDate,E202:M202,SpreadCurveMaturities,D202,C202,$J$4,$J$6))</f>
        <v>0</v>
      </c>
      <c r="O202" s="163">
        <f ca="1"/>
        <v>0</v>
      </c>
      <c r="P202" s="163">
        <f ca="1"/>
        <v>3.0932259423276376E-3</v>
      </c>
      <c r="Q202" s="163">
        <f ca="1"/>
        <v>0</v>
      </c>
      <c r="R202" s="163">
        <f ca="1"/>
        <v>1.6351505413814693E-2</v>
      </c>
      <c r="S202" s="163">
        <f ca="1"/>
        <v>0</v>
      </c>
      <c r="T202" s="163">
        <f ca="1"/>
        <v>3.5374871464618818E-2</v>
      </c>
      <c r="U202" s="163">
        <f ca="1"/>
        <v>5.3638481124193893E-2</v>
      </c>
      <c r="V202" s="139">
        <f ca="1"/>
        <v>8.049251618508424E-2</v>
      </c>
      <c r="W202" s="138">
        <f ca="1"/>
        <v>0</v>
      </c>
      <c r="X202" s="163">
        <f ca="1"/>
        <v>0</v>
      </c>
      <c r="Y202" s="163">
        <f ca="1"/>
        <v>3.259363226178924E-3</v>
      </c>
      <c r="Z202" s="163">
        <f ca="1"/>
        <v>0</v>
      </c>
      <c r="AA202" s="163">
        <f ca="1"/>
        <v>1.7160789435628043E-2</v>
      </c>
      <c r="AB202" s="163">
        <f ca="1"/>
        <v>0</v>
      </c>
      <c r="AC202" s="163">
        <f ca="1"/>
        <v>3.7112863732812751E-2</v>
      </c>
      <c r="AD202" s="163">
        <f ca="1"/>
        <v>5.6252829495124002E-2</v>
      </c>
      <c r="AE202" s="139">
        <f ca="1"/>
        <v>8.4354257469005711E-2</v>
      </c>
      <c r="AI202" s="136"/>
      <c r="AK202" s="136"/>
      <c r="AM202" s="136"/>
      <c r="AN202" s="136"/>
      <c r="AO202" s="136"/>
      <c r="AR202" s="136"/>
      <c r="AT202" s="136"/>
      <c r="AV202" s="136"/>
      <c r="AW202" s="136"/>
      <c r="AX202" s="136"/>
    </row>
    <row r="203" spans="1:50" s="79" customFormat="1" ht="11.25">
      <c r="A203" s="96">
        <f t="shared" ref="A203:A266" ca="1" si="5">IF(B203="","",A202+1)</f>
        <v>192</v>
      </c>
      <c r="B203" s="68" t="s">
        <v>280</v>
      </c>
      <c r="C203" s="97">
        <v>0.4</v>
      </c>
      <c r="D203" s="69" t="s">
        <v>67</v>
      </c>
      <c r="E203" s="137" t="s">
        <v>87</v>
      </c>
      <c r="F203" s="156" t="s">
        <v>87</v>
      </c>
      <c r="G203" s="156">
        <v>1.4519999999999999E-3</v>
      </c>
      <c r="H203" s="156" t="s">
        <v>87</v>
      </c>
      <c r="I203" s="156">
        <v>1.9059999999999999E-3</v>
      </c>
      <c r="J203" s="156" t="s">
        <v>87</v>
      </c>
      <c r="K203" s="156">
        <v>3.8119999999999999E-3</v>
      </c>
      <c r="L203" s="156">
        <v>5.2639999999999996E-3</v>
      </c>
      <c r="M203" s="156">
        <v>6.489E-3</v>
      </c>
      <c r="N203" s="138" cm="1">
        <f t="array" aca="1" ref="N203:AE203" ca="1">IF(OR(B203="",NOT($J$2)),"",GetStripDefaultProbability(A203,B203,Parameter_Date,CDSRollDate,E203:M203,SpreadCurveMaturities,D203,C203,$J$4,$J$6))</f>
        <v>0</v>
      </c>
      <c r="O203" s="163">
        <f ca="1"/>
        <v>0</v>
      </c>
      <c r="P203" s="163">
        <f ca="1"/>
        <v>2.6597583640969313E-3</v>
      </c>
      <c r="Q203" s="163">
        <f ca="1"/>
        <v>0</v>
      </c>
      <c r="R203" s="163">
        <f ca="1"/>
        <v>9.905808824284712E-3</v>
      </c>
      <c r="S203" s="163">
        <f ca="1"/>
        <v>0</v>
      </c>
      <c r="T203" s="163">
        <f ca="1"/>
        <v>3.3526855873094674E-2</v>
      </c>
      <c r="U203" s="163">
        <f ca="1"/>
        <v>6.495923395602321E-2</v>
      </c>
      <c r="V203" s="139">
        <f ca="1"/>
        <v>0.11328025098290107</v>
      </c>
      <c r="W203" s="138">
        <f ca="1"/>
        <v>0</v>
      </c>
      <c r="X203" s="163">
        <f ca="1"/>
        <v>0</v>
      </c>
      <c r="Y203" s="163">
        <f ca="1"/>
        <v>2.8259678865164561E-3</v>
      </c>
      <c r="Z203" s="163">
        <f ca="1"/>
        <v>0</v>
      </c>
      <c r="AA203" s="163">
        <f ca="1"/>
        <v>1.0420593265313749E-2</v>
      </c>
      <c r="AB203" s="163">
        <f ca="1"/>
        <v>0</v>
      </c>
      <c r="AC203" s="163">
        <f ca="1"/>
        <v>3.5172728532496644E-2</v>
      </c>
      <c r="AD203" s="163">
        <f ca="1"/>
        <v>6.811844934847211E-2</v>
      </c>
      <c r="AE203" s="139">
        <f ca="1"/>
        <v>0.11869956056930164</v>
      </c>
      <c r="AI203" s="136"/>
      <c r="AK203" s="136"/>
      <c r="AM203" s="136"/>
      <c r="AN203" s="136"/>
      <c r="AO203" s="136"/>
      <c r="AR203" s="136"/>
      <c r="AT203" s="136"/>
      <c r="AV203" s="136"/>
      <c r="AW203" s="136"/>
      <c r="AX203" s="136"/>
    </row>
    <row r="204" spans="1:50" s="79" customFormat="1" ht="11.25">
      <c r="A204" s="96">
        <f t="shared" ca="1" si="5"/>
        <v>193</v>
      </c>
      <c r="B204" s="68" t="s">
        <v>281</v>
      </c>
      <c r="C204" s="97">
        <v>0.4</v>
      </c>
      <c r="D204" s="69" t="s">
        <v>67</v>
      </c>
      <c r="E204" s="137" t="s">
        <v>87</v>
      </c>
      <c r="F204" s="156" t="s">
        <v>87</v>
      </c>
      <c r="G204" s="156">
        <v>4.7377000000000002E-2</v>
      </c>
      <c r="H204" s="156" t="s">
        <v>87</v>
      </c>
      <c r="I204" s="156">
        <v>4.0816999999999999E-2</v>
      </c>
      <c r="J204" s="156" t="s">
        <v>87</v>
      </c>
      <c r="K204" s="156">
        <v>3.4257999999999997E-2</v>
      </c>
      <c r="L204" s="156">
        <v>3.0977999999999999E-2</v>
      </c>
      <c r="M204" s="156">
        <v>2.7698E-2</v>
      </c>
      <c r="N204" s="138" cm="1">
        <f t="array" aca="1" ref="N204:AE204" ca="1">IF(OR(B204="",NOT($J$2)),"",GetStripDefaultProbability(A204,B204,Parameter_Date,CDSRollDate,E204:M204,SpreadCurveMaturities,D204,C204,$J$4,$J$6))</f>
        <v>0</v>
      </c>
      <c r="O204" s="163">
        <f ca="1"/>
        <v>0</v>
      </c>
      <c r="P204" s="163">
        <f ca="1"/>
        <v>8.3228201722016393E-2</v>
      </c>
      <c r="Q204" s="163">
        <f ca="1"/>
        <v>0</v>
      </c>
      <c r="R204" s="163">
        <f ca="1"/>
        <v>0.1890709791719174</v>
      </c>
      <c r="S204" s="163">
        <f ca="1"/>
        <v>0</v>
      </c>
      <c r="T204" s="163">
        <f ca="1"/>
        <v>0.24472812906498609</v>
      </c>
      <c r="U204" s="163">
        <f ca="1"/>
        <v>0.29212814993271496</v>
      </c>
      <c r="V204" s="139">
        <f ca="1"/>
        <v>0.34535167607305362</v>
      </c>
      <c r="W204" s="138">
        <f ca="1"/>
        <v>0</v>
      </c>
      <c r="X204" s="163">
        <f ca="1"/>
        <v>0</v>
      </c>
      <c r="Y204" s="163">
        <f ca="1"/>
        <v>8.7202668011427731E-2</v>
      </c>
      <c r="Z204" s="163">
        <f ca="1"/>
        <v>0</v>
      </c>
      <c r="AA204" s="163">
        <f ca="1"/>
        <v>0.19746199395062858</v>
      </c>
      <c r="AB204" s="163">
        <f ca="1"/>
        <v>0</v>
      </c>
      <c r="AC204" s="163">
        <f ca="1"/>
        <v>0.25496362365802938</v>
      </c>
      <c r="AD204" s="163">
        <f ca="1"/>
        <v>0.30376344723232673</v>
      </c>
      <c r="AE204" s="139">
        <f ca="1"/>
        <v>0.35824995554873473</v>
      </c>
      <c r="AI204" s="136"/>
      <c r="AK204" s="136"/>
      <c r="AM204" s="136"/>
      <c r="AN204" s="136"/>
      <c r="AO204" s="136"/>
      <c r="AR204" s="136"/>
      <c r="AT204" s="136"/>
      <c r="AV204" s="136"/>
      <c r="AW204" s="136"/>
      <c r="AX204" s="136"/>
    </row>
    <row r="205" spans="1:50" s="79" customFormat="1" ht="11.25">
      <c r="A205" s="96">
        <f t="shared" ca="1" si="5"/>
        <v>194</v>
      </c>
      <c r="B205" s="68" t="s">
        <v>282</v>
      </c>
      <c r="C205" s="97">
        <v>0.4</v>
      </c>
      <c r="D205" s="69" t="s">
        <v>67</v>
      </c>
      <c r="E205" s="137" t="s">
        <v>87</v>
      </c>
      <c r="F205" s="156" t="s">
        <v>87</v>
      </c>
      <c r="G205" s="156">
        <v>2.8180000000000002E-3</v>
      </c>
      <c r="H205" s="156" t="s">
        <v>87</v>
      </c>
      <c r="I205" s="156">
        <v>5.391E-3</v>
      </c>
      <c r="J205" s="156" t="s">
        <v>87</v>
      </c>
      <c r="K205" s="156">
        <v>8.8500000000000002E-3</v>
      </c>
      <c r="L205" s="156">
        <v>1.0579E-2</v>
      </c>
      <c r="M205" s="156">
        <v>1.2817E-2</v>
      </c>
      <c r="N205" s="138" cm="1">
        <f t="array" aca="1" ref="N205:AE205" ca="1">IF(OR(B205="",NOT($J$2)),"",GetStripDefaultProbability(A205,B205,Parameter_Date,CDSRollDate,E205:M205,SpreadCurveMaturities,D205,C205,$J$4,$J$6))</f>
        <v>0</v>
      </c>
      <c r="O205" s="163">
        <f ca="1"/>
        <v>0</v>
      </c>
      <c r="P205" s="163">
        <f ca="1"/>
        <v>5.1555797183145957E-3</v>
      </c>
      <c r="Q205" s="163">
        <f ca="1"/>
        <v>0</v>
      </c>
      <c r="R205" s="163">
        <f ca="1"/>
        <v>2.7987226464371018E-2</v>
      </c>
      <c r="S205" s="163">
        <f ca="1"/>
        <v>0</v>
      </c>
      <c r="T205" s="163">
        <f ca="1"/>
        <v>7.613886966310246E-2</v>
      </c>
      <c r="U205" s="163">
        <f ca="1"/>
        <v>0.12520794660717871</v>
      </c>
      <c r="V205" s="139">
        <f ca="1"/>
        <v>0.21189942904325698</v>
      </c>
      <c r="W205" s="138">
        <f ca="1"/>
        <v>0</v>
      </c>
      <c r="X205" s="163">
        <f ca="1"/>
        <v>0</v>
      </c>
      <c r="Y205" s="163">
        <f ca="1"/>
        <v>5.4125363971567753E-3</v>
      </c>
      <c r="Z205" s="163">
        <f ca="1"/>
        <v>0</v>
      </c>
      <c r="AA205" s="163">
        <f ca="1"/>
        <v>2.9364634380436017E-2</v>
      </c>
      <c r="AB205" s="163">
        <f ca="1"/>
        <v>0</v>
      </c>
      <c r="AC205" s="163">
        <f ca="1"/>
        <v>7.9837101897663798E-2</v>
      </c>
      <c r="AD205" s="163">
        <f ca="1"/>
        <v>0.13115506603923288</v>
      </c>
      <c r="AE205" s="139">
        <f ca="1"/>
        <v>0.22156642845394614</v>
      </c>
      <c r="AI205" s="136"/>
      <c r="AK205" s="136"/>
      <c r="AM205" s="136"/>
      <c r="AN205" s="136"/>
      <c r="AO205" s="136"/>
      <c r="AR205" s="136"/>
      <c r="AT205" s="136"/>
      <c r="AV205" s="136"/>
      <c r="AW205" s="136"/>
      <c r="AX205" s="136"/>
    </row>
    <row r="206" spans="1:50" s="79" customFormat="1" ht="11.25">
      <c r="A206" s="96">
        <f t="shared" ca="1" si="5"/>
        <v>195</v>
      </c>
      <c r="B206" s="68" t="s">
        <v>283</v>
      </c>
      <c r="C206" s="97">
        <v>0.4</v>
      </c>
      <c r="D206" s="69" t="s">
        <v>67</v>
      </c>
      <c r="E206" s="137" t="s">
        <v>87</v>
      </c>
      <c r="F206" s="156" t="s">
        <v>87</v>
      </c>
      <c r="G206" s="156">
        <v>6.6639999999999998E-3</v>
      </c>
      <c r="H206" s="156" t="s">
        <v>87</v>
      </c>
      <c r="I206" s="156">
        <v>1.1985000000000001E-2</v>
      </c>
      <c r="J206" s="156" t="s">
        <v>87</v>
      </c>
      <c r="K206" s="156">
        <v>1.7659999999999999E-2</v>
      </c>
      <c r="L206" s="156">
        <v>1.9762999999999999E-2</v>
      </c>
      <c r="M206" s="156">
        <v>2.2307E-2</v>
      </c>
      <c r="N206" s="138" cm="1">
        <f t="array" aca="1" ref="N206:AE206" ca="1">IF(OR(B206="",NOT($J$2)),"",GetStripDefaultProbability(A206,B206,Parameter_Date,CDSRollDate,E206:M206,SpreadCurveMaturities,D206,C206,$J$4,$J$6))</f>
        <v>0</v>
      </c>
      <c r="O206" s="163">
        <f ca="1"/>
        <v>0</v>
      </c>
      <c r="P206" s="163">
        <f ca="1"/>
        <v>1.2149471499395825E-2</v>
      </c>
      <c r="Q206" s="163">
        <f ca="1"/>
        <v>0</v>
      </c>
      <c r="R206" s="163">
        <f ca="1"/>
        <v>6.1260313475274164E-2</v>
      </c>
      <c r="S206" s="163">
        <f ca="1"/>
        <v>0</v>
      </c>
      <c r="T206" s="163">
        <f ca="1"/>
        <v>0.14668436635193949</v>
      </c>
      <c r="U206" s="163">
        <f ca="1"/>
        <v>0.22103226227476369</v>
      </c>
      <c r="V206" s="139">
        <f ca="1"/>
        <v>0.33777220162246857</v>
      </c>
      <c r="W206" s="138">
        <f ca="1"/>
        <v>0</v>
      </c>
      <c r="X206" s="163">
        <f ca="1"/>
        <v>0</v>
      </c>
      <c r="Y206" s="163">
        <f ca="1"/>
        <v>1.2752272260828312E-2</v>
      </c>
      <c r="Z206" s="163">
        <f ca="1"/>
        <v>0</v>
      </c>
      <c r="AA206" s="163">
        <f ca="1"/>
        <v>6.4239470763259643E-2</v>
      </c>
      <c r="AB206" s="163">
        <f ca="1"/>
        <v>0</v>
      </c>
      <c r="AC206" s="163">
        <f ca="1"/>
        <v>0.15357847897839216</v>
      </c>
      <c r="AD206" s="163">
        <f ca="1"/>
        <v>0.23099428321068771</v>
      </c>
      <c r="AE206" s="139">
        <f ca="1"/>
        <v>0.35195920784877777</v>
      </c>
      <c r="AI206" s="136"/>
      <c r="AK206" s="136"/>
      <c r="AM206" s="136"/>
      <c r="AN206" s="136"/>
      <c r="AO206" s="136"/>
      <c r="AR206" s="136"/>
      <c r="AT206" s="136"/>
      <c r="AV206" s="136"/>
      <c r="AW206" s="136"/>
      <c r="AX206" s="136"/>
    </row>
    <row r="207" spans="1:50" s="79" customFormat="1" ht="11.25">
      <c r="A207" s="96">
        <f t="shared" ca="1" si="5"/>
        <v>196</v>
      </c>
      <c r="B207" s="68" t="s">
        <v>284</v>
      </c>
      <c r="C207" s="97">
        <v>0.4</v>
      </c>
      <c r="D207" s="69" t="s">
        <v>67</v>
      </c>
      <c r="E207" s="137" t="s">
        <v>87</v>
      </c>
      <c r="F207" s="156" t="s">
        <v>87</v>
      </c>
      <c r="G207" s="156">
        <v>4.7100000000000001E-4</v>
      </c>
      <c r="H207" s="156" t="s">
        <v>87</v>
      </c>
      <c r="I207" s="156">
        <v>1.882E-3</v>
      </c>
      <c r="J207" s="156" t="s">
        <v>87</v>
      </c>
      <c r="K207" s="156">
        <v>2.5569999999999998E-3</v>
      </c>
      <c r="L207" s="156">
        <v>3.4259999999999998E-3</v>
      </c>
      <c r="M207" s="156">
        <v>4.3909999999999999E-3</v>
      </c>
      <c r="N207" s="138" cm="1">
        <f t="array" aca="1" ref="N207:AE207" ca="1">IF(OR(B207="",NOT($J$2)),"",GetStripDefaultProbability(A207,B207,Parameter_Date,CDSRollDate,E207:M207,SpreadCurveMaturities,D207,C207,$J$4,$J$6))</f>
        <v>0</v>
      </c>
      <c r="O207" s="163">
        <f ca="1"/>
        <v>0</v>
      </c>
      <c r="P207" s="163">
        <f ca="1"/>
        <v>8.6354307978075973E-4</v>
      </c>
      <c r="Q207" s="163">
        <f ca="1"/>
        <v>0</v>
      </c>
      <c r="R207" s="163">
        <f ca="1"/>
        <v>9.914092522643525E-3</v>
      </c>
      <c r="S207" s="163">
        <f ca="1"/>
        <v>0</v>
      </c>
      <c r="T207" s="163">
        <f ca="1"/>
        <v>2.2296978890347652E-2</v>
      </c>
      <c r="U207" s="163">
        <f ca="1"/>
        <v>4.2206958852910703E-2</v>
      </c>
      <c r="V207" s="139">
        <f ca="1"/>
        <v>7.7730289287590404E-2</v>
      </c>
      <c r="W207" s="138">
        <f ca="1"/>
        <v>0</v>
      </c>
      <c r="X207" s="163">
        <f ca="1"/>
        <v>0</v>
      </c>
      <c r="Y207" s="163">
        <f ca="1"/>
        <v>1.0300519464954139E-3</v>
      </c>
      <c r="Z207" s="163">
        <f ca="1"/>
        <v>0</v>
      </c>
      <c r="AA207" s="163">
        <f ca="1"/>
        <v>1.0429123998120127E-2</v>
      </c>
      <c r="AB207" s="163">
        <f ca="1"/>
        <v>0</v>
      </c>
      <c r="AC207" s="163">
        <f ca="1"/>
        <v>2.3387806023025259E-2</v>
      </c>
      <c r="AD207" s="163">
        <f ca="1"/>
        <v>4.4267495220433051E-2</v>
      </c>
      <c r="AE207" s="139">
        <f ca="1"/>
        <v>8.1470846556011667E-2</v>
      </c>
      <c r="AI207" s="136"/>
      <c r="AK207" s="136"/>
      <c r="AM207" s="136"/>
      <c r="AN207" s="136"/>
      <c r="AO207" s="136"/>
      <c r="AR207" s="136"/>
      <c r="AT207" s="136"/>
      <c r="AV207" s="136"/>
      <c r="AW207" s="136"/>
      <c r="AX207" s="136"/>
    </row>
    <row r="208" spans="1:50" s="79" customFormat="1" ht="11.25">
      <c r="A208" s="96">
        <f t="shared" ca="1" si="5"/>
        <v>197</v>
      </c>
      <c r="B208" s="68" t="s">
        <v>285</v>
      </c>
      <c r="C208" s="97">
        <v>0.4</v>
      </c>
      <c r="D208" s="69" t="s">
        <v>67</v>
      </c>
      <c r="E208" s="137" t="s">
        <v>87</v>
      </c>
      <c r="F208" s="156" t="s">
        <v>87</v>
      </c>
      <c r="G208" s="156">
        <v>1.122E-3</v>
      </c>
      <c r="H208" s="156" t="s">
        <v>87</v>
      </c>
      <c r="I208" s="156">
        <v>1.936E-3</v>
      </c>
      <c r="J208" s="156" t="s">
        <v>87</v>
      </c>
      <c r="K208" s="156">
        <v>2.9919999999999999E-3</v>
      </c>
      <c r="L208" s="156">
        <v>3.9589999999999998E-3</v>
      </c>
      <c r="M208" s="156">
        <v>5.1029999999999999E-3</v>
      </c>
      <c r="N208" s="138" cm="1">
        <f t="array" aca="1" ref="N208:AE208" ca="1">IF(OR(B208="",NOT($J$2)),"",GetStripDefaultProbability(A208,B208,Parameter_Date,CDSRollDate,E208:M208,SpreadCurveMaturities,D208,C208,$J$4,$J$6))</f>
        <v>0</v>
      </c>
      <c r="O208" s="163">
        <f ca="1"/>
        <v>0</v>
      </c>
      <c r="P208" s="163">
        <f ca="1"/>
        <v>2.0558846711564716E-3</v>
      </c>
      <c r="Q208" s="163">
        <f ca="1"/>
        <v>0</v>
      </c>
      <c r="R208" s="163">
        <f ca="1"/>
        <v>1.0109626384978032E-2</v>
      </c>
      <c r="S208" s="163">
        <f ca="1"/>
        <v>0</v>
      </c>
      <c r="T208" s="163">
        <f ca="1"/>
        <v>2.6125736063580374E-2</v>
      </c>
      <c r="U208" s="163">
        <f ca="1"/>
        <v>4.8677031023482753E-2</v>
      </c>
      <c r="V208" s="139">
        <f ca="1"/>
        <v>8.9998363236239887E-2</v>
      </c>
      <c r="W208" s="138">
        <f ca="1"/>
        <v>0</v>
      </c>
      <c r="X208" s="163">
        <f ca="1"/>
        <v>0</v>
      </c>
      <c r="Y208" s="163">
        <f ca="1"/>
        <v>2.2221948308179806E-3</v>
      </c>
      <c r="Z208" s="163">
        <f ca="1"/>
        <v>0</v>
      </c>
      <c r="AA208" s="163">
        <f ca="1"/>
        <v>1.0624390028488917E-2</v>
      </c>
      <c r="AB208" s="163">
        <f ca="1"/>
        <v>0</v>
      </c>
      <c r="AC208" s="163">
        <f ca="1"/>
        <v>2.7409665561398455E-2</v>
      </c>
      <c r="AD208" s="163">
        <f ca="1"/>
        <v>5.1055205204232013E-2</v>
      </c>
      <c r="AE208" s="139">
        <f ca="1"/>
        <v>9.4342022363971823E-2</v>
      </c>
      <c r="AI208" s="136"/>
      <c r="AK208" s="136"/>
      <c r="AM208" s="136"/>
      <c r="AN208" s="136"/>
      <c r="AO208" s="136"/>
      <c r="AR208" s="136"/>
      <c r="AT208" s="136"/>
      <c r="AV208" s="136"/>
      <c r="AW208" s="136"/>
      <c r="AX208" s="136"/>
    </row>
    <row r="209" spans="1:50" s="79" customFormat="1" ht="11.25">
      <c r="A209" s="96">
        <f t="shared" ca="1" si="5"/>
        <v>198</v>
      </c>
      <c r="B209" s="68" t="s">
        <v>286</v>
      </c>
      <c r="C209" s="97">
        <v>0.4</v>
      </c>
      <c r="D209" s="69" t="s">
        <v>67</v>
      </c>
      <c r="E209" s="137" t="s">
        <v>87</v>
      </c>
      <c r="F209" s="156" t="s">
        <v>87</v>
      </c>
      <c r="G209" s="156">
        <v>3.9202000000000001E-2</v>
      </c>
      <c r="H209" s="156" t="s">
        <v>87</v>
      </c>
      <c r="I209" s="156">
        <v>3.9371999999999997E-2</v>
      </c>
      <c r="J209" s="156" t="s">
        <v>87</v>
      </c>
      <c r="K209" s="156">
        <v>3.4451000000000002E-2</v>
      </c>
      <c r="L209" s="156">
        <v>3.1989999999999998E-2</v>
      </c>
      <c r="M209" s="156">
        <v>3.0020999999999999E-2</v>
      </c>
      <c r="N209" s="138" cm="1">
        <f t="array" aca="1" ref="N209:AE209" ca="1">IF(OR(B209="",NOT($J$2)),"",GetStripDefaultProbability(A209,B209,Parameter_Date,CDSRollDate,E209:M209,SpreadCurveMaturities,D209,C209,$J$4,$J$6))</f>
        <v>0</v>
      </c>
      <c r="O209" s="163">
        <f ca="1"/>
        <v>0</v>
      </c>
      <c r="P209" s="163">
        <f ca="1"/>
        <v>6.9378693634223887E-2</v>
      </c>
      <c r="Q209" s="163">
        <f ca="1"/>
        <v>0</v>
      </c>
      <c r="R209" s="163">
        <f ca="1"/>
        <v>0.18485521298159135</v>
      </c>
      <c r="S209" s="163">
        <f ca="1"/>
        <v>0</v>
      </c>
      <c r="T209" s="163">
        <f ca="1"/>
        <v>0.2493476329178419</v>
      </c>
      <c r="U209" s="163">
        <f ca="1"/>
        <v>0.30528689426161959</v>
      </c>
      <c r="V209" s="139">
        <f ca="1"/>
        <v>0.37954014233141076</v>
      </c>
      <c r="W209" s="138">
        <f ca="1"/>
        <v>0</v>
      </c>
      <c r="X209" s="163">
        <f ca="1"/>
        <v>0</v>
      </c>
      <c r="Y209" s="163">
        <f ca="1"/>
        <v>7.2718318793143943E-2</v>
      </c>
      <c r="Z209" s="163">
        <f ca="1"/>
        <v>0</v>
      </c>
      <c r="AA209" s="163">
        <f ca="1"/>
        <v>0.19314466480266412</v>
      </c>
      <c r="AB209" s="163">
        <f ca="1"/>
        <v>0</v>
      </c>
      <c r="AC209" s="163">
        <f ca="1"/>
        <v>0.25984813888053615</v>
      </c>
      <c r="AD209" s="163">
        <f ca="1"/>
        <v>0.31746764254293913</v>
      </c>
      <c r="AE209" s="139">
        <f ca="1"/>
        <v>0.39358466589126839</v>
      </c>
      <c r="AI209" s="136"/>
      <c r="AK209" s="136"/>
      <c r="AM209" s="136"/>
      <c r="AN209" s="136"/>
      <c r="AO209" s="136"/>
      <c r="AR209" s="136"/>
      <c r="AT209" s="136"/>
      <c r="AV209" s="136"/>
      <c r="AW209" s="136"/>
      <c r="AX209" s="136"/>
    </row>
    <row r="210" spans="1:50" s="79" customFormat="1" ht="11.25">
      <c r="A210" s="96">
        <f t="shared" ca="1" si="5"/>
        <v>199</v>
      </c>
      <c r="B210" s="68" t="s">
        <v>287</v>
      </c>
      <c r="C210" s="97">
        <v>0.4</v>
      </c>
      <c r="D210" s="69" t="s">
        <v>67</v>
      </c>
      <c r="E210" s="137" t="s">
        <v>87</v>
      </c>
      <c r="F210" s="156" t="s">
        <v>87</v>
      </c>
      <c r="G210" s="156">
        <v>4.2750000000000002E-3</v>
      </c>
      <c r="H210" s="156" t="s">
        <v>87</v>
      </c>
      <c r="I210" s="156">
        <v>7.5789999999999998E-3</v>
      </c>
      <c r="J210" s="156" t="s">
        <v>87</v>
      </c>
      <c r="K210" s="156">
        <v>1.1918E-2</v>
      </c>
      <c r="L210" s="156">
        <v>1.4062E-2</v>
      </c>
      <c r="M210" s="156">
        <v>1.6954E-2</v>
      </c>
      <c r="N210" s="138" cm="1">
        <f t="array" aca="1" ref="N210:AE210" ca="1">IF(OR(B210="",NOT($J$2)),"",GetStripDefaultProbability(A210,B210,Parameter_Date,CDSRollDate,E210:M210,SpreadCurveMaturities,D210,C210,$J$4,$J$6))</f>
        <v>0</v>
      </c>
      <c r="O210" s="163">
        <f ca="1"/>
        <v>0</v>
      </c>
      <c r="P210" s="163">
        <f ca="1"/>
        <v>7.8108520891130295E-3</v>
      </c>
      <c r="Q210" s="163">
        <f ca="1"/>
        <v>0</v>
      </c>
      <c r="R210" s="163">
        <f ca="1"/>
        <v>3.9113169957257665E-2</v>
      </c>
      <c r="S210" s="163">
        <f ca="1"/>
        <v>0</v>
      </c>
      <c r="T210" s="163">
        <f ca="1"/>
        <v>0.10125395546453408</v>
      </c>
      <c r="U210" s="163">
        <f ca="1"/>
        <v>0.16323801678281025</v>
      </c>
      <c r="V210" s="139">
        <f ca="1"/>
        <v>0.27197840447855159</v>
      </c>
      <c r="W210" s="138">
        <f ca="1"/>
        <v>0</v>
      </c>
      <c r="X210" s="163">
        <f ca="1"/>
        <v>0</v>
      </c>
      <c r="Y210" s="163">
        <f ca="1"/>
        <v>8.1994899643547114E-3</v>
      </c>
      <c r="Z210" s="163">
        <f ca="1"/>
        <v>0</v>
      </c>
      <c r="AA210" s="163">
        <f ca="1"/>
        <v>4.1024916002168177E-2</v>
      </c>
      <c r="AB210" s="163">
        <f ca="1"/>
        <v>0</v>
      </c>
      <c r="AC210" s="163">
        <f ca="1"/>
        <v>0.10611796977800159</v>
      </c>
      <c r="AD210" s="163">
        <f ca="1"/>
        <v>0.17084994561070965</v>
      </c>
      <c r="AE210" s="139">
        <f ca="1"/>
        <v>0.28399853140797182</v>
      </c>
      <c r="AI210" s="136"/>
      <c r="AK210" s="136"/>
      <c r="AM210" s="136"/>
      <c r="AN210" s="136"/>
      <c r="AO210" s="136"/>
      <c r="AR210" s="136"/>
      <c r="AT210" s="136"/>
      <c r="AV210" s="136"/>
      <c r="AW210" s="136"/>
      <c r="AX210" s="136"/>
    </row>
    <row r="211" spans="1:50" s="79" customFormat="1" ht="11.25">
      <c r="A211" s="96">
        <f t="shared" ca="1" si="5"/>
        <v>200</v>
      </c>
      <c r="B211" s="68" t="s">
        <v>288</v>
      </c>
      <c r="C211" s="97">
        <v>0.4</v>
      </c>
      <c r="D211" s="69" t="s">
        <v>67</v>
      </c>
      <c r="E211" s="137" t="s">
        <v>87</v>
      </c>
      <c r="F211" s="156" t="s">
        <v>87</v>
      </c>
      <c r="G211" s="156">
        <v>3.6250000000000002E-3</v>
      </c>
      <c r="H211" s="156" t="s">
        <v>87</v>
      </c>
      <c r="I211" s="156">
        <v>7.8189999999999996E-3</v>
      </c>
      <c r="J211" s="156" t="s">
        <v>87</v>
      </c>
      <c r="K211" s="156">
        <v>1.2063000000000001E-2</v>
      </c>
      <c r="L211" s="156">
        <v>1.3636000000000001E-2</v>
      </c>
      <c r="M211" s="156">
        <v>1.5828999999999999E-2</v>
      </c>
      <c r="N211" s="138" cm="1">
        <f t="array" aca="1" ref="N211:AE211" ca="1">IF(OR(B211="",NOT($J$2)),"",GetStripDefaultProbability(A211,B211,Parameter_Date,CDSRollDate,E211:M211,SpreadCurveMaturities,D211,C211,$J$4,$J$6))</f>
        <v>0</v>
      </c>
      <c r="O211" s="163">
        <f ca="1"/>
        <v>0</v>
      </c>
      <c r="P211" s="163">
        <f ca="1"/>
        <v>6.6271436655800375E-3</v>
      </c>
      <c r="Q211" s="163">
        <f ca="1"/>
        <v>0</v>
      </c>
      <c r="R211" s="163">
        <f ca="1"/>
        <v>4.0459853259215639E-2</v>
      </c>
      <c r="S211" s="163">
        <f ca="1"/>
        <v>0</v>
      </c>
      <c r="T211" s="163">
        <f ca="1"/>
        <v>0.10245810311851566</v>
      </c>
      <c r="U211" s="163">
        <f ca="1"/>
        <v>0.15769227657458029</v>
      </c>
      <c r="V211" s="139">
        <f ca="1"/>
        <v>0.25287897705587015</v>
      </c>
      <c r="W211" s="138">
        <f ca="1"/>
        <v>0</v>
      </c>
      <c r="X211" s="163">
        <f ca="1"/>
        <v>0</v>
      </c>
      <c r="Y211" s="163">
        <f ca="1"/>
        <v>6.9571351053488995E-3</v>
      </c>
      <c r="Z211" s="163">
        <f ca="1"/>
        <v>0</v>
      </c>
      <c r="AA211" s="163">
        <f ca="1"/>
        <v>4.2436375110090796E-2</v>
      </c>
      <c r="AB211" s="163">
        <f ca="1"/>
        <v>0</v>
      </c>
      <c r="AC211" s="163">
        <f ca="1"/>
        <v>0.10737809711375934</v>
      </c>
      <c r="AD211" s="163">
        <f ca="1"/>
        <v>0.16504790212348497</v>
      </c>
      <c r="AE211" s="139">
        <f ca="1"/>
        <v>0.26410507772341241</v>
      </c>
      <c r="AI211" s="136"/>
      <c r="AK211" s="136"/>
      <c r="AM211" s="136"/>
      <c r="AN211" s="136"/>
      <c r="AO211" s="136"/>
      <c r="AR211" s="136"/>
      <c r="AT211" s="136"/>
      <c r="AV211" s="136"/>
      <c r="AW211" s="136"/>
      <c r="AX211" s="136"/>
    </row>
    <row r="212" spans="1:50" s="79" customFormat="1" ht="11.25">
      <c r="A212" s="96">
        <f t="shared" ca="1" si="5"/>
        <v>201</v>
      </c>
      <c r="B212" s="68" t="s">
        <v>289</v>
      </c>
      <c r="C212" s="97">
        <v>0.4</v>
      </c>
      <c r="D212" s="69" t="s">
        <v>67</v>
      </c>
      <c r="E212" s="137" t="s">
        <v>87</v>
      </c>
      <c r="F212" s="156" t="s">
        <v>87</v>
      </c>
      <c r="G212" s="156">
        <v>6.7599999999999995E-4</v>
      </c>
      <c r="H212" s="156" t="s">
        <v>87</v>
      </c>
      <c r="I212" s="156">
        <v>1.158E-3</v>
      </c>
      <c r="J212" s="156" t="s">
        <v>87</v>
      </c>
      <c r="K212" s="156">
        <v>1.9300000000000001E-3</v>
      </c>
      <c r="L212" s="156">
        <v>2.4610000000000001E-3</v>
      </c>
      <c r="M212" s="156">
        <v>3.571E-3</v>
      </c>
      <c r="N212" s="138" cm="1">
        <f t="array" aca="1" ref="N212:AE212" ca="1">IF(OR(B212="",NOT($J$2)),"",GetStripDefaultProbability(A212,B212,Parameter_Date,CDSRollDate,E212:M212,SpreadCurveMaturities,D212,C212,$J$4,$J$6))</f>
        <v>0</v>
      </c>
      <c r="O212" s="163">
        <f ca="1"/>
        <v>0</v>
      </c>
      <c r="P212" s="163">
        <f ca="1"/>
        <v>1.239163992504122E-3</v>
      </c>
      <c r="Q212" s="163">
        <f ca="1"/>
        <v>0</v>
      </c>
      <c r="R212" s="163">
        <f ca="1"/>
        <v>6.0566074676248194E-3</v>
      </c>
      <c r="S212" s="163">
        <f ca="1"/>
        <v>0</v>
      </c>
      <c r="T212" s="163">
        <f ca="1"/>
        <v>1.6966799662120446E-2</v>
      </c>
      <c r="U212" s="163">
        <f ca="1"/>
        <v>3.0408901775784702E-2</v>
      </c>
      <c r="V212" s="139">
        <f ca="1"/>
        <v>6.4549245494605278E-2</v>
      </c>
      <c r="W212" s="138">
        <f ca="1"/>
        <v>0</v>
      </c>
      <c r="X212" s="163">
        <f ca="1"/>
        <v>0</v>
      </c>
      <c r="Y212" s="163">
        <f ca="1"/>
        <v>1.4056102609352195E-3</v>
      </c>
      <c r="Z212" s="163">
        <f ca="1"/>
        <v>0</v>
      </c>
      <c r="AA212" s="163">
        <f ca="1"/>
        <v>6.5736101798746782E-3</v>
      </c>
      <c r="AB212" s="163">
        <f ca="1"/>
        <v>0</v>
      </c>
      <c r="AC212" s="163">
        <f ca="1"/>
        <v>1.7809233066893637E-2</v>
      </c>
      <c r="AD212" s="163">
        <f ca="1"/>
        <v>3.1875062248163943E-2</v>
      </c>
      <c r="AE212" s="139">
        <f ca="1"/>
        <v>6.7650968965227376E-2</v>
      </c>
      <c r="AI212" s="136"/>
      <c r="AK212" s="136"/>
      <c r="AM212" s="136"/>
      <c r="AN212" s="136"/>
      <c r="AO212" s="136"/>
      <c r="AR212" s="136"/>
      <c r="AT212" s="136"/>
      <c r="AV212" s="136"/>
      <c r="AW212" s="136"/>
      <c r="AX212" s="136"/>
    </row>
    <row r="213" spans="1:50" s="79" customFormat="1" ht="11.25">
      <c r="A213" s="96">
        <f t="shared" ca="1" si="5"/>
        <v>202</v>
      </c>
      <c r="B213" s="68" t="s">
        <v>290</v>
      </c>
      <c r="C213" s="97">
        <v>0.4</v>
      </c>
      <c r="D213" s="69" t="s">
        <v>67</v>
      </c>
      <c r="E213" s="137" t="s">
        <v>87</v>
      </c>
      <c r="F213" s="156" t="s">
        <v>87</v>
      </c>
      <c r="G213" s="156">
        <v>5.1699999999999999E-4</v>
      </c>
      <c r="H213" s="156" t="s">
        <v>87</v>
      </c>
      <c r="I213" s="156">
        <v>1.0820000000000001E-3</v>
      </c>
      <c r="J213" s="156" t="s">
        <v>87</v>
      </c>
      <c r="K213" s="156">
        <v>1.882E-3</v>
      </c>
      <c r="L213" s="156">
        <v>2.1879999999999998E-3</v>
      </c>
      <c r="M213" s="156">
        <v>2.7569999999999999E-3</v>
      </c>
      <c r="N213" s="138" cm="1">
        <f t="array" aca="1" ref="N213:AE213" ca="1">IF(OR(B213="",NOT($J$2)),"",GetStripDefaultProbability(A213,B213,Parameter_Date,CDSRollDate,E213:M213,SpreadCurveMaturities,D213,C213,$J$4,$J$6))</f>
        <v>0</v>
      </c>
      <c r="O213" s="163">
        <f ca="1"/>
        <v>0</v>
      </c>
      <c r="P213" s="163">
        <f ca="1"/>
        <v>9.4784094304101174E-4</v>
      </c>
      <c r="Q213" s="163">
        <f ca="1"/>
        <v>0</v>
      </c>
      <c r="R213" s="163">
        <f ca="1"/>
        <v>5.6754060361848824E-3</v>
      </c>
      <c r="S213" s="163">
        <f ca="1"/>
        <v>0</v>
      </c>
      <c r="T213" s="163">
        <f ca="1"/>
        <v>1.6593105569254307E-2</v>
      </c>
      <c r="U213" s="163">
        <f ca="1"/>
        <v>2.687587505051714E-2</v>
      </c>
      <c r="V213" s="139">
        <f ca="1"/>
        <v>4.8962503315091888E-2</v>
      </c>
      <c r="W213" s="138">
        <f ca="1"/>
        <v>0</v>
      </c>
      <c r="X213" s="163">
        <f ca="1"/>
        <v>0</v>
      </c>
      <c r="Y213" s="163">
        <f ca="1"/>
        <v>1.1143357612654059E-3</v>
      </c>
      <c r="Z213" s="163">
        <f ca="1"/>
        <v>0</v>
      </c>
      <c r="AA213" s="163">
        <f ca="1"/>
        <v>6.1926526501984158E-3</v>
      </c>
      <c r="AB213" s="163">
        <f ca="1"/>
        <v>0</v>
      </c>
      <c r="AC213" s="163">
        <f ca="1"/>
        <v>1.7435968867407281E-2</v>
      </c>
      <c r="AD213" s="163">
        <f ca="1"/>
        <v>2.8163717914869935E-2</v>
      </c>
      <c r="AE213" s="139">
        <f ca="1"/>
        <v>5.1316131182395419E-2</v>
      </c>
      <c r="AI213" s="136"/>
      <c r="AK213" s="136"/>
      <c r="AM213" s="136"/>
      <c r="AN213" s="136"/>
      <c r="AO213" s="136"/>
      <c r="AR213" s="136"/>
      <c r="AT213" s="136"/>
      <c r="AV213" s="136"/>
      <c r="AW213" s="136"/>
      <c r="AX213" s="136"/>
    </row>
    <row r="214" spans="1:50" s="79" customFormat="1" ht="11.25">
      <c r="A214" s="96">
        <f t="shared" ca="1" si="5"/>
        <v>203</v>
      </c>
      <c r="B214" s="68" t="s">
        <v>291</v>
      </c>
      <c r="C214" s="97">
        <v>0.4</v>
      </c>
      <c r="D214" s="69" t="s">
        <v>67</v>
      </c>
      <c r="E214" s="137" t="s">
        <v>87</v>
      </c>
      <c r="F214" s="156" t="s">
        <v>87</v>
      </c>
      <c r="G214" s="156">
        <v>5.7200000000000003E-4</v>
      </c>
      <c r="H214" s="156" t="s">
        <v>87</v>
      </c>
      <c r="I214" s="156">
        <v>2.3140000000000001E-3</v>
      </c>
      <c r="J214" s="156" t="s">
        <v>87</v>
      </c>
      <c r="K214" s="156">
        <v>4.1009999999999996E-3</v>
      </c>
      <c r="L214" s="156">
        <v>5.7629999999999999E-3</v>
      </c>
      <c r="M214" s="156">
        <v>6.9569999999999996E-3</v>
      </c>
      <c r="N214" s="138" cm="1">
        <f t="array" aca="1" ref="N214:AE214" ca="1">IF(OR(B214="",NOT($J$2)),"",GetStripDefaultProbability(A214,B214,Parameter_Date,CDSRollDate,E214:M214,SpreadCurveMaturities,D214,C214,$J$4,$J$6))</f>
        <v>0</v>
      </c>
      <c r="O214" s="163">
        <f ca="1"/>
        <v>0</v>
      </c>
      <c r="P214" s="163">
        <f ca="1"/>
        <v>1.048622603466054E-3</v>
      </c>
      <c r="Q214" s="163">
        <f ca="1"/>
        <v>0</v>
      </c>
      <c r="R214" s="163">
        <f ca="1"/>
        <v>1.2180908373191857E-2</v>
      </c>
      <c r="S214" s="163">
        <f ca="1"/>
        <v>0</v>
      </c>
      <c r="T214" s="163">
        <f ca="1"/>
        <v>3.6026931054520483E-2</v>
      </c>
      <c r="U214" s="163">
        <f ca="1"/>
        <v>7.1072667402101386E-2</v>
      </c>
      <c r="V214" s="139">
        <f ca="1"/>
        <v>0.12079874866603757</v>
      </c>
      <c r="W214" s="138">
        <f ca="1"/>
        <v>0</v>
      </c>
      <c r="X214" s="163">
        <f ca="1"/>
        <v>0</v>
      </c>
      <c r="Y214" s="163">
        <f ca="1"/>
        <v>1.215100626158927E-3</v>
      </c>
      <c r="Z214" s="163">
        <f ca="1"/>
        <v>0</v>
      </c>
      <c r="AA214" s="163">
        <f ca="1"/>
        <v>1.2777376174239019E-2</v>
      </c>
      <c r="AB214" s="163">
        <f ca="1"/>
        <v>0</v>
      </c>
      <c r="AC214" s="163">
        <f ca="1"/>
        <v>3.7790919910395848E-2</v>
      </c>
      <c r="AD214" s="163">
        <f ca="1"/>
        <v>7.4517315204976287E-2</v>
      </c>
      <c r="AE214" s="139">
        <f ca="1"/>
        <v>0.12655371938166271</v>
      </c>
      <c r="AI214" s="136"/>
      <c r="AK214" s="136"/>
      <c r="AM214" s="136"/>
      <c r="AN214" s="136"/>
      <c r="AO214" s="136"/>
      <c r="AR214" s="136"/>
      <c r="AT214" s="136"/>
      <c r="AV214" s="136"/>
      <c r="AW214" s="136"/>
      <c r="AX214" s="136"/>
    </row>
    <row r="215" spans="1:50" s="79" customFormat="1" ht="11.25">
      <c r="A215" s="96">
        <f t="shared" ca="1" si="5"/>
        <v>204</v>
      </c>
      <c r="B215" s="68" t="s">
        <v>292</v>
      </c>
      <c r="C215" s="97">
        <v>0.4</v>
      </c>
      <c r="D215" s="69" t="s">
        <v>67</v>
      </c>
      <c r="E215" s="137" t="s">
        <v>87</v>
      </c>
      <c r="F215" s="156" t="s">
        <v>87</v>
      </c>
      <c r="G215" s="156">
        <v>1.358E-3</v>
      </c>
      <c r="H215" s="156" t="s">
        <v>87</v>
      </c>
      <c r="I215" s="156">
        <v>2.5469999999999998E-3</v>
      </c>
      <c r="J215" s="156" t="s">
        <v>87</v>
      </c>
      <c r="K215" s="156">
        <v>4.5840000000000004E-3</v>
      </c>
      <c r="L215" s="156">
        <v>5.7549999999999997E-3</v>
      </c>
      <c r="M215" s="156">
        <v>8.0470000000000003E-3</v>
      </c>
      <c r="N215" s="138" cm="1">
        <f t="array" aca="1" ref="N215:AE215" ca="1">IF(OR(B215="",NOT($J$2)),"",GetStripDefaultProbability(A215,B215,Parameter_Date,CDSRollDate,E215:M215,SpreadCurveMaturities,D215,C215,$J$4,$J$6))</f>
        <v>0</v>
      </c>
      <c r="O215" s="163">
        <f ca="1"/>
        <v>0</v>
      </c>
      <c r="P215" s="163">
        <f ca="1"/>
        <v>2.4877827699836264E-3</v>
      </c>
      <c r="Q215" s="163">
        <f ca="1"/>
        <v>0</v>
      </c>
      <c r="R215" s="163">
        <f ca="1"/>
        <v>1.32990942205371E-2</v>
      </c>
      <c r="S215" s="163">
        <f ca="1"/>
        <v>0</v>
      </c>
      <c r="T215" s="163">
        <f ca="1"/>
        <v>4.0131264573845193E-2</v>
      </c>
      <c r="U215" s="163">
        <f ca="1"/>
        <v>7.0151798797064346E-2</v>
      </c>
      <c r="V215" s="139">
        <f ca="1"/>
        <v>0.14097601938869664</v>
      </c>
      <c r="W215" s="138">
        <f ca="1"/>
        <v>0</v>
      </c>
      <c r="X215" s="163">
        <f ca="1"/>
        <v>0</v>
      </c>
      <c r="Y215" s="163">
        <f ca="1"/>
        <v>2.6540209526210168E-3</v>
      </c>
      <c r="Z215" s="163">
        <f ca="1"/>
        <v>0</v>
      </c>
      <c r="AA215" s="163">
        <f ca="1"/>
        <v>1.3955969959072445E-2</v>
      </c>
      <c r="AB215" s="163">
        <f ca="1"/>
        <v>0</v>
      </c>
      <c r="AC215" s="163">
        <f ca="1"/>
        <v>4.2098416905390179E-2</v>
      </c>
      <c r="AD215" s="163">
        <f ca="1"/>
        <v>7.3554892899085789E-2</v>
      </c>
      <c r="AE215" s="139">
        <f ca="1"/>
        <v>0.14767015993991972</v>
      </c>
      <c r="AI215" s="136"/>
      <c r="AK215" s="136"/>
      <c r="AM215" s="136"/>
      <c r="AN215" s="136"/>
      <c r="AO215" s="136"/>
      <c r="AR215" s="136"/>
      <c r="AT215" s="136"/>
      <c r="AV215" s="136"/>
      <c r="AW215" s="136"/>
      <c r="AX215" s="136"/>
    </row>
    <row r="216" spans="1:50" s="79" customFormat="1" ht="11.25">
      <c r="A216" s="96">
        <f t="shared" ca="1" si="5"/>
        <v>205</v>
      </c>
      <c r="B216" s="68" t="s">
        <v>293</v>
      </c>
      <c r="C216" s="97">
        <v>0.4</v>
      </c>
      <c r="D216" s="69" t="s">
        <v>67</v>
      </c>
      <c r="E216" s="137" t="s">
        <v>87</v>
      </c>
      <c r="F216" s="156" t="s">
        <v>87</v>
      </c>
      <c r="G216" s="156">
        <v>2.9978999999999999E-2</v>
      </c>
      <c r="H216" s="156" t="s">
        <v>87</v>
      </c>
      <c r="I216" s="156">
        <v>2.785E-2</v>
      </c>
      <c r="J216" s="156" t="s">
        <v>87</v>
      </c>
      <c r="K216" s="156">
        <v>2.5090000000000001E-2</v>
      </c>
      <c r="L216" s="156">
        <v>2.1465999999999999E-2</v>
      </c>
      <c r="M216" s="156">
        <v>1.8398999999999999E-2</v>
      </c>
      <c r="N216" s="138" cm="1">
        <f t="array" aca="1" ref="N216:AE216" ca="1">IF(OR(B216="",NOT($J$2)),"",GetStripDefaultProbability(A216,B216,Parameter_Date,CDSRollDate,E216:M216,SpreadCurveMaturities,D216,C216,$J$4,$J$6))</f>
        <v>0</v>
      </c>
      <c r="O216" s="163">
        <f ca="1"/>
        <v>0</v>
      </c>
      <c r="P216" s="163">
        <f ca="1"/>
        <v>5.3502248223297633E-2</v>
      </c>
      <c r="Q216" s="163">
        <f ca="1"/>
        <v>0</v>
      </c>
      <c r="R216" s="163">
        <f ca="1"/>
        <v>0.13407074851746958</v>
      </c>
      <c r="S216" s="163">
        <f ca="1"/>
        <v>0</v>
      </c>
      <c r="T216" s="163">
        <f ca="1"/>
        <v>0.18967410778488258</v>
      </c>
      <c r="U216" s="163">
        <f ca="1"/>
        <v>0.21403675829345992</v>
      </c>
      <c r="V216" s="139">
        <f ca="1"/>
        <v>0.24414847476513291</v>
      </c>
      <c r="W216" s="138">
        <f ca="1"/>
        <v>0</v>
      </c>
      <c r="X216" s="163">
        <f ca="1"/>
        <v>0</v>
      </c>
      <c r="Y216" s="163">
        <f ca="1"/>
        <v>5.6100860376101402E-2</v>
      </c>
      <c r="Z216" s="163">
        <f ca="1"/>
        <v>0</v>
      </c>
      <c r="AA216" s="163">
        <f ca="1"/>
        <v>0.14026654777088576</v>
      </c>
      <c r="AB216" s="163">
        <f ca="1"/>
        <v>0</v>
      </c>
      <c r="AC216" s="163">
        <f ca="1"/>
        <v>0.19805862432213894</v>
      </c>
      <c r="AD216" s="163">
        <f ca="1"/>
        <v>0.22315081702907347</v>
      </c>
      <c r="AE216" s="139">
        <f ca="1"/>
        <v>0.25411288685997691</v>
      </c>
      <c r="AI216" s="136"/>
      <c r="AK216" s="136"/>
      <c r="AM216" s="136"/>
      <c r="AN216" s="136"/>
      <c r="AO216" s="136"/>
      <c r="AR216" s="136"/>
      <c r="AT216" s="136"/>
      <c r="AV216" s="136"/>
      <c r="AW216" s="136"/>
      <c r="AX216" s="136"/>
    </row>
    <row r="217" spans="1:50" s="79" customFormat="1" ht="11.25">
      <c r="A217" s="96">
        <f t="shared" ca="1" si="5"/>
        <v>206</v>
      </c>
      <c r="B217" s="68" t="s">
        <v>294</v>
      </c>
      <c r="C217" s="97">
        <v>0.4</v>
      </c>
      <c r="D217" s="69" t="s">
        <v>67</v>
      </c>
      <c r="E217" s="137" t="s">
        <v>87</v>
      </c>
      <c r="F217" s="156" t="s">
        <v>87</v>
      </c>
      <c r="G217" s="156">
        <v>1.1770000000000001E-3</v>
      </c>
      <c r="H217" s="156" t="s">
        <v>87</v>
      </c>
      <c r="I217" s="156">
        <v>1.9789999999999999E-3</v>
      </c>
      <c r="J217" s="156" t="s">
        <v>87</v>
      </c>
      <c r="K217" s="156">
        <v>2.4610000000000001E-3</v>
      </c>
      <c r="L217" s="156">
        <v>3.2100000000000002E-3</v>
      </c>
      <c r="M217" s="156">
        <v>4.0119999999999999E-3</v>
      </c>
      <c r="N217" s="138" cm="1">
        <f t="array" aca="1" ref="N217:AE217" ca="1">IF(OR(B217="",NOT($J$2)),"",GetStripDefaultProbability(A217,B217,Parameter_Date,CDSRollDate,E217:M217,SpreadCurveMaturities,D217,C217,$J$4,$J$6))</f>
        <v>0</v>
      </c>
      <c r="O217" s="163">
        <f ca="1"/>
        <v>0</v>
      </c>
      <c r="P217" s="163">
        <f ca="1"/>
        <v>2.1565554575819768E-3</v>
      </c>
      <c r="Q217" s="163">
        <f ca="1"/>
        <v>0</v>
      </c>
      <c r="R217" s="163">
        <f ca="1"/>
        <v>1.0329047521349999E-2</v>
      </c>
      <c r="S217" s="163">
        <f ca="1"/>
        <v>0</v>
      </c>
      <c r="T217" s="163">
        <f ca="1"/>
        <v>2.1270744110319595E-2</v>
      </c>
      <c r="U217" s="163">
        <f ca="1"/>
        <v>3.928442401750698E-2</v>
      </c>
      <c r="V217" s="139">
        <f ca="1"/>
        <v>7.0628919089496534E-2</v>
      </c>
      <c r="W217" s="138">
        <f ca="1"/>
        <v>0</v>
      </c>
      <c r="X217" s="163">
        <f ca="1"/>
        <v>0</v>
      </c>
      <c r="Y217" s="163">
        <f ca="1"/>
        <v>2.3228488401896286E-3</v>
      </c>
      <c r="Z217" s="163">
        <f ca="1"/>
        <v>0</v>
      </c>
      <c r="AA217" s="163">
        <f ca="1"/>
        <v>1.0843676824862314E-2</v>
      </c>
      <c r="AB217" s="163">
        <f ca="1"/>
        <v>0</v>
      </c>
      <c r="AC217" s="163">
        <f ca="1"/>
        <v>2.2318305303532071E-2</v>
      </c>
      <c r="AD217" s="163">
        <f ca="1"/>
        <v>4.1210170943033142E-2</v>
      </c>
      <c r="AE217" s="139">
        <f ca="1"/>
        <v>7.4043062897789391E-2</v>
      </c>
      <c r="AI217" s="136"/>
      <c r="AK217" s="136"/>
      <c r="AM217" s="136"/>
      <c r="AN217" s="136"/>
      <c r="AO217" s="136"/>
      <c r="AR217" s="136"/>
      <c r="AT217" s="136"/>
      <c r="AV217" s="136"/>
      <c r="AW217" s="136"/>
      <c r="AX217" s="136"/>
    </row>
    <row r="218" spans="1:50" s="79" customFormat="1" ht="11.25">
      <c r="A218" s="96">
        <f t="shared" ca="1" si="5"/>
        <v>207</v>
      </c>
      <c r="B218" s="68" t="s">
        <v>295</v>
      </c>
      <c r="C218" s="97">
        <v>0.4</v>
      </c>
      <c r="D218" s="69" t="s">
        <v>67</v>
      </c>
      <c r="E218" s="137" t="s">
        <v>87</v>
      </c>
      <c r="F218" s="156" t="s">
        <v>87</v>
      </c>
      <c r="G218" s="156">
        <v>6.0800000000000003E-4</v>
      </c>
      <c r="H218" s="156" t="s">
        <v>87</v>
      </c>
      <c r="I218" s="156">
        <v>1.688E-3</v>
      </c>
      <c r="J218" s="156" t="s">
        <v>87</v>
      </c>
      <c r="K218" s="156">
        <v>2.5089999999999999E-3</v>
      </c>
      <c r="L218" s="156">
        <v>3.3609999999999998E-3</v>
      </c>
      <c r="M218" s="156">
        <v>4.2129999999999997E-3</v>
      </c>
      <c r="N218" s="138" cm="1">
        <f t="array" aca="1" ref="N218:AE218" ca="1">IF(OR(B218="",NOT($J$2)),"",GetStripDefaultProbability(A218,B218,Parameter_Date,CDSRollDate,E218:M218,SpreadCurveMaturities,D218,C218,$J$4,$J$6))</f>
        <v>0</v>
      </c>
      <c r="O218" s="163">
        <f ca="1"/>
        <v>0</v>
      </c>
      <c r="P218" s="163">
        <f ca="1"/>
        <v>1.1145833190778776E-3</v>
      </c>
      <c r="Q218" s="163">
        <f ca="1"/>
        <v>0</v>
      </c>
      <c r="R218" s="163">
        <f ca="1"/>
        <v>8.8699920627999251E-3</v>
      </c>
      <c r="S218" s="163">
        <f ca="1"/>
        <v>0</v>
      </c>
      <c r="T218" s="163">
        <f ca="1"/>
        <v>2.1951690167319016E-2</v>
      </c>
      <c r="U218" s="163">
        <f ca="1"/>
        <v>4.1487843849469797E-2</v>
      </c>
      <c r="V218" s="139">
        <f ca="1"/>
        <v>7.4491375218599609E-2</v>
      </c>
      <c r="W218" s="138">
        <f ca="1"/>
        <v>0</v>
      </c>
      <c r="X218" s="163">
        <f ca="1"/>
        <v>0</v>
      </c>
      <c r="Y218" s="163">
        <f ca="1"/>
        <v>1.2810503492188818E-3</v>
      </c>
      <c r="Z218" s="163">
        <f ca="1"/>
        <v>0</v>
      </c>
      <c r="AA218" s="163">
        <f ca="1"/>
        <v>9.3855656136173637E-3</v>
      </c>
      <c r="AB218" s="163">
        <f ca="1"/>
        <v>0</v>
      </c>
      <c r="AC218" s="163">
        <f ca="1"/>
        <v>2.3021138319986645E-2</v>
      </c>
      <c r="AD218" s="163">
        <f ca="1"/>
        <v>4.3509491775726272E-2</v>
      </c>
      <c r="AE218" s="139">
        <f ca="1"/>
        <v>7.8076423279897833E-2</v>
      </c>
      <c r="AI218" s="136"/>
      <c r="AK218" s="136"/>
      <c r="AM218" s="136"/>
      <c r="AN218" s="136"/>
      <c r="AO218" s="136"/>
      <c r="AR218" s="136"/>
      <c r="AT218" s="136"/>
      <c r="AV218" s="136"/>
      <c r="AW218" s="136"/>
      <c r="AX218" s="136"/>
    </row>
    <row r="219" spans="1:50" s="79" customFormat="1" ht="11.25">
      <c r="A219" s="96">
        <f t="shared" ca="1" si="5"/>
        <v>208</v>
      </c>
      <c r="B219" s="68" t="s">
        <v>296</v>
      </c>
      <c r="C219" s="97">
        <v>0.4</v>
      </c>
      <c r="D219" s="69" t="s">
        <v>67</v>
      </c>
      <c r="E219" s="137" t="s">
        <v>87</v>
      </c>
      <c r="F219" s="156" t="s">
        <v>87</v>
      </c>
      <c r="G219" s="156">
        <v>2.8519999999999999E-3</v>
      </c>
      <c r="H219" s="156" t="s">
        <v>87</v>
      </c>
      <c r="I219" s="156">
        <v>4.0480000000000004E-3</v>
      </c>
      <c r="J219" s="156" t="s">
        <v>87</v>
      </c>
      <c r="K219" s="156">
        <v>6.8999999999999999E-3</v>
      </c>
      <c r="L219" s="156">
        <v>8.3260000000000001E-3</v>
      </c>
      <c r="M219" s="156">
        <v>1.0028E-2</v>
      </c>
      <c r="N219" s="138" cm="1">
        <f t="array" aca="1" ref="N219:AE219" ca="1">IF(OR(B219="",NOT($J$2)),"",GetStripDefaultProbability(A219,B219,Parameter_Date,CDSRollDate,E219:M219,SpreadCurveMaturities,D219,C219,$J$4,$J$6))</f>
        <v>0</v>
      </c>
      <c r="O219" s="163">
        <f ca="1"/>
        <v>0</v>
      </c>
      <c r="P219" s="163">
        <f ca="1"/>
        <v>5.2176222135793537E-3</v>
      </c>
      <c r="Q219" s="163">
        <f ca="1"/>
        <v>0</v>
      </c>
      <c r="R219" s="163">
        <f ca="1"/>
        <v>2.0966673196596619E-2</v>
      </c>
      <c r="S219" s="163">
        <f ca="1"/>
        <v>0</v>
      </c>
      <c r="T219" s="163">
        <f ca="1"/>
        <v>5.9733045005946894E-2</v>
      </c>
      <c r="U219" s="163">
        <f ca="1"/>
        <v>9.9671394203209696E-2</v>
      </c>
      <c r="V219" s="139">
        <f ca="1"/>
        <v>0.16875834057243599</v>
      </c>
      <c r="W219" s="138">
        <f ca="1"/>
        <v>0</v>
      </c>
      <c r="X219" s="163">
        <f ca="1"/>
        <v>0</v>
      </c>
      <c r="Y219" s="163">
        <f ca="1"/>
        <v>5.4776609174906898E-3</v>
      </c>
      <c r="Z219" s="163">
        <f ca="1"/>
        <v>0</v>
      </c>
      <c r="AA219" s="163">
        <f ca="1"/>
        <v>2.2002459744477565E-2</v>
      </c>
      <c r="AB219" s="163">
        <f ca="1"/>
        <v>0</v>
      </c>
      <c r="AC219" s="163">
        <f ca="1"/>
        <v>6.2636449338927092E-2</v>
      </c>
      <c r="AD219" s="163">
        <f ca="1"/>
        <v>0.10444174386932858</v>
      </c>
      <c r="AE219" s="139">
        <f ca="1"/>
        <v>0.17662004415045018</v>
      </c>
      <c r="AI219" s="136"/>
      <c r="AK219" s="136"/>
      <c r="AM219" s="136"/>
      <c r="AN219" s="136"/>
      <c r="AO219" s="136"/>
      <c r="AR219" s="136"/>
      <c r="AT219" s="136"/>
      <c r="AV219" s="136"/>
      <c r="AW219" s="136"/>
      <c r="AX219" s="136"/>
    </row>
    <row r="220" spans="1:50" s="79" customFormat="1" ht="11.25">
      <c r="A220" s="96">
        <f t="shared" ca="1" si="5"/>
        <v>209</v>
      </c>
      <c r="B220" s="68" t="s">
        <v>297</v>
      </c>
      <c r="C220" s="97">
        <v>0.4</v>
      </c>
      <c r="D220" s="69" t="s">
        <v>67</v>
      </c>
      <c r="E220" s="137" t="s">
        <v>87</v>
      </c>
      <c r="F220" s="156" t="s">
        <v>87</v>
      </c>
      <c r="G220" s="156">
        <v>1.1709999999999999E-3</v>
      </c>
      <c r="H220" s="156" t="s">
        <v>87</v>
      </c>
      <c r="I220" s="156">
        <v>2.1580000000000002E-3</v>
      </c>
      <c r="J220" s="156" t="s">
        <v>87</v>
      </c>
      <c r="K220" s="156">
        <v>3.3289999999999999E-3</v>
      </c>
      <c r="L220" s="156">
        <v>3.5130000000000001E-3</v>
      </c>
      <c r="M220" s="156">
        <v>4.032E-3</v>
      </c>
      <c r="N220" s="138" cm="1">
        <f t="array" aca="1" ref="N220:AE220" ca="1">IF(OR(B220="",NOT($J$2)),"",GetStripDefaultProbability(A220,B220,Parameter_Date,CDSRollDate,E220:M220,SpreadCurveMaturities,D220,C220,$J$4,$J$6))</f>
        <v>0</v>
      </c>
      <c r="O220" s="163">
        <f ca="1"/>
        <v>0</v>
      </c>
      <c r="P220" s="163">
        <f ca="1"/>
        <v>2.1455736793487556E-3</v>
      </c>
      <c r="Q220" s="163">
        <f ca="1"/>
        <v>0</v>
      </c>
      <c r="R220" s="163">
        <f ca="1"/>
        <v>1.1274489410885047E-2</v>
      </c>
      <c r="S220" s="163">
        <f ca="1"/>
        <v>0</v>
      </c>
      <c r="T220" s="163">
        <f ca="1"/>
        <v>2.9046045438589685E-2</v>
      </c>
      <c r="U220" s="163">
        <f ca="1"/>
        <v>4.2266626852929368E-2</v>
      </c>
      <c r="V220" s="139">
        <f ca="1"/>
        <v>6.9351557424497834E-2</v>
      </c>
      <c r="W220" s="138">
        <f ca="1"/>
        <v>0</v>
      </c>
      <c r="X220" s="163">
        <f ca="1"/>
        <v>0</v>
      </c>
      <c r="Y220" s="163">
        <f ca="1"/>
        <v>2.3118688920659158E-3</v>
      </c>
      <c r="Z220" s="163">
        <f ca="1"/>
        <v>0</v>
      </c>
      <c r="AA220" s="163">
        <f ca="1"/>
        <v>1.1830246259515009E-2</v>
      </c>
      <c r="AB220" s="163">
        <f ca="1"/>
        <v>0</v>
      </c>
      <c r="AC220" s="163">
        <f ca="1"/>
        <v>3.0474482082892607E-2</v>
      </c>
      <c r="AD220" s="163">
        <f ca="1"/>
        <v>4.4335007571699392E-2</v>
      </c>
      <c r="AE220" s="139">
        <f ca="1"/>
        <v>7.2698987488760691E-2</v>
      </c>
      <c r="AI220" s="136"/>
      <c r="AK220" s="136"/>
      <c r="AM220" s="136"/>
      <c r="AN220" s="136"/>
      <c r="AO220" s="136"/>
      <c r="AR220" s="136"/>
      <c r="AT220" s="136"/>
      <c r="AV220" s="136"/>
      <c r="AW220" s="136"/>
      <c r="AX220" s="136"/>
    </row>
    <row r="221" spans="1:50" s="79" customFormat="1" ht="11.25">
      <c r="A221" s="96">
        <f t="shared" ca="1" si="5"/>
        <v>210</v>
      </c>
      <c r="B221" s="68" t="s">
        <v>298</v>
      </c>
      <c r="C221" s="97">
        <v>0.4</v>
      </c>
      <c r="D221" s="69" t="s">
        <v>67</v>
      </c>
      <c r="E221" s="137" t="s">
        <v>87</v>
      </c>
      <c r="F221" s="156" t="s">
        <v>87</v>
      </c>
      <c r="G221" s="156">
        <v>8.4699999999999999E-4</v>
      </c>
      <c r="H221" s="156" t="s">
        <v>87</v>
      </c>
      <c r="I221" s="156">
        <v>2.3890000000000001E-3</v>
      </c>
      <c r="J221" s="156" t="s">
        <v>87</v>
      </c>
      <c r="K221" s="156">
        <v>3.8119999999999999E-3</v>
      </c>
      <c r="L221" s="156">
        <v>5.0819999999999997E-3</v>
      </c>
      <c r="M221" s="156">
        <v>7.1149999999999998E-3</v>
      </c>
      <c r="N221" s="138" cm="1">
        <f t="array" aca="1" ref="N221:AE221" ca="1">IF(OR(B221="",NOT($J$2)),"",GetStripDefaultProbability(A221,B221,Parameter_Date,CDSRollDate,E221:M221,SpreadCurveMaturities,D221,C221,$J$4,$J$6))</f>
        <v>0</v>
      </c>
      <c r="O221" s="163">
        <f ca="1"/>
        <v>0</v>
      </c>
      <c r="P221" s="163">
        <f ca="1"/>
        <v>1.5523796304932613E-3</v>
      </c>
      <c r="Q221" s="163">
        <f ca="1"/>
        <v>0</v>
      </c>
      <c r="R221" s="163">
        <f ca="1"/>
        <v>1.2538034273403054E-2</v>
      </c>
      <c r="S221" s="163">
        <f ca="1"/>
        <v>0</v>
      </c>
      <c r="T221" s="163">
        <f ca="1"/>
        <v>3.3329567719508679E-2</v>
      </c>
      <c r="U221" s="163">
        <f ca="1"/>
        <v>6.2362674446331479E-2</v>
      </c>
      <c r="V221" s="139">
        <f ca="1"/>
        <v>0.12560320201900821</v>
      </c>
      <c r="W221" s="138">
        <f ca="1"/>
        <v>0</v>
      </c>
      <c r="X221" s="163">
        <f ca="1"/>
        <v>0</v>
      </c>
      <c r="Y221" s="163">
        <f ca="1"/>
        <v>1.7187737006508774E-3</v>
      </c>
      <c r="Z221" s="163">
        <f ca="1"/>
        <v>0</v>
      </c>
      <c r="AA221" s="163">
        <f ca="1"/>
        <v>1.3153962548837939E-2</v>
      </c>
      <c r="AB221" s="163">
        <f ca="1"/>
        <v>0</v>
      </c>
      <c r="AC221" s="163">
        <f ca="1"/>
        <v>3.4964229093796262E-2</v>
      </c>
      <c r="AD221" s="163">
        <f ca="1"/>
        <v>6.5394434170703453E-2</v>
      </c>
      <c r="AE221" s="139">
        <f ca="1"/>
        <v>0.13160139803504256</v>
      </c>
      <c r="AI221" s="136"/>
      <c r="AK221" s="136"/>
      <c r="AM221" s="136"/>
      <c r="AN221" s="136"/>
      <c r="AO221" s="136"/>
      <c r="AR221" s="136"/>
      <c r="AT221" s="136"/>
      <c r="AV221" s="136"/>
      <c r="AW221" s="136"/>
      <c r="AX221" s="136"/>
    </row>
    <row r="222" spans="1:50" s="79" customFormat="1" ht="11.25">
      <c r="A222" s="96">
        <f t="shared" ca="1" si="5"/>
        <v>211</v>
      </c>
      <c r="B222" s="68" t="s">
        <v>299</v>
      </c>
      <c r="C222" s="97">
        <v>0.4</v>
      </c>
      <c r="D222" s="69" t="s">
        <v>67</v>
      </c>
      <c r="E222" s="137" t="s">
        <v>87</v>
      </c>
      <c r="F222" s="156" t="s">
        <v>87</v>
      </c>
      <c r="G222" s="156">
        <v>9.6699999999999998E-4</v>
      </c>
      <c r="H222" s="156" t="s">
        <v>87</v>
      </c>
      <c r="I222" s="156">
        <v>2.1649999999999998E-3</v>
      </c>
      <c r="J222" s="156" t="s">
        <v>87</v>
      </c>
      <c r="K222" s="156">
        <v>2.7989999999999998E-3</v>
      </c>
      <c r="L222" s="156">
        <v>3.643E-3</v>
      </c>
      <c r="M222" s="156">
        <v>4.594E-3</v>
      </c>
      <c r="N222" s="138" cm="1">
        <f t="array" aca="1" ref="N222:AE222" ca="1">IF(OR(B222="",NOT($J$2)),"",GetStripDefaultProbability(A222,B222,Parameter_Date,CDSRollDate,E222:M222,SpreadCurveMaturities,D222,C222,$J$4,$J$6))</f>
        <v>0</v>
      </c>
      <c r="O222" s="163">
        <f ca="1"/>
        <v>0</v>
      </c>
      <c r="P222" s="163">
        <f ca="1"/>
        <v>1.7721218979241948E-3</v>
      </c>
      <c r="Q222" s="163">
        <f ca="1"/>
        <v>0</v>
      </c>
      <c r="R222" s="163">
        <f ca="1"/>
        <v>1.1339751010200128E-2</v>
      </c>
      <c r="S222" s="163">
        <f ca="1"/>
        <v>0</v>
      </c>
      <c r="T222" s="163">
        <f ca="1"/>
        <v>2.4264356681887422E-2</v>
      </c>
      <c r="U222" s="163">
        <f ca="1"/>
        <v>4.4589316855764061E-2</v>
      </c>
      <c r="V222" s="139">
        <f ca="1"/>
        <v>8.0777322465877655E-2</v>
      </c>
      <c r="W222" s="138">
        <f ca="1"/>
        <v>0</v>
      </c>
      <c r="X222" s="163">
        <f ca="1"/>
        <v>0</v>
      </c>
      <c r="Y222" s="163">
        <f ca="1"/>
        <v>1.9384793474453987E-3</v>
      </c>
      <c r="Z222" s="163">
        <f ca="1"/>
        <v>0</v>
      </c>
      <c r="AA222" s="163">
        <f ca="1"/>
        <v>1.1897367174459328E-2</v>
      </c>
      <c r="AB222" s="163">
        <f ca="1"/>
        <v>0</v>
      </c>
      <c r="AC222" s="163">
        <f ca="1"/>
        <v>2.5457767105122597E-2</v>
      </c>
      <c r="AD222" s="163">
        <f ca="1"/>
        <v>4.6770306619367985E-2</v>
      </c>
      <c r="AE222" s="139">
        <f ca="1"/>
        <v>8.4663773422780642E-2</v>
      </c>
      <c r="AI222" s="136"/>
      <c r="AK222" s="136"/>
      <c r="AM222" s="136"/>
      <c r="AN222" s="136"/>
      <c r="AO222" s="136"/>
      <c r="AR222" s="136"/>
      <c r="AT222" s="136"/>
      <c r="AV222" s="136"/>
      <c r="AW222" s="136"/>
      <c r="AX222" s="136"/>
    </row>
    <row r="223" spans="1:50" s="79" customFormat="1" ht="11.25">
      <c r="A223" s="96">
        <f t="shared" ca="1" si="5"/>
        <v>212</v>
      </c>
      <c r="B223" s="68" t="s">
        <v>300</v>
      </c>
      <c r="C223" s="97">
        <v>0.4</v>
      </c>
      <c r="D223" s="69" t="s">
        <v>67</v>
      </c>
      <c r="E223" s="137" t="s">
        <v>87</v>
      </c>
      <c r="F223" s="156" t="s">
        <v>87</v>
      </c>
      <c r="G223" s="156">
        <v>5.0900000000000001E-4</v>
      </c>
      <c r="H223" s="156" t="s">
        <v>87</v>
      </c>
      <c r="I223" s="156">
        <v>1.818E-3</v>
      </c>
      <c r="J223" s="156" t="s">
        <v>87</v>
      </c>
      <c r="K223" s="156">
        <v>2.7499999999999998E-3</v>
      </c>
      <c r="L223" s="156">
        <v>3.4499999999999999E-3</v>
      </c>
      <c r="M223" s="156">
        <v>4.45E-3</v>
      </c>
      <c r="N223" s="138" cm="1">
        <f t="array" aca="1" ref="N223:AE223" ca="1">IF(OR(B223="",NOT($J$2)),"",GetStripDefaultProbability(A223,B223,Parameter_Date,CDSRollDate,E223:M223,SpreadCurveMaturities,D223,C223,$J$4,$J$6))</f>
        <v>0</v>
      </c>
      <c r="O223" s="163">
        <f ca="1"/>
        <v>0</v>
      </c>
      <c r="P223" s="163">
        <f ca="1"/>
        <v>9.3318095204109053E-4</v>
      </c>
      <c r="Q223" s="163">
        <f ca="1"/>
        <v>0</v>
      </c>
      <c r="R223" s="163">
        <f ca="1"/>
        <v>9.5706802839248262E-3</v>
      </c>
      <c r="S223" s="163">
        <f ca="1"/>
        <v>0</v>
      </c>
      <c r="T223" s="163">
        <f ca="1"/>
        <v>2.4082448214198471E-2</v>
      </c>
      <c r="U223" s="163">
        <f ca="1"/>
        <v>4.2348394323599825E-2</v>
      </c>
      <c r="V223" s="139">
        <f ca="1"/>
        <v>7.8667632429921475E-2</v>
      </c>
      <c r="W223" s="138">
        <f ca="1"/>
        <v>0</v>
      </c>
      <c r="X223" s="163">
        <f ca="1"/>
        <v>0</v>
      </c>
      <c r="Y223" s="163">
        <f ca="1"/>
        <v>1.0996782133773086E-3</v>
      </c>
      <c r="Z223" s="163">
        <f ca="1"/>
        <v>0</v>
      </c>
      <c r="AA223" s="163">
        <f ca="1"/>
        <v>1.0085894974869003E-2</v>
      </c>
      <c r="AB223" s="163">
        <f ca="1"/>
        <v>0</v>
      </c>
      <c r="AC223" s="163">
        <f ca="1"/>
        <v>2.5259273278895988E-2</v>
      </c>
      <c r="AD223" s="163">
        <f ca="1"/>
        <v>4.4414024482039571E-2</v>
      </c>
      <c r="AE223" s="139">
        <f ca="1"/>
        <v>8.2449042783154125E-2</v>
      </c>
      <c r="AI223" s="136"/>
      <c r="AK223" s="136"/>
      <c r="AM223" s="136"/>
      <c r="AN223" s="136"/>
      <c r="AO223" s="136"/>
      <c r="AR223" s="136"/>
      <c r="AT223" s="136"/>
      <c r="AV223" s="136"/>
      <c r="AW223" s="136"/>
      <c r="AX223" s="136"/>
    </row>
    <row r="224" spans="1:50" s="79" customFormat="1" ht="11.25">
      <c r="A224" s="96">
        <f t="shared" ca="1" si="5"/>
        <v>213</v>
      </c>
      <c r="B224" s="68" t="s">
        <v>301</v>
      </c>
      <c r="C224" s="97">
        <v>0.4</v>
      </c>
      <c r="D224" s="69" t="s">
        <v>67</v>
      </c>
      <c r="E224" s="137" t="s">
        <v>87</v>
      </c>
      <c r="F224" s="156" t="s">
        <v>87</v>
      </c>
      <c r="G224" s="156">
        <v>3.7399999999999998E-4</v>
      </c>
      <c r="H224" s="156" t="s">
        <v>87</v>
      </c>
      <c r="I224" s="156">
        <v>1.689E-3</v>
      </c>
      <c r="J224" s="156" t="s">
        <v>87</v>
      </c>
      <c r="K224" s="156">
        <v>2.6540000000000001E-3</v>
      </c>
      <c r="L224" s="156">
        <v>3.8119999999999999E-3</v>
      </c>
      <c r="M224" s="156">
        <v>5.0660000000000002E-3</v>
      </c>
      <c r="N224" s="138" cm="1">
        <f t="array" aca="1" ref="N224:AE224" ca="1">IF(OR(B224="",NOT($J$2)),"",GetStripDefaultProbability(A224,B224,Parameter_Date,CDSRollDate,E224:M224,SpreadCurveMaturities,D224,C224,$J$4,$J$6))</f>
        <v>0</v>
      </c>
      <c r="O224" s="163">
        <f ca="1"/>
        <v>0</v>
      </c>
      <c r="P224" s="163">
        <f ca="1"/>
        <v>6.8576140783715989E-4</v>
      </c>
      <c r="Q224" s="163">
        <f ca="1"/>
        <v>0</v>
      </c>
      <c r="R224" s="163">
        <f ca="1"/>
        <v>8.9072883591244656E-3</v>
      </c>
      <c r="S224" s="163">
        <f ca="1"/>
        <v>0</v>
      </c>
      <c r="T224" s="163">
        <f ca="1"/>
        <v>2.3302562328771814E-2</v>
      </c>
      <c r="U224" s="163">
        <f ca="1"/>
        <v>4.7351659566268745E-2</v>
      </c>
      <c r="V224" s="139">
        <f ca="1"/>
        <v>9.0215664526456352E-2</v>
      </c>
      <c r="W224" s="138">
        <f ca="1"/>
        <v>0</v>
      </c>
      <c r="X224" s="163">
        <f ca="1"/>
        <v>0</v>
      </c>
      <c r="Y224" s="163">
        <f ca="1"/>
        <v>8.5229990233026687E-4</v>
      </c>
      <c r="Z224" s="163">
        <f ca="1"/>
        <v>0</v>
      </c>
      <c r="AA224" s="163">
        <f ca="1"/>
        <v>9.4229031815019626E-3</v>
      </c>
      <c r="AB224" s="163">
        <f ca="1"/>
        <v>0</v>
      </c>
      <c r="AC224" s="163">
        <f ca="1"/>
        <v>2.4436782278102198E-2</v>
      </c>
      <c r="AD224" s="163">
        <f ca="1"/>
        <v>4.9655512599101392E-2</v>
      </c>
      <c r="AE224" s="139">
        <f ca="1"/>
        <v>9.4563933950882584E-2</v>
      </c>
      <c r="AI224" s="136"/>
      <c r="AK224" s="136"/>
      <c r="AM224" s="136"/>
      <c r="AN224" s="136"/>
      <c r="AO224" s="136"/>
      <c r="AR224" s="136"/>
      <c r="AT224" s="136"/>
      <c r="AV224" s="136"/>
      <c r="AW224" s="136"/>
      <c r="AX224" s="136"/>
    </row>
    <row r="225" spans="1:50" s="79" customFormat="1" ht="11.25">
      <c r="A225" s="96">
        <f t="shared" ca="1" si="5"/>
        <v>214</v>
      </c>
      <c r="B225" s="68" t="s">
        <v>302</v>
      </c>
      <c r="C225" s="97">
        <v>0.4</v>
      </c>
      <c r="D225" s="69" t="s">
        <v>67</v>
      </c>
      <c r="E225" s="137" t="s">
        <v>87</v>
      </c>
      <c r="F225" s="156" t="s">
        <v>87</v>
      </c>
      <c r="G225" s="156">
        <v>6.2200000000000005E-4</v>
      </c>
      <c r="H225" s="156" t="s">
        <v>87</v>
      </c>
      <c r="I225" s="156">
        <v>2.343E-3</v>
      </c>
      <c r="J225" s="156" t="s">
        <v>87</v>
      </c>
      <c r="K225" s="156">
        <v>3.2330000000000002E-3</v>
      </c>
      <c r="L225" s="156">
        <v>4.2170000000000003E-3</v>
      </c>
      <c r="M225" s="156">
        <v>5.1539999999999997E-3</v>
      </c>
      <c r="N225" s="138" cm="1">
        <f t="array" aca="1" ref="N225:AE225" ca="1">IF(OR(B225="",NOT($J$2)),"",GetStripDefaultProbability(A225,B225,Parameter_Date,CDSRollDate,E225:M225,SpreadCurveMaturities,D225,C225,$J$4,$J$6))</f>
        <v>0</v>
      </c>
      <c r="O225" s="163">
        <f ca="1"/>
        <v>0</v>
      </c>
      <c r="P225" s="163">
        <f ca="1"/>
        <v>1.1402335415195974E-3</v>
      </c>
      <c r="Q225" s="163">
        <f ca="1"/>
        <v>0</v>
      </c>
      <c r="R225" s="163">
        <f ca="1"/>
        <v>1.232690522352009E-2</v>
      </c>
      <c r="S225" s="163">
        <f ca="1"/>
        <v>0</v>
      </c>
      <c r="T225" s="163">
        <f ca="1"/>
        <v>2.8146982220427774E-2</v>
      </c>
      <c r="U225" s="163">
        <f ca="1"/>
        <v>5.1658896839228086E-2</v>
      </c>
      <c r="V225" s="139">
        <f ca="1"/>
        <v>9.0038669762353529E-2</v>
      </c>
      <c r="W225" s="138">
        <f ca="1"/>
        <v>0</v>
      </c>
      <c r="X225" s="163">
        <f ca="1"/>
        <v>0</v>
      </c>
      <c r="Y225" s="163">
        <f ca="1"/>
        <v>1.3066962969860985E-3</v>
      </c>
      <c r="Z225" s="163">
        <f ca="1"/>
        <v>0</v>
      </c>
      <c r="AA225" s="163">
        <f ca="1"/>
        <v>1.2930908913844741E-2</v>
      </c>
      <c r="AB225" s="163">
        <f ca="1"/>
        <v>0</v>
      </c>
      <c r="AC225" s="163">
        <f ca="1"/>
        <v>2.9527850175161463E-2</v>
      </c>
      <c r="AD225" s="163">
        <f ca="1"/>
        <v>5.4177396809594103E-2</v>
      </c>
      <c r="AE225" s="139">
        <f ca="1"/>
        <v>9.4349755206797559E-2</v>
      </c>
      <c r="AI225" s="136"/>
      <c r="AK225" s="136"/>
      <c r="AM225" s="136"/>
      <c r="AN225" s="136"/>
      <c r="AO225" s="136"/>
      <c r="AR225" s="136"/>
      <c r="AT225" s="136"/>
      <c r="AV225" s="136"/>
      <c r="AW225" s="136"/>
      <c r="AX225" s="136"/>
    </row>
    <row r="226" spans="1:50" s="79" customFormat="1" ht="11.25">
      <c r="A226" s="96">
        <f t="shared" ca="1" si="5"/>
        <v>215</v>
      </c>
      <c r="B226" s="68" t="s">
        <v>303</v>
      </c>
      <c r="C226" s="97">
        <v>0.4</v>
      </c>
      <c r="D226" s="69" t="s">
        <v>67</v>
      </c>
      <c r="E226" s="137" t="s">
        <v>87</v>
      </c>
      <c r="F226" s="156" t="s">
        <v>87</v>
      </c>
      <c r="G226" s="156">
        <v>7.2400000000000003E-4</v>
      </c>
      <c r="H226" s="156" t="s">
        <v>87</v>
      </c>
      <c r="I226" s="156">
        <v>1.5920000000000001E-3</v>
      </c>
      <c r="J226" s="156" t="s">
        <v>87</v>
      </c>
      <c r="K226" s="156">
        <v>2.5569999999999998E-3</v>
      </c>
      <c r="L226" s="156">
        <v>2.97E-3</v>
      </c>
      <c r="M226" s="156">
        <v>4.0010000000000002E-3</v>
      </c>
      <c r="N226" s="138" cm="1">
        <f t="array" aca="1" ref="N226:AE226" ca="1">IF(OR(B226="",NOT($J$2)),"",GetStripDefaultProbability(A226,B226,Parameter_Date,CDSRollDate,E226:M226,SpreadCurveMaturities,D226,C226,$J$4,$J$6))</f>
        <v>0</v>
      </c>
      <c r="O226" s="163">
        <f ca="1"/>
        <v>0</v>
      </c>
      <c r="P226" s="163">
        <f ca="1"/>
        <v>1.3270940104377349E-3</v>
      </c>
      <c r="Q226" s="163">
        <f ca="1"/>
        <v>0</v>
      </c>
      <c r="R226" s="163">
        <f ca="1"/>
        <v>8.3466040928776852E-3</v>
      </c>
      <c r="S226" s="163">
        <f ca="1"/>
        <v>0</v>
      </c>
      <c r="T226" s="163">
        <f ca="1"/>
        <v>2.2426702605640836E-2</v>
      </c>
      <c r="U226" s="163">
        <f ca="1"/>
        <v>3.6275391519006051E-2</v>
      </c>
      <c r="V226" s="139">
        <f ca="1"/>
        <v>7.1101313913912056E-2</v>
      </c>
      <c r="W226" s="138">
        <f ca="1"/>
        <v>0</v>
      </c>
      <c r="X226" s="163">
        <f ca="1"/>
        <v>0</v>
      </c>
      <c r="Y226" s="163">
        <f ca="1"/>
        <v>1.4935256250961926E-3</v>
      </c>
      <c r="Z226" s="163">
        <f ca="1"/>
        <v>0</v>
      </c>
      <c r="AA226" s="163">
        <f ca="1"/>
        <v>8.862424780921585E-3</v>
      </c>
      <c r="AB226" s="163">
        <f ca="1"/>
        <v>0</v>
      </c>
      <c r="AC226" s="163">
        <f ca="1"/>
        <v>2.3517542593671781E-2</v>
      </c>
      <c r="AD226" s="163">
        <f ca="1"/>
        <v>3.8041830133899612E-2</v>
      </c>
      <c r="AE226" s="139">
        <f ca="1"/>
        <v>7.4523917418743202E-2</v>
      </c>
      <c r="AI226" s="136"/>
      <c r="AK226" s="136"/>
      <c r="AM226" s="136"/>
      <c r="AN226" s="136"/>
      <c r="AO226" s="136"/>
      <c r="AR226" s="136"/>
      <c r="AT226" s="136"/>
      <c r="AV226" s="136"/>
      <c r="AW226" s="136"/>
      <c r="AX226" s="136"/>
    </row>
    <row r="227" spans="1:50" s="79" customFormat="1" ht="11.25">
      <c r="A227" s="96">
        <f t="shared" ca="1" si="5"/>
        <v>216</v>
      </c>
      <c r="B227" s="68" t="s">
        <v>304</v>
      </c>
      <c r="C227" s="97">
        <v>0.4</v>
      </c>
      <c r="D227" s="69" t="s">
        <v>67</v>
      </c>
      <c r="E227" s="137" t="s">
        <v>87</v>
      </c>
      <c r="F227" s="156" t="s">
        <v>87</v>
      </c>
      <c r="G227" s="156">
        <v>4.4999999999999999E-4</v>
      </c>
      <c r="H227" s="156" t="s">
        <v>87</v>
      </c>
      <c r="I227" s="156">
        <v>1.158E-3</v>
      </c>
      <c r="J227" s="156" t="s">
        <v>87</v>
      </c>
      <c r="K227" s="156">
        <v>2.0270000000000002E-3</v>
      </c>
      <c r="L227" s="156">
        <v>2.6540000000000001E-3</v>
      </c>
      <c r="M227" s="156">
        <v>3.571E-3</v>
      </c>
      <c r="N227" s="138" cm="1">
        <f t="array" aca="1" ref="N227:AE227" ca="1">IF(OR(B227="",NOT($J$2)),"",GetStripDefaultProbability(A227,B227,Parameter_Date,CDSRollDate,E227:M227,SpreadCurveMaturities,D227,C227,$J$4,$J$6))</f>
        <v>0</v>
      </c>
      <c r="O227" s="163">
        <f ca="1"/>
        <v>0</v>
      </c>
      <c r="P227" s="163">
        <f ca="1"/>
        <v>8.2505692620782334E-4</v>
      </c>
      <c r="Q227" s="163">
        <f ca="1"/>
        <v>0</v>
      </c>
      <c r="R227" s="163">
        <f ca="1"/>
        <v>6.0869590510884697E-3</v>
      </c>
      <c r="S227" s="163">
        <f ca="1"/>
        <v>0</v>
      </c>
      <c r="T227" s="163">
        <f ca="1"/>
        <v>1.7882663547418076E-2</v>
      </c>
      <c r="U227" s="163">
        <f ca="1"/>
        <v>3.2914321777638755E-2</v>
      </c>
      <c r="V227" s="139">
        <f ca="1"/>
        <v>6.4074412168139028E-2</v>
      </c>
      <c r="W227" s="138">
        <f ca="1"/>
        <v>0</v>
      </c>
      <c r="X227" s="163">
        <f ca="1"/>
        <v>0</v>
      </c>
      <c r="Y227" s="163">
        <f ca="1"/>
        <v>9.915722067374011E-4</v>
      </c>
      <c r="Z227" s="163">
        <f ca="1"/>
        <v>0</v>
      </c>
      <c r="AA227" s="163">
        <f ca="1"/>
        <v>6.6040261495735608E-3</v>
      </c>
      <c r="AB227" s="163">
        <f ca="1"/>
        <v>0</v>
      </c>
      <c r="AC227" s="163">
        <f ca="1"/>
        <v>1.8736799879080723E-2</v>
      </c>
      <c r="AD227" s="163">
        <f ca="1"/>
        <v>3.4504985773567975E-2</v>
      </c>
      <c r="AE227" s="139">
        <f ca="1"/>
        <v>6.715607533384893E-2</v>
      </c>
      <c r="AI227" s="136"/>
      <c r="AK227" s="136"/>
      <c r="AM227" s="136"/>
      <c r="AN227" s="136"/>
      <c r="AO227" s="136"/>
      <c r="AR227" s="136"/>
      <c r="AT227" s="136"/>
      <c r="AV227" s="136"/>
      <c r="AW227" s="136"/>
      <c r="AX227" s="136"/>
    </row>
    <row r="228" spans="1:50" s="79" customFormat="1" ht="11.25">
      <c r="A228" s="96">
        <f t="shared" ca="1" si="5"/>
        <v>217</v>
      </c>
      <c r="B228" s="68" t="s">
        <v>305</v>
      </c>
      <c r="C228" s="97">
        <v>0.4</v>
      </c>
      <c r="D228" s="69" t="s">
        <v>67</v>
      </c>
      <c r="E228" s="137" t="s">
        <v>87</v>
      </c>
      <c r="F228" s="156" t="s">
        <v>87</v>
      </c>
      <c r="G228" s="156">
        <v>5.31E-4</v>
      </c>
      <c r="H228" s="156" t="s">
        <v>87</v>
      </c>
      <c r="I228" s="156">
        <v>1.6410000000000001E-3</v>
      </c>
      <c r="J228" s="156" t="s">
        <v>87</v>
      </c>
      <c r="K228" s="156">
        <v>2.6540000000000001E-3</v>
      </c>
      <c r="L228" s="156">
        <v>3.764E-3</v>
      </c>
      <c r="M228" s="156">
        <v>4.8250000000000003E-3</v>
      </c>
      <c r="N228" s="138" cm="1">
        <f t="array" aca="1" ref="N228:AE228" ca="1">IF(OR(B228="",NOT($J$2)),"",GetStripDefaultProbability(A228,B228,Parameter_Date,CDSRollDate,E228:M228,SpreadCurveMaturities,D228,C228,$J$4,$J$6))</f>
        <v>0</v>
      </c>
      <c r="O228" s="163">
        <f ca="1"/>
        <v>0</v>
      </c>
      <c r="P228" s="163">
        <f ca="1"/>
        <v>9.7349541371094528E-4</v>
      </c>
      <c r="Q228" s="163">
        <f ca="1"/>
        <v>0</v>
      </c>
      <c r="R228" s="163">
        <f ca="1"/>
        <v>8.632025633164897E-3</v>
      </c>
      <c r="S228" s="163">
        <f ca="1"/>
        <v>0</v>
      </c>
      <c r="T228" s="163">
        <f ca="1"/>
        <v>2.3307949034795161E-2</v>
      </c>
      <c r="U228" s="163">
        <f ca="1"/>
        <v>4.6720184874285642E-2</v>
      </c>
      <c r="V228" s="139">
        <f ca="1"/>
        <v>8.5605931336502294E-2</v>
      </c>
      <c r="W228" s="138">
        <f ca="1"/>
        <v>0</v>
      </c>
      <c r="X228" s="163">
        <f ca="1"/>
        <v>0</v>
      </c>
      <c r="Y228" s="163">
        <f ca="1"/>
        <v>1.1399859565527359E-3</v>
      </c>
      <c r="Z228" s="163">
        <f ca="1"/>
        <v>0</v>
      </c>
      <c r="AA228" s="163">
        <f ca="1"/>
        <v>9.1477485431276095E-3</v>
      </c>
      <c r="AB228" s="163">
        <f ca="1"/>
        <v>0</v>
      </c>
      <c r="AC228" s="163">
        <f ca="1"/>
        <v>2.4442102716419445E-2</v>
      </c>
      <c r="AD228" s="163">
        <f ca="1"/>
        <v>4.8993284914382929E-2</v>
      </c>
      <c r="AE228" s="139">
        <f ca="1"/>
        <v>8.9708377823802143E-2</v>
      </c>
      <c r="AI228" s="136"/>
      <c r="AK228" s="136"/>
      <c r="AM228" s="136"/>
      <c r="AN228" s="136"/>
      <c r="AO228" s="136"/>
      <c r="AR228" s="136"/>
      <c r="AT228" s="136"/>
      <c r="AV228" s="136"/>
      <c r="AW228" s="136"/>
      <c r="AX228" s="136"/>
    </row>
    <row r="229" spans="1:50" s="79" customFormat="1" ht="11.25">
      <c r="A229" s="96">
        <f t="shared" ca="1" si="5"/>
        <v>218</v>
      </c>
      <c r="B229" s="68" t="s">
        <v>306</v>
      </c>
      <c r="C229" s="97">
        <v>0.4</v>
      </c>
      <c r="D229" s="69" t="s">
        <v>67</v>
      </c>
      <c r="E229" s="137" t="s">
        <v>87</v>
      </c>
      <c r="F229" s="156" t="s">
        <v>87</v>
      </c>
      <c r="G229" s="156">
        <v>1.544E-3</v>
      </c>
      <c r="H229" s="156" t="s">
        <v>87</v>
      </c>
      <c r="I229" s="156">
        <v>2.2200000000000002E-3</v>
      </c>
      <c r="J229" s="156" t="s">
        <v>87</v>
      </c>
      <c r="K229" s="156">
        <v>2.9919999999999999E-3</v>
      </c>
      <c r="L229" s="156">
        <v>3.9569999999999996E-3</v>
      </c>
      <c r="M229" s="156">
        <v>5.2110000000000004E-3</v>
      </c>
      <c r="N229" s="138" cm="1">
        <f t="array" aca="1" ref="N229:AE229" ca="1">IF(OR(B229="",NOT($J$2)),"",GetStripDefaultProbability(A229,B229,Parameter_Date,CDSRollDate,E229:M229,SpreadCurveMaturities,D229,C229,$J$4,$J$6))</f>
        <v>0</v>
      </c>
      <c r="O229" s="163">
        <f ca="1"/>
        <v>0</v>
      </c>
      <c r="P229" s="163">
        <f ca="1"/>
        <v>2.8280464409101702E-3</v>
      </c>
      <c r="Q229" s="163">
        <f ca="1"/>
        <v>0</v>
      </c>
      <c r="R229" s="163">
        <f ca="1"/>
        <v>1.154966817293468E-2</v>
      </c>
      <c r="S229" s="163">
        <f ca="1"/>
        <v>0</v>
      </c>
      <c r="T229" s="163">
        <f ca="1"/>
        <v>2.5902462333438736E-2</v>
      </c>
      <c r="U229" s="163">
        <f ca="1"/>
        <v>4.8423224858541114E-2</v>
      </c>
      <c r="V229" s="139">
        <f ca="1"/>
        <v>9.1891152464741777E-2</v>
      </c>
      <c r="W229" s="138">
        <f ca="1"/>
        <v>0</v>
      </c>
      <c r="X229" s="163">
        <f ca="1"/>
        <v>0</v>
      </c>
      <c r="Y229" s="163">
        <f ca="1"/>
        <v>2.9942279176647935E-3</v>
      </c>
      <c r="Z229" s="163">
        <f ca="1"/>
        <v>0</v>
      </c>
      <c r="AA229" s="163">
        <f ca="1"/>
        <v>1.2121498170196143E-2</v>
      </c>
      <c r="AB229" s="163">
        <f ca="1"/>
        <v>0</v>
      </c>
      <c r="AC229" s="163">
        <f ca="1"/>
        <v>2.7179605402975149E-2</v>
      </c>
      <c r="AD229" s="163">
        <f ca="1"/>
        <v>5.0792485735864812E-2</v>
      </c>
      <c r="AE229" s="139">
        <f ca="1"/>
        <v>9.6328261069862697E-2</v>
      </c>
      <c r="AI229" s="136"/>
      <c r="AK229" s="136"/>
      <c r="AM229" s="136"/>
      <c r="AN229" s="136"/>
      <c r="AO229" s="136"/>
      <c r="AR229" s="136"/>
      <c r="AT229" s="136"/>
      <c r="AV229" s="136"/>
      <c r="AW229" s="136"/>
      <c r="AX229" s="136"/>
    </row>
    <row r="230" spans="1:50" s="79" customFormat="1" ht="11.25">
      <c r="A230" s="96">
        <f t="shared" ca="1" si="5"/>
        <v>219</v>
      </c>
      <c r="B230" s="68" t="s">
        <v>307</v>
      </c>
      <c r="C230" s="97">
        <v>0.4</v>
      </c>
      <c r="D230" s="69" t="s">
        <v>67</v>
      </c>
      <c r="E230" s="137" t="s">
        <v>87</v>
      </c>
      <c r="F230" s="156" t="s">
        <v>87</v>
      </c>
      <c r="G230" s="156">
        <v>9.8799999999999995E-4</v>
      </c>
      <c r="H230" s="156" t="s">
        <v>87</v>
      </c>
      <c r="I230" s="156">
        <v>2.0430000000000001E-3</v>
      </c>
      <c r="J230" s="156" t="s">
        <v>87</v>
      </c>
      <c r="K230" s="156">
        <v>3.0400000000000002E-3</v>
      </c>
      <c r="L230" s="156">
        <v>3.9370000000000004E-3</v>
      </c>
      <c r="M230" s="156">
        <v>4.9329999999999999E-3</v>
      </c>
      <c r="N230" s="138" cm="1">
        <f t="array" aca="1" ref="N230:AE230" ca="1">IF(OR(B230="",NOT($J$2)),"",GetStripDefaultProbability(A230,B230,Parameter_Date,CDSRollDate,E230:M230,SpreadCurveMaturities,D230,C230,$J$4,$J$6))</f>
        <v>0</v>
      </c>
      <c r="O230" s="163">
        <f ca="1"/>
        <v>0</v>
      </c>
      <c r="P230" s="163">
        <f ca="1"/>
        <v>1.8105718627849932E-3</v>
      </c>
      <c r="Q230" s="163">
        <f ca="1"/>
        <v>0</v>
      </c>
      <c r="R230" s="163">
        <f ca="1"/>
        <v>1.069299029295756E-2</v>
      </c>
      <c r="S230" s="163">
        <f ca="1"/>
        <v>0</v>
      </c>
      <c r="T230" s="163">
        <f ca="1"/>
        <v>2.6518543592150445E-2</v>
      </c>
      <c r="U230" s="163">
        <f ca="1"/>
        <v>4.8289829768317194E-2</v>
      </c>
      <c r="V230" s="139">
        <f ca="1"/>
        <v>8.6633380565898976E-2</v>
      </c>
      <c r="W230" s="138">
        <f ca="1"/>
        <v>0</v>
      </c>
      <c r="X230" s="163">
        <f ca="1"/>
        <v>0</v>
      </c>
      <c r="Y230" s="163">
        <f ca="1"/>
        <v>1.976922904522338E-3</v>
      </c>
      <c r="Z230" s="163">
        <f ca="1"/>
        <v>0</v>
      </c>
      <c r="AA230" s="163">
        <f ca="1"/>
        <v>1.1218806009511639E-2</v>
      </c>
      <c r="AB230" s="163">
        <f ca="1"/>
        <v>0</v>
      </c>
      <c r="AC230" s="163">
        <f ca="1"/>
        <v>2.782255172100323E-2</v>
      </c>
      <c r="AD230" s="163">
        <f ca="1"/>
        <v>5.0649822611342987E-2</v>
      </c>
      <c r="AE230" s="139">
        <f ca="1"/>
        <v>9.0791616951671927E-2</v>
      </c>
      <c r="AI230" s="136"/>
      <c r="AK230" s="136"/>
      <c r="AM230" s="136"/>
      <c r="AN230" s="136"/>
      <c r="AO230" s="136"/>
      <c r="AR230" s="136"/>
      <c r="AT230" s="136"/>
      <c r="AV230" s="136"/>
      <c r="AW230" s="136"/>
      <c r="AX230" s="136"/>
    </row>
    <row r="231" spans="1:50" s="79" customFormat="1" ht="11.25">
      <c r="A231" s="96">
        <f t="shared" ca="1" si="5"/>
        <v>220</v>
      </c>
      <c r="B231" s="68" t="s">
        <v>308</v>
      </c>
      <c r="C231" s="97">
        <v>0.4</v>
      </c>
      <c r="D231" s="69" t="s">
        <v>67</v>
      </c>
      <c r="E231" s="137" t="s">
        <v>87</v>
      </c>
      <c r="F231" s="156" t="s">
        <v>87</v>
      </c>
      <c r="G231" s="156">
        <v>3.7787000000000001E-2</v>
      </c>
      <c r="H231" s="156" t="s">
        <v>87</v>
      </c>
      <c r="I231" s="156">
        <v>3.7137000000000003E-2</v>
      </c>
      <c r="J231" s="156" t="s">
        <v>87</v>
      </c>
      <c r="K231" s="156">
        <v>3.2376000000000002E-2</v>
      </c>
      <c r="L231" s="156">
        <v>2.9519E-2</v>
      </c>
      <c r="M231" s="156">
        <v>2.8091000000000001E-2</v>
      </c>
      <c r="N231" s="138" cm="1">
        <f t="array" aca="1" ref="N231:AE231" ca="1">IF(OR(B231="",NOT($J$2)),"",GetStripDefaultProbability(A231,B231,Parameter_Date,CDSRollDate,E231:M231,SpreadCurveMaturities,D231,C231,$J$4,$J$6))</f>
        <v>0</v>
      </c>
      <c r="O231" s="163">
        <f ca="1"/>
        <v>0</v>
      </c>
      <c r="P231" s="163">
        <f ca="1"/>
        <v>6.6960334631345098E-2</v>
      </c>
      <c r="Q231" s="163">
        <f ca="1"/>
        <v>0</v>
      </c>
      <c r="R231" s="163">
        <f ca="1"/>
        <v>0.17512361469329196</v>
      </c>
      <c r="S231" s="163">
        <f ca="1"/>
        <v>0</v>
      </c>
      <c r="T231" s="163">
        <f ca="1"/>
        <v>0.23613952784905723</v>
      </c>
      <c r="U231" s="163">
        <f ca="1"/>
        <v>0.28412028994900906</v>
      </c>
      <c r="V231" s="139">
        <f ca="1"/>
        <v>0.36145437272237468</v>
      </c>
      <c r="W231" s="138">
        <f ca="1"/>
        <v>0</v>
      </c>
      <c r="X231" s="163">
        <f ca="1"/>
        <v>0</v>
      </c>
      <c r="Y231" s="163">
        <f ca="1"/>
        <v>7.0187995373090506E-2</v>
      </c>
      <c r="Z231" s="163">
        <f ca="1"/>
        <v>0</v>
      </c>
      <c r="AA231" s="163">
        <f ca="1"/>
        <v>0.18302008640376399</v>
      </c>
      <c r="AB231" s="163">
        <f ca="1"/>
        <v>0</v>
      </c>
      <c r="AC231" s="163">
        <f ca="1"/>
        <v>0.24618142011014443</v>
      </c>
      <c r="AD231" s="163">
        <f ca="1"/>
        <v>0.29562118719384101</v>
      </c>
      <c r="AE231" s="139">
        <f ca="1"/>
        <v>0.37511166737632629</v>
      </c>
      <c r="AI231" s="136"/>
      <c r="AK231" s="136"/>
      <c r="AM231" s="136"/>
      <c r="AN231" s="136"/>
      <c r="AO231" s="136"/>
      <c r="AR231" s="136"/>
      <c r="AT231" s="136"/>
      <c r="AV231" s="136"/>
      <c r="AW231" s="136"/>
      <c r="AX231" s="136"/>
    </row>
    <row r="232" spans="1:50" s="79" customFormat="1" ht="11.25">
      <c r="A232" s="96">
        <f t="shared" ca="1" si="5"/>
        <v>221</v>
      </c>
      <c r="B232" s="68" t="s">
        <v>309</v>
      </c>
      <c r="C232" s="97">
        <v>0.4</v>
      </c>
      <c r="D232" s="69" t="s">
        <v>67</v>
      </c>
      <c r="E232" s="137" t="s">
        <v>87</v>
      </c>
      <c r="F232" s="156" t="s">
        <v>87</v>
      </c>
      <c r="G232" s="156">
        <v>1.098E-3</v>
      </c>
      <c r="H232" s="156" t="s">
        <v>87</v>
      </c>
      <c r="I232" s="156">
        <v>2.1949999999999999E-3</v>
      </c>
      <c r="J232" s="156" t="s">
        <v>87</v>
      </c>
      <c r="K232" s="156">
        <v>4.3909999999999999E-3</v>
      </c>
      <c r="L232" s="156">
        <v>5.6239999999999997E-3</v>
      </c>
      <c r="M232" s="156">
        <v>6.9069999999999999E-3</v>
      </c>
      <c r="N232" s="138" cm="1">
        <f t="array" aca="1" ref="N232:AE232" ca="1">IF(OR(B232="",NOT($J$2)),"",GetStripDefaultProbability(A232,B232,Parameter_Date,CDSRollDate,E232:M232,SpreadCurveMaturities,D232,C232,$J$4,$J$6))</f>
        <v>0</v>
      </c>
      <c r="O232" s="163">
        <f ca="1"/>
        <v>0</v>
      </c>
      <c r="P232" s="163">
        <f ca="1"/>
        <v>2.0119524444149883E-3</v>
      </c>
      <c r="Q232" s="163">
        <f ca="1"/>
        <v>0</v>
      </c>
      <c r="R232" s="163">
        <f ca="1"/>
        <v>1.1479823127399147E-2</v>
      </c>
      <c r="S232" s="163">
        <f ca="1"/>
        <v>0</v>
      </c>
      <c r="T232" s="163">
        <f ca="1"/>
        <v>3.8640329633587767E-2</v>
      </c>
      <c r="U232" s="163">
        <f ca="1"/>
        <v>6.8908893241543923E-2</v>
      </c>
      <c r="V232" s="139">
        <f ca="1"/>
        <v>0.11980152205796202</v>
      </c>
      <c r="W232" s="138">
        <f ca="1"/>
        <v>0</v>
      </c>
      <c r="X232" s="163">
        <f ca="1"/>
        <v>0</v>
      </c>
      <c r="Y232" s="163">
        <f ca="1"/>
        <v>2.1782699254994098E-3</v>
      </c>
      <c r="Z232" s="163">
        <f ca="1"/>
        <v>0</v>
      </c>
      <c r="AA232" s="163">
        <f ca="1"/>
        <v>1.2045229993255524E-2</v>
      </c>
      <c r="AB232" s="163">
        <f ca="1"/>
        <v>0</v>
      </c>
      <c r="AC232" s="163">
        <f ca="1"/>
        <v>4.0534296096567668E-2</v>
      </c>
      <c r="AD232" s="163">
        <f ca="1"/>
        <v>7.2253949332374168E-2</v>
      </c>
      <c r="AE232" s="139">
        <f ca="1"/>
        <v>0.1255130199994533</v>
      </c>
      <c r="AI232" s="136"/>
      <c r="AK232" s="136"/>
      <c r="AM232" s="136"/>
      <c r="AN232" s="136"/>
      <c r="AO232" s="136"/>
      <c r="AR232" s="136"/>
      <c r="AT232" s="136"/>
      <c r="AV232" s="136"/>
      <c r="AW232" s="136"/>
      <c r="AX232" s="136"/>
    </row>
    <row r="233" spans="1:50" s="79" customFormat="1" ht="11.25">
      <c r="A233" s="96">
        <f t="shared" ca="1" si="5"/>
        <v>222</v>
      </c>
      <c r="B233" s="68" t="s">
        <v>310</v>
      </c>
      <c r="C233" s="97">
        <v>0.4</v>
      </c>
      <c r="D233" s="69" t="s">
        <v>67</v>
      </c>
      <c r="E233" s="137" t="s">
        <v>87</v>
      </c>
      <c r="F233" s="156" t="s">
        <v>87</v>
      </c>
      <c r="G233" s="156">
        <v>0.128667</v>
      </c>
      <c r="H233" s="156" t="s">
        <v>87</v>
      </c>
      <c r="I233" s="156">
        <v>9.0311000000000002E-2</v>
      </c>
      <c r="J233" s="156" t="s">
        <v>87</v>
      </c>
      <c r="K233" s="156">
        <v>6.6102999999999995E-2</v>
      </c>
      <c r="L233" s="156">
        <v>6.0176E-2</v>
      </c>
      <c r="M233" s="156">
        <v>5.4705999999999998E-2</v>
      </c>
      <c r="N233" s="138" cm="1">
        <f t="array" aca="1" ref="N233:AE233" ca="1">IF(OR(B233="",NOT($J$2)),"",GetStripDefaultProbability(A233,B233,Parameter_Date,CDSRollDate,E233:M233,SpreadCurveMaturities,D233,C233,$J$4,$J$6))</f>
        <v>0</v>
      </c>
      <c r="O233" s="163">
        <f ca="1"/>
        <v>0</v>
      </c>
      <c r="P233" s="163">
        <f ca="1"/>
        <v>0.21020849866901725</v>
      </c>
      <c r="Q233" s="163">
        <f ca="1"/>
        <v>0</v>
      </c>
      <c r="R233" s="163">
        <f ca="1"/>
        <v>0.35916966553081286</v>
      </c>
      <c r="S233" s="163">
        <f ca="1"/>
        <v>0</v>
      </c>
      <c r="T233" s="163">
        <f ca="1"/>
        <v>0.38800110659742082</v>
      </c>
      <c r="U233" s="163">
        <f ca="1"/>
        <v>0.46044080711019386</v>
      </c>
      <c r="V233" s="139">
        <f ca="1"/>
        <v>0.53998646467867983</v>
      </c>
      <c r="W233" s="138">
        <f ca="1"/>
        <v>0</v>
      </c>
      <c r="X233" s="163">
        <f ca="1"/>
        <v>0</v>
      </c>
      <c r="Y233" s="163">
        <f ca="1"/>
        <v>0.21947232387332072</v>
      </c>
      <c r="Z233" s="163">
        <f ca="1"/>
        <v>0</v>
      </c>
      <c r="AA233" s="163">
        <f ca="1"/>
        <v>0.37260776657350192</v>
      </c>
      <c r="AB233" s="163">
        <f ca="1"/>
        <v>0</v>
      </c>
      <c r="AC233" s="163">
        <f ca="1"/>
        <v>0.40113705703153113</v>
      </c>
      <c r="AD233" s="163">
        <f ca="1"/>
        <v>0.47493668306582815</v>
      </c>
      <c r="AE233" s="139">
        <f ca="1"/>
        <v>0.55517082216029368</v>
      </c>
      <c r="AI233" s="136"/>
      <c r="AK233" s="136"/>
      <c r="AM233" s="136"/>
      <c r="AN233" s="136"/>
      <c r="AO233" s="136"/>
      <c r="AR233" s="136"/>
      <c r="AT233" s="136"/>
      <c r="AV233" s="136"/>
      <c r="AW233" s="136"/>
      <c r="AX233" s="136"/>
    </row>
    <row r="234" spans="1:50" s="79" customFormat="1" ht="11.25">
      <c r="A234" s="96">
        <f t="shared" ca="1" si="5"/>
        <v>223</v>
      </c>
      <c r="B234" s="68" t="s">
        <v>311</v>
      </c>
      <c r="C234" s="97">
        <v>0.4</v>
      </c>
      <c r="D234" s="69" t="s">
        <v>67</v>
      </c>
      <c r="E234" s="137" t="s">
        <v>87</v>
      </c>
      <c r="F234" s="156" t="s">
        <v>87</v>
      </c>
      <c r="G234" s="156">
        <v>5.6700000000000001E-4</v>
      </c>
      <c r="H234" s="156" t="s">
        <v>87</v>
      </c>
      <c r="I234" s="156">
        <v>1.255E-3</v>
      </c>
      <c r="J234" s="156" t="s">
        <v>87</v>
      </c>
      <c r="K234" s="156">
        <v>2.0270000000000002E-3</v>
      </c>
      <c r="L234" s="156">
        <v>2.7499999999999998E-3</v>
      </c>
      <c r="M234" s="156">
        <v>3.6670000000000001E-3</v>
      </c>
      <c r="N234" s="138" cm="1">
        <f t="array" aca="1" ref="N234:AE234" ca="1">IF(OR(B234="",NOT($J$2)),"",GetStripDefaultProbability(A234,B234,Parameter_Date,CDSRollDate,E234:M234,SpreadCurveMaturities,D234,C234,$J$4,$J$6))</f>
        <v>0</v>
      </c>
      <c r="O234" s="163">
        <f ca="1"/>
        <v>0</v>
      </c>
      <c r="P234" s="163">
        <f ca="1"/>
        <v>1.0394610511608171E-3</v>
      </c>
      <c r="Q234" s="163">
        <f ca="1"/>
        <v>0</v>
      </c>
      <c r="R234" s="163">
        <f ca="1"/>
        <v>6.584861210862214E-3</v>
      </c>
      <c r="S234" s="163">
        <f ca="1"/>
        <v>0</v>
      </c>
      <c r="T234" s="163">
        <f ca="1"/>
        <v>1.7812162889178751E-2</v>
      </c>
      <c r="U234" s="163">
        <f ca="1"/>
        <v>3.4123699052987622E-2</v>
      </c>
      <c r="V234" s="139">
        <f ca="1"/>
        <v>6.5713143542831087E-2</v>
      </c>
      <c r="W234" s="138">
        <f ca="1"/>
        <v>0</v>
      </c>
      <c r="X234" s="163">
        <f ca="1"/>
        <v>0</v>
      </c>
      <c r="Y234" s="163">
        <f ca="1"/>
        <v>1.2059406006306173E-3</v>
      </c>
      <c r="Z234" s="163">
        <f ca="1"/>
        <v>0</v>
      </c>
      <c r="AA234" s="163">
        <f ca="1"/>
        <v>7.1016392699080333E-3</v>
      </c>
      <c r="AB234" s="163">
        <f ca="1"/>
        <v>0</v>
      </c>
      <c r="AC234" s="163">
        <f ca="1"/>
        <v>1.8666220853314375E-2</v>
      </c>
      <c r="AD234" s="163">
        <f ca="1"/>
        <v>3.5776587402568394E-2</v>
      </c>
      <c r="AE234" s="139">
        <f ca="1"/>
        <v>6.8875762092589499E-2</v>
      </c>
      <c r="AI234" s="136"/>
      <c r="AK234" s="136"/>
      <c r="AM234" s="136"/>
      <c r="AN234" s="136"/>
      <c r="AO234" s="136"/>
      <c r="AR234" s="136"/>
      <c r="AT234" s="136"/>
      <c r="AV234" s="136"/>
      <c r="AW234" s="136"/>
      <c r="AX234" s="136"/>
    </row>
    <row r="235" spans="1:50" s="79" customFormat="1" ht="11.25">
      <c r="A235" s="96">
        <f t="shared" ca="1" si="5"/>
        <v>224</v>
      </c>
      <c r="B235" s="68" t="s">
        <v>312</v>
      </c>
      <c r="C235" s="97">
        <v>0.4</v>
      </c>
      <c r="D235" s="69" t="s">
        <v>67</v>
      </c>
      <c r="E235" s="137" t="s">
        <v>87</v>
      </c>
      <c r="F235" s="156" t="s">
        <v>87</v>
      </c>
      <c r="G235" s="156">
        <v>7.6000000000000004E-4</v>
      </c>
      <c r="H235" s="156" t="s">
        <v>87</v>
      </c>
      <c r="I235" s="156">
        <v>2.075E-3</v>
      </c>
      <c r="J235" s="156" t="s">
        <v>87</v>
      </c>
      <c r="K235" s="156">
        <v>2.702E-3</v>
      </c>
      <c r="L235" s="156">
        <v>3.6189999999999998E-3</v>
      </c>
      <c r="M235" s="156">
        <v>4.6800000000000001E-3</v>
      </c>
      <c r="N235" s="138" cm="1">
        <f t="array" aca="1" ref="N235:AE235" ca="1">IF(OR(B235="",NOT($J$2)),"",GetStripDefaultProbability(A235,B235,Parameter_Date,CDSRollDate,E235:M235,SpreadCurveMaturities,D235,C235,$J$4,$J$6))</f>
        <v>0</v>
      </c>
      <c r="O235" s="163">
        <f ca="1"/>
        <v>0</v>
      </c>
      <c r="P235" s="163">
        <f ca="1"/>
        <v>1.3930364840697429E-3</v>
      </c>
      <c r="Q235" s="163">
        <f ca="1"/>
        <v>0</v>
      </c>
      <c r="R235" s="163">
        <f ca="1"/>
        <v>1.089347261365925E-2</v>
      </c>
      <c r="S235" s="163">
        <f ca="1"/>
        <v>0</v>
      </c>
      <c r="T235" s="163">
        <f ca="1"/>
        <v>2.346413322660823E-2</v>
      </c>
      <c r="U235" s="163">
        <f ca="1"/>
        <v>4.4458391947793996E-2</v>
      </c>
      <c r="V235" s="139">
        <f ca="1"/>
        <v>8.271423904865205E-2</v>
      </c>
      <c r="W235" s="138">
        <f ca="1"/>
        <v>0</v>
      </c>
      <c r="X235" s="163">
        <f ca="1"/>
        <v>0</v>
      </c>
      <c r="Y235" s="163">
        <f ca="1"/>
        <v>1.5594571092165666E-3</v>
      </c>
      <c r="Z235" s="163">
        <f ca="1"/>
        <v>0</v>
      </c>
      <c r="AA235" s="163">
        <f ca="1"/>
        <v>1.1427668329180962E-2</v>
      </c>
      <c r="AB235" s="163">
        <f ca="1"/>
        <v>0</v>
      </c>
      <c r="AC235" s="163">
        <f ca="1"/>
        <v>2.4617147318557797E-2</v>
      </c>
      <c r="AD235" s="163">
        <f ca="1"/>
        <v>4.6632278317055298E-2</v>
      </c>
      <c r="AE235" s="139">
        <f ca="1"/>
        <v>8.6690970685208368E-2</v>
      </c>
      <c r="AI235" s="136"/>
      <c r="AK235" s="136"/>
      <c r="AM235" s="136"/>
      <c r="AN235" s="136"/>
      <c r="AO235" s="136"/>
      <c r="AR235" s="136"/>
      <c r="AT235" s="136"/>
      <c r="AV235" s="136"/>
      <c r="AW235" s="136"/>
      <c r="AX235" s="136"/>
    </row>
    <row r="236" spans="1:50" s="79" customFormat="1" ht="11.25">
      <c r="A236" s="96">
        <f t="shared" ca="1" si="5"/>
        <v>225</v>
      </c>
      <c r="B236" s="68" t="s">
        <v>313</v>
      </c>
      <c r="C236" s="97">
        <v>0.4</v>
      </c>
      <c r="D236" s="69" t="s">
        <v>67</v>
      </c>
      <c r="E236" s="137" t="s">
        <v>87</v>
      </c>
      <c r="F236" s="156" t="s">
        <v>87</v>
      </c>
      <c r="G236" s="156">
        <v>1.158E-3</v>
      </c>
      <c r="H236" s="156" t="s">
        <v>87</v>
      </c>
      <c r="I236" s="156">
        <v>3.3089999999999999E-3</v>
      </c>
      <c r="J236" s="156" t="s">
        <v>87</v>
      </c>
      <c r="K236" s="156">
        <v>4.6319999999999998E-3</v>
      </c>
      <c r="L236" s="156">
        <v>6.097E-3</v>
      </c>
      <c r="M236" s="156">
        <v>7.515E-3</v>
      </c>
      <c r="N236" s="138" cm="1">
        <f t="array" aca="1" ref="N236:AE236" ca="1">IF(OR(B236="",NOT($J$2)),"",GetStripDefaultProbability(A236,B236,Parameter_Date,CDSRollDate,E236:M236,SpreadCurveMaturities,D236,C236,$J$4,$J$6))</f>
        <v>0</v>
      </c>
      <c r="O236" s="163">
        <f ca="1"/>
        <v>0</v>
      </c>
      <c r="P236" s="163">
        <f ca="1"/>
        <v>2.12177941543501E-3</v>
      </c>
      <c r="Q236" s="163">
        <f ca="1"/>
        <v>0</v>
      </c>
      <c r="R236" s="163">
        <f ca="1"/>
        <v>1.7337106382249279E-2</v>
      </c>
      <c r="S236" s="163">
        <f ca="1"/>
        <v>0</v>
      </c>
      <c r="T236" s="163">
        <f ca="1"/>
        <v>4.0133782323152123E-2</v>
      </c>
      <c r="U236" s="163">
        <f ca="1"/>
        <v>7.4136707354648723E-2</v>
      </c>
      <c r="V236" s="139">
        <f ca="1"/>
        <v>0.1294944811141604</v>
      </c>
      <c r="W236" s="138">
        <f ca="1"/>
        <v>0</v>
      </c>
      <c r="X236" s="163">
        <f ca="1"/>
        <v>0</v>
      </c>
      <c r="Y236" s="163">
        <f ca="1"/>
        <v>2.2880785935390779E-3</v>
      </c>
      <c r="Z236" s="163">
        <f ca="1"/>
        <v>0</v>
      </c>
      <c r="AA236" s="163">
        <f ca="1"/>
        <v>1.8191148665257839E-2</v>
      </c>
      <c r="AB236" s="163">
        <f ca="1"/>
        <v>0</v>
      </c>
      <c r="AC236" s="163">
        <f ca="1"/>
        <v>4.2098538893158954E-2</v>
      </c>
      <c r="AD236" s="163">
        <f ca="1"/>
        <v>7.7722667038669702E-2</v>
      </c>
      <c r="AE236" s="139">
        <f ca="1"/>
        <v>0.13563966955585471</v>
      </c>
      <c r="AI236" s="136"/>
      <c r="AK236" s="136"/>
      <c r="AM236" s="136"/>
      <c r="AN236" s="136"/>
      <c r="AO236" s="136"/>
      <c r="AR236" s="136"/>
      <c r="AT236" s="136"/>
      <c r="AV236" s="136"/>
      <c r="AW236" s="136"/>
      <c r="AX236" s="136"/>
    </row>
    <row r="237" spans="1:50" s="79" customFormat="1" ht="11.25">
      <c r="A237" s="96">
        <f t="shared" ca="1" si="5"/>
        <v>226</v>
      </c>
      <c r="B237" s="68" t="s">
        <v>314</v>
      </c>
      <c r="C237" s="97">
        <v>0.4</v>
      </c>
      <c r="D237" s="69" t="s">
        <v>67</v>
      </c>
      <c r="E237" s="137" t="s">
        <v>87</v>
      </c>
      <c r="F237" s="156" t="s">
        <v>87</v>
      </c>
      <c r="G237" s="156">
        <v>1.062E-3</v>
      </c>
      <c r="H237" s="156" t="s">
        <v>87</v>
      </c>
      <c r="I237" s="156">
        <v>1.9780000000000002E-3</v>
      </c>
      <c r="J237" s="156" t="s">
        <v>87</v>
      </c>
      <c r="K237" s="156">
        <v>3.088E-3</v>
      </c>
      <c r="L237" s="156">
        <v>3.764E-3</v>
      </c>
      <c r="M237" s="156">
        <v>5.4039999999999999E-3</v>
      </c>
      <c r="N237" s="138" cm="1">
        <f t="array" aca="1" ref="N237:AE237" ca="1">IF(OR(B237="",NOT($J$2)),"",GetStripDefaultProbability(A237,B237,Parameter_Date,CDSRollDate,E237:M237,SpreadCurveMaturities,D237,C237,$J$4,$J$6))</f>
        <v>0</v>
      </c>
      <c r="O237" s="163">
        <f ca="1"/>
        <v>0</v>
      </c>
      <c r="P237" s="163">
        <f ca="1"/>
        <v>1.9460505080843848E-3</v>
      </c>
      <c r="Q237" s="163">
        <f ca="1"/>
        <v>0</v>
      </c>
      <c r="R237" s="163">
        <f ca="1"/>
        <v>1.0339639280124602E-2</v>
      </c>
      <c r="S237" s="163">
        <f ca="1"/>
        <v>0</v>
      </c>
      <c r="T237" s="163">
        <f ca="1"/>
        <v>2.6981032506903979E-2</v>
      </c>
      <c r="U237" s="163">
        <f ca="1"/>
        <v>4.5973410994689989E-2</v>
      </c>
      <c r="V237" s="139">
        <f ca="1"/>
        <v>9.6199075346093843E-2</v>
      </c>
      <c r="W237" s="138">
        <f ca="1"/>
        <v>0</v>
      </c>
      <c r="X237" s="163">
        <f ca="1"/>
        <v>0</v>
      </c>
      <c r="Y237" s="163">
        <f ca="1"/>
        <v>2.1123789719248443E-3</v>
      </c>
      <c r="Z237" s="163">
        <f ca="1"/>
        <v>0</v>
      </c>
      <c r="AA237" s="163">
        <f ca="1"/>
        <v>1.0854291686363537E-2</v>
      </c>
      <c r="AB237" s="163">
        <f ca="1"/>
        <v>0</v>
      </c>
      <c r="AC237" s="163">
        <f ca="1"/>
        <v>2.8307555267892415E-2</v>
      </c>
      <c r="AD237" s="163">
        <f ca="1"/>
        <v>4.8221402328747498E-2</v>
      </c>
      <c r="AE237" s="139">
        <f ca="1"/>
        <v>0.10084112222087438</v>
      </c>
      <c r="AI237" s="136"/>
      <c r="AK237" s="136"/>
      <c r="AM237" s="136"/>
      <c r="AN237" s="136"/>
      <c r="AO237" s="136"/>
      <c r="AR237" s="136"/>
      <c r="AT237" s="136"/>
      <c r="AV237" s="136"/>
      <c r="AW237" s="136"/>
      <c r="AX237" s="136"/>
    </row>
    <row r="238" spans="1:50" s="79" customFormat="1" ht="11.25">
      <c r="A238" s="96">
        <f t="shared" ca="1" si="5"/>
        <v>227</v>
      </c>
      <c r="B238" s="68" t="s">
        <v>315</v>
      </c>
      <c r="C238" s="97">
        <v>0.4</v>
      </c>
      <c r="D238" s="69" t="s">
        <v>67</v>
      </c>
      <c r="E238" s="137" t="s">
        <v>87</v>
      </c>
      <c r="F238" s="156" t="s">
        <v>87</v>
      </c>
      <c r="G238" s="156">
        <v>1.0319999999999999E-3</v>
      </c>
      <c r="H238" s="156" t="s">
        <v>87</v>
      </c>
      <c r="I238" s="156">
        <v>1.8159999999999999E-3</v>
      </c>
      <c r="J238" s="156" t="s">
        <v>87</v>
      </c>
      <c r="K238" s="156">
        <v>2.6540000000000001E-3</v>
      </c>
      <c r="L238" s="156">
        <v>3.4919999999999999E-3</v>
      </c>
      <c r="M238" s="156">
        <v>4.4229999999999998E-3</v>
      </c>
      <c r="N238" s="138" cm="1">
        <f t="array" aca="1" ref="N238:AE238" ca="1">IF(OR(B238="",NOT($J$2)),"",GetStripDefaultProbability(A238,B238,Parameter_Date,CDSRollDate,E238:M238,SpreadCurveMaturities,D238,C238,$J$4,$J$6))</f>
        <v>0</v>
      </c>
      <c r="O238" s="163">
        <f ca="1"/>
        <v>0</v>
      </c>
      <c r="P238" s="163">
        <f ca="1"/>
        <v>1.891128931042152E-3</v>
      </c>
      <c r="Q238" s="163">
        <f ca="1"/>
        <v>0</v>
      </c>
      <c r="R238" s="163">
        <f ca="1"/>
        <v>9.4882896710738462E-3</v>
      </c>
      <c r="S238" s="163">
        <f ca="1"/>
        <v>0</v>
      </c>
      <c r="T238" s="163">
        <f ca="1"/>
        <v>2.3137790393466418E-2</v>
      </c>
      <c r="U238" s="163">
        <f ca="1"/>
        <v>4.293644489380366E-2</v>
      </c>
      <c r="V238" s="139">
        <f ca="1"/>
        <v>7.8074692109482924E-2</v>
      </c>
      <c r="W238" s="138">
        <f ca="1"/>
        <v>0</v>
      </c>
      <c r="X238" s="163">
        <f ca="1"/>
        <v>0</v>
      </c>
      <c r="Y238" s="163">
        <f ca="1"/>
        <v>2.0574665477210985E-3</v>
      </c>
      <c r="Z238" s="163">
        <f ca="1"/>
        <v>0</v>
      </c>
      <c r="AA238" s="163">
        <f ca="1"/>
        <v>1.000341444815922E-2</v>
      </c>
      <c r="AB238" s="163">
        <f ca="1"/>
        <v>0</v>
      </c>
      <c r="AC238" s="163">
        <f ca="1"/>
        <v>2.42715781395616E-2</v>
      </c>
      <c r="AD238" s="163">
        <f ca="1"/>
        <v>4.5033989525854135E-2</v>
      </c>
      <c r="AE238" s="139">
        <f ca="1"/>
        <v>8.1832459350115183E-2</v>
      </c>
      <c r="AI238" s="136"/>
      <c r="AK238" s="136"/>
      <c r="AM238" s="136"/>
      <c r="AN238" s="136"/>
      <c r="AO238" s="136"/>
      <c r="AR238" s="136"/>
      <c r="AT238" s="136"/>
      <c r="AV238" s="136"/>
      <c r="AW238" s="136"/>
      <c r="AX238" s="136"/>
    </row>
    <row r="239" spans="1:50" s="79" customFormat="1" ht="11.25">
      <c r="A239" s="96">
        <f t="shared" ca="1" si="5"/>
        <v>228</v>
      </c>
      <c r="B239" s="68" t="s">
        <v>316</v>
      </c>
      <c r="C239" s="97">
        <v>0.4</v>
      </c>
      <c r="D239" s="69" t="s">
        <v>67</v>
      </c>
      <c r="E239" s="137" t="s">
        <v>87</v>
      </c>
      <c r="F239" s="156" t="s">
        <v>87</v>
      </c>
      <c r="G239" s="156">
        <v>6.02E-4</v>
      </c>
      <c r="H239" s="156" t="s">
        <v>87</v>
      </c>
      <c r="I239" s="156">
        <v>2.0270000000000002E-3</v>
      </c>
      <c r="J239" s="156" t="s">
        <v>87</v>
      </c>
      <c r="K239" s="156">
        <v>2.5089999999999999E-3</v>
      </c>
      <c r="L239" s="156">
        <v>3.4740000000000001E-3</v>
      </c>
      <c r="M239" s="156">
        <v>4.4390000000000002E-3</v>
      </c>
      <c r="N239" s="138" cm="1">
        <f t="array" aca="1" ref="N239:AE239" ca="1">IF(OR(B239="",NOT($J$2)),"",GetStripDefaultProbability(A239,B239,Parameter_Date,CDSRollDate,E239:M239,SpreadCurveMaturities,D239,C239,$J$4,$J$6))</f>
        <v>0</v>
      </c>
      <c r="O239" s="163">
        <f ca="1"/>
        <v>0</v>
      </c>
      <c r="P239" s="163">
        <f ca="1"/>
        <v>1.1035901665897851E-3</v>
      </c>
      <c r="Q239" s="163">
        <f ca="1"/>
        <v>0</v>
      </c>
      <c r="R239" s="163">
        <f ca="1"/>
        <v>1.0661917798244658E-2</v>
      </c>
      <c r="S239" s="163">
        <f ca="1"/>
        <v>0</v>
      </c>
      <c r="T239" s="163">
        <f ca="1"/>
        <v>2.1759883706672922E-2</v>
      </c>
      <c r="U239" s="163">
        <f ca="1"/>
        <v>4.2793769409864568E-2</v>
      </c>
      <c r="V239" s="139">
        <f ca="1"/>
        <v>7.8525656386686848E-2</v>
      </c>
      <c r="W239" s="138">
        <f ca="1"/>
        <v>0</v>
      </c>
      <c r="X239" s="163">
        <f ca="1"/>
        <v>0</v>
      </c>
      <c r="Y239" s="163">
        <f ca="1"/>
        <v>1.2700590287801905E-3</v>
      </c>
      <c r="Z239" s="163">
        <f ca="1"/>
        <v>0</v>
      </c>
      <c r="AA239" s="163">
        <f ca="1"/>
        <v>1.1183619944429513E-2</v>
      </c>
      <c r="AB239" s="163">
        <f ca="1"/>
        <v>0</v>
      </c>
      <c r="AC239" s="163">
        <f ca="1"/>
        <v>2.2828366775778375E-2</v>
      </c>
      <c r="AD239" s="163">
        <f ca="1"/>
        <v>4.4886563831648463E-2</v>
      </c>
      <c r="AE239" s="139">
        <f ca="1"/>
        <v>8.2307549506733579E-2</v>
      </c>
      <c r="AI239" s="136"/>
      <c r="AK239" s="136"/>
      <c r="AM239" s="136"/>
      <c r="AN239" s="136"/>
      <c r="AO239" s="136"/>
      <c r="AR239" s="136"/>
      <c r="AT239" s="136"/>
      <c r="AV239" s="136"/>
      <c r="AW239" s="136"/>
      <c r="AX239" s="136"/>
    </row>
    <row r="240" spans="1:50" s="79" customFormat="1" ht="11.25">
      <c r="A240" s="96">
        <f t="shared" ca="1" si="5"/>
        <v>229</v>
      </c>
      <c r="B240" s="68" t="s">
        <v>317</v>
      </c>
      <c r="C240" s="97">
        <v>0.4</v>
      </c>
      <c r="D240" s="69" t="s">
        <v>67</v>
      </c>
      <c r="E240" s="137" t="s">
        <v>87</v>
      </c>
      <c r="F240" s="156" t="s">
        <v>87</v>
      </c>
      <c r="G240" s="156">
        <v>9.41E-4</v>
      </c>
      <c r="H240" s="156" t="s">
        <v>87</v>
      </c>
      <c r="I240" s="156">
        <v>2.0409999999999998E-3</v>
      </c>
      <c r="J240" s="156" t="s">
        <v>87</v>
      </c>
      <c r="K240" s="156">
        <v>3.1359999999999999E-3</v>
      </c>
      <c r="L240" s="156">
        <v>4.032E-3</v>
      </c>
      <c r="M240" s="156">
        <v>5.0280000000000004E-3</v>
      </c>
      <c r="N240" s="138" cm="1">
        <f t="array" aca="1" ref="N240:AE240" ca="1">IF(OR(B240="",NOT($J$2)),"",GetStripDefaultProbability(A240,B240,Parameter_Date,CDSRollDate,E240:M240,SpreadCurveMaturities,D240,C240,$J$4,$J$6))</f>
        <v>0</v>
      </c>
      <c r="O240" s="163">
        <f ca="1"/>
        <v>0</v>
      </c>
      <c r="P240" s="163">
        <f ca="1"/>
        <v>1.7245151442915052E-3</v>
      </c>
      <c r="Q240" s="163">
        <f ca="1"/>
        <v>0</v>
      </c>
      <c r="R240" s="163">
        <f ca="1"/>
        <v>1.0688934907136849E-2</v>
      </c>
      <c r="S240" s="163">
        <f ca="1"/>
        <v>0</v>
      </c>
      <c r="T240" s="163">
        <f ca="1"/>
        <v>2.7397176917965838E-2</v>
      </c>
      <c r="U240" s="163">
        <f ca="1"/>
        <v>4.9450031392176408E-2</v>
      </c>
      <c r="V240" s="139">
        <f ca="1"/>
        <v>8.8200409905388466E-2</v>
      </c>
      <c r="W240" s="138">
        <f ca="1"/>
        <v>0</v>
      </c>
      <c r="X240" s="163">
        <f ca="1"/>
        <v>0</v>
      </c>
      <c r="Y240" s="163">
        <f ca="1"/>
        <v>1.8908805275795748E-3</v>
      </c>
      <c r="Z240" s="163">
        <f ca="1"/>
        <v>0</v>
      </c>
      <c r="AA240" s="163">
        <f ca="1"/>
        <v>1.1214236786044052E-2</v>
      </c>
      <c r="AB240" s="163">
        <f ca="1"/>
        <v>0</v>
      </c>
      <c r="AC240" s="163">
        <f ca="1"/>
        <v>2.874383078531062E-2</v>
      </c>
      <c r="AD240" s="163">
        <f ca="1"/>
        <v>5.1865535833241383E-2</v>
      </c>
      <c r="AE240" s="139">
        <f ca="1"/>
        <v>9.2430382794286614E-2</v>
      </c>
      <c r="AI240" s="136"/>
      <c r="AK240" s="136"/>
      <c r="AM240" s="136"/>
      <c r="AN240" s="136"/>
      <c r="AO240" s="136"/>
      <c r="AR240" s="136"/>
      <c r="AT240" s="136"/>
      <c r="AV240" s="136"/>
      <c r="AW240" s="136"/>
      <c r="AX240" s="136"/>
    </row>
    <row r="241" spans="1:50" s="79" customFormat="1" ht="11.25">
      <c r="A241" s="96">
        <f t="shared" ca="1" si="5"/>
        <v>230</v>
      </c>
      <c r="B241" s="68" t="s">
        <v>318</v>
      </c>
      <c r="C241" s="97">
        <v>0.4</v>
      </c>
      <c r="D241" s="69" t="s">
        <v>67</v>
      </c>
      <c r="E241" s="137" t="s">
        <v>87</v>
      </c>
      <c r="F241" s="156" t="s">
        <v>87</v>
      </c>
      <c r="G241" s="156">
        <v>1.0070000000000001E-3</v>
      </c>
      <c r="H241" s="156" t="s">
        <v>87</v>
      </c>
      <c r="I241" s="156">
        <v>2.4489999999999998E-3</v>
      </c>
      <c r="J241" s="156" t="s">
        <v>87</v>
      </c>
      <c r="K241" s="156">
        <v>2.7989999999999998E-3</v>
      </c>
      <c r="L241" s="156">
        <v>3.388E-3</v>
      </c>
      <c r="M241" s="156">
        <v>3.7799999999999999E-3</v>
      </c>
      <c r="N241" s="138" cm="1">
        <f t="array" aca="1" ref="N241:AE241" ca="1">IF(OR(B241="",NOT($J$2)),"",GetStripDefaultProbability(A241,B241,Parameter_Date,CDSRollDate,E241:M241,SpreadCurveMaturities,D241,C241,$J$4,$J$6))</f>
        <v>0</v>
      </c>
      <c r="O241" s="163">
        <f ca="1"/>
        <v>0</v>
      </c>
      <c r="P241" s="163">
        <f ca="1"/>
        <v>1.8453586605379213E-3</v>
      </c>
      <c r="Q241" s="163">
        <f ca="1"/>
        <v>0</v>
      </c>
      <c r="R241" s="163">
        <f ca="1"/>
        <v>1.2831951453183277E-2</v>
      </c>
      <c r="S241" s="163">
        <f ca="1"/>
        <v>0</v>
      </c>
      <c r="T241" s="163">
        <f ca="1"/>
        <v>2.4096149448091908E-2</v>
      </c>
      <c r="U241" s="163">
        <f ca="1"/>
        <v>4.1037604581414033E-2</v>
      </c>
      <c r="V241" s="139">
        <f ca="1"/>
        <v>6.504848981115785E-2</v>
      </c>
      <c r="W241" s="138">
        <f ca="1"/>
        <v>0</v>
      </c>
      <c r="X241" s="163">
        <f ca="1"/>
        <v>0</v>
      </c>
      <c r="Y241" s="163">
        <f ca="1"/>
        <v>2.0117039049420971E-3</v>
      </c>
      <c r="Z241" s="163">
        <f ca="1"/>
        <v>0</v>
      </c>
      <c r="AA241" s="163">
        <f ca="1"/>
        <v>1.3463445214824232E-2</v>
      </c>
      <c r="AB241" s="163">
        <f ca="1"/>
        <v>0</v>
      </c>
      <c r="AC241" s="163">
        <f ca="1"/>
        <v>2.5281174132362416E-2</v>
      </c>
      <c r="AD241" s="163">
        <f ca="1"/>
        <v>4.3045749007277645E-2</v>
      </c>
      <c r="AE241" s="139">
        <f ca="1"/>
        <v>6.8194360979621726E-2</v>
      </c>
      <c r="AI241" s="136"/>
      <c r="AK241" s="136"/>
      <c r="AM241" s="136"/>
      <c r="AN241" s="136"/>
      <c r="AO241" s="136"/>
      <c r="AR241" s="136"/>
      <c r="AT241" s="136"/>
      <c r="AV241" s="136"/>
      <c r="AW241" s="136"/>
      <c r="AX241" s="136"/>
    </row>
    <row r="242" spans="1:50" s="79" customFormat="1" ht="11.25">
      <c r="A242" s="96">
        <f t="shared" ca="1" si="5"/>
        <v>231</v>
      </c>
      <c r="B242" s="68" t="s">
        <v>319</v>
      </c>
      <c r="C242" s="97">
        <v>0.4</v>
      </c>
      <c r="D242" s="69" t="s">
        <v>67</v>
      </c>
      <c r="E242" s="137" t="s">
        <v>87</v>
      </c>
      <c r="F242" s="156" t="s">
        <v>87</v>
      </c>
      <c r="G242" s="156">
        <v>2.0790000000000001E-3</v>
      </c>
      <c r="H242" s="156" t="s">
        <v>87</v>
      </c>
      <c r="I242" s="156">
        <v>3.5140000000000002E-3</v>
      </c>
      <c r="J242" s="156" t="s">
        <v>87</v>
      </c>
      <c r="K242" s="156">
        <v>5.1630000000000001E-3</v>
      </c>
      <c r="L242" s="156">
        <v>6.1060000000000003E-3</v>
      </c>
      <c r="M242" s="156">
        <v>6.9950000000000003E-3</v>
      </c>
      <c r="N242" s="138" cm="1">
        <f t="array" aca="1" ref="N242:AE242" ca="1">IF(OR(B242="",NOT($J$2)),"",GetStripDefaultProbability(A242,B242,Parameter_Date,CDSRollDate,E242:M242,SpreadCurveMaturities,D242,C242,$J$4,$J$6))</f>
        <v>0</v>
      </c>
      <c r="O242" s="163">
        <f ca="1"/>
        <v>0</v>
      </c>
      <c r="P242" s="163">
        <f ca="1"/>
        <v>3.8061206184522023E-3</v>
      </c>
      <c r="Q242" s="163">
        <f ca="1"/>
        <v>0</v>
      </c>
      <c r="R242" s="163">
        <f ca="1"/>
        <v>1.8280600244712231E-2</v>
      </c>
      <c r="S242" s="163">
        <f ca="1"/>
        <v>0</v>
      </c>
      <c r="T242" s="163">
        <f ca="1"/>
        <v>4.4645702773121076E-2</v>
      </c>
      <c r="U242" s="163">
        <f ca="1"/>
        <v>7.3376131590781157E-2</v>
      </c>
      <c r="V242" s="139">
        <f ca="1"/>
        <v>0.11860076222383464</v>
      </c>
      <c r="W242" s="138">
        <f ca="1"/>
        <v>0</v>
      </c>
      <c r="X242" s="163">
        <f ca="1"/>
        <v>0</v>
      </c>
      <c r="Y242" s="163">
        <f ca="1"/>
        <v>3.9959807879075271E-3</v>
      </c>
      <c r="Z242" s="163">
        <f ca="1"/>
        <v>0</v>
      </c>
      <c r="AA242" s="163">
        <f ca="1"/>
        <v>1.9185310303158509E-2</v>
      </c>
      <c r="AB242" s="163">
        <f ca="1"/>
        <v>0</v>
      </c>
      <c r="AC242" s="163">
        <f ca="1"/>
        <v>4.6831256516599473E-2</v>
      </c>
      <c r="AD242" s="163">
        <f ca="1"/>
        <v>7.6926720672959248E-2</v>
      </c>
      <c r="AE242" s="139">
        <f ca="1"/>
        <v>0.12423358046684596</v>
      </c>
      <c r="AI242" s="136"/>
      <c r="AK242" s="136"/>
      <c r="AM242" s="136"/>
      <c r="AN242" s="136"/>
      <c r="AO242" s="136"/>
      <c r="AR242" s="136"/>
      <c r="AT242" s="136"/>
      <c r="AV242" s="136"/>
      <c r="AW242" s="136"/>
      <c r="AX242" s="136"/>
    </row>
    <row r="243" spans="1:50" s="79" customFormat="1" ht="11.25">
      <c r="A243" s="96">
        <f t="shared" ca="1" si="5"/>
        <v>232</v>
      </c>
      <c r="B243" s="68" t="s">
        <v>320</v>
      </c>
      <c r="C243" s="97">
        <v>0.4</v>
      </c>
      <c r="D243" s="69" t="s">
        <v>67</v>
      </c>
      <c r="E243" s="137" t="s">
        <v>87</v>
      </c>
      <c r="F243" s="156" t="s">
        <v>87</v>
      </c>
      <c r="G243" s="156">
        <v>6.9099999999999999E-4</v>
      </c>
      <c r="H243" s="156" t="s">
        <v>87</v>
      </c>
      <c r="I243" s="156">
        <v>2.895E-3</v>
      </c>
      <c r="J243" s="156" t="s">
        <v>87</v>
      </c>
      <c r="K243" s="156">
        <v>4.1980000000000003E-3</v>
      </c>
      <c r="L243" s="156">
        <v>5.3080000000000002E-3</v>
      </c>
      <c r="M243" s="156">
        <v>6.5620000000000001E-3</v>
      </c>
      <c r="N243" s="138" cm="1">
        <f t="array" aca="1" ref="N243:AE243" ca="1">IF(OR(B243="",NOT($J$2)),"",GetStripDefaultProbability(A243,B243,Parameter_Date,CDSRollDate,E243:M243,SpreadCurveMaturities,D243,C243,$J$4,$J$6))</f>
        <v>0</v>
      </c>
      <c r="O243" s="163">
        <f ca="1"/>
        <v>0</v>
      </c>
      <c r="P243" s="163">
        <f ca="1"/>
        <v>1.2666429481217323E-3</v>
      </c>
      <c r="Q243" s="163">
        <f ca="1"/>
        <v>0</v>
      </c>
      <c r="R243" s="163">
        <f ca="1"/>
        <v>1.5226213083967877E-2</v>
      </c>
      <c r="S243" s="163">
        <f ca="1"/>
        <v>0</v>
      </c>
      <c r="T243" s="163">
        <f ca="1"/>
        <v>3.6539208633833531E-2</v>
      </c>
      <c r="U243" s="163">
        <f ca="1"/>
        <v>6.4615846913046449E-2</v>
      </c>
      <c r="V243" s="139">
        <f ca="1"/>
        <v>0.11367396096401294</v>
      </c>
      <c r="W243" s="138">
        <f ca="1"/>
        <v>0</v>
      </c>
      <c r="X243" s="163">
        <f ca="1"/>
        <v>0</v>
      </c>
      <c r="Y243" s="163">
        <f ca="1"/>
        <v>1.4330846370836925E-3</v>
      </c>
      <c r="Z243" s="163">
        <f ca="1"/>
        <v>0</v>
      </c>
      <c r="AA243" s="163">
        <f ca="1"/>
        <v>1.5973415625646692E-2</v>
      </c>
      <c r="AB243" s="163">
        <f ca="1"/>
        <v>0</v>
      </c>
      <c r="AC243" s="163">
        <f ca="1"/>
        <v>3.8327885606003975E-2</v>
      </c>
      <c r="AD243" s="163">
        <f ca="1"/>
        <v>6.7750485661290161E-2</v>
      </c>
      <c r="AE243" s="139">
        <f ca="1"/>
        <v>0.11909911018552966</v>
      </c>
      <c r="AI243" s="136"/>
      <c r="AK243" s="136"/>
      <c r="AM243" s="136"/>
      <c r="AN243" s="136"/>
      <c r="AO243" s="136"/>
      <c r="AR243" s="136"/>
      <c r="AT243" s="136"/>
      <c r="AV243" s="136"/>
      <c r="AW243" s="136"/>
      <c r="AX243" s="136"/>
    </row>
    <row r="244" spans="1:50" s="79" customFormat="1" ht="11.25">
      <c r="A244" s="96">
        <f t="shared" ca="1" si="5"/>
        <v>233</v>
      </c>
      <c r="B244" s="68" t="s">
        <v>321</v>
      </c>
      <c r="C244" s="97">
        <v>0.4</v>
      </c>
      <c r="D244" s="69" t="s">
        <v>67</v>
      </c>
      <c r="E244" s="137" t="s">
        <v>87</v>
      </c>
      <c r="F244" s="156" t="s">
        <v>87</v>
      </c>
      <c r="G244" s="156">
        <v>2.5040000000000001E-3</v>
      </c>
      <c r="H244" s="156" t="s">
        <v>87</v>
      </c>
      <c r="I244" s="156">
        <v>6.2230000000000002E-3</v>
      </c>
      <c r="J244" s="156" t="s">
        <v>87</v>
      </c>
      <c r="K244" s="156">
        <v>8.3470000000000003E-3</v>
      </c>
      <c r="L244" s="156">
        <v>9.9769999999999998E-3</v>
      </c>
      <c r="M244" s="156">
        <v>1.2248999999999999E-2</v>
      </c>
      <c r="N244" s="138" cm="1">
        <f t="array" aca="1" ref="N244:AE244" ca="1">IF(OR(B244="",NOT($J$2)),"",GetStripDefaultProbability(A244,B244,Parameter_Date,CDSRollDate,E244:M244,SpreadCurveMaturities,D244,C244,$J$4,$J$6))</f>
        <v>0</v>
      </c>
      <c r="O244" s="163">
        <f ca="1"/>
        <v>0</v>
      </c>
      <c r="P244" s="163">
        <f ca="1"/>
        <v>4.5824179064893888E-3</v>
      </c>
      <c r="Q244" s="163">
        <f ca="1"/>
        <v>0</v>
      </c>
      <c r="R244" s="163">
        <f ca="1"/>
        <v>3.2367326021358167E-2</v>
      </c>
      <c r="S244" s="163">
        <f ca="1"/>
        <v>0</v>
      </c>
      <c r="T244" s="163">
        <f ca="1"/>
        <v>7.1216779287060272E-2</v>
      </c>
      <c r="U244" s="163">
        <f ca="1"/>
        <v>0.1176684094001238</v>
      </c>
      <c r="V244" s="139">
        <f ca="1"/>
        <v>0.20303001534842158</v>
      </c>
      <c r="W244" s="138">
        <f ca="1"/>
        <v>0</v>
      </c>
      <c r="X244" s="163">
        <f ca="1"/>
        <v>0</v>
      </c>
      <c r="Y244" s="163">
        <f ca="1"/>
        <v>4.8108905444318451E-3</v>
      </c>
      <c r="Z244" s="163">
        <f ca="1"/>
        <v>0</v>
      </c>
      <c r="AA244" s="163">
        <f ca="1"/>
        <v>3.3956605554721353E-2</v>
      </c>
      <c r="AB244" s="163">
        <f ca="1"/>
        <v>0</v>
      </c>
      <c r="AC244" s="163">
        <f ca="1"/>
        <v>7.46565588728344E-2</v>
      </c>
      <c r="AD244" s="163">
        <f ca="1"/>
        <v>0.12326769578097585</v>
      </c>
      <c r="AE244" s="139">
        <f ca="1"/>
        <v>0.21233057973028269</v>
      </c>
      <c r="AI244" s="136"/>
      <c r="AK244" s="136"/>
      <c r="AM244" s="136"/>
      <c r="AN244" s="136"/>
      <c r="AO244" s="136"/>
      <c r="AR244" s="136"/>
      <c r="AT244" s="136"/>
      <c r="AV244" s="136"/>
      <c r="AW244" s="136"/>
      <c r="AX244" s="136"/>
    </row>
    <row r="245" spans="1:50" s="79" customFormat="1" ht="11.25">
      <c r="A245" s="96">
        <f t="shared" ca="1" si="5"/>
        <v>234</v>
      </c>
      <c r="B245" s="68" t="s">
        <v>322</v>
      </c>
      <c r="C245" s="97">
        <v>0.4</v>
      </c>
      <c r="D245" s="69" t="s">
        <v>67</v>
      </c>
      <c r="E245" s="137" t="s">
        <v>87</v>
      </c>
      <c r="F245" s="156" t="s">
        <v>87</v>
      </c>
      <c r="G245" s="156">
        <v>3.1319999999999998E-3</v>
      </c>
      <c r="H245" s="156" t="s">
        <v>87</v>
      </c>
      <c r="I245" s="156">
        <v>7.0920000000000002E-3</v>
      </c>
      <c r="J245" s="156" t="s">
        <v>87</v>
      </c>
      <c r="K245" s="156">
        <v>1.155E-2</v>
      </c>
      <c r="L245" s="156">
        <v>1.3374E-2</v>
      </c>
      <c r="M245" s="156">
        <v>1.5500999999999999E-2</v>
      </c>
      <c r="N245" s="138" cm="1">
        <f t="array" aca="1" ref="N245:AE245" ca="1">IF(OR(B245="",NOT($J$2)),"",GetStripDefaultProbability(A245,B245,Parameter_Date,CDSRollDate,E245:M245,SpreadCurveMaturities,D245,C245,$J$4,$J$6))</f>
        <v>0</v>
      </c>
      <c r="O245" s="163">
        <f ca="1"/>
        <v>0</v>
      </c>
      <c r="P245" s="163">
        <f ca="1"/>
        <v>5.728414764062717E-3</v>
      </c>
      <c r="Q245" s="163">
        <f ca="1"/>
        <v>0</v>
      </c>
      <c r="R245" s="163">
        <f ca="1"/>
        <v>3.6778092466818291E-2</v>
      </c>
      <c r="S245" s="163">
        <f ca="1"/>
        <v>0</v>
      </c>
      <c r="T245" s="163">
        <f ca="1"/>
        <v>9.8597618632036754E-2</v>
      </c>
      <c r="U245" s="163">
        <f ca="1"/>
        <v>0.15570635848896563</v>
      </c>
      <c r="V245" s="139">
        <f ca="1"/>
        <v>0.24894129011259691</v>
      </c>
      <c r="W245" s="138">
        <f ca="1"/>
        <v>0</v>
      </c>
      <c r="X245" s="163">
        <f ca="1"/>
        <v>0</v>
      </c>
      <c r="Y245" s="163">
        <f ca="1"/>
        <v>6.0138182319267042E-3</v>
      </c>
      <c r="Z245" s="163">
        <f ca="1"/>
        <v>0</v>
      </c>
      <c r="AA245" s="163">
        <f ca="1"/>
        <v>3.8578950089285136E-2</v>
      </c>
      <c r="AB245" s="163">
        <f ca="1"/>
        <v>0</v>
      </c>
      <c r="AC245" s="163">
        <f ca="1"/>
        <v>0.10334518515350311</v>
      </c>
      <c r="AD245" s="163">
        <f ca="1"/>
        <v>0.1629919728503455</v>
      </c>
      <c r="AE245" s="139">
        <f ca="1"/>
        <v>0.26003195278063396</v>
      </c>
      <c r="AI245" s="136"/>
      <c r="AK245" s="136"/>
      <c r="AM245" s="136"/>
      <c r="AN245" s="136"/>
      <c r="AO245" s="136"/>
      <c r="AR245" s="136"/>
      <c r="AT245" s="136"/>
      <c r="AV245" s="136"/>
      <c r="AW245" s="136"/>
      <c r="AX245" s="136"/>
    </row>
    <row r="246" spans="1:50" s="79" customFormat="1" ht="11.25">
      <c r="A246" s="96">
        <f t="shared" ca="1" si="5"/>
        <v>235</v>
      </c>
      <c r="B246" s="68" t="s">
        <v>323</v>
      </c>
      <c r="C246" s="97">
        <v>0.4</v>
      </c>
      <c r="D246" s="69" t="s">
        <v>67</v>
      </c>
      <c r="E246" s="137" t="s">
        <v>87</v>
      </c>
      <c r="F246" s="156" t="s">
        <v>87</v>
      </c>
      <c r="G246" s="156">
        <v>6.3900000000000003E-4</v>
      </c>
      <c r="H246" s="156" t="s">
        <v>87</v>
      </c>
      <c r="I246" s="156">
        <v>1.4480000000000001E-3</v>
      </c>
      <c r="J246" s="156" t="s">
        <v>87</v>
      </c>
      <c r="K246" s="156">
        <v>2.5569999999999998E-3</v>
      </c>
      <c r="L246" s="156">
        <v>3.3289999999999999E-3</v>
      </c>
      <c r="M246" s="156">
        <v>4.3429999999999996E-3</v>
      </c>
      <c r="N246" s="138" cm="1">
        <f t="array" aca="1" ref="N246:AE246" ca="1">IF(OR(B246="",NOT($J$2)),"",GetStripDefaultProbability(A246,B246,Parameter_Date,CDSRollDate,E246:M246,SpreadCurveMaturities,D246,C246,$J$4,$J$6))</f>
        <v>0</v>
      </c>
      <c r="O246" s="163">
        <f ca="1"/>
        <v>0</v>
      </c>
      <c r="P246" s="163">
        <f ca="1"/>
        <v>1.1713793616202617E-3</v>
      </c>
      <c r="Q246" s="163">
        <f ca="1"/>
        <v>0</v>
      </c>
      <c r="R246" s="163">
        <f ca="1"/>
        <v>7.5965439688954195E-3</v>
      </c>
      <c r="S246" s="163">
        <f ca="1"/>
        <v>0</v>
      </c>
      <c r="T246" s="163">
        <f ca="1"/>
        <v>2.2520609094391131E-2</v>
      </c>
      <c r="U246" s="163">
        <f ca="1"/>
        <v>4.1144750976116584E-2</v>
      </c>
      <c r="V246" s="139">
        <f ca="1"/>
        <v>7.7216214263371441E-2</v>
      </c>
      <c r="W246" s="138">
        <f ca="1"/>
        <v>0</v>
      </c>
      <c r="X246" s="163">
        <f ca="1"/>
        <v>0</v>
      </c>
      <c r="Y246" s="163">
        <f ca="1"/>
        <v>1.3378369265507617E-3</v>
      </c>
      <c r="Z246" s="163">
        <f ca="1"/>
        <v>0</v>
      </c>
      <c r="AA246" s="163">
        <f ca="1"/>
        <v>8.1127824777103008E-3</v>
      </c>
      <c r="AB246" s="163">
        <f ca="1"/>
        <v>0</v>
      </c>
      <c r="AC246" s="163">
        <f ca="1"/>
        <v>2.3611550973818951E-2</v>
      </c>
      <c r="AD246" s="163">
        <f ca="1"/>
        <v>4.3143739501428469E-2</v>
      </c>
      <c r="AE246" s="139">
        <f ca="1"/>
        <v>8.092274116261311E-2</v>
      </c>
      <c r="AI246" s="136"/>
      <c r="AK246" s="136"/>
      <c r="AM246" s="136"/>
      <c r="AN246" s="136"/>
      <c r="AO246" s="136"/>
      <c r="AR246" s="136"/>
      <c r="AT246" s="136"/>
      <c r="AV246" s="136"/>
      <c r="AW246" s="136"/>
      <c r="AX246" s="136"/>
    </row>
    <row r="247" spans="1:50" s="79" customFormat="1" ht="11.25">
      <c r="A247" s="96">
        <f t="shared" ca="1" si="5"/>
        <v>236</v>
      </c>
      <c r="B247" s="68" t="s">
        <v>324</v>
      </c>
      <c r="C247" s="97">
        <v>0.4</v>
      </c>
      <c r="D247" s="69" t="s">
        <v>67</v>
      </c>
      <c r="E247" s="137" t="s">
        <v>87</v>
      </c>
      <c r="F247" s="156" t="s">
        <v>87</v>
      </c>
      <c r="G247" s="156">
        <v>6.0999999999999997E-4</v>
      </c>
      <c r="H247" s="156" t="s">
        <v>87</v>
      </c>
      <c r="I247" s="156">
        <v>2.3159999999999999E-3</v>
      </c>
      <c r="J247" s="156" t="s">
        <v>87</v>
      </c>
      <c r="K247" s="156">
        <v>2.702E-3</v>
      </c>
      <c r="L247" s="156">
        <v>3.571E-3</v>
      </c>
      <c r="M247" s="156">
        <v>4.8250000000000003E-3</v>
      </c>
      <c r="N247" s="138" cm="1">
        <f t="array" aca="1" ref="N247:AE247" ca="1">IF(OR(B247="",NOT($J$2)),"",GetStripDefaultProbability(A247,B247,Parameter_Date,CDSRollDate,E247:M247,SpreadCurveMaturities,D247,C247,$J$4,$J$6))</f>
        <v>0</v>
      </c>
      <c r="O247" s="163">
        <f ca="1"/>
        <v>0</v>
      </c>
      <c r="P247" s="163">
        <f ca="1"/>
        <v>1.1182476765997373E-3</v>
      </c>
      <c r="Q247" s="163">
        <f ca="1"/>
        <v>0</v>
      </c>
      <c r="R247" s="163">
        <f ca="1"/>
        <v>1.2186151327895245E-2</v>
      </c>
      <c r="S247" s="163">
        <f ca="1"/>
        <v>0</v>
      </c>
      <c r="T247" s="163">
        <f ca="1"/>
        <v>2.3347507508037268E-2</v>
      </c>
      <c r="U247" s="163">
        <f ca="1"/>
        <v>4.3703258469971584E-2</v>
      </c>
      <c r="V247" s="139">
        <f ca="1"/>
        <v>8.5527658131930084E-2</v>
      </c>
      <c r="W247" s="138">
        <f ca="1"/>
        <v>0</v>
      </c>
      <c r="X247" s="163">
        <f ca="1"/>
        <v>0</v>
      </c>
      <c r="Y247" s="163">
        <f ca="1"/>
        <v>1.2847140960473569E-3</v>
      </c>
      <c r="Z247" s="163">
        <f ca="1"/>
        <v>0</v>
      </c>
      <c r="AA247" s="163">
        <f ca="1"/>
        <v>1.2783133638274102E-2</v>
      </c>
      <c r="AB247" s="163">
        <f ca="1"/>
        <v>0</v>
      </c>
      <c r="AC247" s="163">
        <f ca="1"/>
        <v>2.4493538666188197E-2</v>
      </c>
      <c r="AD247" s="163">
        <f ca="1"/>
        <v>4.5838771410453116E-2</v>
      </c>
      <c r="AE247" s="139">
        <f ca="1"/>
        <v>8.9662641284998013E-2</v>
      </c>
      <c r="AI247" s="136"/>
      <c r="AK247" s="136"/>
      <c r="AM247" s="136"/>
      <c r="AN247" s="136"/>
      <c r="AO247" s="136"/>
      <c r="AR247" s="136"/>
      <c r="AT247" s="136"/>
      <c r="AV247" s="136"/>
      <c r="AW247" s="136"/>
      <c r="AX247" s="136"/>
    </row>
    <row r="248" spans="1:50" s="79" customFormat="1" ht="11.25">
      <c r="A248" s="96">
        <f t="shared" ca="1" si="5"/>
        <v>237</v>
      </c>
      <c r="B248" s="68" t="s">
        <v>325</v>
      </c>
      <c r="C248" s="97">
        <v>0.4</v>
      </c>
      <c r="D248" s="69" t="s">
        <v>67</v>
      </c>
      <c r="E248" s="137" t="s">
        <v>87</v>
      </c>
      <c r="F248" s="156" t="s">
        <v>87</v>
      </c>
      <c r="G248" s="156">
        <v>2.4285999999999999E-2</v>
      </c>
      <c r="H248" s="156" t="s">
        <v>87</v>
      </c>
      <c r="I248" s="156">
        <v>2.4133999999999999E-2</v>
      </c>
      <c r="J248" s="156" t="s">
        <v>87</v>
      </c>
      <c r="K248" s="156">
        <v>2.1857000000000001E-2</v>
      </c>
      <c r="L248" s="156">
        <v>2.0947E-2</v>
      </c>
      <c r="M248" s="156">
        <v>2.0036000000000002E-2</v>
      </c>
      <c r="N248" s="138" cm="1">
        <f t="array" aca="1" ref="N248:AE248" ca="1">IF(OR(B248="",NOT($J$2)),"",GetStripDefaultProbability(A248,B248,Parameter_Date,CDSRollDate,E248:M248,SpreadCurveMaturities,D248,C248,$J$4,$J$6))</f>
        <v>0</v>
      </c>
      <c r="O248" s="163">
        <f ca="1"/>
        <v>0</v>
      </c>
      <c r="P248" s="163">
        <f ca="1"/>
        <v>4.3582040228531072E-2</v>
      </c>
      <c r="Q248" s="163">
        <f ca="1"/>
        <v>0</v>
      </c>
      <c r="R248" s="163">
        <f ca="1"/>
        <v>0.11768819165649658</v>
      </c>
      <c r="S248" s="163">
        <f ca="1"/>
        <v>0</v>
      </c>
      <c r="T248" s="163">
        <f ca="1"/>
        <v>0.16808147316389899</v>
      </c>
      <c r="U248" s="163">
        <f ca="1"/>
        <v>0.21639577328103821</v>
      </c>
      <c r="V248" s="139">
        <f ca="1"/>
        <v>0.27982392883972085</v>
      </c>
      <c r="W248" s="138">
        <f ca="1"/>
        <v>0</v>
      </c>
      <c r="X248" s="163">
        <f ca="1"/>
        <v>0</v>
      </c>
      <c r="Y248" s="163">
        <f ca="1"/>
        <v>4.5695149581849837E-2</v>
      </c>
      <c r="Z248" s="163">
        <f ca="1"/>
        <v>0</v>
      </c>
      <c r="AA248" s="163">
        <f ca="1"/>
        <v>0.12319566733030185</v>
      </c>
      <c r="AB248" s="163">
        <f ca="1"/>
        <v>0</v>
      </c>
      <c r="AC248" s="163">
        <f ca="1"/>
        <v>0.17564287205090479</v>
      </c>
      <c r="AD248" s="163">
        <f ca="1"/>
        <v>0.22578702205393031</v>
      </c>
      <c r="AE248" s="139">
        <f ca="1"/>
        <v>0.29135280281966569</v>
      </c>
      <c r="AI248" s="136"/>
      <c r="AK248" s="136"/>
      <c r="AM248" s="136"/>
      <c r="AN248" s="136"/>
      <c r="AO248" s="136"/>
      <c r="AR248" s="136"/>
      <c r="AT248" s="136"/>
      <c r="AV248" s="136"/>
      <c r="AW248" s="136"/>
      <c r="AX248" s="136"/>
    </row>
    <row r="249" spans="1:50" s="79" customFormat="1" ht="11.25">
      <c r="A249" s="96">
        <f t="shared" ca="1" si="5"/>
        <v>238</v>
      </c>
      <c r="B249" s="68" t="s">
        <v>326</v>
      </c>
      <c r="C249" s="97">
        <v>0.4</v>
      </c>
      <c r="D249" s="69" t="s">
        <v>67</v>
      </c>
      <c r="E249" s="137" t="s">
        <v>87</v>
      </c>
      <c r="F249" s="156" t="s">
        <v>87</v>
      </c>
      <c r="G249" s="156">
        <v>1.5659999999999999E-3</v>
      </c>
      <c r="H249" s="156" t="s">
        <v>87</v>
      </c>
      <c r="I249" s="156">
        <v>2.3509999999999998E-3</v>
      </c>
      <c r="J249" s="156" t="s">
        <v>87</v>
      </c>
      <c r="K249" s="156">
        <v>2.7499999999999998E-3</v>
      </c>
      <c r="L249" s="156">
        <v>3.5490000000000001E-3</v>
      </c>
      <c r="M249" s="156">
        <v>4.2579999999999996E-3</v>
      </c>
      <c r="N249" s="138" cm="1">
        <f t="array" aca="1" ref="N249:AE249" ca="1">IF(OR(B249="",NOT($J$2)),"",GetStripDefaultProbability(A249,B249,Parameter_Date,CDSRollDate,E249:M249,SpreadCurveMaturities,D249,C249,$J$4,$J$6))</f>
        <v>0</v>
      </c>
      <c r="O249" s="163">
        <f ca="1"/>
        <v>0</v>
      </c>
      <c r="P249" s="163">
        <f ca="1"/>
        <v>2.86828507121073E-3</v>
      </c>
      <c r="Q249" s="163">
        <f ca="1"/>
        <v>0</v>
      </c>
      <c r="R249" s="163">
        <f ca="1"/>
        <v>1.2237184324886741E-2</v>
      </c>
      <c r="S249" s="163">
        <f ca="1"/>
        <v>0</v>
      </c>
      <c r="T249" s="163">
        <f ca="1"/>
        <v>2.3629232375500075E-2</v>
      </c>
      <c r="U249" s="163">
        <f ca="1"/>
        <v>4.3202720519661231E-2</v>
      </c>
      <c r="V249" s="139">
        <f ca="1"/>
        <v>7.4199883893054985E-2</v>
      </c>
      <c r="W249" s="138">
        <f ca="1"/>
        <v>0</v>
      </c>
      <c r="X249" s="163">
        <f ca="1"/>
        <v>0</v>
      </c>
      <c r="Y249" s="163">
        <f ca="1"/>
        <v>3.0344598420644076E-3</v>
      </c>
      <c r="Z249" s="163">
        <f ca="1"/>
        <v>0</v>
      </c>
      <c r="AA249" s="163">
        <f ca="1"/>
        <v>1.2843093765517066E-2</v>
      </c>
      <c r="AB249" s="163">
        <f ca="1"/>
        <v>0</v>
      </c>
      <c r="AC249" s="163">
        <f ca="1"/>
        <v>2.4795039179216771E-2</v>
      </c>
      <c r="AD249" s="163">
        <f ca="1"/>
        <v>4.5319725622738671E-2</v>
      </c>
      <c r="AE249" s="139">
        <f ca="1"/>
        <v>7.7781506117658439E-2</v>
      </c>
      <c r="AI249" s="136"/>
      <c r="AK249" s="136"/>
      <c r="AM249" s="136"/>
      <c r="AN249" s="136"/>
      <c r="AO249" s="136"/>
      <c r="AR249" s="136"/>
      <c r="AT249" s="136"/>
      <c r="AV249" s="136"/>
      <c r="AW249" s="136"/>
      <c r="AX249" s="136"/>
    </row>
    <row r="250" spans="1:50" s="79" customFormat="1" ht="11.25">
      <c r="A250" s="96">
        <f t="shared" ca="1" si="5"/>
        <v>239</v>
      </c>
      <c r="B250" s="68" t="s">
        <v>327</v>
      </c>
      <c r="C250" s="97">
        <v>0.4</v>
      </c>
      <c r="D250" s="69" t="s">
        <v>67</v>
      </c>
      <c r="E250" s="137" t="s">
        <v>87</v>
      </c>
      <c r="F250" s="156" t="s">
        <v>87</v>
      </c>
      <c r="G250" s="156">
        <v>6.9800000000000005E-4</v>
      </c>
      <c r="H250" s="156" t="s">
        <v>87</v>
      </c>
      <c r="I250" s="156">
        <v>1.629E-3</v>
      </c>
      <c r="J250" s="156" t="s">
        <v>87</v>
      </c>
      <c r="K250" s="156">
        <v>2.6540000000000001E-3</v>
      </c>
      <c r="L250" s="156">
        <v>3.637E-3</v>
      </c>
      <c r="M250" s="156">
        <v>4.8650000000000004E-3</v>
      </c>
      <c r="N250" s="138" cm="1">
        <f t="array" aca="1" ref="N250:AE250" ca="1">IF(OR(B250="",NOT($J$2)),"",GetStripDefaultProbability(A250,B250,Parameter_Date,CDSRollDate,E250:M250,SpreadCurveMaturities,D250,C250,$J$4,$J$6))</f>
        <v>0</v>
      </c>
      <c r="O250" s="163">
        <f ca="1"/>
        <v>0</v>
      </c>
      <c r="P250" s="163">
        <f ca="1"/>
        <v>1.2794662040581661E-3</v>
      </c>
      <c r="Q250" s="163">
        <f ca="1"/>
        <v>0</v>
      </c>
      <c r="R250" s="163">
        <f ca="1"/>
        <v>8.5457797656942613E-3</v>
      </c>
      <c r="S250" s="163">
        <f ca="1"/>
        <v>0</v>
      </c>
      <c r="T250" s="163">
        <f ca="1"/>
        <v>2.329136932212561E-2</v>
      </c>
      <c r="U250" s="163">
        <f ca="1"/>
        <v>4.5017654916891137E-2</v>
      </c>
      <c r="V250" s="139">
        <f ca="1"/>
        <v>8.6621545623511098E-2</v>
      </c>
      <c r="W250" s="138">
        <f ca="1"/>
        <v>0</v>
      </c>
      <c r="X250" s="163">
        <f ca="1"/>
        <v>0</v>
      </c>
      <c r="Y250" s="163">
        <f ca="1"/>
        <v>1.4459057559921273E-3</v>
      </c>
      <c r="Z250" s="163">
        <f ca="1"/>
        <v>0</v>
      </c>
      <c r="AA250" s="163">
        <f ca="1"/>
        <v>9.0615023291852337E-3</v>
      </c>
      <c r="AB250" s="163">
        <f ca="1"/>
        <v>0</v>
      </c>
      <c r="AC250" s="163">
        <f ca="1"/>
        <v>2.4425435054513223E-2</v>
      </c>
      <c r="AD250" s="163">
        <f ca="1"/>
        <v>4.7209152215335726E-2</v>
      </c>
      <c r="AE250" s="139">
        <f ca="1"/>
        <v>9.080096271188165E-2</v>
      </c>
      <c r="AI250" s="136"/>
      <c r="AK250" s="136"/>
      <c r="AM250" s="136"/>
      <c r="AN250" s="136"/>
      <c r="AO250" s="136"/>
      <c r="AR250" s="136"/>
      <c r="AT250" s="136"/>
      <c r="AV250" s="136"/>
      <c r="AW250" s="136"/>
      <c r="AX250" s="136"/>
    </row>
    <row r="251" spans="1:50" s="79" customFormat="1" ht="11.25">
      <c r="A251" s="96">
        <f t="shared" ca="1" si="5"/>
        <v>240</v>
      </c>
      <c r="B251" s="68" t="s">
        <v>328</v>
      </c>
      <c r="C251" s="97">
        <v>0.4</v>
      </c>
      <c r="D251" s="69" t="s">
        <v>67</v>
      </c>
      <c r="E251" s="137" t="s">
        <v>87</v>
      </c>
      <c r="F251" s="156" t="s">
        <v>87</v>
      </c>
      <c r="G251" s="156">
        <v>1.928E-3</v>
      </c>
      <c r="H251" s="156" t="s">
        <v>87</v>
      </c>
      <c r="I251" s="156">
        <v>4.6899999999999997E-3</v>
      </c>
      <c r="J251" s="156" t="s">
        <v>87</v>
      </c>
      <c r="K251" s="156">
        <v>6.7070000000000003E-3</v>
      </c>
      <c r="L251" s="156">
        <v>8.3960000000000007E-3</v>
      </c>
      <c r="M251" s="156">
        <v>9.9319999999999999E-3</v>
      </c>
      <c r="N251" s="138" cm="1">
        <f t="array" aca="1" ref="N251:AE251" ca="1">IF(OR(B251="",NOT($J$2)),"",GetStripDefaultProbability(A251,B251,Parameter_Date,CDSRollDate,E251:M251,SpreadCurveMaturities,D251,C251,$J$4,$J$6))</f>
        <v>0</v>
      </c>
      <c r="O251" s="163">
        <f ca="1"/>
        <v>0</v>
      </c>
      <c r="P251" s="163">
        <f ca="1"/>
        <v>3.5301623762762357E-3</v>
      </c>
      <c r="Q251" s="163">
        <f ca="1"/>
        <v>0</v>
      </c>
      <c r="R251" s="163">
        <f ca="1"/>
        <v>2.4462954643963752E-2</v>
      </c>
      <c r="S251" s="163">
        <f ca="1"/>
        <v>0</v>
      </c>
      <c r="T251" s="163">
        <f ca="1"/>
        <v>5.7747956568054204E-2</v>
      </c>
      <c r="U251" s="163">
        <f ca="1"/>
        <v>0.10054168594300428</v>
      </c>
      <c r="V251" s="139">
        <f ca="1"/>
        <v>0.16675880268448662</v>
      </c>
      <c r="W251" s="138">
        <f ca="1"/>
        <v>0</v>
      </c>
      <c r="X251" s="163">
        <f ca="1"/>
        <v>0</v>
      </c>
      <c r="Y251" s="163">
        <f ca="1"/>
        <v>3.6962268434472811E-3</v>
      </c>
      <c r="Z251" s="163">
        <f ca="1"/>
        <v>0</v>
      </c>
      <c r="AA251" s="163">
        <f ca="1"/>
        <v>2.5670534207611229E-2</v>
      </c>
      <c r="AB251" s="163">
        <f ca="1"/>
        <v>0</v>
      </c>
      <c r="AC251" s="163">
        <f ca="1"/>
        <v>6.0558370050146748E-2</v>
      </c>
      <c r="AD251" s="163">
        <f ca="1"/>
        <v>0.10535046179329677</v>
      </c>
      <c r="AE251" s="139">
        <f ca="1"/>
        <v>0.17452829669792169</v>
      </c>
      <c r="AI251" s="136"/>
      <c r="AK251" s="136"/>
      <c r="AM251" s="136"/>
      <c r="AN251" s="136"/>
      <c r="AO251" s="136"/>
      <c r="AR251" s="136"/>
      <c r="AT251" s="136"/>
      <c r="AV251" s="136"/>
      <c r="AW251" s="136"/>
      <c r="AX251" s="136"/>
    </row>
    <row r="252" spans="1:50" s="79" customFormat="1" ht="11.25">
      <c r="A252" s="96">
        <f t="shared" ca="1" si="5"/>
        <v>241</v>
      </c>
      <c r="B252" s="68" t="s">
        <v>329</v>
      </c>
      <c r="C252" s="97">
        <v>0.4</v>
      </c>
      <c r="D252" s="69" t="s">
        <v>67</v>
      </c>
      <c r="E252" s="137" t="s">
        <v>87</v>
      </c>
      <c r="F252" s="156" t="s">
        <v>87</v>
      </c>
      <c r="G252" s="156">
        <v>6.02E-4</v>
      </c>
      <c r="H252" s="156" t="s">
        <v>87</v>
      </c>
      <c r="I252" s="156">
        <v>2.8709999999999999E-3</v>
      </c>
      <c r="J252" s="156" t="s">
        <v>87</v>
      </c>
      <c r="K252" s="156">
        <v>3.8119999999999999E-3</v>
      </c>
      <c r="L252" s="156">
        <v>4.6119999999999998E-3</v>
      </c>
      <c r="M252" s="156">
        <v>5.6470000000000001E-3</v>
      </c>
      <c r="N252" s="138" cm="1">
        <f t="array" aca="1" ref="N252:AE252" ca="1">IF(OR(B252="",NOT($J$2)),"",GetStripDefaultProbability(A252,B252,Parameter_Date,CDSRollDate,E252:M252,SpreadCurveMaturities,D252,C252,$J$4,$J$6))</f>
        <v>0</v>
      </c>
      <c r="O252" s="163">
        <f ca="1"/>
        <v>0</v>
      </c>
      <c r="P252" s="163">
        <f ca="1"/>
        <v>1.1035901665897851E-3</v>
      </c>
      <c r="Q252" s="163">
        <f ca="1"/>
        <v>0</v>
      </c>
      <c r="R252" s="163">
        <f ca="1"/>
        <v>1.5112508164594973E-2</v>
      </c>
      <c r="S252" s="163">
        <f ca="1"/>
        <v>0</v>
      </c>
      <c r="T252" s="163">
        <f ca="1"/>
        <v>3.3080699262302504E-2</v>
      </c>
      <c r="U252" s="163">
        <f ca="1"/>
        <v>5.5921005050890815E-2</v>
      </c>
      <c r="V252" s="139">
        <f ca="1"/>
        <v>9.7857618325619899E-2</v>
      </c>
      <c r="W252" s="138">
        <f ca="1"/>
        <v>0</v>
      </c>
      <c r="X252" s="163">
        <f ca="1"/>
        <v>0</v>
      </c>
      <c r="Y252" s="163">
        <f ca="1"/>
        <v>1.2700590287801905E-3</v>
      </c>
      <c r="Z252" s="163">
        <f ca="1"/>
        <v>0</v>
      </c>
      <c r="AA252" s="163">
        <f ca="1"/>
        <v>1.5853514742978025E-2</v>
      </c>
      <c r="AB252" s="163">
        <f ca="1"/>
        <v>0</v>
      </c>
      <c r="AC252" s="163">
        <f ca="1"/>
        <v>3.4700987506809389E-2</v>
      </c>
      <c r="AD252" s="163">
        <f ca="1"/>
        <v>5.8640415070819629E-2</v>
      </c>
      <c r="AE252" s="139">
        <f ca="1"/>
        <v>0.10255176354597928</v>
      </c>
      <c r="AI252" s="136"/>
      <c r="AK252" s="136"/>
      <c r="AM252" s="136"/>
      <c r="AN252" s="136"/>
      <c r="AO252" s="136"/>
      <c r="AR252" s="136"/>
      <c r="AT252" s="136"/>
      <c r="AV252" s="136"/>
      <c r="AW252" s="136"/>
      <c r="AX252" s="136"/>
    </row>
    <row r="253" spans="1:50" s="79" customFormat="1" ht="11.25">
      <c r="A253" s="96">
        <f t="shared" ca="1" si="5"/>
        <v>242</v>
      </c>
      <c r="B253" s="68" t="s">
        <v>330</v>
      </c>
      <c r="C253" s="97">
        <v>0.4</v>
      </c>
      <c r="D253" s="69" t="s">
        <v>67</v>
      </c>
      <c r="E253" s="137" t="s">
        <v>87</v>
      </c>
      <c r="F253" s="156" t="s">
        <v>87</v>
      </c>
      <c r="G253" s="156">
        <v>3.7399999999999998E-4</v>
      </c>
      <c r="H253" s="156" t="s">
        <v>87</v>
      </c>
      <c r="I253" s="156">
        <v>1.255E-3</v>
      </c>
      <c r="J253" s="156" t="s">
        <v>87</v>
      </c>
      <c r="K253" s="156">
        <v>1.9300000000000001E-3</v>
      </c>
      <c r="L253" s="156">
        <v>2.9919999999999999E-3</v>
      </c>
      <c r="M253" s="156">
        <v>3.4740000000000001E-3</v>
      </c>
      <c r="N253" s="138" cm="1">
        <f t="array" aca="1" ref="N253:AE253" ca="1">IF(OR(B253="",NOT($J$2)),"",GetStripDefaultProbability(A253,B253,Parameter_Date,CDSRollDate,E253:M253,SpreadCurveMaturities,D253,C253,$J$4,$J$6))</f>
        <v>0</v>
      </c>
      <c r="O253" s="163">
        <f ca="1"/>
        <v>0</v>
      </c>
      <c r="P253" s="163">
        <f ca="1"/>
        <v>6.8576140783715989E-4</v>
      </c>
      <c r="Q253" s="163">
        <f ca="1"/>
        <v>0</v>
      </c>
      <c r="R253" s="163">
        <f ca="1"/>
        <v>6.6108722432988154E-3</v>
      </c>
      <c r="S253" s="163">
        <f ca="1"/>
        <v>0</v>
      </c>
      <c r="T253" s="163">
        <f ca="1"/>
        <v>1.6954027954152018E-2</v>
      </c>
      <c r="U253" s="163">
        <f ca="1"/>
        <v>3.748165769537859E-2</v>
      </c>
      <c r="V253" s="139">
        <f ca="1"/>
        <v>6.1496297366609554E-2</v>
      </c>
      <c r="W253" s="138">
        <f ca="1"/>
        <v>0</v>
      </c>
      <c r="X253" s="163">
        <f ca="1"/>
        <v>0</v>
      </c>
      <c r="Y253" s="163">
        <f ca="1"/>
        <v>8.5229990233026687E-4</v>
      </c>
      <c r="Z253" s="163">
        <f ca="1"/>
        <v>0</v>
      </c>
      <c r="AA253" s="163">
        <f ca="1"/>
        <v>7.1277010295642818E-3</v>
      </c>
      <c r="AB253" s="163">
        <f ca="1"/>
        <v>0</v>
      </c>
      <c r="AC253" s="163">
        <f ca="1"/>
        <v>1.7796545223956239E-2</v>
      </c>
      <c r="AD253" s="163">
        <f ca="1"/>
        <v>3.9293207877142966E-2</v>
      </c>
      <c r="AE253" s="139">
        <f ca="1"/>
        <v>6.4455051518604423E-2</v>
      </c>
      <c r="AI253" s="136"/>
      <c r="AK253" s="136"/>
      <c r="AM253" s="136"/>
      <c r="AN253" s="136"/>
      <c r="AO253" s="136"/>
      <c r="AR253" s="136"/>
      <c r="AT253" s="136"/>
      <c r="AV253" s="136"/>
      <c r="AW253" s="136"/>
      <c r="AX253" s="136"/>
    </row>
    <row r="254" spans="1:50" s="79" customFormat="1" ht="11.25">
      <c r="A254" s="96">
        <f t="shared" ca="1" si="5"/>
        <v>243</v>
      </c>
      <c r="B254" s="68" t="s">
        <v>331</v>
      </c>
      <c r="C254" s="97">
        <v>0.4</v>
      </c>
      <c r="D254" s="69" t="s">
        <v>67</v>
      </c>
      <c r="E254" s="137" t="s">
        <v>87</v>
      </c>
      <c r="F254" s="156" t="s">
        <v>87</v>
      </c>
      <c r="G254" s="156">
        <v>1.0859999999999999E-3</v>
      </c>
      <c r="H254" s="156" t="s">
        <v>87</v>
      </c>
      <c r="I254" s="156">
        <v>1.3029999999999999E-3</v>
      </c>
      <c r="J254" s="156" t="s">
        <v>87</v>
      </c>
      <c r="K254" s="156">
        <v>2.1710000000000002E-3</v>
      </c>
      <c r="L254" s="156">
        <v>2.895E-3</v>
      </c>
      <c r="M254" s="156">
        <v>3.3779999999999999E-3</v>
      </c>
      <c r="N254" s="138" cm="1">
        <f t="array" aca="1" ref="N254:AE254" ca="1">IF(OR(B254="",NOT($J$2)),"",GetStripDefaultProbability(A254,B254,Parameter_Date,CDSRollDate,E254:M254,SpreadCurveMaturities,D254,C254,$J$4,$J$6))</f>
        <v>0</v>
      </c>
      <c r="O254" s="163">
        <f ca="1"/>
        <v>0</v>
      </c>
      <c r="P254" s="163">
        <f ca="1"/>
        <v>1.9899856118108517E-3</v>
      </c>
      <c r="Q254" s="163">
        <f ca="1"/>
        <v>0</v>
      </c>
      <c r="R254" s="163">
        <f ca="1"/>
        <v>6.7689376991165728E-3</v>
      </c>
      <c r="S254" s="163">
        <f ca="1"/>
        <v>0</v>
      </c>
      <c r="T254" s="163">
        <f ca="1"/>
        <v>1.9026102822749857E-2</v>
      </c>
      <c r="U254" s="163">
        <f ca="1"/>
        <v>3.5803054618867347E-2</v>
      </c>
      <c r="V254" s="139">
        <f ca="1"/>
        <v>5.9400961122701879E-2</v>
      </c>
      <c r="W254" s="138">
        <f ca="1"/>
        <v>0</v>
      </c>
      <c r="X254" s="163">
        <f ca="1"/>
        <v>0</v>
      </c>
      <c r="Y254" s="163">
        <f ca="1"/>
        <v>2.1563067537487823E-3</v>
      </c>
      <c r="Z254" s="163">
        <f ca="1"/>
        <v>0</v>
      </c>
      <c r="AA254" s="163">
        <f ca="1"/>
        <v>7.2854442687697585E-3</v>
      </c>
      <c r="AB254" s="163">
        <f ca="1"/>
        <v>0</v>
      </c>
      <c r="AC254" s="163">
        <f ca="1"/>
        <v>1.9944437687045347E-2</v>
      </c>
      <c r="AD254" s="163">
        <f ca="1"/>
        <v>3.7542074778397772E-2</v>
      </c>
      <c r="AE254" s="139">
        <f ca="1"/>
        <v>6.2267676964455121E-2</v>
      </c>
      <c r="AI254" s="136"/>
      <c r="AK254" s="136"/>
      <c r="AM254" s="136"/>
      <c r="AN254" s="136"/>
      <c r="AO254" s="136"/>
      <c r="AR254" s="136"/>
      <c r="AT254" s="136"/>
      <c r="AV254" s="136"/>
      <c r="AW254" s="136"/>
      <c r="AX254" s="136"/>
    </row>
    <row r="255" spans="1:50" s="79" customFormat="1" ht="11.25">
      <c r="A255" s="96">
        <f t="shared" ca="1" si="5"/>
        <v>244</v>
      </c>
      <c r="B255" s="68" t="s">
        <v>332</v>
      </c>
      <c r="C255" s="97">
        <v>0.4</v>
      </c>
      <c r="D255" s="69" t="s">
        <v>67</v>
      </c>
      <c r="E255" s="137" t="s">
        <v>87</v>
      </c>
      <c r="F255" s="156" t="s">
        <v>87</v>
      </c>
      <c r="G255" s="156">
        <v>6.9499999999999998E-4</v>
      </c>
      <c r="H255" s="156" t="s">
        <v>87</v>
      </c>
      <c r="I255" s="156">
        <v>1.544E-3</v>
      </c>
      <c r="J255" s="156" t="s">
        <v>87</v>
      </c>
      <c r="K255" s="156">
        <v>2.3159999999999999E-3</v>
      </c>
      <c r="L255" s="156">
        <v>3.1849999999999999E-3</v>
      </c>
      <c r="M255" s="156">
        <v>4.4869999999999997E-3</v>
      </c>
      <c r="N255" s="138" cm="1">
        <f t="array" aca="1" ref="N255:AE255" ca="1">IF(OR(B255="",NOT($J$2)),"",GetStripDefaultProbability(A255,B255,Parameter_Date,CDSRollDate,E255:M255,SpreadCurveMaturities,D255,C255,$J$4,$J$6))</f>
        <v>0</v>
      </c>
      <c r="O255" s="163">
        <f ca="1"/>
        <v>0</v>
      </c>
      <c r="P255" s="163">
        <f ca="1"/>
        <v>1.2739705429263282E-3</v>
      </c>
      <c r="Q255" s="163">
        <f ca="1"/>
        <v>0</v>
      </c>
      <c r="R255" s="163">
        <f ca="1"/>
        <v>8.096727479771082E-3</v>
      </c>
      <c r="S255" s="163">
        <f ca="1"/>
        <v>0</v>
      </c>
      <c r="T255" s="163">
        <f ca="1"/>
        <v>2.0264906930510418E-2</v>
      </c>
      <c r="U255" s="163">
        <f ca="1"/>
        <v>3.9426206150822707E-2</v>
      </c>
      <c r="V255" s="139">
        <f ca="1"/>
        <v>8.0543625010051301E-2</v>
      </c>
      <c r="W255" s="138">
        <f ca="1"/>
        <v>0</v>
      </c>
      <c r="X255" s="163">
        <f ca="1"/>
        <v>0</v>
      </c>
      <c r="Y255" s="163">
        <f ca="1"/>
        <v>1.4404110107324453E-3</v>
      </c>
      <c r="Z255" s="163">
        <f ca="1"/>
        <v>0</v>
      </c>
      <c r="AA255" s="163">
        <f ca="1"/>
        <v>8.6126882508035241E-3</v>
      </c>
      <c r="AB255" s="163">
        <f ca="1"/>
        <v>0</v>
      </c>
      <c r="AC255" s="163">
        <f ca="1"/>
        <v>2.1248186326292995E-2</v>
      </c>
      <c r="AD255" s="163">
        <f ca="1"/>
        <v>4.1344948412180504E-2</v>
      </c>
      <c r="AE255" s="139">
        <f ca="1"/>
        <v>8.4438253923956097E-2</v>
      </c>
      <c r="AI255" s="136"/>
      <c r="AK255" s="136"/>
      <c r="AM255" s="136"/>
      <c r="AN255" s="136"/>
      <c r="AO255" s="136"/>
      <c r="AR255" s="136"/>
      <c r="AT255" s="136"/>
      <c r="AV255" s="136"/>
      <c r="AW255" s="136"/>
      <c r="AX255" s="136"/>
    </row>
    <row r="256" spans="1:50" s="79" customFormat="1" ht="11.25">
      <c r="A256" s="96">
        <f t="shared" ca="1" si="5"/>
        <v>245</v>
      </c>
      <c r="B256" s="68" t="s">
        <v>333</v>
      </c>
      <c r="C256" s="97">
        <v>0.4</v>
      </c>
      <c r="D256" s="69" t="s">
        <v>67</v>
      </c>
      <c r="E256" s="137" t="s">
        <v>87</v>
      </c>
      <c r="F256" s="156" t="s">
        <v>87</v>
      </c>
      <c r="G256" s="156">
        <v>2.0885000000000001E-2</v>
      </c>
      <c r="H256" s="156" t="s">
        <v>87</v>
      </c>
      <c r="I256" s="156">
        <v>1.9042E-2</v>
      </c>
      <c r="J256" s="156" t="s">
        <v>87</v>
      </c>
      <c r="K256" s="156">
        <v>1.5970999999999999E-2</v>
      </c>
      <c r="L256" s="156">
        <v>1.5356E-2</v>
      </c>
      <c r="M256" s="156">
        <v>1.4435E-2</v>
      </c>
      <c r="N256" s="138" cm="1">
        <f t="array" aca="1" ref="N256:AE256" ca="1">IF(OR(B256="",NOT($J$2)),"",GetStripDefaultProbability(A256,B256,Parameter_Date,CDSRollDate,E256:M256,SpreadCurveMaturities,D256,C256,$J$4,$J$6))</f>
        <v>0</v>
      </c>
      <c r="O256" s="163">
        <f ca="1"/>
        <v>0</v>
      </c>
      <c r="P256" s="163">
        <f ca="1"/>
        <v>3.759271230223904E-2</v>
      </c>
      <c r="Q256" s="163">
        <f ca="1"/>
        <v>0</v>
      </c>
      <c r="R256" s="163">
        <f ca="1"/>
        <v>9.3717456283961997E-2</v>
      </c>
      <c r="S256" s="163">
        <f ca="1"/>
        <v>0</v>
      </c>
      <c r="T256" s="163">
        <f ca="1"/>
        <v>0.12444332484376008</v>
      </c>
      <c r="U256" s="163">
        <f ca="1"/>
        <v>0.16274140371698242</v>
      </c>
      <c r="V256" s="139">
        <f ca="1"/>
        <v>0.20895410940944958</v>
      </c>
      <c r="W256" s="138">
        <f ca="1"/>
        <v>0</v>
      </c>
      <c r="X256" s="163">
        <f ca="1"/>
        <v>0</v>
      </c>
      <c r="Y256" s="163">
        <f ca="1"/>
        <v>3.9424083034603541E-2</v>
      </c>
      <c r="Z256" s="163">
        <f ca="1"/>
        <v>0</v>
      </c>
      <c r="AA256" s="163">
        <f ca="1"/>
        <v>9.8158064132238376E-2</v>
      </c>
      <c r="AB256" s="163">
        <f ca="1"/>
        <v>0</v>
      </c>
      <c r="AC256" s="163">
        <f ca="1"/>
        <v>0.13016362176949647</v>
      </c>
      <c r="AD256" s="163">
        <f ca="1"/>
        <v>0.17003840111843116</v>
      </c>
      <c r="AE256" s="139">
        <f ca="1"/>
        <v>0.21802423371189894</v>
      </c>
      <c r="AI256" s="136"/>
      <c r="AK256" s="136"/>
      <c r="AM256" s="136"/>
      <c r="AN256" s="136"/>
      <c r="AO256" s="136"/>
      <c r="AR256" s="136"/>
      <c r="AT256" s="136"/>
      <c r="AV256" s="136"/>
      <c r="AW256" s="136"/>
      <c r="AX256" s="136"/>
    </row>
    <row r="257" spans="1:50" s="79" customFormat="1" ht="11.25">
      <c r="A257" s="96">
        <f t="shared" ca="1" si="5"/>
        <v>246</v>
      </c>
      <c r="B257" s="68" t="s">
        <v>334</v>
      </c>
      <c r="C257" s="97">
        <v>0.4</v>
      </c>
      <c r="D257" s="69" t="s">
        <v>67</v>
      </c>
      <c r="E257" s="137" t="s">
        <v>87</v>
      </c>
      <c r="F257" s="156" t="s">
        <v>87</v>
      </c>
      <c r="G257" s="156">
        <v>1.3420000000000001E-3</v>
      </c>
      <c r="H257" s="156" t="s">
        <v>87</v>
      </c>
      <c r="I257" s="156">
        <v>2.5339999999999998E-3</v>
      </c>
      <c r="J257" s="156" t="s">
        <v>87</v>
      </c>
      <c r="K257" s="156">
        <v>3.3289999999999999E-3</v>
      </c>
      <c r="L257" s="156">
        <v>3.4290000000000002E-3</v>
      </c>
      <c r="M257" s="156">
        <v>3.5279999999999999E-3</v>
      </c>
      <c r="N257" s="138" cm="1">
        <f t="array" aca="1" ref="N257:AE257" ca="1">IF(OR(B257="",NOT($J$2)),"",GetStripDefaultProbability(A257,B257,Parameter_Date,CDSRollDate,E257:M257,SpreadCurveMaturities,D257,C257,$J$4,$J$6))</f>
        <v>0</v>
      </c>
      <c r="O257" s="163">
        <f ca="1"/>
        <v>0</v>
      </c>
      <c r="P257" s="163">
        <f ca="1"/>
        <v>2.4585074005427643E-3</v>
      </c>
      <c r="Q257" s="163">
        <f ca="1"/>
        <v>0</v>
      </c>
      <c r="R257" s="163">
        <f ca="1"/>
        <v>1.3232857482067151E-2</v>
      </c>
      <c r="S257" s="163">
        <f ca="1"/>
        <v>0</v>
      </c>
      <c r="T257" s="163">
        <f ca="1"/>
        <v>2.8802949958440571E-2</v>
      </c>
      <c r="U257" s="163">
        <f ca="1"/>
        <v>4.0913195981880479E-2</v>
      </c>
      <c r="V257" s="139">
        <f ca="1"/>
        <v>5.9309172175031954E-2</v>
      </c>
      <c r="W257" s="138">
        <f ca="1"/>
        <v>0</v>
      </c>
      <c r="X257" s="163">
        <f ca="1"/>
        <v>0</v>
      </c>
      <c r="Y257" s="163">
        <f ca="1"/>
        <v>2.624750462013492E-3</v>
      </c>
      <c r="Z257" s="163">
        <f ca="1"/>
        <v>0</v>
      </c>
      <c r="AA257" s="163">
        <f ca="1"/>
        <v>1.3886361786473067E-2</v>
      </c>
      <c r="AB257" s="163">
        <f ca="1"/>
        <v>0</v>
      </c>
      <c r="AC257" s="163">
        <f ca="1"/>
        <v>3.0220062328381703E-2</v>
      </c>
      <c r="AD257" s="163">
        <f ca="1"/>
        <v>4.2915665379358647E-2</v>
      </c>
      <c r="AE257" s="139">
        <f ca="1"/>
        <v>6.2180747526970781E-2</v>
      </c>
      <c r="AI257" s="136"/>
      <c r="AK257" s="136"/>
      <c r="AM257" s="136"/>
      <c r="AN257" s="136"/>
      <c r="AO257" s="136"/>
      <c r="AR257" s="136"/>
      <c r="AT257" s="136"/>
      <c r="AV257" s="136"/>
      <c r="AW257" s="136"/>
      <c r="AX257" s="136"/>
    </row>
    <row r="258" spans="1:50" s="79" customFormat="1" ht="11.25">
      <c r="A258" s="96">
        <f t="shared" ca="1" si="5"/>
        <v>247</v>
      </c>
      <c r="B258" s="68" t="s">
        <v>335</v>
      </c>
      <c r="C258" s="97">
        <v>0.4</v>
      </c>
      <c r="D258" s="69" t="s">
        <v>67</v>
      </c>
      <c r="E258" s="137" t="s">
        <v>87</v>
      </c>
      <c r="F258" s="156" t="s">
        <v>87</v>
      </c>
      <c r="G258" s="156">
        <v>2.846E-3</v>
      </c>
      <c r="H258" s="156" t="s">
        <v>87</v>
      </c>
      <c r="I258" s="156">
        <v>4.3860000000000001E-3</v>
      </c>
      <c r="J258" s="156" t="s">
        <v>87</v>
      </c>
      <c r="K258" s="156">
        <v>7.0930000000000003E-3</v>
      </c>
      <c r="L258" s="156">
        <v>8.5389999999999997E-3</v>
      </c>
      <c r="M258" s="156">
        <v>1.0266000000000001E-2</v>
      </c>
      <c r="N258" s="138" cm="1">
        <f t="array" aca="1" ref="N258:AE258" ca="1">IF(OR(B258="",NOT($J$2)),"",GetStripDefaultProbability(A258,B258,Parameter_Date,CDSRollDate,E258:M258,SpreadCurveMaturities,D258,C258,$J$4,$J$6))</f>
        <v>0</v>
      </c>
      <c r="O258" s="163">
        <f ca="1"/>
        <v>0</v>
      </c>
      <c r="P258" s="163">
        <f ca="1"/>
        <v>5.2066738163142334E-3</v>
      </c>
      <c r="Q258" s="163">
        <f ca="1"/>
        <v>0</v>
      </c>
      <c r="R258" s="163">
        <f ca="1"/>
        <v>2.2736065893303792E-2</v>
      </c>
      <c r="S258" s="163">
        <f ca="1"/>
        <v>0</v>
      </c>
      <c r="T258" s="163">
        <f ca="1"/>
        <v>6.1236690064328303E-2</v>
      </c>
      <c r="U258" s="163">
        <f ca="1"/>
        <v>0.10196465161447965</v>
      </c>
      <c r="V258" s="139">
        <f ca="1"/>
        <v>0.1722779500386542</v>
      </c>
      <c r="W258" s="138">
        <f ca="1"/>
        <v>0</v>
      </c>
      <c r="X258" s="163">
        <f ca="1"/>
        <v>0</v>
      </c>
      <c r="Y258" s="163">
        <f ca="1"/>
        <v>5.4661686651823471E-3</v>
      </c>
      <c r="Z258" s="163">
        <f ca="1"/>
        <v>0</v>
      </c>
      <c r="AA258" s="163">
        <f ca="1"/>
        <v>2.3858213671600459E-2</v>
      </c>
      <c r="AB258" s="163">
        <f ca="1"/>
        <v>0</v>
      </c>
      <c r="AC258" s="163">
        <f ca="1"/>
        <v>6.4210574091041361E-2</v>
      </c>
      <c r="AD258" s="163">
        <f ca="1"/>
        <v>0.10683744769340398</v>
      </c>
      <c r="AE258" s="139">
        <f ca="1"/>
        <v>0.18028731275530274</v>
      </c>
      <c r="AI258" s="136"/>
      <c r="AK258" s="136"/>
      <c r="AM258" s="136"/>
      <c r="AN258" s="136"/>
      <c r="AO258" s="136"/>
      <c r="AR258" s="136"/>
      <c r="AT258" s="136"/>
      <c r="AV258" s="136"/>
      <c r="AW258" s="136"/>
      <c r="AX258" s="136"/>
    </row>
    <row r="259" spans="1:50" s="79" customFormat="1" ht="11.25">
      <c r="A259" s="96">
        <f t="shared" ca="1" si="5"/>
        <v>248</v>
      </c>
      <c r="B259" s="68" t="s">
        <v>336</v>
      </c>
      <c r="C259" s="97">
        <v>0.4</v>
      </c>
      <c r="D259" s="69" t="s">
        <v>67</v>
      </c>
      <c r="E259" s="137" t="s">
        <v>87</v>
      </c>
      <c r="F259" s="156" t="s">
        <v>87</v>
      </c>
      <c r="G259" s="156">
        <v>1.1789999999999999E-3</v>
      </c>
      <c r="H259" s="156" t="s">
        <v>87</v>
      </c>
      <c r="I259" s="156">
        <v>2.5530000000000001E-3</v>
      </c>
      <c r="J259" s="156" t="s">
        <v>87</v>
      </c>
      <c r="K259" s="156">
        <v>4.5840000000000004E-3</v>
      </c>
      <c r="L259" s="156">
        <v>5.6449999999999998E-3</v>
      </c>
      <c r="M259" s="156">
        <v>6.6100000000000004E-3</v>
      </c>
      <c r="N259" s="138" cm="1">
        <f t="array" aca="1" ref="N259:AE259" ca="1">IF(OR(B259="",NOT($J$2)),"",GetStripDefaultProbability(A259,B259,Parameter_Date,CDSRollDate,E259:M259,SpreadCurveMaturities,D259,C259,$J$4,$J$6))</f>
        <v>0</v>
      </c>
      <c r="O259" s="163">
        <f ca="1"/>
        <v>0</v>
      </c>
      <c r="P259" s="163">
        <f ca="1"/>
        <v>2.1602160236540158E-3</v>
      </c>
      <c r="Q259" s="163">
        <f ca="1"/>
        <v>0</v>
      </c>
      <c r="R259" s="163">
        <f ca="1"/>
        <v>1.3355877483130496E-2</v>
      </c>
      <c r="S259" s="163">
        <f ca="1"/>
        <v>0</v>
      </c>
      <c r="T259" s="163">
        <f ca="1"/>
        <v>4.0154224573572317E-2</v>
      </c>
      <c r="U259" s="163">
        <f ca="1"/>
        <v>6.8733323688320191E-2</v>
      </c>
      <c r="V259" s="139">
        <f ca="1"/>
        <v>0.11356250437424997</v>
      </c>
      <c r="W259" s="138">
        <f ca="1"/>
        <v>0</v>
      </c>
      <c r="X259" s="163">
        <f ca="1"/>
        <v>0</v>
      </c>
      <c r="Y259" s="163">
        <f ca="1"/>
        <v>2.3265087962001108E-3</v>
      </c>
      <c r="Z259" s="163">
        <f ca="1"/>
        <v>0</v>
      </c>
      <c r="AA259" s="163">
        <f ca="1"/>
        <v>1.4014347202441657E-2</v>
      </c>
      <c r="AB259" s="163">
        <f ca="1"/>
        <v>0</v>
      </c>
      <c r="AC259" s="163">
        <f ca="1"/>
        <v>4.2121368885591592E-2</v>
      </c>
      <c r="AD259" s="163">
        <f ca="1"/>
        <v>7.2067846527179791E-2</v>
      </c>
      <c r="AE259" s="139">
        <f ca="1"/>
        <v>0.11897701964938034</v>
      </c>
      <c r="AI259" s="136"/>
      <c r="AK259" s="136"/>
      <c r="AM259" s="136"/>
      <c r="AN259" s="136"/>
      <c r="AO259" s="136"/>
      <c r="AR259" s="136"/>
      <c r="AT259" s="136"/>
      <c r="AV259" s="136"/>
      <c r="AW259" s="136"/>
      <c r="AX259" s="136"/>
    </row>
    <row r="260" spans="1:50" s="79" customFormat="1" ht="11.25">
      <c r="A260" s="96">
        <f t="shared" ca="1" si="5"/>
        <v>249</v>
      </c>
      <c r="B260" s="68" t="s">
        <v>337</v>
      </c>
      <c r="C260" s="97">
        <v>0.4</v>
      </c>
      <c r="D260" s="69" t="s">
        <v>67</v>
      </c>
      <c r="E260" s="137" t="s">
        <v>87</v>
      </c>
      <c r="F260" s="156" t="s">
        <v>87</v>
      </c>
      <c r="G260" s="156">
        <v>5.7700000000000004E-4</v>
      </c>
      <c r="H260" s="156" t="s">
        <v>87</v>
      </c>
      <c r="I260" s="156">
        <v>1.15E-3</v>
      </c>
      <c r="J260" s="156" t="s">
        <v>87</v>
      </c>
      <c r="K260" s="156">
        <v>1.9780000000000002E-3</v>
      </c>
      <c r="L260" s="156">
        <v>2.5760000000000002E-3</v>
      </c>
      <c r="M260" s="156">
        <v>3.3579999999999999E-3</v>
      </c>
      <c r="N260" s="138" cm="1">
        <f t="array" aca="1" ref="N260:AE260" ca="1">IF(OR(B260="",NOT($J$2)),"",GetStripDefaultProbability(A260,B260,Parameter_Date,CDSRollDate,E260:M260,SpreadCurveMaturities,D260,C260,$J$4,$J$6))</f>
        <v>0</v>
      </c>
      <c r="O260" s="163">
        <f ca="1"/>
        <v>0</v>
      </c>
      <c r="P260" s="163">
        <f ca="1"/>
        <v>1.0577840724030896E-3</v>
      </c>
      <c r="Q260" s="163">
        <f ca="1"/>
        <v>0</v>
      </c>
      <c r="R260" s="163">
        <f ca="1"/>
        <v>6.0275346387993478E-3</v>
      </c>
      <c r="S260" s="163">
        <f ca="1"/>
        <v>0</v>
      </c>
      <c r="T260" s="163">
        <f ca="1"/>
        <v>1.7422733534563029E-2</v>
      </c>
      <c r="U260" s="163">
        <f ca="1"/>
        <v>3.1911984475397004E-2</v>
      </c>
      <c r="V260" s="139">
        <f ca="1"/>
        <v>6.0029164080318442E-2</v>
      </c>
      <c r="W260" s="138">
        <f ca="1"/>
        <v>0</v>
      </c>
      <c r="X260" s="163">
        <f ca="1"/>
        <v>0</v>
      </c>
      <c r="Y260" s="163">
        <f ca="1"/>
        <v>1.2242605682887264E-3</v>
      </c>
      <c r="Z260" s="163">
        <f ca="1"/>
        <v>0</v>
      </c>
      <c r="AA260" s="163">
        <f ca="1"/>
        <v>6.5445868425736409E-3</v>
      </c>
      <c r="AB260" s="163">
        <f ca="1"/>
        <v>0</v>
      </c>
      <c r="AC260" s="163">
        <f ca="1"/>
        <v>1.8264869168691078E-2</v>
      </c>
      <c r="AD260" s="163">
        <f ca="1"/>
        <v>3.3453216843269518E-2</v>
      </c>
      <c r="AE260" s="139">
        <f ca="1"/>
        <v>6.2918478063090699E-2</v>
      </c>
      <c r="AI260" s="136"/>
      <c r="AK260" s="136"/>
      <c r="AM260" s="136"/>
      <c r="AN260" s="136"/>
      <c r="AO260" s="136"/>
      <c r="AR260" s="136"/>
      <c r="AT260" s="136"/>
      <c r="AV260" s="136"/>
      <c r="AW260" s="136"/>
      <c r="AX260" s="136"/>
    </row>
    <row r="261" spans="1:50" s="79" customFormat="1" ht="11.25">
      <c r="A261" s="96">
        <f t="shared" ca="1" si="5"/>
        <v>250</v>
      </c>
      <c r="B261" s="68" t="s">
        <v>338</v>
      </c>
      <c r="C261" s="97">
        <v>0.4</v>
      </c>
      <c r="D261" s="69" t="s">
        <v>67</v>
      </c>
      <c r="E261" s="137" t="s">
        <v>87</v>
      </c>
      <c r="F261" s="156" t="s">
        <v>87</v>
      </c>
      <c r="G261" s="156">
        <v>2.5500000000000002E-3</v>
      </c>
      <c r="H261" s="156" t="s">
        <v>87</v>
      </c>
      <c r="I261" s="156">
        <v>3.8579999999999999E-3</v>
      </c>
      <c r="J261" s="156" t="s">
        <v>87</v>
      </c>
      <c r="K261" s="156">
        <v>4.9699999999999996E-3</v>
      </c>
      <c r="L261" s="156">
        <v>5.5579999999999996E-3</v>
      </c>
      <c r="M261" s="156">
        <v>6.3429999999999997E-3</v>
      </c>
      <c r="N261" s="138" cm="1">
        <f t="array" aca="1" ref="N261:AE261" ca="1">IF(OR(B261="",NOT($J$2)),"",GetStripDefaultProbability(A261,B261,Parameter_Date,CDSRollDate,E261:M261,SpreadCurveMaturities,D261,C261,$J$4,$J$6))</f>
        <v>0</v>
      </c>
      <c r="O261" s="163">
        <f ca="1"/>
        <v>0</v>
      </c>
      <c r="P261" s="163">
        <f ca="1"/>
        <v>4.6664047260184249E-3</v>
      </c>
      <c r="Q261" s="163">
        <f ca="1"/>
        <v>0</v>
      </c>
      <c r="R261" s="163">
        <f ca="1"/>
        <v>2.001588543029087E-2</v>
      </c>
      <c r="S261" s="163">
        <f ca="1"/>
        <v>0</v>
      </c>
      <c r="T261" s="163">
        <f ca="1"/>
        <v>4.2632995128752849E-2</v>
      </c>
      <c r="U261" s="163">
        <f ca="1"/>
        <v>6.6156932496817977E-2</v>
      </c>
      <c r="V261" s="139">
        <f ca="1"/>
        <v>0.10715863007256676</v>
      </c>
      <c r="W261" s="138">
        <f ca="1"/>
        <v>0</v>
      </c>
      <c r="X261" s="163">
        <f ca="1"/>
        <v>0</v>
      </c>
      <c r="Y261" s="163">
        <f ca="1"/>
        <v>4.8990525119164685E-3</v>
      </c>
      <c r="Z261" s="163">
        <f ca="1"/>
        <v>0</v>
      </c>
      <c r="AA261" s="163">
        <f ca="1"/>
        <v>2.1005344881899202E-2</v>
      </c>
      <c r="AB261" s="163">
        <f ca="1"/>
        <v>0</v>
      </c>
      <c r="AC261" s="163">
        <f ca="1"/>
        <v>4.4720303779760773E-2</v>
      </c>
      <c r="AD261" s="163">
        <f ca="1"/>
        <v>6.9362913219405797E-2</v>
      </c>
      <c r="AE261" s="139">
        <f ca="1"/>
        <v>0.112265306203302</v>
      </c>
      <c r="AI261" s="136"/>
      <c r="AK261" s="136"/>
      <c r="AM261" s="136"/>
      <c r="AN261" s="136"/>
      <c r="AO261" s="136"/>
      <c r="AR261" s="136"/>
      <c r="AT261" s="136"/>
      <c r="AV261" s="136"/>
      <c r="AW261" s="136"/>
      <c r="AX261" s="136"/>
    </row>
    <row r="262" spans="1:50" s="79" customFormat="1" ht="11.25">
      <c r="A262" s="96">
        <f t="shared" ca="1" si="5"/>
        <v>251</v>
      </c>
      <c r="B262" s="68" t="s">
        <v>339</v>
      </c>
      <c r="C262" s="97">
        <v>0.4</v>
      </c>
      <c r="D262" s="69" t="s">
        <v>67</v>
      </c>
      <c r="E262" s="137" t="s">
        <v>87</v>
      </c>
      <c r="F262" s="156" t="s">
        <v>87</v>
      </c>
      <c r="G262" s="156">
        <v>2.5166999999999998E-2</v>
      </c>
      <c r="H262" s="156" t="s">
        <v>87</v>
      </c>
      <c r="I262" s="156">
        <v>2.5009E-2</v>
      </c>
      <c r="J262" s="156" t="s">
        <v>87</v>
      </c>
      <c r="K262" s="156">
        <v>2.265E-2</v>
      </c>
      <c r="L262" s="156">
        <v>2.1706E-2</v>
      </c>
      <c r="M262" s="156">
        <v>2.0763E-2</v>
      </c>
      <c r="N262" s="138" cm="1">
        <f t="array" aca="1" ref="N262:AE262" ca="1">IF(OR(B262="",NOT($J$2)),"",GetStripDefaultProbability(A262,B262,Parameter_Date,CDSRollDate,E262:M262,SpreadCurveMaturities,D262,C262,$J$4,$J$6))</f>
        <v>0</v>
      </c>
      <c r="O262" s="163">
        <f ca="1"/>
        <v>0</v>
      </c>
      <c r="P262" s="163">
        <f ca="1"/>
        <v>4.5127611681800794E-2</v>
      </c>
      <c r="Q262" s="163">
        <f ca="1"/>
        <v>0</v>
      </c>
      <c r="R262" s="163">
        <f ca="1"/>
        <v>0.12168352608159527</v>
      </c>
      <c r="S262" s="163">
        <f ca="1"/>
        <v>0</v>
      </c>
      <c r="T262" s="163">
        <f ca="1"/>
        <v>0.17357483053458789</v>
      </c>
      <c r="U262" s="163">
        <f ca="1"/>
        <v>0.22321053364910692</v>
      </c>
      <c r="V262" s="139">
        <f ca="1"/>
        <v>0.28821299766687558</v>
      </c>
      <c r="W262" s="138">
        <f ca="1"/>
        <v>0</v>
      </c>
      <c r="X262" s="163">
        <f ca="1"/>
        <v>0</v>
      </c>
      <c r="Y262" s="163">
        <f ca="1"/>
        <v>4.7312924246275423E-2</v>
      </c>
      <c r="Z262" s="163">
        <f ca="1"/>
        <v>0</v>
      </c>
      <c r="AA262" s="163">
        <f ca="1"/>
        <v>0.12736425645837046</v>
      </c>
      <c r="AB262" s="163">
        <f ca="1"/>
        <v>0</v>
      </c>
      <c r="AC262" s="163">
        <f ca="1"/>
        <v>0.18133753021605392</v>
      </c>
      <c r="AD262" s="163">
        <f ca="1"/>
        <v>0.23284996645394795</v>
      </c>
      <c r="AE262" s="139">
        <f ca="1"/>
        <v>0.30000522050247891</v>
      </c>
      <c r="AI262" s="136"/>
      <c r="AK262" s="136"/>
      <c r="AM262" s="136"/>
      <c r="AN262" s="136"/>
      <c r="AO262" s="136"/>
      <c r="AR262" s="136"/>
      <c r="AT262" s="136"/>
      <c r="AV262" s="136"/>
      <c r="AW262" s="136"/>
      <c r="AX262" s="136"/>
    </row>
    <row r="263" spans="1:50" s="79" customFormat="1" ht="11.25">
      <c r="A263" s="96">
        <f t="shared" ca="1" si="5"/>
        <v>252</v>
      </c>
      <c r="B263" s="68" t="s">
        <v>340</v>
      </c>
      <c r="C263" s="97">
        <v>0.4</v>
      </c>
      <c r="D263" s="69" t="s">
        <v>67</v>
      </c>
      <c r="E263" s="137" t="s">
        <v>87</v>
      </c>
      <c r="F263" s="156" t="s">
        <v>87</v>
      </c>
      <c r="G263" s="156">
        <v>4.4299999999999999E-3</v>
      </c>
      <c r="H263" s="156" t="s">
        <v>87</v>
      </c>
      <c r="I263" s="156">
        <v>7.8539999999999999E-3</v>
      </c>
      <c r="J263" s="156" t="s">
        <v>87</v>
      </c>
      <c r="K263" s="156">
        <v>1.235E-2</v>
      </c>
      <c r="L263" s="156">
        <v>1.4572E-2</v>
      </c>
      <c r="M263" s="156">
        <v>1.7569000000000001E-2</v>
      </c>
      <c r="N263" s="138" cm="1">
        <f t="array" aca="1" ref="N263:AE263" ca="1">IF(OR(B263="",NOT($J$2)),"",GetStripDefaultProbability(A263,B263,Parameter_Date,CDSRollDate,E263:M263,SpreadCurveMaturities,D263,C263,$J$4,$J$6))</f>
        <v>0</v>
      </c>
      <c r="O263" s="163">
        <f ca="1"/>
        <v>0</v>
      </c>
      <c r="P263" s="163">
        <f ca="1"/>
        <v>8.0929149827818625E-3</v>
      </c>
      <c r="Q263" s="163">
        <f ca="1"/>
        <v>0</v>
      </c>
      <c r="R263" s="163">
        <f ca="1"/>
        <v>4.0508403874758847E-2</v>
      </c>
      <c r="S263" s="163">
        <f ca="1"/>
        <v>0</v>
      </c>
      <c r="T263" s="163">
        <f ca="1"/>
        <v>0.10478071294737179</v>
      </c>
      <c r="U263" s="163">
        <f ca="1"/>
        <v>0.1687635665593511</v>
      </c>
      <c r="V263" s="139">
        <f ca="1"/>
        <v>0.28071233602239865</v>
      </c>
      <c r="W263" s="138">
        <f ca="1"/>
        <v>0</v>
      </c>
      <c r="X263" s="163">
        <f ca="1"/>
        <v>0</v>
      </c>
      <c r="Y263" s="163">
        <f ca="1"/>
        <v>8.4955140547260388E-3</v>
      </c>
      <c r="Z263" s="163">
        <f ca="1"/>
        <v>0</v>
      </c>
      <c r="AA263" s="163">
        <f ca="1"/>
        <v>4.2486619531937553E-2</v>
      </c>
      <c r="AB263" s="163">
        <f ca="1"/>
        <v>0</v>
      </c>
      <c r="AC263" s="163">
        <f ca="1"/>
        <v>0.10980677896010949</v>
      </c>
      <c r="AD263" s="163">
        <f ca="1"/>
        <v>0.17661291059002304</v>
      </c>
      <c r="AE263" s="139">
        <f ca="1"/>
        <v>0.29306113756682628</v>
      </c>
      <c r="AI263" s="136"/>
      <c r="AK263" s="136"/>
      <c r="AM263" s="136"/>
      <c r="AN263" s="136"/>
      <c r="AO263" s="136"/>
      <c r="AR263" s="136"/>
      <c r="AT263" s="136"/>
      <c r="AV263" s="136"/>
      <c r="AW263" s="136"/>
      <c r="AX263" s="136"/>
    </row>
    <row r="264" spans="1:50" s="79" customFormat="1" ht="11.25">
      <c r="A264" s="96">
        <f t="shared" ca="1" si="5"/>
        <v>253</v>
      </c>
      <c r="B264" s="68" t="s">
        <v>341</v>
      </c>
      <c r="C264" s="97">
        <v>0.4</v>
      </c>
      <c r="D264" s="69" t="s">
        <v>66</v>
      </c>
      <c r="E264" s="137" t="s">
        <v>87</v>
      </c>
      <c r="F264" s="156">
        <v>2.2000000000000001E-3</v>
      </c>
      <c r="G264" s="156">
        <v>2.8999999999999998E-3</v>
      </c>
      <c r="H264" s="156">
        <v>4.7999999999999996E-3</v>
      </c>
      <c r="I264" s="156">
        <v>6.8999999999999999E-3</v>
      </c>
      <c r="J264" s="156">
        <v>9.7000000000000003E-3</v>
      </c>
      <c r="K264" s="156">
        <v>1.2E-2</v>
      </c>
      <c r="L264" s="156">
        <v>1.5100000000000001E-2</v>
      </c>
      <c r="M264" s="156">
        <v>1.7399999999999999E-2</v>
      </c>
      <c r="N264" s="138" cm="1">
        <f t="array" aca="1" ref="N264:AE264" ca="1">IF(OR(B264="",NOT($J$2)),"",GetStripDefaultProbability(A264,B264,Parameter_Date,CDSRollDate,E264:M264,SpreadCurveMaturities,D264,C264,$J$4,$J$6))</f>
        <v>0</v>
      </c>
      <c r="O264" s="163">
        <f ca="1"/>
        <v>2.1925432923902699E-3</v>
      </c>
      <c r="P264" s="163">
        <f ca="1"/>
        <v>5.3242419821678544E-3</v>
      </c>
      <c r="Q264" s="163">
        <f ca="1"/>
        <v>1.6930513176607764E-2</v>
      </c>
      <c r="R264" s="163">
        <f ca="1"/>
        <v>3.6042201544714159E-2</v>
      </c>
      <c r="S264" s="163">
        <f ca="1"/>
        <v>6.7210682824462298E-2</v>
      </c>
      <c r="T264" s="163">
        <f ca="1"/>
        <v>0.10292986273106997</v>
      </c>
      <c r="U264" s="163">
        <f ca="1"/>
        <v>0.17649297858364843</v>
      </c>
      <c r="V264" s="139">
        <f ca="1"/>
        <v>0.27664751669518672</v>
      </c>
      <c r="W264" s="138">
        <f ca="1"/>
        <v>0</v>
      </c>
      <c r="X264" s="163">
        <f ca="1"/>
        <v>2.3020326601406182E-3</v>
      </c>
      <c r="Y264" s="163">
        <f ca="1"/>
        <v>5.5897881964281915E-3</v>
      </c>
      <c r="Z264" s="163">
        <f ca="1"/>
        <v>1.7770663110901253E-2</v>
      </c>
      <c r="AA264" s="163">
        <f ca="1"/>
        <v>3.78181820322252E-2</v>
      </c>
      <c r="AB264" s="163">
        <f ca="1"/>
        <v>7.0487692129552526E-2</v>
      </c>
      <c r="AC264" s="163">
        <f ca="1"/>
        <v>0.10788355287158613</v>
      </c>
      <c r="AD264" s="163">
        <f ca="1"/>
        <v>0.18472605512371854</v>
      </c>
      <c r="AE264" s="139">
        <f ca="1"/>
        <v>0.28883284777729745</v>
      </c>
      <c r="AH264" s="136"/>
      <c r="AI264" s="136"/>
      <c r="AJ264" s="136"/>
      <c r="AK264" s="136"/>
      <c r="AL264" s="136"/>
      <c r="AM264" s="136"/>
      <c r="AN264" s="136"/>
      <c r="AO264" s="136"/>
      <c r="AQ264" s="136"/>
      <c r="AR264" s="136"/>
      <c r="AS264" s="136"/>
      <c r="AT264" s="136"/>
      <c r="AU264" s="136"/>
      <c r="AV264" s="136"/>
      <c r="AW264" s="136"/>
      <c r="AX264" s="136"/>
    </row>
    <row r="265" spans="1:50" s="79" customFormat="1" ht="11.25">
      <c r="A265" s="96">
        <f t="shared" ca="1" si="5"/>
        <v>254</v>
      </c>
      <c r="B265" s="68" t="s">
        <v>342</v>
      </c>
      <c r="C265" s="97">
        <v>0.4</v>
      </c>
      <c r="D265" s="69" t="s">
        <v>66</v>
      </c>
      <c r="E265" s="137" t="s">
        <v>87</v>
      </c>
      <c r="F265" s="156">
        <v>5.4000000000000003E-3</v>
      </c>
      <c r="G265" s="156">
        <v>5.4000000000000003E-3</v>
      </c>
      <c r="H265" s="156">
        <v>8.0999999999999996E-3</v>
      </c>
      <c r="I265" s="156">
        <v>9.7999999999999997E-3</v>
      </c>
      <c r="J265" s="156" t="s">
        <v>87</v>
      </c>
      <c r="K265" s="156">
        <v>1.2500000000000001E-2</v>
      </c>
      <c r="L265" s="156">
        <v>1.4800000000000001E-2</v>
      </c>
      <c r="M265" s="156">
        <v>1.6E-2</v>
      </c>
      <c r="N265" s="138" cm="1">
        <f t="array" aca="1" ref="N265:AE265" ca="1">IF(OR(B265="",NOT($J$2)),"",GetStripDefaultProbability(A265,B265,Parameter_Date,CDSRollDate,E265:M265,SpreadCurveMaturities,D265,C265,$J$4,$J$6))</f>
        <v>0</v>
      </c>
      <c r="O265" s="163">
        <f ca="1"/>
        <v>5.3731548916917671E-3</v>
      </c>
      <c r="P265" s="163">
        <f ca="1"/>
        <v>9.8557139044145314E-3</v>
      </c>
      <c r="Q265" s="163">
        <f ca="1"/>
        <v>2.8349655504068871E-2</v>
      </c>
      <c r="R265" s="163">
        <f ca="1"/>
        <v>5.0461340050236392E-2</v>
      </c>
      <c r="S265" s="163">
        <f ca="1"/>
        <v>0</v>
      </c>
      <c r="T265" s="163">
        <f ca="1"/>
        <v>0.10454334317665714</v>
      </c>
      <c r="U265" s="163">
        <f ca="1"/>
        <v>0.1694648594341247</v>
      </c>
      <c r="V265" s="139">
        <f ca="1"/>
        <v>0.24997924818890349</v>
      </c>
      <c r="W265" s="138">
        <f ca="1"/>
        <v>0</v>
      </c>
      <c r="X265" s="163">
        <f ca="1"/>
        <v>5.6409746020392726E-3</v>
      </c>
      <c r="Y265" s="163">
        <f ca="1"/>
        <v>1.0345896621723583E-2</v>
      </c>
      <c r="Z265" s="163">
        <f ca="1"/>
        <v>2.9748011114554274E-2</v>
      </c>
      <c r="AA265" s="163">
        <f ca="1"/>
        <v>5.2927148796640289E-2</v>
      </c>
      <c r="AB265" s="163">
        <f ca="1"/>
        <v>0</v>
      </c>
      <c r="AC265" s="163">
        <f ca="1"/>
        <v>0.10953376608891918</v>
      </c>
      <c r="AD265" s="163">
        <f ca="1"/>
        <v>0.17731548724427926</v>
      </c>
      <c r="AE265" s="139">
        <f ca="1"/>
        <v>0.26099207869758811</v>
      </c>
      <c r="AH265" s="136"/>
      <c r="AI265" s="136"/>
      <c r="AJ265" s="136"/>
      <c r="AK265" s="136"/>
      <c r="AM265" s="136"/>
      <c r="AN265" s="136"/>
      <c r="AO265" s="136"/>
      <c r="AQ265" s="136"/>
      <c r="AR265" s="136"/>
      <c r="AS265" s="136"/>
      <c r="AT265" s="136"/>
      <c r="AV265" s="136"/>
      <c r="AW265" s="136"/>
      <c r="AX265" s="136"/>
    </row>
    <row r="266" spans="1:50" s="79" customFormat="1" ht="11.25">
      <c r="A266" s="96">
        <f t="shared" ca="1" si="5"/>
        <v>255</v>
      </c>
      <c r="B266" s="68" t="s">
        <v>343</v>
      </c>
      <c r="C266" s="97">
        <v>0.4</v>
      </c>
      <c r="D266" s="69" t="s">
        <v>67</v>
      </c>
      <c r="E266" s="137" t="s">
        <v>87</v>
      </c>
      <c r="F266" s="156" t="s">
        <v>87</v>
      </c>
      <c r="G266" s="156">
        <v>3.7569999999999999E-3</v>
      </c>
      <c r="H266" s="156" t="s">
        <v>87</v>
      </c>
      <c r="I266" s="156">
        <v>8.1030000000000008E-3</v>
      </c>
      <c r="J266" s="156" t="s">
        <v>87</v>
      </c>
      <c r="K266" s="156">
        <v>1.2500000000000001E-2</v>
      </c>
      <c r="L266" s="156">
        <v>1.413E-2</v>
      </c>
      <c r="M266" s="156">
        <v>1.6403000000000001E-2</v>
      </c>
      <c r="N266" s="138" cm="1">
        <f t="array" aca="1" ref="N266:AE266" ca="1">IF(OR(B266="",NOT($J$2)),"",GetStripDefaultProbability(A266,B266,Parameter_Date,CDSRollDate,E266:M266,SpreadCurveMaturities,D266,C266,$J$4,$J$6))</f>
        <v>0</v>
      </c>
      <c r="O266" s="163">
        <f ca="1"/>
        <v>0</v>
      </c>
      <c r="P266" s="163">
        <f ca="1"/>
        <v>6.8676405067066293E-3</v>
      </c>
      <c r="Q266" s="163">
        <f ca="1"/>
        <v>0</v>
      </c>
      <c r="R266" s="163">
        <f ca="1"/>
        <v>4.1904857067282641E-2</v>
      </c>
      <c r="S266" s="163">
        <f ca="1"/>
        <v>0</v>
      </c>
      <c r="T266" s="163">
        <f ca="1"/>
        <v>0.10602276472657524</v>
      </c>
      <c r="U266" s="163">
        <f ca="1"/>
        <v>0.16302476501148111</v>
      </c>
      <c r="V266" s="139">
        <f ca="1"/>
        <v>0.26103333774820692</v>
      </c>
      <c r="W266" s="138">
        <f ca="1"/>
        <v>0</v>
      </c>
      <c r="X266" s="163">
        <f ca="1"/>
        <v>0</v>
      </c>
      <c r="Y266" s="163">
        <f ca="1"/>
        <v>7.2095546696716584E-3</v>
      </c>
      <c r="Z266" s="163">
        <f ca="1"/>
        <v>0</v>
      </c>
      <c r="AA266" s="163">
        <f ca="1"/>
        <v>4.3950127307398335E-2</v>
      </c>
      <c r="AB266" s="163">
        <f ca="1"/>
        <v>0</v>
      </c>
      <c r="AC266" s="163">
        <f ca="1"/>
        <v>0.11110641211513617</v>
      </c>
      <c r="AD266" s="163">
        <f ca="1"/>
        <v>0.17060967710889208</v>
      </c>
      <c r="AE266" s="139">
        <f ca="1"/>
        <v>0.27257004142720065</v>
      </c>
      <c r="AI266" s="136"/>
      <c r="AK266" s="136"/>
      <c r="AM266" s="136"/>
      <c r="AN266" s="136"/>
      <c r="AO266" s="136"/>
      <c r="AR266" s="136"/>
      <c r="AT266" s="136"/>
      <c r="AV266" s="136"/>
      <c r="AW266" s="136"/>
      <c r="AX266" s="136"/>
    </row>
    <row r="267" spans="1:50" s="79" customFormat="1" ht="11.25">
      <c r="A267" s="96">
        <f t="shared" ref="A267:A330" ca="1" si="6">IF(B267="","",A266+1)</f>
        <v>256</v>
      </c>
      <c r="B267" s="68" t="s">
        <v>344</v>
      </c>
      <c r="C267" s="97">
        <v>0.4</v>
      </c>
      <c r="D267" s="69" t="s">
        <v>67</v>
      </c>
      <c r="E267" s="137" t="s">
        <v>87</v>
      </c>
      <c r="F267" s="156" t="s">
        <v>87</v>
      </c>
      <c r="G267" s="156">
        <v>2.745E-3</v>
      </c>
      <c r="H267" s="156" t="s">
        <v>87</v>
      </c>
      <c r="I267" s="156">
        <v>5.0330000000000001E-3</v>
      </c>
      <c r="J267" s="156" t="s">
        <v>87</v>
      </c>
      <c r="K267" s="156">
        <v>7.5500000000000003E-3</v>
      </c>
      <c r="L267" s="156">
        <v>8.7220000000000006E-3</v>
      </c>
      <c r="M267" s="156">
        <v>9.8480000000000009E-3</v>
      </c>
      <c r="N267" s="138" cm="1">
        <f t="array" aca="1" ref="N267:AE267" ca="1">IF(OR(B267="",NOT($J$2)),"",GetStripDefaultProbability(A267,B267,Parameter_Date,CDSRollDate,E267:M267,SpreadCurveMaturities,D267,C267,$J$4,$J$6))</f>
        <v>0</v>
      </c>
      <c r="O267" s="163">
        <f ca="1"/>
        <v>0</v>
      </c>
      <c r="P267" s="163">
        <f ca="1"/>
        <v>5.0223578873755947E-3</v>
      </c>
      <c r="Q267" s="163">
        <f ca="1"/>
        <v>0</v>
      </c>
      <c r="R267" s="163">
        <f ca="1"/>
        <v>2.6131208769548331E-2</v>
      </c>
      <c r="S267" s="163">
        <f ca="1"/>
        <v>0</v>
      </c>
      <c r="T267" s="163">
        <f ca="1"/>
        <v>6.4898076330547227E-2</v>
      </c>
      <c r="U267" s="163">
        <f ca="1"/>
        <v>0.10335937362875713</v>
      </c>
      <c r="V267" s="139">
        <f ca="1"/>
        <v>0.16307667085595245</v>
      </c>
      <c r="W267" s="138">
        <f ca="1"/>
        <v>0</v>
      </c>
      <c r="X267" s="163">
        <f ca="1"/>
        <v>0</v>
      </c>
      <c r="Y267" s="163">
        <f ca="1"/>
        <v>5.2726958016582337E-3</v>
      </c>
      <c r="Z267" s="163">
        <f ca="1"/>
        <v>0</v>
      </c>
      <c r="AA267" s="163">
        <f ca="1"/>
        <v>2.7418623848274426E-2</v>
      </c>
      <c r="AB267" s="163">
        <f ca="1"/>
        <v>0</v>
      </c>
      <c r="AC267" s="163">
        <f ca="1"/>
        <v>6.8043564042424509E-2</v>
      </c>
      <c r="AD267" s="163">
        <f ca="1"/>
        <v>0.10828912970937521</v>
      </c>
      <c r="AE267" s="139">
        <f ca="1"/>
        <v>0.17065172511078008</v>
      </c>
      <c r="AI267" s="136"/>
      <c r="AK267" s="136"/>
      <c r="AM267" s="136"/>
      <c r="AN267" s="136"/>
      <c r="AO267" s="136"/>
      <c r="AR267" s="136"/>
      <c r="AT267" s="136"/>
      <c r="AV267" s="136"/>
      <c r="AW267" s="136"/>
      <c r="AX267" s="136"/>
    </row>
    <row r="268" spans="1:50" s="79" customFormat="1" ht="11.25">
      <c r="A268" s="96">
        <f t="shared" ca="1" si="6"/>
        <v>257</v>
      </c>
      <c r="B268" s="68" t="s">
        <v>345</v>
      </c>
      <c r="C268" s="97">
        <v>0.4</v>
      </c>
      <c r="D268" s="69" t="s">
        <v>67</v>
      </c>
      <c r="E268" s="137" t="s">
        <v>87</v>
      </c>
      <c r="F268" s="156" t="s">
        <v>87</v>
      </c>
      <c r="G268" s="156">
        <v>1.2830000000000001E-3</v>
      </c>
      <c r="H268" s="156" t="s">
        <v>87</v>
      </c>
      <c r="I268" s="156">
        <v>4.1999999999999997E-3</v>
      </c>
      <c r="J268" s="156" t="s">
        <v>87</v>
      </c>
      <c r="K268" s="156">
        <v>5.8999999999999999E-3</v>
      </c>
      <c r="L268" s="156">
        <v>7.7000000000000002E-3</v>
      </c>
      <c r="M268" s="156">
        <v>9.7000000000000003E-3</v>
      </c>
      <c r="N268" s="138" cm="1">
        <f t="array" aca="1" ref="N268:AE268" ca="1">IF(OR(B268="",NOT($J$2)),"",GetStripDefaultProbability(A268,B268,Parameter_Date,CDSRollDate,E268:M268,SpreadCurveMaturities,D268,C268,$J$4,$J$6))</f>
        <v>0</v>
      </c>
      <c r="O268" s="163">
        <f ca="1"/>
        <v>0</v>
      </c>
      <c r="P268" s="163">
        <f ca="1"/>
        <v>2.350547113139978E-3</v>
      </c>
      <c r="Q268" s="163">
        <f ca="1"/>
        <v>0</v>
      </c>
      <c r="R268" s="163">
        <f ca="1"/>
        <v>2.1994572331273332E-2</v>
      </c>
      <c r="S268" s="163">
        <f ca="1"/>
        <v>0</v>
      </c>
      <c r="T268" s="163">
        <f ca="1"/>
        <v>5.0949101839765421E-2</v>
      </c>
      <c r="U268" s="163">
        <f ca="1"/>
        <v>9.2935257492796186E-2</v>
      </c>
      <c r="V268" s="139">
        <f ca="1"/>
        <v>0.16538450931787907</v>
      </c>
      <c r="W268" s="138">
        <f ca="1"/>
        <v>0</v>
      </c>
      <c r="X268" s="163">
        <f ca="1"/>
        <v>0</v>
      </c>
      <c r="Y268" s="163">
        <f ca="1"/>
        <v>2.5168081664719288E-3</v>
      </c>
      <c r="Z268" s="163">
        <f ca="1"/>
        <v>0</v>
      </c>
      <c r="AA268" s="163">
        <f ca="1"/>
        <v>2.3077337751376437E-2</v>
      </c>
      <c r="AB268" s="163">
        <f ca="1"/>
        <v>0</v>
      </c>
      <c r="AC268" s="163">
        <f ca="1"/>
        <v>5.3432651261469677E-2</v>
      </c>
      <c r="AD268" s="163">
        <f ca="1"/>
        <v>9.7394030839145218E-2</v>
      </c>
      <c r="AE268" s="139">
        <f ca="1"/>
        <v>0.17312298985024599</v>
      </c>
      <c r="AI268" s="136"/>
      <c r="AK268" s="136"/>
      <c r="AM268" s="136"/>
      <c r="AN268" s="136"/>
      <c r="AO268" s="136"/>
      <c r="AR268" s="136"/>
      <c r="AT268" s="136"/>
      <c r="AV268" s="136"/>
      <c r="AW268" s="136"/>
      <c r="AX268" s="136"/>
    </row>
    <row r="269" spans="1:50" s="79" customFormat="1" ht="11.25">
      <c r="A269" s="96">
        <f t="shared" ca="1" si="6"/>
        <v>258</v>
      </c>
      <c r="B269" s="68" t="s">
        <v>189</v>
      </c>
      <c r="C269" s="97">
        <v>0.4</v>
      </c>
      <c r="D269" s="69" t="s">
        <v>66</v>
      </c>
      <c r="E269" s="137" t="s">
        <v>87</v>
      </c>
      <c r="F269" s="156">
        <v>6.9999999999999999E-4</v>
      </c>
      <c r="G269" s="156">
        <v>1.4E-3</v>
      </c>
      <c r="H269" s="156">
        <v>2.5000000000000001E-3</v>
      </c>
      <c r="I269" s="156">
        <v>3.5999999999999999E-3</v>
      </c>
      <c r="J269" s="156" t="s">
        <v>87</v>
      </c>
      <c r="K269" s="156">
        <v>5.5999999999999999E-3</v>
      </c>
      <c r="L269" s="156">
        <v>7.0000000000000001E-3</v>
      </c>
      <c r="M269" s="156">
        <v>8.6E-3</v>
      </c>
      <c r="N269" s="138" cm="1">
        <f t="array" aca="1" ref="N269:AE269" ca="1">IF(OR(B269="",NOT($J$2)),"",GetStripDefaultProbability(A269,B269,Parameter_Date,CDSRollDate,E269:M269,SpreadCurveMaturities,D269,C269,$J$4,$J$6))</f>
        <v>0</v>
      </c>
      <c r="O269" s="163">
        <f ca="1"/>
        <v>6.98147686336692E-4</v>
      </c>
      <c r="P269" s="163">
        <f ca="1"/>
        <v>2.5828557111488015E-3</v>
      </c>
      <c r="Q269" s="163">
        <f ca="1"/>
        <v>8.8648331518841328E-3</v>
      </c>
      <c r="R269" s="163">
        <f ca="1"/>
        <v>1.8941776763836682E-2</v>
      </c>
      <c r="S269" s="163">
        <f ca="1"/>
        <v>0</v>
      </c>
      <c r="T269" s="163">
        <f ca="1"/>
        <v>4.8653083475991732E-2</v>
      </c>
      <c r="U269" s="163">
        <f ca="1"/>
        <v>8.4368754918549782E-2</v>
      </c>
      <c r="V269" s="139">
        <f ca="1"/>
        <v>0.14598513419569548</v>
      </c>
      <c r="W269" s="138">
        <f ca="1"/>
        <v>0</v>
      </c>
      <c r="X269" s="163">
        <f ca="1"/>
        <v>7.9784215457201491E-4</v>
      </c>
      <c r="Y269" s="163">
        <f ca="1"/>
        <v>2.7490780496143286E-3</v>
      </c>
      <c r="Z269" s="163">
        <f ca="1"/>
        <v>9.3032484729109743E-3</v>
      </c>
      <c r="AA269" s="163">
        <f ca="1"/>
        <v>1.9878584176902137E-2</v>
      </c>
      <c r="AB269" s="163">
        <f ca="1"/>
        <v>0</v>
      </c>
      <c r="AC269" s="163">
        <f ca="1"/>
        <v>5.1030326516313118E-2</v>
      </c>
      <c r="AD269" s="163">
        <f ca="1"/>
        <v>8.8435378026885614E-2</v>
      </c>
      <c r="AE269" s="139">
        <f ca="1"/>
        <v>0.15286030986107457</v>
      </c>
      <c r="AH269" s="136"/>
      <c r="AI269" s="136"/>
      <c r="AJ269" s="136"/>
      <c r="AK269" s="136"/>
      <c r="AM269" s="136"/>
      <c r="AN269" s="136"/>
      <c r="AO269" s="136"/>
      <c r="AQ269" s="136"/>
      <c r="AR269" s="136"/>
      <c r="AS269" s="136"/>
      <c r="AT269" s="136"/>
      <c r="AV269" s="136"/>
      <c r="AW269" s="136"/>
      <c r="AX269" s="136"/>
    </row>
    <row r="270" spans="1:50" s="79" customFormat="1" ht="11.25">
      <c r="A270" s="96">
        <f t="shared" ca="1" si="6"/>
        <v>259</v>
      </c>
      <c r="B270" s="68" t="s">
        <v>346</v>
      </c>
      <c r="C270" s="97">
        <v>0.4</v>
      </c>
      <c r="D270" s="69" t="s">
        <v>67</v>
      </c>
      <c r="E270" s="137" t="s">
        <v>87</v>
      </c>
      <c r="F270" s="156" t="s">
        <v>87</v>
      </c>
      <c r="G270" s="156">
        <v>2.875E-3</v>
      </c>
      <c r="H270" s="156" t="s">
        <v>87</v>
      </c>
      <c r="I270" s="156">
        <v>1.1301E-2</v>
      </c>
      <c r="J270" s="156" t="s">
        <v>87</v>
      </c>
      <c r="K270" s="156">
        <v>1.15E-2</v>
      </c>
      <c r="L270" s="156">
        <v>1.0968E-2</v>
      </c>
      <c r="M270" s="156">
        <v>1.0647999999999999E-2</v>
      </c>
      <c r="N270" s="138" cm="1">
        <f t="array" aca="1" ref="N270:AE270" ca="1">IF(OR(B270="",NOT($J$2)),"",GetStripDefaultProbability(A270,B270,Parameter_Date,CDSRollDate,E270:M270,SpreadCurveMaturities,D270,C270,$J$4,$J$6))</f>
        <v>0</v>
      </c>
      <c r="O270" s="163">
        <f ca="1"/>
        <v>0</v>
      </c>
      <c r="P270" s="163">
        <f ca="1"/>
        <v>5.2595899645760946E-3</v>
      </c>
      <c r="Q270" s="163">
        <f ca="1"/>
        <v>0</v>
      </c>
      <c r="R270" s="163">
        <f ca="1"/>
        <v>5.8455904485611221E-2</v>
      </c>
      <c r="S270" s="163">
        <f ca="1"/>
        <v>0</v>
      </c>
      <c r="T270" s="163">
        <f ca="1"/>
        <v>9.5268078085066099E-2</v>
      </c>
      <c r="U270" s="163">
        <f ca="1"/>
        <v>0.12284645206388167</v>
      </c>
      <c r="V270" s="139">
        <f ca="1"/>
        <v>0.16413054517218983</v>
      </c>
      <c r="W270" s="138">
        <f ca="1"/>
        <v>0</v>
      </c>
      <c r="X270" s="163">
        <f ca="1"/>
        <v>0</v>
      </c>
      <c r="Y270" s="163">
        <f ca="1"/>
        <v>5.5217133200272661E-3</v>
      </c>
      <c r="Z270" s="163">
        <f ca="1"/>
        <v>0</v>
      </c>
      <c r="AA270" s="163">
        <f ca="1"/>
        <v>6.1312285074147987E-2</v>
      </c>
      <c r="AB270" s="163">
        <f ca="1"/>
        <v>0</v>
      </c>
      <c r="AC270" s="163">
        <f ca="1"/>
        <v>9.9795994879238514E-2</v>
      </c>
      <c r="AD270" s="163">
        <f ca="1"/>
        <v>0.12857552125522509</v>
      </c>
      <c r="AE270" s="139">
        <f ca="1"/>
        <v>0.17157861684743081</v>
      </c>
      <c r="AI270" s="136"/>
      <c r="AK270" s="136"/>
      <c r="AM270" s="136"/>
      <c r="AN270" s="136"/>
      <c r="AO270" s="136"/>
      <c r="AR270" s="136"/>
      <c r="AT270" s="136"/>
      <c r="AV270" s="136"/>
      <c r="AW270" s="136"/>
      <c r="AX270" s="136"/>
    </row>
    <row r="271" spans="1:50" s="79" customFormat="1" ht="11.25">
      <c r="A271" s="96">
        <f t="shared" ca="1" si="6"/>
        <v>260</v>
      </c>
      <c r="B271" s="68" t="s">
        <v>347</v>
      </c>
      <c r="C271" s="97">
        <v>0.4</v>
      </c>
      <c r="D271" s="69" t="s">
        <v>67</v>
      </c>
      <c r="E271" s="137" t="s">
        <v>87</v>
      </c>
      <c r="F271" s="156" t="s">
        <v>87</v>
      </c>
      <c r="G271" s="156">
        <v>1.9629999999999999E-3</v>
      </c>
      <c r="H271" s="156" t="s">
        <v>87</v>
      </c>
      <c r="I271" s="156">
        <v>4.3169999999999997E-3</v>
      </c>
      <c r="J271" s="156" t="s">
        <v>87</v>
      </c>
      <c r="K271" s="156">
        <v>7.1500000000000001E-3</v>
      </c>
      <c r="L271" s="156">
        <v>8.0300000000000007E-3</v>
      </c>
      <c r="M271" s="156">
        <v>9.2399999999999999E-3</v>
      </c>
      <c r="N271" s="138" cm="1">
        <f t="array" aca="1" ref="N271:AE271" ca="1">IF(OR(B271="",NOT($J$2)),"",GetStripDefaultProbability(A271,B271,Parameter_Date,CDSRollDate,E271:M271,SpreadCurveMaturities,D271,C271,$J$4,$J$6))</f>
        <v>0</v>
      </c>
      <c r="O271" s="163">
        <f ca="1"/>
        <v>0</v>
      </c>
      <c r="P271" s="163">
        <f ca="1"/>
        <v>3.594132950272888E-3</v>
      </c>
      <c r="Q271" s="163">
        <f ca="1"/>
        <v>0</v>
      </c>
      <c r="R271" s="163">
        <f ca="1"/>
        <v>2.2506368853995484E-2</v>
      </c>
      <c r="S271" s="163">
        <f ca="1"/>
        <v>0</v>
      </c>
      <c r="T271" s="163">
        <f ca="1"/>
        <v>6.192866450420198E-2</v>
      </c>
      <c r="U271" s="163">
        <f ca="1"/>
        <v>9.5521377760337312E-2</v>
      </c>
      <c r="V271" s="139">
        <f ca="1"/>
        <v>0.15428320807349316</v>
      </c>
      <c r="W271" s="138">
        <f ca="1"/>
        <v>0</v>
      </c>
      <c r="X271" s="163">
        <f ca="1"/>
        <v>0</v>
      </c>
      <c r="Y271" s="163">
        <f ca="1"/>
        <v>3.7601867565861813E-3</v>
      </c>
      <c r="Z271" s="163">
        <f ca="1"/>
        <v>0</v>
      </c>
      <c r="AA271" s="163">
        <f ca="1"/>
        <v>2.3618846890345768E-2</v>
      </c>
      <c r="AB271" s="163">
        <f ca="1"/>
        <v>0</v>
      </c>
      <c r="AC271" s="163">
        <f ca="1"/>
        <v>6.4938337283060865E-2</v>
      </c>
      <c r="AD271" s="163">
        <f ca="1"/>
        <v>0.10009867250252458</v>
      </c>
      <c r="AE271" s="139">
        <f ca="1"/>
        <v>0.16149077331962025</v>
      </c>
      <c r="AI271" s="136"/>
      <c r="AK271" s="136"/>
      <c r="AM271" s="136"/>
      <c r="AN271" s="136"/>
      <c r="AO271" s="136"/>
      <c r="AR271" s="136"/>
      <c r="AT271" s="136"/>
      <c r="AV271" s="136"/>
      <c r="AW271" s="136"/>
      <c r="AX271" s="136"/>
    </row>
    <row r="272" spans="1:50" s="79" customFormat="1" ht="11.25">
      <c r="A272" s="96">
        <f t="shared" ca="1" si="6"/>
        <v>261</v>
      </c>
      <c r="B272" s="68" t="s">
        <v>348</v>
      </c>
      <c r="C272" s="97">
        <v>0.4</v>
      </c>
      <c r="D272" s="69" t="s">
        <v>67</v>
      </c>
      <c r="E272" s="137" t="s">
        <v>87</v>
      </c>
      <c r="F272" s="156" t="s">
        <v>87</v>
      </c>
      <c r="G272" s="156">
        <v>2E-3</v>
      </c>
      <c r="H272" s="156" t="s">
        <v>87</v>
      </c>
      <c r="I272" s="156">
        <v>3.5000000000000001E-3</v>
      </c>
      <c r="J272" s="156" t="s">
        <v>87</v>
      </c>
      <c r="K272" s="156">
        <v>5.0000000000000001E-3</v>
      </c>
      <c r="L272" s="156">
        <v>6.7999999999999996E-3</v>
      </c>
      <c r="M272" s="156">
        <v>8.6999999999999994E-3</v>
      </c>
      <c r="N272" s="138" cm="1">
        <f t="array" aca="1" ref="N272:AE272" ca="1">IF(OR(B272="",NOT($J$2)),"",GetStripDefaultProbability(A272,B272,Parameter_Date,CDSRollDate,E272:M272,SpreadCurveMaturities,D272,C272,$J$4,$J$6))</f>
        <v>0</v>
      </c>
      <c r="O272" s="163">
        <f ca="1"/>
        <v>0</v>
      </c>
      <c r="P272" s="163">
        <f ca="1"/>
        <v>3.6617545607984248E-3</v>
      </c>
      <c r="Q272" s="163">
        <f ca="1"/>
        <v>0</v>
      </c>
      <c r="R272" s="163">
        <f ca="1"/>
        <v>1.8218571756717705E-2</v>
      </c>
      <c r="S272" s="163">
        <f ca="1"/>
        <v>0</v>
      </c>
      <c r="T272" s="163">
        <f ca="1"/>
        <v>4.3202138243207622E-2</v>
      </c>
      <c r="U272" s="163">
        <f ca="1"/>
        <v>8.2637091437748778E-2</v>
      </c>
      <c r="V272" s="139">
        <f ca="1"/>
        <v>0.14989687710558575</v>
      </c>
      <c r="W272" s="138">
        <f ca="1"/>
        <v>0</v>
      </c>
      <c r="X272" s="163">
        <f ca="1"/>
        <v>0</v>
      </c>
      <c r="Y272" s="163">
        <f ca="1"/>
        <v>3.8277970977805831E-3</v>
      </c>
      <c r="Z272" s="163">
        <f ca="1"/>
        <v>0</v>
      </c>
      <c r="AA272" s="163">
        <f ca="1"/>
        <v>1.9121596798396645E-2</v>
      </c>
      <c r="AB272" s="163">
        <f ca="1"/>
        <v>0</v>
      </c>
      <c r="AC272" s="163">
        <f ca="1"/>
        <v>4.5319724569101716E-2</v>
      </c>
      <c r="AD272" s="163">
        <f ca="1"/>
        <v>8.6626447110950799E-2</v>
      </c>
      <c r="AE272" s="139">
        <f ca="1"/>
        <v>0.15697086497346102</v>
      </c>
      <c r="AI272" s="136"/>
      <c r="AK272" s="136"/>
      <c r="AM272" s="136"/>
      <c r="AN272" s="136"/>
      <c r="AO272" s="136"/>
      <c r="AR272" s="136"/>
      <c r="AT272" s="136"/>
      <c r="AV272" s="136"/>
      <c r="AW272" s="136"/>
      <c r="AX272" s="136"/>
    </row>
    <row r="273" spans="1:50" s="79" customFormat="1" ht="11.25">
      <c r="A273" s="96">
        <f t="shared" ca="1" si="6"/>
        <v>262</v>
      </c>
      <c r="B273" s="68" t="s">
        <v>349</v>
      </c>
      <c r="C273" s="97">
        <v>0.4</v>
      </c>
      <c r="D273" s="69" t="s">
        <v>67</v>
      </c>
      <c r="E273" s="137" t="s">
        <v>87</v>
      </c>
      <c r="F273" s="156" t="s">
        <v>87</v>
      </c>
      <c r="G273" s="156">
        <v>2.1810000000000002E-3</v>
      </c>
      <c r="H273" s="156" t="s">
        <v>87</v>
      </c>
      <c r="I273" s="156">
        <v>3.9830000000000004E-3</v>
      </c>
      <c r="J273" s="156" t="s">
        <v>87</v>
      </c>
      <c r="K273" s="156">
        <v>5.4999999999999997E-3</v>
      </c>
      <c r="L273" s="156">
        <v>6.0689999999999997E-3</v>
      </c>
      <c r="M273" s="156">
        <v>7.0169999999999998E-3</v>
      </c>
      <c r="N273" s="138" cm="1">
        <f t="array" aca="1" ref="N273:AE273" ca="1">IF(OR(B273="",NOT($J$2)),"",GetStripDefaultProbability(A273,B273,Parameter_Date,CDSRollDate,E273:M273,SpreadCurveMaturities,D273,C273,$J$4,$J$6))</f>
        <v>0</v>
      </c>
      <c r="O273" s="163">
        <f ca="1"/>
        <v>0</v>
      </c>
      <c r="P273" s="163">
        <f ca="1"/>
        <v>3.9924866461332753E-3</v>
      </c>
      <c r="Q273" s="163">
        <f ca="1"/>
        <v>0</v>
      </c>
      <c r="R273" s="163">
        <f ca="1"/>
        <v>2.0724977957254698E-2</v>
      </c>
      <c r="S273" s="163">
        <f ca="1"/>
        <v>0</v>
      </c>
      <c r="T273" s="163">
        <f ca="1"/>
        <v>4.7365072226960514E-2</v>
      </c>
      <c r="U273" s="163">
        <f ca="1"/>
        <v>7.2203260075801468E-2</v>
      </c>
      <c r="V273" s="139">
        <f ca="1"/>
        <v>0.11842171357555498</v>
      </c>
      <c r="W273" s="138">
        <f ca="1"/>
        <v>0</v>
      </c>
      <c r="X273" s="163">
        <f ca="1"/>
        <v>0</v>
      </c>
      <c r="Y273" s="163">
        <f ca="1"/>
        <v>4.1916200143465865E-3</v>
      </c>
      <c r="Z273" s="163">
        <f ca="1"/>
        <v>0</v>
      </c>
      <c r="AA273" s="163">
        <f ca="1"/>
        <v>2.1749286356144371E-2</v>
      </c>
      <c r="AB273" s="163">
        <f ca="1"/>
        <v>0</v>
      </c>
      <c r="AC273" s="163">
        <f ca="1"/>
        <v>4.9680121722041615E-2</v>
      </c>
      <c r="AD273" s="163">
        <f ca="1"/>
        <v>7.569391571776185E-2</v>
      </c>
      <c r="AE273" s="139">
        <f ca="1"/>
        <v>0.12404008386793708</v>
      </c>
      <c r="AI273" s="136"/>
      <c r="AK273" s="136"/>
      <c r="AM273" s="136"/>
      <c r="AN273" s="136"/>
      <c r="AO273" s="136"/>
      <c r="AR273" s="136"/>
      <c r="AT273" s="136"/>
      <c r="AV273" s="136"/>
      <c r="AW273" s="136"/>
      <c r="AX273" s="136"/>
    </row>
    <row r="274" spans="1:50" s="79" customFormat="1" ht="11.25">
      <c r="A274" s="96">
        <f t="shared" ca="1" si="6"/>
        <v>263</v>
      </c>
      <c r="B274" s="68" t="s">
        <v>206</v>
      </c>
      <c r="C274" s="97">
        <v>0.4</v>
      </c>
      <c r="D274" s="69" t="s">
        <v>66</v>
      </c>
      <c r="E274" s="137" t="s">
        <v>87</v>
      </c>
      <c r="F274" s="156">
        <v>1E-3</v>
      </c>
      <c r="G274" s="156">
        <v>1.6000000000000001E-3</v>
      </c>
      <c r="H274" s="156">
        <v>2.3999999999999998E-3</v>
      </c>
      <c r="I274" s="156">
        <v>3.0999999999999999E-3</v>
      </c>
      <c r="J274" s="156" t="s">
        <v>87</v>
      </c>
      <c r="K274" s="156">
        <v>5.1999999999999998E-3</v>
      </c>
      <c r="L274" s="156">
        <v>6.3E-3</v>
      </c>
      <c r="M274" s="156">
        <v>7.1999999999999998E-3</v>
      </c>
      <c r="N274" s="138" cm="1">
        <f t="array" aca="1" ref="N274:AE274" ca="1">IF(OR(B274="",NOT($J$2)),"",GetStripDefaultProbability(A274,B274,Parameter_Date,CDSRollDate,E274:M274,SpreadCurveMaturities,D274,C274,$J$4,$J$6))</f>
        <v>0</v>
      </c>
      <c r="O274" s="163">
        <f ca="1"/>
        <v>9.9720509892320397E-4</v>
      </c>
      <c r="P274" s="163">
        <f ca="1"/>
        <v>2.9461785444060418E-3</v>
      </c>
      <c r="Q274" s="163">
        <f ca="1"/>
        <v>8.4853731346655747E-3</v>
      </c>
      <c r="R274" s="163">
        <f ca="1"/>
        <v>1.6244762687902758E-2</v>
      </c>
      <c r="S274" s="163">
        <f ca="1"/>
        <v>0</v>
      </c>
      <c r="T274" s="163">
        <f ca="1"/>
        <v>4.5290086842711186E-2</v>
      </c>
      <c r="U274" s="163">
        <f ca="1"/>
        <v>7.5997666948731557E-2</v>
      </c>
      <c r="V274" s="139">
        <f ca="1"/>
        <v>0.12182472927298338</v>
      </c>
      <c r="W274" s="138">
        <f ca="1"/>
        <v>0</v>
      </c>
      <c r="X274" s="163">
        <f ca="1"/>
        <v>1.0968686047534426E-3</v>
      </c>
      <c r="Y274" s="163">
        <f ca="1"/>
        <v>3.1123403341233313E-3</v>
      </c>
      <c r="Z274" s="163">
        <f ca="1"/>
        <v>8.9059484125890709E-3</v>
      </c>
      <c r="AA274" s="163">
        <f ca="1"/>
        <v>1.704932613092125E-2</v>
      </c>
      <c r="AB274" s="163">
        <f ca="1"/>
        <v>0</v>
      </c>
      <c r="AC274" s="163">
        <f ca="1"/>
        <v>4.750725392606503E-2</v>
      </c>
      <c r="AD274" s="163">
        <f ca="1"/>
        <v>7.9674677025391882E-2</v>
      </c>
      <c r="AE274" s="139">
        <f ca="1"/>
        <v>0.12760428614109021</v>
      </c>
      <c r="AH274" s="136"/>
      <c r="AI274" s="136"/>
      <c r="AJ274" s="136"/>
      <c r="AK274" s="136"/>
      <c r="AM274" s="136"/>
      <c r="AN274" s="136"/>
      <c r="AO274" s="136"/>
      <c r="AQ274" s="136"/>
      <c r="AR274" s="136"/>
      <c r="AS274" s="136"/>
      <c r="AT274" s="136"/>
      <c r="AV274" s="136"/>
      <c r="AW274" s="136"/>
      <c r="AX274" s="136"/>
    </row>
    <row r="275" spans="1:50" s="79" customFormat="1" ht="11.25">
      <c r="A275" s="96">
        <f t="shared" ca="1" si="6"/>
        <v>264</v>
      </c>
      <c r="B275" s="68" t="s">
        <v>350</v>
      </c>
      <c r="C275" s="97">
        <v>0.2</v>
      </c>
      <c r="D275" s="69" t="s">
        <v>67</v>
      </c>
      <c r="E275" s="137" t="s">
        <v>87</v>
      </c>
      <c r="F275" s="156" t="s">
        <v>87</v>
      </c>
      <c r="G275" s="156">
        <v>5.0000000000000001E-3</v>
      </c>
      <c r="H275" s="156" t="s">
        <v>87</v>
      </c>
      <c r="I275" s="156">
        <v>0.01</v>
      </c>
      <c r="J275" s="156" t="s">
        <v>87</v>
      </c>
      <c r="K275" s="156">
        <v>0.02</v>
      </c>
      <c r="L275" s="156">
        <v>2.3E-2</v>
      </c>
      <c r="M275" s="156">
        <v>2.5323999999999999E-2</v>
      </c>
      <c r="N275" s="138" cm="1">
        <f t="array" aca="1" ref="N275:AE275" ca="1">IF(OR(B275="",NOT($J$2)),"",GetStripDefaultProbability(A275,B275,Parameter_Date,CDSRollDate,E275:M275,SpreadCurveMaturities,D275,C275,$J$4,$J$6))</f>
        <v>0</v>
      </c>
      <c r="O275" s="163">
        <f ca="1"/>
        <v>0</v>
      </c>
      <c r="P275" s="163">
        <f ca="1"/>
        <v>6.8548883327893551E-3</v>
      </c>
      <c r="Q275" s="163">
        <f ca="1"/>
        <v>0</v>
      </c>
      <c r="R275" s="163">
        <f ca="1"/>
        <v>3.8790244876969693E-2</v>
      </c>
      <c r="S275" s="163">
        <f ca="1"/>
        <v>0</v>
      </c>
      <c r="T275" s="163">
        <f ca="1"/>
        <v>0.12805132328066959</v>
      </c>
      <c r="U275" s="163">
        <f ca="1"/>
        <v>0.19844973111983311</v>
      </c>
      <c r="V275" s="139">
        <f ca="1"/>
        <v>0.29546096362554597</v>
      </c>
      <c r="W275" s="138">
        <f ca="1"/>
        <v>0</v>
      </c>
      <c r="X275" s="163">
        <f ca="1"/>
        <v>0</v>
      </c>
      <c r="Y275" s="163">
        <f ca="1"/>
        <v>7.1961703961458401E-3</v>
      </c>
      <c r="Z275" s="163">
        <f ca="1"/>
        <v>0</v>
      </c>
      <c r="AA275" s="163">
        <f ca="1"/>
        <v>4.0686960388410132E-2</v>
      </c>
      <c r="AB275" s="163">
        <f ca="1"/>
        <v>0</v>
      </c>
      <c r="AC275" s="163">
        <f ca="1"/>
        <v>0.1341694749680844</v>
      </c>
      <c r="AD275" s="163">
        <f ca="1"/>
        <v>0.20757403080683601</v>
      </c>
      <c r="AE275" s="139">
        <f ca="1"/>
        <v>0.30822983603259591</v>
      </c>
      <c r="AI275" s="136"/>
      <c r="AK275" s="136"/>
      <c r="AM275" s="136"/>
      <c r="AN275" s="136"/>
      <c r="AO275" s="136"/>
      <c r="AR275" s="136"/>
      <c r="AT275" s="136"/>
      <c r="AV275" s="136"/>
      <c r="AW275" s="136"/>
      <c r="AX275" s="136"/>
    </row>
    <row r="276" spans="1:50" s="79" customFormat="1" ht="11.25">
      <c r="A276" s="96">
        <f t="shared" ca="1" si="6"/>
        <v>265</v>
      </c>
      <c r="B276" s="68" t="s">
        <v>351</v>
      </c>
      <c r="C276" s="97">
        <v>0.4</v>
      </c>
      <c r="D276" s="69" t="s">
        <v>66</v>
      </c>
      <c r="E276" s="137" t="s">
        <v>87</v>
      </c>
      <c r="F276" s="156">
        <v>1.8749999999999999E-2</v>
      </c>
      <c r="G276" s="156">
        <v>1.8749999999999999E-2</v>
      </c>
      <c r="H276" s="156">
        <v>1.7250000000000001E-2</v>
      </c>
      <c r="I276" s="156">
        <v>1.6500000000000001E-2</v>
      </c>
      <c r="J276" s="156" t="s">
        <v>87</v>
      </c>
      <c r="K276" s="156">
        <v>1.4999999999999999E-2</v>
      </c>
      <c r="L276" s="156">
        <v>1.4999999999999999E-2</v>
      </c>
      <c r="M276" s="156">
        <v>1.4999999999999999E-2</v>
      </c>
      <c r="N276" s="138" cm="1">
        <f t="array" aca="1" ref="N276:AE276" ca="1">IF(OR(B276="",NOT($J$2)),"",GetStripDefaultProbability(A276,B276,Parameter_Date,CDSRollDate,E276:M276,SpreadCurveMaturities,D276,C276,$J$4,$J$6))</f>
        <v>0</v>
      </c>
      <c r="O276" s="163">
        <f ca="1"/>
        <v>1.8534056234623009E-2</v>
      </c>
      <c r="P276" s="163">
        <f ca="1"/>
        <v>3.3806519569148596E-2</v>
      </c>
      <c r="Q276" s="163">
        <f ca="1"/>
        <v>5.8587061921116512E-2</v>
      </c>
      <c r="R276" s="163">
        <f ca="1"/>
        <v>8.1607023863211725E-2</v>
      </c>
      <c r="S276" s="163">
        <f ca="1"/>
        <v>0</v>
      </c>
      <c r="T276" s="163">
        <f ca="1"/>
        <v>0.11867390865776961</v>
      </c>
      <c r="U276" s="163">
        <f ca="1"/>
        <v>0.16194695721087449</v>
      </c>
      <c r="V276" s="139">
        <f ca="1"/>
        <v>0.22300294611405613</v>
      </c>
      <c r="W276" s="138">
        <f ca="1"/>
        <v>0</v>
      </c>
      <c r="X276" s="163">
        <f ca="1"/>
        <v>1.9450348249953064E-2</v>
      </c>
      <c r="Y276" s="163">
        <f ca="1"/>
        <v>3.5465784474041695E-2</v>
      </c>
      <c r="Z276" s="163">
        <f ca="1"/>
        <v>6.1416298268615388E-2</v>
      </c>
      <c r="AA276" s="163">
        <f ca="1"/>
        <v>8.5494590601006837E-2</v>
      </c>
      <c r="AB276" s="163">
        <f ca="1"/>
        <v>0</v>
      </c>
      <c r="AC276" s="163">
        <f ca="1"/>
        <v>0.12416501913371658</v>
      </c>
      <c r="AD276" s="163">
        <f ca="1"/>
        <v>0.16928744423370023</v>
      </c>
      <c r="AE276" s="139">
        <f ca="1"/>
        <v>0.23271672825889855</v>
      </c>
      <c r="AH276" s="136"/>
      <c r="AI276" s="136"/>
      <c r="AJ276" s="136"/>
      <c r="AK276" s="136"/>
      <c r="AM276" s="136"/>
      <c r="AN276" s="136"/>
      <c r="AO276" s="136"/>
      <c r="AQ276" s="136"/>
      <c r="AR276" s="136"/>
      <c r="AS276" s="136"/>
      <c r="AT276" s="136"/>
      <c r="AV276" s="136"/>
      <c r="AW276" s="136"/>
      <c r="AX276" s="136"/>
    </row>
    <row r="277" spans="1:50" s="79" customFormat="1" ht="11.25">
      <c r="A277" s="96">
        <f t="shared" ca="1" si="6"/>
        <v>266</v>
      </c>
      <c r="B277" s="68" t="s">
        <v>352</v>
      </c>
      <c r="C277" s="97">
        <v>0.4</v>
      </c>
      <c r="D277" s="69" t="s">
        <v>66</v>
      </c>
      <c r="E277" s="137" t="s">
        <v>87</v>
      </c>
      <c r="F277" s="156">
        <v>8.6E-3</v>
      </c>
      <c r="G277" s="156">
        <v>8.6E-3</v>
      </c>
      <c r="H277" s="156">
        <v>8.6E-3</v>
      </c>
      <c r="I277" s="156">
        <v>8.8800000000000007E-3</v>
      </c>
      <c r="J277" s="156" t="s">
        <v>87</v>
      </c>
      <c r="K277" s="156">
        <v>9.4999999999999998E-3</v>
      </c>
      <c r="L277" s="156">
        <v>9.4999999999999998E-3</v>
      </c>
      <c r="M277" s="156">
        <v>9.4999999999999998E-3</v>
      </c>
      <c r="N277" s="138" cm="1">
        <f t="array" aca="1" ref="N277:AE277" ca="1">IF(OR(B277="",NOT($J$2)),"",GetStripDefaultProbability(A277,B277,Parameter_Date,CDSRollDate,E277:M277,SpreadCurveMaturities,D277,C277,$J$4,$J$6))</f>
        <v>0</v>
      </c>
      <c r="O277" s="163">
        <f ca="1"/>
        <v>8.5436854261695672E-3</v>
      </c>
      <c r="P277" s="163">
        <f ca="1"/>
        <v>1.565024813210214E-2</v>
      </c>
      <c r="Q277" s="163">
        <f ca="1"/>
        <v>2.9755335608316669E-2</v>
      </c>
      <c r="R277" s="163">
        <f ca="1"/>
        <v>4.5137587140816837E-2</v>
      </c>
      <c r="S277" s="163">
        <f ca="1"/>
        <v>0</v>
      </c>
      <c r="T277" s="163">
        <f ca="1"/>
        <v>7.8621612697937548E-2</v>
      </c>
      <c r="U277" s="163">
        <f ca="1"/>
        <v>0.10754610557071309</v>
      </c>
      <c r="V277" s="139">
        <f ca="1"/>
        <v>0.14928230512767726</v>
      </c>
      <c r="W277" s="138">
        <f ca="1"/>
        <v>0</v>
      </c>
      <c r="X277" s="163">
        <f ca="1"/>
        <v>8.9687278367123202E-3</v>
      </c>
      <c r="Y277" s="163">
        <f ca="1"/>
        <v>1.6426174041309749E-2</v>
      </c>
      <c r="Z277" s="163">
        <f ca="1"/>
        <v>3.1218646011598961E-2</v>
      </c>
      <c r="AA277" s="163">
        <f ca="1"/>
        <v>4.7340309420055848E-2</v>
      </c>
      <c r="AB277" s="163">
        <f ca="1"/>
        <v>0</v>
      </c>
      <c r="AC277" s="163">
        <f ca="1"/>
        <v>8.2383092175487671E-2</v>
      </c>
      <c r="AD277" s="163">
        <f ca="1"/>
        <v>0.11260955004151085</v>
      </c>
      <c r="AE277" s="139">
        <f ca="1"/>
        <v>0.15614307248352777</v>
      </c>
      <c r="AH277" s="136"/>
      <c r="AI277" s="136"/>
      <c r="AJ277" s="136"/>
      <c r="AK277" s="136"/>
      <c r="AM277" s="136"/>
      <c r="AN277" s="136"/>
      <c r="AO277" s="136"/>
      <c r="AQ277" s="136"/>
      <c r="AR277" s="136"/>
      <c r="AS277" s="136"/>
      <c r="AT277" s="136"/>
      <c r="AV277" s="136"/>
      <c r="AW277" s="136"/>
      <c r="AX277" s="136"/>
    </row>
    <row r="278" spans="1:50" s="79" customFormat="1" ht="11.25">
      <c r="A278" s="96">
        <f t="shared" ca="1" si="6"/>
        <v>267</v>
      </c>
      <c r="B278" s="68" t="s">
        <v>353</v>
      </c>
      <c r="C278" s="97">
        <v>0.4</v>
      </c>
      <c r="D278" s="69" t="s">
        <v>67</v>
      </c>
      <c r="E278" s="137" t="s">
        <v>87</v>
      </c>
      <c r="F278" s="156" t="s">
        <v>87</v>
      </c>
      <c r="G278" s="156">
        <v>2.643E-3</v>
      </c>
      <c r="H278" s="156" t="s">
        <v>87</v>
      </c>
      <c r="I278" s="156">
        <v>3.9979999999999998E-3</v>
      </c>
      <c r="J278" s="156" t="s">
        <v>87</v>
      </c>
      <c r="K278" s="156">
        <v>5.1500000000000001E-3</v>
      </c>
      <c r="L278" s="156">
        <v>5.7600000000000004E-3</v>
      </c>
      <c r="M278" s="156">
        <v>6.5729999999999998E-3</v>
      </c>
      <c r="N278" s="138" cm="1">
        <f t="array" aca="1" ref="N278:AE278" ca="1">IF(OR(B278="",NOT($J$2)),"",GetStripDefaultProbability(A278,B278,Parameter_Date,CDSRollDate,E278:M278,SpreadCurveMaturities,D278,C278,$J$4,$J$6))</f>
        <v>0</v>
      </c>
      <c r="O278" s="163">
        <f ca="1"/>
        <v>0</v>
      </c>
      <c r="P278" s="163">
        <f ca="1"/>
        <v>4.836182729539229E-3</v>
      </c>
      <c r="Q278" s="163">
        <f ca="1"/>
        <v>0</v>
      </c>
      <c r="R278" s="163">
        <f ca="1"/>
        <v>2.0735616820832248E-2</v>
      </c>
      <c r="S278" s="163">
        <f ca="1"/>
        <v>0</v>
      </c>
      <c r="T278" s="163">
        <f ca="1"/>
        <v>4.4148871799891909E-2</v>
      </c>
      <c r="U278" s="163">
        <f ca="1"/>
        <v>6.8493028941753353E-2</v>
      </c>
      <c r="V278" s="139">
        <f ca="1"/>
        <v>0.11086196138162363</v>
      </c>
      <c r="W278" s="138">
        <f ca="1"/>
        <v>0</v>
      </c>
      <c r="X278" s="163">
        <f ca="1"/>
        <v>0</v>
      </c>
      <c r="Y278" s="163">
        <f ca="1"/>
        <v>5.0772691363760725E-3</v>
      </c>
      <c r="Z278" s="163">
        <f ca="1"/>
        <v>0</v>
      </c>
      <c r="AA278" s="163">
        <f ca="1"/>
        <v>2.1760219606795306E-2</v>
      </c>
      <c r="AB278" s="163">
        <f ca="1"/>
        <v>0</v>
      </c>
      <c r="AC278" s="163">
        <f ca="1"/>
        <v>4.6308715180814808E-2</v>
      </c>
      <c r="AD278" s="163">
        <f ca="1"/>
        <v>7.1808394710032419E-2</v>
      </c>
      <c r="AE278" s="139">
        <f ca="1"/>
        <v>0.11613583937283012</v>
      </c>
      <c r="AI278" s="136"/>
      <c r="AK278" s="136"/>
      <c r="AM278" s="136"/>
      <c r="AN278" s="136"/>
      <c r="AO278" s="136"/>
      <c r="AR278" s="136"/>
      <c r="AT278" s="136"/>
      <c r="AV278" s="136"/>
      <c r="AW278" s="136"/>
      <c r="AX278" s="136"/>
    </row>
    <row r="279" spans="1:50" s="79" customFormat="1" ht="11.25">
      <c r="A279" s="96">
        <f t="shared" ca="1" si="6"/>
        <v>268</v>
      </c>
      <c r="B279" s="68" t="s">
        <v>135</v>
      </c>
      <c r="C279" s="97">
        <v>0.4</v>
      </c>
      <c r="D279" s="69" t="s">
        <v>66</v>
      </c>
      <c r="E279" s="137" t="s">
        <v>87</v>
      </c>
      <c r="F279" s="156">
        <v>1.1999999999999999E-3</v>
      </c>
      <c r="G279" s="156">
        <v>1.6999999999999999E-3</v>
      </c>
      <c r="H279" s="156">
        <v>2.8E-3</v>
      </c>
      <c r="I279" s="156">
        <v>3.5000000000000001E-3</v>
      </c>
      <c r="J279" s="156" t="s">
        <v>87</v>
      </c>
      <c r="K279" s="156">
        <v>4.4999999999999997E-3</v>
      </c>
      <c r="L279" s="156">
        <v>5.1999999999999998E-3</v>
      </c>
      <c r="M279" s="156">
        <v>6.1999999999999998E-3</v>
      </c>
      <c r="N279" s="138" cm="1">
        <f t="array" aca="1" ref="N279:AE279" ca="1">IF(OR(B279="",NOT($J$2)),"",GetStripDefaultProbability(A279,B279,Parameter_Date,CDSRollDate,E279:M279,SpreadCurveMaturities,D279,C279,$J$4,$J$6))</f>
        <v>0</v>
      </c>
      <c r="O279" s="163">
        <f ca="1"/>
        <v>1.1965271572978997E-3</v>
      </c>
      <c r="P279" s="163">
        <f ca="1"/>
        <v>3.1264563217608954E-3</v>
      </c>
      <c r="Q279" s="163">
        <f ca="1"/>
        <v>9.9045138370412733E-3</v>
      </c>
      <c r="R279" s="163">
        <f ca="1"/>
        <v>1.8315516435748469E-2</v>
      </c>
      <c r="S279" s="163">
        <f ca="1"/>
        <v>0</v>
      </c>
      <c r="T279" s="163">
        <f ca="1"/>
        <v>3.8770273727502524E-2</v>
      </c>
      <c r="U279" s="163">
        <f ca="1"/>
        <v>6.2247753313979137E-2</v>
      </c>
      <c r="V279" s="139">
        <f ca="1"/>
        <v>0.10550625884058507</v>
      </c>
      <c r="W279" s="138">
        <f ca="1"/>
        <v>0</v>
      </c>
      <c r="X279" s="163">
        <f ca="1"/>
        <v>1.2961697875810696E-3</v>
      </c>
      <c r="Y279" s="163">
        <f ca="1"/>
        <v>3.2925880676745178E-3</v>
      </c>
      <c r="Z279" s="163">
        <f ca="1"/>
        <v>1.0396082719475341E-2</v>
      </c>
      <c r="AA279" s="163">
        <f ca="1"/>
        <v>1.9222658992229524E-2</v>
      </c>
      <c r="AB279" s="163">
        <f ca="1"/>
        <v>0</v>
      </c>
      <c r="AC279" s="163">
        <f ca="1"/>
        <v>4.0672099002935225E-2</v>
      </c>
      <c r="AD279" s="163">
        <f ca="1"/>
        <v>6.527148534556404E-2</v>
      </c>
      <c r="AE279" s="139">
        <f ca="1"/>
        <v>0.11054733898125679</v>
      </c>
      <c r="AH279" s="136"/>
      <c r="AI279" s="136"/>
      <c r="AJ279" s="136"/>
      <c r="AK279" s="136"/>
      <c r="AM279" s="136"/>
      <c r="AN279" s="136"/>
      <c r="AO279" s="136"/>
      <c r="AQ279" s="136"/>
      <c r="AR279" s="136"/>
      <c r="AS279" s="136"/>
      <c r="AT279" s="136"/>
      <c r="AV279" s="136"/>
      <c r="AW279" s="136"/>
      <c r="AX279" s="136"/>
    </row>
    <row r="280" spans="1:50" s="79" customFormat="1" ht="11.25">
      <c r="A280" s="96">
        <f t="shared" ca="1" si="6"/>
        <v>269</v>
      </c>
      <c r="B280" s="68" t="s">
        <v>208</v>
      </c>
      <c r="C280" s="97">
        <v>0.4</v>
      </c>
      <c r="D280" s="69" t="s">
        <v>66</v>
      </c>
      <c r="E280" s="137" t="s">
        <v>87</v>
      </c>
      <c r="F280" s="156">
        <v>1.1000000000000001E-3</v>
      </c>
      <c r="G280" s="156">
        <v>1.5E-3</v>
      </c>
      <c r="H280" s="156">
        <v>1.9E-3</v>
      </c>
      <c r="I280" s="156">
        <v>2.5999999999999999E-3</v>
      </c>
      <c r="J280" s="156" t="s">
        <v>87</v>
      </c>
      <c r="K280" s="156">
        <v>3.8E-3</v>
      </c>
      <c r="L280" s="156">
        <v>4.7000000000000002E-3</v>
      </c>
      <c r="M280" s="156">
        <v>5.7000000000000002E-3</v>
      </c>
      <c r="N280" s="138" cm="1">
        <f t="array" aca="1" ref="N280:AE280" ca="1">IF(OR(B280="",NOT($J$2)),"",GetStripDefaultProbability(A280,B280,Parameter_Date,CDSRollDate,E280:M280,SpreadCurveMaturities,D280,C280,$J$4,$J$6))</f>
        <v>0</v>
      </c>
      <c r="O280" s="163">
        <f ca="1"/>
        <v>1.0968710821319672E-3</v>
      </c>
      <c r="P280" s="163">
        <f ca="1"/>
        <v>2.757983019723742E-3</v>
      </c>
      <c r="Q280" s="163">
        <f ca="1"/>
        <v>6.6987273707558304E-3</v>
      </c>
      <c r="R280" s="163">
        <f ca="1"/>
        <v>1.364008161291308E-2</v>
      </c>
      <c r="S280" s="163">
        <f ca="1"/>
        <v>0</v>
      </c>
      <c r="T280" s="163">
        <f ca="1"/>
        <v>3.3038739946464224E-2</v>
      </c>
      <c r="U280" s="163">
        <f ca="1"/>
        <v>5.7007885844327588E-2</v>
      </c>
      <c r="V280" s="139">
        <f ca="1"/>
        <v>9.8193416234752307E-2</v>
      </c>
      <c r="W280" s="138">
        <f ca="1"/>
        <v>0</v>
      </c>
      <c r="X280" s="163">
        <f ca="1"/>
        <v>1.1965241739009258E-3</v>
      </c>
      <c r="Y280" s="163">
        <f ca="1"/>
        <v>2.9241761727488713E-3</v>
      </c>
      <c r="Z280" s="163">
        <f ca="1"/>
        <v>7.0482556332173152E-3</v>
      </c>
      <c r="AA280" s="163">
        <f ca="1"/>
        <v>1.431500878586478E-2</v>
      </c>
      <c r="AB280" s="163">
        <f ca="1"/>
        <v>0</v>
      </c>
      <c r="AC280" s="163">
        <f ca="1"/>
        <v>3.4662969748143646E-2</v>
      </c>
      <c r="AD280" s="163">
        <f ca="1"/>
        <v>5.9786438403082176E-2</v>
      </c>
      <c r="AE280" s="139">
        <f ca="1"/>
        <v>0.10290793114959829</v>
      </c>
      <c r="AH280" s="136"/>
      <c r="AI280" s="136"/>
      <c r="AJ280" s="136"/>
      <c r="AK280" s="136"/>
      <c r="AM280" s="136"/>
      <c r="AN280" s="136"/>
      <c r="AO280" s="136"/>
      <c r="AQ280" s="136"/>
      <c r="AR280" s="136"/>
      <c r="AS280" s="136"/>
      <c r="AT280" s="136"/>
      <c r="AV280" s="136"/>
      <c r="AW280" s="136"/>
      <c r="AX280" s="136"/>
    </row>
    <row r="281" spans="1:50" s="79" customFormat="1" ht="11.25">
      <c r="A281" s="96">
        <f t="shared" ca="1" si="6"/>
        <v>270</v>
      </c>
      <c r="B281" s="68" t="s">
        <v>126</v>
      </c>
      <c r="C281" s="97">
        <v>0.4</v>
      </c>
      <c r="D281" s="69" t="s">
        <v>66</v>
      </c>
      <c r="E281" s="137" t="s">
        <v>87</v>
      </c>
      <c r="F281" s="156">
        <v>1.1000000000000001E-3</v>
      </c>
      <c r="G281" s="156">
        <v>1.6000000000000001E-3</v>
      </c>
      <c r="H281" s="156">
        <v>2E-3</v>
      </c>
      <c r="I281" s="156">
        <v>2.8E-3</v>
      </c>
      <c r="J281" s="156" t="s">
        <v>87</v>
      </c>
      <c r="K281" s="156">
        <v>3.8999999999999998E-3</v>
      </c>
      <c r="L281" s="156">
        <v>4.5999999999999999E-3</v>
      </c>
      <c r="M281" s="156">
        <v>5.5999999999999999E-3</v>
      </c>
      <c r="N281" s="138" cm="1">
        <f t="array" aca="1" ref="N281:AE281" ca="1">IF(OR(B281="",NOT($J$2)),"",GetStripDefaultProbability(A281,B281,Parameter_Date,CDSRollDate,E281:M281,SpreadCurveMaturities,D281,C281,$J$4,$J$6))</f>
        <v>0</v>
      </c>
      <c r="O281" s="163">
        <f ca="1"/>
        <v>1.0968710821319672E-3</v>
      </c>
      <c r="P281" s="163">
        <f ca="1"/>
        <v>2.9435474346423129E-3</v>
      </c>
      <c r="Q281" s="163">
        <f ca="1"/>
        <v>7.0503841602606032E-3</v>
      </c>
      <c r="R281" s="163">
        <f ca="1"/>
        <v>1.4694816302945668E-2</v>
      </c>
      <c r="S281" s="163">
        <f ca="1"/>
        <v>0</v>
      </c>
      <c r="T281" s="163">
        <f ca="1"/>
        <v>3.3831012788557602E-2</v>
      </c>
      <c r="U281" s="163">
        <f ca="1"/>
        <v>5.5503520765370351E-2</v>
      </c>
      <c r="V281" s="139">
        <f ca="1"/>
        <v>9.626868675360456E-2</v>
      </c>
      <c r="W281" s="138">
        <f ca="1"/>
        <v>0</v>
      </c>
      <c r="X281" s="163">
        <f ca="1"/>
        <v>1.1965241739009258E-3</v>
      </c>
      <c r="Y281" s="163">
        <f ca="1"/>
        <v>3.1097096628280863E-3</v>
      </c>
      <c r="Z281" s="163">
        <f ca="1"/>
        <v>7.3997952051966243E-3</v>
      </c>
      <c r="AA281" s="163">
        <f ca="1"/>
        <v>1.5423086084951576E-2</v>
      </c>
      <c r="AB281" s="163">
        <f ca="1"/>
        <v>0</v>
      </c>
      <c r="AC281" s="163">
        <f ca="1"/>
        <v>3.5494657696708565E-2</v>
      </c>
      <c r="AD281" s="163">
        <f ca="1"/>
        <v>5.8209770795902505E-2</v>
      </c>
      <c r="AE281" s="139">
        <f ca="1"/>
        <v>0.1008929444801282</v>
      </c>
      <c r="AH281" s="136"/>
      <c r="AI281" s="136"/>
      <c r="AJ281" s="136"/>
      <c r="AK281" s="136"/>
      <c r="AM281" s="136"/>
      <c r="AN281" s="136"/>
      <c r="AO281" s="136"/>
      <c r="AQ281" s="136"/>
      <c r="AR281" s="136"/>
      <c r="AS281" s="136"/>
      <c r="AT281" s="136"/>
      <c r="AV281" s="136"/>
      <c r="AW281" s="136"/>
      <c r="AX281" s="136"/>
    </row>
    <row r="282" spans="1:50" s="79" customFormat="1" ht="11.25">
      <c r="A282" s="96">
        <f t="shared" ca="1" si="6"/>
        <v>271</v>
      </c>
      <c r="B282" s="68" t="s">
        <v>354</v>
      </c>
      <c r="C282" s="97">
        <v>0.4</v>
      </c>
      <c r="D282" s="69" t="s">
        <v>67</v>
      </c>
      <c r="E282" s="137" t="s">
        <v>87</v>
      </c>
      <c r="F282" s="156" t="s">
        <v>87</v>
      </c>
      <c r="G282" s="156">
        <v>9.3400000000000004E-4</v>
      </c>
      <c r="H282" s="156" t="s">
        <v>87</v>
      </c>
      <c r="I282" s="156">
        <v>2.264E-3</v>
      </c>
      <c r="J282" s="156" t="s">
        <v>87</v>
      </c>
      <c r="K282" s="156">
        <v>3.5500000000000002E-3</v>
      </c>
      <c r="L282" s="156">
        <v>4.4759999999999999E-3</v>
      </c>
      <c r="M282" s="156">
        <v>5.3509999999999999E-3</v>
      </c>
      <c r="N282" s="138" cm="1">
        <f t="array" aca="1" ref="N282:AE282" ca="1">IF(OR(B282="",NOT($J$2)),"",GetStripDefaultProbability(A282,B282,Parameter_Date,CDSRollDate,E282:M282,SpreadCurveMaturities,D282,C282,$J$4,$J$6))</f>
        <v>0</v>
      </c>
      <c r="O282" s="163">
        <f ca="1"/>
        <v>0</v>
      </c>
      <c r="P282" s="163">
        <f ca="1"/>
        <v>1.7116975566167092E-3</v>
      </c>
      <c r="Q282" s="163">
        <f ca="1"/>
        <v>0</v>
      </c>
      <c r="R282" s="163">
        <f ca="1"/>
        <v>1.1866633132376569E-2</v>
      </c>
      <c r="S282" s="163">
        <f ca="1"/>
        <v>0</v>
      </c>
      <c r="T282" s="163">
        <f ca="1"/>
        <v>3.101976921818117E-2</v>
      </c>
      <c r="U282" s="163">
        <f ca="1"/>
        <v>5.4730293687184739E-2</v>
      </c>
      <c r="V282" s="139">
        <f ca="1"/>
        <v>9.2994278916920248E-2</v>
      </c>
      <c r="W282" s="138">
        <f ca="1"/>
        <v>0</v>
      </c>
      <c r="X282" s="163">
        <f ca="1"/>
        <v>0</v>
      </c>
      <c r="Y282" s="163">
        <f ca="1"/>
        <v>1.8780650760324979E-3</v>
      </c>
      <c r="Z282" s="163">
        <f ca="1"/>
        <v>0</v>
      </c>
      <c r="AA282" s="163">
        <f ca="1"/>
        <v>1.2450032007273015E-2</v>
      </c>
      <c r="AB282" s="163">
        <f ca="1"/>
        <v>0</v>
      </c>
      <c r="AC282" s="163">
        <f ca="1"/>
        <v>3.2542778297244945E-2</v>
      </c>
      <c r="AD282" s="163">
        <f ca="1"/>
        <v>5.7398087272081733E-2</v>
      </c>
      <c r="AE282" s="139">
        <f ca="1"/>
        <v>9.7441601853738291E-2</v>
      </c>
      <c r="AI282" s="136"/>
      <c r="AK282" s="136"/>
      <c r="AM282" s="136"/>
      <c r="AN282" s="136"/>
      <c r="AO282" s="136"/>
      <c r="AR282" s="136"/>
      <c r="AT282" s="136"/>
      <c r="AV282" s="136"/>
      <c r="AW282" s="136"/>
      <c r="AX282" s="136"/>
    </row>
    <row r="283" spans="1:50" s="79" customFormat="1" ht="11.25">
      <c r="A283" s="96">
        <f t="shared" ca="1" si="6"/>
        <v>272</v>
      </c>
      <c r="B283" s="68" t="s">
        <v>209</v>
      </c>
      <c r="C283" s="97">
        <v>0.4</v>
      </c>
      <c r="D283" s="69" t="s">
        <v>66</v>
      </c>
      <c r="E283" s="137" t="s">
        <v>87</v>
      </c>
      <c r="F283" s="156">
        <v>8.0000000000000004E-4</v>
      </c>
      <c r="G283" s="156">
        <v>1E-3</v>
      </c>
      <c r="H283" s="156">
        <v>1.9E-3</v>
      </c>
      <c r="I283" s="156">
        <v>2.3999999999999998E-3</v>
      </c>
      <c r="J283" s="156" t="s">
        <v>87</v>
      </c>
      <c r="K283" s="156">
        <v>3.8E-3</v>
      </c>
      <c r="L283" s="156">
        <v>4.4999999999999997E-3</v>
      </c>
      <c r="M283" s="156">
        <v>5.4000000000000003E-3</v>
      </c>
      <c r="N283" s="138" cm="1">
        <f t="array" aca="1" ref="N283:AE283" ca="1">IF(OR(B283="",NOT($J$2)),"",GetStripDefaultProbability(A283,B283,Parameter_Date,CDSRollDate,E283:M283,SpreadCurveMaturities,D283,C283,$J$4,$J$6))</f>
        <v>0</v>
      </c>
      <c r="O283" s="163">
        <f ca="1"/>
        <v>7.978434025011083E-4</v>
      </c>
      <c r="P283" s="163">
        <f ca="1"/>
        <v>1.8376578808882993E-3</v>
      </c>
      <c r="Q283" s="163">
        <f ca="1"/>
        <v>6.7395213602603476E-3</v>
      </c>
      <c r="R283" s="163">
        <f ca="1"/>
        <v>1.2602225890495644E-2</v>
      </c>
      <c r="S283" s="163">
        <f ca="1"/>
        <v>0</v>
      </c>
      <c r="T283" s="163">
        <f ca="1"/>
        <v>3.3163656242900297E-2</v>
      </c>
      <c r="U283" s="163">
        <f ca="1"/>
        <v>5.4534072825437874E-2</v>
      </c>
      <c r="V283" s="139">
        <f ca="1"/>
        <v>9.2993490061680339E-2</v>
      </c>
      <c r="W283" s="138">
        <f ca="1"/>
        <v>0</v>
      </c>
      <c r="X283" s="163">
        <f ca="1"/>
        <v>8.9752759609718069E-4</v>
      </c>
      <c r="Y283" s="163">
        <f ca="1"/>
        <v>2.0040044086446773E-3</v>
      </c>
      <c r="Z283" s="163">
        <f ca="1"/>
        <v>7.0891525928048482E-3</v>
      </c>
      <c r="AA283" s="163">
        <f ca="1"/>
        <v>1.3223834931790024E-2</v>
      </c>
      <c r="AB283" s="163">
        <f ca="1"/>
        <v>0</v>
      </c>
      <c r="AC283" s="163">
        <f ca="1"/>
        <v>3.4792280489115868E-2</v>
      </c>
      <c r="AD283" s="163">
        <f ca="1"/>
        <v>5.7192568592737913E-2</v>
      </c>
      <c r="AE283" s="139">
        <f ca="1"/>
        <v>9.7440443468932991E-2</v>
      </c>
      <c r="AH283" s="136"/>
      <c r="AI283" s="136"/>
      <c r="AJ283" s="136"/>
      <c r="AK283" s="136"/>
      <c r="AM283" s="136"/>
      <c r="AN283" s="136"/>
      <c r="AO283" s="136"/>
      <c r="AQ283" s="136"/>
      <c r="AR283" s="136"/>
      <c r="AS283" s="136"/>
      <c r="AT283" s="136"/>
      <c r="AV283" s="136"/>
      <c r="AW283" s="136"/>
      <c r="AX283" s="136"/>
    </row>
    <row r="284" spans="1:50" s="79" customFormat="1" ht="11.25">
      <c r="A284" s="96">
        <f t="shared" ca="1" si="6"/>
        <v>273</v>
      </c>
      <c r="B284" s="68" t="s">
        <v>355</v>
      </c>
      <c r="C284" s="97">
        <v>0.2</v>
      </c>
      <c r="D284" s="69" t="s">
        <v>67</v>
      </c>
      <c r="E284" s="137">
        <v>1E-3</v>
      </c>
      <c r="F284" s="156">
        <v>1E-3</v>
      </c>
      <c r="G284" s="156">
        <v>1.2999999999999999E-3</v>
      </c>
      <c r="H284" s="156">
        <v>1.6000000000000001E-3</v>
      </c>
      <c r="I284" s="156">
        <v>2.3E-3</v>
      </c>
      <c r="J284" s="156">
        <v>2.8E-3</v>
      </c>
      <c r="K284" s="156">
        <v>3.3E-3</v>
      </c>
      <c r="L284" s="156">
        <v>4.4000000000000003E-3</v>
      </c>
      <c r="M284" s="156">
        <v>5.4000000000000003E-3</v>
      </c>
      <c r="N284" s="138" cm="1">
        <f t="array" aca="1" ref="N284:AE284" ca="1">IF(OR(B284="",NOT($J$2)),"",GetStripDefaultProbability(A284,B284,Parameter_Date,CDSRollDate,E284:M284,SpreadCurveMaturities,D284,C284,$J$4,$J$6))</f>
        <v>4.3455360504418561E-4</v>
      </c>
      <c r="O284" s="163">
        <f ca="1"/>
        <v>7.4800469748759202E-4</v>
      </c>
      <c r="P284" s="163">
        <f ca="1"/>
        <v>1.7925320181837456E-3</v>
      </c>
      <c r="Q284" s="163">
        <f ca="1"/>
        <v>4.231889801108335E-3</v>
      </c>
      <c r="R284" s="163">
        <f ca="1"/>
        <v>9.0781253791065719E-3</v>
      </c>
      <c r="S284" s="163">
        <f ca="1"/>
        <v>1.4699968443000144E-2</v>
      </c>
      <c r="T284" s="163">
        <f ca="1"/>
        <v>2.1671084771463511E-2</v>
      </c>
      <c r="U284" s="163">
        <f ca="1"/>
        <v>4.0744330330628187E-2</v>
      </c>
      <c r="V284" s="139">
        <f ca="1"/>
        <v>7.1458510543469078E-2</v>
      </c>
      <c r="W284" s="138">
        <f ca="1"/>
        <v>4.7799834014450315E-4</v>
      </c>
      <c r="X284" s="163">
        <f ca="1"/>
        <v>8.2277427907617717E-4</v>
      </c>
      <c r="Y284" s="163">
        <f ca="1"/>
        <v>1.9173001535087719E-3</v>
      </c>
      <c r="Z284" s="163">
        <f ca="1"/>
        <v>4.4946443278853776E-3</v>
      </c>
      <c r="AA284" s="163">
        <f ca="1"/>
        <v>9.5254520340594118E-3</v>
      </c>
      <c r="AB284" s="163">
        <f ca="1"/>
        <v>1.5425728637735392E-2</v>
      </c>
      <c r="AC284" s="163">
        <f ca="1"/>
        <v>2.2740531920249052E-2</v>
      </c>
      <c r="AD284" s="163">
        <f ca="1"/>
        <v>4.2742532172790115E-2</v>
      </c>
      <c r="AE284" s="139">
        <f ca="1"/>
        <v>7.4913834185769024E-2</v>
      </c>
      <c r="AG284" s="136"/>
      <c r="AH284" s="136"/>
      <c r="AI284" s="136"/>
      <c r="AJ284" s="136"/>
      <c r="AK284" s="136"/>
      <c r="AL284" s="136"/>
      <c r="AM284" s="136"/>
      <c r="AN284" s="136"/>
      <c r="AO284" s="136"/>
      <c r="AP284" s="136"/>
      <c r="AQ284" s="136"/>
      <c r="AR284" s="136"/>
      <c r="AS284" s="136"/>
      <c r="AT284" s="136"/>
      <c r="AU284" s="136"/>
      <c r="AV284" s="136"/>
      <c r="AW284" s="136"/>
      <c r="AX284" s="136"/>
    </row>
    <row r="285" spans="1:50" s="79" customFormat="1" ht="11.25">
      <c r="A285" s="96">
        <f t="shared" ca="1" si="6"/>
        <v>274</v>
      </c>
      <c r="B285" s="68" t="s">
        <v>356</v>
      </c>
      <c r="C285" s="97">
        <v>0.4</v>
      </c>
      <c r="D285" s="69" t="s">
        <v>67</v>
      </c>
      <c r="E285" s="137" t="s">
        <v>87</v>
      </c>
      <c r="F285" s="156" t="s">
        <v>87</v>
      </c>
      <c r="G285" s="156">
        <v>8.6899999999999998E-4</v>
      </c>
      <c r="H285" s="156" t="s">
        <v>87</v>
      </c>
      <c r="I285" s="156">
        <v>2.2699999999999999E-3</v>
      </c>
      <c r="J285" s="156" t="s">
        <v>87</v>
      </c>
      <c r="K285" s="156">
        <v>3.2499999999999999E-3</v>
      </c>
      <c r="L285" s="156">
        <v>4.2300000000000003E-3</v>
      </c>
      <c r="M285" s="156">
        <v>5.2620000000000002E-3</v>
      </c>
      <c r="N285" s="138" cm="1">
        <f t="array" aca="1" ref="N285:AE285" ca="1">IF(OR(B285="",NOT($J$2)),"",GetStripDefaultProbability(A285,B285,Parameter_Date,CDSRollDate,E285:M285,SpreadCurveMaturities,D285,C285,$J$4,$J$6))</f>
        <v>0</v>
      </c>
      <c r="O285" s="163">
        <f ca="1"/>
        <v>0</v>
      </c>
      <c r="P285" s="163">
        <f ca="1"/>
        <v>1.5926693043435414E-3</v>
      </c>
      <c r="Q285" s="163">
        <f ca="1"/>
        <v>0</v>
      </c>
      <c r="R285" s="163">
        <f ca="1"/>
        <v>1.1907343837841755E-2</v>
      </c>
      <c r="S285" s="163">
        <f ca="1"/>
        <v>0</v>
      </c>
      <c r="T285" s="163">
        <f ca="1"/>
        <v>2.830820856337235E-2</v>
      </c>
      <c r="U285" s="163">
        <f ca="1"/>
        <v>5.1819056548272346E-2</v>
      </c>
      <c r="V285" s="139">
        <f ca="1"/>
        <v>9.2091636239171382E-2</v>
      </c>
      <c r="W285" s="138">
        <f ca="1"/>
        <v>0</v>
      </c>
      <c r="X285" s="163">
        <f ca="1"/>
        <v>0</v>
      </c>
      <c r="Y285" s="163">
        <f ca="1"/>
        <v>1.7590566601376478E-3</v>
      </c>
      <c r="Z285" s="163">
        <f ca="1"/>
        <v>0</v>
      </c>
      <c r="AA285" s="163">
        <f ca="1"/>
        <v>1.2492315282502831E-2</v>
      </c>
      <c r="AB285" s="163">
        <f ca="1"/>
        <v>0</v>
      </c>
      <c r="AC285" s="163">
        <f ca="1"/>
        <v>2.9698597226264445E-2</v>
      </c>
      <c r="AD285" s="163">
        <f ca="1"/>
        <v>5.4347076227342805E-2</v>
      </c>
      <c r="AE285" s="139">
        <f ca="1"/>
        <v>9.6527560668293155E-2</v>
      </c>
      <c r="AI285" s="136">
        <v>1.5E-3</v>
      </c>
      <c r="AK285" s="136">
        <v>1.17E-2</v>
      </c>
      <c r="AM285" s="136">
        <v>2.8000000000000001E-2</v>
      </c>
      <c r="AN285" s="136">
        <v>5.1400000000000001E-2</v>
      </c>
      <c r="AO285" s="136">
        <v>9.1499999999999998E-2</v>
      </c>
      <c r="AR285" s="136">
        <v>1.6999999999999999E-3</v>
      </c>
      <c r="AT285" s="136">
        <v>1.2200000000000001E-2</v>
      </c>
      <c r="AV285" s="136">
        <v>2.9399999999999999E-2</v>
      </c>
      <c r="AW285" s="136">
        <v>5.3900000000000003E-2</v>
      </c>
      <c r="AX285" s="136">
        <v>9.5899999999999999E-2</v>
      </c>
    </row>
    <row r="286" spans="1:50" s="79" customFormat="1" ht="11.25">
      <c r="A286" s="96">
        <f t="shared" ca="1" si="6"/>
        <v>275</v>
      </c>
      <c r="B286" s="68" t="s">
        <v>357</v>
      </c>
      <c r="C286" s="97">
        <v>0.4</v>
      </c>
      <c r="D286" s="69" t="s">
        <v>66</v>
      </c>
      <c r="E286" s="137" t="s">
        <v>87</v>
      </c>
      <c r="F286" s="156">
        <v>5.9999999999999995E-4</v>
      </c>
      <c r="G286" s="156">
        <v>8.0000000000000004E-4</v>
      </c>
      <c r="H286" s="156">
        <v>1.2999999999999999E-3</v>
      </c>
      <c r="I286" s="156">
        <v>1.9E-3</v>
      </c>
      <c r="J286" s="156" t="s">
        <v>87</v>
      </c>
      <c r="K286" s="156">
        <v>3.0999999999999999E-3</v>
      </c>
      <c r="L286" s="156">
        <v>4.0000000000000001E-3</v>
      </c>
      <c r="M286" s="156">
        <v>5.0000000000000001E-3</v>
      </c>
      <c r="N286" s="138" cm="1">
        <f t="array" aca="1" ref="N286:AE286" ca="1">IF(OR(B286="",NOT($J$2)),"",GetStripDefaultProbability(A286,B286,Parameter_Date,CDSRollDate,E286:M286,SpreadCurveMaturities,D286,C286,$J$4,$J$6))</f>
        <v>0</v>
      </c>
      <c r="O286" s="163">
        <f ca="1"/>
        <v>5.9844205622783253E-4</v>
      </c>
      <c r="P286" s="163">
        <f ca="1"/>
        <v>1.4713900701842642E-3</v>
      </c>
      <c r="Q286" s="163">
        <f ca="1"/>
        <v>4.6060022358477282E-3</v>
      </c>
      <c r="R286" s="163">
        <f ca="1"/>
        <v>1.0021376133648285E-2</v>
      </c>
      <c r="S286" s="163">
        <f ca="1"/>
        <v>0</v>
      </c>
      <c r="T286" s="163">
        <f ca="1"/>
        <v>2.7181855400009503E-2</v>
      </c>
      <c r="U286" s="163">
        <f ca="1"/>
        <v>4.9024349479530716E-2</v>
      </c>
      <c r="V286" s="139">
        <f ca="1"/>
        <v>8.7273664953097518E-2</v>
      </c>
      <c r="W286" s="138">
        <f ca="1"/>
        <v>0</v>
      </c>
      <c r="X286" s="163">
        <f ca="1"/>
        <v>6.9814675354706868E-4</v>
      </c>
      <c r="Y286" s="163">
        <f ca="1"/>
        <v>1.6377976374900571E-3</v>
      </c>
      <c r="Z286" s="163">
        <f ca="1"/>
        <v>4.9562907770270836E-3</v>
      </c>
      <c r="AA286" s="163">
        <f ca="1"/>
        <v>1.0536375629449757E-2</v>
      </c>
      <c r="AB286" s="163">
        <f ca="1"/>
        <v>0</v>
      </c>
      <c r="AC286" s="163">
        <f ca="1"/>
        <v>2.8511619620098294E-2</v>
      </c>
      <c r="AD286" s="163">
        <f ca="1"/>
        <v>5.1413516635620105E-2</v>
      </c>
      <c r="AE286" s="139">
        <f ca="1"/>
        <v>9.145671741633532E-2</v>
      </c>
      <c r="AH286" s="136">
        <v>5.0000000000000001E-4</v>
      </c>
      <c r="AI286" s="136">
        <v>1.4E-3</v>
      </c>
      <c r="AJ286" s="136">
        <v>4.4999999999999997E-3</v>
      </c>
      <c r="AK286" s="136">
        <v>9.7999999999999997E-3</v>
      </c>
      <c r="AM286" s="136">
        <v>2.69E-2</v>
      </c>
      <c r="AN286" s="136">
        <v>4.8599999999999997E-2</v>
      </c>
      <c r="AO286" s="136">
        <v>8.6699999999999999E-2</v>
      </c>
      <c r="AQ286" s="136">
        <v>5.9999999999999995E-4</v>
      </c>
      <c r="AR286" s="136">
        <v>1.6000000000000001E-3</v>
      </c>
      <c r="AS286" s="136">
        <v>4.7999999999999996E-3</v>
      </c>
      <c r="AT286" s="136">
        <v>1.03E-2</v>
      </c>
      <c r="AV286" s="136">
        <v>2.8199999999999999E-2</v>
      </c>
      <c r="AW286" s="136">
        <v>5.0999999999999997E-2</v>
      </c>
      <c r="AX286" s="136">
        <v>9.0899999999999995E-2</v>
      </c>
    </row>
    <row r="287" spans="1:50" s="79" customFormat="1" ht="11.25">
      <c r="A287" s="96">
        <f t="shared" ca="1" si="6"/>
        <v>276</v>
      </c>
      <c r="B287" s="68" t="s">
        <v>358</v>
      </c>
      <c r="C287" s="97">
        <v>0.4</v>
      </c>
      <c r="D287" s="69" t="s">
        <v>66</v>
      </c>
      <c r="E287" s="137" t="s">
        <v>87</v>
      </c>
      <c r="F287" s="156">
        <v>5.0000000000000001E-4</v>
      </c>
      <c r="G287" s="156">
        <v>6.9999999999999999E-4</v>
      </c>
      <c r="H287" s="156">
        <v>1.2999999999999999E-3</v>
      </c>
      <c r="I287" s="156">
        <v>1.6999999999999999E-3</v>
      </c>
      <c r="J287" s="156" t="s">
        <v>87</v>
      </c>
      <c r="K287" s="156">
        <v>2.8999999999999998E-3</v>
      </c>
      <c r="L287" s="156">
        <v>3.8999999999999998E-3</v>
      </c>
      <c r="M287" s="156">
        <v>4.8999999999999998E-3</v>
      </c>
      <c r="N287" s="138" cm="1">
        <f t="array" aca="1" ref="N287:AE287" ca="1">IF(OR(B287="",NOT($J$2)),"",GetStripDefaultProbability(A287,B287,Parameter_Date,CDSRollDate,E287:M287,SpreadCurveMaturities,D287,C287,$J$4,$J$6))</f>
        <v>0</v>
      </c>
      <c r="O287" s="163">
        <f ca="1"/>
        <v>4.9872651070981266E-4</v>
      </c>
      <c r="P287" s="163">
        <f ca="1"/>
        <v>1.2882057658748503E-3</v>
      </c>
      <c r="Q287" s="163">
        <f ca="1"/>
        <v>4.6150355027729795E-3</v>
      </c>
      <c r="R287" s="163">
        <f ca="1"/>
        <v>8.9489227459839116E-3</v>
      </c>
      <c r="S287" s="163">
        <f ca="1"/>
        <v>0</v>
      </c>
      <c r="T287" s="163">
        <f ca="1"/>
        <v>2.5464590872366299E-2</v>
      </c>
      <c r="U287" s="163">
        <f ca="1"/>
        <v>4.8000270122597111E-2</v>
      </c>
      <c r="V287" s="139">
        <f ca="1"/>
        <v>8.5822193794516166E-2</v>
      </c>
      <c r="W287" s="138">
        <f ca="1"/>
        <v>0</v>
      </c>
      <c r="X287" s="163">
        <f ca="1"/>
        <v>5.9844139207421154E-4</v>
      </c>
      <c r="Y287" s="163">
        <f ca="1"/>
        <v>1.454643861349969E-3</v>
      </c>
      <c r="Z287" s="163">
        <f ca="1"/>
        <v>4.965350083932063E-3</v>
      </c>
      <c r="AA287" s="163">
        <f ca="1"/>
        <v>9.464353400659542E-3</v>
      </c>
      <c r="AB287" s="163">
        <f ca="1"/>
        <v>0</v>
      </c>
      <c r="AC287" s="163">
        <f ca="1"/>
        <v>2.6706060349736993E-2</v>
      </c>
      <c r="AD287" s="163">
        <f ca="1"/>
        <v>5.0336567697840895E-2</v>
      </c>
      <c r="AE287" s="139">
        <f ca="1"/>
        <v>8.993571778670606E-2</v>
      </c>
      <c r="AH287" s="136">
        <v>5.0000000000000001E-4</v>
      </c>
      <c r="AI287" s="136">
        <v>1.1999999999999999E-3</v>
      </c>
      <c r="AJ287" s="136">
        <v>4.4999999999999997E-3</v>
      </c>
      <c r="AK287" s="136">
        <v>8.8000000000000005E-3</v>
      </c>
      <c r="AM287" s="136">
        <v>2.52E-2</v>
      </c>
      <c r="AN287" s="136">
        <v>4.7600000000000003E-2</v>
      </c>
      <c r="AO287" s="136">
        <v>8.5300000000000001E-2</v>
      </c>
      <c r="AQ287" s="136">
        <v>5.0000000000000001E-4</v>
      </c>
      <c r="AR287" s="136">
        <v>1.4E-3</v>
      </c>
      <c r="AS287" s="136">
        <v>4.7999999999999996E-3</v>
      </c>
      <c r="AT287" s="136">
        <v>9.2999999999999992E-3</v>
      </c>
      <c r="AV287" s="136">
        <v>2.64E-2</v>
      </c>
      <c r="AW287" s="136">
        <v>4.99E-2</v>
      </c>
      <c r="AX287" s="136">
        <v>8.9399999999999993E-2</v>
      </c>
    </row>
    <row r="288" spans="1:50" s="79" customFormat="1" ht="11.25">
      <c r="A288" s="96">
        <f t="shared" ca="1" si="6"/>
        <v>277</v>
      </c>
      <c r="B288" s="68" t="s">
        <v>359</v>
      </c>
      <c r="C288" s="97">
        <v>0.4</v>
      </c>
      <c r="D288" s="69" t="s">
        <v>66</v>
      </c>
      <c r="E288" s="137" t="s">
        <v>87</v>
      </c>
      <c r="F288" s="156">
        <v>6.9999999999999999E-4</v>
      </c>
      <c r="G288" s="156">
        <v>8.0000000000000004E-4</v>
      </c>
      <c r="H288" s="156">
        <v>1.2999999999999999E-3</v>
      </c>
      <c r="I288" s="156">
        <v>2E-3</v>
      </c>
      <c r="J288" s="156" t="s">
        <v>87</v>
      </c>
      <c r="K288" s="156">
        <v>3.3E-3</v>
      </c>
      <c r="L288" s="156">
        <v>4.0000000000000001E-3</v>
      </c>
      <c r="M288" s="156">
        <v>4.8999999999999998E-3</v>
      </c>
      <c r="N288" s="138" cm="1">
        <f t="array" aca="1" ref="N288:AE288" ca="1">IF(OR(B288="",NOT($J$2)),"",GetStripDefaultProbability(A288,B288,Parameter_Date,CDSRollDate,E288:M288,SpreadCurveMaturities,D288,C288,$J$4,$J$6))</f>
        <v>0</v>
      </c>
      <c r="O288" s="163">
        <f ca="1"/>
        <v>6.98147686336692E-4</v>
      </c>
      <c r="P288" s="163">
        <f ca="1"/>
        <v>1.4688312592168185E-3</v>
      </c>
      <c r="Q288" s="163">
        <f ca="1"/>
        <v>4.6034016974833003E-3</v>
      </c>
      <c r="R288" s="163">
        <f ca="1"/>
        <v>1.0559378876372372E-2</v>
      </c>
      <c r="S288" s="163">
        <f ca="1"/>
        <v>0</v>
      </c>
      <c r="T288" s="163">
        <f ca="1"/>
        <v>2.8943986646860376E-2</v>
      </c>
      <c r="U288" s="163">
        <f ca="1"/>
        <v>4.8789307676298854E-2</v>
      </c>
      <c r="V288" s="139">
        <f ca="1"/>
        <v>8.5115973374169207E-2</v>
      </c>
      <c r="W288" s="138">
        <f ca="1"/>
        <v>0</v>
      </c>
      <c r="X288" s="163">
        <f ca="1"/>
        <v>7.9784215457201491E-4</v>
      </c>
      <c r="Y288" s="163">
        <f ca="1"/>
        <v>1.6352392529477289E-3</v>
      </c>
      <c r="Z288" s="163">
        <f ca="1"/>
        <v>4.9536814715206434E-3</v>
      </c>
      <c r="AA288" s="163">
        <f ca="1"/>
        <v>1.10741655271126E-2</v>
      </c>
      <c r="AB288" s="163">
        <f ca="1"/>
        <v>0</v>
      </c>
      <c r="AC288" s="163">
        <f ca="1"/>
        <v>3.0361910303773554E-2</v>
      </c>
      <c r="AD288" s="163">
        <f ca="1"/>
        <v>5.1168394027016895E-2</v>
      </c>
      <c r="AE288" s="139">
        <f ca="1"/>
        <v>8.9198540401317028E-2</v>
      </c>
      <c r="AH288" s="136">
        <v>5.9999999999999995E-4</v>
      </c>
      <c r="AI288" s="136">
        <v>1.4E-3</v>
      </c>
      <c r="AJ288" s="136">
        <v>4.4999999999999997E-3</v>
      </c>
      <c r="AK288" s="136">
        <v>1.04E-2</v>
      </c>
      <c r="AM288" s="136">
        <v>2.86E-2</v>
      </c>
      <c r="AN288" s="136">
        <v>4.8399999999999999E-2</v>
      </c>
      <c r="AO288" s="136">
        <v>8.4599999999999995E-2</v>
      </c>
      <c r="AQ288" s="136">
        <v>6.9999999999999999E-4</v>
      </c>
      <c r="AR288" s="136">
        <v>1.6000000000000001E-3</v>
      </c>
      <c r="AS288" s="136">
        <v>4.7999999999999996E-3</v>
      </c>
      <c r="AT288" s="136">
        <v>1.09E-2</v>
      </c>
      <c r="AV288" s="136">
        <v>0.03</v>
      </c>
      <c r="AW288" s="136">
        <v>5.0700000000000002E-2</v>
      </c>
      <c r="AX288" s="136">
        <v>8.8700000000000001E-2</v>
      </c>
    </row>
    <row r="289" spans="1:50" s="79" customFormat="1" ht="11.25">
      <c r="A289" s="96">
        <f t="shared" ca="1" si="6"/>
        <v>278</v>
      </c>
      <c r="B289" s="68" t="s">
        <v>360</v>
      </c>
      <c r="C289" s="97">
        <v>0.4</v>
      </c>
      <c r="D289" s="69" t="s">
        <v>67</v>
      </c>
      <c r="E289" s="137" t="s">
        <v>87</v>
      </c>
      <c r="F289" s="156" t="s">
        <v>87</v>
      </c>
      <c r="G289" s="156">
        <v>5.5000000000000003E-4</v>
      </c>
      <c r="H289" s="156" t="s">
        <v>87</v>
      </c>
      <c r="I289" s="156">
        <v>1.6999999999999999E-3</v>
      </c>
      <c r="J289" s="156" t="s">
        <v>87</v>
      </c>
      <c r="K289" s="156">
        <v>2.7499999999999998E-3</v>
      </c>
      <c r="L289" s="156">
        <v>3.8999999999999998E-3</v>
      </c>
      <c r="M289" s="156">
        <v>5.0000000000000001E-3</v>
      </c>
      <c r="N289" s="138" cm="1">
        <f t="array" aca="1" ref="N289:AE289" ca="1">IF(OR(B289="",NOT($J$2)),"",GetStripDefaultProbability(A289,B289,Parameter_Date,CDSRollDate,E289:M289,SpreadCurveMaturities,D289,C289,$J$4,$J$6))</f>
        <v>0</v>
      </c>
      <c r="O289" s="163">
        <f ca="1"/>
        <v>0</v>
      </c>
      <c r="P289" s="163">
        <f ca="1"/>
        <v>1.0083111497977137E-3</v>
      </c>
      <c r="Q289" s="163">
        <f ca="1"/>
        <v>0</v>
      </c>
      <c r="R289" s="163">
        <f ca="1"/>
        <v>8.9413637985745753E-3</v>
      </c>
      <c r="S289" s="163">
        <f ca="1"/>
        <v>0</v>
      </c>
      <c r="T289" s="163">
        <f ca="1"/>
        <v>2.4144259058548778E-2</v>
      </c>
      <c r="U289" s="163">
        <f ca="1"/>
        <v>4.8381737294190597E-2</v>
      </c>
      <c r="V289" s="139">
        <f ca="1"/>
        <v>8.8591675159875871E-2</v>
      </c>
      <c r="W289" s="138">
        <f ca="1"/>
        <v>0</v>
      </c>
      <c r="X289" s="163">
        <f ca="1"/>
        <v>0</v>
      </c>
      <c r="Y289" s="163">
        <f ca="1"/>
        <v>1.1747958904837486E-3</v>
      </c>
      <c r="Z289" s="163">
        <f ca="1"/>
        <v>0</v>
      </c>
      <c r="AA289" s="163">
        <f ca="1"/>
        <v>9.456914146615647E-3</v>
      </c>
      <c r="AB289" s="163">
        <f ca="1"/>
        <v>0</v>
      </c>
      <c r="AC289" s="163">
        <f ca="1"/>
        <v>2.5321117383311775E-2</v>
      </c>
      <c r="AD289" s="163">
        <f ca="1"/>
        <v>5.0736558531865983E-2</v>
      </c>
      <c r="AE289" s="139">
        <f ca="1"/>
        <v>9.2861643993809584E-2</v>
      </c>
      <c r="AI289" s="136">
        <v>1E-3</v>
      </c>
      <c r="AK289" s="136">
        <v>8.8000000000000005E-3</v>
      </c>
      <c r="AM289" s="136">
        <v>2.3900000000000001E-2</v>
      </c>
      <c r="AN289" s="136">
        <v>4.8000000000000001E-2</v>
      </c>
      <c r="AO289" s="136">
        <v>8.7999999999999995E-2</v>
      </c>
      <c r="AR289" s="136">
        <v>1.1000000000000001E-3</v>
      </c>
      <c r="AT289" s="136">
        <v>9.2999999999999992E-3</v>
      </c>
      <c r="AV289" s="136">
        <v>2.5000000000000001E-2</v>
      </c>
      <c r="AW289" s="136">
        <v>5.0299999999999997E-2</v>
      </c>
      <c r="AX289" s="136">
        <v>9.2299999999999993E-2</v>
      </c>
    </row>
    <row r="290" spans="1:50" s="79" customFormat="1" ht="11.25">
      <c r="A290" s="96">
        <f t="shared" ca="1" si="6"/>
        <v>279</v>
      </c>
      <c r="B290" s="68" t="s">
        <v>127</v>
      </c>
      <c r="C290" s="97">
        <v>0.4</v>
      </c>
      <c r="D290" s="69" t="s">
        <v>66</v>
      </c>
      <c r="E290" s="137" t="s">
        <v>87</v>
      </c>
      <c r="F290" s="156">
        <v>6.9999999999999999E-4</v>
      </c>
      <c r="G290" s="156">
        <v>8.9999999999999998E-4</v>
      </c>
      <c r="H290" s="156">
        <v>1.2999999999999999E-3</v>
      </c>
      <c r="I290" s="156">
        <v>1.8E-3</v>
      </c>
      <c r="J290" s="156" t="s">
        <v>87</v>
      </c>
      <c r="K290" s="156">
        <v>2.8999999999999998E-3</v>
      </c>
      <c r="L290" s="156">
        <v>3.5999999999999999E-3</v>
      </c>
      <c r="M290" s="156">
        <v>4.4000000000000003E-3</v>
      </c>
      <c r="N290" s="138" cm="1">
        <f t="array" aca="1" ref="N290:AE290" ca="1">IF(OR(B290="",NOT($J$2)),"",GetStripDefaultProbability(A290,B290,Parameter_Date,CDSRollDate,E290:M290,SpreadCurveMaturities,D290,C290,$J$4,$J$6))</f>
        <v>0</v>
      </c>
      <c r="O290" s="163">
        <f ca="1"/>
        <v>6.98147686336692E-4</v>
      </c>
      <c r="P290" s="163">
        <f ca="1"/>
        <v>1.6545407729871009E-3</v>
      </c>
      <c r="Q290" s="163">
        <f ca="1"/>
        <v>4.5969703247138449E-3</v>
      </c>
      <c r="R290" s="163">
        <f ca="1"/>
        <v>9.4714561307461809E-3</v>
      </c>
      <c r="S290" s="163">
        <f ca="1"/>
        <v>0</v>
      </c>
      <c r="T290" s="163">
        <f ca="1"/>
        <v>2.540579506229379E-2</v>
      </c>
      <c r="U290" s="163">
        <f ca="1"/>
        <v>4.4017298047781095E-2</v>
      </c>
      <c r="V290" s="139">
        <f ca="1"/>
        <v>7.6683180874739798E-2</v>
      </c>
      <c r="W290" s="138">
        <f ca="1"/>
        <v>0</v>
      </c>
      <c r="X290" s="163">
        <f ca="1"/>
        <v>7.9784215457201491E-4</v>
      </c>
      <c r="Y290" s="163">
        <f ca="1"/>
        <v>1.8209178177219787E-3</v>
      </c>
      <c r="Z290" s="163">
        <f ca="1"/>
        <v>4.9472325546502383E-3</v>
      </c>
      <c r="AA290" s="163">
        <f ca="1"/>
        <v>9.9866286793877102E-3</v>
      </c>
      <c r="AB290" s="163">
        <f ca="1"/>
        <v>0</v>
      </c>
      <c r="AC290" s="163">
        <f ca="1"/>
        <v>2.6647166783388077E-2</v>
      </c>
      <c r="AD290" s="163">
        <f ca="1"/>
        <v>4.6163327847539515E-2</v>
      </c>
      <c r="AE290" s="139">
        <f ca="1"/>
        <v>8.0371669913123056E-2</v>
      </c>
      <c r="AH290" s="136">
        <v>5.9999999999999995E-4</v>
      </c>
      <c r="AI290" s="136">
        <v>1.6000000000000001E-3</v>
      </c>
      <c r="AJ290" s="136">
        <v>4.4999999999999997E-3</v>
      </c>
      <c r="AK290" s="136">
        <v>9.2999999999999992E-3</v>
      </c>
      <c r="AM290" s="136">
        <v>2.5100000000000001E-2</v>
      </c>
      <c r="AN290" s="136">
        <v>4.36E-2</v>
      </c>
      <c r="AO290" s="136">
        <v>7.6200000000000004E-2</v>
      </c>
      <c r="AQ290" s="136">
        <v>6.9999999999999999E-4</v>
      </c>
      <c r="AR290" s="136">
        <v>1.6999999999999999E-3</v>
      </c>
      <c r="AS290" s="136">
        <v>4.7999999999999996E-3</v>
      </c>
      <c r="AT290" s="136">
        <v>9.7999999999999997E-3</v>
      </c>
      <c r="AV290" s="136">
        <v>2.63E-2</v>
      </c>
      <c r="AW290" s="136">
        <v>4.58E-2</v>
      </c>
      <c r="AX290" s="136">
        <v>7.9899999999999999E-2</v>
      </c>
    </row>
    <row r="291" spans="1:50" s="79" customFormat="1" ht="11.25">
      <c r="A291" s="96">
        <f t="shared" ca="1" si="6"/>
        <v>280</v>
      </c>
      <c r="B291" s="68" t="s">
        <v>129</v>
      </c>
      <c r="C291" s="97">
        <v>0.4</v>
      </c>
      <c r="D291" s="69" t="s">
        <v>66</v>
      </c>
      <c r="E291" s="137" t="s">
        <v>87</v>
      </c>
      <c r="F291" s="156">
        <v>5.9999999999999995E-4</v>
      </c>
      <c r="G291" s="156">
        <v>6.9999999999999999E-4</v>
      </c>
      <c r="H291" s="156">
        <v>1.1999999999999999E-3</v>
      </c>
      <c r="I291" s="156">
        <v>1.8E-3</v>
      </c>
      <c r="J291" s="156" t="s">
        <v>87</v>
      </c>
      <c r="K291" s="156">
        <v>2.8E-3</v>
      </c>
      <c r="L291" s="156">
        <v>3.5000000000000001E-3</v>
      </c>
      <c r="M291" s="156">
        <v>4.4000000000000003E-3</v>
      </c>
      <c r="N291" s="138" cm="1">
        <f t="array" aca="1" ref="N291:AE291" ca="1">IF(OR(B291="",NOT($J$2)),"",GetStripDefaultProbability(A291,B291,Parameter_Date,CDSRollDate,E291:M291,SpreadCurveMaturities,D291,C291,$J$4,$J$6))</f>
        <v>0</v>
      </c>
      <c r="O291" s="163">
        <f ca="1"/>
        <v>5.9844205622783253E-4</v>
      </c>
      <c r="P291" s="163">
        <f ca="1"/>
        <v>1.2856558950586905E-3</v>
      </c>
      <c r="Q291" s="163">
        <f ca="1"/>
        <v>4.2535409362317589E-3</v>
      </c>
      <c r="R291" s="163">
        <f ca="1"/>
        <v>9.5039457100781766E-3</v>
      </c>
      <c r="S291" s="163">
        <f ca="1"/>
        <v>0</v>
      </c>
      <c r="T291" s="163">
        <f ca="1"/>
        <v>2.4535411769439408E-2</v>
      </c>
      <c r="U291" s="163">
        <f ca="1"/>
        <v>4.2837015526936417E-2</v>
      </c>
      <c r="V291" s="139">
        <f ca="1"/>
        <v>7.6995851256600467E-2</v>
      </c>
      <c r="W291" s="138">
        <f ca="1"/>
        <v>0</v>
      </c>
      <c r="X291" s="163">
        <f ca="1"/>
        <v>6.9814675354706868E-4</v>
      </c>
      <c r="Y291" s="163">
        <f ca="1"/>
        <v>1.4520944154741144E-3</v>
      </c>
      <c r="Z291" s="163">
        <f ca="1"/>
        <v>4.6039455378485972E-3</v>
      </c>
      <c r="AA291" s="163">
        <f ca="1"/>
        <v>1.0019209331473267E-2</v>
      </c>
      <c r="AB291" s="163">
        <f ca="1"/>
        <v>0</v>
      </c>
      <c r="AC291" s="163">
        <f ca="1"/>
        <v>2.5732667213386518E-2</v>
      </c>
      <c r="AD291" s="163">
        <f ca="1"/>
        <v>4.4924574322956046E-2</v>
      </c>
      <c r="AE291" s="139">
        <f ca="1"/>
        <v>8.0698363301199061E-2</v>
      </c>
      <c r="AH291" s="136">
        <v>5.0000000000000001E-4</v>
      </c>
      <c r="AI291" s="136">
        <v>1.1999999999999999E-3</v>
      </c>
      <c r="AJ291" s="136">
        <v>4.1000000000000003E-3</v>
      </c>
      <c r="AK291" s="136">
        <v>9.2999999999999992E-3</v>
      </c>
      <c r="AM291" s="136">
        <v>2.4299999999999999E-2</v>
      </c>
      <c r="AN291" s="136">
        <v>4.2500000000000003E-2</v>
      </c>
      <c r="AO291" s="136">
        <v>7.6499999999999999E-2</v>
      </c>
      <c r="AQ291" s="136">
        <v>5.9999999999999995E-4</v>
      </c>
      <c r="AR291" s="136">
        <v>1.4E-3</v>
      </c>
      <c r="AS291" s="136">
        <v>4.4999999999999997E-3</v>
      </c>
      <c r="AT291" s="136">
        <v>9.7999999999999997E-3</v>
      </c>
      <c r="AV291" s="136">
        <v>2.5399999999999999E-2</v>
      </c>
      <c r="AW291" s="136">
        <v>4.4499999999999998E-2</v>
      </c>
      <c r="AX291" s="136">
        <v>8.0199999999999994E-2</v>
      </c>
    </row>
    <row r="292" spans="1:50" s="79" customFormat="1" ht="11.25">
      <c r="A292" s="96">
        <f t="shared" ca="1" si="6"/>
        <v>281</v>
      </c>
      <c r="B292" s="68" t="s">
        <v>361</v>
      </c>
      <c r="C292" s="97">
        <v>0.4</v>
      </c>
      <c r="D292" s="69" t="s">
        <v>67</v>
      </c>
      <c r="E292" s="137" t="s">
        <v>87</v>
      </c>
      <c r="F292" s="156" t="s">
        <v>87</v>
      </c>
      <c r="G292" s="156">
        <v>3.1260000000000003E-2</v>
      </c>
      <c r="H292" s="156" t="s">
        <v>87</v>
      </c>
      <c r="I292" s="156">
        <v>2.2712E-2</v>
      </c>
      <c r="J292" s="156" t="s">
        <v>87</v>
      </c>
      <c r="K292" s="156">
        <v>1.9E-2</v>
      </c>
      <c r="L292" s="156">
        <v>1.7339E-2</v>
      </c>
      <c r="M292" s="156">
        <v>1.6362000000000002E-2</v>
      </c>
      <c r="N292" s="138" cm="1">
        <f t="array" aca="1" ref="N292:AE292" ca="1">IF(OR(B292="",NOT($J$2)),"",GetStripDefaultProbability(A292,B292,Parameter_Date,CDSRollDate,E292:M292,SpreadCurveMaturities,D292,C292,$J$4,$J$6))</f>
        <v>0</v>
      </c>
      <c r="O292" s="163">
        <f ca="1"/>
        <v>0</v>
      </c>
      <c r="P292" s="163">
        <f ca="1"/>
        <v>5.5723461339003411E-2</v>
      </c>
      <c r="Q292" s="163">
        <f ca="1"/>
        <v>0</v>
      </c>
      <c r="R292" s="163">
        <f ca="1"/>
        <v>0.10932141519915284</v>
      </c>
      <c r="S292" s="163">
        <f ca="1"/>
        <v>0</v>
      </c>
      <c r="T292" s="163">
        <f ca="1"/>
        <v>0.14471044565778823</v>
      </c>
      <c r="U292" s="163">
        <f ca="1"/>
        <v>0.17801591428904884</v>
      </c>
      <c r="V292" s="139">
        <f ca="1"/>
        <v>0.23008501418027227</v>
      </c>
      <c r="W292" s="138">
        <f ca="1"/>
        <v>0</v>
      </c>
      <c r="X292" s="163">
        <f ca="1"/>
        <v>0</v>
      </c>
      <c r="Y292" s="163">
        <f ca="1"/>
        <v>5.8426590148177748E-2</v>
      </c>
      <c r="Z292" s="163">
        <f ca="1"/>
        <v>0</v>
      </c>
      <c r="AA292" s="163">
        <f ca="1"/>
        <v>0.11441495338310725</v>
      </c>
      <c r="AB292" s="163">
        <f ca="1"/>
        <v>0</v>
      </c>
      <c r="AC292" s="163">
        <f ca="1"/>
        <v>0.15123127580012585</v>
      </c>
      <c r="AD292" s="163">
        <f ca="1"/>
        <v>0.18583884768641667</v>
      </c>
      <c r="AE292" s="139">
        <f ca="1"/>
        <v>0.23984648509958173</v>
      </c>
      <c r="AI292" s="136">
        <v>5.2999999999999999E-2</v>
      </c>
      <c r="AK292" s="136">
        <v>0.1076</v>
      </c>
      <c r="AM292" s="136">
        <v>0.1434</v>
      </c>
      <c r="AN292" s="136">
        <v>0.17699999999999999</v>
      </c>
      <c r="AO292" s="136">
        <v>0.22919999999999999</v>
      </c>
      <c r="AR292" s="136">
        <v>5.5599999999999997E-2</v>
      </c>
      <c r="AT292" s="136">
        <v>0.11260000000000001</v>
      </c>
      <c r="AV292" s="136">
        <v>0.14990000000000001</v>
      </c>
      <c r="AW292" s="136">
        <v>0.18479999999999999</v>
      </c>
      <c r="AX292" s="136">
        <v>0.23899999999999999</v>
      </c>
    </row>
    <row r="293" spans="1:50" s="79" customFormat="1" ht="11.25">
      <c r="A293" s="96">
        <f t="shared" ca="1" si="6"/>
        <v>282</v>
      </c>
      <c r="B293" s="68" t="s">
        <v>362</v>
      </c>
      <c r="C293" s="97">
        <v>0.4</v>
      </c>
      <c r="D293" s="69" t="s">
        <v>66</v>
      </c>
      <c r="E293" s="137" t="s">
        <v>87</v>
      </c>
      <c r="F293" s="156">
        <v>4.5500000000000002E-3</v>
      </c>
      <c r="G293" s="156">
        <v>5.6800000000000002E-3</v>
      </c>
      <c r="H293" s="156">
        <v>7.9500000000000005E-3</v>
      </c>
      <c r="I293" s="156">
        <v>9.8200000000000006E-3</v>
      </c>
      <c r="J293" s="156" t="s">
        <v>87</v>
      </c>
      <c r="K293" s="156">
        <v>1.2500000000000001E-2</v>
      </c>
      <c r="L293" s="156">
        <v>1.2999999999999999E-2</v>
      </c>
      <c r="M293" s="156">
        <v>1.35E-2</v>
      </c>
      <c r="N293" s="138" cm="1">
        <f t="array" aca="1" ref="N293:AE293" ca="1">IF(OR(B293="",NOT($J$2)),"",GetStripDefaultProbability(A293,B293,Parameter_Date,CDSRollDate,E293:M293,SpreadCurveMaturities,D293,C293,$J$4,$J$6))</f>
        <v>0</v>
      </c>
      <c r="O293" s="163">
        <f ca="1"/>
        <v>4.5292901601107216E-3</v>
      </c>
      <c r="P293" s="163">
        <f ca="1"/>
        <v>1.0397919577810111E-2</v>
      </c>
      <c r="Q293" s="163">
        <f ca="1"/>
        <v>2.7824317761009243E-2</v>
      </c>
      <c r="R293" s="163">
        <f ca="1"/>
        <v>5.0603901755294722E-2</v>
      </c>
      <c r="S293" s="163">
        <f ca="1"/>
        <v>0</v>
      </c>
      <c r="T293" s="163">
        <f ca="1"/>
        <v>0.10457128066312416</v>
      </c>
      <c r="U293" s="163">
        <f ca="1"/>
        <v>0.14751077849090632</v>
      </c>
      <c r="V293" s="139">
        <f ca="1"/>
        <v>0.21040469414690999</v>
      </c>
      <c r="W293" s="138">
        <f ca="1"/>
        <v>0</v>
      </c>
      <c r="X293" s="163">
        <f ca="1"/>
        <v>4.7551609920865046E-3</v>
      </c>
      <c r="Y293" s="163">
        <f ca="1"/>
        <v>1.0915203733074197E-2</v>
      </c>
      <c r="Z293" s="163">
        <f ca="1"/>
        <v>2.9197157790539441E-2</v>
      </c>
      <c r="AA293" s="163">
        <f ca="1"/>
        <v>5.3076977018341909E-2</v>
      </c>
      <c r="AB293" s="163">
        <f ca="1"/>
        <v>0</v>
      </c>
      <c r="AC293" s="163">
        <f ca="1"/>
        <v>0.10956347162746771</v>
      </c>
      <c r="AD293" s="163">
        <f ca="1"/>
        <v>0.1543672079020515</v>
      </c>
      <c r="AE293" s="139">
        <f ca="1"/>
        <v>0.2197990573833446</v>
      </c>
      <c r="AH293" s="136">
        <v>4.1000000000000003E-3</v>
      </c>
      <c r="AI293" s="136">
        <v>9.9000000000000008E-3</v>
      </c>
      <c r="AJ293" s="136">
        <v>2.7099999999999999E-2</v>
      </c>
      <c r="AK293" s="136">
        <v>4.9700000000000001E-2</v>
      </c>
      <c r="AM293" s="136">
        <v>0.10340000000000001</v>
      </c>
      <c r="AN293" s="136">
        <v>0.1464</v>
      </c>
      <c r="AO293" s="136">
        <v>0.20930000000000001</v>
      </c>
      <c r="AQ293" s="136">
        <v>4.3E-3</v>
      </c>
      <c r="AR293" s="136">
        <v>1.04E-2</v>
      </c>
      <c r="AS293" s="136">
        <v>2.8400000000000002E-2</v>
      </c>
      <c r="AT293" s="136">
        <v>5.21E-2</v>
      </c>
      <c r="AV293" s="136">
        <v>0.1084</v>
      </c>
      <c r="AW293" s="136">
        <v>0.1532</v>
      </c>
      <c r="AX293" s="136">
        <v>0.21859999999999999</v>
      </c>
    </row>
    <row r="294" spans="1:50" s="79" customFormat="1" ht="11.25">
      <c r="A294" s="96">
        <f t="shared" ca="1" si="6"/>
        <v>283</v>
      </c>
      <c r="B294" s="68" t="s">
        <v>363</v>
      </c>
      <c r="C294" s="97">
        <v>0.2</v>
      </c>
      <c r="D294" s="69" t="s">
        <v>66</v>
      </c>
      <c r="E294" s="137" t="s">
        <v>87</v>
      </c>
      <c r="F294" s="156">
        <v>1.3500000000000001E-3</v>
      </c>
      <c r="G294" s="156">
        <v>2.32E-3</v>
      </c>
      <c r="H294" s="156">
        <v>3.8500000000000001E-3</v>
      </c>
      <c r="I294" s="156">
        <v>5.3400000000000001E-3</v>
      </c>
      <c r="J294" s="156" t="s">
        <v>87</v>
      </c>
      <c r="K294" s="156">
        <v>7.1999999999999998E-3</v>
      </c>
      <c r="L294" s="156">
        <v>8.0000000000000002E-3</v>
      </c>
      <c r="M294" s="156">
        <v>8.4499999999999992E-3</v>
      </c>
      <c r="N294" s="138" cm="1">
        <f t="array" aca="1" ref="N294:AE294" ca="1">IF(OR(B294="",NOT($J$2)),"",GetStripDefaultProbability(A294,B294,Parameter_Date,CDSRollDate,E294:M294,SpreadCurveMaturities,D294,C294,$J$4,$J$6))</f>
        <v>0</v>
      </c>
      <c r="O294" s="163">
        <f ca="1"/>
        <v>1.0096638887209242E-3</v>
      </c>
      <c r="P294" s="163">
        <f ca="1"/>
        <v>3.2056249886474042E-3</v>
      </c>
      <c r="Q294" s="163">
        <f ca="1"/>
        <v>1.0219882573187622E-2</v>
      </c>
      <c r="R294" s="163">
        <f ca="1"/>
        <v>2.10185274051089E-2</v>
      </c>
      <c r="S294" s="163">
        <f ca="1"/>
        <v>0</v>
      </c>
      <c r="T294" s="163">
        <f ca="1"/>
        <v>4.6587656676958744E-2</v>
      </c>
      <c r="U294" s="163">
        <f ca="1"/>
        <v>7.1443660281543475E-2</v>
      </c>
      <c r="V294" s="139">
        <f ca="1"/>
        <v>0.10550107082952698</v>
      </c>
      <c r="W294" s="138">
        <f ca="1"/>
        <v>0</v>
      </c>
      <c r="X294" s="163">
        <f ca="1"/>
        <v>1.0844109592604845E-3</v>
      </c>
      <c r="Y294" s="163">
        <f ca="1"/>
        <v>3.3650430290710354E-3</v>
      </c>
      <c r="Z294" s="163">
        <f ca="1"/>
        <v>1.0727947907343105E-2</v>
      </c>
      <c r="AA294" s="163">
        <f ca="1"/>
        <v>2.2059890230001544E-2</v>
      </c>
      <c r="AB294" s="163">
        <f ca="1"/>
        <v>0</v>
      </c>
      <c r="AC294" s="163">
        <f ca="1"/>
        <v>4.8866838661114187E-2</v>
      </c>
      <c r="AD294" s="163">
        <f ca="1"/>
        <v>7.4899970141511285E-2</v>
      </c>
      <c r="AE294" s="139">
        <f ca="1"/>
        <v>0.110498754536142</v>
      </c>
      <c r="AH294" s="136">
        <v>8.9999999999999998E-4</v>
      </c>
      <c r="AI294" s="136">
        <v>3.0000000000000001E-3</v>
      </c>
      <c r="AJ294" s="136">
        <v>9.9000000000000008E-3</v>
      </c>
      <c r="AK294" s="136">
        <v>2.06E-2</v>
      </c>
      <c r="AM294" s="136">
        <v>4.6100000000000002E-2</v>
      </c>
      <c r="AN294" s="136">
        <v>7.0900000000000005E-2</v>
      </c>
      <c r="AO294" s="136">
        <v>0.10489999999999999</v>
      </c>
      <c r="AQ294" s="136">
        <v>1E-3</v>
      </c>
      <c r="AR294" s="136">
        <v>3.2000000000000002E-3</v>
      </c>
      <c r="AS294" s="136">
        <v>1.04E-2</v>
      </c>
      <c r="AT294" s="136">
        <v>2.1700000000000001E-2</v>
      </c>
      <c r="AV294" s="136">
        <v>4.8300000000000003E-2</v>
      </c>
      <c r="AW294" s="136">
        <v>7.4300000000000005E-2</v>
      </c>
      <c r="AX294" s="136">
        <v>0.1099</v>
      </c>
    </row>
    <row r="295" spans="1:50" s="79" customFormat="1" ht="11.25">
      <c r="A295" s="96">
        <f t="shared" ca="1" si="6"/>
        <v>284</v>
      </c>
      <c r="B295" s="68" t="s">
        <v>364</v>
      </c>
      <c r="C295" s="97">
        <v>0.4</v>
      </c>
      <c r="D295" s="69" t="s">
        <v>66</v>
      </c>
      <c r="E295" s="137" t="s">
        <v>87</v>
      </c>
      <c r="F295" s="156">
        <v>5.6999999999999998E-4</v>
      </c>
      <c r="G295" s="156">
        <v>1.24E-3</v>
      </c>
      <c r="H295" s="156">
        <v>1.9499999999999999E-3</v>
      </c>
      <c r="I295" s="156">
        <v>2.6700000000000001E-3</v>
      </c>
      <c r="J295" s="156" t="s">
        <v>87</v>
      </c>
      <c r="K295" s="156">
        <v>4.0000000000000001E-3</v>
      </c>
      <c r="L295" s="156">
        <v>4.9100000000000003E-3</v>
      </c>
      <c r="M295" s="156">
        <v>6.2899999999999996E-3</v>
      </c>
      <c r="N295" s="138" cm="1">
        <f t="array" aca="1" ref="N295:AE295" ca="1">IF(OR(B295="",NOT($J$2)),"",GetStripDefaultProbability(A295,B295,Parameter_Date,CDSRollDate,E295:M295,SpreadCurveMaturities,D295,C295,$J$4,$J$6))</f>
        <v>0</v>
      </c>
      <c r="O295" s="163">
        <f ca="1"/>
        <v>5.6852843375387874E-4</v>
      </c>
      <c r="P295" s="163">
        <f ca="1"/>
        <v>2.289215917738785E-3</v>
      </c>
      <c r="Q295" s="163">
        <f ca="1"/>
        <v>6.9090421612434394E-3</v>
      </c>
      <c r="R295" s="163">
        <f ca="1"/>
        <v>1.4040915993698166E-2</v>
      </c>
      <c r="S295" s="163">
        <f ca="1"/>
        <v>0</v>
      </c>
      <c r="T295" s="163">
        <f ca="1"/>
        <v>3.4832047489364748E-2</v>
      </c>
      <c r="U295" s="163">
        <f ca="1"/>
        <v>5.9534410003672766E-2</v>
      </c>
      <c r="V295" s="139">
        <f ca="1"/>
        <v>0.1088134766245219</v>
      </c>
      <c r="W295" s="138">
        <f ca="1"/>
        <v>0</v>
      </c>
      <c r="X295" s="163">
        <f ca="1"/>
        <v>6.6823619100508935E-4</v>
      </c>
      <c r="Y295" s="163">
        <f ca="1"/>
        <v>2.4554871920987598E-3</v>
      </c>
      <c r="Z295" s="163">
        <f ca="1"/>
        <v>7.2586061497318388E-3</v>
      </c>
      <c r="AA295" s="163">
        <f ca="1"/>
        <v>1.4734655182163103E-2</v>
      </c>
      <c r="AB295" s="163">
        <f ca="1"/>
        <v>0</v>
      </c>
      <c r="AC295" s="163">
        <f ca="1"/>
        <v>3.6542386842312924E-2</v>
      </c>
      <c r="AD295" s="163">
        <f ca="1"/>
        <v>6.2432228420197244E-2</v>
      </c>
      <c r="AE295" s="139">
        <f ca="1"/>
        <v>0.11402305588727402</v>
      </c>
      <c r="AH295" s="136">
        <v>5.0000000000000001E-4</v>
      </c>
      <c r="AI295" s="136">
        <v>2.2000000000000001E-3</v>
      </c>
      <c r="AJ295" s="136">
        <v>6.7000000000000002E-3</v>
      </c>
      <c r="AK295" s="136">
        <v>1.38E-2</v>
      </c>
      <c r="AM295" s="136">
        <v>3.44E-2</v>
      </c>
      <c r="AN295" s="136">
        <v>5.8999999999999997E-2</v>
      </c>
      <c r="AO295" s="136">
        <v>0.1081</v>
      </c>
      <c r="AQ295" s="136">
        <v>5.9999999999999995E-4</v>
      </c>
      <c r="AR295" s="136">
        <v>2.3E-3</v>
      </c>
      <c r="AS295" s="136">
        <v>7.1000000000000004E-3</v>
      </c>
      <c r="AT295" s="136">
        <v>1.4500000000000001E-2</v>
      </c>
      <c r="AV295" s="136">
        <v>3.61E-2</v>
      </c>
      <c r="AW295" s="136">
        <v>6.1899999999999997E-2</v>
      </c>
      <c r="AX295" s="136">
        <v>0.1133</v>
      </c>
    </row>
    <row r="296" spans="1:50" s="79" customFormat="1" ht="11.25">
      <c r="A296" s="96">
        <f t="shared" ca="1" si="6"/>
        <v>285</v>
      </c>
      <c r="B296" s="68" t="s">
        <v>365</v>
      </c>
      <c r="C296" s="97">
        <v>0.4</v>
      </c>
      <c r="D296" s="69" t="s">
        <v>67</v>
      </c>
      <c r="E296" s="137" t="s">
        <v>87</v>
      </c>
      <c r="F296" s="156" t="s">
        <v>87</v>
      </c>
      <c r="G296" s="156">
        <v>6.4400000000000004E-4</v>
      </c>
      <c r="H296" s="156" t="s">
        <v>87</v>
      </c>
      <c r="I296" s="156">
        <v>2.428E-3</v>
      </c>
      <c r="J296" s="156" t="s">
        <v>87</v>
      </c>
      <c r="K296" s="156">
        <v>3.3500000000000001E-3</v>
      </c>
      <c r="L296" s="156">
        <v>4.3699999999999998E-3</v>
      </c>
      <c r="M296" s="156">
        <v>5.3410000000000003E-3</v>
      </c>
      <c r="N296" s="138" cm="1">
        <f t="array" aca="1" ref="N296:AE296" ca="1">IF(OR(B296="",NOT($J$2)),"",GetStripDefaultProbability(A296,B296,Parameter_Date,CDSRollDate,E296:M296,SpreadCurveMaturities,D296,C296,$J$4,$J$6))</f>
        <v>0</v>
      </c>
      <c r="O296" s="163">
        <f ca="1"/>
        <v>0</v>
      </c>
      <c r="P296" s="163">
        <f ca="1"/>
        <v>1.1805397135833395E-3</v>
      </c>
      <c r="Q296" s="163">
        <f ca="1"/>
        <v>0</v>
      </c>
      <c r="R296" s="163">
        <f ca="1"/>
        <v>1.2772129258601828E-2</v>
      </c>
      <c r="S296" s="163">
        <f ca="1"/>
        <v>0</v>
      </c>
      <c r="T296" s="163">
        <f ca="1"/>
        <v>2.9154488235373921E-2</v>
      </c>
      <c r="U296" s="163">
        <f ca="1"/>
        <v>5.3497825816157918E-2</v>
      </c>
      <c r="V296" s="139">
        <f ca="1"/>
        <v>9.3167573317429975E-2</v>
      </c>
      <c r="W296" s="138">
        <f ca="1"/>
        <v>0</v>
      </c>
      <c r="X296" s="163">
        <f ca="1"/>
        <v>0</v>
      </c>
      <c r="Y296" s="163">
        <f ca="1"/>
        <v>1.3469957518925657E-3</v>
      </c>
      <c r="Z296" s="163">
        <f ca="1"/>
        <v>0</v>
      </c>
      <c r="AA296" s="163">
        <f ca="1"/>
        <v>1.3398228453311734E-2</v>
      </c>
      <c r="AB296" s="163">
        <f ca="1"/>
        <v>0</v>
      </c>
      <c r="AC296" s="163">
        <f ca="1"/>
        <v>3.0584539205253392E-2</v>
      </c>
      <c r="AD296" s="163">
        <f ca="1"/>
        <v>5.61043079507485E-2</v>
      </c>
      <c r="AE296" s="139">
        <f ca="1"/>
        <v>9.7649543865474864E-2</v>
      </c>
      <c r="AI296" s="136">
        <v>1.1000000000000001E-3</v>
      </c>
      <c r="AK296" s="136">
        <v>1.2500000000000001E-2</v>
      </c>
      <c r="AM296" s="136">
        <v>2.8799999999999999E-2</v>
      </c>
      <c r="AN296" s="136">
        <v>5.2999999999999999E-2</v>
      </c>
      <c r="AO296" s="136">
        <v>9.2600000000000002E-2</v>
      </c>
      <c r="AR296" s="136">
        <v>1.2999999999999999E-3</v>
      </c>
      <c r="AT296" s="136">
        <v>1.3100000000000001E-2</v>
      </c>
      <c r="AV296" s="136">
        <v>3.0200000000000001E-2</v>
      </c>
      <c r="AW296" s="136">
        <v>5.5599999999999997E-2</v>
      </c>
      <c r="AX296" s="136">
        <v>9.7000000000000003E-2</v>
      </c>
    </row>
    <row r="297" spans="1:50" s="79" customFormat="1" ht="11.25">
      <c r="A297" s="96">
        <f t="shared" ca="1" si="6"/>
        <v>286</v>
      </c>
      <c r="B297" s="68" t="s">
        <v>366</v>
      </c>
      <c r="C297" s="97">
        <v>0.4</v>
      </c>
      <c r="D297" s="69" t="s">
        <v>67</v>
      </c>
      <c r="E297" s="137" t="s">
        <v>87</v>
      </c>
      <c r="F297" s="156" t="s">
        <v>87</v>
      </c>
      <c r="G297" s="156">
        <v>6.2399999999999999E-4</v>
      </c>
      <c r="H297" s="156" t="s">
        <v>87</v>
      </c>
      <c r="I297" s="156">
        <v>2.0999999999999999E-3</v>
      </c>
      <c r="J297" s="156" t="s">
        <v>87</v>
      </c>
      <c r="K297" s="156">
        <v>2.5999999999999999E-3</v>
      </c>
      <c r="L297" s="156">
        <v>3.5999999999999999E-3</v>
      </c>
      <c r="M297" s="156">
        <v>4.5999999999999999E-3</v>
      </c>
      <c r="N297" s="138" cm="1">
        <f t="array" aca="1" ref="N297:AE297" ca="1">IF(OR(B297="",NOT($J$2)),"",GetStripDefaultProbability(A297,B297,Parameter_Date,CDSRollDate,E297:M297,SpreadCurveMaturities,D297,C297,$J$4,$J$6))</f>
        <v>0</v>
      </c>
      <c r="O297" s="163">
        <f ca="1"/>
        <v>0</v>
      </c>
      <c r="P297" s="163">
        <f ca="1"/>
        <v>1.143897805667593E-3</v>
      </c>
      <c r="Q297" s="163">
        <f ca="1"/>
        <v>0</v>
      </c>
      <c r="R297" s="163">
        <f ca="1"/>
        <v>1.1044300156480502E-2</v>
      </c>
      <c r="S297" s="163">
        <f ca="1"/>
        <v>0</v>
      </c>
      <c r="T297" s="163">
        <f ca="1"/>
        <v>2.2542304475873132E-2</v>
      </c>
      <c r="U297" s="163">
        <f ca="1"/>
        <v>4.4322101484456922E-2</v>
      </c>
      <c r="V297" s="139">
        <f ca="1"/>
        <v>8.1292525911270896E-2</v>
      </c>
      <c r="W297" s="138">
        <f ca="1"/>
        <v>0</v>
      </c>
      <c r="X297" s="163">
        <f ca="1"/>
        <v>0</v>
      </c>
      <c r="Y297" s="163">
        <f ca="1"/>
        <v>1.3103599504562524E-3</v>
      </c>
      <c r="Z297" s="163">
        <f ca="1"/>
        <v>0</v>
      </c>
      <c r="AA297" s="163">
        <f ca="1"/>
        <v>1.158503321520099E-2</v>
      </c>
      <c r="AB297" s="163">
        <f ca="1"/>
        <v>0</v>
      </c>
      <c r="AC297" s="163">
        <f ca="1"/>
        <v>2.3649227878391188E-2</v>
      </c>
      <c r="AD297" s="163">
        <f ca="1"/>
        <v>4.6488631647532364E-2</v>
      </c>
      <c r="AE297" s="139">
        <f ca="1"/>
        <v>8.5202963429500067E-2</v>
      </c>
      <c r="AI297" s="136">
        <v>1.1000000000000001E-3</v>
      </c>
      <c r="AK297" s="136">
        <v>1.0800000000000001E-2</v>
      </c>
      <c r="AM297" s="136">
        <v>2.23E-2</v>
      </c>
      <c r="AN297" s="136">
        <v>4.3900000000000002E-2</v>
      </c>
      <c r="AO297" s="136">
        <v>8.0799999999999997E-2</v>
      </c>
      <c r="AR297" s="136">
        <v>1.2999999999999999E-3</v>
      </c>
      <c r="AT297" s="136">
        <v>1.14E-2</v>
      </c>
      <c r="AV297" s="136">
        <v>2.3400000000000001E-2</v>
      </c>
      <c r="AW297" s="136">
        <v>4.6100000000000002E-2</v>
      </c>
      <c r="AX297" s="136">
        <v>8.4699999999999998E-2</v>
      </c>
    </row>
    <row r="298" spans="1:50" s="79" customFormat="1" ht="11.25">
      <c r="A298" s="96">
        <f t="shared" ca="1" si="6"/>
        <v>287</v>
      </c>
      <c r="B298" s="68" t="s">
        <v>367</v>
      </c>
      <c r="C298" s="97">
        <v>0.4</v>
      </c>
      <c r="D298" s="69" t="s">
        <v>67</v>
      </c>
      <c r="E298" s="137" t="s">
        <v>87</v>
      </c>
      <c r="F298" s="156" t="s">
        <v>87</v>
      </c>
      <c r="G298" s="156">
        <v>1.1999999999999999E-3</v>
      </c>
      <c r="H298" s="156" t="s">
        <v>87</v>
      </c>
      <c r="I298" s="156">
        <v>2E-3</v>
      </c>
      <c r="J298" s="156" t="s">
        <v>87</v>
      </c>
      <c r="K298" s="156">
        <v>3.0000000000000001E-3</v>
      </c>
      <c r="L298" s="156">
        <v>4.0000000000000001E-3</v>
      </c>
      <c r="M298" s="156">
        <v>5.4999999999999997E-3</v>
      </c>
      <c r="N298" s="138" cm="1">
        <f t="array" aca="1" ref="N298:AE298" ca="1">IF(OR(B298="",NOT($J$2)),"",GetStripDefaultProbability(A298,B298,Parameter_Date,CDSRollDate,E298:M298,SpreadCurveMaturities,D298,C298,$J$4,$J$6))</f>
        <v>0</v>
      </c>
      <c r="O298" s="163">
        <f ca="1"/>
        <v>0</v>
      </c>
      <c r="P298" s="163">
        <f ca="1"/>
        <v>2.1986511638208972E-3</v>
      </c>
      <c r="Q298" s="163">
        <f ca="1"/>
        <v>0</v>
      </c>
      <c r="R298" s="163">
        <f ca="1"/>
        <v>1.0436720313543479E-2</v>
      </c>
      <c r="S298" s="163">
        <f ca="1"/>
        <v>0</v>
      </c>
      <c r="T298" s="163">
        <f ca="1"/>
        <v>2.6150400346450442E-2</v>
      </c>
      <c r="U298" s="163">
        <f ca="1"/>
        <v>4.9162311616328003E-2</v>
      </c>
      <c r="V298" s="139">
        <f ca="1"/>
        <v>9.7637630288307631E-2</v>
      </c>
      <c r="W298" s="138">
        <f ca="1"/>
        <v>0</v>
      </c>
      <c r="X298" s="163">
        <f ca="1"/>
        <v>0</v>
      </c>
      <c r="Y298" s="163">
        <f ca="1"/>
        <v>2.3649375310537124E-3</v>
      </c>
      <c r="Z298" s="163">
        <f ca="1"/>
        <v>0</v>
      </c>
      <c r="AA298" s="163">
        <f ca="1"/>
        <v>1.0951284602373379E-2</v>
      </c>
      <c r="AB298" s="163">
        <f ca="1"/>
        <v>0</v>
      </c>
      <c r="AC298" s="163">
        <f ca="1"/>
        <v>2.7437794045748864E-2</v>
      </c>
      <c r="AD298" s="163">
        <f ca="1"/>
        <v>5.1565996008987369E-2</v>
      </c>
      <c r="AE298" s="139">
        <f ca="1"/>
        <v>0.10234672015577728</v>
      </c>
      <c r="AI298" s="136">
        <v>2.0999999999999999E-3</v>
      </c>
      <c r="AK298" s="136">
        <v>1.0200000000000001E-2</v>
      </c>
      <c r="AM298" s="136">
        <v>2.5899999999999999E-2</v>
      </c>
      <c r="AN298" s="136">
        <v>4.87E-2</v>
      </c>
      <c r="AO298" s="136">
        <v>9.7000000000000003E-2</v>
      </c>
      <c r="AR298" s="136">
        <v>2.3E-3</v>
      </c>
      <c r="AT298" s="136">
        <v>1.0699999999999999E-2</v>
      </c>
      <c r="AV298" s="136">
        <v>2.7099999999999999E-2</v>
      </c>
      <c r="AW298" s="136">
        <v>5.11E-2</v>
      </c>
      <c r="AX298" s="136">
        <v>0.1017</v>
      </c>
    </row>
    <row r="299" spans="1:50" s="79" customFormat="1" ht="11.25">
      <c r="A299" s="96">
        <f t="shared" ca="1" si="6"/>
        <v>288</v>
      </c>
      <c r="B299" s="68" t="s">
        <v>368</v>
      </c>
      <c r="C299" s="97">
        <v>0.4</v>
      </c>
      <c r="D299" s="69" t="s">
        <v>67</v>
      </c>
      <c r="E299" s="137" t="s">
        <v>87</v>
      </c>
      <c r="F299" s="156" t="s">
        <v>87</v>
      </c>
      <c r="G299" s="156">
        <v>1.1999999999999999E-3</v>
      </c>
      <c r="H299" s="156" t="s">
        <v>87</v>
      </c>
      <c r="I299" s="156">
        <v>2E-3</v>
      </c>
      <c r="J299" s="156" t="s">
        <v>87</v>
      </c>
      <c r="K299" s="156">
        <v>3.0000000000000001E-3</v>
      </c>
      <c r="L299" s="156">
        <v>4.0000000000000001E-3</v>
      </c>
      <c r="M299" s="156">
        <v>5.4999999999999997E-3</v>
      </c>
      <c r="N299" s="138" cm="1">
        <f t="array" aca="1" ref="N299:AE299" ca="1">IF(OR(B299="",NOT($J$2)),"",GetStripDefaultProbability(A299,B299,Parameter_Date,CDSRollDate,E299:M299,SpreadCurveMaturities,D299,C299,$J$4,$J$6))</f>
        <v>0</v>
      </c>
      <c r="O299" s="163">
        <f ca="1"/>
        <v>0</v>
      </c>
      <c r="P299" s="163">
        <f ca="1"/>
        <v>2.1986511638208972E-3</v>
      </c>
      <c r="Q299" s="163">
        <f ca="1"/>
        <v>0</v>
      </c>
      <c r="R299" s="163">
        <f ca="1"/>
        <v>1.0436720313543479E-2</v>
      </c>
      <c r="S299" s="163">
        <f ca="1"/>
        <v>0</v>
      </c>
      <c r="T299" s="163">
        <f ca="1"/>
        <v>2.6150400346450442E-2</v>
      </c>
      <c r="U299" s="163">
        <f ca="1"/>
        <v>4.9162311616328003E-2</v>
      </c>
      <c r="V299" s="139">
        <f ca="1"/>
        <v>9.7637630288307631E-2</v>
      </c>
      <c r="W299" s="138">
        <f ca="1"/>
        <v>0</v>
      </c>
      <c r="X299" s="163">
        <f ca="1"/>
        <v>0</v>
      </c>
      <c r="Y299" s="163">
        <f ca="1"/>
        <v>2.3649375310537124E-3</v>
      </c>
      <c r="Z299" s="163">
        <f ca="1"/>
        <v>0</v>
      </c>
      <c r="AA299" s="163">
        <f ca="1"/>
        <v>1.0951284602373379E-2</v>
      </c>
      <c r="AB299" s="163">
        <f ca="1"/>
        <v>0</v>
      </c>
      <c r="AC299" s="163">
        <f ca="1"/>
        <v>2.7437794045748864E-2</v>
      </c>
      <c r="AD299" s="163">
        <f ca="1"/>
        <v>5.1565996008987369E-2</v>
      </c>
      <c r="AE299" s="139">
        <f ca="1"/>
        <v>0.10234672015577728</v>
      </c>
      <c r="AI299" s="136">
        <v>2.0999999999999999E-3</v>
      </c>
      <c r="AK299" s="136">
        <v>1.0200000000000001E-2</v>
      </c>
      <c r="AM299" s="136">
        <v>2.5899999999999999E-2</v>
      </c>
      <c r="AN299" s="136">
        <v>4.87E-2</v>
      </c>
      <c r="AO299" s="136">
        <v>9.7000000000000003E-2</v>
      </c>
      <c r="AR299" s="136">
        <v>2.3E-3</v>
      </c>
      <c r="AT299" s="136">
        <v>1.0699999999999999E-2</v>
      </c>
      <c r="AV299" s="136">
        <v>2.7099999999999999E-2</v>
      </c>
      <c r="AW299" s="136">
        <v>5.11E-2</v>
      </c>
      <c r="AX299" s="136">
        <v>0.1017</v>
      </c>
    </row>
    <row r="300" spans="1:50" s="79" customFormat="1" ht="11.25">
      <c r="A300" s="96">
        <f t="shared" ca="1" si="6"/>
        <v>289</v>
      </c>
      <c r="B300" s="68" t="s">
        <v>369</v>
      </c>
      <c r="C300" s="97">
        <v>0.4</v>
      </c>
      <c r="D300" s="69" t="s">
        <v>67</v>
      </c>
      <c r="E300" s="137" t="s">
        <v>87</v>
      </c>
      <c r="F300" s="156" t="s">
        <v>87</v>
      </c>
      <c r="G300" s="156">
        <v>4.8799999999999999E-4</v>
      </c>
      <c r="H300" s="156" t="s">
        <v>87</v>
      </c>
      <c r="I300" s="156">
        <v>1.9499999999999999E-3</v>
      </c>
      <c r="J300" s="156" t="s">
        <v>87</v>
      </c>
      <c r="K300" s="156">
        <v>2.65E-3</v>
      </c>
      <c r="L300" s="156">
        <v>3.5500000000000002E-3</v>
      </c>
      <c r="M300" s="156">
        <v>4.5500000000000002E-3</v>
      </c>
      <c r="N300" s="138" cm="1">
        <f t="array" aca="1" ref="N300:AE300" ca="1">IF(OR(B300="",NOT($J$2)),"",GetStripDefaultProbability(A300,B300,Parameter_Date,CDSRollDate,E300:M300,SpreadCurveMaturities,D300,C300,$J$4,$J$6))</f>
        <v>0</v>
      </c>
      <c r="O300" s="163">
        <f ca="1"/>
        <v>0</v>
      </c>
      <c r="P300" s="163">
        <f ca="1"/>
        <v>8.9469746008152828E-4</v>
      </c>
      <c r="Q300" s="163">
        <f ca="1"/>
        <v>0</v>
      </c>
      <c r="R300" s="163">
        <f ca="1"/>
        <v>1.0270996239597929E-2</v>
      </c>
      <c r="S300" s="163">
        <f ca="1"/>
        <v>0</v>
      </c>
      <c r="T300" s="163">
        <f ca="1"/>
        <v>2.3101195968857846E-2</v>
      </c>
      <c r="U300" s="163">
        <f ca="1"/>
        <v>4.3710821095540586E-2</v>
      </c>
      <c r="V300" s="139">
        <f ca="1"/>
        <v>8.0465207552436024E-2</v>
      </c>
      <c r="W300" s="138">
        <f ca="1"/>
        <v>0</v>
      </c>
      <c r="X300" s="163">
        <f ca="1"/>
        <v>0</v>
      </c>
      <c r="Y300" s="163">
        <f ca="1"/>
        <v>1.0612011348334338E-3</v>
      </c>
      <c r="Z300" s="163">
        <f ca="1"/>
        <v>0</v>
      </c>
      <c r="AA300" s="163">
        <f ca="1"/>
        <v>1.0785821760655789E-2</v>
      </c>
      <c r="AB300" s="163">
        <f ca="1"/>
        <v>0</v>
      </c>
      <c r="AC300" s="163">
        <f ca="1"/>
        <v>2.4233429375591919E-2</v>
      </c>
      <c r="AD300" s="163">
        <f ca="1"/>
        <v>4.5845913197640753E-2</v>
      </c>
      <c r="AE300" s="139">
        <f ca="1"/>
        <v>8.4334884318509662E-2</v>
      </c>
      <c r="AI300" s="136">
        <v>8.0000000000000004E-4</v>
      </c>
      <c r="AK300" s="136">
        <v>1.01E-2</v>
      </c>
      <c r="AM300" s="136">
        <v>2.2800000000000001E-2</v>
      </c>
      <c r="AN300" s="136">
        <v>4.3299999999999998E-2</v>
      </c>
      <c r="AO300" s="136">
        <v>0.08</v>
      </c>
      <c r="AR300" s="136">
        <v>1E-3</v>
      </c>
      <c r="AT300" s="136">
        <v>1.06E-2</v>
      </c>
      <c r="AV300" s="136">
        <v>2.4E-2</v>
      </c>
      <c r="AW300" s="136">
        <v>4.5499999999999999E-2</v>
      </c>
      <c r="AX300" s="136">
        <v>8.3799999999999999E-2</v>
      </c>
    </row>
    <row r="301" spans="1:50" s="79" customFormat="1" ht="11.25">
      <c r="A301" s="96">
        <f t="shared" ca="1" si="6"/>
        <v>290</v>
      </c>
      <c r="B301" s="68" t="s">
        <v>370</v>
      </c>
      <c r="C301" s="97">
        <v>0.4</v>
      </c>
      <c r="D301" s="69" t="s">
        <v>67</v>
      </c>
      <c r="E301" s="137" t="s">
        <v>87</v>
      </c>
      <c r="F301" s="156" t="s">
        <v>87</v>
      </c>
      <c r="G301" s="156">
        <v>7.2199999999999999E-4</v>
      </c>
      <c r="H301" s="156" t="s">
        <v>87</v>
      </c>
      <c r="I301" s="156">
        <v>1.7849999999999999E-3</v>
      </c>
      <c r="J301" s="156" t="s">
        <v>87</v>
      </c>
      <c r="K301" s="156">
        <v>2.5500000000000002E-3</v>
      </c>
      <c r="L301" s="156">
        <v>3.4719999999999998E-3</v>
      </c>
      <c r="M301" s="156">
        <v>4.3400000000000001E-3</v>
      </c>
      <c r="N301" s="138" cm="1">
        <f t="array" aca="1" ref="N301:AE301" ca="1">IF(OR(B301="",NOT($J$2)),"",GetStripDefaultProbability(A301,B301,Parameter_Date,CDSRollDate,E301:M301,SpreadCurveMaturities,D301,C301,$J$4,$J$6))</f>
        <v>0</v>
      </c>
      <c r="O301" s="163">
        <f ca="1"/>
        <v>0</v>
      </c>
      <c r="P301" s="163">
        <f ca="1"/>
        <v>1.3234304130260721E-3</v>
      </c>
      <c r="Q301" s="163">
        <f ca="1"/>
        <v>0</v>
      </c>
      <c r="R301" s="163">
        <f ca="1"/>
        <v>9.3670516218719024E-3</v>
      </c>
      <c r="S301" s="163">
        <f ca="1"/>
        <v>0</v>
      </c>
      <c r="T301" s="163">
        <f ca="1"/>
        <v>2.2253466384818288E-2</v>
      </c>
      <c r="U301" s="163">
        <f ca="1"/>
        <v>4.2845812931493921E-2</v>
      </c>
      <c r="V301" s="139">
        <f ca="1"/>
        <v>7.6652074706591411E-2</v>
      </c>
      <c r="W301" s="138">
        <f ca="1"/>
        <v>0</v>
      </c>
      <c r="X301" s="163">
        <f ca="1"/>
        <v>0</v>
      </c>
      <c r="Y301" s="163">
        <f ca="1"/>
        <v>1.4898626382069402E-3</v>
      </c>
      <c r="Z301" s="163">
        <f ca="1"/>
        <v>0</v>
      </c>
      <c r="AA301" s="163">
        <f ca="1"/>
        <v>9.8823248599735347E-3</v>
      </c>
      <c r="AB301" s="163">
        <f ca="1"/>
        <v>0</v>
      </c>
      <c r="AC301" s="163">
        <f ca="1"/>
        <v>2.3341091616957965E-2</v>
      </c>
      <c r="AD301" s="163">
        <f ca="1"/>
        <v>4.493642437215728E-2</v>
      </c>
      <c r="AE301" s="139">
        <f ca="1"/>
        <v>8.0341462826250098E-2</v>
      </c>
      <c r="AI301" s="136">
        <v>1.2999999999999999E-3</v>
      </c>
      <c r="AK301" s="136">
        <v>9.1999999999999998E-3</v>
      </c>
      <c r="AM301" s="136">
        <v>2.1999999999999999E-2</v>
      </c>
      <c r="AN301" s="136">
        <v>4.2500000000000003E-2</v>
      </c>
      <c r="AO301" s="136">
        <v>7.6200000000000004E-2</v>
      </c>
      <c r="AR301" s="136">
        <v>1.4E-3</v>
      </c>
      <c r="AT301" s="136">
        <v>9.7000000000000003E-3</v>
      </c>
      <c r="AV301" s="136">
        <v>2.3099999999999999E-2</v>
      </c>
      <c r="AW301" s="136">
        <v>4.4600000000000001E-2</v>
      </c>
      <c r="AX301" s="136">
        <v>7.9799999999999996E-2</v>
      </c>
    </row>
    <row r="302" spans="1:50" s="79" customFormat="1" ht="11.25">
      <c r="A302" s="96">
        <f t="shared" ca="1" si="6"/>
        <v>291</v>
      </c>
      <c r="B302" s="68" t="s">
        <v>371</v>
      </c>
      <c r="C302" s="97">
        <v>0.4</v>
      </c>
      <c r="D302" s="69" t="s">
        <v>66</v>
      </c>
      <c r="E302" s="137" t="s">
        <v>87</v>
      </c>
      <c r="F302" s="156">
        <v>5.9999999999999995E-4</v>
      </c>
      <c r="G302" s="156">
        <v>5.9999999999999995E-4</v>
      </c>
      <c r="H302" s="156">
        <v>1.1999999999999999E-3</v>
      </c>
      <c r="I302" s="156">
        <v>1.8E-3</v>
      </c>
      <c r="J302" s="156" t="s">
        <v>87</v>
      </c>
      <c r="K302" s="156">
        <v>2.8999999999999998E-3</v>
      </c>
      <c r="L302" s="156">
        <v>3.5000000000000001E-3</v>
      </c>
      <c r="M302" s="156">
        <v>4.4999999999999997E-3</v>
      </c>
      <c r="N302" s="138" cm="1">
        <f t="array" aca="1" ref="N302:AE302" ca="1">IF(OR(B302="",NOT($J$2)),"",GetStripDefaultProbability(A302,B302,Parameter_Date,CDSRollDate,E302:M302,SpreadCurveMaturities,D302,C302,$J$4,$J$6))</f>
        <v>0</v>
      </c>
      <c r="O302" s="163">
        <f ca="1"/>
        <v>5.9844205622783253E-4</v>
      </c>
      <c r="P302" s="163">
        <f ca="1"/>
        <v>1.0999062039814822E-3</v>
      </c>
      <c r="Q302" s="163">
        <f ca="1"/>
        <v>4.2599503670486261E-3</v>
      </c>
      <c r="R302" s="163">
        <f ca="1"/>
        <v>9.5104770634563129E-3</v>
      </c>
      <c r="S302" s="163">
        <f ca="1"/>
        <v>0</v>
      </c>
      <c r="T302" s="163">
        <f ca="1"/>
        <v>2.5446049839163543E-2</v>
      </c>
      <c r="U302" s="163">
        <f ca="1"/>
        <v>4.2749455957680871E-2</v>
      </c>
      <c r="V302" s="139">
        <f ca="1"/>
        <v>7.8837501613716943E-2</v>
      </c>
      <c r="W302" s="138">
        <f ca="1"/>
        <v>0</v>
      </c>
      <c r="X302" s="163">
        <f ca="1"/>
        <v>6.9814675354706868E-4</v>
      </c>
      <c r="Y302" s="163">
        <f ca="1"/>
        <v>1.266375680099352E-3</v>
      </c>
      <c r="Z302" s="163">
        <f ca="1"/>
        <v>4.6103725051148681E-3</v>
      </c>
      <c r="AA302" s="163">
        <f ca="1"/>
        <v>1.0025761522608589E-2</v>
      </c>
      <c r="AB302" s="163">
        <f ca="1"/>
        <v>0</v>
      </c>
      <c r="AC302" s="163">
        <f ca="1"/>
        <v>2.6687593385317232E-2</v>
      </c>
      <c r="AD302" s="163">
        <f ca="1"/>
        <v>4.483220099426366E-2</v>
      </c>
      <c r="AE302" s="139">
        <f ca="1"/>
        <v>8.2625209095644192E-2</v>
      </c>
      <c r="AH302" s="136">
        <v>5.0000000000000001E-4</v>
      </c>
      <c r="AI302" s="136">
        <v>1E-3</v>
      </c>
      <c r="AJ302" s="136">
        <v>4.1000000000000003E-3</v>
      </c>
      <c r="AK302" s="136">
        <v>9.2999999999999992E-3</v>
      </c>
      <c r="AM302" s="136">
        <v>2.52E-2</v>
      </c>
      <c r="AN302" s="136">
        <v>4.24E-2</v>
      </c>
      <c r="AO302" s="136">
        <v>7.8399999999999997E-2</v>
      </c>
      <c r="AQ302" s="136">
        <v>5.9999999999999995E-4</v>
      </c>
      <c r="AR302" s="136">
        <v>1.1999999999999999E-3</v>
      </c>
      <c r="AS302" s="136">
        <v>4.4999999999999997E-3</v>
      </c>
      <c r="AT302" s="136">
        <v>9.7999999999999997E-3</v>
      </c>
      <c r="AV302" s="136">
        <v>2.64E-2</v>
      </c>
      <c r="AW302" s="136">
        <v>4.4499999999999998E-2</v>
      </c>
      <c r="AX302" s="136">
        <v>8.2100000000000006E-2</v>
      </c>
    </row>
    <row r="303" spans="1:50" s="79" customFormat="1" ht="11.25">
      <c r="A303" s="96">
        <f t="shared" ca="1" si="6"/>
        <v>292</v>
      </c>
      <c r="B303" s="68" t="s">
        <v>372</v>
      </c>
      <c r="C303" s="97">
        <v>0.4</v>
      </c>
      <c r="D303" s="69" t="s">
        <v>67</v>
      </c>
      <c r="E303" s="137" t="s">
        <v>87</v>
      </c>
      <c r="F303" s="156" t="s">
        <v>87</v>
      </c>
      <c r="G303" s="156">
        <v>6.5200000000000002E-4</v>
      </c>
      <c r="H303" s="156" t="s">
        <v>87</v>
      </c>
      <c r="I303" s="156">
        <v>1.8649999999999999E-3</v>
      </c>
      <c r="J303" s="156" t="s">
        <v>87</v>
      </c>
      <c r="K303" s="156">
        <v>2.7000000000000001E-3</v>
      </c>
      <c r="L303" s="156">
        <v>3.3869999999999998E-3</v>
      </c>
      <c r="M303" s="156">
        <v>4.0249999999999999E-3</v>
      </c>
      <c r="N303" s="138" cm="1">
        <f t="array" aca="1" ref="N303:AE303" ca="1">IF(OR(B303="",NOT($J$2)),"",GetStripDefaultProbability(A303,B303,Parameter_Date,CDSRollDate,E303:M303,SpreadCurveMaturities,D303,C303,$J$4,$J$6))</f>
        <v>0</v>
      </c>
      <c r="O303" s="163">
        <f ca="1"/>
        <v>0</v>
      </c>
      <c r="P303" s="163">
        <f ca="1"/>
        <v>1.1951961033497271E-3</v>
      </c>
      <c r="Q303" s="163">
        <f ca="1"/>
        <v>0</v>
      </c>
      <c r="R303" s="163">
        <f ca="1"/>
        <v>9.799361860734157E-3</v>
      </c>
      <c r="S303" s="163">
        <f ca="1"/>
        <v>0</v>
      </c>
      <c r="T303" s="163">
        <f ca="1"/>
        <v>2.3581114975868234E-2</v>
      </c>
      <c r="U303" s="163">
        <f ca="1"/>
        <v>4.1518414394869363E-2</v>
      </c>
      <c r="V303" s="139">
        <f ca="1"/>
        <v>7.0397869330285801E-2</v>
      </c>
      <c r="W303" s="138">
        <f ca="1"/>
        <v>0</v>
      </c>
      <c r="X303" s="163">
        <f ca="1"/>
        <v>0</v>
      </c>
      <c r="Y303" s="163">
        <f ca="1"/>
        <v>1.3616496991472049E-3</v>
      </c>
      <c r="Z303" s="163">
        <f ca="1"/>
        <v>0</v>
      </c>
      <c r="AA303" s="163">
        <f ca="1"/>
        <v>1.0314414609380984E-2</v>
      </c>
      <c r="AB303" s="163">
        <f ca="1"/>
        <v>0</v>
      </c>
      <c r="AC303" s="163">
        <f ca="1"/>
        <v>2.473557503401036E-2</v>
      </c>
      <c r="AD303" s="163">
        <f ca="1"/>
        <v>4.3545976544788423E-2</v>
      </c>
      <c r="AE303" s="139">
        <f ca="1"/>
        <v>7.3793512830708896E-2</v>
      </c>
      <c r="AI303" s="136">
        <v>1.1000000000000001E-3</v>
      </c>
      <c r="AK303" s="136">
        <v>9.5999999999999992E-3</v>
      </c>
      <c r="AM303" s="136">
        <v>2.3300000000000001E-2</v>
      </c>
      <c r="AN303" s="136">
        <v>4.1200000000000001E-2</v>
      </c>
      <c r="AO303" s="136">
        <v>7.0000000000000007E-2</v>
      </c>
      <c r="AR303" s="136">
        <v>1.2999999999999999E-3</v>
      </c>
      <c r="AT303" s="136">
        <v>1.01E-2</v>
      </c>
      <c r="AV303" s="136">
        <v>2.4500000000000001E-2</v>
      </c>
      <c r="AW303" s="136">
        <v>4.3200000000000002E-2</v>
      </c>
      <c r="AX303" s="136">
        <v>7.3300000000000004E-2</v>
      </c>
    </row>
    <row r="304" spans="1:50" s="79" customFormat="1" ht="11.25">
      <c r="A304" s="96">
        <f t="shared" ca="1" si="6"/>
        <v>293</v>
      </c>
      <c r="B304" s="68" t="s">
        <v>373</v>
      </c>
      <c r="C304" s="97">
        <v>0.4</v>
      </c>
      <c r="D304" s="69" t="s">
        <v>66</v>
      </c>
      <c r="E304" s="137" t="s">
        <v>87</v>
      </c>
      <c r="F304" s="156">
        <v>5.0000000000000001E-4</v>
      </c>
      <c r="G304" s="156">
        <v>5.0000000000000001E-4</v>
      </c>
      <c r="H304" s="156">
        <v>1E-3</v>
      </c>
      <c r="I304" s="156">
        <v>1.5E-3</v>
      </c>
      <c r="J304" s="156" t="s">
        <v>87</v>
      </c>
      <c r="K304" s="156">
        <v>2.5999999999999999E-3</v>
      </c>
      <c r="L304" s="156">
        <v>3.3E-3</v>
      </c>
      <c r="M304" s="156">
        <v>4.0000000000000001E-3</v>
      </c>
      <c r="N304" s="138" cm="1">
        <f t="array" aca="1" ref="N304:AE304" ca="1">IF(OR(B304="",NOT($J$2)),"",GetStripDefaultProbability(A304,B304,Parameter_Date,CDSRollDate,E304:M304,SpreadCurveMaturities,D304,C304,$J$4,$J$6))</f>
        <v>0</v>
      </c>
      <c r="O304" s="163">
        <f ca="1"/>
        <v>4.9872651070981266E-4</v>
      </c>
      <c r="P304" s="163">
        <f ca="1"/>
        <v>9.1667256579530676E-4</v>
      </c>
      <c r="Q304" s="163">
        <f ca="1"/>
        <v>3.550876104413736E-3</v>
      </c>
      <c r="R304" s="163">
        <f ca="1"/>
        <v>7.9296765319296636E-3</v>
      </c>
      <c r="S304" s="163">
        <f ca="1"/>
        <v>0</v>
      </c>
      <c r="T304" s="163">
        <f ca="1"/>
        <v>2.2895580793910741E-2</v>
      </c>
      <c r="U304" s="163">
        <f ca="1"/>
        <v>4.0576423954132856E-2</v>
      </c>
      <c r="V304" s="139">
        <f ca="1"/>
        <v>6.9989082306155637E-2</v>
      </c>
      <c r="W304" s="138">
        <f ca="1"/>
        <v>0</v>
      </c>
      <c r="X304" s="163">
        <f ca="1"/>
        <v>5.9844139207421154E-4</v>
      </c>
      <c r="Y304" s="163">
        <f ca="1"/>
        <v>1.0831725783114754E-3</v>
      </c>
      <c r="Z304" s="163">
        <f ca="1"/>
        <v>3.901521012269149E-3</v>
      </c>
      <c r="AA304" s="163">
        <f ca="1"/>
        <v>8.4456764198472811E-3</v>
      </c>
      <c r="AB304" s="163">
        <f ca="1"/>
        <v>0</v>
      </c>
      <c r="AC304" s="163">
        <f ca="1"/>
        <v>2.4004438504332426E-2</v>
      </c>
      <c r="AD304" s="163">
        <f ca="1"/>
        <v>4.2547210298810922E-2</v>
      </c>
      <c r="AE304" s="139">
        <f ca="1"/>
        <v>7.3355963541396618E-2</v>
      </c>
      <c r="AH304" s="136">
        <v>5.0000000000000001E-4</v>
      </c>
      <c r="AI304" s="136">
        <v>8.9999999999999998E-4</v>
      </c>
      <c r="AJ304" s="136">
        <v>3.5000000000000001E-3</v>
      </c>
      <c r="AK304" s="136">
        <v>7.7999999999999996E-3</v>
      </c>
      <c r="AM304" s="136">
        <v>2.2599999999999999E-2</v>
      </c>
      <c r="AN304" s="136">
        <v>4.02E-2</v>
      </c>
      <c r="AO304" s="136">
        <v>6.9599999999999995E-2</v>
      </c>
      <c r="AQ304" s="136">
        <v>5.0000000000000001E-4</v>
      </c>
      <c r="AR304" s="136">
        <v>1E-3</v>
      </c>
      <c r="AS304" s="136">
        <v>3.8E-3</v>
      </c>
      <c r="AT304" s="136">
        <v>8.3000000000000001E-3</v>
      </c>
      <c r="AV304" s="136">
        <v>2.3699999999999999E-2</v>
      </c>
      <c r="AW304" s="136">
        <v>4.2200000000000001E-2</v>
      </c>
      <c r="AX304" s="136">
        <v>7.2900000000000006E-2</v>
      </c>
    </row>
    <row r="305" spans="1:50" s="79" customFormat="1" ht="11.25">
      <c r="A305" s="96">
        <f t="shared" ca="1" si="6"/>
        <v>294</v>
      </c>
      <c r="B305" s="68" t="s">
        <v>150</v>
      </c>
      <c r="C305" s="97">
        <v>0.4</v>
      </c>
      <c r="D305" s="69" t="s">
        <v>66</v>
      </c>
      <c r="E305" s="137" t="s">
        <v>87</v>
      </c>
      <c r="F305" s="156">
        <v>4.0000000000000002E-4</v>
      </c>
      <c r="G305" s="156">
        <v>5.9999999999999995E-4</v>
      </c>
      <c r="H305" s="156">
        <v>1.1000000000000001E-3</v>
      </c>
      <c r="I305" s="156">
        <v>1.4E-3</v>
      </c>
      <c r="J305" s="156" t="s">
        <v>87</v>
      </c>
      <c r="K305" s="156">
        <v>2.3999999999999998E-3</v>
      </c>
      <c r="L305" s="156">
        <v>3.2000000000000002E-3</v>
      </c>
      <c r="M305" s="156">
        <v>4.1000000000000003E-3</v>
      </c>
      <c r="N305" s="138" cm="1">
        <f t="array" aca="1" ref="N305:AE305" ca="1">IF(OR(B305="",NOT($J$2)),"",GetStripDefaultProbability(A305,B305,Parameter_Date,CDSRollDate,E305:M305,SpreadCurveMaturities,D305,C305,$J$4,$J$6))</f>
        <v>0</v>
      </c>
      <c r="O305" s="163">
        <f ca="1"/>
        <v>3.9900104827061966E-4</v>
      </c>
      <c r="P305" s="163">
        <f ca="1"/>
        <v>1.1049878534659108E-3</v>
      </c>
      <c r="Q305" s="163">
        <f ca="1"/>
        <v>3.9061410518371753E-3</v>
      </c>
      <c r="R305" s="163">
        <f ca="1"/>
        <v>7.3679142559065491E-3</v>
      </c>
      <c r="S305" s="163">
        <f ca="1"/>
        <v>0</v>
      </c>
      <c r="T305" s="163">
        <f ca="1"/>
        <v>2.1102789733880356E-2</v>
      </c>
      <c r="U305" s="163">
        <f ca="1"/>
        <v>3.9470699320086511E-2</v>
      </c>
      <c r="V305" s="139">
        <f ca="1"/>
        <v>7.2314824112811205E-2</v>
      </c>
      <c r="W305" s="138">
        <f ca="1"/>
        <v>0</v>
      </c>
      <c r="X305" s="163">
        <f ca="1"/>
        <v>4.9872606913303752E-4</v>
      </c>
      <c r="Y305" s="163">
        <f ca="1"/>
        <v>1.2714564827104313E-3</v>
      </c>
      <c r="Z305" s="163">
        <f ca="1"/>
        <v>4.2566790699356538E-3</v>
      </c>
      <c r="AA305" s="163">
        <f ca="1"/>
        <v>7.8840538246789382E-3</v>
      </c>
      <c r="AB305" s="163">
        <f ca="1"/>
        <v>0</v>
      </c>
      <c r="AC305" s="163">
        <f ca="1"/>
        <v>2.2122744204687184E-2</v>
      </c>
      <c r="AD305" s="163">
        <f ca="1"/>
        <v>4.1387381274566537E-2</v>
      </c>
      <c r="AE305" s="139">
        <f ca="1"/>
        <v>7.5792148326529474E-2</v>
      </c>
      <c r="AH305" s="136">
        <v>4.0000000000000002E-4</v>
      </c>
      <c r="AI305" s="136">
        <v>1E-3</v>
      </c>
      <c r="AJ305" s="136">
        <v>3.8E-3</v>
      </c>
      <c r="AK305" s="136">
        <v>7.1999999999999998E-3</v>
      </c>
      <c r="AM305" s="136">
        <v>2.0899999999999998E-2</v>
      </c>
      <c r="AN305" s="136">
        <v>3.9100000000000003E-2</v>
      </c>
      <c r="AO305" s="136">
        <v>7.1900000000000006E-2</v>
      </c>
      <c r="AQ305" s="136">
        <v>4.0000000000000002E-4</v>
      </c>
      <c r="AR305" s="136">
        <v>1.1999999999999999E-3</v>
      </c>
      <c r="AS305" s="136">
        <v>4.1000000000000003E-3</v>
      </c>
      <c r="AT305" s="136">
        <v>7.7000000000000002E-3</v>
      </c>
      <c r="AV305" s="136">
        <v>2.1899999999999999E-2</v>
      </c>
      <c r="AW305" s="136">
        <v>4.1000000000000002E-2</v>
      </c>
      <c r="AX305" s="136">
        <v>7.5300000000000006E-2</v>
      </c>
    </row>
    <row r="306" spans="1:50" s="79" customFormat="1" ht="11.25">
      <c r="A306" s="96">
        <f t="shared" ca="1" si="6"/>
        <v>295</v>
      </c>
      <c r="B306" s="68" t="s">
        <v>374</v>
      </c>
      <c r="C306" s="97">
        <v>0.4</v>
      </c>
      <c r="D306" s="69" t="s">
        <v>67</v>
      </c>
      <c r="E306" s="137" t="s">
        <v>87</v>
      </c>
      <c r="F306" s="156" t="s">
        <v>87</v>
      </c>
      <c r="G306" s="156">
        <v>3.8699999999999997E-4</v>
      </c>
      <c r="H306" s="156" t="s">
        <v>87</v>
      </c>
      <c r="I306" s="156">
        <v>1.2999999999999999E-3</v>
      </c>
      <c r="J306" s="156" t="s">
        <v>87</v>
      </c>
      <c r="K306" s="156">
        <v>2E-3</v>
      </c>
      <c r="L306" s="156">
        <v>3.0999999999999999E-3</v>
      </c>
      <c r="M306" s="156">
        <v>3.5999999999999999E-3</v>
      </c>
      <c r="N306" s="138" cm="1">
        <f t="array" aca="1" ref="N306:AE306" ca="1">IF(OR(B306="",NOT($J$2)),"",GetStripDefaultProbability(A306,B306,Parameter_Date,CDSRollDate,E306:M306,SpreadCurveMaturities,D306,C306,$J$4,$J$6))</f>
        <v>0</v>
      </c>
      <c r="O306" s="163">
        <f ca="1"/>
        <v>0</v>
      </c>
      <c r="P306" s="163">
        <f ca="1"/>
        <v>7.0958963894085514E-4</v>
      </c>
      <c r="Q306" s="163">
        <f ca="1"/>
        <v>0</v>
      </c>
      <c r="R306" s="163">
        <f ca="1"/>
        <v>6.8473776844036882E-3</v>
      </c>
      <c r="S306" s="163">
        <f ca="1"/>
        <v>0</v>
      </c>
      <c r="T306" s="163">
        <f ca="1"/>
        <v>1.7565506439536804E-2</v>
      </c>
      <c r="U306" s="163">
        <f ca="1"/>
        <v>3.8818285925250273E-2</v>
      </c>
      <c r="V306" s="139">
        <f ca="1"/>
        <v>6.3676935307432569E-2</v>
      </c>
      <c r="W306" s="138">
        <f ca="1"/>
        <v>0</v>
      </c>
      <c r="X306" s="163">
        <f ca="1"/>
        <v>0</v>
      </c>
      <c r="Y306" s="163">
        <f ca="1"/>
        <v>8.7612416238624924E-4</v>
      </c>
      <c r="Z306" s="163">
        <f ca="1"/>
        <v>0</v>
      </c>
      <c r="AA306" s="163">
        <f ca="1"/>
        <v>7.3640814631087403E-3</v>
      </c>
      <c r="AB306" s="163">
        <f ca="1"/>
        <v>0</v>
      </c>
      <c r="AC306" s="163">
        <f ca="1"/>
        <v>1.8407512063988496E-2</v>
      </c>
      <c r="AD306" s="163">
        <f ca="1"/>
        <v>4.0699720925333804E-2</v>
      </c>
      <c r="AE306" s="139">
        <f ca="1"/>
        <v>6.6743865695489957E-2</v>
      </c>
      <c r="AI306" s="136">
        <v>6.9999999999999999E-4</v>
      </c>
      <c r="AK306" s="136">
        <v>6.7000000000000002E-3</v>
      </c>
      <c r="AM306" s="136">
        <v>1.7399999999999999E-2</v>
      </c>
      <c r="AN306" s="136">
        <v>3.85E-2</v>
      </c>
      <c r="AO306" s="136">
        <v>6.3299999999999995E-2</v>
      </c>
      <c r="AR306" s="136">
        <v>8.0000000000000004E-4</v>
      </c>
      <c r="AT306" s="136">
        <v>7.1999999999999998E-3</v>
      </c>
      <c r="AV306" s="136">
        <v>1.8200000000000001E-2</v>
      </c>
      <c r="AW306" s="136">
        <v>4.0300000000000002E-2</v>
      </c>
      <c r="AX306" s="136">
        <v>6.6299999999999998E-2</v>
      </c>
    </row>
    <row r="307" spans="1:50" s="79" customFormat="1" ht="11.25">
      <c r="A307" s="96">
        <f t="shared" ca="1" si="6"/>
        <v>296</v>
      </c>
      <c r="B307" s="68" t="s">
        <v>186</v>
      </c>
      <c r="C307" s="97">
        <v>0.4</v>
      </c>
      <c r="D307" s="69" t="s">
        <v>66</v>
      </c>
      <c r="E307" s="137" t="s">
        <v>87</v>
      </c>
      <c r="F307" s="156">
        <v>4.0000000000000002E-4</v>
      </c>
      <c r="G307" s="156">
        <v>8.9999999999999998E-4</v>
      </c>
      <c r="H307" s="156">
        <v>1.4E-3</v>
      </c>
      <c r="I307" s="156">
        <v>1.6999999999999999E-3</v>
      </c>
      <c r="J307" s="156" t="s">
        <v>87</v>
      </c>
      <c r="K307" s="156">
        <v>2.5000000000000001E-3</v>
      </c>
      <c r="L307" s="156">
        <v>2.8999999999999998E-3</v>
      </c>
      <c r="M307" s="156">
        <v>3.3999999999999998E-3</v>
      </c>
      <c r="N307" s="138" cm="1">
        <f t="array" aca="1" ref="N307:AE307" ca="1">IF(OR(B307="",NOT($J$2)),"",GetStripDefaultProbability(A307,B307,Parameter_Date,CDSRollDate,E307:M307,SpreadCurveMaturities,D307,C307,$J$4,$J$6))</f>
        <v>0</v>
      </c>
      <c r="O307" s="163">
        <f ca="1"/>
        <v>3.9900104827061966E-4</v>
      </c>
      <c r="P307" s="163">
        <f ca="1"/>
        <v>1.6622452761001494E-3</v>
      </c>
      <c r="Q307" s="163">
        <f ca="1"/>
        <v>4.9635767122303553E-3</v>
      </c>
      <c r="R307" s="163">
        <f ca="1"/>
        <v>8.9218134945693306E-3</v>
      </c>
      <c r="S307" s="163">
        <f ca="1"/>
        <v>0</v>
      </c>
      <c r="T307" s="163">
        <f ca="1"/>
        <v>2.1819167223315561E-2</v>
      </c>
      <c r="U307" s="163">
        <f ca="1"/>
        <v>3.5249282679540306E-2</v>
      </c>
      <c r="V307" s="139">
        <f ca="1"/>
        <v>5.8987670992882268E-2</v>
      </c>
      <c r="W307" s="138">
        <f ca="1"/>
        <v>0</v>
      </c>
      <c r="X307" s="163">
        <f ca="1"/>
        <v>4.9872606913303752E-4</v>
      </c>
      <c r="Y307" s="163">
        <f ca="1"/>
        <v>1.828621036846334E-3</v>
      </c>
      <c r="Z307" s="163">
        <f ca="1"/>
        <v>5.3137665251158372E-3</v>
      </c>
      <c r="AA307" s="163">
        <f ca="1"/>
        <v>9.4371669478802156E-3</v>
      </c>
      <c r="AB307" s="163">
        <f ca="1"/>
        <v>0</v>
      </c>
      <c r="AC307" s="163">
        <f ca="1"/>
        <v>2.2883235806730795E-2</v>
      </c>
      <c r="AD307" s="163">
        <f ca="1"/>
        <v>3.6968634785527921E-2</v>
      </c>
      <c r="AE307" s="139">
        <f ca="1"/>
        <v>6.184089020757555E-2</v>
      </c>
      <c r="AH307" s="136">
        <v>4.0000000000000002E-4</v>
      </c>
      <c r="AI307" s="136">
        <v>1.6000000000000001E-3</v>
      </c>
      <c r="AJ307" s="136">
        <v>4.7999999999999996E-3</v>
      </c>
      <c r="AK307" s="136">
        <v>8.8000000000000005E-3</v>
      </c>
      <c r="AM307" s="136">
        <v>2.1600000000000001E-2</v>
      </c>
      <c r="AN307" s="136">
        <v>3.5000000000000003E-2</v>
      </c>
      <c r="AO307" s="136">
        <v>5.8599999999999999E-2</v>
      </c>
      <c r="AQ307" s="136">
        <v>4.0000000000000002E-4</v>
      </c>
      <c r="AR307" s="136">
        <v>1.6999999999999999E-3</v>
      </c>
      <c r="AS307" s="136">
        <v>5.1999999999999998E-3</v>
      </c>
      <c r="AT307" s="136">
        <v>9.2999999999999992E-3</v>
      </c>
      <c r="AV307" s="136">
        <v>2.2599999999999999E-2</v>
      </c>
      <c r="AW307" s="136">
        <v>3.6700000000000003E-2</v>
      </c>
      <c r="AX307" s="136">
        <v>6.1499999999999999E-2</v>
      </c>
    </row>
    <row r="308" spans="1:50" s="79" customFormat="1" ht="11.25">
      <c r="A308" s="96">
        <f t="shared" ca="1" si="6"/>
        <v>297</v>
      </c>
      <c r="B308" s="68" t="s">
        <v>113</v>
      </c>
      <c r="C308" s="97">
        <v>0.4</v>
      </c>
      <c r="D308" s="69" t="s">
        <v>66</v>
      </c>
      <c r="E308" s="137" t="s">
        <v>87</v>
      </c>
      <c r="F308" s="156">
        <v>5.0000000000000001E-4</v>
      </c>
      <c r="G308" s="156">
        <v>6.9999999999999999E-4</v>
      </c>
      <c r="H308" s="156">
        <v>1.1000000000000001E-3</v>
      </c>
      <c r="I308" s="156">
        <v>1.6000000000000001E-3</v>
      </c>
      <c r="J308" s="156" t="s">
        <v>87</v>
      </c>
      <c r="K308" s="156">
        <v>2.3E-3</v>
      </c>
      <c r="L308" s="156">
        <v>2.8999999999999998E-3</v>
      </c>
      <c r="M308" s="156">
        <v>3.7000000000000002E-3</v>
      </c>
      <c r="N308" s="138" cm="1">
        <f t="array" aca="1" ref="N308:AE308" ca="1">IF(OR(B308="",NOT($J$2)),"",GetStripDefaultProbability(A308,B308,Parameter_Date,CDSRollDate,E308:M308,SpreadCurveMaturities,D308,C308,$J$4,$J$6))</f>
        <v>0</v>
      </c>
      <c r="O308" s="163">
        <f ca="1"/>
        <v>4.9872651070981266E-4</v>
      </c>
      <c r="P308" s="163">
        <f ca="1"/>
        <v>1.2882057658748503E-3</v>
      </c>
      <c r="Q308" s="163">
        <f ca="1"/>
        <v>3.8971707420715207E-3</v>
      </c>
      <c r="R308" s="163">
        <f ca="1"/>
        <v>8.4413035981952822E-3</v>
      </c>
      <c r="S308" s="163">
        <f ca="1"/>
        <v>0</v>
      </c>
      <c r="T308" s="163">
        <f ca="1"/>
        <v>2.0109274411166389E-2</v>
      </c>
      <c r="U308" s="163">
        <f ca="1"/>
        <v>3.5536330562923824E-2</v>
      </c>
      <c r="V308" s="139">
        <f ca="1"/>
        <v>6.5105252282947723E-2</v>
      </c>
      <c r="W308" s="138">
        <f ca="1"/>
        <v>0</v>
      </c>
      <c r="X308" s="163">
        <f ca="1"/>
        <v>5.9844139207421154E-4</v>
      </c>
      <c r="Y308" s="163">
        <f ca="1"/>
        <v>1.454643861349969E-3</v>
      </c>
      <c r="Z308" s="163">
        <f ca="1"/>
        <v>4.2476819057671866E-3</v>
      </c>
      <c r="AA308" s="163">
        <f ca="1"/>
        <v>8.9570194471012554E-3</v>
      </c>
      <c r="AB308" s="163">
        <f ca="1"/>
        <v>0</v>
      </c>
      <c r="AC308" s="163">
        <f ca="1"/>
        <v>2.1084666301198096E-2</v>
      </c>
      <c r="AD308" s="163">
        <f ca="1"/>
        <v>3.7265595372221072E-2</v>
      </c>
      <c r="AE308" s="139">
        <f ca="1"/>
        <v>6.8246148246928207E-2</v>
      </c>
      <c r="AH308" s="136">
        <v>5.0000000000000001E-4</v>
      </c>
      <c r="AI308" s="136">
        <v>1.1999999999999999E-3</v>
      </c>
      <c r="AJ308" s="136">
        <v>3.8E-3</v>
      </c>
      <c r="AK308" s="136">
        <v>8.3000000000000001E-3</v>
      </c>
      <c r="AM308" s="136">
        <v>1.9900000000000001E-2</v>
      </c>
      <c r="AN308" s="136">
        <v>3.5200000000000002E-2</v>
      </c>
      <c r="AO308" s="136">
        <v>6.4699999999999994E-2</v>
      </c>
      <c r="AQ308" s="136">
        <v>5.0000000000000001E-4</v>
      </c>
      <c r="AR308" s="136">
        <v>1.4E-3</v>
      </c>
      <c r="AS308" s="136">
        <v>4.1000000000000003E-3</v>
      </c>
      <c r="AT308" s="136">
        <v>8.8000000000000005E-3</v>
      </c>
      <c r="AV308" s="136">
        <v>2.0799999999999999E-2</v>
      </c>
      <c r="AW308" s="136">
        <v>3.6999999999999998E-2</v>
      </c>
      <c r="AX308" s="136">
        <v>6.7799999999999999E-2</v>
      </c>
    </row>
    <row r="309" spans="1:50" s="79" customFormat="1" ht="11.25">
      <c r="A309" s="96">
        <f t="shared" ca="1" si="6"/>
        <v>298</v>
      </c>
      <c r="B309" s="68" t="s">
        <v>375</v>
      </c>
      <c r="C309" s="97">
        <v>0.4</v>
      </c>
      <c r="D309" s="69" t="s">
        <v>66</v>
      </c>
      <c r="E309" s="137" t="s">
        <v>87</v>
      </c>
      <c r="F309" s="156">
        <v>4.0000000000000002E-4</v>
      </c>
      <c r="G309" s="156">
        <v>5.0000000000000001E-4</v>
      </c>
      <c r="H309" s="156">
        <v>8.9999999999999998E-4</v>
      </c>
      <c r="I309" s="156">
        <v>1.4E-3</v>
      </c>
      <c r="J309" s="156" t="s">
        <v>87</v>
      </c>
      <c r="K309" s="156">
        <v>2.0999999999999999E-3</v>
      </c>
      <c r="L309" s="156">
        <v>2.8E-3</v>
      </c>
      <c r="M309" s="156">
        <v>3.3999999999999998E-3</v>
      </c>
      <c r="N309" s="138" cm="1">
        <f t="array" aca="1" ref="N309:AE309" ca="1">IF(OR(B309="",NOT($J$2)),"",GetStripDefaultProbability(A309,B309,Parameter_Date,CDSRollDate,E309:M309,SpreadCurveMaturities,D309,C309,$J$4,$J$6))</f>
        <v>0</v>
      </c>
      <c r="O309" s="163">
        <f ca="1"/>
        <v>3.9900104827061966E-4</v>
      </c>
      <c r="P309" s="163">
        <f ca="1"/>
        <v>9.1920434298853326E-4</v>
      </c>
      <c r="Q309" s="163">
        <f ca="1"/>
        <v>3.1943138499956891E-3</v>
      </c>
      <c r="R309" s="163">
        <f ca="1"/>
        <v>7.4074735410043502E-3</v>
      </c>
      <c r="S309" s="163">
        <f ca="1"/>
        <v>0</v>
      </c>
      <c r="T309" s="163">
        <f ca="1"/>
        <v>1.8424163740241362E-2</v>
      </c>
      <c r="U309" s="163">
        <f ca="1"/>
        <v>3.4536593837588114E-2</v>
      </c>
      <c r="V309" s="139">
        <f ca="1"/>
        <v>5.9768720692564004E-2</v>
      </c>
      <c r="W309" s="138">
        <f ca="1"/>
        <v>0</v>
      </c>
      <c r="X309" s="163">
        <f ca="1"/>
        <v>4.9872606913303752E-4</v>
      </c>
      <c r="Y309" s="163">
        <f ca="1"/>
        <v>1.0857039335719909E-3</v>
      </c>
      <c r="Z309" s="163">
        <f ca="1"/>
        <v>3.5450644177309476E-3</v>
      </c>
      <c r="AA309" s="163">
        <f ca="1"/>
        <v>7.9237239778449098E-3</v>
      </c>
      <c r="AB309" s="163">
        <f ca="1"/>
        <v>0</v>
      </c>
      <c r="AC309" s="163">
        <f ca="1"/>
        <v>1.9310646352356797E-2</v>
      </c>
      <c r="AD309" s="163">
        <f ca="1"/>
        <v>3.6211728301921209E-2</v>
      </c>
      <c r="AE309" s="139">
        <f ca="1"/>
        <v>6.2651624858489519E-2</v>
      </c>
      <c r="AH309" s="136">
        <v>4.0000000000000002E-4</v>
      </c>
      <c r="AI309" s="136">
        <v>8.9999999999999998E-4</v>
      </c>
      <c r="AJ309" s="136">
        <v>3.0999999999999999E-3</v>
      </c>
      <c r="AK309" s="136">
        <v>7.3000000000000001E-3</v>
      </c>
      <c r="AM309" s="136">
        <v>1.8200000000000001E-2</v>
      </c>
      <c r="AN309" s="136">
        <v>3.4200000000000001E-2</v>
      </c>
      <c r="AO309" s="136">
        <v>5.9400000000000001E-2</v>
      </c>
      <c r="AQ309" s="136">
        <v>4.0000000000000002E-4</v>
      </c>
      <c r="AR309" s="136">
        <v>1E-3</v>
      </c>
      <c r="AS309" s="136">
        <v>3.3999999999999998E-3</v>
      </c>
      <c r="AT309" s="136">
        <v>7.7999999999999996E-3</v>
      </c>
      <c r="AV309" s="136">
        <v>1.9099999999999999E-2</v>
      </c>
      <c r="AW309" s="136">
        <v>3.5900000000000001E-2</v>
      </c>
      <c r="AX309" s="136">
        <v>6.2300000000000001E-2</v>
      </c>
    </row>
    <row r="310" spans="1:50" s="79" customFormat="1" ht="11.25">
      <c r="A310" s="96">
        <f t="shared" ca="1" si="6"/>
        <v>299</v>
      </c>
      <c r="B310" s="68" t="s">
        <v>115</v>
      </c>
      <c r="C310" s="97">
        <v>0.4</v>
      </c>
      <c r="D310" s="69" t="s">
        <v>66</v>
      </c>
      <c r="E310" s="137" t="s">
        <v>87</v>
      </c>
      <c r="F310" s="156">
        <v>5.0000000000000001E-4</v>
      </c>
      <c r="G310" s="156">
        <v>5.9999999999999995E-4</v>
      </c>
      <c r="H310" s="156">
        <v>1.1999999999999999E-3</v>
      </c>
      <c r="I310" s="156">
        <v>1.6000000000000001E-3</v>
      </c>
      <c r="J310" s="156" t="s">
        <v>87</v>
      </c>
      <c r="K310" s="156">
        <v>2.3E-3</v>
      </c>
      <c r="L310" s="156">
        <v>2.7000000000000001E-3</v>
      </c>
      <c r="M310" s="156">
        <v>3.3E-3</v>
      </c>
      <c r="N310" s="138" cm="1">
        <f t="array" aca="1" ref="N310:AE310" ca="1">IF(OR(B310="",NOT($J$2)),"",GetStripDefaultProbability(A310,B310,Parameter_Date,CDSRollDate,E310:M310,SpreadCurveMaturities,D310,C310,$J$4,$J$6))</f>
        <v>0</v>
      </c>
      <c r="O310" s="163">
        <f ca="1"/>
        <v>4.9872651070981266E-4</v>
      </c>
      <c r="P310" s="163">
        <f ca="1"/>
        <v>1.1024469251739166E-3</v>
      </c>
      <c r="Q310" s="163">
        <f ca="1"/>
        <v>4.2625428447867764E-3</v>
      </c>
      <c r="R310" s="163">
        <f ca="1"/>
        <v>8.4311164720473064E-3</v>
      </c>
      <c r="S310" s="163">
        <f ca="1"/>
        <v>0</v>
      </c>
      <c r="T310" s="163">
        <f ca="1"/>
        <v>2.0098899828656425E-2</v>
      </c>
      <c r="U310" s="163">
        <f ca="1"/>
        <v>3.2897891238755084E-2</v>
      </c>
      <c r="V310" s="139">
        <f ca="1"/>
        <v>5.76751964551111E-2</v>
      </c>
      <c r="W310" s="138">
        <f ca="1"/>
        <v>0</v>
      </c>
      <c r="X310" s="163">
        <f ca="1"/>
        <v>5.9844139207421154E-4</v>
      </c>
      <c r="Y310" s="163">
        <f ca="1"/>
        <v>1.2689159778730419E-3</v>
      </c>
      <c r="Z310" s="163">
        <f ca="1"/>
        <v>4.6129737567995877E-3</v>
      </c>
      <c r="AA310" s="163">
        <f ca="1"/>
        <v>8.9468098516004568E-3</v>
      </c>
      <c r="AB310" s="163">
        <f ca="1"/>
        <v>0</v>
      </c>
      <c r="AC310" s="163">
        <f ca="1"/>
        <v>2.1074254612883259E-2</v>
      </c>
      <c r="AD310" s="163">
        <f ca="1"/>
        <v>3.4498881568005735E-2</v>
      </c>
      <c r="AE310" s="139">
        <f ca="1"/>
        <v>6.0463193365824952E-2</v>
      </c>
      <c r="AH310" s="136">
        <v>5.0000000000000001E-4</v>
      </c>
      <c r="AI310" s="136">
        <v>1E-3</v>
      </c>
      <c r="AJ310" s="136">
        <v>4.1000000000000003E-3</v>
      </c>
      <c r="AK310" s="136">
        <v>8.3000000000000001E-3</v>
      </c>
      <c r="AM310" s="136">
        <v>1.9900000000000001E-2</v>
      </c>
      <c r="AN310" s="136">
        <v>3.2599999999999997E-2</v>
      </c>
      <c r="AO310" s="136">
        <v>5.7299999999999997E-2</v>
      </c>
      <c r="AQ310" s="136">
        <v>5.0000000000000001E-4</v>
      </c>
      <c r="AR310" s="136">
        <v>1.1999999999999999E-3</v>
      </c>
      <c r="AS310" s="136">
        <v>4.4999999999999997E-3</v>
      </c>
      <c r="AT310" s="136">
        <v>8.8000000000000005E-3</v>
      </c>
      <c r="AV310" s="136">
        <v>2.0799999999999999E-2</v>
      </c>
      <c r="AW310" s="136">
        <v>3.4200000000000001E-2</v>
      </c>
      <c r="AX310" s="136">
        <v>6.0100000000000001E-2</v>
      </c>
    </row>
    <row r="311" spans="1:50" s="79" customFormat="1" ht="11.25">
      <c r="A311" s="96">
        <f t="shared" ca="1" si="6"/>
        <v>300</v>
      </c>
      <c r="B311" s="68" t="s">
        <v>182</v>
      </c>
      <c r="C311" s="97">
        <v>0.4</v>
      </c>
      <c r="D311" s="69" t="s">
        <v>66</v>
      </c>
      <c r="E311" s="137" t="s">
        <v>87</v>
      </c>
      <c r="F311" s="156">
        <v>2.9999999999999997E-4</v>
      </c>
      <c r="G311" s="156">
        <v>5.0000000000000001E-4</v>
      </c>
      <c r="H311" s="156">
        <v>8.9999999999999998E-4</v>
      </c>
      <c r="I311" s="156">
        <v>1.2999999999999999E-3</v>
      </c>
      <c r="J311" s="156" t="s">
        <v>87</v>
      </c>
      <c r="K311" s="156">
        <v>2.0999999999999999E-3</v>
      </c>
      <c r="L311" s="156">
        <v>2.7000000000000001E-3</v>
      </c>
      <c r="M311" s="156">
        <v>3.3999999999999998E-3</v>
      </c>
      <c r="N311" s="138" cm="1">
        <f t="array" aca="1" ref="N311:AE311" ca="1">IF(OR(B311="",NOT($J$2)),"",GetStripDefaultProbability(A311,B311,Parameter_Date,CDSRollDate,E311:M311,SpreadCurveMaturities,D311,C311,$J$4,$J$6))</f>
        <v>0</v>
      </c>
      <c r="O311" s="163">
        <f ca="1"/>
        <v>2.9926566746929506E-4</v>
      </c>
      <c r="P311" s="163">
        <f ca="1"/>
        <v>9.2173632679792838E-4</v>
      </c>
      <c r="Q311" s="163">
        <f ca="1"/>
        <v>3.1968799979277263E-3</v>
      </c>
      <c r="R311" s="163">
        <f ca="1"/>
        <v>6.868543143585204E-3</v>
      </c>
      <c r="S311" s="163">
        <f ca="1"/>
        <v>0</v>
      </c>
      <c r="T311" s="163">
        <f ca="1"/>
        <v>1.8465679281941871E-2</v>
      </c>
      <c r="U311" s="163">
        <f ca="1"/>
        <v>3.326331310043773E-2</v>
      </c>
      <c r="V311" s="139">
        <f ca="1"/>
        <v>5.9990034900452294E-2</v>
      </c>
      <c r="W311" s="138">
        <f ca="1"/>
        <v>0</v>
      </c>
      <c r="X311" s="163">
        <f ca="1"/>
        <v>3.9900078367871572E-4</v>
      </c>
      <c r="Y311" s="163">
        <f ca="1"/>
        <v>1.088235495418588E-3</v>
      </c>
      <c r="Z311" s="163">
        <f ca="1"/>
        <v>3.5476393525042393E-3</v>
      </c>
      <c r="AA311" s="163">
        <f ca="1"/>
        <v>7.3849989566759922E-3</v>
      </c>
      <c r="AB311" s="163">
        <f ca="1"/>
        <v>0</v>
      </c>
      <c r="AC311" s="163">
        <f ca="1"/>
        <v>1.93521900145458E-2</v>
      </c>
      <c r="AD311" s="163">
        <f ca="1"/>
        <v>3.4874426681013815E-2</v>
      </c>
      <c r="AE311" s="139">
        <f ca="1"/>
        <v>6.288165744785057E-2</v>
      </c>
      <c r="AH311" s="136">
        <v>2.9999999999999997E-4</v>
      </c>
      <c r="AI311" s="136">
        <v>8.9999999999999998E-4</v>
      </c>
      <c r="AJ311" s="136">
        <v>3.0999999999999999E-3</v>
      </c>
      <c r="AK311" s="136">
        <v>6.7000000000000002E-3</v>
      </c>
      <c r="AM311" s="136">
        <v>1.83E-2</v>
      </c>
      <c r="AN311" s="136">
        <v>3.3000000000000002E-2</v>
      </c>
      <c r="AO311" s="136">
        <v>5.96E-2</v>
      </c>
      <c r="AQ311" s="136">
        <v>4.0000000000000002E-4</v>
      </c>
      <c r="AR311" s="136">
        <v>1E-3</v>
      </c>
      <c r="AS311" s="136">
        <v>3.3999999999999998E-3</v>
      </c>
      <c r="AT311" s="136">
        <v>7.1999999999999998E-3</v>
      </c>
      <c r="AV311" s="136">
        <v>1.9099999999999999E-2</v>
      </c>
      <c r="AW311" s="136">
        <v>3.4599999999999999E-2</v>
      </c>
      <c r="AX311" s="136">
        <v>6.25E-2</v>
      </c>
    </row>
    <row r="312" spans="1:50" s="79" customFormat="1" ht="11.25">
      <c r="A312" s="96">
        <f t="shared" ca="1" si="6"/>
        <v>301</v>
      </c>
      <c r="B312" s="68" t="s">
        <v>376</v>
      </c>
      <c r="C312" s="97">
        <v>0.4</v>
      </c>
      <c r="D312" s="69" t="s">
        <v>67</v>
      </c>
      <c r="E312" s="137" t="s">
        <v>87</v>
      </c>
      <c r="F312" s="156">
        <v>9.5600000000000008E-3</v>
      </c>
      <c r="G312" s="156">
        <v>9.5600000000000008E-3</v>
      </c>
      <c r="H312" s="156">
        <v>9.2700000000000005E-3</v>
      </c>
      <c r="I312" s="156">
        <v>9.0799999999999995E-3</v>
      </c>
      <c r="J312" s="156" t="s">
        <v>87</v>
      </c>
      <c r="K312" s="156">
        <v>8.6E-3</v>
      </c>
      <c r="L312" s="156">
        <v>8.6E-3</v>
      </c>
      <c r="M312" s="156">
        <v>8.6E-3</v>
      </c>
      <c r="N312" s="138" cm="1">
        <f t="array" aca="1" ref="N312:AE312" ca="1">IF(OR(B312="",NOT($J$2)),"",GetStripDefaultProbability(A312,B312,Parameter_Date,CDSRollDate,E312:M312,SpreadCurveMaturities,D312,C312,$J$4,$J$6))</f>
        <v>0</v>
      </c>
      <c r="O312" s="163">
        <f ca="1"/>
        <v>9.4930260944650069E-3</v>
      </c>
      <c r="P312" s="163">
        <f ca="1"/>
        <v>1.7382191290531424E-2</v>
      </c>
      <c r="Q312" s="163">
        <f ca="1"/>
        <v>3.2001977994209785E-2</v>
      </c>
      <c r="R312" s="163">
        <f ca="1"/>
        <v>4.5937119098026336E-2</v>
      </c>
      <c r="S312" s="163">
        <f ca="1"/>
        <v>0</v>
      </c>
      <c r="T312" s="163">
        <f ca="1"/>
        <v>7.0408882851485832E-2</v>
      </c>
      <c r="U312" s="163">
        <f ca="1"/>
        <v>9.6848492908582107E-2</v>
      </c>
      <c r="V312" s="139">
        <f ca="1"/>
        <v>0.13514542341457614</v>
      </c>
      <c r="W312" s="138">
        <f ca="1"/>
        <v>0</v>
      </c>
      <c r="X312" s="163">
        <f ca="1"/>
        <v>9.9650251909079168E-3</v>
      </c>
      <c r="Y312" s="163">
        <f ca="1"/>
        <v>1.8243167773778213E-2</v>
      </c>
      <c r="Z312" s="163">
        <f ca="1"/>
        <v>3.3573360204353975E-2</v>
      </c>
      <c r="AA312" s="163">
        <f ca="1"/>
        <v>4.8175457595223459E-2</v>
      </c>
      <c r="AB312" s="163">
        <f ca="1"/>
        <v>0</v>
      </c>
      <c r="AC312" s="163">
        <f ca="1"/>
        <v>7.3783007891101593E-2</v>
      </c>
      <c r="AD312" s="163">
        <f ca="1"/>
        <v>0.10142309436342856</v>
      </c>
      <c r="AE312" s="139">
        <f ca="1"/>
        <v>0.14139822510069588</v>
      </c>
      <c r="AH312" s="136">
        <v>8.6999999999999994E-3</v>
      </c>
      <c r="AI312" s="136">
        <v>1.6500000000000001E-2</v>
      </c>
      <c r="AJ312" s="136">
        <v>3.1199999999999999E-2</v>
      </c>
      <c r="AK312" s="136">
        <v>4.5100000000000001E-2</v>
      </c>
      <c r="AM312" s="136">
        <v>6.9699999999999998E-2</v>
      </c>
      <c r="AN312" s="136">
        <v>9.6100000000000005E-2</v>
      </c>
      <c r="AO312" s="136">
        <v>0.13450000000000001</v>
      </c>
      <c r="AQ312" s="136">
        <v>9.1000000000000004E-3</v>
      </c>
      <c r="AR312" s="136">
        <v>1.7299999999999999E-2</v>
      </c>
      <c r="AS312" s="136">
        <v>3.27E-2</v>
      </c>
      <c r="AT312" s="136">
        <v>4.7300000000000002E-2</v>
      </c>
      <c r="AV312" s="136">
        <v>7.2999999999999995E-2</v>
      </c>
      <c r="AW312" s="136">
        <v>0.1007</v>
      </c>
      <c r="AX312" s="136">
        <v>0.14069999999999999</v>
      </c>
    </row>
    <row r="313" spans="1:50" s="79" customFormat="1" ht="11.25">
      <c r="A313" s="96">
        <f t="shared" ca="1" si="6"/>
        <v>302</v>
      </c>
      <c r="B313" s="68" t="s">
        <v>377</v>
      </c>
      <c r="C313" s="97">
        <v>0.2</v>
      </c>
      <c r="D313" s="69" t="s">
        <v>66</v>
      </c>
      <c r="E313" s="137" t="s">
        <v>87</v>
      </c>
      <c r="F313" s="156">
        <v>2.2499999999999998E-3</v>
      </c>
      <c r="G313" s="156">
        <v>3.0000000000000001E-3</v>
      </c>
      <c r="H313" s="156">
        <v>4.4999999999999997E-3</v>
      </c>
      <c r="I313" s="156">
        <v>5.5900000000000004E-3</v>
      </c>
      <c r="J313" s="156" t="s">
        <v>87</v>
      </c>
      <c r="K313" s="156">
        <v>7.4999999999999997E-3</v>
      </c>
      <c r="L313" s="156">
        <v>8.2000000000000007E-3</v>
      </c>
      <c r="M313" s="156">
        <v>8.8999999999999999E-3</v>
      </c>
      <c r="N313" s="138" cm="1">
        <f t="array" aca="1" ref="N313:AE313" ca="1">IF(OR(B313="",NOT($J$2)),"",GetStripDefaultProbability(A313,B313,Parameter_Date,CDSRollDate,E313:M313,SpreadCurveMaturities,D313,C313,$J$4,$J$6))</f>
        <v>0</v>
      </c>
      <c r="O313" s="163">
        <f ca="1"/>
        <v>1.6822086862037233E-3</v>
      </c>
      <c r="P313" s="163">
        <f ca="1"/>
        <v>4.1335363060640562E-3</v>
      </c>
      <c r="Q313" s="163">
        <f ca="1"/>
        <v>1.1908692658600506E-2</v>
      </c>
      <c r="R313" s="163">
        <f ca="1"/>
        <v>2.1882771906465148E-2</v>
      </c>
      <c r="S313" s="163">
        <f ca="1"/>
        <v>0</v>
      </c>
      <c r="T313" s="163">
        <f ca="1"/>
        <v>4.8365390351654991E-2</v>
      </c>
      <c r="U313" s="163">
        <f ca="1"/>
        <v>7.2917805225161891E-2</v>
      </c>
      <c r="V313" s="139">
        <f ca="1"/>
        <v>0.11110988609845751</v>
      </c>
      <c r="W313" s="138">
        <f ca="1"/>
        <v>0</v>
      </c>
      <c r="X313" s="163">
        <f ca="1"/>
        <v>1.7662382323757608E-3</v>
      </c>
      <c r="Y313" s="163">
        <f ca="1"/>
        <v>4.3398142226537262E-3</v>
      </c>
      <c r="Z313" s="163">
        <f ca="1"/>
        <v>1.2500905647903737E-2</v>
      </c>
      <c r="AA313" s="163">
        <f ca="1"/>
        <v>2.2966564324643723E-2</v>
      </c>
      <c r="AB313" s="163">
        <f ca="1"/>
        <v>0</v>
      </c>
      <c r="AC313" s="163">
        <f ca="1"/>
        <v>5.0729009490370736E-2</v>
      </c>
      <c r="AD313" s="163">
        <f ca="1"/>
        <v>7.6441266085398474E-2</v>
      </c>
      <c r="AE313" s="139">
        <f ca="1"/>
        <v>0.11638226294928133</v>
      </c>
      <c r="AH313" s="136">
        <v>1.5E-3</v>
      </c>
      <c r="AI313" s="136">
        <v>3.8999999999999998E-3</v>
      </c>
      <c r="AJ313" s="136">
        <v>1.1599999999999999E-2</v>
      </c>
      <c r="AK313" s="136">
        <v>2.1499999999999998E-2</v>
      </c>
      <c r="AM313" s="136">
        <v>4.7800000000000002E-2</v>
      </c>
      <c r="AN313" s="136">
        <v>7.2300000000000003E-2</v>
      </c>
      <c r="AO313" s="136">
        <v>0.1105</v>
      </c>
      <c r="AQ313" s="136">
        <v>1.6000000000000001E-3</v>
      </c>
      <c r="AR313" s="136">
        <v>4.1000000000000003E-3</v>
      </c>
      <c r="AS313" s="136">
        <v>1.2200000000000001E-2</v>
      </c>
      <c r="AT313" s="136">
        <v>2.2499999999999999E-2</v>
      </c>
      <c r="AV313" s="136">
        <v>5.0200000000000002E-2</v>
      </c>
      <c r="AW313" s="136">
        <v>7.5800000000000006E-2</v>
      </c>
      <c r="AX313" s="136">
        <v>0.1157</v>
      </c>
    </row>
    <row r="314" spans="1:50" s="79" customFormat="1" ht="11.25">
      <c r="A314" s="96">
        <f t="shared" ca="1" si="6"/>
        <v>303</v>
      </c>
      <c r="B314" s="68" t="s">
        <v>378</v>
      </c>
      <c r="C314" s="97">
        <v>0.4</v>
      </c>
      <c r="D314" s="69" t="s">
        <v>67</v>
      </c>
      <c r="E314" s="137" t="s">
        <v>87</v>
      </c>
      <c r="F314" s="156" t="s">
        <v>87</v>
      </c>
      <c r="G314" s="156">
        <v>2E-3</v>
      </c>
      <c r="H314" s="156" t="s">
        <v>87</v>
      </c>
      <c r="I314" s="156">
        <v>3.5000000000000001E-3</v>
      </c>
      <c r="J314" s="156" t="s">
        <v>87</v>
      </c>
      <c r="K314" s="156">
        <v>4.4999999999999997E-3</v>
      </c>
      <c r="L314" s="156">
        <v>5.4999999999999997E-3</v>
      </c>
      <c r="M314" s="156">
        <v>6.4999999999999997E-3</v>
      </c>
      <c r="N314" s="138" cm="1">
        <f t="array" aca="1" ref="N314:AE314" ca="1">IF(OR(B314="",NOT($J$2)),"",GetStripDefaultProbability(A314,B314,Parameter_Date,CDSRollDate,E314:M314,SpreadCurveMaturities,D314,C314,$J$4,$J$6))</f>
        <v>0</v>
      </c>
      <c r="O314" s="163">
        <f ca="1"/>
        <v>0</v>
      </c>
      <c r="P314" s="163">
        <f ca="1"/>
        <v>3.6617545607984248E-3</v>
      </c>
      <c r="Q314" s="163">
        <f ca="1"/>
        <v>0</v>
      </c>
      <c r="R314" s="163">
        <f ca="1"/>
        <v>1.8218571756717705E-2</v>
      </c>
      <c r="S314" s="163">
        <f ca="1"/>
        <v>0</v>
      </c>
      <c r="T314" s="163">
        <f ca="1"/>
        <v>3.8706465530250589E-2</v>
      </c>
      <c r="U314" s="163">
        <f ca="1"/>
        <v>6.6229786509511723E-2</v>
      </c>
      <c r="V314" s="139">
        <f ca="1"/>
        <v>0.11114760099682708</v>
      </c>
      <c r="W314" s="138">
        <f ca="1"/>
        <v>0</v>
      </c>
      <c r="X314" s="163">
        <f ca="1"/>
        <v>0</v>
      </c>
      <c r="Y314" s="163">
        <f ca="1"/>
        <v>3.8277970977805831E-3</v>
      </c>
      <c r="Z314" s="163">
        <f ca="1"/>
        <v>0</v>
      </c>
      <c r="AA314" s="163">
        <f ca="1"/>
        <v>1.9121596798396645E-2</v>
      </c>
      <c r="AB314" s="163">
        <f ca="1"/>
        <v>0</v>
      </c>
      <c r="AC314" s="163">
        <f ca="1"/>
        <v>4.0607059096035569E-2</v>
      </c>
      <c r="AD314" s="163">
        <f ca="1"/>
        <v>6.9445047288294703E-2</v>
      </c>
      <c r="AE314" s="139">
        <f ca="1"/>
        <v>0.11645166899858528</v>
      </c>
      <c r="AI314" s="136">
        <v>3.5000000000000001E-3</v>
      </c>
      <c r="AK314" s="136">
        <v>1.7899999999999999E-2</v>
      </c>
      <c r="AM314" s="136">
        <v>3.8300000000000001E-2</v>
      </c>
      <c r="AN314" s="136">
        <v>6.5699999999999995E-2</v>
      </c>
      <c r="AO314" s="136">
        <v>0.1105</v>
      </c>
      <c r="AR314" s="136">
        <v>3.5999999999999999E-3</v>
      </c>
      <c r="AT314" s="136">
        <v>1.8800000000000001E-2</v>
      </c>
      <c r="AV314" s="136">
        <v>4.0099999999999997E-2</v>
      </c>
      <c r="AW314" s="136">
        <v>6.8900000000000003E-2</v>
      </c>
      <c r="AX314" s="136">
        <v>0.1157</v>
      </c>
    </row>
    <row r="315" spans="1:50" s="79" customFormat="1" ht="11.25">
      <c r="A315" s="96">
        <f t="shared" ca="1" si="6"/>
        <v>304</v>
      </c>
      <c r="B315" s="68" t="s">
        <v>379</v>
      </c>
      <c r="C315" s="97">
        <v>0.2</v>
      </c>
      <c r="D315" s="69" t="s">
        <v>67</v>
      </c>
      <c r="E315" s="137">
        <v>1.1999999999999999E-3</v>
      </c>
      <c r="F315" s="156">
        <v>1.1999999999999999E-3</v>
      </c>
      <c r="G315" s="156">
        <v>1.6000000000000001E-3</v>
      </c>
      <c r="H315" s="156">
        <v>2E-3</v>
      </c>
      <c r="I315" s="156">
        <v>2.8E-3</v>
      </c>
      <c r="J315" s="156">
        <v>3.3999999999999998E-3</v>
      </c>
      <c r="K315" s="156">
        <v>4.0000000000000001E-3</v>
      </c>
      <c r="L315" s="156">
        <v>5.4000000000000003E-3</v>
      </c>
      <c r="M315" s="156">
        <v>6.6E-3</v>
      </c>
      <c r="N315" s="138" cm="1">
        <f t="array" aca="1" ref="N315:AE315" ca="1">IF(OR(B315="",NOT($J$2)),"",GetStripDefaultProbability(A315,B315,Parameter_Date,CDSRollDate,E315:M315,SpreadCurveMaturities,D315,C315,$J$4,$J$6))</f>
        <v>5.2144163112932684E-4</v>
      </c>
      <c r="O315" s="163">
        <f ca="1"/>
        <v>8.975383976129736E-4</v>
      </c>
      <c r="P315" s="163">
        <f ca="1"/>
        <v>2.2063930502905782E-3</v>
      </c>
      <c r="Q315" s="163">
        <f ca="1"/>
        <v>5.2896263662338683E-3</v>
      </c>
      <c r="R315" s="163">
        <f ca="1"/>
        <v>1.1036152360734852E-2</v>
      </c>
      <c r="S315" s="163">
        <f ca="1"/>
        <v>1.781937288626767E-2</v>
      </c>
      <c r="T315" s="163">
        <f ca="1"/>
        <v>2.6210769529958822E-2</v>
      </c>
      <c r="U315" s="163">
        <f ca="1"/>
        <v>4.9888223141654753E-2</v>
      </c>
      <c r="V315" s="139">
        <f ca="1"/>
        <v>8.6805696960058132E-2</v>
      </c>
      <c r="W315" s="138">
        <f ca="1"/>
        <v>5.6488248207475777E-4</v>
      </c>
      <c r="X315" s="163">
        <f ca="1"/>
        <v>9.7229674228738183E-4</v>
      </c>
      <c r="Y315" s="163">
        <f ca="1"/>
        <v>2.3311094562261658E-3</v>
      </c>
      <c r="Z315" s="163">
        <f ca="1"/>
        <v>5.5521176076922529E-3</v>
      </c>
      <c r="AA315" s="163">
        <f ca="1"/>
        <v>1.1584068634924893E-2</v>
      </c>
      <c r="AB315" s="163">
        <f ca="1"/>
        <v>1.8702589324504637E-2</v>
      </c>
      <c r="AC315" s="163">
        <f ca="1"/>
        <v>2.7506477913412541E-2</v>
      </c>
      <c r="AD315" s="163">
        <f ca="1"/>
        <v>5.2330198173164311E-2</v>
      </c>
      <c r="AE315" s="139">
        <f ca="1"/>
        <v>9.1001017887567426E-2</v>
      </c>
      <c r="AG315" s="136">
        <v>4.0000000000000002E-4</v>
      </c>
      <c r="AH315" s="136">
        <v>8.0000000000000004E-4</v>
      </c>
      <c r="AI315" s="136">
        <v>2.0999999999999999E-3</v>
      </c>
      <c r="AJ315" s="136">
        <v>5.1000000000000004E-3</v>
      </c>
      <c r="AK315" s="136">
        <v>1.0800000000000001E-2</v>
      </c>
      <c r="AL315" s="136">
        <v>1.7600000000000001E-2</v>
      </c>
      <c r="AM315" s="136">
        <v>2.5899999999999999E-2</v>
      </c>
      <c r="AN315" s="136">
        <v>4.9500000000000002E-2</v>
      </c>
      <c r="AO315" s="136">
        <v>8.6300000000000002E-2</v>
      </c>
      <c r="AP315" s="136">
        <v>5.0000000000000001E-4</v>
      </c>
      <c r="AQ315" s="136">
        <v>8.9999999999999998E-4</v>
      </c>
      <c r="AR315" s="136">
        <v>2.2000000000000001E-3</v>
      </c>
      <c r="AS315" s="136">
        <v>5.4000000000000003E-3</v>
      </c>
      <c r="AT315" s="136">
        <v>1.14E-2</v>
      </c>
      <c r="AU315" s="136">
        <v>1.84E-2</v>
      </c>
      <c r="AV315" s="136">
        <v>2.7199999999999998E-2</v>
      </c>
      <c r="AW315" s="136">
        <v>5.1900000000000002E-2</v>
      </c>
      <c r="AX315" s="136">
        <v>9.0399999999999994E-2</v>
      </c>
    </row>
    <row r="316" spans="1:50" s="79" customFormat="1" ht="11.25">
      <c r="A316" s="96">
        <f t="shared" ca="1" si="6"/>
        <v>305</v>
      </c>
      <c r="B316" s="68" t="s">
        <v>380</v>
      </c>
      <c r="C316" s="97">
        <v>0.2</v>
      </c>
      <c r="D316" s="69" t="s">
        <v>66</v>
      </c>
      <c r="E316" s="137" t="s">
        <v>87</v>
      </c>
      <c r="F316" s="156">
        <v>1.3799999999999999E-3</v>
      </c>
      <c r="G316" s="156">
        <v>2.1199999999999999E-3</v>
      </c>
      <c r="H316" s="156">
        <v>3.1199999999999999E-3</v>
      </c>
      <c r="I316" s="156">
        <v>3.9199999999999999E-3</v>
      </c>
      <c r="J316" s="156" t="s">
        <v>87</v>
      </c>
      <c r="K316" s="156">
        <v>5.1000000000000004E-3</v>
      </c>
      <c r="L316" s="156">
        <v>5.8199999999999997E-3</v>
      </c>
      <c r="M316" s="156">
        <v>6.4999999999999997E-3</v>
      </c>
      <c r="N316" s="138" cm="1">
        <f t="array" aca="1" ref="N316:AE316" ca="1">IF(OR(B316="",NOT($J$2)),"",GetStripDefaultProbability(A316,B316,Parameter_Date,CDSRollDate,E316:M316,SpreadCurveMaturities,D316,C316,$J$4,$J$6))</f>
        <v>0</v>
      </c>
      <c r="O316" s="163">
        <f ca="1"/>
        <v>1.0320893201662962E-3</v>
      </c>
      <c r="P316" s="163">
        <f ca="1"/>
        <v>2.9267012932704395E-3</v>
      </c>
      <c r="Q316" s="163">
        <f ca="1"/>
        <v>8.2703096671288279E-3</v>
      </c>
      <c r="R316" s="163">
        <f ca="1"/>
        <v>1.539283227787569E-2</v>
      </c>
      <c r="S316" s="163">
        <f ca="1"/>
        <v>0</v>
      </c>
      <c r="T316" s="163">
        <f ca="1"/>
        <v>3.304158577794436E-2</v>
      </c>
      <c r="U316" s="163">
        <f ca="1"/>
        <v>5.240618331054292E-2</v>
      </c>
      <c r="V316" s="139">
        <f ca="1"/>
        <v>8.282369221563568E-2</v>
      </c>
      <c r="W316" s="138">
        <f ca="1"/>
        <v>0</v>
      </c>
      <c r="X316" s="163">
        <f ca="1"/>
        <v>1.1068346103855209E-3</v>
      </c>
      <c r="Y316" s="163">
        <f ca="1"/>
        <v>3.0722348316983839E-3</v>
      </c>
      <c r="Z316" s="163">
        <f ca="1"/>
        <v>8.6816594387432167E-3</v>
      </c>
      <c r="AA316" s="163">
        <f ca="1"/>
        <v>1.6156772431986322E-2</v>
      </c>
      <c r="AB316" s="163">
        <f ca="1"/>
        <v>0</v>
      </c>
      <c r="AC316" s="163">
        <f ca="1"/>
        <v>3.4667625894759024E-2</v>
      </c>
      <c r="AD316" s="163">
        <f ca="1"/>
        <v>5.4964093689730764E-2</v>
      </c>
      <c r="AE316" s="139">
        <f ca="1"/>
        <v>8.679956663039412E-2</v>
      </c>
      <c r="AH316" s="136">
        <v>8.9999999999999998E-4</v>
      </c>
      <c r="AI316" s="136">
        <v>2.8E-3</v>
      </c>
      <c r="AJ316" s="136">
        <v>8.0000000000000002E-3</v>
      </c>
      <c r="AK316" s="136">
        <v>1.5100000000000001E-2</v>
      </c>
      <c r="AM316" s="136">
        <v>3.27E-2</v>
      </c>
      <c r="AN316" s="136">
        <v>5.1999999999999998E-2</v>
      </c>
      <c r="AO316" s="136">
        <v>8.2299999999999998E-2</v>
      </c>
      <c r="AQ316" s="136">
        <v>1E-3</v>
      </c>
      <c r="AR316" s="136">
        <v>2.8999999999999998E-3</v>
      </c>
      <c r="AS316" s="136">
        <v>8.3999999999999995E-3</v>
      </c>
      <c r="AT316" s="136">
        <v>1.5900000000000001E-2</v>
      </c>
      <c r="AV316" s="136">
        <v>3.4299999999999997E-2</v>
      </c>
      <c r="AW316" s="136">
        <v>5.45E-2</v>
      </c>
      <c r="AX316" s="136">
        <v>8.6300000000000002E-2</v>
      </c>
    </row>
    <row r="317" spans="1:50" s="79" customFormat="1" ht="11.25">
      <c r="A317" s="96">
        <f t="shared" ca="1" si="6"/>
        <v>306</v>
      </c>
      <c r="B317" s="68" t="s">
        <v>381</v>
      </c>
      <c r="C317" s="97">
        <v>0.2</v>
      </c>
      <c r="D317" s="69" t="s">
        <v>66</v>
      </c>
      <c r="E317" s="137" t="s">
        <v>87</v>
      </c>
      <c r="F317" s="156">
        <v>1.5100000000000001E-3</v>
      </c>
      <c r="G317" s="156">
        <v>2.1299999999999999E-3</v>
      </c>
      <c r="H317" s="156">
        <v>2.9499999999999999E-3</v>
      </c>
      <c r="I317" s="156">
        <v>3.6900000000000001E-3</v>
      </c>
      <c r="J317" s="156" t="s">
        <v>87</v>
      </c>
      <c r="K317" s="156">
        <v>5.0000000000000001E-3</v>
      </c>
      <c r="L317" s="156">
        <v>5.7000000000000002E-3</v>
      </c>
      <c r="M317" s="156">
        <v>6.3E-3</v>
      </c>
      <c r="N317" s="138" cm="1">
        <f t="array" aca="1" ref="N317:AE317" ca="1">IF(OR(B317="",NOT($J$2)),"",GetStripDefaultProbability(A317,B317,Parameter_Date,CDSRollDate,E317:M317,SpreadCurveMaturities,D317,C317,$J$4,$J$6))</f>
        <v>0</v>
      </c>
      <c r="O317" s="163">
        <f ca="1"/>
        <v>1.1292603932691048E-3</v>
      </c>
      <c r="P317" s="163">
        <f ca="1"/>
        <v>2.938053522829609E-3</v>
      </c>
      <c r="Q317" s="163">
        <f ca="1"/>
        <v>7.8107041467184724E-3</v>
      </c>
      <c r="R317" s="163">
        <f ca="1"/>
        <v>1.448199625968638E-2</v>
      </c>
      <c r="S317" s="163">
        <f ca="1"/>
        <v>0</v>
      </c>
      <c r="T317" s="163">
        <f ca="1"/>
        <v>3.2457447259908623E-2</v>
      </c>
      <c r="U317" s="163">
        <f ca="1"/>
        <v>5.139814409879917E-2</v>
      </c>
      <c r="V317" s="139">
        <f ca="1"/>
        <v>8.0274465190344313E-2</v>
      </c>
      <c r="W317" s="138">
        <f ca="1"/>
        <v>0</v>
      </c>
      <c r="X317" s="163">
        <f ca="1"/>
        <v>1.2039979409399493E-3</v>
      </c>
      <c r="Y317" s="163">
        <f ca="1"/>
        <v>3.0842750801836072E-3</v>
      </c>
      <c r="Z317" s="163">
        <f ca="1"/>
        <v>8.1993383477629855E-3</v>
      </c>
      <c r="AA317" s="163">
        <f ca="1"/>
        <v>1.5201050710019204E-2</v>
      </c>
      <c r="AB317" s="163">
        <f ca="1"/>
        <v>0</v>
      </c>
      <c r="AC317" s="163">
        <f ca="1"/>
        <v>3.4055513931501968E-2</v>
      </c>
      <c r="AD317" s="163">
        <f ca="1"/>
        <v>5.390861378239753E-2</v>
      </c>
      <c r="AE317" s="139">
        <f ca="1"/>
        <v>8.4132979080438486E-2</v>
      </c>
      <c r="AH317" s="136">
        <v>1E-3</v>
      </c>
      <c r="AI317" s="136">
        <v>2.8E-3</v>
      </c>
      <c r="AJ317" s="136">
        <v>7.6E-3</v>
      </c>
      <c r="AK317" s="136">
        <v>1.4200000000000001E-2</v>
      </c>
      <c r="AM317" s="136">
        <v>3.2099999999999997E-2</v>
      </c>
      <c r="AN317" s="136">
        <v>5.0999999999999997E-2</v>
      </c>
      <c r="AO317" s="136">
        <v>7.9799999999999996E-2</v>
      </c>
      <c r="AQ317" s="136">
        <v>1.1000000000000001E-3</v>
      </c>
      <c r="AR317" s="136">
        <v>2.8999999999999998E-3</v>
      </c>
      <c r="AS317" s="136">
        <v>8.0000000000000002E-3</v>
      </c>
      <c r="AT317" s="136">
        <v>1.49E-2</v>
      </c>
      <c r="AV317" s="136">
        <v>3.3700000000000001E-2</v>
      </c>
      <c r="AW317" s="136">
        <v>5.3499999999999999E-2</v>
      </c>
      <c r="AX317" s="136">
        <v>8.3599999999999994E-2</v>
      </c>
    </row>
    <row r="318" spans="1:50" s="79" customFormat="1" ht="11.25">
      <c r="A318" s="96">
        <f t="shared" ca="1" si="6"/>
        <v>307</v>
      </c>
      <c r="B318" s="68" t="s">
        <v>382</v>
      </c>
      <c r="C318" s="97">
        <v>0.4</v>
      </c>
      <c r="D318" s="69" t="s">
        <v>67</v>
      </c>
      <c r="E318" s="137" t="s">
        <v>87</v>
      </c>
      <c r="F318" s="156" t="s">
        <v>87</v>
      </c>
      <c r="G318" s="156">
        <v>1.2329999999999999E-3</v>
      </c>
      <c r="H318" s="156" t="s">
        <v>87</v>
      </c>
      <c r="I318" s="156">
        <v>2.516E-3</v>
      </c>
      <c r="J318" s="156" t="s">
        <v>87</v>
      </c>
      <c r="K318" s="156">
        <v>3.65E-3</v>
      </c>
      <c r="L318" s="156">
        <v>3.7980000000000002E-3</v>
      </c>
      <c r="M318" s="156">
        <v>3.9950000000000003E-3</v>
      </c>
      <c r="N318" s="138" cm="1">
        <f t="array" aca="1" ref="N318:AE318" ca="1">IF(OR(B318="",NOT($J$2)),"",GetStripDefaultProbability(A318,B318,Parameter_Date,CDSRollDate,E318:M318,SpreadCurveMaturities,D318,C318,$J$4,$J$6))</f>
        <v>0</v>
      </c>
      <c r="O318" s="163">
        <f ca="1"/>
        <v>0</v>
      </c>
      <c r="P318" s="163">
        <f ca="1"/>
        <v>2.2590462752368756E-3</v>
      </c>
      <c r="Q318" s="163">
        <f ca="1"/>
        <v>0</v>
      </c>
      <c r="R318" s="163">
        <f ca="1"/>
        <v>1.3153336611029909E-2</v>
      </c>
      <c r="S318" s="163">
        <f ca="1"/>
        <v>0</v>
      </c>
      <c r="T318" s="163">
        <f ca="1"/>
        <v>3.1733813606550143E-2</v>
      </c>
      <c r="U318" s="163">
        <f ca="1"/>
        <v>4.5473714281382915E-2</v>
      </c>
      <c r="V318" s="139">
        <f ca="1"/>
        <v>6.7464728865966883E-2</v>
      </c>
      <c r="W318" s="138">
        <f ca="1"/>
        <v>0</v>
      </c>
      <c r="X318" s="163">
        <f ca="1"/>
        <v>0</v>
      </c>
      <c r="Y318" s="163">
        <f ca="1"/>
        <v>2.4253225774464315E-3</v>
      </c>
      <c r="Z318" s="163">
        <f ca="1"/>
        <v>0</v>
      </c>
      <c r="AA318" s="163">
        <f ca="1"/>
        <v>1.3802189711772161E-2</v>
      </c>
      <c r="AB318" s="163">
        <f ca="1"/>
        <v>0</v>
      </c>
      <c r="AC318" s="163">
        <f ca="1"/>
        <v>3.329308986095536E-2</v>
      </c>
      <c r="AD318" s="163">
        <f ca="1"/>
        <v>4.7695548463710824E-2</v>
      </c>
      <c r="AE318" s="139">
        <f ca="1"/>
        <v>7.0719423981527085E-2</v>
      </c>
      <c r="AI318" s="136">
        <v>2.0999999999999999E-3</v>
      </c>
      <c r="AK318" s="136">
        <v>1.29E-2</v>
      </c>
      <c r="AM318" s="136">
        <v>3.1399999999999997E-2</v>
      </c>
      <c r="AN318" s="136">
        <v>4.5100000000000001E-2</v>
      </c>
      <c r="AO318" s="136">
        <v>6.7100000000000007E-2</v>
      </c>
      <c r="AR318" s="136">
        <v>2.3E-3</v>
      </c>
      <c r="AT318" s="136">
        <v>1.35E-2</v>
      </c>
      <c r="AV318" s="136">
        <v>3.2899999999999999E-2</v>
      </c>
      <c r="AW318" s="136">
        <v>4.7300000000000002E-2</v>
      </c>
      <c r="AX318" s="136">
        <v>7.0300000000000001E-2</v>
      </c>
    </row>
    <row r="319" spans="1:50" s="79" customFormat="1" ht="11.25">
      <c r="A319" s="96">
        <f t="shared" ca="1" si="6"/>
        <v>308</v>
      </c>
      <c r="B319" s="68" t="s">
        <v>383</v>
      </c>
      <c r="C319" s="97">
        <v>0.2</v>
      </c>
      <c r="D319" s="69" t="s">
        <v>67</v>
      </c>
      <c r="E319" s="137" t="s">
        <v>87</v>
      </c>
      <c r="F319" s="156">
        <v>1.6000000000000001E-3</v>
      </c>
      <c r="G319" s="156">
        <v>1.9E-3</v>
      </c>
      <c r="H319" s="156">
        <v>2.5000000000000001E-3</v>
      </c>
      <c r="I319" s="156">
        <v>3.0000000000000001E-3</v>
      </c>
      <c r="J319" s="156" t="s">
        <v>87</v>
      </c>
      <c r="K319" s="156">
        <v>3.7000000000000002E-3</v>
      </c>
      <c r="L319" s="156">
        <v>3.8999999999999998E-3</v>
      </c>
      <c r="M319" s="156">
        <v>4.0000000000000001E-3</v>
      </c>
      <c r="N319" s="138" cm="1">
        <f t="array" aca="1" ref="N319:AE319" ca="1">IF(OR(B319="",NOT($J$2)),"",GetStripDefaultProbability(A319,B319,Parameter_Date,CDSRollDate,E319:M319,SpreadCurveMaturities,D319,C319,$J$4,$J$6))</f>
        <v>0</v>
      </c>
      <c r="O319" s="163">
        <f ca="1"/>
        <v>1.1965449581542442E-3</v>
      </c>
      <c r="P319" s="163">
        <f ca="1"/>
        <v>2.6162030723485552E-3</v>
      </c>
      <c r="Q319" s="163">
        <f ca="1"/>
        <v>6.6112177334661792E-3</v>
      </c>
      <c r="R319" s="163">
        <f ca="1"/>
        <v>1.1758065506678572E-2</v>
      </c>
      <c r="S319" s="163">
        <f ca="1"/>
        <v>0</v>
      </c>
      <c r="T319" s="163">
        <f ca="1"/>
        <v>2.3968188682596425E-2</v>
      </c>
      <c r="U319" s="163">
        <f ca="1"/>
        <v>3.5006117451715224E-2</v>
      </c>
      <c r="V319" s="139">
        <f ca="1"/>
        <v>5.0621896562892288E-2</v>
      </c>
      <c r="W319" s="138">
        <f ca="1"/>
        <v>0</v>
      </c>
      <c r="X319" s="163">
        <f ca="1"/>
        <v>1.2712782362738206E-3</v>
      </c>
      <c r="Y319" s="163">
        <f ca="1"/>
        <v>2.7408682552263475E-3</v>
      </c>
      <c r="Z319" s="163">
        <f ca="1"/>
        <v>6.9405373319969543E-3</v>
      </c>
      <c r="AA319" s="163">
        <f ca="1"/>
        <v>1.2342658373470594E-2</v>
      </c>
      <c r="AB319" s="163">
        <f ca="1"/>
        <v>0</v>
      </c>
      <c r="AC319" s="163">
        <f ca="1"/>
        <v>2.5152535852975277E-2</v>
      </c>
      <c r="AD319" s="163">
        <f ca="1"/>
        <v>3.6726969111862351E-2</v>
      </c>
      <c r="AE319" s="139">
        <f ca="1"/>
        <v>5.3086939472785866E-2</v>
      </c>
      <c r="AH319" s="136">
        <v>1.1000000000000001E-3</v>
      </c>
      <c r="AI319" s="136">
        <v>2.5000000000000001E-3</v>
      </c>
      <c r="AJ319" s="136">
        <v>6.4000000000000003E-3</v>
      </c>
      <c r="AK319" s="136">
        <v>1.15E-2</v>
      </c>
      <c r="AM319" s="136">
        <v>2.3699999999999999E-2</v>
      </c>
      <c r="AN319" s="136">
        <v>3.4700000000000002E-2</v>
      </c>
      <c r="AO319" s="136">
        <v>5.0299999999999997E-2</v>
      </c>
      <c r="AQ319" s="136">
        <v>1.1999999999999999E-3</v>
      </c>
      <c r="AR319" s="136">
        <v>2.5999999999999999E-3</v>
      </c>
      <c r="AS319" s="136">
        <v>6.7000000000000002E-3</v>
      </c>
      <c r="AT319" s="136">
        <v>1.21E-2</v>
      </c>
      <c r="AV319" s="136">
        <v>2.4899999999999999E-2</v>
      </c>
      <c r="AW319" s="136">
        <v>3.6400000000000002E-2</v>
      </c>
      <c r="AX319" s="136">
        <v>5.28E-2</v>
      </c>
    </row>
    <row r="320" spans="1:50" s="79" customFormat="1" ht="11.25">
      <c r="A320" s="96">
        <f t="shared" ca="1" si="6"/>
        <v>309</v>
      </c>
      <c r="B320" s="68" t="s">
        <v>384</v>
      </c>
      <c r="C320" s="97">
        <v>0.4</v>
      </c>
      <c r="D320" s="69" t="s">
        <v>67</v>
      </c>
      <c r="E320" s="137" t="s">
        <v>87</v>
      </c>
      <c r="F320" s="156" t="s">
        <v>87</v>
      </c>
      <c r="G320" s="156" t="s">
        <v>87</v>
      </c>
      <c r="H320" s="156" t="s">
        <v>87</v>
      </c>
      <c r="I320" s="156" t="s">
        <v>87</v>
      </c>
      <c r="J320" s="156" t="s">
        <v>87</v>
      </c>
      <c r="K320" s="156">
        <v>2E-3</v>
      </c>
      <c r="L320" s="156">
        <v>3.6129999999999999E-3</v>
      </c>
      <c r="M320" s="156">
        <v>4.9030000000000002E-3</v>
      </c>
      <c r="N320" s="138" cm="1">
        <f t="array" aca="1" ref="N320:AE320" ca="1">IF(OR(B320="",NOT($J$2)),"",GetStripDefaultProbability(A320,B320,Parameter_Date,CDSRollDate,E320:M320,SpreadCurveMaturities,D320,C320,$J$4,$J$6))</f>
        <v>0</v>
      </c>
      <c r="O320" s="163">
        <f ca="1"/>
        <v>0</v>
      </c>
      <c r="P320" s="163">
        <f ca="1"/>
        <v>0</v>
      </c>
      <c r="Q320" s="163">
        <f ca="1"/>
        <v>0</v>
      </c>
      <c r="R320" s="163">
        <f ca="1"/>
        <v>0</v>
      </c>
      <c r="S320" s="163">
        <f ca="1"/>
        <v>0</v>
      </c>
      <c r="T320" s="163">
        <f ca="1"/>
        <v>1.69586614649746E-2</v>
      </c>
      <c r="U320" s="163">
        <f ca="1"/>
        <v>4.500666323579916E-2</v>
      </c>
      <c r="V320" s="139">
        <f ca="1"/>
        <v>8.7727819165773657E-2</v>
      </c>
      <c r="W320" s="138">
        <f ca="1"/>
        <v>0</v>
      </c>
      <c r="X320" s="163">
        <f ca="1"/>
        <v>0</v>
      </c>
      <c r="Y320" s="163">
        <f ca="1"/>
        <v>0</v>
      </c>
      <c r="Z320" s="163">
        <f ca="1"/>
        <v>0</v>
      </c>
      <c r="AA320" s="163">
        <f ca="1"/>
        <v>0</v>
      </c>
      <c r="AB320" s="163">
        <f ca="1"/>
        <v>0</v>
      </c>
      <c r="AC320" s="163">
        <f ca="1"/>
        <v>1.7777521341433622E-2</v>
      </c>
      <c r="AD320" s="163">
        <f ca="1"/>
        <v>4.7219151608792864E-2</v>
      </c>
      <c r="AE320" s="139">
        <f ca="1"/>
        <v>9.1986759699885345E-2</v>
      </c>
      <c r="AM320" s="136">
        <v>1.6799999999999999E-2</v>
      </c>
      <c r="AN320" s="136">
        <v>4.4600000000000001E-2</v>
      </c>
      <c r="AO320" s="136">
        <v>8.72E-2</v>
      </c>
      <c r="AV320" s="136">
        <v>1.7600000000000001E-2</v>
      </c>
      <c r="AW320" s="136">
        <v>4.6800000000000001E-2</v>
      </c>
      <c r="AX320" s="136">
        <v>9.1399999999999995E-2</v>
      </c>
    </row>
    <row r="321" spans="1:50" s="79" customFormat="1" ht="11.25">
      <c r="A321" s="96">
        <f t="shared" ca="1" si="6"/>
        <v>310</v>
      </c>
      <c r="B321" s="68" t="s">
        <v>98</v>
      </c>
      <c r="C321" s="97">
        <v>0.4</v>
      </c>
      <c r="D321" s="69" t="s">
        <v>66</v>
      </c>
      <c r="E321" s="137" t="s">
        <v>87</v>
      </c>
      <c r="F321" s="156">
        <v>1.1900000000000001E-3</v>
      </c>
      <c r="G321" s="156">
        <v>1.4300000000000001E-3</v>
      </c>
      <c r="H321" s="156">
        <v>1.91E-3</v>
      </c>
      <c r="I321" s="156">
        <v>2.32E-3</v>
      </c>
      <c r="J321" s="156" t="s">
        <v>87</v>
      </c>
      <c r="K321" s="156">
        <v>3.0999999999999999E-3</v>
      </c>
      <c r="L321" s="156">
        <v>3.5100000000000001E-3</v>
      </c>
      <c r="M321" s="156">
        <v>3.8999999999999998E-3</v>
      </c>
      <c r="N321" s="138" cm="1">
        <f t="array" aca="1" ref="N321:AE321" ca="1">IF(OR(B321="",NOT($J$2)),"",GetStripDefaultProbability(A321,B321,Parameter_Date,CDSRollDate,E321:M321,SpreadCurveMaturities,D321,C321,$J$4,$J$6))</f>
        <v>0</v>
      </c>
      <c r="O321" s="163">
        <f ca="1"/>
        <v>1.1865619956058504E-3</v>
      </c>
      <c r="P321" s="163">
        <f ca="1"/>
        <v>2.6257248751727635E-3</v>
      </c>
      <c r="Q321" s="163">
        <f ca="1"/>
        <v>6.7367655157445361E-3</v>
      </c>
      <c r="R321" s="163">
        <f ca="1"/>
        <v>1.2129624488090851E-2</v>
      </c>
      <c r="S321" s="163">
        <f ca="1"/>
        <v>0</v>
      </c>
      <c r="T321" s="163">
        <f ca="1"/>
        <v>2.6848473291603003E-2</v>
      </c>
      <c r="U321" s="163">
        <f ca="1"/>
        <v>4.2286555896650535E-2</v>
      </c>
      <c r="V321" s="139">
        <f ca="1"/>
        <v>6.6636276475192546E-2</v>
      </c>
      <c r="W321" s="138">
        <f ca="1"/>
        <v>0</v>
      </c>
      <c r="X321" s="163">
        <f ca="1"/>
        <v>1.2862056741852479E-3</v>
      </c>
      <c r="Y321" s="163">
        <f ca="1"/>
        <v>2.7919400693855456E-3</v>
      </c>
      <c r="Z321" s="163">
        <f ca="1"/>
        <v>7.0862869332071199E-3</v>
      </c>
      <c r="AA321" s="163">
        <f ca="1"/>
        <v>1.2729676421428526E-2</v>
      </c>
      <c r="AB321" s="163">
        <f ca="1"/>
        <v>0</v>
      </c>
      <c r="AC321" s="163">
        <f ca="1"/>
        <v>2.8170925215690534E-2</v>
      </c>
      <c r="AD321" s="163">
        <f ca="1"/>
        <v>4.4357502618080247E-2</v>
      </c>
      <c r="AE321" s="139">
        <f ca="1"/>
        <v>6.985858765511932E-2</v>
      </c>
      <c r="AH321" s="136">
        <v>1.1000000000000001E-3</v>
      </c>
      <c r="AI321" s="136">
        <v>2.5000000000000001E-3</v>
      </c>
      <c r="AJ321" s="136">
        <v>6.6E-3</v>
      </c>
      <c r="AK321" s="136">
        <v>1.1900000000000001E-2</v>
      </c>
      <c r="AM321" s="136">
        <v>2.6499999999999999E-2</v>
      </c>
      <c r="AN321" s="136">
        <v>4.19E-2</v>
      </c>
      <c r="AO321" s="136">
        <v>6.6199999999999995E-2</v>
      </c>
      <c r="AQ321" s="136">
        <v>1.1999999999999999E-3</v>
      </c>
      <c r="AR321" s="136">
        <v>2.7000000000000001E-3</v>
      </c>
      <c r="AS321" s="136">
        <v>6.8999999999999999E-3</v>
      </c>
      <c r="AT321" s="136">
        <v>1.2500000000000001E-2</v>
      </c>
      <c r="AV321" s="136">
        <v>2.7900000000000001E-2</v>
      </c>
      <c r="AW321" s="136">
        <v>4.3999999999999997E-2</v>
      </c>
      <c r="AX321" s="136">
        <v>6.9400000000000003E-2</v>
      </c>
    </row>
    <row r="322" spans="1:50" s="79" customFormat="1" ht="11.25">
      <c r="A322" s="96">
        <f t="shared" ca="1" si="6"/>
        <v>311</v>
      </c>
      <c r="B322" s="68" t="s">
        <v>107</v>
      </c>
      <c r="C322" s="97">
        <v>0.4</v>
      </c>
      <c r="D322" s="69" t="s">
        <v>66</v>
      </c>
      <c r="E322" s="137" t="s">
        <v>87</v>
      </c>
      <c r="F322" s="156">
        <v>5.0000000000000001E-4</v>
      </c>
      <c r="G322" s="156">
        <v>8.0000000000000004E-4</v>
      </c>
      <c r="H322" s="156">
        <v>1.1999999999999999E-3</v>
      </c>
      <c r="I322" s="156">
        <v>1.6000000000000001E-3</v>
      </c>
      <c r="J322" s="156" t="s">
        <v>87</v>
      </c>
      <c r="K322" s="156">
        <v>2.5999999999999999E-3</v>
      </c>
      <c r="L322" s="156">
        <v>3.2000000000000002E-3</v>
      </c>
      <c r="M322" s="156">
        <v>3.5999999999999999E-3</v>
      </c>
      <c r="N322" s="138" cm="1">
        <f t="array" aca="1" ref="N322:AE322" ca="1">IF(OR(B322="",NOT($J$2)),"",GetStripDefaultProbability(A322,B322,Parameter_Date,CDSRollDate,E322:M322,SpreadCurveMaturities,D322,C322,$J$4,$J$6))</f>
        <v>0</v>
      </c>
      <c r="O322" s="163">
        <f ca="1"/>
        <v>4.9872651070981266E-4</v>
      </c>
      <c r="P322" s="163">
        <f ca="1"/>
        <v>1.4739490898789676E-3</v>
      </c>
      <c r="Q322" s="163">
        <f ca="1"/>
        <v>4.2497236025992313E-3</v>
      </c>
      <c r="R322" s="163">
        <f ca="1"/>
        <v>8.4181452713483207E-3</v>
      </c>
      <c r="S322" s="163">
        <f ca="1"/>
        <v>0</v>
      </c>
      <c r="T322" s="163">
        <f ca="1"/>
        <v>2.2801716178815434E-2</v>
      </c>
      <c r="U322" s="163">
        <f ca="1"/>
        <v>3.9170223289659134E-2</v>
      </c>
      <c r="V322" s="139">
        <f ca="1"/>
        <v>6.2320579694662759E-2</v>
      </c>
      <c r="W322" s="138">
        <f ca="1"/>
        <v>0</v>
      </c>
      <c r="X322" s="163">
        <f ca="1"/>
        <v>5.9844139207421154E-4</v>
      </c>
      <c r="Y322" s="163">
        <f ca="1"/>
        <v>1.6403562307232278E-3</v>
      </c>
      <c r="Z322" s="163">
        <f ca="1"/>
        <v>4.6001191656769302E-3</v>
      </c>
      <c r="AA322" s="163">
        <f ca="1"/>
        <v>8.9337969338907364E-3</v>
      </c>
      <c r="AB322" s="163">
        <f ca="1"/>
        <v>0</v>
      </c>
      <c r="AC322" s="163">
        <f ca="1"/>
        <v>2.3910346969666096E-2</v>
      </c>
      <c r="AD322" s="163">
        <f ca="1"/>
        <v>4.1076826880632855E-2</v>
      </c>
      <c r="AE322" s="139">
        <f ca="1"/>
        <v>6.5328085361477273E-2</v>
      </c>
      <c r="AH322" s="136">
        <v>5.0000000000000001E-4</v>
      </c>
      <c r="AI322" s="136">
        <v>1.4E-3</v>
      </c>
      <c r="AJ322" s="136">
        <v>4.1000000000000003E-3</v>
      </c>
      <c r="AK322" s="136">
        <v>8.3000000000000001E-3</v>
      </c>
      <c r="AM322" s="136">
        <v>2.2499999999999999E-2</v>
      </c>
      <c r="AN322" s="136">
        <v>3.8800000000000001E-2</v>
      </c>
      <c r="AO322" s="136">
        <v>6.1899999999999997E-2</v>
      </c>
      <c r="AQ322" s="136">
        <v>5.0000000000000001E-4</v>
      </c>
      <c r="AR322" s="136">
        <v>1.6000000000000001E-3</v>
      </c>
      <c r="AS322" s="136">
        <v>4.4999999999999997E-3</v>
      </c>
      <c r="AT322" s="136">
        <v>8.8000000000000005E-3</v>
      </c>
      <c r="AV322" s="136">
        <v>2.3599999999999999E-2</v>
      </c>
      <c r="AW322" s="136">
        <v>4.07E-2</v>
      </c>
      <c r="AX322" s="136">
        <v>6.4899999999999999E-2</v>
      </c>
    </row>
    <row r="323" spans="1:50" s="79" customFormat="1" ht="11.25">
      <c r="A323" s="96">
        <f t="shared" ca="1" si="6"/>
        <v>312</v>
      </c>
      <c r="B323" s="68" t="s">
        <v>385</v>
      </c>
      <c r="C323" s="97">
        <v>0.4</v>
      </c>
      <c r="D323" s="69" t="s">
        <v>67</v>
      </c>
      <c r="E323" s="137" t="s">
        <v>87</v>
      </c>
      <c r="F323" s="156" t="s">
        <v>87</v>
      </c>
      <c r="G323" s="156">
        <v>5.9999999999999995E-4</v>
      </c>
      <c r="H323" s="156" t="s">
        <v>87</v>
      </c>
      <c r="I323" s="156">
        <v>1.1999999999999999E-3</v>
      </c>
      <c r="J323" s="156" t="s">
        <v>87</v>
      </c>
      <c r="K323" s="156">
        <v>2.0999999999999999E-3</v>
      </c>
      <c r="L323" s="156">
        <v>3.0000000000000001E-3</v>
      </c>
      <c r="M323" s="156">
        <v>4.1000000000000003E-3</v>
      </c>
      <c r="N323" s="138" cm="1">
        <f t="array" aca="1" ref="N323:AE323" ca="1">IF(OR(B323="",NOT($J$2)),"",GetStripDefaultProbability(A323,B323,Parameter_Date,CDSRollDate,E323:M323,SpreadCurveMaturities,D323,C323,$J$4,$J$6))</f>
        <v>0</v>
      </c>
      <c r="O323" s="163">
        <f ca="1"/>
        <v>0</v>
      </c>
      <c r="P323" s="163">
        <f ca="1"/>
        <v>1.0999257557419151E-3</v>
      </c>
      <c r="Q323" s="163">
        <f ca="1"/>
        <v>0</v>
      </c>
      <c r="R323" s="163">
        <f ca="1"/>
        <v>6.2892173333627399E-3</v>
      </c>
      <c r="S323" s="163">
        <f ca="1"/>
        <v>0</v>
      </c>
      <c r="T323" s="163">
        <f ca="1"/>
        <v>1.8504072354009748E-2</v>
      </c>
      <c r="U323" s="163">
        <f ca="1"/>
        <v>3.7405618255248463E-2</v>
      </c>
      <c r="V323" s="139">
        <f ca="1"/>
        <v>7.3743457034950222E-2</v>
      </c>
      <c r="W323" s="138">
        <f ca="1"/>
        <v>0</v>
      </c>
      <c r="X323" s="163">
        <f ca="1"/>
        <v>0</v>
      </c>
      <c r="Y323" s="163">
        <f ca="1"/>
        <v>1.2663952285902891E-3</v>
      </c>
      <c r="Z323" s="163">
        <f ca="1"/>
        <v>0</v>
      </c>
      <c r="AA323" s="163">
        <f ca="1"/>
        <v>6.8061319199741455E-3</v>
      </c>
      <c r="AB323" s="163">
        <f ca="1"/>
        <v>0</v>
      </c>
      <c r="AC323" s="163">
        <f ca="1"/>
        <v>1.9390855042772381E-2</v>
      </c>
      <c r="AD323" s="163">
        <f ca="1"/>
        <v>3.9217043772805216E-2</v>
      </c>
      <c r="AE323" s="139">
        <f ca="1"/>
        <v>7.7283534805453469E-2</v>
      </c>
      <c r="AI323" s="136">
        <v>1E-3</v>
      </c>
      <c r="AK323" s="136">
        <v>6.1999999999999998E-3</v>
      </c>
      <c r="AM323" s="136">
        <v>1.83E-2</v>
      </c>
      <c r="AN323" s="136">
        <v>3.7100000000000001E-2</v>
      </c>
      <c r="AO323" s="136">
        <v>7.3300000000000004E-2</v>
      </c>
      <c r="AR323" s="136">
        <v>1.1999999999999999E-3</v>
      </c>
      <c r="AT323" s="136">
        <v>6.7000000000000002E-3</v>
      </c>
      <c r="AV323" s="136">
        <v>1.9099999999999999E-2</v>
      </c>
      <c r="AW323" s="136">
        <v>3.8899999999999997E-2</v>
      </c>
      <c r="AX323" s="136">
        <v>7.6799999999999993E-2</v>
      </c>
    </row>
    <row r="324" spans="1:50" s="79" customFormat="1" ht="11.25">
      <c r="A324" s="96">
        <f t="shared" ca="1" si="6"/>
        <v>313</v>
      </c>
      <c r="B324" s="68" t="s">
        <v>141</v>
      </c>
      <c r="C324" s="97">
        <v>0.4</v>
      </c>
      <c r="D324" s="69" t="s">
        <v>66</v>
      </c>
      <c r="E324" s="137" t="s">
        <v>87</v>
      </c>
      <c r="F324" s="156">
        <v>2.9999999999999997E-4</v>
      </c>
      <c r="G324" s="156">
        <v>5.0000000000000001E-4</v>
      </c>
      <c r="H324" s="156">
        <v>1E-3</v>
      </c>
      <c r="I324" s="156">
        <v>1.5E-3</v>
      </c>
      <c r="J324" s="156" t="s">
        <v>87</v>
      </c>
      <c r="K324" s="156">
        <v>2.3E-3</v>
      </c>
      <c r="L324" s="156">
        <v>2.8999999999999998E-3</v>
      </c>
      <c r="M324" s="156">
        <v>3.3999999999999998E-3</v>
      </c>
      <c r="N324" s="138" cm="1">
        <f t="array" aca="1" ref="N324:AE324" ca="1">IF(OR(B324="",NOT($J$2)),"",GetStripDefaultProbability(A324,B324,Parameter_Date,CDSRollDate,E324:M324,SpreadCurveMaturities,D324,C324,$J$4,$J$6))</f>
        <v>0</v>
      </c>
      <c r="O324" s="163">
        <f ca="1"/>
        <v>2.9926566746929506E-4</v>
      </c>
      <c r="P324" s="163">
        <f ca="1"/>
        <v>9.2173632679792838E-4</v>
      </c>
      <c r="Q324" s="163">
        <f ca="1"/>
        <v>3.5560262748963734E-3</v>
      </c>
      <c r="R324" s="163">
        <f ca="1"/>
        <v>7.9349086715492234E-3</v>
      </c>
      <c r="S324" s="163">
        <f ca="1"/>
        <v>0</v>
      </c>
      <c r="T324" s="163">
        <f ca="1"/>
        <v>2.0183941271042727E-2</v>
      </c>
      <c r="U324" s="163">
        <f ca="1"/>
        <v>3.5611839707859971E-2</v>
      </c>
      <c r="V324" s="139">
        <f ca="1"/>
        <v>5.9350411945918391E-2</v>
      </c>
      <c r="W324" s="138">
        <f ca="1"/>
        <v>0</v>
      </c>
      <c r="X324" s="163">
        <f ca="1"/>
        <v>3.9900078367871572E-4</v>
      </c>
      <c r="Y324" s="163">
        <f ca="1"/>
        <v>1.088235495418588E-3</v>
      </c>
      <c r="Z324" s="163">
        <f ca="1"/>
        <v>3.9066887490182278E-3</v>
      </c>
      <c r="AA324" s="163">
        <f ca="1"/>
        <v>8.4509251940650953E-3</v>
      </c>
      <c r="AB324" s="163">
        <f ca="1"/>
        <v>0</v>
      </c>
      <c r="AC324" s="163">
        <f ca="1"/>
        <v>2.1159478323862557E-2</v>
      </c>
      <c r="AD324" s="163">
        <f ca="1"/>
        <v>3.7341413057054518E-2</v>
      </c>
      <c r="AE324" s="139">
        <f ca="1"/>
        <v>6.221441220832169E-2</v>
      </c>
      <c r="AH324" s="136">
        <v>2.9999999999999997E-4</v>
      </c>
      <c r="AI324" s="136">
        <v>8.9999999999999998E-4</v>
      </c>
      <c r="AJ324" s="136">
        <v>3.5000000000000001E-3</v>
      </c>
      <c r="AK324" s="136">
        <v>7.7999999999999996E-3</v>
      </c>
      <c r="AM324" s="136">
        <v>0.02</v>
      </c>
      <c r="AN324" s="136">
        <v>3.5299999999999998E-2</v>
      </c>
      <c r="AO324" s="136">
        <v>5.8999999999999997E-2</v>
      </c>
      <c r="AQ324" s="136">
        <v>4.0000000000000002E-4</v>
      </c>
      <c r="AR324" s="136">
        <v>1E-3</v>
      </c>
      <c r="AS324" s="136">
        <v>3.8E-3</v>
      </c>
      <c r="AT324" s="136">
        <v>8.3000000000000001E-3</v>
      </c>
      <c r="AV324" s="136">
        <v>2.0899999999999998E-2</v>
      </c>
      <c r="AW324" s="136">
        <v>3.6999999999999998E-2</v>
      </c>
      <c r="AX324" s="136">
        <v>6.1800000000000001E-2</v>
      </c>
    </row>
    <row r="325" spans="1:50" s="79" customFormat="1" ht="11.25">
      <c r="A325" s="96">
        <f t="shared" ca="1" si="6"/>
        <v>314</v>
      </c>
      <c r="B325" s="68" t="s">
        <v>386</v>
      </c>
      <c r="C325" s="97">
        <v>0.4</v>
      </c>
      <c r="D325" s="69" t="s">
        <v>67</v>
      </c>
      <c r="E325" s="137" t="s">
        <v>87</v>
      </c>
      <c r="F325" s="156" t="s">
        <v>87</v>
      </c>
      <c r="G325" s="156">
        <v>4.9600000000000002E-4</v>
      </c>
      <c r="H325" s="156" t="s">
        <v>87</v>
      </c>
      <c r="I325" s="156">
        <v>1.2899999999999999E-3</v>
      </c>
      <c r="J325" s="156" t="s">
        <v>87</v>
      </c>
      <c r="K325" s="156">
        <v>2.15E-3</v>
      </c>
      <c r="L325" s="156">
        <v>2.6740000000000002E-3</v>
      </c>
      <c r="M325" s="156">
        <v>3.199E-3</v>
      </c>
      <c r="N325" s="138" cm="1">
        <f t="array" aca="1" ref="N325:AE325" ca="1">IF(OR(B325="",NOT($J$2)),"",GetStripDefaultProbability(A325,B325,Parameter_Date,CDSRollDate,E325:M325,SpreadCurveMaturities,D325,C325,$J$4,$J$6))</f>
        <v>0</v>
      </c>
      <c r="O325" s="163">
        <f ca="1"/>
        <v>0</v>
      </c>
      <c r="P325" s="163">
        <f ca="1"/>
        <v>9.093580113954669E-4</v>
      </c>
      <c r="Q325" s="163">
        <f ca="1"/>
        <v>0</v>
      </c>
      <c r="R325" s="163">
        <f ca="1"/>
        <v>6.7797259012384314E-3</v>
      </c>
      <c r="S325" s="163">
        <f ca="1"/>
        <v>0</v>
      </c>
      <c r="T325" s="163">
        <f ca="1"/>
        <v>1.8923608092296873E-2</v>
      </c>
      <c r="U325" s="163">
        <f ca="1"/>
        <v>3.2969293449560455E-2</v>
      </c>
      <c r="V325" s="139">
        <f ca="1"/>
        <v>5.6402537334353187E-2</v>
      </c>
      <c r="W325" s="138">
        <f ca="1"/>
        <v>0</v>
      </c>
      <c r="X325" s="163">
        <f ca="1"/>
        <v>0</v>
      </c>
      <c r="Y325" s="163">
        <f ca="1"/>
        <v>1.0758592428978808E-3</v>
      </c>
      <c r="Z325" s="163">
        <f ca="1"/>
        <v>0</v>
      </c>
      <c r="AA325" s="163">
        <f ca="1"/>
        <v>7.296428994281734E-3</v>
      </c>
      <c r="AB325" s="163">
        <f ca="1"/>
        <v>0</v>
      </c>
      <c r="AC325" s="163">
        <f ca="1"/>
        <v>1.9832804118317005E-2</v>
      </c>
      <c r="AD325" s="163">
        <f ca="1"/>
        <v>3.456612947751081E-2</v>
      </c>
      <c r="AE325" s="139">
        <f ca="1"/>
        <v>5.9122383769836917E-2</v>
      </c>
      <c r="AI325" s="136">
        <v>8.9999999999999998E-4</v>
      </c>
      <c r="AK325" s="136">
        <v>6.7000000000000002E-3</v>
      </c>
      <c r="AM325" s="136">
        <v>1.8700000000000001E-2</v>
      </c>
      <c r="AN325" s="136">
        <v>3.27E-2</v>
      </c>
      <c r="AO325" s="136">
        <v>5.6000000000000001E-2</v>
      </c>
      <c r="AR325" s="136">
        <v>1E-3</v>
      </c>
      <c r="AT325" s="136">
        <v>7.1999999999999998E-3</v>
      </c>
      <c r="AV325" s="136">
        <v>1.9599999999999999E-2</v>
      </c>
      <c r="AW325" s="136">
        <v>3.4299999999999997E-2</v>
      </c>
      <c r="AX325" s="136">
        <v>5.8799999999999998E-2</v>
      </c>
    </row>
    <row r="326" spans="1:50" s="79" customFormat="1" ht="11.25">
      <c r="A326" s="96">
        <f t="shared" ca="1" si="6"/>
        <v>315</v>
      </c>
      <c r="B326" s="68" t="s">
        <v>387</v>
      </c>
      <c r="C326" s="97">
        <v>0.4</v>
      </c>
      <c r="D326" s="69" t="s">
        <v>67</v>
      </c>
      <c r="E326" s="137" t="s">
        <v>87</v>
      </c>
      <c r="F326" s="156">
        <v>5.1000000000000004E-3</v>
      </c>
      <c r="G326" s="156">
        <v>5.1000000000000004E-3</v>
      </c>
      <c r="H326" s="156">
        <v>5.1000000000000004E-3</v>
      </c>
      <c r="I326" s="156">
        <v>5.5700000000000003E-3</v>
      </c>
      <c r="J326" s="156" t="s">
        <v>87</v>
      </c>
      <c r="K326" s="156">
        <v>6.0000000000000001E-3</v>
      </c>
      <c r="L326" s="156">
        <v>6.2100000000000002E-3</v>
      </c>
      <c r="M326" s="156">
        <v>6.3E-3</v>
      </c>
      <c r="N326" s="138" cm="1">
        <f t="array" aca="1" ref="N326:AE326" ca="1">IF(OR(B326="",NOT($J$2)),"",GetStripDefaultProbability(A326,B326,Parameter_Date,CDSRollDate,E326:M326,SpreadCurveMaturities,D326,C326,$J$4,$J$6))</f>
        <v>0</v>
      </c>
      <c r="O326" s="163">
        <f ca="1"/>
        <v>5.0754767852660976E-3</v>
      </c>
      <c r="P326" s="163">
        <f ca="1"/>
        <v>9.3108396683699857E-3</v>
      </c>
      <c r="Q326" s="163">
        <f ca="1"/>
        <v>1.7753220802091074E-2</v>
      </c>
      <c r="R326" s="163">
        <f ca="1"/>
        <v>2.8633434362236754E-2</v>
      </c>
      <c r="S326" s="163">
        <f ca="1"/>
        <v>0</v>
      </c>
      <c r="T326" s="163">
        <f ca="1"/>
        <v>5.0474306867196117E-2</v>
      </c>
      <c r="U326" s="163">
        <f ca="1"/>
        <v>7.2122311123488436E-2</v>
      </c>
      <c r="V326" s="139">
        <f ca="1"/>
        <v>0.1024539074568529</v>
      </c>
      <c r="W326" s="138">
        <f ca="1"/>
        <v>0</v>
      </c>
      <c r="X326" s="163">
        <f ca="1"/>
        <v>5.3285037851246164E-3</v>
      </c>
      <c r="Y326" s="163">
        <f ca="1"/>
        <v>9.7740593761759254E-3</v>
      </c>
      <c r="Z326" s="163">
        <f ca="1"/>
        <v>1.8632244551110677E-2</v>
      </c>
      <c r="AA326" s="163">
        <f ca="1"/>
        <v>3.0044171274783538E-2</v>
      </c>
      <c r="AB326" s="163">
        <f ca="1"/>
        <v>0</v>
      </c>
      <c r="AC326" s="163">
        <f ca="1"/>
        <v>5.2929825009284781E-2</v>
      </c>
      <c r="AD326" s="163">
        <f ca="1"/>
        <v>7.5593104903160513E-2</v>
      </c>
      <c r="AE326" s="139">
        <f ca="1"/>
        <v>0.1072895783325909</v>
      </c>
      <c r="AH326" s="136">
        <v>4.5999999999999999E-3</v>
      </c>
      <c r="AI326" s="136">
        <v>8.8000000000000005E-3</v>
      </c>
      <c r="AJ326" s="136">
        <v>1.7299999999999999E-2</v>
      </c>
      <c r="AK326" s="136">
        <v>2.81E-2</v>
      </c>
      <c r="AM326" s="136">
        <v>4.99E-2</v>
      </c>
      <c r="AN326" s="136">
        <v>7.1599999999999997E-2</v>
      </c>
      <c r="AO326" s="136">
        <v>0.1019</v>
      </c>
      <c r="AQ326" s="136">
        <v>4.8999999999999998E-3</v>
      </c>
      <c r="AR326" s="136">
        <v>9.2999999999999992E-3</v>
      </c>
      <c r="AS326" s="136">
        <v>1.8100000000000002E-2</v>
      </c>
      <c r="AT326" s="136">
        <v>2.9499999999999998E-2</v>
      </c>
      <c r="AV326" s="136">
        <v>5.2400000000000002E-2</v>
      </c>
      <c r="AW326" s="136">
        <v>7.4999999999999997E-2</v>
      </c>
      <c r="AX326" s="136">
        <v>0.1067</v>
      </c>
    </row>
    <row r="327" spans="1:50" s="79" customFormat="1" ht="11.25">
      <c r="A327" s="96">
        <f t="shared" ca="1" si="6"/>
        <v>316</v>
      </c>
      <c r="B327" s="68" t="s">
        <v>388</v>
      </c>
      <c r="C327" s="97">
        <v>0.4</v>
      </c>
      <c r="D327" s="69" t="s">
        <v>67</v>
      </c>
      <c r="E327" s="137" t="s">
        <v>87</v>
      </c>
      <c r="F327" s="156" t="s">
        <v>87</v>
      </c>
      <c r="G327" s="156">
        <v>1.225E-3</v>
      </c>
      <c r="H327" s="156" t="s">
        <v>87</v>
      </c>
      <c r="I327" s="156">
        <v>2.4499999999999999E-3</v>
      </c>
      <c r="J327" s="156" t="s">
        <v>87</v>
      </c>
      <c r="K327" s="156">
        <v>4.8999999999999998E-3</v>
      </c>
      <c r="L327" s="156">
        <v>5.6350000000000003E-3</v>
      </c>
      <c r="M327" s="156">
        <v>6.3699999999999998E-3</v>
      </c>
      <c r="N327" s="138" cm="1">
        <f t="array" aca="1" ref="N327:AE327" ca="1">IF(OR(B327="",NOT($J$2)),"",GetStripDefaultProbability(A327,B327,Parameter_Date,CDSRollDate,E327:M327,SpreadCurveMaturities,D327,C327,$J$4,$J$6))</f>
        <v>0</v>
      </c>
      <c r="O327" s="163">
        <f ca="1"/>
        <v>0</v>
      </c>
      <c r="P327" s="163">
        <f ca="1"/>
        <v>2.244405368961977E-3</v>
      </c>
      <c r="Q327" s="163">
        <f ca="1"/>
        <v>0</v>
      </c>
      <c r="R327" s="163">
        <f ca="1"/>
        <v>1.2806658892120848E-2</v>
      </c>
      <c r="S327" s="163">
        <f ca="1"/>
        <v>0</v>
      </c>
      <c r="T327" s="163">
        <f ca="1"/>
        <v>4.3057784381650199E-2</v>
      </c>
      <c r="U327" s="163">
        <f ca="1"/>
        <v>6.8297144944578947E-2</v>
      </c>
      <c r="V327" s="139">
        <f ca="1"/>
        <v>0.10863846639295294</v>
      </c>
      <c r="W327" s="138">
        <f ca="1"/>
        <v>0</v>
      </c>
      <c r="X327" s="163">
        <f ca="1"/>
        <v>0</v>
      </c>
      <c r="Y327" s="163">
        <f ca="1"/>
        <v>2.4106841111029009E-3</v>
      </c>
      <c r="Z327" s="163">
        <f ca="1"/>
        <v>0</v>
      </c>
      <c r="AA327" s="163">
        <f ca="1"/>
        <v>1.3438370942216449E-2</v>
      </c>
      <c r="AB327" s="163">
        <f ca="1"/>
        <v>0</v>
      </c>
      <c r="AC327" s="163">
        <f ca="1"/>
        <v>4.5165407765733856E-2</v>
      </c>
      <c r="AD327" s="163">
        <f ca="1"/>
        <v>7.1610718805872997E-2</v>
      </c>
      <c r="AE327" s="139">
        <f ca="1"/>
        <v>0.11381944586135129</v>
      </c>
      <c r="AI327" s="136">
        <v>2.0999999999999999E-3</v>
      </c>
      <c r="AK327" s="136">
        <v>1.26E-2</v>
      </c>
      <c r="AM327" s="136">
        <v>4.2599999999999999E-2</v>
      </c>
      <c r="AN327" s="136">
        <v>6.7699999999999996E-2</v>
      </c>
      <c r="AO327" s="136">
        <v>0.108</v>
      </c>
      <c r="AR327" s="136">
        <v>2.3E-3</v>
      </c>
      <c r="AT327" s="136">
        <v>1.32E-2</v>
      </c>
      <c r="AV327" s="136">
        <v>4.4600000000000001E-2</v>
      </c>
      <c r="AW327" s="136">
        <v>7.0999999999999994E-2</v>
      </c>
      <c r="AX327" s="136">
        <v>0.11310000000000001</v>
      </c>
    </row>
    <row r="328" spans="1:50" s="79" customFormat="1" ht="11.25">
      <c r="A328" s="96">
        <f t="shared" ca="1" si="6"/>
        <v>317</v>
      </c>
      <c r="B328" s="68" t="s">
        <v>389</v>
      </c>
      <c r="C328" s="97">
        <v>0.2</v>
      </c>
      <c r="D328" s="69" t="s">
        <v>66</v>
      </c>
      <c r="E328" s="137" t="s">
        <v>87</v>
      </c>
      <c r="F328" s="156">
        <v>9.3999999999999997E-4</v>
      </c>
      <c r="G328" s="156">
        <v>1.01E-3</v>
      </c>
      <c r="H328" s="156">
        <v>2.0100000000000001E-3</v>
      </c>
      <c r="I328" s="156">
        <v>3.0100000000000001E-3</v>
      </c>
      <c r="J328" s="156" t="s">
        <v>87</v>
      </c>
      <c r="K328" s="156">
        <v>4.7999999999999996E-3</v>
      </c>
      <c r="L328" s="156">
        <v>5.4999999999999997E-3</v>
      </c>
      <c r="M328" s="156">
        <v>6.1999999999999998E-3</v>
      </c>
      <c r="N328" s="138" cm="1">
        <f t="array" aca="1" ref="N328:AE328" ca="1">IF(OR(B328="",NOT($J$2)),"",GetStripDefaultProbability(A328,B328,Parameter_Date,CDSRollDate,E328:M328,SpreadCurveMaturities,D328,C328,$J$4,$J$6))</f>
        <v>0</v>
      </c>
      <c r="O328" s="163">
        <f ca="1"/>
        <v>7.0313270757627055E-4</v>
      </c>
      <c r="P328" s="163">
        <f ca="1"/>
        <v>1.3897722776639032E-3</v>
      </c>
      <c r="Q328" s="163">
        <f ca="1"/>
        <v>5.3504711153076201E-3</v>
      </c>
      <c r="R328" s="163">
        <f ca="1"/>
        <v>1.1918426361709367E-2</v>
      </c>
      <c r="S328" s="163">
        <f ca="1"/>
        <v>0</v>
      </c>
      <c r="T328" s="163">
        <f ca="1"/>
        <v>3.1510293459498517E-2</v>
      </c>
      <c r="U328" s="163">
        <f ca="1"/>
        <v>4.9992982702641076E-2</v>
      </c>
      <c r="V328" s="139">
        <f ca="1"/>
        <v>7.9654695620526295E-2</v>
      </c>
      <c r="W328" s="138">
        <f ca="1"/>
        <v>0</v>
      </c>
      <c r="X328" s="163">
        <f ca="1"/>
        <v>7.7790387183773735E-4</v>
      </c>
      <c r="Y328" s="163">
        <f ca="1"/>
        <v>1.5145907548131943E-3</v>
      </c>
      <c r="Z328" s="163">
        <f ca="1"/>
        <v>5.6143721672092806E-3</v>
      </c>
      <c r="AA328" s="163">
        <f ca="1"/>
        <v>1.2508539633449778E-2</v>
      </c>
      <c r="AB328" s="163">
        <f ca="1"/>
        <v>0</v>
      </c>
      <c r="AC328" s="163">
        <f ca="1"/>
        <v>3.3061327403277274E-2</v>
      </c>
      <c r="AD328" s="163">
        <f ca="1"/>
        <v>5.2436585305692063E-2</v>
      </c>
      <c r="AE328" s="139">
        <f ca="1"/>
        <v>8.3486555544293184E-2</v>
      </c>
      <c r="AH328" s="136">
        <v>5.9999999999999995E-4</v>
      </c>
      <c r="AI328" s="136">
        <v>1.2999999999999999E-3</v>
      </c>
      <c r="AJ328" s="136">
        <v>5.1999999999999998E-3</v>
      </c>
      <c r="AK328" s="136">
        <v>1.17E-2</v>
      </c>
      <c r="AM328" s="136">
        <v>3.1099999999999999E-2</v>
      </c>
      <c r="AN328" s="136">
        <v>4.9599999999999998E-2</v>
      </c>
      <c r="AO328" s="136">
        <v>7.9200000000000007E-2</v>
      </c>
      <c r="AQ328" s="136">
        <v>6.9999999999999999E-4</v>
      </c>
      <c r="AR328" s="136">
        <v>1.4E-3</v>
      </c>
      <c r="AS328" s="136">
        <v>5.4999999999999997E-3</v>
      </c>
      <c r="AT328" s="136">
        <v>1.23E-2</v>
      </c>
      <c r="AV328" s="136">
        <v>3.27E-2</v>
      </c>
      <c r="AW328" s="136">
        <v>5.1999999999999998E-2</v>
      </c>
      <c r="AX328" s="136">
        <v>8.3000000000000004E-2</v>
      </c>
    </row>
    <row r="329" spans="1:50" s="79" customFormat="1" ht="11.25">
      <c r="A329" s="96">
        <f t="shared" ca="1" si="6"/>
        <v>318</v>
      </c>
      <c r="B329" s="68" t="s">
        <v>390</v>
      </c>
      <c r="C329" s="97">
        <v>0.2</v>
      </c>
      <c r="D329" s="69" t="s">
        <v>66</v>
      </c>
      <c r="E329" s="137" t="s">
        <v>87</v>
      </c>
      <c r="F329" s="156">
        <v>1.2700000000000001E-3</v>
      </c>
      <c r="G329" s="156">
        <v>1.7899999999999999E-3</v>
      </c>
      <c r="H329" s="156">
        <v>2.5899999999999999E-3</v>
      </c>
      <c r="I329" s="156">
        <v>3.2799999999999999E-3</v>
      </c>
      <c r="J329" s="156" t="s">
        <v>87</v>
      </c>
      <c r="K329" s="156">
        <v>4.5999999999999999E-3</v>
      </c>
      <c r="L329" s="156">
        <v>5.3200000000000001E-3</v>
      </c>
      <c r="M329" s="156">
        <v>5.8999999999999999E-3</v>
      </c>
      <c r="N329" s="138" cm="1">
        <f t="array" aca="1" ref="N329:AE329" ca="1">IF(OR(B329="",NOT($J$2)),"",GetStripDefaultProbability(A329,B329,Parameter_Date,CDSRollDate,E329:M329,SpreadCurveMaturities,D329,C329,$J$4,$J$6))</f>
        <v>0</v>
      </c>
      <c r="O329" s="163">
        <f ca="1"/>
        <v>9.4986028555765767E-4</v>
      </c>
      <c r="P329" s="163">
        <f ca="1"/>
        <v>2.4695338893468977E-3</v>
      </c>
      <c r="Q329" s="163">
        <f ca="1"/>
        <v>6.8652630998435882E-3</v>
      </c>
      <c r="R329" s="163">
        <f ca="1"/>
        <v>1.2891860872031424E-2</v>
      </c>
      <c r="S329" s="163">
        <f ca="1"/>
        <v>0</v>
      </c>
      <c r="T329" s="163">
        <f ca="1"/>
        <v>2.9953161636685821E-2</v>
      </c>
      <c r="U329" s="163">
        <f ca="1"/>
        <v>4.8170176009780685E-2</v>
      </c>
      <c r="V329" s="139">
        <f ca="1"/>
        <v>7.5511848654050473E-2</v>
      </c>
      <c r="W329" s="138">
        <f ca="1"/>
        <v>0</v>
      </c>
      <c r="X329" s="163">
        <f ca="1"/>
        <v>1.0246120919665813E-3</v>
      </c>
      <c r="Y329" s="163">
        <f ca="1"/>
        <v>2.5942174047284272E-3</v>
      </c>
      <c r="Z329" s="163">
        <f ca="1"/>
        <v>7.2066528540208896E-3</v>
      </c>
      <c r="AA329" s="163">
        <f ca="1"/>
        <v>1.3532088665529574E-2</v>
      </c>
      <c r="AB329" s="163">
        <f ca="1"/>
        <v>0</v>
      </c>
      <c r="AC329" s="163">
        <f ca="1"/>
        <v>3.1429608159552203E-2</v>
      </c>
      <c r="AD329" s="163">
        <f ca="1"/>
        <v>5.0527024733778791E-2</v>
      </c>
      <c r="AE329" s="139">
        <f ca="1"/>
        <v>7.9151378259948224E-2</v>
      </c>
      <c r="AH329" s="136">
        <v>8.9999999999999998E-4</v>
      </c>
      <c r="AI329" s="136">
        <v>2.3E-3</v>
      </c>
      <c r="AJ329" s="136">
        <v>6.7000000000000002E-3</v>
      </c>
      <c r="AK329" s="136">
        <v>1.2699999999999999E-2</v>
      </c>
      <c r="AM329" s="136">
        <v>2.9600000000000001E-2</v>
      </c>
      <c r="AN329" s="136">
        <v>4.7800000000000002E-2</v>
      </c>
      <c r="AO329" s="136">
        <v>7.51E-2</v>
      </c>
      <c r="AQ329" s="136">
        <v>8.9999999999999998E-4</v>
      </c>
      <c r="AR329" s="136">
        <v>2.5000000000000001E-3</v>
      </c>
      <c r="AS329" s="136">
        <v>7.0000000000000001E-3</v>
      </c>
      <c r="AT329" s="136">
        <v>1.3299999999999999E-2</v>
      </c>
      <c r="AV329" s="136">
        <v>3.1099999999999999E-2</v>
      </c>
      <c r="AW329" s="136">
        <v>5.0099999999999999E-2</v>
      </c>
      <c r="AX329" s="136">
        <v>7.8700000000000006E-2</v>
      </c>
    </row>
    <row r="330" spans="1:50" s="79" customFormat="1" ht="11.25">
      <c r="A330" s="96">
        <f t="shared" ca="1" si="6"/>
        <v>319</v>
      </c>
      <c r="B330" s="68" t="s">
        <v>391</v>
      </c>
      <c r="C330" s="97">
        <v>0.2</v>
      </c>
      <c r="D330" s="69" t="s">
        <v>66</v>
      </c>
      <c r="E330" s="137" t="s">
        <v>87</v>
      </c>
      <c r="F330" s="156">
        <v>9.3999999999999997E-4</v>
      </c>
      <c r="G330" s="156">
        <v>1.66E-3</v>
      </c>
      <c r="H330" s="156">
        <v>2.5699999999999998E-3</v>
      </c>
      <c r="I330" s="156">
        <v>3.4299999999999999E-3</v>
      </c>
      <c r="J330" s="156" t="s">
        <v>87</v>
      </c>
      <c r="K330" s="156">
        <v>4.7999999999999996E-3</v>
      </c>
      <c r="L330" s="156">
        <v>5.5700000000000003E-3</v>
      </c>
      <c r="M330" s="156">
        <v>6.1999999999999998E-3</v>
      </c>
      <c r="N330" s="138" cm="1">
        <f t="array" aca="1" ref="N330:AE330" ca="1">IF(OR(B330="",NOT($J$2)),"",GetStripDefaultProbability(A330,B330,Parameter_Date,CDSRollDate,E330:M330,SpreadCurveMaturities,D330,C330,$J$4,$J$6))</f>
        <v>0</v>
      </c>
      <c r="O330" s="163">
        <f ca="1"/>
        <v>7.0313270757627055E-4</v>
      </c>
      <c r="P330" s="163">
        <f ca="1"/>
        <v>2.2949895690052013E-3</v>
      </c>
      <c r="Q330" s="163">
        <f ca="1"/>
        <v>6.8244977728224576E-3</v>
      </c>
      <c r="R330" s="163">
        <f ca="1"/>
        <v>1.3514727516196534E-2</v>
      </c>
      <c r="S330" s="163">
        <f ca="1"/>
        <v>0</v>
      </c>
      <c r="T330" s="163">
        <f ca="1"/>
        <v>3.1274165944107701E-2</v>
      </c>
      <c r="U330" s="163">
        <f ca="1"/>
        <v>5.0440001524539424E-2</v>
      </c>
      <c r="V330" s="139">
        <f ca="1"/>
        <v>7.9322323986523502E-2</v>
      </c>
      <c r="W330" s="138">
        <f ca="1"/>
        <v>0</v>
      </c>
      <c r="X330" s="163">
        <f ca="1"/>
        <v>7.7790387183773735E-4</v>
      </c>
      <c r="Y330" s="163">
        <f ca="1"/>
        <v>2.4196949010627522E-3</v>
      </c>
      <c r="Z330" s="163">
        <f ca="1"/>
        <v>7.1632501995143594E-3</v>
      </c>
      <c r="AA330" s="163">
        <f ca="1"/>
        <v>1.4185237327794198E-2</v>
      </c>
      <c r="AB330" s="163">
        <f ca="1"/>
        <v>0</v>
      </c>
      <c r="AC330" s="163">
        <f ca="1"/>
        <v>3.2814363192439022E-2</v>
      </c>
      <c r="AD330" s="163">
        <f ca="1"/>
        <v>5.2905055143285806E-2</v>
      </c>
      <c r="AE330" s="139">
        <f ca="1"/>
        <v>8.3138140894099211E-2</v>
      </c>
      <c r="AH330" s="136">
        <v>5.9999999999999995E-4</v>
      </c>
      <c r="AI330" s="136">
        <v>2.2000000000000001E-3</v>
      </c>
      <c r="AJ330" s="136">
        <v>6.6E-3</v>
      </c>
      <c r="AK330" s="136">
        <v>1.3299999999999999E-2</v>
      </c>
      <c r="AM330" s="136">
        <v>3.09E-2</v>
      </c>
      <c r="AN330" s="136">
        <v>0.05</v>
      </c>
      <c r="AO330" s="136">
        <v>7.8799999999999995E-2</v>
      </c>
      <c r="AQ330" s="136">
        <v>6.9999999999999999E-4</v>
      </c>
      <c r="AR330" s="136">
        <v>2.3E-3</v>
      </c>
      <c r="AS330" s="136">
        <v>7.0000000000000001E-3</v>
      </c>
      <c r="AT330" s="136">
        <v>1.3899999999999999E-2</v>
      </c>
      <c r="AV330" s="136">
        <v>3.2399999999999998E-2</v>
      </c>
      <c r="AW330" s="136">
        <v>5.2499999999999998E-2</v>
      </c>
      <c r="AX330" s="136">
        <v>8.2600000000000007E-2</v>
      </c>
    </row>
    <row r="331" spans="1:50" s="79" customFormat="1" ht="11.25">
      <c r="A331" s="96">
        <f t="shared" ref="A331:A361" ca="1" si="7">IF(B331="","",A330+1)</f>
        <v>320</v>
      </c>
      <c r="B331" s="68" t="s">
        <v>392</v>
      </c>
      <c r="C331" s="97">
        <v>0.2</v>
      </c>
      <c r="D331" s="69" t="s">
        <v>66</v>
      </c>
      <c r="E331" s="137" t="s">
        <v>87</v>
      </c>
      <c r="F331" s="156">
        <v>1.1100000000000001E-3</v>
      </c>
      <c r="G331" s="156">
        <v>1.73E-3</v>
      </c>
      <c r="H331" s="156">
        <v>2.5899999999999999E-3</v>
      </c>
      <c r="I331" s="156">
        <v>3.3500000000000001E-3</v>
      </c>
      <c r="J331" s="156" t="s">
        <v>87</v>
      </c>
      <c r="K331" s="156">
        <v>4.7999999999999996E-3</v>
      </c>
      <c r="L331" s="156">
        <v>5.5799999999999999E-3</v>
      </c>
      <c r="M331" s="156">
        <v>6.1999999999999998E-3</v>
      </c>
      <c r="N331" s="138" cm="1">
        <f t="array" aca="1" ref="N331:AE331" ca="1">IF(OR(B331="",NOT($J$2)),"",GetStripDefaultProbability(A331,B331,Parameter_Date,CDSRollDate,E331:M331,SpreadCurveMaturities,D331,C331,$J$4,$J$6))</f>
        <v>0</v>
      </c>
      <c r="O331" s="163">
        <f ca="1"/>
        <v>8.3024237591122763E-4</v>
      </c>
      <c r="P331" s="163">
        <f ca="1"/>
        <v>2.3891323509267481E-3</v>
      </c>
      <c r="Q331" s="163">
        <f ca="1"/>
        <v>6.8714099146393037E-3</v>
      </c>
      <c r="R331" s="163">
        <f ca="1"/>
        <v>1.3181415026981891E-2</v>
      </c>
      <c r="S331" s="163">
        <f ca="1"/>
        <v>0</v>
      </c>
      <c r="T331" s="163">
        <f ca="1"/>
        <v>3.1288812985210912E-2</v>
      </c>
      <c r="U331" s="163">
        <f ca="1"/>
        <v>5.0552311654908477E-2</v>
      </c>
      <c r="V331" s="139">
        <f ca="1"/>
        <v>7.9323089316597706E-2</v>
      </c>
      <c r="W331" s="138">
        <f ca="1"/>
        <v>0</v>
      </c>
      <c r="X331" s="163">
        <f ca="1"/>
        <v>9.050036034430331E-4</v>
      </c>
      <c r="Y331" s="163">
        <f ca="1"/>
        <v>2.5138259158711262E-3</v>
      </c>
      <c r="Z331" s="163">
        <f ca="1"/>
        <v>7.2128166050379194E-3</v>
      </c>
      <c r="AA331" s="163">
        <f ca="1"/>
        <v>1.3835711846384657E-2</v>
      </c>
      <c r="AB331" s="163">
        <f ca="1"/>
        <v>0</v>
      </c>
      <c r="AC331" s="163">
        <f ca="1"/>
        <v>3.2830073609230848E-2</v>
      </c>
      <c r="AD331" s="163">
        <f ca="1"/>
        <v>5.3023268375060217E-2</v>
      </c>
      <c r="AE331" s="139">
        <f ca="1"/>
        <v>8.3139420350139215E-2</v>
      </c>
      <c r="AH331" s="136">
        <v>8.0000000000000004E-4</v>
      </c>
      <c r="AI331" s="136">
        <v>2.3E-3</v>
      </c>
      <c r="AJ331" s="136">
        <v>6.7000000000000002E-3</v>
      </c>
      <c r="AK331" s="136">
        <v>1.29E-2</v>
      </c>
      <c r="AM331" s="136">
        <v>3.09E-2</v>
      </c>
      <c r="AN331" s="136">
        <v>5.0099999999999999E-2</v>
      </c>
      <c r="AO331" s="136">
        <v>7.8899999999999998E-2</v>
      </c>
      <c r="AQ331" s="136">
        <v>8.0000000000000004E-4</v>
      </c>
      <c r="AR331" s="136">
        <v>2.3999999999999998E-3</v>
      </c>
      <c r="AS331" s="136">
        <v>7.0000000000000001E-3</v>
      </c>
      <c r="AT331" s="136">
        <v>1.3599999999999999E-2</v>
      </c>
      <c r="AV331" s="136">
        <v>3.2500000000000001E-2</v>
      </c>
      <c r="AW331" s="136">
        <v>5.2600000000000001E-2</v>
      </c>
      <c r="AX331" s="136">
        <v>8.2600000000000007E-2</v>
      </c>
    </row>
    <row r="332" spans="1:50" s="79" customFormat="1" ht="11.25">
      <c r="A332" s="96">
        <f t="shared" ca="1" si="7"/>
        <v>321</v>
      </c>
      <c r="B332" s="68" t="s">
        <v>393</v>
      </c>
      <c r="C332" s="97">
        <v>0.2</v>
      </c>
      <c r="D332" s="69" t="s">
        <v>66</v>
      </c>
      <c r="E332" s="137" t="s">
        <v>87</v>
      </c>
      <c r="F332" s="156">
        <v>1.06E-3</v>
      </c>
      <c r="G332" s="156">
        <v>1.5299999999999999E-3</v>
      </c>
      <c r="H332" s="156">
        <v>2.47E-3</v>
      </c>
      <c r="I332" s="156">
        <v>3.29E-3</v>
      </c>
      <c r="J332" s="156" t="s">
        <v>87</v>
      </c>
      <c r="K332" s="156">
        <v>4.7000000000000002E-3</v>
      </c>
      <c r="L332" s="156">
        <v>5.4200000000000003E-3</v>
      </c>
      <c r="M332" s="156">
        <v>6.0000000000000001E-3</v>
      </c>
      <c r="N332" s="138" cm="1">
        <f t="array" aca="1" ref="N332:AE332" ca="1">IF(OR(B332="",NOT($J$2)),"",GetStripDefaultProbability(A332,B332,Parameter_Date,CDSRollDate,E332:M332,SpreadCurveMaturities,D332,C332,$J$4,$J$6))</f>
        <v>0</v>
      </c>
      <c r="O332" s="163">
        <f ca="1"/>
        <v>7.9285885212920792E-4</v>
      </c>
      <c r="P332" s="163">
        <f ca="1"/>
        <v>2.1116442510635824E-3</v>
      </c>
      <c r="Q332" s="163">
        <f ca="1"/>
        <v>6.5597258605247788E-3</v>
      </c>
      <c r="R332" s="163">
        <f ca="1"/>
        <v>1.2965042214123979E-2</v>
      </c>
      <c r="S332" s="163">
        <f ca="1"/>
        <v>0</v>
      </c>
      <c r="T332" s="163">
        <f ca="1"/>
        <v>3.0659088448876437E-2</v>
      </c>
      <c r="U332" s="163">
        <f ca="1"/>
        <v>4.9106694839843756E-2</v>
      </c>
      <c r="V332" s="139">
        <f ca="1"/>
        <v>7.6776955077669129E-2</v>
      </c>
      <c r="W332" s="138">
        <f ca="1"/>
        <v>0</v>
      </c>
      <c r="X332" s="163">
        <f ca="1"/>
        <v>8.6762300999454478E-4</v>
      </c>
      <c r="Y332" s="163">
        <f ca="1"/>
        <v>2.2363724998619716E-3</v>
      </c>
      <c r="Z332" s="163">
        <f ca="1"/>
        <v>6.8851177148653298E-3</v>
      </c>
      <c r="AA332" s="163">
        <f ca="1"/>
        <v>1.3608165345382672E-2</v>
      </c>
      <c r="AB332" s="163">
        <f ca="1"/>
        <v>0</v>
      </c>
      <c r="AC332" s="163">
        <f ca="1"/>
        <v>3.2169298540407065E-2</v>
      </c>
      <c r="AD332" s="163">
        <f ca="1"/>
        <v>5.1507876133395469E-2</v>
      </c>
      <c r="AE332" s="139">
        <f ca="1"/>
        <v>8.0474528748287755E-2</v>
      </c>
      <c r="AH332" s="136">
        <v>6.9999999999999999E-4</v>
      </c>
      <c r="AI332" s="136">
        <v>2E-3</v>
      </c>
      <c r="AJ332" s="136">
        <v>6.4000000000000003E-3</v>
      </c>
      <c r="AK332" s="136">
        <v>1.2699999999999999E-2</v>
      </c>
      <c r="AM332" s="136">
        <v>3.0300000000000001E-2</v>
      </c>
      <c r="AN332" s="136">
        <v>4.87E-2</v>
      </c>
      <c r="AO332" s="136">
        <v>7.6300000000000007E-2</v>
      </c>
      <c r="AQ332" s="136">
        <v>8.0000000000000004E-4</v>
      </c>
      <c r="AR332" s="136">
        <v>2.0999999999999999E-3</v>
      </c>
      <c r="AS332" s="136">
        <v>6.7000000000000002E-3</v>
      </c>
      <c r="AT332" s="136">
        <v>1.34E-2</v>
      </c>
      <c r="AV332" s="136">
        <v>3.1800000000000002E-2</v>
      </c>
      <c r="AW332" s="136">
        <v>5.11E-2</v>
      </c>
      <c r="AX332" s="136">
        <v>0.08</v>
      </c>
    </row>
    <row r="333" spans="1:50" s="79" customFormat="1" ht="11.25">
      <c r="A333" s="96">
        <f t="shared" ca="1" si="7"/>
        <v>322</v>
      </c>
      <c r="B333" s="68" t="s">
        <v>112</v>
      </c>
      <c r="C333" s="97">
        <v>0.4</v>
      </c>
      <c r="D333" s="69" t="s">
        <v>66</v>
      </c>
      <c r="E333" s="137" t="s">
        <v>87</v>
      </c>
      <c r="F333" s="156">
        <v>1.15E-3</v>
      </c>
      <c r="G333" s="156">
        <v>1.81E-3</v>
      </c>
      <c r="H333" s="156">
        <v>2.8E-3</v>
      </c>
      <c r="I333" s="156">
        <v>3.5000000000000001E-3</v>
      </c>
      <c r="J333" s="156" t="s">
        <v>87</v>
      </c>
      <c r="K333" s="156">
        <v>4.5999999999999999E-3</v>
      </c>
      <c r="L333" s="156">
        <v>5.1999999999999998E-3</v>
      </c>
      <c r="M333" s="156">
        <v>5.7000000000000002E-3</v>
      </c>
      <c r="N333" s="138" cm="1">
        <f t="array" aca="1" ref="N333:AE333" ca="1">IF(OR(B333="",NOT($J$2)),"",GetStripDefaultProbability(A333,B333,Parameter_Date,CDSRollDate,E333:M333,SpreadCurveMaturities,D333,C333,$J$4,$J$6))</f>
        <v>0</v>
      </c>
      <c r="O333" s="163">
        <f ca="1"/>
        <v>1.1467003581168145E-3</v>
      </c>
      <c r="P333" s="163">
        <f ca="1"/>
        <v>3.3318572044148675E-3</v>
      </c>
      <c r="Q333" s="163">
        <f ca="1"/>
        <v>9.8984298376574298E-3</v>
      </c>
      <c r="R333" s="163">
        <f ca="1"/>
        <v>1.8309326501480538E-2</v>
      </c>
      <c r="S333" s="163">
        <f ca="1"/>
        <v>0</v>
      </c>
      <c r="T333" s="163">
        <f ca="1"/>
        <v>3.9659348673085626E-2</v>
      </c>
      <c r="U333" s="163">
        <f ca="1"/>
        <v>6.2142756136775668E-2</v>
      </c>
      <c r="V333" s="139">
        <f ca="1"/>
        <v>9.5936337618325762E-2</v>
      </c>
      <c r="W333" s="138">
        <f ca="1"/>
        <v>0</v>
      </c>
      <c r="X333" s="163">
        <f ca="1"/>
        <v>1.2463482251061642E-3</v>
      </c>
      <c r="Y333" s="163">
        <f ca="1"/>
        <v>3.4979547197019345E-3</v>
      </c>
      <c r="Z333" s="163">
        <f ca="1"/>
        <v>1.0389982203571457E-2</v>
      </c>
      <c r="AA333" s="163">
        <f ca="1"/>
        <v>1.9216435378708985E-2</v>
      </c>
      <c r="AB333" s="163">
        <f ca="1"/>
        <v>0</v>
      </c>
      <c r="AC333" s="163">
        <f ca="1"/>
        <v>4.1604470504921109E-2</v>
      </c>
      <c r="AD333" s="163">
        <f ca="1"/>
        <v>6.5161315998461755E-2</v>
      </c>
      <c r="AE333" s="139">
        <f ca="1"/>
        <v>0.10050760207043041</v>
      </c>
      <c r="AH333" s="136">
        <v>1E-3</v>
      </c>
      <c r="AI333" s="136">
        <v>3.2000000000000002E-3</v>
      </c>
      <c r="AJ333" s="136">
        <v>9.5999999999999992E-3</v>
      </c>
      <c r="AK333" s="136">
        <v>1.7999999999999999E-2</v>
      </c>
      <c r="AM333" s="136">
        <v>3.9199999999999999E-2</v>
      </c>
      <c r="AN333" s="136">
        <v>6.1600000000000002E-2</v>
      </c>
      <c r="AO333" s="136">
        <v>9.5399999999999999E-2</v>
      </c>
      <c r="AQ333" s="136">
        <v>1.1000000000000001E-3</v>
      </c>
      <c r="AR333" s="136">
        <v>3.3E-3</v>
      </c>
      <c r="AS333" s="136">
        <v>1.01E-2</v>
      </c>
      <c r="AT333" s="136">
        <v>1.89E-2</v>
      </c>
      <c r="AV333" s="136">
        <v>4.1099999999999998E-2</v>
      </c>
      <c r="AW333" s="136">
        <v>6.4600000000000005E-2</v>
      </c>
      <c r="AX333" s="136">
        <v>9.9900000000000003E-2</v>
      </c>
    </row>
    <row r="334" spans="1:50" s="79" customFormat="1" ht="11.25">
      <c r="A334" s="96">
        <f t="shared" ca="1" si="7"/>
        <v>323</v>
      </c>
      <c r="B334" s="68" t="s">
        <v>394</v>
      </c>
      <c r="C334" s="97">
        <v>0.2</v>
      </c>
      <c r="D334" s="69" t="s">
        <v>67</v>
      </c>
      <c r="E334" s="137" t="s">
        <v>87</v>
      </c>
      <c r="F334" s="156">
        <v>1.6299999999999999E-3</v>
      </c>
      <c r="G334" s="156">
        <v>1.8400000000000001E-3</v>
      </c>
      <c r="H334" s="156">
        <v>2.2399999999999998E-3</v>
      </c>
      <c r="I334" s="156">
        <v>2.8E-3</v>
      </c>
      <c r="J334" s="156" t="s">
        <v>87</v>
      </c>
      <c r="K334" s="156">
        <v>4.5999999999999999E-3</v>
      </c>
      <c r="L334" s="156">
        <v>4.9399999999999999E-3</v>
      </c>
      <c r="M334" s="156">
        <v>5.4999999999999997E-3</v>
      </c>
      <c r="N334" s="138" cm="1">
        <f t="array" aca="1" ref="N334:AE334" ca="1">IF(OR(B334="",NOT($J$2)),"",GetStripDefaultProbability(A334,B334,Parameter_Date,CDSRollDate,E334:M334,SpreadCurveMaturities,D334,C334,$J$4,$J$6))</f>
        <v>0</v>
      </c>
      <c r="O334" s="163">
        <f ca="1"/>
        <v>1.2189665429579444E-3</v>
      </c>
      <c r="P334" s="163">
        <f ca="1"/>
        <v>2.5321081812110791E-3</v>
      </c>
      <c r="Q334" s="163">
        <f ca="1"/>
        <v>5.9147864160049579E-3</v>
      </c>
      <c r="R334" s="163">
        <f ca="1"/>
        <v>1.0984037528367852E-2</v>
      </c>
      <c r="S334" s="163">
        <f ca="1"/>
        <v>0</v>
      </c>
      <c r="T334" s="163">
        <f ca="1"/>
        <v>3.0192779511955092E-2</v>
      </c>
      <c r="U334" s="163">
        <f ca="1"/>
        <v>4.4728050269355446E-2</v>
      </c>
      <c r="V334" s="139">
        <f ca="1"/>
        <v>7.0706583384168131E-2</v>
      </c>
      <c r="W334" s="138">
        <f ca="1"/>
        <v>0</v>
      </c>
      <c r="X334" s="163">
        <f ca="1"/>
        <v>1.2936980207768345E-3</v>
      </c>
      <c r="Y334" s="163">
        <f ca="1"/>
        <v>2.6567838753012163E-3</v>
      </c>
      <c r="Z334" s="163">
        <f ca="1"/>
        <v>6.209347998656467E-3</v>
      </c>
      <c r="AA334" s="163">
        <f ca="1"/>
        <v>1.1530221889519132E-2</v>
      </c>
      <c r="AB334" s="163">
        <f ca="1"/>
        <v>0</v>
      </c>
      <c r="AC334" s="163">
        <f ca="1"/>
        <v>3.1681583205898978E-2</v>
      </c>
      <c r="AD334" s="163">
        <f ca="1"/>
        <v>4.6919977360727061E-2</v>
      </c>
      <c r="AE334" s="139">
        <f ca="1"/>
        <v>7.412150555413044E-2</v>
      </c>
      <c r="AH334" s="136">
        <v>1.1000000000000001E-3</v>
      </c>
      <c r="AI334" s="136">
        <v>2.3999999999999998E-3</v>
      </c>
      <c r="AJ334" s="136">
        <v>5.7999999999999996E-3</v>
      </c>
      <c r="AK334" s="136">
        <v>1.0800000000000001E-2</v>
      </c>
      <c r="AM334" s="136">
        <v>2.98E-2</v>
      </c>
      <c r="AN334" s="136">
        <v>4.4400000000000002E-2</v>
      </c>
      <c r="AO334" s="136">
        <v>7.0300000000000001E-2</v>
      </c>
      <c r="AQ334" s="136">
        <v>1.1999999999999999E-3</v>
      </c>
      <c r="AR334" s="136">
        <v>2.5000000000000001E-3</v>
      </c>
      <c r="AS334" s="136">
        <v>6.0000000000000001E-3</v>
      </c>
      <c r="AT334" s="136">
        <v>1.1299999999999999E-2</v>
      </c>
      <c r="AV334" s="136">
        <v>3.1300000000000001E-2</v>
      </c>
      <c r="AW334" s="136">
        <v>4.65E-2</v>
      </c>
      <c r="AX334" s="136">
        <v>7.3700000000000002E-2</v>
      </c>
    </row>
    <row r="335" spans="1:50" s="79" customFormat="1" ht="11.25">
      <c r="A335" s="96">
        <f t="shared" ca="1" si="7"/>
        <v>324</v>
      </c>
      <c r="B335" s="68" t="s">
        <v>395</v>
      </c>
      <c r="C335" s="97">
        <v>0.4</v>
      </c>
      <c r="D335" s="69" t="s">
        <v>67</v>
      </c>
      <c r="E335" s="137" t="s">
        <v>87</v>
      </c>
      <c r="F335" s="156" t="s">
        <v>87</v>
      </c>
      <c r="G335" s="156">
        <v>1.75E-3</v>
      </c>
      <c r="H335" s="156" t="s">
        <v>87</v>
      </c>
      <c r="I335" s="156">
        <v>3.2499999999999999E-3</v>
      </c>
      <c r="J335" s="156" t="s">
        <v>87</v>
      </c>
      <c r="K335" s="156">
        <v>4.2500000000000003E-3</v>
      </c>
      <c r="L335" s="156">
        <v>4.6499999999999996E-3</v>
      </c>
      <c r="M335" s="156">
        <v>4.9500000000000004E-3</v>
      </c>
      <c r="N335" s="138" cm="1">
        <f t="array" aca="1" ref="N335:AE335" ca="1">IF(OR(B335="",NOT($J$2)),"",GetStripDefaultProbability(A335,B335,Parameter_Date,CDSRollDate,E335:M335,SpreadCurveMaturities,D335,C335,$J$4,$J$6))</f>
        <v>0</v>
      </c>
      <c r="O335" s="163">
        <f ca="1"/>
        <v>0</v>
      </c>
      <c r="P335" s="163">
        <f ca="1"/>
        <v>3.2047633264822295E-3</v>
      </c>
      <c r="Q335" s="163">
        <f ca="1"/>
        <v>0</v>
      </c>
      <c r="R335" s="163">
        <f ca="1"/>
        <v>1.69418358129656E-2</v>
      </c>
      <c r="S335" s="163">
        <f ca="1"/>
        <v>0</v>
      </c>
      <c r="T335" s="163">
        <f ca="1"/>
        <v>3.6641373813767419E-2</v>
      </c>
      <c r="U335" s="163">
        <f ca="1"/>
        <v>5.5541445978683157E-2</v>
      </c>
      <c r="V335" s="139">
        <f ca="1"/>
        <v>8.3298352656621666E-2</v>
      </c>
      <c r="W335" s="138">
        <f ca="1"/>
        <v>0</v>
      </c>
      <c r="X335" s="163">
        <f ca="1"/>
        <v>0</v>
      </c>
      <c r="Y335" s="163">
        <f ca="1"/>
        <v>3.3708820223213865E-3</v>
      </c>
      <c r="Z335" s="163">
        <f ca="1"/>
        <v>0</v>
      </c>
      <c r="AA335" s="163">
        <f ca="1"/>
        <v>1.7780522641496321E-2</v>
      </c>
      <c r="AB335" s="163">
        <f ca="1"/>
        <v>0</v>
      </c>
      <c r="AC335" s="163">
        <f ca="1"/>
        <v>3.8440936032050566E-2</v>
      </c>
      <c r="AD335" s="163">
        <f ca="1"/>
        <v>5.8246522463722417E-2</v>
      </c>
      <c r="AE335" s="139">
        <f ca="1"/>
        <v>8.7289130267417914E-2</v>
      </c>
      <c r="AI335" s="136">
        <v>3.0000000000000001E-3</v>
      </c>
      <c r="AK335" s="136">
        <v>1.66E-2</v>
      </c>
      <c r="AM335" s="136">
        <v>3.6200000000000003E-2</v>
      </c>
      <c r="AN335" s="136">
        <v>5.5100000000000003E-2</v>
      </c>
      <c r="AO335" s="136">
        <v>8.2799999999999999E-2</v>
      </c>
      <c r="AR335" s="136">
        <v>3.2000000000000002E-3</v>
      </c>
      <c r="AT335" s="136">
        <v>1.7500000000000002E-2</v>
      </c>
      <c r="AV335" s="136">
        <v>3.7999999999999999E-2</v>
      </c>
      <c r="AW335" s="136">
        <v>5.7799999999999997E-2</v>
      </c>
      <c r="AX335" s="136">
        <v>8.6800000000000002E-2</v>
      </c>
    </row>
    <row r="336" spans="1:50" s="79" customFormat="1" ht="11.25">
      <c r="A336" s="96">
        <f t="shared" ca="1" si="7"/>
        <v>325</v>
      </c>
      <c r="B336" s="68" t="s">
        <v>396</v>
      </c>
      <c r="C336" s="97">
        <v>0.2</v>
      </c>
      <c r="D336" s="69" t="s">
        <v>67</v>
      </c>
      <c r="E336" s="137" t="s">
        <v>87</v>
      </c>
      <c r="F336" s="156" t="s">
        <v>87</v>
      </c>
      <c r="G336" s="156">
        <v>1.013E-3</v>
      </c>
      <c r="H336" s="156" t="s">
        <v>87</v>
      </c>
      <c r="I336" s="156">
        <v>2.0270000000000002E-3</v>
      </c>
      <c r="J336" s="156" t="s">
        <v>87</v>
      </c>
      <c r="K336" s="156">
        <v>3.6679999999999998E-3</v>
      </c>
      <c r="L336" s="156">
        <v>4.1850000000000004E-3</v>
      </c>
      <c r="M336" s="156">
        <v>4.7229999999999998E-3</v>
      </c>
      <c r="N336" s="138" cm="1">
        <f t="array" aca="1" ref="N336:AE336" ca="1">IF(OR(B336="",NOT($J$2)),"",GetStripDefaultProbability(A336,B336,Parameter_Date,CDSRollDate,E336:M336,SpreadCurveMaturities,D336,C336,$J$4,$J$6))</f>
        <v>0</v>
      </c>
      <c r="O336" s="163">
        <f ca="1"/>
        <v>0</v>
      </c>
      <c r="P336" s="163">
        <f ca="1"/>
        <v>1.3925785651176525E-3</v>
      </c>
      <c r="Q336" s="163">
        <f ca="1"/>
        <v>0</v>
      </c>
      <c r="R336" s="163">
        <f ca="1"/>
        <v>7.962316950831716E-3</v>
      </c>
      <c r="S336" s="163">
        <f ca="1"/>
        <v>0</v>
      </c>
      <c r="T336" s="163">
        <f ca="1"/>
        <v>2.4226787555246321E-2</v>
      </c>
      <c r="U336" s="163">
        <f ca="1"/>
        <v>3.8347944331564632E-2</v>
      </c>
      <c r="V336" s="139">
        <f ca="1"/>
        <v>6.1467131381962803E-2</v>
      </c>
      <c r="W336" s="138">
        <f ca="1"/>
        <v>0</v>
      </c>
      <c r="X336" s="163">
        <f ca="1"/>
        <v>0</v>
      </c>
      <c r="Y336" s="163">
        <f ca="1"/>
        <v>1.5173966914855397E-3</v>
      </c>
      <c r="Z336" s="163">
        <f ca="1"/>
        <v>0</v>
      </c>
      <c r="AA336" s="163">
        <f ca="1"/>
        <v>8.3546192577931278E-3</v>
      </c>
      <c r="AB336" s="163">
        <f ca="1"/>
        <v>0</v>
      </c>
      <c r="AC336" s="163">
        <f ca="1"/>
        <v>2.5421005125644824E-2</v>
      </c>
      <c r="AD336" s="163">
        <f ca="1"/>
        <v>4.0230250348424312E-2</v>
      </c>
      <c r="AE336" s="139">
        <f ca="1"/>
        <v>6.4448735538820578E-2</v>
      </c>
      <c r="AI336" s="136">
        <v>1.2999999999999999E-3</v>
      </c>
      <c r="AK336" s="136">
        <v>7.7999999999999996E-3</v>
      </c>
      <c r="AM336" s="136">
        <v>2.3900000000000001E-2</v>
      </c>
      <c r="AN336" s="136">
        <v>3.7999999999999999E-2</v>
      </c>
      <c r="AO336" s="136">
        <v>6.1100000000000002E-2</v>
      </c>
      <c r="AR336" s="136">
        <v>1.4E-3</v>
      </c>
      <c r="AT336" s="136">
        <v>8.2000000000000007E-3</v>
      </c>
      <c r="AV336" s="136">
        <v>2.5100000000000001E-2</v>
      </c>
      <c r="AW336" s="136">
        <v>3.9899999999999998E-2</v>
      </c>
      <c r="AX336" s="136">
        <v>6.4100000000000004E-2</v>
      </c>
    </row>
    <row r="337" spans="1:50" s="79" customFormat="1" ht="11.25">
      <c r="A337" s="96">
        <f t="shared" ca="1" si="7"/>
        <v>326</v>
      </c>
      <c r="B337" s="68" t="s">
        <v>397</v>
      </c>
      <c r="C337" s="97">
        <v>0.2</v>
      </c>
      <c r="D337" s="69" t="s">
        <v>66</v>
      </c>
      <c r="E337" s="137" t="s">
        <v>87</v>
      </c>
      <c r="F337" s="156">
        <v>5.0000000000000001E-4</v>
      </c>
      <c r="G337" s="156">
        <v>1E-3</v>
      </c>
      <c r="H337" s="156">
        <v>1.6000000000000001E-3</v>
      </c>
      <c r="I337" s="156">
        <v>2.2000000000000001E-3</v>
      </c>
      <c r="J337" s="156" t="s">
        <v>87</v>
      </c>
      <c r="K337" s="156">
        <v>3.3E-3</v>
      </c>
      <c r="L337" s="156">
        <v>3.8999999999999998E-3</v>
      </c>
      <c r="M337" s="156">
        <v>4.4999999999999997E-3</v>
      </c>
      <c r="N337" s="138" cm="1">
        <f t="array" aca="1" ref="N337:AE337" ca="1">IF(OR(B337="",NOT($J$2)),"",GetStripDefaultProbability(A337,B337,Parameter_Date,CDSRollDate,E337:M337,SpreadCurveMaturities,D337,C337,$J$4,$J$6))</f>
        <v>0</v>
      </c>
      <c r="O337" s="163">
        <f ca="1"/>
        <v>3.7406813298301866E-4</v>
      </c>
      <c r="P337" s="163">
        <f ca="1"/>
        <v>1.3842727168100755E-3</v>
      </c>
      <c r="Q337" s="163">
        <f ca="1"/>
        <v>4.2561683674704476E-3</v>
      </c>
      <c r="R337" s="163">
        <f ca="1"/>
        <v>8.6951896046119082E-3</v>
      </c>
      <c r="S337" s="163">
        <f ca="1"/>
        <v>0</v>
      </c>
      <c r="T337" s="163">
        <f ca="1"/>
        <v>2.1657380501789003E-2</v>
      </c>
      <c r="U337" s="163">
        <f ca="1"/>
        <v>3.5665456951203489E-2</v>
      </c>
      <c r="V337" s="139">
        <f ca="1"/>
        <v>5.8545044875057406E-2</v>
      </c>
      <c r="W337" s="138">
        <f ca="1"/>
        <v>0</v>
      </c>
      <c r="X337" s="163">
        <f ca="1"/>
        <v>4.48864672465632E-4</v>
      </c>
      <c r="Y337" s="163">
        <f ca="1"/>
        <v>1.5090918813525089E-3</v>
      </c>
      <c r="Z337" s="163">
        <f ca="1"/>
        <v>4.518983757668682E-3</v>
      </c>
      <c r="AA337" s="163">
        <f ca="1"/>
        <v>9.1224412857235926E-3</v>
      </c>
      <c r="AB337" s="163">
        <f ca="1"/>
        <v>0</v>
      </c>
      <c r="AC337" s="163">
        <f ca="1"/>
        <v>2.2723887873982274E-2</v>
      </c>
      <c r="AD337" s="163">
        <f ca="1"/>
        <v>3.7415727897220807E-2</v>
      </c>
      <c r="AE337" s="139">
        <f ca="1"/>
        <v>6.138791667013177E-2</v>
      </c>
      <c r="AH337" s="136">
        <v>2.9999999999999997E-4</v>
      </c>
      <c r="AI337" s="136">
        <v>1.2999999999999999E-3</v>
      </c>
      <c r="AJ337" s="136">
        <v>4.1000000000000003E-3</v>
      </c>
      <c r="AK337" s="136">
        <v>8.5000000000000006E-3</v>
      </c>
      <c r="AM337" s="136">
        <v>2.1399999999999999E-2</v>
      </c>
      <c r="AN337" s="136">
        <v>3.5400000000000001E-2</v>
      </c>
      <c r="AO337" s="136">
        <v>5.8200000000000002E-2</v>
      </c>
      <c r="AQ337" s="136">
        <v>4.0000000000000002E-4</v>
      </c>
      <c r="AR337" s="136">
        <v>1.4E-3</v>
      </c>
      <c r="AS337" s="136">
        <v>4.4000000000000003E-3</v>
      </c>
      <c r="AT337" s="136">
        <v>8.8999999999999999E-3</v>
      </c>
      <c r="AV337" s="136">
        <v>2.2499999999999999E-2</v>
      </c>
      <c r="AW337" s="136">
        <v>3.7100000000000001E-2</v>
      </c>
      <c r="AX337" s="136">
        <v>6.0999999999999999E-2</v>
      </c>
    </row>
    <row r="338" spans="1:50" s="79" customFormat="1" ht="11.25">
      <c r="A338" s="96">
        <f t="shared" ca="1" si="7"/>
        <v>327</v>
      </c>
      <c r="B338" s="68" t="s">
        <v>398</v>
      </c>
      <c r="C338" s="97">
        <v>0.4</v>
      </c>
      <c r="D338" s="69" t="s">
        <v>67</v>
      </c>
      <c r="E338" s="137" t="s">
        <v>87</v>
      </c>
      <c r="F338" s="156" t="s">
        <v>87</v>
      </c>
      <c r="G338" s="156">
        <v>1.3649999999999999E-3</v>
      </c>
      <c r="H338" s="156" t="s">
        <v>87</v>
      </c>
      <c r="I338" s="156">
        <v>3.6960000000000001E-3</v>
      </c>
      <c r="J338" s="156" t="s">
        <v>87</v>
      </c>
      <c r="K338" s="156">
        <v>4.3E-3</v>
      </c>
      <c r="L338" s="156">
        <v>4.3499999999999997E-3</v>
      </c>
      <c r="M338" s="156">
        <v>4.4000000000000003E-3</v>
      </c>
      <c r="N338" s="138" cm="1">
        <f t="array" aca="1" ref="N338:AE338" ca="1">IF(OR(B338="",NOT($J$2)),"",GetStripDefaultProbability(A338,B338,Parameter_Date,CDSRollDate,E338:M338,SpreadCurveMaturities,D338,C338,$J$4,$J$6))</f>
        <v>0</v>
      </c>
      <c r="O338" s="163">
        <f ca="1"/>
        <v>0</v>
      </c>
      <c r="P338" s="163">
        <f ca="1"/>
        <v>2.5005904762646081E-3</v>
      </c>
      <c r="Q338" s="163">
        <f ca="1"/>
        <v>0</v>
      </c>
      <c r="R338" s="163">
        <f ca="1"/>
        <v>1.9339567782115652E-2</v>
      </c>
      <c r="S338" s="163">
        <f ca="1"/>
        <v>0</v>
      </c>
      <c r="T338" s="163">
        <f ca="1"/>
        <v>3.68821607019304E-2</v>
      </c>
      <c r="U338" s="163">
        <f ca="1"/>
        <v>5.1333614527634963E-2</v>
      </c>
      <c r="V338" s="139">
        <f ca="1"/>
        <v>7.2889950032443029E-2</v>
      </c>
      <c r="W338" s="138">
        <f ca="1"/>
        <v>0</v>
      </c>
      <c r="X338" s="163">
        <f ca="1"/>
        <v>0</v>
      </c>
      <c r="Y338" s="163">
        <f ca="1"/>
        <v>2.6668265244654821E-3</v>
      </c>
      <c r="Z338" s="163">
        <f ca="1"/>
        <v>0</v>
      </c>
      <c r="AA338" s="163">
        <f ca="1"/>
        <v>2.0293150900783319E-2</v>
      </c>
      <c r="AB338" s="163">
        <f ca="1"/>
        <v>0</v>
      </c>
      <c r="AC338" s="163">
        <f ca="1"/>
        <v>3.8690107191898582E-2</v>
      </c>
      <c r="AD338" s="163">
        <f ca="1"/>
        <v>5.3831940818532598E-2</v>
      </c>
      <c r="AE338" s="139">
        <f ca="1"/>
        <v>7.6389992391508121E-2</v>
      </c>
      <c r="AI338" s="136">
        <v>2.3999999999999998E-3</v>
      </c>
      <c r="AK338" s="136">
        <v>1.9E-2</v>
      </c>
      <c r="AM338" s="136">
        <v>3.6499999999999998E-2</v>
      </c>
      <c r="AN338" s="136">
        <v>5.0900000000000001E-2</v>
      </c>
      <c r="AO338" s="136">
        <v>7.2499999999999995E-2</v>
      </c>
      <c r="AR338" s="136">
        <v>2.5000000000000001E-3</v>
      </c>
      <c r="AT338" s="136">
        <v>1.9900000000000001E-2</v>
      </c>
      <c r="AV338" s="136">
        <v>3.8300000000000001E-2</v>
      </c>
      <c r="AW338" s="136">
        <v>5.3400000000000003E-2</v>
      </c>
      <c r="AX338" s="136">
        <v>7.5999999999999998E-2</v>
      </c>
    </row>
    <row r="339" spans="1:50" s="79" customFormat="1" ht="11.25">
      <c r="A339" s="96">
        <f t="shared" ca="1" si="7"/>
        <v>328</v>
      </c>
      <c r="B339" s="68" t="s">
        <v>399</v>
      </c>
      <c r="C339" s="97">
        <v>0.2</v>
      </c>
      <c r="D339" s="69" t="s">
        <v>67</v>
      </c>
      <c r="E339" s="137" t="s">
        <v>87</v>
      </c>
      <c r="F339" s="156" t="s">
        <v>87</v>
      </c>
      <c r="G339" s="156">
        <v>1.029E-3</v>
      </c>
      <c r="H339" s="156" t="s">
        <v>87</v>
      </c>
      <c r="I339" s="156">
        <v>2.5209999999999998E-3</v>
      </c>
      <c r="J339" s="156" t="s">
        <v>87</v>
      </c>
      <c r="K339" s="156">
        <v>3.5500000000000002E-3</v>
      </c>
      <c r="L339" s="156">
        <v>3.5500000000000002E-3</v>
      </c>
      <c r="M339" s="156">
        <v>3.9500000000000004E-3</v>
      </c>
      <c r="N339" s="138" cm="1">
        <f t="array" aca="1" ref="N339:AE339" ca="1">IF(OR(B339="",NOT($J$2)),"",GetStripDefaultProbability(A339,B339,Parameter_Date,CDSRollDate,E339:M339,SpreadCurveMaturities,D339,C339,$J$4,$J$6))</f>
        <v>0</v>
      </c>
      <c r="O339" s="163">
        <f ca="1"/>
        <v>0</v>
      </c>
      <c r="P339" s="163">
        <f ca="1"/>
        <v>1.414558439792879E-3</v>
      </c>
      <c r="Q339" s="163">
        <f ca="1"/>
        <v>0</v>
      </c>
      <c r="R339" s="163">
        <f ca="1"/>
        <v>9.9189087164792689E-3</v>
      </c>
      <c r="S339" s="163">
        <f ca="1"/>
        <v>0</v>
      </c>
      <c r="T339" s="163">
        <f ca="1"/>
        <v>2.3208844898091496E-2</v>
      </c>
      <c r="U339" s="163">
        <f ca="1"/>
        <v>3.1894524649435096E-2</v>
      </c>
      <c r="V339" s="139">
        <f ca="1"/>
        <v>5.0788049451260808E-2</v>
      </c>
      <c r="W339" s="138">
        <f ca="1"/>
        <v>0</v>
      </c>
      <c r="X339" s="163">
        <f ca="1"/>
        <v>0</v>
      </c>
      <c r="Y339" s="163">
        <f ca="1"/>
        <v>1.5393738188774764E-3</v>
      </c>
      <c r="Z339" s="163">
        <f ca="1"/>
        <v>0</v>
      </c>
      <c r="AA339" s="163">
        <f ca="1"/>
        <v>1.0408158661565414E-2</v>
      </c>
      <c r="AB339" s="163">
        <f ca="1"/>
        <v>0</v>
      </c>
      <c r="AC339" s="163">
        <f ca="1"/>
        <v>2.4352840327039438E-2</v>
      </c>
      <c r="AD339" s="163">
        <f ca="1"/>
        <v>3.3461199381784934E-2</v>
      </c>
      <c r="AE339" s="139">
        <f ca="1"/>
        <v>5.3259602971429287E-2</v>
      </c>
      <c r="AI339" s="136">
        <v>1.2999999999999999E-3</v>
      </c>
      <c r="AK339" s="136">
        <v>9.7000000000000003E-3</v>
      </c>
      <c r="AM339" s="136">
        <v>2.29E-2</v>
      </c>
      <c r="AN339" s="136">
        <v>3.1600000000000003E-2</v>
      </c>
      <c r="AO339" s="136">
        <v>5.0500000000000003E-2</v>
      </c>
      <c r="AR339" s="136">
        <v>1.5E-3</v>
      </c>
      <c r="AT339" s="136">
        <v>1.0200000000000001E-2</v>
      </c>
      <c r="AV339" s="136">
        <v>2.41E-2</v>
      </c>
      <c r="AW339" s="136">
        <v>3.32E-2</v>
      </c>
      <c r="AX339" s="136">
        <v>5.2900000000000003E-2</v>
      </c>
    </row>
    <row r="340" spans="1:50" s="79" customFormat="1" ht="11.25">
      <c r="A340" s="96">
        <f t="shared" ca="1" si="7"/>
        <v>329</v>
      </c>
      <c r="B340" s="68" t="s">
        <v>400</v>
      </c>
      <c r="C340" s="97">
        <v>0.2</v>
      </c>
      <c r="D340" s="69" t="s">
        <v>67</v>
      </c>
      <c r="E340" s="137" t="s">
        <v>87</v>
      </c>
      <c r="F340" s="156" t="s">
        <v>87</v>
      </c>
      <c r="G340" s="156">
        <v>6.6299999999999996E-4</v>
      </c>
      <c r="H340" s="156" t="s">
        <v>87</v>
      </c>
      <c r="I340" s="156">
        <v>1.534E-3</v>
      </c>
      <c r="J340" s="156" t="s">
        <v>87</v>
      </c>
      <c r="K340" s="156">
        <v>2.65E-3</v>
      </c>
      <c r="L340" s="156">
        <v>3.4399999999999999E-3</v>
      </c>
      <c r="M340" s="156">
        <v>4.2770000000000004E-3</v>
      </c>
      <c r="N340" s="138" cm="1">
        <f t="array" aca="1" ref="N340:AE340" ca="1">IF(OR(B340="",NOT($J$2)),"",GetStripDefaultProbability(A340,B340,Parameter_Date,CDSRollDate,E340:M340,SpreadCurveMaturities,D340,C340,$J$4,$J$6))</f>
        <v>0</v>
      </c>
      <c r="O340" s="163">
        <f ca="1"/>
        <v>0</v>
      </c>
      <c r="P340" s="163">
        <f ca="1"/>
        <v>9.1164870327464786E-4</v>
      </c>
      <c r="Q340" s="163">
        <f ca="1"/>
        <v>0</v>
      </c>
      <c r="R340" s="163">
        <f ca="1"/>
        <v>6.0408906084902236E-3</v>
      </c>
      <c r="S340" s="163">
        <f ca="1"/>
        <v>0</v>
      </c>
      <c r="T340" s="163">
        <f ca="1"/>
        <v>1.7520077554688873E-2</v>
      </c>
      <c r="U340" s="163">
        <f ca="1"/>
        <v>3.196615886784282E-2</v>
      </c>
      <c r="V340" s="139">
        <f ca="1"/>
        <v>5.7023163278683842E-2</v>
      </c>
      <c r="W340" s="138">
        <f ca="1"/>
        <v>0</v>
      </c>
      <c r="X340" s="163">
        <f ca="1"/>
        <v>0</v>
      </c>
      <c r="Y340" s="163">
        <f ca="1"/>
        <v>1.0365269421562795E-3</v>
      </c>
      <c r="Z340" s="163">
        <f ca="1"/>
        <v>0</v>
      </c>
      <c r="AA340" s="163">
        <f ca="1"/>
        <v>6.428670443108131E-3</v>
      </c>
      <c r="AB340" s="163">
        <f ca="1"/>
        <v>0</v>
      </c>
      <c r="AC340" s="163">
        <f ca="1"/>
        <v>1.837362492410044E-2</v>
      </c>
      <c r="AD340" s="163">
        <f ca="1"/>
        <v>3.3528070868828808E-2</v>
      </c>
      <c r="AE340" s="139">
        <f ca="1"/>
        <v>5.9787530144880474E-2</v>
      </c>
      <c r="AI340" s="136">
        <v>8.9999999999999998E-4</v>
      </c>
      <c r="AK340" s="136">
        <v>5.8999999999999999E-3</v>
      </c>
      <c r="AM340" s="136">
        <v>1.7299999999999999E-2</v>
      </c>
      <c r="AN340" s="136">
        <v>3.1699999999999999E-2</v>
      </c>
      <c r="AO340" s="136">
        <v>5.67E-2</v>
      </c>
      <c r="AR340" s="136">
        <v>1E-3</v>
      </c>
      <c r="AT340" s="136">
        <v>6.3E-3</v>
      </c>
      <c r="AV340" s="136">
        <v>1.8200000000000001E-2</v>
      </c>
      <c r="AW340" s="136">
        <v>3.32E-2</v>
      </c>
      <c r="AX340" s="136">
        <v>5.9400000000000001E-2</v>
      </c>
    </row>
    <row r="341" spans="1:50" s="79" customFormat="1" ht="11.25">
      <c r="A341" s="96">
        <f t="shared" ca="1" si="7"/>
        <v>330</v>
      </c>
      <c r="B341" s="68" t="s">
        <v>401</v>
      </c>
      <c r="C341" s="97">
        <v>0.4</v>
      </c>
      <c r="D341" s="69" t="s">
        <v>66</v>
      </c>
      <c r="E341" s="137" t="s">
        <v>87</v>
      </c>
      <c r="F341" s="156">
        <v>5.0000000000000001E-4</v>
      </c>
      <c r="G341" s="156">
        <v>6.9999999999999999E-4</v>
      </c>
      <c r="H341" s="156">
        <v>1.1000000000000001E-3</v>
      </c>
      <c r="I341" s="156">
        <v>1.6000000000000001E-3</v>
      </c>
      <c r="J341" s="156" t="s">
        <v>87</v>
      </c>
      <c r="K341" s="156">
        <v>2.5999999999999999E-3</v>
      </c>
      <c r="L341" s="156">
        <v>3.3E-3</v>
      </c>
      <c r="M341" s="156">
        <v>4.1000000000000003E-3</v>
      </c>
      <c r="N341" s="138" cm="1">
        <f t="array" aca="1" ref="N341:AE341" ca="1">IF(OR(B341="",NOT($J$2)),"",GetStripDefaultProbability(A341,B341,Parameter_Date,CDSRollDate,E341:M341,SpreadCurveMaturities,D341,C341,$J$4,$J$6))</f>
        <v>0</v>
      </c>
      <c r="O341" s="163">
        <f ca="1"/>
        <v>4.9872651070981266E-4</v>
      </c>
      <c r="P341" s="163">
        <f ca="1"/>
        <v>1.2882057658748503E-3</v>
      </c>
      <c r="Q341" s="163">
        <f ca="1"/>
        <v>3.8971707420715207E-3</v>
      </c>
      <c r="R341" s="163">
        <f ca="1"/>
        <v>8.4413035981952822E-3</v>
      </c>
      <c r="S341" s="163">
        <f ca="1"/>
        <v>0</v>
      </c>
      <c r="T341" s="163">
        <f ca="1"/>
        <v>2.2825551342653072E-2</v>
      </c>
      <c r="U341" s="163">
        <f ca="1"/>
        <v>4.0505489643663739E-2</v>
      </c>
      <c r="V341" s="139">
        <f ca="1"/>
        <v>7.1853471750133013E-2</v>
      </c>
      <c r="W341" s="138">
        <f ca="1"/>
        <v>0</v>
      </c>
      <c r="X341" s="163">
        <f ca="1"/>
        <v>5.9844139207421154E-4</v>
      </c>
      <c r="Y341" s="163">
        <f ca="1"/>
        <v>1.454643861349969E-3</v>
      </c>
      <c r="Z341" s="163">
        <f ca="1"/>
        <v>4.2476819057671866E-3</v>
      </c>
      <c r="AA341" s="163">
        <f ca="1"/>
        <v>8.9570194471012554E-3</v>
      </c>
      <c r="AB341" s="163">
        <f ca="1"/>
        <v>0</v>
      </c>
      <c r="AC341" s="163">
        <f ca="1"/>
        <v>2.3934274495695407E-2</v>
      </c>
      <c r="AD341" s="163">
        <f ca="1"/>
        <v>4.2475944691390932E-2</v>
      </c>
      <c r="AE341" s="139">
        <f ca="1"/>
        <v>7.5311369617957258E-2</v>
      </c>
      <c r="AH341" s="136">
        <v>5.0000000000000001E-4</v>
      </c>
      <c r="AI341" s="136">
        <v>1.1999999999999999E-3</v>
      </c>
      <c r="AJ341" s="136">
        <v>3.8E-3</v>
      </c>
      <c r="AK341" s="136">
        <v>8.3000000000000001E-3</v>
      </c>
      <c r="AM341" s="136">
        <v>2.2599999999999999E-2</v>
      </c>
      <c r="AN341" s="136">
        <v>4.02E-2</v>
      </c>
      <c r="AO341" s="136">
        <v>7.1400000000000005E-2</v>
      </c>
      <c r="AQ341" s="136">
        <v>5.0000000000000001E-4</v>
      </c>
      <c r="AR341" s="136">
        <v>1.4E-3</v>
      </c>
      <c r="AS341" s="136">
        <v>4.1000000000000003E-3</v>
      </c>
      <c r="AT341" s="136">
        <v>8.8000000000000005E-3</v>
      </c>
      <c r="AV341" s="136">
        <v>2.3699999999999999E-2</v>
      </c>
      <c r="AW341" s="136">
        <v>4.2099999999999999E-2</v>
      </c>
      <c r="AX341" s="136">
        <v>7.4800000000000005E-2</v>
      </c>
    </row>
    <row r="342" spans="1:50" s="79" customFormat="1" ht="11.25">
      <c r="A342" s="96">
        <f t="shared" ca="1" si="7"/>
        <v>331</v>
      </c>
      <c r="B342" s="68" t="s">
        <v>402</v>
      </c>
      <c r="C342" s="97">
        <v>0.4</v>
      </c>
      <c r="D342" s="69" t="s">
        <v>66</v>
      </c>
      <c r="E342" s="137" t="s">
        <v>87</v>
      </c>
      <c r="F342" s="156">
        <v>8.0000000000000004E-4</v>
      </c>
      <c r="G342" s="156">
        <v>1.2700000000000001E-3</v>
      </c>
      <c r="H342" s="156">
        <v>1.8699999999999999E-3</v>
      </c>
      <c r="I342" s="156">
        <v>2.3E-3</v>
      </c>
      <c r="J342" s="156" t="s">
        <v>87</v>
      </c>
      <c r="K342" s="156">
        <v>2.8E-3</v>
      </c>
      <c r="L342" s="156">
        <v>3.2000000000000002E-3</v>
      </c>
      <c r="M342" s="156">
        <v>3.7000000000000002E-3</v>
      </c>
      <c r="N342" s="138" cm="1">
        <f t="array" aca="1" ref="N342:AE342" ca="1">IF(OR(B342="",NOT($J$2)),"",GetStripDefaultProbability(A342,B342,Parameter_Date,CDSRollDate,E342:M342,SpreadCurveMaturities,D342,C342,$J$4,$J$6))</f>
        <v>0</v>
      </c>
      <c r="O342" s="163">
        <f ca="1"/>
        <v>7.978434025011083E-4</v>
      </c>
      <c r="P342" s="163">
        <f ca="1"/>
        <v>2.3389295339110161E-3</v>
      </c>
      <c r="Q342" s="163">
        <f ca="1"/>
        <v>6.6142770511095073E-3</v>
      </c>
      <c r="R342" s="163">
        <f ca="1"/>
        <v>1.2049559082455641E-2</v>
      </c>
      <c r="S342" s="163">
        <f ca="1"/>
        <v>0</v>
      </c>
      <c r="T342" s="163">
        <f ca="1"/>
        <v>2.4177693606536432E-2</v>
      </c>
      <c r="U342" s="163">
        <f ca="1"/>
        <v>3.8549103773879878E-2</v>
      </c>
      <c r="V342" s="139">
        <f ca="1"/>
        <v>6.3639789681568137E-2</v>
      </c>
      <c r="W342" s="138">
        <f ca="1"/>
        <v>0</v>
      </c>
      <c r="X342" s="163">
        <f ca="1"/>
        <v>8.9752759609718069E-4</v>
      </c>
      <c r="Y342" s="163">
        <f ca="1"/>
        <v>2.5051925233476879E-3</v>
      </c>
      <c r="Z342" s="163">
        <f ca="1"/>
        <v>6.9638983676670874E-3</v>
      </c>
      <c r="AA342" s="163">
        <f ca="1"/>
        <v>1.2644354480382147E-2</v>
      </c>
      <c r="AB342" s="163">
        <f ca="1"/>
        <v>0</v>
      </c>
      <c r="AC342" s="163">
        <f ca="1"/>
        <v>2.5368133526845194E-2</v>
      </c>
      <c r="AD342" s="163">
        <f ca="1"/>
        <v>4.0438142824224865E-2</v>
      </c>
      <c r="AE342" s="139">
        <f ca="1"/>
        <v>6.6721413600493551E-2</v>
      </c>
      <c r="AH342" s="136">
        <v>6.9999999999999999E-4</v>
      </c>
      <c r="AI342" s="136">
        <v>2.2000000000000001E-3</v>
      </c>
      <c r="AJ342" s="136">
        <v>6.4000000000000003E-3</v>
      </c>
      <c r="AK342" s="136">
        <v>1.18E-2</v>
      </c>
      <c r="AM342" s="136">
        <v>2.3900000000000001E-2</v>
      </c>
      <c r="AN342" s="136">
        <v>3.8199999999999998E-2</v>
      </c>
      <c r="AO342" s="136">
        <v>6.3299999999999995E-2</v>
      </c>
      <c r="AQ342" s="136">
        <v>8.0000000000000004E-4</v>
      </c>
      <c r="AR342" s="136">
        <v>2.3999999999999998E-3</v>
      </c>
      <c r="AS342" s="136">
        <v>6.7999999999999996E-3</v>
      </c>
      <c r="AT342" s="136">
        <v>1.24E-2</v>
      </c>
      <c r="AV342" s="136">
        <v>2.5100000000000001E-2</v>
      </c>
      <c r="AW342" s="136">
        <v>4.0099999999999997E-2</v>
      </c>
      <c r="AX342" s="136">
        <v>6.6299999999999998E-2</v>
      </c>
    </row>
    <row r="343" spans="1:50" s="79" customFormat="1" ht="11.25">
      <c r="A343" s="96">
        <f t="shared" ca="1" si="7"/>
        <v>332</v>
      </c>
      <c r="B343" s="68" t="s">
        <v>403</v>
      </c>
      <c r="C343" s="97">
        <v>0.2</v>
      </c>
      <c r="D343" s="69" t="s">
        <v>67</v>
      </c>
      <c r="E343" s="137" t="s">
        <v>87</v>
      </c>
      <c r="F343" s="156" t="s">
        <v>87</v>
      </c>
      <c r="G343" s="156">
        <v>1.683E-3</v>
      </c>
      <c r="H343" s="156" t="s">
        <v>87</v>
      </c>
      <c r="I343" s="156">
        <v>3.1979999999999999E-3</v>
      </c>
      <c r="J343" s="156" t="s">
        <v>87</v>
      </c>
      <c r="K343" s="156">
        <v>5.0499999999999998E-3</v>
      </c>
      <c r="L343" s="156">
        <v>6.9020000000000001E-3</v>
      </c>
      <c r="M343" s="156">
        <v>6.8859999999999998E-3</v>
      </c>
      <c r="N343" s="138" cm="1">
        <f t="array" aca="1" ref="N343:AE343" ca="1">IF(OR(B343="",NOT($J$2)),"",GetStripDefaultProbability(A343,B343,Parameter_Date,CDSRollDate,E343:M343,SpreadCurveMaturities,D343,C343,$J$4,$J$6))</f>
        <v>0</v>
      </c>
      <c r="O343" s="163">
        <f ca="1"/>
        <v>0</v>
      </c>
      <c r="P343" s="163">
        <f ca="1"/>
        <v>2.3125752754442619E-3</v>
      </c>
      <c r="Q343" s="163">
        <f ca="1"/>
        <v>0</v>
      </c>
      <c r="R343" s="163">
        <f ca="1"/>
        <v>1.2530003237335774E-2</v>
      </c>
      <c r="S343" s="163">
        <f ca="1"/>
        <v>0</v>
      </c>
      <c r="T343" s="163">
        <f ca="1"/>
        <v>3.3042186472591384E-2</v>
      </c>
      <c r="U343" s="163">
        <f ca="1"/>
        <v>6.3566179802116762E-2</v>
      </c>
      <c r="V343" s="139">
        <f ca="1"/>
        <v>8.7444823343256428E-2</v>
      </c>
      <c r="W343" s="138">
        <f ca="1"/>
        <v>0</v>
      </c>
      <c r="X343" s="163">
        <f ca="1"/>
        <v>0</v>
      </c>
      <c r="Y343" s="163">
        <f ca="1"/>
        <v>2.4372784094299771E-3</v>
      </c>
      <c r="Z343" s="163">
        <f ca="1"/>
        <v>0</v>
      </c>
      <c r="AA343" s="163">
        <f ca="1"/>
        <v>1.3151507599269419E-2</v>
      </c>
      <c r="AB343" s="163">
        <f ca="1"/>
        <v>0</v>
      </c>
      <c r="AC343" s="163">
        <f ca="1"/>
        <v>3.4668766463788137E-2</v>
      </c>
      <c r="AD343" s="163">
        <f ca="1"/>
        <v>6.6661376983039311E-2</v>
      </c>
      <c r="AE343" s="139">
        <f ca="1"/>
        <v>9.1636317915343546E-2</v>
      </c>
      <c r="AI343" s="136">
        <v>2.2000000000000001E-3</v>
      </c>
      <c r="AK343" s="136">
        <v>1.23E-2</v>
      </c>
      <c r="AM343" s="136">
        <v>3.27E-2</v>
      </c>
      <c r="AN343" s="136">
        <v>6.3E-2</v>
      </c>
      <c r="AO343" s="136">
        <v>8.6900000000000005E-2</v>
      </c>
      <c r="AR343" s="136">
        <v>2.3E-3</v>
      </c>
      <c r="AT343" s="136">
        <v>1.29E-2</v>
      </c>
      <c r="AV343" s="136">
        <v>3.4299999999999997E-2</v>
      </c>
      <c r="AW343" s="136">
        <v>6.6100000000000006E-2</v>
      </c>
      <c r="AX343" s="136">
        <v>9.11E-2</v>
      </c>
    </row>
    <row r="344" spans="1:50" s="79" customFormat="1" ht="11.25">
      <c r="A344" s="96">
        <f t="shared" ca="1" si="7"/>
        <v>333</v>
      </c>
      <c r="B344" s="68" t="s">
        <v>404</v>
      </c>
      <c r="C344" s="97">
        <v>0.2</v>
      </c>
      <c r="D344" s="69" t="s">
        <v>67</v>
      </c>
      <c r="E344" s="137" t="s">
        <v>87</v>
      </c>
      <c r="F344" s="156" t="s">
        <v>87</v>
      </c>
      <c r="G344" s="156">
        <v>2.872E-3</v>
      </c>
      <c r="H344" s="156" t="s">
        <v>87</v>
      </c>
      <c r="I344" s="156">
        <v>4.6160000000000003E-3</v>
      </c>
      <c r="J344" s="156" t="s">
        <v>87</v>
      </c>
      <c r="K344" s="156">
        <v>5.9500000000000004E-3</v>
      </c>
      <c r="L344" s="156">
        <v>6.3600000000000002E-3</v>
      </c>
      <c r="M344" s="156">
        <v>7.1809999999999999E-3</v>
      </c>
      <c r="N344" s="138" cm="1">
        <f t="array" aca="1" ref="N344:AE344" ca="1">IF(OR(B344="",NOT($J$2)),"",GetStripDefaultProbability(A344,B344,Parameter_Date,CDSRollDate,E344:M344,SpreadCurveMaturities,D344,C344,$J$4,$J$6))</f>
        <v>0</v>
      </c>
      <c r="O344" s="163">
        <f ca="1"/>
        <v>0</v>
      </c>
      <c r="P344" s="163">
        <f ca="1"/>
        <v>3.9431578241775345E-3</v>
      </c>
      <c r="Q344" s="163">
        <f ca="1"/>
        <v>0</v>
      </c>
      <c r="R344" s="163">
        <f ca="1"/>
        <v>1.7996834851555565E-2</v>
      </c>
      <c r="S344" s="163">
        <f ca="1"/>
        <v>0</v>
      </c>
      <c r="T344" s="163">
        <f ca="1"/>
        <v>3.8369105138260862E-2</v>
      </c>
      <c r="U344" s="163">
        <f ca="1"/>
        <v>5.6697312000559941E-2</v>
      </c>
      <c r="V344" s="139">
        <f ca="1"/>
        <v>9.1124940767888574E-2</v>
      </c>
      <c r="W344" s="138">
        <f ca="1"/>
        <v>0</v>
      </c>
      <c r="X344" s="163">
        <f ca="1"/>
        <v>0</v>
      </c>
      <c r="Y344" s="163">
        <f ca="1"/>
        <v>4.1398369033760485E-3</v>
      </c>
      <c r="Z344" s="163">
        <f ca="1"/>
        <v>0</v>
      </c>
      <c r="AA344" s="163">
        <f ca="1"/>
        <v>1.8887601347817529E-2</v>
      </c>
      <c r="AB344" s="163">
        <f ca="1"/>
        <v>0</v>
      </c>
      <c r="AC344" s="163">
        <f ca="1"/>
        <v>4.0251921391762036E-2</v>
      </c>
      <c r="AD344" s="163">
        <f ca="1"/>
        <v>5.9456057457365152E-2</v>
      </c>
      <c r="AE344" s="139">
        <f ca="1"/>
        <v>9.5495918706853145E-2</v>
      </c>
      <c r="AI344" s="136">
        <v>3.7000000000000002E-3</v>
      </c>
      <c r="AK344" s="136">
        <v>1.77E-2</v>
      </c>
      <c r="AM344" s="136">
        <v>3.7900000000000003E-2</v>
      </c>
      <c r="AN344" s="136">
        <v>5.62E-2</v>
      </c>
      <c r="AO344" s="136">
        <v>9.06E-2</v>
      </c>
      <c r="AR344" s="136">
        <v>3.8999999999999998E-3</v>
      </c>
      <c r="AT344" s="136">
        <v>1.8499999999999999E-2</v>
      </c>
      <c r="AV344" s="136">
        <v>3.9800000000000002E-2</v>
      </c>
      <c r="AW344" s="136">
        <v>5.8999999999999997E-2</v>
      </c>
      <c r="AX344" s="136">
        <v>9.4899999999999998E-2</v>
      </c>
    </row>
    <row r="345" spans="1:50" s="79" customFormat="1" ht="11.25">
      <c r="A345" s="96">
        <f t="shared" ca="1" si="7"/>
        <v>334</v>
      </c>
      <c r="B345" s="68" t="s">
        <v>405</v>
      </c>
      <c r="C345" s="97">
        <v>0.2</v>
      </c>
      <c r="D345" s="69" t="s">
        <v>66</v>
      </c>
      <c r="E345" s="137" t="s">
        <v>87</v>
      </c>
      <c r="F345" s="156">
        <v>1.15E-3</v>
      </c>
      <c r="G345" s="156">
        <v>1.66E-3</v>
      </c>
      <c r="H345" s="156">
        <v>2.82E-3</v>
      </c>
      <c r="I345" s="156">
        <v>3.8899999999999998E-3</v>
      </c>
      <c r="J345" s="156" t="s">
        <v>87</v>
      </c>
      <c r="K345" s="156">
        <v>5.4999999999999997E-3</v>
      </c>
      <c r="L345" s="156">
        <v>6.2100000000000002E-3</v>
      </c>
      <c r="M345" s="156">
        <v>6.62E-3</v>
      </c>
      <c r="N345" s="138" cm="1">
        <f t="array" aca="1" ref="N345:AE345" ca="1">IF(OR(B345="",NOT($J$2)),"",GetStripDefaultProbability(A345,B345,Parameter_Date,CDSRollDate,E345:M345,SpreadCurveMaturities,D345,C345,$J$4,$J$6))</f>
        <v>0</v>
      </c>
      <c r="O345" s="163">
        <f ca="1"/>
        <v>8.6014819134327958E-4</v>
      </c>
      <c r="P345" s="163">
        <f ca="1"/>
        <v>2.2908957862946E-3</v>
      </c>
      <c r="Q345" s="163">
        <f ca="1"/>
        <v>7.4920971559490068E-3</v>
      </c>
      <c r="R345" s="163">
        <f ca="1"/>
        <v>1.5338855385546801E-2</v>
      </c>
      <c r="S345" s="163">
        <f ca="1"/>
        <v>0</v>
      </c>
      <c r="T345" s="163">
        <f ca="1"/>
        <v>3.5814613727625288E-2</v>
      </c>
      <c r="U345" s="163">
        <f ca="1"/>
        <v>5.5993741114468532E-2</v>
      </c>
      <c r="V345" s="139">
        <f ca="1"/>
        <v>8.3797489049479812E-2</v>
      </c>
      <c r="W345" s="138">
        <f ca="1"/>
        <v>0</v>
      </c>
      <c r="X345" s="163">
        <f ca="1"/>
        <v>9.3490706986210093E-4</v>
      </c>
      <c r="Y345" s="163">
        <f ca="1"/>
        <v>2.4156016300401761E-3</v>
      </c>
      <c r="Z345" s="163">
        <f ca="1"/>
        <v>7.8642342092919426E-3</v>
      </c>
      <c r="AA345" s="163">
        <f ca="1"/>
        <v>1.6099790983464701E-2</v>
      </c>
      <c r="AB345" s="163">
        <f ca="1"/>
        <v>0</v>
      </c>
      <c r="AC345" s="163">
        <f ca="1"/>
        <v>3.7575334305267716E-2</v>
      </c>
      <c r="AD345" s="163">
        <f ca="1"/>
        <v>5.8723096661941199E-2</v>
      </c>
      <c r="AE345" s="139">
        <f ca="1"/>
        <v>8.7815489172089145E-2</v>
      </c>
      <c r="AH345" s="136">
        <v>8.0000000000000004E-4</v>
      </c>
      <c r="AI345" s="136">
        <v>2.2000000000000001E-3</v>
      </c>
      <c r="AJ345" s="136">
        <v>7.3000000000000001E-3</v>
      </c>
      <c r="AK345" s="136">
        <v>1.5100000000000001E-2</v>
      </c>
      <c r="AM345" s="136">
        <v>3.5400000000000001E-2</v>
      </c>
      <c r="AN345" s="136">
        <v>5.5500000000000001E-2</v>
      </c>
      <c r="AO345" s="136">
        <v>8.3299999999999999E-2</v>
      </c>
      <c r="AQ345" s="136">
        <v>8.0000000000000004E-4</v>
      </c>
      <c r="AR345" s="136">
        <v>2.3E-3</v>
      </c>
      <c r="AS345" s="136">
        <v>7.6E-3</v>
      </c>
      <c r="AT345" s="136">
        <v>1.5800000000000002E-2</v>
      </c>
      <c r="AV345" s="136">
        <v>3.7100000000000001E-2</v>
      </c>
      <c r="AW345" s="136">
        <v>5.8200000000000002E-2</v>
      </c>
      <c r="AX345" s="136">
        <v>8.7300000000000003E-2</v>
      </c>
    </row>
    <row r="346" spans="1:50" s="79" customFormat="1" ht="11.25">
      <c r="A346" s="96">
        <f t="shared" ca="1" si="7"/>
        <v>335</v>
      </c>
      <c r="B346" s="68" t="s">
        <v>406</v>
      </c>
      <c r="C346" s="97">
        <v>0.2</v>
      </c>
      <c r="D346" s="69" t="s">
        <v>66</v>
      </c>
      <c r="E346" s="137" t="s">
        <v>87</v>
      </c>
      <c r="F346" s="156">
        <v>1.49E-3</v>
      </c>
      <c r="G346" s="156">
        <v>2.1800000000000001E-3</v>
      </c>
      <c r="H346" s="156">
        <v>3.0999999999999999E-3</v>
      </c>
      <c r="I346" s="156">
        <v>3.98E-3</v>
      </c>
      <c r="J346" s="156" t="s">
        <v>87</v>
      </c>
      <c r="K346" s="156">
        <v>5.3E-3</v>
      </c>
      <c r="L346" s="156">
        <v>5.8999999999999999E-3</v>
      </c>
      <c r="M346" s="156">
        <v>6.3E-3</v>
      </c>
      <c r="N346" s="138" cm="1">
        <f t="array" aca="1" ref="N346:AE346" ca="1">IF(OR(B346="",NOT($J$2)),"",GetStripDefaultProbability(A346,B346,Parameter_Date,CDSRollDate,E346:M346,SpreadCurveMaturities,D346,C346,$J$4,$J$6))</f>
        <v>0</v>
      </c>
      <c r="O346" s="163">
        <f ca="1"/>
        <v>1.1143116104822548E-3</v>
      </c>
      <c r="P346" s="163">
        <f ca="1"/>
        <v>3.0080303371659012E-3</v>
      </c>
      <c r="Q346" s="163">
        <f ca="1"/>
        <v>8.2113924574217512E-3</v>
      </c>
      <c r="R346" s="163">
        <f ca="1"/>
        <v>1.5632649964125056E-2</v>
      </c>
      <c r="S346" s="163">
        <f ca="1"/>
        <v>0</v>
      </c>
      <c r="T346" s="163">
        <f ca="1"/>
        <v>3.4367868956262537E-2</v>
      </c>
      <c r="U346" s="163">
        <f ca="1"/>
        <v>5.3019977746830982E-2</v>
      </c>
      <c r="V346" s="139">
        <f ca="1"/>
        <v>7.9674395925931174E-2</v>
      </c>
      <c r="W346" s="138">
        <f ca="1"/>
        <v>0</v>
      </c>
      <c r="X346" s="163">
        <f ca="1"/>
        <v>1.1890503522538065E-3</v>
      </c>
      <c r="Y346" s="163">
        <f ca="1"/>
        <v>3.1577237947633119E-3</v>
      </c>
      <c r="Z346" s="163">
        <f ca="1"/>
        <v>8.6199079416757751E-3</v>
      </c>
      <c r="AA346" s="163">
        <f ca="1"/>
        <v>1.6408554863518998E-2</v>
      </c>
      <c r="AB346" s="163">
        <f ca="1"/>
        <v>0</v>
      </c>
      <c r="AC346" s="163">
        <f ca="1"/>
        <v>3.605846339345542E-2</v>
      </c>
      <c r="AD346" s="163">
        <f ca="1"/>
        <v>5.5606829198803664E-2</v>
      </c>
      <c r="AE346" s="139">
        <f ca="1"/>
        <v>8.350156316527424E-2</v>
      </c>
      <c r="AH346" s="136">
        <v>1E-3</v>
      </c>
      <c r="AI346" s="136">
        <v>2.8999999999999998E-3</v>
      </c>
      <c r="AJ346" s="136">
        <v>8.0000000000000002E-3</v>
      </c>
      <c r="AK346" s="136">
        <v>1.5299999999999999E-2</v>
      </c>
      <c r="AM346" s="136">
        <v>3.4000000000000002E-2</v>
      </c>
      <c r="AN346" s="136">
        <v>5.2600000000000001E-2</v>
      </c>
      <c r="AO346" s="136">
        <v>7.9200000000000007E-2</v>
      </c>
      <c r="AQ346" s="136">
        <v>1.1000000000000001E-3</v>
      </c>
      <c r="AR346" s="136">
        <v>3.0000000000000001E-3</v>
      </c>
      <c r="AS346" s="136">
        <v>8.3999999999999995E-3</v>
      </c>
      <c r="AT346" s="136">
        <v>1.61E-2</v>
      </c>
      <c r="AV346" s="136">
        <v>3.5700000000000003E-2</v>
      </c>
      <c r="AW346" s="136">
        <v>5.5199999999999999E-2</v>
      </c>
      <c r="AX346" s="136">
        <v>8.3000000000000004E-2</v>
      </c>
    </row>
    <row r="347" spans="1:50" s="79" customFormat="1" ht="11.25">
      <c r="A347" s="96">
        <f t="shared" ca="1" si="7"/>
        <v>336</v>
      </c>
      <c r="B347" s="68" t="s">
        <v>407</v>
      </c>
      <c r="C347" s="97">
        <v>0.2</v>
      </c>
      <c r="D347" s="69" t="s">
        <v>66</v>
      </c>
      <c r="E347" s="137" t="s">
        <v>87</v>
      </c>
      <c r="F347" s="156">
        <v>1.39E-3</v>
      </c>
      <c r="G347" s="156">
        <v>2.0899999999999998E-3</v>
      </c>
      <c r="H347" s="156">
        <v>3.0500000000000002E-3</v>
      </c>
      <c r="I347" s="156">
        <v>3.8999999999999998E-3</v>
      </c>
      <c r="J347" s="156" t="s">
        <v>87</v>
      </c>
      <c r="K347" s="156">
        <v>5.3E-3</v>
      </c>
      <c r="L347" s="156">
        <v>6.0000000000000001E-3</v>
      </c>
      <c r="M347" s="156">
        <v>6.6E-3</v>
      </c>
      <c r="N347" s="138" cm="1">
        <f t="array" aca="1" ref="N347:AE347" ca="1">IF(OR(B347="",NOT($J$2)),"",GetStripDefaultProbability(A347,B347,Parameter_Date,CDSRollDate,E347:M347,SpreadCurveMaturities,D347,C347,$J$4,$J$6))</f>
        <v>0</v>
      </c>
      <c r="O347" s="163">
        <f ca="1"/>
        <v>1.039564352507405E-3</v>
      </c>
      <c r="P347" s="163">
        <f ca="1"/>
        <v>2.8847518535777272E-3</v>
      </c>
      <c r="Q347" s="163">
        <f ca="1"/>
        <v>8.0836484839311717E-3</v>
      </c>
      <c r="R347" s="163">
        <f ca="1"/>
        <v>1.532246066372478E-2</v>
      </c>
      <c r="S347" s="163">
        <f ca="1"/>
        <v>0</v>
      </c>
      <c r="T347" s="163">
        <f ca="1"/>
        <v>3.4406043498219518E-2</v>
      </c>
      <c r="U347" s="163">
        <f ca="1"/>
        <v>5.4032461956936451E-2</v>
      </c>
      <c r="V347" s="139">
        <f ca="1"/>
        <v>8.388415030559393E-2</v>
      </c>
      <c r="W347" s="138">
        <f ca="1"/>
        <v>0</v>
      </c>
      <c r="X347" s="163">
        <f ca="1"/>
        <v>1.1143090487505392E-3</v>
      </c>
      <c r="Y347" s="163">
        <f ca="1"/>
        <v>3.028202141904468E-3</v>
      </c>
      <c r="Z347" s="163">
        <f ca="1"/>
        <v>8.4857391505782642E-3</v>
      </c>
      <c r="AA347" s="163">
        <f ca="1"/>
        <v>1.608297320001062E-2</v>
      </c>
      <c r="AB347" s="163">
        <f ca="1"/>
        <v>0</v>
      </c>
      <c r="AC347" s="163">
        <f ca="1"/>
        <v>3.6098552256064287E-2</v>
      </c>
      <c r="AD347" s="163">
        <f ca="1"/>
        <v>5.6668252151767851E-2</v>
      </c>
      <c r="AE347" s="139">
        <f ca="1"/>
        <v>8.79080655913832E-2</v>
      </c>
      <c r="AH347" s="136">
        <v>8.9999999999999998E-4</v>
      </c>
      <c r="AI347" s="136">
        <v>2.7000000000000001E-3</v>
      </c>
      <c r="AJ347" s="136">
        <v>7.9000000000000008E-3</v>
      </c>
      <c r="AK347" s="136">
        <v>1.4999999999999999E-2</v>
      </c>
      <c r="AM347" s="136">
        <v>3.4000000000000002E-2</v>
      </c>
      <c r="AN347" s="136">
        <v>5.3600000000000002E-2</v>
      </c>
      <c r="AO347" s="136">
        <v>8.3400000000000002E-2</v>
      </c>
      <c r="AQ347" s="136">
        <v>1E-3</v>
      </c>
      <c r="AR347" s="136">
        <v>2.8999999999999998E-3</v>
      </c>
      <c r="AS347" s="136">
        <v>8.3000000000000001E-3</v>
      </c>
      <c r="AT347" s="136">
        <v>1.5800000000000002E-2</v>
      </c>
      <c r="AV347" s="136">
        <v>3.5700000000000003E-2</v>
      </c>
      <c r="AW347" s="136">
        <v>5.62E-2</v>
      </c>
      <c r="AX347" s="136">
        <v>8.7400000000000005E-2</v>
      </c>
    </row>
    <row r="348" spans="1:50" s="79" customFormat="1" ht="11.25">
      <c r="A348" s="96">
        <f t="shared" ca="1" si="7"/>
        <v>337</v>
      </c>
      <c r="B348" s="68" t="s">
        <v>408</v>
      </c>
      <c r="C348" s="97">
        <v>0.4</v>
      </c>
      <c r="D348" s="69" t="s">
        <v>67</v>
      </c>
      <c r="E348" s="137" t="s">
        <v>87</v>
      </c>
      <c r="F348" s="156" t="s">
        <v>87</v>
      </c>
      <c r="G348" s="156">
        <v>2.5000000000000001E-3</v>
      </c>
      <c r="H348" s="156" t="s">
        <v>87</v>
      </c>
      <c r="I348" s="156">
        <v>3.7000000000000002E-3</v>
      </c>
      <c r="J348" s="156" t="s">
        <v>87</v>
      </c>
      <c r="K348" s="156">
        <v>5.0000000000000001E-3</v>
      </c>
      <c r="L348" s="156">
        <v>5.7999999999999996E-3</v>
      </c>
      <c r="M348" s="156">
        <v>7.0000000000000001E-3</v>
      </c>
      <c r="N348" s="138" cm="1">
        <f t="array" aca="1" ref="N348:AE348" ca="1">IF(OR(B348="",NOT($J$2)),"",GetStripDefaultProbability(A348,B348,Parameter_Date,CDSRollDate,E348:M348,SpreadCurveMaturities,D348,C348,$J$4,$J$6))</f>
        <v>0</v>
      </c>
      <c r="O348" s="163">
        <f ca="1"/>
        <v>0</v>
      </c>
      <c r="P348" s="163">
        <f ca="1"/>
        <v>4.5751143731009858E-3</v>
      </c>
      <c r="Q348" s="163">
        <f ca="1"/>
        <v>0</v>
      </c>
      <c r="R348" s="163">
        <f ca="1"/>
        <v>1.9195063286607583E-2</v>
      </c>
      <c r="S348" s="163">
        <f ca="1"/>
        <v>0</v>
      </c>
      <c r="T348" s="163">
        <f ca="1"/>
        <v>4.3005758738963284E-2</v>
      </c>
      <c r="U348" s="163">
        <f ca="1"/>
        <v>6.9389210968843429E-2</v>
      </c>
      <c r="V348" s="139">
        <f ca="1"/>
        <v>0.11937833038022039</v>
      </c>
      <c r="W348" s="138">
        <f ca="1"/>
        <v>0</v>
      </c>
      <c r="X348" s="163">
        <f ca="1"/>
        <v>0</v>
      </c>
      <c r="Y348" s="163">
        <f ca="1"/>
        <v>4.803223916927446E-3</v>
      </c>
      <c r="Z348" s="163">
        <f ca="1"/>
        <v>0</v>
      </c>
      <c r="AA348" s="163">
        <f ca="1"/>
        <v>2.0144378999117474E-2</v>
      </c>
      <c r="AB348" s="163">
        <f ca="1"/>
        <v>0</v>
      </c>
      <c r="AC348" s="163">
        <f ca="1"/>
        <v>4.5111426666492038E-2</v>
      </c>
      <c r="AD348" s="163">
        <f ca="1"/>
        <v>7.2749636407795304E-2</v>
      </c>
      <c r="AE348" s="139">
        <f ca="1"/>
        <v>0.12505343685945935</v>
      </c>
      <c r="AI348" s="136">
        <v>4.3E-3</v>
      </c>
      <c r="AK348" s="136">
        <v>1.8800000000000001E-2</v>
      </c>
      <c r="AM348" s="136">
        <v>4.2500000000000003E-2</v>
      </c>
      <c r="AN348" s="136">
        <v>6.88E-2</v>
      </c>
      <c r="AO348" s="136">
        <v>0.1187</v>
      </c>
      <c r="AR348" s="136">
        <v>4.5999999999999999E-3</v>
      </c>
      <c r="AT348" s="136">
        <v>1.9800000000000002E-2</v>
      </c>
      <c r="AV348" s="136">
        <v>4.4600000000000001E-2</v>
      </c>
      <c r="AW348" s="136">
        <v>7.22E-2</v>
      </c>
      <c r="AX348" s="136">
        <v>0.12429999999999999</v>
      </c>
    </row>
    <row r="349" spans="1:50" s="79" customFormat="1" ht="11.25">
      <c r="A349" s="96">
        <f t="shared" ca="1" si="7"/>
        <v>338</v>
      </c>
      <c r="B349" s="68" t="s">
        <v>409</v>
      </c>
      <c r="C349" s="97">
        <v>0.2</v>
      </c>
      <c r="D349" s="69" t="s">
        <v>66</v>
      </c>
      <c r="E349" s="137" t="s">
        <v>87</v>
      </c>
      <c r="F349" s="156">
        <v>1.2199999999999999E-3</v>
      </c>
      <c r="G349" s="156">
        <v>1.82E-3</v>
      </c>
      <c r="H349" s="156">
        <v>2.6700000000000001E-3</v>
      </c>
      <c r="I349" s="156">
        <v>3.4399999999999999E-3</v>
      </c>
      <c r="J349" s="156" t="s">
        <v>87</v>
      </c>
      <c r="K349" s="156">
        <v>4.7999999999999996E-3</v>
      </c>
      <c r="L349" s="156">
        <v>5.4999999999999997E-3</v>
      </c>
      <c r="M349" s="156">
        <v>6.1000000000000004E-3</v>
      </c>
      <c r="N349" s="138" cm="1">
        <f t="array" aca="1" ref="N349:AE349" ca="1">IF(OR(B349="",NOT($J$2)),"",GetStripDefaultProbability(A349,B349,Parameter_Date,CDSRollDate,E349:M349,SpreadCurveMaturities,D349,C349,$J$4,$J$6))</f>
        <v>0</v>
      </c>
      <c r="O349" s="163">
        <f ca="1"/>
        <v>9.1248122190223935E-4</v>
      </c>
      <c r="P349" s="163">
        <f ca="1"/>
        <v>2.5122744644427986E-3</v>
      </c>
      <c r="Q349" s="163">
        <f ca="1"/>
        <v>7.0797471061231354E-3</v>
      </c>
      <c r="R349" s="163">
        <f ca="1"/>
        <v>1.3528556189529861E-2</v>
      </c>
      <c r="S349" s="163">
        <f ca="1"/>
        <v>0</v>
      </c>
      <c r="T349" s="163">
        <f ca="1"/>
        <v>3.1243808286510077E-2</v>
      </c>
      <c r="U349" s="163">
        <f ca="1"/>
        <v>4.9725750422089487E-2</v>
      </c>
      <c r="V349" s="139">
        <f ca="1"/>
        <v>7.7947484636997189E-2</v>
      </c>
      <c r="W349" s="138">
        <f ca="1"/>
        <v>0</v>
      </c>
      <c r="X349" s="163">
        <f ca="1"/>
        <v>9.8723597965022503E-4</v>
      </c>
      <c r="Y349" s="163">
        <f ca="1"/>
        <v>2.6369526375911168E-3</v>
      </c>
      <c r="Z349" s="163">
        <f ca="1"/>
        <v>7.4318256383011372E-3</v>
      </c>
      <c r="AA349" s="163">
        <f ca="1"/>
        <v>1.4200327510548894E-2</v>
      </c>
      <c r="AB349" s="163">
        <f ca="1"/>
        <v>0</v>
      </c>
      <c r="AC349" s="163">
        <f ca="1"/>
        <v>3.2783041019682435E-2</v>
      </c>
      <c r="AD349" s="163">
        <f ca="1"/>
        <v>5.2156810005845711E-2</v>
      </c>
      <c r="AE349" s="139">
        <f ca="1"/>
        <v>8.1699413691908918E-2</v>
      </c>
      <c r="AH349" s="136">
        <v>8.0000000000000004E-4</v>
      </c>
      <c r="AI349" s="136">
        <v>2.3999999999999998E-3</v>
      </c>
      <c r="AJ349" s="136">
        <v>6.8999999999999999E-3</v>
      </c>
      <c r="AK349" s="136">
        <v>1.3299999999999999E-2</v>
      </c>
      <c r="AM349" s="136">
        <v>3.09E-2</v>
      </c>
      <c r="AN349" s="136">
        <v>4.9299999999999997E-2</v>
      </c>
      <c r="AO349" s="136">
        <v>7.7499999999999999E-2</v>
      </c>
      <c r="AQ349" s="136">
        <v>8.9999999999999998E-4</v>
      </c>
      <c r="AR349" s="136">
        <v>2.5000000000000001E-3</v>
      </c>
      <c r="AS349" s="136">
        <v>7.1999999999999998E-3</v>
      </c>
      <c r="AT349" s="136">
        <v>1.3899999999999999E-2</v>
      </c>
      <c r="AV349" s="136">
        <v>3.2399999999999998E-2</v>
      </c>
      <c r="AW349" s="136">
        <v>5.1700000000000003E-2</v>
      </c>
      <c r="AX349" s="136">
        <v>8.1199999999999994E-2</v>
      </c>
    </row>
    <row r="350" spans="1:50" s="79" customFormat="1" ht="11.25">
      <c r="A350" s="96">
        <f t="shared" ca="1" si="7"/>
        <v>339</v>
      </c>
      <c r="B350" s="68" t="s">
        <v>410</v>
      </c>
      <c r="C350" s="97">
        <v>0.2</v>
      </c>
      <c r="D350" s="69" t="s">
        <v>66</v>
      </c>
      <c r="E350" s="137" t="s">
        <v>87</v>
      </c>
      <c r="F350" s="156">
        <v>1.42E-3</v>
      </c>
      <c r="G350" s="156">
        <v>1.7700000000000001E-3</v>
      </c>
      <c r="H350" s="156">
        <v>2.66E-3</v>
      </c>
      <c r="I350" s="156">
        <v>3.4199999999999999E-3</v>
      </c>
      <c r="J350" s="156" t="s">
        <v>87</v>
      </c>
      <c r="K350" s="156">
        <v>4.5999999999999999E-3</v>
      </c>
      <c r="L350" s="156">
        <v>5.2399999999999999E-3</v>
      </c>
      <c r="M350" s="156">
        <v>5.7999999999999996E-3</v>
      </c>
      <c r="N350" s="138" cm="1">
        <f t="array" aca="1" ref="N350:AE350" ca="1">IF(OR(B350="",NOT($J$2)),"",GetStripDefaultProbability(A350,B350,Parameter_Date,CDSRollDate,E350:M350,SpreadCurveMaturities,D350,C350,$J$4,$J$6))</f>
        <v>0</v>
      </c>
      <c r="O350" s="163">
        <f ca="1"/>
        <v>1.0619891151152361E-3</v>
      </c>
      <c r="P350" s="163">
        <f ca="1"/>
        <v>2.4387601282030991E-3</v>
      </c>
      <c r="Q350" s="163">
        <f ca="1"/>
        <v>7.0513575948510931E-3</v>
      </c>
      <c r="R350" s="163">
        <f ca="1"/>
        <v>1.344737497647519E-2</v>
      </c>
      <c r="S350" s="163">
        <f ca="1"/>
        <v>0</v>
      </c>
      <c r="T350" s="163">
        <f ca="1"/>
        <v>2.9899308044022854E-2</v>
      </c>
      <c r="U350" s="163">
        <f ca="1"/>
        <v>4.7334023805145065E-2</v>
      </c>
      <c r="V350" s="139">
        <f ca="1"/>
        <v>7.4124172391809462E-2</v>
      </c>
      <c r="W350" s="138">
        <f ca="1"/>
        <v>0</v>
      </c>
      <c r="X350" s="163">
        <f ca="1"/>
        <v>1.1367320278214965E-3</v>
      </c>
      <c r="Y350" s="163">
        <f ca="1"/>
        <v>2.5634474900734228E-3</v>
      </c>
      <c r="Z350" s="163">
        <f ca="1"/>
        <v>7.4020927021853922E-3</v>
      </c>
      <c r="AA350" s="163">
        <f ca="1"/>
        <v>1.4115198473249158E-2</v>
      </c>
      <c r="AB350" s="163">
        <f ca="1"/>
        <v>0</v>
      </c>
      <c r="AC350" s="163">
        <f ca="1"/>
        <v>3.1373057876714183E-2</v>
      </c>
      <c r="AD350" s="163">
        <f ca="1"/>
        <v>4.9650148100451763E-2</v>
      </c>
      <c r="AE350" s="139">
        <f ca="1"/>
        <v>7.7698219525258572E-2</v>
      </c>
      <c r="AH350" s="136">
        <v>1E-3</v>
      </c>
      <c r="AI350" s="136">
        <v>2.3E-3</v>
      </c>
      <c r="AJ350" s="136">
        <v>6.8999999999999999E-3</v>
      </c>
      <c r="AK350" s="136">
        <v>1.32E-2</v>
      </c>
      <c r="AM350" s="136">
        <v>2.9600000000000001E-2</v>
      </c>
      <c r="AN350" s="136">
        <v>4.6899999999999997E-2</v>
      </c>
      <c r="AO350" s="136">
        <v>7.3700000000000002E-2</v>
      </c>
      <c r="AQ350" s="136">
        <v>1E-3</v>
      </c>
      <c r="AR350" s="136">
        <v>2.3999999999999998E-3</v>
      </c>
      <c r="AS350" s="136">
        <v>7.1999999999999998E-3</v>
      </c>
      <c r="AT350" s="136">
        <v>1.3899999999999999E-2</v>
      </c>
      <c r="AV350" s="136">
        <v>3.1E-2</v>
      </c>
      <c r="AW350" s="136">
        <v>4.9200000000000001E-2</v>
      </c>
      <c r="AX350" s="136">
        <v>7.7200000000000005E-2</v>
      </c>
    </row>
    <row r="351" spans="1:50" s="79" customFormat="1" ht="11.25">
      <c r="A351" s="96">
        <f t="shared" ca="1" si="7"/>
        <v>340</v>
      </c>
      <c r="B351" s="68" t="s">
        <v>124</v>
      </c>
      <c r="C351" s="97">
        <v>0.4</v>
      </c>
      <c r="D351" s="69" t="s">
        <v>66</v>
      </c>
      <c r="E351" s="137" t="s">
        <v>87</v>
      </c>
      <c r="F351" s="156">
        <v>1.8500000000000001E-3</v>
      </c>
      <c r="G351" s="156">
        <v>2.0699999999999998E-3</v>
      </c>
      <c r="H351" s="156">
        <v>2.81E-3</v>
      </c>
      <c r="I351" s="156">
        <v>3.2599999999999999E-3</v>
      </c>
      <c r="J351" s="156" t="s">
        <v>87</v>
      </c>
      <c r="K351" s="156">
        <v>4.1000000000000003E-3</v>
      </c>
      <c r="L351" s="156">
        <v>4.5999999999999999E-3</v>
      </c>
      <c r="M351" s="156">
        <v>5.0000000000000001E-3</v>
      </c>
      <c r="N351" s="138" cm="1">
        <f t="array" aca="1" ref="N351:AE351" ca="1">IF(OR(B351="",NOT($J$2)),"",GetStripDefaultProbability(A351,B351,Parameter_Date,CDSRollDate,E351:M351,SpreadCurveMaturities,D351,C351,$J$4,$J$6))</f>
        <v>0</v>
      </c>
      <c r="O351" s="163">
        <f ca="1"/>
        <v>1.844050239766637E-3</v>
      </c>
      <c r="P351" s="163">
        <f ca="1"/>
        <v>3.7954442133506516E-3</v>
      </c>
      <c r="Q351" s="163">
        <f ca="1"/>
        <v>9.8974764888682953E-3</v>
      </c>
      <c r="R351" s="163">
        <f ca="1"/>
        <v>1.6978815958761606E-2</v>
      </c>
      <c r="S351" s="163">
        <f ca="1"/>
        <v>0</v>
      </c>
      <c r="T351" s="163">
        <f ca="1"/>
        <v>3.5239059317082932E-2</v>
      </c>
      <c r="U351" s="163">
        <f ca="1"/>
        <v>5.4920367792737124E-2</v>
      </c>
      <c r="V351" s="139">
        <f ca="1"/>
        <v>8.4249917416369891E-2</v>
      </c>
      <c r="W351" s="138">
        <f ca="1"/>
        <v>0</v>
      </c>
      <c r="X351" s="163">
        <f ca="1"/>
        <v>1.9436236819484476E-3</v>
      </c>
      <c r="Y351" s="163">
        <f ca="1"/>
        <v>3.984651622563784E-3</v>
      </c>
      <c r="Z351" s="163">
        <f ca="1"/>
        <v>1.0389812244381069E-2</v>
      </c>
      <c r="AA351" s="163">
        <f ca="1"/>
        <v>1.7820960334372415E-2</v>
      </c>
      <c r="AB351" s="163">
        <f ca="1"/>
        <v>0</v>
      </c>
      <c r="AC351" s="163">
        <f ca="1"/>
        <v>3.697096471213579E-2</v>
      </c>
      <c r="AD351" s="163">
        <f ca="1"/>
        <v>5.7596433293940485E-2</v>
      </c>
      <c r="AE351" s="139">
        <f ca="1"/>
        <v>8.8287384822163695E-2</v>
      </c>
      <c r="AH351" s="136">
        <v>1.6999999999999999E-3</v>
      </c>
      <c r="AI351" s="136">
        <v>3.5999999999999999E-3</v>
      </c>
      <c r="AJ351" s="136">
        <v>9.5999999999999992E-3</v>
      </c>
      <c r="AK351" s="136">
        <v>1.67E-2</v>
      </c>
      <c r="AM351" s="136">
        <v>3.4799999999999998E-2</v>
      </c>
      <c r="AN351" s="136">
        <v>5.45E-2</v>
      </c>
      <c r="AO351" s="136">
        <v>8.3799999999999999E-2</v>
      </c>
      <c r="AQ351" s="136">
        <v>1.8E-3</v>
      </c>
      <c r="AR351" s="136">
        <v>3.8E-3</v>
      </c>
      <c r="AS351" s="136">
        <v>1.01E-2</v>
      </c>
      <c r="AT351" s="136">
        <v>1.7500000000000002E-2</v>
      </c>
      <c r="AV351" s="136">
        <v>3.6600000000000001E-2</v>
      </c>
      <c r="AW351" s="136">
        <v>5.7099999999999998E-2</v>
      </c>
      <c r="AX351" s="136">
        <v>8.7800000000000003E-2</v>
      </c>
    </row>
    <row r="352" spans="1:50" s="79" customFormat="1" ht="11.25">
      <c r="A352" s="96">
        <f t="shared" ca="1" si="7"/>
        <v>341</v>
      </c>
      <c r="B352" s="68" t="s">
        <v>411</v>
      </c>
      <c r="C352" s="97">
        <v>0.4</v>
      </c>
      <c r="D352" s="69" t="s">
        <v>67</v>
      </c>
      <c r="E352" s="137" t="s">
        <v>87</v>
      </c>
      <c r="F352" s="156">
        <v>1.41E-3</v>
      </c>
      <c r="G352" s="156">
        <v>2.1900000000000001E-3</v>
      </c>
      <c r="H352" s="156">
        <v>3.2100000000000002E-3</v>
      </c>
      <c r="I352" s="156">
        <v>3.7299999999999998E-3</v>
      </c>
      <c r="J352" s="156" t="s">
        <v>87</v>
      </c>
      <c r="K352" s="156">
        <v>4.4999999999999997E-3</v>
      </c>
      <c r="L352" s="156">
        <v>4.8900000000000002E-3</v>
      </c>
      <c r="M352" s="156">
        <v>5.2700000000000004E-3</v>
      </c>
      <c r="N352" s="138" cm="1">
        <f t="array" aca="1" ref="N352:AE352" ca="1">IF(OR(B352="",NOT($J$2)),"",GetStripDefaultProbability(A352,B352,Parameter_Date,CDSRollDate,E352:M352,SpreadCurveMaturities,D352,C352,$J$4,$J$6))</f>
        <v>0</v>
      </c>
      <c r="O352" s="163">
        <f ca="1"/>
        <v>1.4057935809325128E-3</v>
      </c>
      <c r="P352" s="163">
        <f ca="1"/>
        <v>4.0297449452812995E-3</v>
      </c>
      <c r="Q352" s="163">
        <f ca="1"/>
        <v>1.1330688620278306E-2</v>
      </c>
      <c r="R352" s="163">
        <f ca="1"/>
        <v>1.9439504508379946E-2</v>
      </c>
      <c r="S352" s="163">
        <f ca="1"/>
        <v>0</v>
      </c>
      <c r="T352" s="163">
        <f ca="1"/>
        <v>3.8584966350715399E-2</v>
      </c>
      <c r="U352" s="163">
        <f ca="1"/>
        <v>5.8110475238948966E-2</v>
      </c>
      <c r="V352" s="139">
        <f ca="1"/>
        <v>8.8467123772992373E-2</v>
      </c>
      <c r="W352" s="138">
        <f ca="1"/>
        <v>0</v>
      </c>
      <c r="X352" s="163">
        <f ca="1"/>
        <v>1.5054155750496845E-3</v>
      </c>
      <c r="Y352" s="163">
        <f ca="1"/>
        <v>4.2300828925220246E-3</v>
      </c>
      <c r="Z352" s="163">
        <f ca="1"/>
        <v>1.1893506494935591E-2</v>
      </c>
      <c r="AA352" s="163">
        <f ca="1"/>
        <v>2.0402209769947444E-2</v>
      </c>
      <c r="AB352" s="163">
        <f ca="1"/>
        <v>0</v>
      </c>
      <c r="AC352" s="163">
        <f ca="1"/>
        <v>4.0476930392242649E-2</v>
      </c>
      <c r="AD352" s="163">
        <f ca="1"/>
        <v>6.0934775401689345E-2</v>
      </c>
      <c r="AE352" s="139">
        <f ca="1"/>
        <v>9.2692041754927068E-2</v>
      </c>
      <c r="AH352" s="136">
        <v>1.2999999999999999E-3</v>
      </c>
      <c r="AI352" s="136">
        <v>3.8E-3</v>
      </c>
      <c r="AJ352" s="136">
        <v>1.0999999999999999E-2</v>
      </c>
      <c r="AK352" s="136">
        <v>1.9099999999999999E-2</v>
      </c>
      <c r="AM352" s="136">
        <v>3.8199999999999998E-2</v>
      </c>
      <c r="AN352" s="136">
        <v>5.7599999999999998E-2</v>
      </c>
      <c r="AO352" s="136">
        <v>8.7999999999999995E-2</v>
      </c>
      <c r="AQ352" s="136">
        <v>1.4E-3</v>
      </c>
      <c r="AR352" s="136">
        <v>4.0000000000000001E-3</v>
      </c>
      <c r="AS352" s="136">
        <v>1.1599999999999999E-2</v>
      </c>
      <c r="AT352" s="136">
        <v>0.02</v>
      </c>
      <c r="AV352" s="136">
        <v>0.04</v>
      </c>
      <c r="AW352" s="136">
        <v>6.0400000000000002E-2</v>
      </c>
      <c r="AX352" s="136">
        <v>9.2200000000000004E-2</v>
      </c>
    </row>
    <row r="353" spans="1:50" s="79" customFormat="1" ht="11.25">
      <c r="A353" s="96">
        <f t="shared" ca="1" si="7"/>
        <v>342</v>
      </c>
      <c r="B353" s="68" t="s">
        <v>412</v>
      </c>
      <c r="C353" s="97">
        <v>0.4</v>
      </c>
      <c r="D353" s="69" t="s">
        <v>66</v>
      </c>
      <c r="E353" s="137" t="s">
        <v>87</v>
      </c>
      <c r="F353" s="156">
        <v>1.0200000000000001E-3</v>
      </c>
      <c r="G353" s="156">
        <v>1.5399999999999999E-3</v>
      </c>
      <c r="H353" s="156">
        <v>2.0500000000000002E-3</v>
      </c>
      <c r="I353" s="156">
        <v>2.7599999999999999E-3</v>
      </c>
      <c r="J353" s="156" t="s">
        <v>87</v>
      </c>
      <c r="K353" s="156">
        <v>4.3E-3</v>
      </c>
      <c r="L353" s="156">
        <v>5.0000000000000001E-3</v>
      </c>
      <c r="M353" s="156">
        <v>5.4000000000000003E-3</v>
      </c>
      <c r="N353" s="138" cm="1">
        <f t="array" aca="1" ref="N353:AE353" ca="1">IF(OR(B353="",NOT($J$2)),"",GetStripDefaultProbability(A353,B353,Parameter_Date,CDSRollDate,E353:M353,SpreadCurveMaturities,D353,C353,$J$4,$J$6))</f>
        <v>0</v>
      </c>
      <c r="O353" s="163">
        <f ca="1"/>
        <v>1.0171390882612874E-3</v>
      </c>
      <c r="P353" s="163">
        <f ca="1"/>
        <v>2.8343111292314926E-3</v>
      </c>
      <c r="Q353" s="163">
        <f ca="1"/>
        <v>7.2355646038951837E-3</v>
      </c>
      <c r="R353" s="163">
        <f ca="1"/>
        <v>1.4476658161188261E-2</v>
      </c>
      <c r="S353" s="163">
        <f ca="1"/>
        <v>0</v>
      </c>
      <c r="T353" s="163">
        <f ca="1"/>
        <v>3.7437734814251611E-2</v>
      </c>
      <c r="U353" s="163">
        <f ca="1"/>
        <v>6.031736497583251E-2</v>
      </c>
      <c r="V353" s="139">
        <f ca="1"/>
        <v>9.1352939035223013E-2</v>
      </c>
      <c r="W353" s="138">
        <f ca="1"/>
        <v>0</v>
      </c>
      <c r="X353" s="163">
        <f ca="1"/>
        <v>1.1168005150720139E-3</v>
      </c>
      <c r="Y353" s="163">
        <f ca="1"/>
        <v>3.0004915619639139E-3</v>
      </c>
      <c r="Z353" s="163">
        <f ca="1"/>
        <v>7.5938929896035567E-3</v>
      </c>
      <c r="AA353" s="163">
        <f ca="1"/>
        <v>1.5193811668158141E-2</v>
      </c>
      <c r="AB353" s="163">
        <f ca="1"/>
        <v>0</v>
      </c>
      <c r="AC353" s="163">
        <f ca="1"/>
        <v>3.9276220419021124E-2</v>
      </c>
      <c r="AD353" s="163">
        <f ca="1"/>
        <v>6.3252970710042211E-2</v>
      </c>
      <c r="AE353" s="139">
        <f ca="1"/>
        <v>9.5719290004184443E-2</v>
      </c>
      <c r="AH353" s="136">
        <v>8.9999999999999998E-4</v>
      </c>
      <c r="AI353" s="136">
        <v>2.7000000000000001E-3</v>
      </c>
      <c r="AJ353" s="136">
        <v>7.0000000000000001E-3</v>
      </c>
      <c r="AK353" s="136">
        <v>1.4200000000000001E-2</v>
      </c>
      <c r="AM353" s="136">
        <v>3.6999999999999998E-2</v>
      </c>
      <c r="AN353" s="136">
        <v>5.9799999999999999E-2</v>
      </c>
      <c r="AO353" s="136">
        <v>9.0800000000000006E-2</v>
      </c>
      <c r="AQ353" s="136">
        <v>1E-3</v>
      </c>
      <c r="AR353" s="136">
        <v>2.8999999999999998E-3</v>
      </c>
      <c r="AS353" s="136">
        <v>7.4000000000000003E-3</v>
      </c>
      <c r="AT353" s="136">
        <v>1.49E-2</v>
      </c>
      <c r="AV353" s="136">
        <v>3.8800000000000001E-2</v>
      </c>
      <c r="AW353" s="136">
        <v>6.2700000000000006E-2</v>
      </c>
      <c r="AX353" s="136">
        <v>9.5200000000000007E-2</v>
      </c>
    </row>
    <row r="354" spans="1:50" s="79" customFormat="1" ht="11.25">
      <c r="A354" s="96">
        <f t="shared" ca="1" si="7"/>
        <v>343</v>
      </c>
      <c r="B354" s="68" t="s">
        <v>176</v>
      </c>
      <c r="C354" s="97">
        <v>0.4</v>
      </c>
      <c r="D354" s="69" t="s">
        <v>66</v>
      </c>
      <c r="E354" s="137" t="s">
        <v>87</v>
      </c>
      <c r="F354" s="156">
        <v>1.65E-3</v>
      </c>
      <c r="G354" s="156">
        <v>2.5300000000000001E-3</v>
      </c>
      <c r="H354" s="156">
        <v>3.2299999999999998E-3</v>
      </c>
      <c r="I354" s="156">
        <v>3.5400000000000002E-3</v>
      </c>
      <c r="J354" s="156" t="s">
        <v>87</v>
      </c>
      <c r="K354" s="156">
        <v>4.1999999999999997E-3</v>
      </c>
      <c r="L354" s="156">
        <v>4.5999999999999999E-3</v>
      </c>
      <c r="M354" s="156">
        <v>5.0000000000000001E-3</v>
      </c>
      <c r="N354" s="138" cm="1">
        <f t="array" aca="1" ref="N354:AE354" ca="1">IF(OR(B354="",NOT($J$2)),"",GetStripDefaultProbability(A354,B354,Parameter_Date,CDSRollDate,E354:M354,SpreadCurveMaturities,D354,C354,$J$4,$J$6))</f>
        <v>0</v>
      </c>
      <c r="O354" s="163">
        <f ca="1"/>
        <v>1.6448569233522559E-3</v>
      </c>
      <c r="P354" s="163">
        <f ca="1"/>
        <v>4.6536202261334703E-3</v>
      </c>
      <c r="Q354" s="163">
        <f ca="1"/>
        <v>1.1372542480457937E-2</v>
      </c>
      <c r="R354" s="163">
        <f ca="1"/>
        <v>1.8384583914232144E-2</v>
      </c>
      <c r="S354" s="163">
        <f ca="1"/>
        <v>0</v>
      </c>
      <c r="T354" s="163">
        <f ca="1"/>
        <v>3.5918233195165961E-2</v>
      </c>
      <c r="U354" s="163">
        <f ca="1"/>
        <v>5.4606601603905403E-2</v>
      </c>
      <c r="V354" s="139">
        <f ca="1"/>
        <v>8.3939786183197973E-2</v>
      </c>
      <c r="W354" s="138">
        <f ca="1"/>
        <v>0</v>
      </c>
      <c r="X354" s="163">
        <f ca="1"/>
        <v>1.7444518775037166E-3</v>
      </c>
      <c r="Y354" s="163">
        <f ca="1"/>
        <v>4.8853462356646116E-3</v>
      </c>
      <c r="Z354" s="163">
        <f ca="1"/>
        <v>1.193762983213531E-2</v>
      </c>
      <c r="AA354" s="163">
        <f ca="1"/>
        <v>1.9295359919811128E-2</v>
      </c>
      <c r="AB354" s="163">
        <f ca="1"/>
        <v>0</v>
      </c>
      <c r="AC354" s="163">
        <f ca="1"/>
        <v>3.7681680734967138E-2</v>
      </c>
      <c r="AD354" s="163">
        <f ca="1"/>
        <v>5.7265120053859198E-2</v>
      </c>
      <c r="AE354" s="139">
        <f ca="1"/>
        <v>8.7959713006479201E-2</v>
      </c>
      <c r="AH354" s="136">
        <v>1.5E-3</v>
      </c>
      <c r="AI354" s="136">
        <v>4.4000000000000003E-3</v>
      </c>
      <c r="AJ354" s="136">
        <v>1.11E-2</v>
      </c>
      <c r="AK354" s="136">
        <v>1.8100000000000002E-2</v>
      </c>
      <c r="AM354" s="136">
        <v>3.5499999999999997E-2</v>
      </c>
      <c r="AN354" s="136">
        <v>5.4199999999999998E-2</v>
      </c>
      <c r="AO354" s="136">
        <v>8.3500000000000005E-2</v>
      </c>
      <c r="AQ354" s="136">
        <v>1.6000000000000001E-3</v>
      </c>
      <c r="AR354" s="136">
        <v>4.5999999999999999E-3</v>
      </c>
      <c r="AS354" s="136">
        <v>1.1599999999999999E-2</v>
      </c>
      <c r="AT354" s="136">
        <v>1.89E-2</v>
      </c>
      <c r="AV354" s="136">
        <v>3.73E-2</v>
      </c>
      <c r="AW354" s="136">
        <v>5.6800000000000003E-2</v>
      </c>
      <c r="AX354" s="136">
        <v>8.7499999999999994E-2</v>
      </c>
    </row>
    <row r="355" spans="1:50" s="79" customFormat="1" ht="11.25">
      <c r="A355" s="96">
        <f t="shared" ca="1" si="7"/>
        <v>344</v>
      </c>
      <c r="B355" s="68" t="s">
        <v>413</v>
      </c>
      <c r="C355" s="97">
        <v>0.4</v>
      </c>
      <c r="D355" s="69" t="s">
        <v>66</v>
      </c>
      <c r="E355" s="137" t="s">
        <v>87</v>
      </c>
      <c r="F355" s="156">
        <v>1.06E-3</v>
      </c>
      <c r="G355" s="156">
        <v>1.6900000000000001E-3</v>
      </c>
      <c r="H355" s="156">
        <v>2.0100000000000001E-3</v>
      </c>
      <c r="I355" s="156">
        <v>2.5400000000000002E-3</v>
      </c>
      <c r="J355" s="156" t="s">
        <v>87</v>
      </c>
      <c r="K355" s="156">
        <v>3.5999999999999999E-3</v>
      </c>
      <c r="L355" s="156">
        <v>4.15E-3</v>
      </c>
      <c r="M355" s="156">
        <v>4.5999999999999999E-3</v>
      </c>
      <c r="N355" s="138" cm="1">
        <f t="array" aca="1" ref="N355:AE355" ca="1">IF(OR(B355="",NOT($J$2)),"",GetStripDefaultProbability(A355,B355,Parameter_Date,CDSRollDate,E355:M355,SpreadCurveMaturities,D355,C355,$J$4,$J$6))</f>
        <v>0</v>
      </c>
      <c r="O355" s="163">
        <f ca="1"/>
        <v>1.0570058778868185E-3</v>
      </c>
      <c r="P355" s="163">
        <f ca="1"/>
        <v>3.1115978680908984E-3</v>
      </c>
      <c r="Q355" s="163">
        <f ca="1"/>
        <v>7.0813356157816143E-3</v>
      </c>
      <c r="R355" s="163">
        <f ca="1"/>
        <v>1.3285809517949887E-2</v>
      </c>
      <c r="S355" s="163">
        <f ca="1"/>
        <v>0</v>
      </c>
      <c r="T355" s="163">
        <f ca="1"/>
        <v>3.1232441719858839E-2</v>
      </c>
      <c r="U355" s="163">
        <f ca="1"/>
        <v>5.0039834279423268E-2</v>
      </c>
      <c r="V355" s="139">
        <f ca="1"/>
        <v>7.8370550224472479E-2</v>
      </c>
      <c r="W355" s="138">
        <f ca="1"/>
        <v>0</v>
      </c>
      <c r="X355" s="163">
        <f ca="1"/>
        <v>1.1566631409403172E-3</v>
      </c>
      <c r="Y355" s="163">
        <f ca="1"/>
        <v>3.2777320902022122E-3</v>
      </c>
      <c r="Z355" s="163">
        <f ca="1"/>
        <v>7.4325160741705032E-3</v>
      </c>
      <c r="AA355" s="163">
        <f ca="1"/>
        <v>1.3944508629673003E-2</v>
      </c>
      <c r="AB355" s="163">
        <f ca="1"/>
        <v>0</v>
      </c>
      <c r="AC355" s="163">
        <f ca="1"/>
        <v>3.277003204288309E-2</v>
      </c>
      <c r="AD355" s="163">
        <f ca="1"/>
        <v>5.2485035220311116E-2</v>
      </c>
      <c r="AE355" s="139">
        <f ca="1"/>
        <v>8.2141242030826844E-2</v>
      </c>
      <c r="AH355" s="136">
        <v>1E-3</v>
      </c>
      <c r="AI355" s="136">
        <v>3.0000000000000001E-3</v>
      </c>
      <c r="AJ355" s="136">
        <v>6.8999999999999999E-3</v>
      </c>
      <c r="AK355" s="136">
        <v>1.2999999999999999E-2</v>
      </c>
      <c r="AM355" s="136">
        <v>3.09E-2</v>
      </c>
      <c r="AN355" s="136">
        <v>4.9599999999999998E-2</v>
      </c>
      <c r="AO355" s="136">
        <v>7.7899999999999997E-2</v>
      </c>
      <c r="AQ355" s="136">
        <v>1E-3</v>
      </c>
      <c r="AR355" s="136">
        <v>3.0999999999999999E-3</v>
      </c>
      <c r="AS355" s="136">
        <v>7.1999999999999998E-3</v>
      </c>
      <c r="AT355" s="136">
        <v>1.37E-2</v>
      </c>
      <c r="AV355" s="136">
        <v>3.2399999999999998E-2</v>
      </c>
      <c r="AW355" s="136">
        <v>5.21E-2</v>
      </c>
      <c r="AX355" s="136">
        <v>8.1699999999999995E-2</v>
      </c>
    </row>
    <row r="356" spans="1:50" s="79" customFormat="1" ht="11.25">
      <c r="A356" s="96">
        <f t="shared" ca="1" si="7"/>
        <v>345</v>
      </c>
      <c r="B356" s="68" t="s">
        <v>414</v>
      </c>
      <c r="C356" s="97">
        <v>0.2</v>
      </c>
      <c r="D356" s="69" t="s">
        <v>66</v>
      </c>
      <c r="E356" s="137" t="s">
        <v>87</v>
      </c>
      <c r="F356" s="156">
        <v>1.09E-3</v>
      </c>
      <c r="G356" s="156">
        <v>1.56E-3</v>
      </c>
      <c r="H356" s="156">
        <v>2.1900000000000001E-3</v>
      </c>
      <c r="I356" s="156">
        <v>2.7299999999999998E-3</v>
      </c>
      <c r="J356" s="156" t="s">
        <v>87</v>
      </c>
      <c r="K356" s="156">
        <v>3.5000000000000001E-3</v>
      </c>
      <c r="L356" s="156">
        <v>4.0000000000000001E-3</v>
      </c>
      <c r="M356" s="156">
        <v>4.5999999999999999E-3</v>
      </c>
      <c r="N356" s="138" cm="1">
        <f t="array" aca="1" ref="N356:AE356" ca="1">IF(OR(B356="",NOT($J$2)),"",GetStripDefaultProbability(A356,B356,Parameter_Date,CDSRollDate,E356:M356,SpreadCurveMaturities,D356,C356,$J$4,$J$6))</f>
        <v>0</v>
      </c>
      <c r="O356" s="163">
        <f ca="1"/>
        <v>8.1528913366168965E-4</v>
      </c>
      <c r="P356" s="163">
        <f ca="1"/>
        <v>2.1528328904422134E-3</v>
      </c>
      <c r="Q356" s="163">
        <f ca="1"/>
        <v>5.804871766359021E-3</v>
      </c>
      <c r="R356" s="163">
        <f ca="1"/>
        <v>1.0730688412553646E-2</v>
      </c>
      <c r="S356" s="163">
        <f ca="1"/>
        <v>0</v>
      </c>
      <c r="T356" s="163">
        <f ca="1"/>
        <v>2.2742030990884454E-2</v>
      </c>
      <c r="U356" s="163">
        <f ca="1"/>
        <v>3.623708668070369E-2</v>
      </c>
      <c r="V356" s="139">
        <f ca="1"/>
        <v>5.9456549848174611E-2</v>
      </c>
      <c r="W356" s="138">
        <f ca="1"/>
        <v>0</v>
      </c>
      <c r="X356" s="163">
        <f ca="1"/>
        <v>8.9005153410270932E-4</v>
      </c>
      <c r="Y356" s="163">
        <f ca="1"/>
        <v>2.27755599096513E-3</v>
      </c>
      <c r="Z356" s="163">
        <f ca="1"/>
        <v>6.0928097414277849E-3</v>
      </c>
      <c r="AA356" s="163">
        <f ca="1"/>
        <v>1.1263183034146307E-2</v>
      </c>
      <c r="AB356" s="163">
        <f ca="1"/>
        <v>0</v>
      </c>
      <c r="AC356" s="163">
        <f ca="1"/>
        <v>2.3865520857013323E-2</v>
      </c>
      <c r="AD356" s="163">
        <f ca="1"/>
        <v>3.8017906969348814E-2</v>
      </c>
      <c r="AE356" s="139">
        <f ca="1"/>
        <v>6.234465411220147E-2</v>
      </c>
      <c r="AH356" s="136">
        <v>6.9999999999999999E-4</v>
      </c>
      <c r="AI356" s="136">
        <v>2E-3</v>
      </c>
      <c r="AJ356" s="136">
        <v>5.5999999999999999E-3</v>
      </c>
      <c r="AK356" s="136">
        <v>1.0500000000000001E-2</v>
      </c>
      <c r="AM356" s="136">
        <v>2.2499999999999999E-2</v>
      </c>
      <c r="AN356" s="136">
        <v>3.5900000000000001E-2</v>
      </c>
      <c r="AO356" s="136">
        <v>5.91E-2</v>
      </c>
      <c r="AQ356" s="136">
        <v>8.0000000000000004E-4</v>
      </c>
      <c r="AR356" s="136">
        <v>2.2000000000000001E-3</v>
      </c>
      <c r="AS356" s="136">
        <v>5.8999999999999999E-3</v>
      </c>
      <c r="AT356" s="136">
        <v>1.11E-2</v>
      </c>
      <c r="AV356" s="136">
        <v>2.3599999999999999E-2</v>
      </c>
      <c r="AW356" s="136">
        <v>3.7699999999999997E-2</v>
      </c>
      <c r="AX356" s="136">
        <v>6.2E-2</v>
      </c>
    </row>
    <row r="357" spans="1:50" s="79" customFormat="1" ht="11.25">
      <c r="A357" s="96">
        <f t="shared" ca="1" si="7"/>
        <v>346</v>
      </c>
      <c r="B357" s="68" t="s">
        <v>415</v>
      </c>
      <c r="C357" s="97">
        <v>0.4</v>
      </c>
      <c r="D357" s="69" t="s">
        <v>66</v>
      </c>
      <c r="E357" s="137" t="s">
        <v>87</v>
      </c>
      <c r="F357" s="156">
        <v>1.74E-3</v>
      </c>
      <c r="G357" s="156">
        <v>2.0899999999999998E-3</v>
      </c>
      <c r="H357" s="156">
        <v>2.7799999999999999E-3</v>
      </c>
      <c r="I357" s="156">
        <v>3.3300000000000001E-3</v>
      </c>
      <c r="J357" s="156" t="s">
        <v>87</v>
      </c>
      <c r="K357" s="156">
        <v>4.0000000000000001E-3</v>
      </c>
      <c r="L357" s="156">
        <v>4.45E-3</v>
      </c>
      <c r="M357" s="156">
        <v>5.0000000000000001E-3</v>
      </c>
      <c r="N357" s="138" cm="1">
        <f t="array" aca="1" ref="N357:AE357" ca="1">IF(OR(B357="",NOT($J$2)),"",GetStripDefaultProbability(A357,B357,Parameter_Date,CDSRollDate,E357:M357,SpreadCurveMaturities,D357,C357,$J$4,$J$6))</f>
        <v>0</v>
      </c>
      <c r="O357" s="163">
        <f ca="1"/>
        <v>1.734498815491814E-3</v>
      </c>
      <c r="P357" s="163">
        <f ca="1"/>
        <v>3.8354686601980159E-3</v>
      </c>
      <c r="Q357" s="163">
        <f ca="1"/>
        <v>9.7918598196428119E-3</v>
      </c>
      <c r="R357" s="163">
        <f ca="1"/>
        <v>1.7362482920215694E-2</v>
      </c>
      <c r="S357" s="163">
        <f ca="1"/>
        <v>0</v>
      </c>
      <c r="T357" s="163">
        <f ca="1"/>
        <v>3.4320226577190915E-2</v>
      </c>
      <c r="U357" s="163">
        <f ca="1"/>
        <v>5.3048786352868027E-2</v>
      </c>
      <c r="V357" s="139">
        <f ca="1"/>
        <v>8.4601567692538793E-2</v>
      </c>
      <c r="W357" s="138">
        <f ca="1"/>
        <v>0</v>
      </c>
      <c r="X357" s="163">
        <f ca="1"/>
        <v>1.8340841142395758E-3</v>
      </c>
      <c r="Y357" s="163">
        <f ca="1"/>
        <v>4.0265338993819011E-3</v>
      </c>
      <c r="Z357" s="163">
        <f ca="1"/>
        <v>1.0278815605530456E-2</v>
      </c>
      <c r="AA357" s="163">
        <f ca="1"/>
        <v>1.8223469217966914E-2</v>
      </c>
      <c r="AB357" s="163">
        <f ca="1"/>
        <v>0</v>
      </c>
      <c r="AC357" s="163">
        <f ca="1"/>
        <v>3.6007311654314811E-2</v>
      </c>
      <c r="AD357" s="163">
        <f ca="1"/>
        <v>5.563492122667546E-2</v>
      </c>
      <c r="AE357" s="139">
        <f ca="1"/>
        <v>8.8656264057987877E-2</v>
      </c>
      <c r="AH357" s="136">
        <v>1.6000000000000001E-3</v>
      </c>
      <c r="AI357" s="136">
        <v>3.5999999999999999E-3</v>
      </c>
      <c r="AJ357" s="136">
        <v>9.4999999999999998E-3</v>
      </c>
      <c r="AK357" s="136">
        <v>1.7000000000000001E-2</v>
      </c>
      <c r="AM357" s="136">
        <v>3.39E-2</v>
      </c>
      <c r="AN357" s="136">
        <v>5.2600000000000001E-2</v>
      </c>
      <c r="AO357" s="136">
        <v>8.4099999999999994E-2</v>
      </c>
      <c r="AQ357" s="136">
        <v>1.6999999999999999E-3</v>
      </c>
      <c r="AR357" s="136">
        <v>3.8E-3</v>
      </c>
      <c r="AS357" s="136">
        <v>0.01</v>
      </c>
      <c r="AT357" s="136">
        <v>1.7899999999999999E-2</v>
      </c>
      <c r="AV357" s="136">
        <v>3.56E-2</v>
      </c>
      <c r="AW357" s="136">
        <v>5.5199999999999999E-2</v>
      </c>
      <c r="AX357" s="136">
        <v>8.8099999999999998E-2</v>
      </c>
    </row>
    <row r="358" spans="1:50" s="79" customFormat="1" ht="11.25">
      <c r="A358" s="96">
        <f t="shared" ca="1" si="7"/>
        <v>347</v>
      </c>
      <c r="B358" s="68" t="s">
        <v>416</v>
      </c>
      <c r="C358" s="97">
        <v>0.2</v>
      </c>
      <c r="D358" s="69" t="s">
        <v>66</v>
      </c>
      <c r="E358" s="137" t="s">
        <v>87</v>
      </c>
      <c r="F358" s="156">
        <v>1.42E-3</v>
      </c>
      <c r="G358" s="156">
        <v>1.8400000000000001E-3</v>
      </c>
      <c r="H358" s="156">
        <v>2.5500000000000002E-3</v>
      </c>
      <c r="I358" s="156">
        <v>3.3500000000000001E-3</v>
      </c>
      <c r="J358" s="156" t="s">
        <v>87</v>
      </c>
      <c r="K358" s="156">
        <v>4.7999999999999996E-3</v>
      </c>
      <c r="L358" s="156">
        <v>5.4999999999999997E-3</v>
      </c>
      <c r="M358" s="156">
        <v>6.0000000000000001E-3</v>
      </c>
      <c r="N358" s="138" cm="1">
        <f t="array" aca="1" ref="N358:AE358" ca="1">IF(OR(B358="",NOT($J$2)),"",GetStripDefaultProbability(A358,B358,Parameter_Date,CDSRollDate,E358:M358,SpreadCurveMaturities,D358,C358,$J$4,$J$6))</f>
        <v>0</v>
      </c>
      <c r="O358" s="163">
        <f ca="1"/>
        <v>1.0619891151152361E-3</v>
      </c>
      <c r="P358" s="163">
        <f ca="1"/>
        <v>2.536199092806779E-3</v>
      </c>
      <c r="Q358" s="163">
        <f ca="1"/>
        <v>6.7523224853230923E-3</v>
      </c>
      <c r="R358" s="163">
        <f ca="1"/>
        <v>1.3174787389251041E-2</v>
      </c>
      <c r="S358" s="163">
        <f ca="1"/>
        <v>0</v>
      </c>
      <c r="T358" s="163">
        <f ca="1"/>
        <v>3.1282005554649328E-2</v>
      </c>
      <c r="U358" s="163">
        <f ca="1"/>
        <v>4.9764023793090861E-2</v>
      </c>
      <c r="V358" s="139">
        <f ca="1"/>
        <v>7.65439090566159E-2</v>
      </c>
      <c r="W358" s="138">
        <f ca="1"/>
        <v>0</v>
      </c>
      <c r="X358" s="163">
        <f ca="1"/>
        <v>1.1367320278214965E-3</v>
      </c>
      <c r="Y358" s="163">
        <f ca="1"/>
        <v>2.660874275562386E-3</v>
      </c>
      <c r="Z358" s="163">
        <f ca="1"/>
        <v>7.0883517934428042E-3</v>
      </c>
      <c r="AA358" s="163">
        <f ca="1"/>
        <v>1.3829311553586576E-2</v>
      </c>
      <c r="AB358" s="163">
        <f ca="1"/>
        <v>0</v>
      </c>
      <c r="AC358" s="163">
        <f ca="1"/>
        <v>3.2823499156546587E-2</v>
      </c>
      <c r="AD358" s="163">
        <f ca="1"/>
        <v>5.2197490877210373E-2</v>
      </c>
      <c r="AE358" s="139">
        <f ca="1"/>
        <v>8.0230541536853162E-2</v>
      </c>
      <c r="AH358" s="136">
        <v>1E-3</v>
      </c>
      <c r="AI358" s="136">
        <v>2.3999999999999998E-3</v>
      </c>
      <c r="AJ358" s="136">
        <v>6.6E-3</v>
      </c>
      <c r="AK358" s="136">
        <v>1.29E-2</v>
      </c>
      <c r="AM358" s="136">
        <v>3.09E-2</v>
      </c>
      <c r="AN358" s="136">
        <v>4.9399999999999999E-2</v>
      </c>
      <c r="AO358" s="136">
        <v>7.6100000000000001E-2</v>
      </c>
      <c r="AQ358" s="136">
        <v>1E-3</v>
      </c>
      <c r="AR358" s="136">
        <v>2.5000000000000001E-3</v>
      </c>
      <c r="AS358" s="136">
        <v>6.8999999999999999E-3</v>
      </c>
      <c r="AT358" s="136">
        <v>1.3599999999999999E-2</v>
      </c>
      <c r="AV358" s="136">
        <v>3.2500000000000001E-2</v>
      </c>
      <c r="AW358" s="136">
        <v>5.1799999999999999E-2</v>
      </c>
      <c r="AX358" s="136">
        <v>7.9799999999999996E-2</v>
      </c>
    </row>
    <row r="359" spans="1:50" s="79" customFormat="1" ht="11.25">
      <c r="A359" s="96">
        <f t="shared" ca="1" si="7"/>
        <v>348</v>
      </c>
      <c r="B359" s="68" t="s">
        <v>417</v>
      </c>
      <c r="C359" s="97">
        <v>0.2</v>
      </c>
      <c r="D359" s="69" t="s">
        <v>67</v>
      </c>
      <c r="E359" s="137" t="s">
        <v>87</v>
      </c>
      <c r="F359" s="156" t="s">
        <v>87</v>
      </c>
      <c r="G359" s="156">
        <v>1.4400000000000001E-3</v>
      </c>
      <c r="H359" s="156" t="s">
        <v>87</v>
      </c>
      <c r="I359" s="156">
        <v>2.2910000000000001E-3</v>
      </c>
      <c r="J359" s="156" t="s">
        <v>87</v>
      </c>
      <c r="K359" s="156">
        <v>3.5999999999999999E-3</v>
      </c>
      <c r="L359" s="156">
        <v>4.5820000000000001E-3</v>
      </c>
      <c r="M359" s="156">
        <v>5.5259999999999997E-3</v>
      </c>
      <c r="N359" s="138" cm="1">
        <f t="array" aca="1" ref="N359:AE359" ca="1">IF(OR(B359="",NOT($J$2)),"",GetStripDefaultProbability(A359,B359,Parameter_Date,CDSRollDate,E359:M359,SpreadCurveMaturities,D359,C359,$J$4,$J$6))</f>
        <v>0</v>
      </c>
      <c r="O359" s="163">
        <f ca="1"/>
        <v>0</v>
      </c>
      <c r="P359" s="163">
        <f ca="1"/>
        <v>1.9790020156850163E-3</v>
      </c>
      <c r="Q359" s="163">
        <f ca="1"/>
        <v>0</v>
      </c>
      <c r="R359" s="163">
        <f ca="1"/>
        <v>8.9653032886789497E-3</v>
      </c>
      <c r="S359" s="163">
        <f ca="1"/>
        <v>0</v>
      </c>
      <c r="T359" s="163">
        <f ca="1"/>
        <v>2.3604904474413546E-2</v>
      </c>
      <c r="U359" s="163">
        <f ca="1"/>
        <v>4.219945983902329E-2</v>
      </c>
      <c r="V359" s="139">
        <f ca="1"/>
        <v>7.2683641714616054E-2</v>
      </c>
      <c r="W359" s="138">
        <f ca="1"/>
        <v>0</v>
      </c>
      <c r="X359" s="163">
        <f ca="1"/>
        <v>0</v>
      </c>
      <c r="Y359" s="163">
        <f ca="1"/>
        <v>2.1037468437153928E-3</v>
      </c>
      <c r="Z359" s="163">
        <f ca="1"/>
        <v>0</v>
      </c>
      <c r="AA359" s="163">
        <f ca="1"/>
        <v>9.4094081467394064E-3</v>
      </c>
      <c r="AB359" s="163">
        <f ca="1"/>
        <v>0</v>
      </c>
      <c r="AC359" s="163">
        <f ca="1"/>
        <v>2.4770457495357223E-2</v>
      </c>
      <c r="AD359" s="163">
        <f ca="1"/>
        <v>4.4270427692230108E-2</v>
      </c>
      <c r="AE359" s="139">
        <f ca="1"/>
        <v>7.6197423680326559E-2</v>
      </c>
      <c r="AI359" s="136">
        <v>1.9E-3</v>
      </c>
      <c r="AK359" s="136">
        <v>8.8000000000000005E-3</v>
      </c>
      <c r="AM359" s="136">
        <v>2.3300000000000001E-2</v>
      </c>
      <c r="AN359" s="136">
        <v>4.1799999999999997E-2</v>
      </c>
      <c r="AO359" s="136">
        <v>7.22E-2</v>
      </c>
      <c r="AR359" s="136">
        <v>2E-3</v>
      </c>
      <c r="AT359" s="136">
        <v>9.1999999999999998E-3</v>
      </c>
      <c r="AV359" s="136">
        <v>2.4500000000000001E-2</v>
      </c>
      <c r="AW359" s="136">
        <v>4.3900000000000002E-2</v>
      </c>
      <c r="AX359" s="136">
        <v>7.5700000000000003E-2</v>
      </c>
    </row>
    <row r="360" spans="1:50" s="79" customFormat="1" ht="11.25">
      <c r="A360" s="96">
        <f t="shared" ca="1" si="7"/>
        <v>349</v>
      </c>
      <c r="B360" s="68" t="s">
        <v>418</v>
      </c>
      <c r="C360" s="97">
        <v>0.4</v>
      </c>
      <c r="D360" s="69" t="s">
        <v>67</v>
      </c>
      <c r="E360" s="137" t="s">
        <v>87</v>
      </c>
      <c r="F360" s="156" t="s">
        <v>87</v>
      </c>
      <c r="G360" s="156">
        <v>3.7332999999999998E-2</v>
      </c>
      <c r="H360" s="156" t="s">
        <v>87</v>
      </c>
      <c r="I360" s="156">
        <v>3.1806000000000001E-2</v>
      </c>
      <c r="J360" s="156" t="s">
        <v>87</v>
      </c>
      <c r="K360" s="156">
        <v>2.8000000000000001E-2</v>
      </c>
      <c r="L360" s="156">
        <v>2.4181999999999999E-2</v>
      </c>
      <c r="M360" s="156">
        <v>2.0872999999999999E-2</v>
      </c>
      <c r="N360" s="138" cm="1">
        <f t="array" aca="1" ref="N360:AE360" ca="1">IF(OR(B360="",NOT($J$2)),"",GetStripDefaultProbability(A360,B360,Parameter_Date,CDSRollDate,E360:M360,SpreadCurveMaturities,D360,C360,$J$4,$J$6))</f>
        <v>0</v>
      </c>
      <c r="O360" s="163">
        <f ca="1"/>
        <v>0</v>
      </c>
      <c r="P360" s="163">
        <f ca="1"/>
        <v>6.6183077162697224E-2</v>
      </c>
      <c r="Q360" s="163">
        <f ca="1"/>
        <v>0</v>
      </c>
      <c r="R360" s="163">
        <f ca="1"/>
        <v>0.15077973365102781</v>
      </c>
      <c r="S360" s="163">
        <f ca="1"/>
        <v>0</v>
      </c>
      <c r="T360" s="163">
        <f ca="1"/>
        <v>0.20751749845529155</v>
      </c>
      <c r="U360" s="163">
        <f ca="1"/>
        <v>0.23629205022569055</v>
      </c>
      <c r="V360" s="139">
        <f ca="1"/>
        <v>0.27092372750932248</v>
      </c>
      <c r="W360" s="138">
        <f ca="1"/>
        <v>0</v>
      </c>
      <c r="X360" s="163">
        <f ca="1"/>
        <v>0</v>
      </c>
      <c r="Y360" s="163">
        <f ca="1"/>
        <v>6.9374682984994163E-2</v>
      </c>
      <c r="Z360" s="163">
        <f ca="1"/>
        <v>0</v>
      </c>
      <c r="AA360" s="163">
        <f ca="1"/>
        <v>0.15764915421810388</v>
      </c>
      <c r="AB360" s="163">
        <f ca="1"/>
        <v>0</v>
      </c>
      <c r="AC360" s="163">
        <f ca="1"/>
        <v>0.21652635616404137</v>
      </c>
      <c r="AD360" s="163">
        <f ca="1"/>
        <v>0.24613675001871793</v>
      </c>
      <c r="AE360" s="139">
        <f ca="1"/>
        <v>0.28172060005838861</v>
      </c>
      <c r="AI360" s="136">
        <v>6.3E-2</v>
      </c>
      <c r="AK360" s="136">
        <v>0.1484</v>
      </c>
      <c r="AM360" s="136">
        <v>0.20569999999999999</v>
      </c>
      <c r="AN360" s="136">
        <v>0.23499999999999999</v>
      </c>
      <c r="AO360" s="136">
        <v>0.27010000000000001</v>
      </c>
      <c r="AR360" s="136">
        <v>6.6000000000000003E-2</v>
      </c>
      <c r="AT360" s="136">
        <v>0.1552</v>
      </c>
      <c r="AV360" s="136">
        <v>0.21460000000000001</v>
      </c>
      <c r="AW360" s="136">
        <v>0.24479999999999999</v>
      </c>
      <c r="AX360" s="136">
        <v>0.28079999999999999</v>
      </c>
    </row>
    <row r="361" spans="1:50" s="79" customFormat="1" ht="11.25">
      <c r="A361" s="157">
        <f t="shared" ca="1" si="7"/>
        <v>350</v>
      </c>
      <c r="B361" s="158" t="s">
        <v>419</v>
      </c>
      <c r="C361" s="159">
        <v>0.4</v>
      </c>
      <c r="D361" s="160" t="s">
        <v>67</v>
      </c>
      <c r="E361" s="161" t="s">
        <v>87</v>
      </c>
      <c r="F361" s="162" t="s">
        <v>87</v>
      </c>
      <c r="G361" s="162">
        <v>1.75E-3</v>
      </c>
      <c r="H361" s="162" t="s">
        <v>87</v>
      </c>
      <c r="I361" s="162">
        <v>2.7499999999999998E-3</v>
      </c>
      <c r="J361" s="162" t="s">
        <v>87</v>
      </c>
      <c r="K361" s="162">
        <v>3.3999999999999998E-3</v>
      </c>
      <c r="L361" s="162">
        <v>3.4499999999999999E-3</v>
      </c>
      <c r="M361" s="162">
        <v>3.5999999999999999E-3</v>
      </c>
      <c r="N361" s="138" cm="1">
        <f t="array" aca="1" ref="N361:AE361" ca="1">IF(OR(B361="",NOT($J$2)),"",GetStripDefaultProbability(A361,B361,Parameter_Date,CDSRollDate,E361:M361,SpreadCurveMaturities,D361,C361,$J$4,$J$6))</f>
        <v>0</v>
      </c>
      <c r="O361" s="163">
        <f ca="1"/>
        <v>0</v>
      </c>
      <c r="P361" s="163">
        <f ca="1"/>
        <v>3.2047633264822295E-3</v>
      </c>
      <c r="Q361" s="163">
        <f ca="1"/>
        <v>0</v>
      </c>
      <c r="R361" s="163">
        <f ca="1"/>
        <v>1.4312672638058355E-2</v>
      </c>
      <c r="S361" s="163">
        <f ca="1"/>
        <v>0</v>
      </c>
      <c r="T361" s="163">
        <f ca="1"/>
        <v>2.9261593143976028E-2</v>
      </c>
      <c r="U361" s="163">
        <f ca="1"/>
        <v>4.0932780567372706E-2</v>
      </c>
      <c r="V361" s="139">
        <f ca="1"/>
        <v>6.0437313296586193E-2</v>
      </c>
      <c r="W361" s="138">
        <f ca="1"/>
        <v>0</v>
      </c>
      <c r="X361" s="163">
        <f ca="1"/>
        <v>0</v>
      </c>
      <c r="Y361" s="163">
        <f ca="1"/>
        <v>3.3708820223213865E-3</v>
      </c>
      <c r="Z361" s="163">
        <f ca="1"/>
        <v>0</v>
      </c>
      <c r="AA361" s="163">
        <f ca="1"/>
        <v>1.5022105617133352E-2</v>
      </c>
      <c r="AB361" s="163">
        <f ca="1"/>
        <v>0</v>
      </c>
      <c r="AC361" s="163">
        <f ca="1"/>
        <v>3.0703287105379284E-2</v>
      </c>
      <c r="AD361" s="163">
        <f ca="1"/>
        <v>4.2937786464934291E-2</v>
      </c>
      <c r="AE361" s="139">
        <f ca="1"/>
        <v>6.3363775659697197E-2</v>
      </c>
      <c r="AI361" s="136">
        <v>3.0000000000000001E-3</v>
      </c>
      <c r="AK361" s="136">
        <v>1.41E-2</v>
      </c>
      <c r="AM361" s="136">
        <v>2.8899999999999999E-2</v>
      </c>
      <c r="AN361" s="136">
        <v>4.0599999999999997E-2</v>
      </c>
      <c r="AO361" s="136">
        <v>6.0100000000000001E-2</v>
      </c>
      <c r="AR361" s="136">
        <v>3.2000000000000002E-3</v>
      </c>
      <c r="AT361" s="136">
        <v>1.47E-2</v>
      </c>
      <c r="AV361" s="136">
        <v>3.04E-2</v>
      </c>
      <c r="AW361" s="136">
        <v>4.2599999999999999E-2</v>
      </c>
      <c r="AX361" s="136">
        <v>6.3E-2</v>
      </c>
    </row>
  </sheetData>
  <mergeCells count="8">
    <mergeCell ref="W9:AE9"/>
    <mergeCell ref="C6:D6"/>
    <mergeCell ref="C7:D7"/>
    <mergeCell ref="G2:I2"/>
    <mergeCell ref="G4:I4"/>
    <mergeCell ref="G6:I6"/>
    <mergeCell ref="E9:M9"/>
    <mergeCell ref="N9:V9"/>
  </mergeCells>
  <dataValidations count="2">
    <dataValidation type="list" allowBlank="1" showInputMessage="1" showErrorMessage="1" sqref="J6" xr:uid="{39E80897-C78A-4154-A015-854266F04FAF}">
      <formula1>CurvePointsList</formula1>
    </dataValidation>
    <dataValidation type="list" allowBlank="1" showInputMessage="1" showErrorMessage="1" sqref="J4 C6:D6 J2" xr:uid="{C6149993-BB53-4AA1-8150-3B8DC7CBAD14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4" r:id="rId3" name="Button 4">
              <controlPr defaultSize="0" print="0" autoFill="0" autoPict="0" macro="[0]!CurrentRegionCalculate">
                <anchor moveWithCells="1" sizeWithCells="1">
                  <from>
                    <xdr:col>11</xdr:col>
                    <xdr:colOff>104775</xdr:colOff>
                    <xdr:row>3</xdr:row>
                    <xdr:rowOff>28575</xdr:rowOff>
                  </from>
                  <to>
                    <xdr:col>13</xdr:col>
                    <xdr:colOff>28575</xdr:colOff>
                    <xdr:row>5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EE13A-9798-452C-A3FB-9C257E7952AB}">
  <sheetPr codeName="Feuil6"/>
  <dimension ref="B2:K32"/>
  <sheetViews>
    <sheetView showGridLines="0" tabSelected="1" zoomScale="134" zoomScaleNormal="175" workbookViewId="0">
      <selection activeCell="F14" sqref="F14"/>
    </sheetView>
  </sheetViews>
  <sheetFormatPr defaultColWidth="11.42578125" defaultRowHeight="15"/>
  <cols>
    <col min="2" max="2" width="17.5703125" bestFit="1" customWidth="1"/>
    <col min="3" max="3" width="18.42578125" bestFit="1" customWidth="1"/>
    <col min="6" max="6" width="20" bestFit="1" customWidth="1"/>
    <col min="7" max="7" width="17.5703125" customWidth="1"/>
    <col min="8" max="9" width="20.85546875" bestFit="1" customWidth="1"/>
    <col min="10" max="10" width="14.85546875" bestFit="1" customWidth="1"/>
    <col min="11" max="11" width="18.42578125" bestFit="1" customWidth="1"/>
    <col min="13" max="13" width="18.42578125" bestFit="1" customWidth="1"/>
    <col min="14" max="14" width="15.42578125" bestFit="1" customWidth="1"/>
  </cols>
  <sheetData>
    <row r="2" spans="2:11" ht="15.75" thickBot="1"/>
    <row r="3" spans="2:11">
      <c r="C3" s="493" t="s">
        <v>456</v>
      </c>
      <c r="D3" s="494"/>
      <c r="E3" s="495"/>
    </row>
    <row r="4" spans="2:11">
      <c r="C4" s="496"/>
      <c r="D4" s="497"/>
      <c r="E4" s="498"/>
    </row>
    <row r="5" spans="2:11" ht="15.75" thickBot="1">
      <c r="C5" s="499"/>
      <c r="D5" s="500"/>
      <c r="E5" s="501"/>
    </row>
    <row r="6" spans="2:11" ht="15.75" thickBot="1"/>
    <row r="7" spans="2:11" ht="16.5" thickBot="1">
      <c r="B7" s="491" t="s">
        <v>454</v>
      </c>
      <c r="C7" s="492"/>
      <c r="D7" s="79"/>
      <c r="E7" s="491" t="s">
        <v>455</v>
      </c>
      <c r="F7" s="492"/>
      <c r="G7" s="79"/>
      <c r="H7" s="79"/>
      <c r="I7" s="79"/>
      <c r="J7" s="79"/>
      <c r="K7" s="79"/>
    </row>
    <row r="8" spans="2:11" ht="15.75" thickBot="1">
      <c r="B8" s="85"/>
      <c r="C8" s="62">
        <v>1</v>
      </c>
      <c r="D8" s="79"/>
      <c r="E8" s="79"/>
      <c r="F8" s="79"/>
      <c r="G8" s="79"/>
      <c r="H8" s="79"/>
      <c r="I8" s="79"/>
      <c r="J8" s="79"/>
      <c r="K8" s="79"/>
    </row>
    <row r="9" spans="2:11" ht="15.75" thickBot="1">
      <c r="B9" s="207" t="s">
        <v>431</v>
      </c>
      <c r="C9" s="221" t="str">
        <f ca="1">GetGetCDSName(C8)</f>
        <v>ABNAMRO_MMR.EUR.SU</v>
      </c>
      <c r="D9" s="79"/>
      <c r="E9" s="207" t="s">
        <v>453</v>
      </c>
      <c r="F9" s="211" t="b">
        <v>1</v>
      </c>
      <c r="I9" s="79"/>
      <c r="J9" s="79"/>
      <c r="K9" s="286"/>
    </row>
    <row r="10" spans="2:11">
      <c r="B10" s="208" t="s">
        <v>432</v>
      </c>
      <c r="C10" s="194" t="s">
        <v>57</v>
      </c>
      <c r="D10" s="79"/>
      <c r="E10" s="208" t="s">
        <v>433</v>
      </c>
      <c r="F10" s="212">
        <f ca="1">GetConvertDate(CDSRollDate,C10)</f>
        <v>47289</v>
      </c>
      <c r="I10" s="79"/>
      <c r="J10" s="79"/>
      <c r="K10" s="79"/>
    </row>
    <row r="11" spans="2:11" ht="15.75" thickBot="1">
      <c r="B11" s="208" t="s">
        <v>434</v>
      </c>
      <c r="C11" s="195">
        <v>0.01</v>
      </c>
      <c r="D11" s="79"/>
      <c r="E11" s="209" t="s">
        <v>425</v>
      </c>
      <c r="F11" s="213" t="str">
        <f ca="1">GetGetCDSName(C8)</f>
        <v>ABNAMRO_MMR.EUR.SU</v>
      </c>
      <c r="I11" s="79"/>
      <c r="J11" s="79"/>
      <c r="K11" s="79"/>
    </row>
    <row r="12" spans="2:11">
      <c r="B12" s="208" t="s">
        <v>85</v>
      </c>
      <c r="C12" s="195">
        <v>0.4</v>
      </c>
      <c r="D12" s="79"/>
      <c r="E12" s="203"/>
      <c r="F12" s="415"/>
      <c r="I12" s="79"/>
      <c r="J12" s="79"/>
      <c r="K12" s="79"/>
    </row>
    <row r="13" spans="2:11" ht="15.75" thickBot="1">
      <c r="B13" s="209" t="s">
        <v>496</v>
      </c>
      <c r="C13" s="75">
        <v>1</v>
      </c>
      <c r="D13" s="79"/>
      <c r="E13" s="79"/>
      <c r="F13" s="79"/>
      <c r="G13" s="226"/>
      <c r="H13" s="79"/>
      <c r="I13" s="79"/>
      <c r="J13" s="79"/>
      <c r="K13" s="79"/>
    </row>
    <row r="14" spans="2:11" ht="15.75" thickBot="1">
      <c r="B14" s="202"/>
      <c r="C14" s="79"/>
    </row>
    <row r="15" spans="2:11">
      <c r="B15" s="207" t="s">
        <v>82</v>
      </c>
      <c r="C15" s="63" t="s">
        <v>66</v>
      </c>
      <c r="E15" s="228" t="s">
        <v>435</v>
      </c>
      <c r="F15" s="281" t="str" cm="1">
        <f t="array" aca="1" ref="F15:K22" ca="1">IF(NOT($F$9),"",GetCDS(C9,C10,C11,C12,C13,C19,C20,C21,C15,C16,C17,C23,C24,C26,C28:C30,C32))</f>
        <v>-0,0255369350442744</v>
      </c>
      <c r="G15" s="272" t="str">
        <f ca="1"/>
        <v>-0,0255369350442744</v>
      </c>
      <c r="H15" s="267" t="str">
        <f ca="1"/>
        <v>0</v>
      </c>
      <c r="I15" s="271" t="str">
        <f ca="1"/>
        <v>0</v>
      </c>
      <c r="J15" s="272" t="str">
        <f ca="1"/>
        <v>0</v>
      </c>
      <c r="K15" s="267" t="str">
        <f ca="1"/>
        <v>0</v>
      </c>
    </row>
    <row r="16" spans="2:11">
      <c r="B16" s="208" t="s">
        <v>437</v>
      </c>
      <c r="C16" s="69">
        <v>0</v>
      </c>
      <c r="E16" s="229" t="s">
        <v>436</v>
      </c>
      <c r="F16" s="284" t="str">
        <f ca="1"/>
        <v>0,018150640499075</v>
      </c>
      <c r="G16" s="274" t="str">
        <f ca="1"/>
        <v>0,018150640499075</v>
      </c>
      <c r="H16" s="268" t="str">
        <f ca="1"/>
        <v>0</v>
      </c>
      <c r="I16" s="273" t="str">
        <f ca="1"/>
        <v>0</v>
      </c>
      <c r="J16" s="274" t="str">
        <f ca="1"/>
        <v>0</v>
      </c>
      <c r="K16" s="268" t="str">
        <f ca="1"/>
        <v>0</v>
      </c>
    </row>
    <row r="17" spans="2:11" ht="15.75" thickBot="1">
      <c r="B17" s="209" t="s">
        <v>439</v>
      </c>
      <c r="C17" s="196">
        <v>0</v>
      </c>
      <c r="E17" s="229" t="s">
        <v>438</v>
      </c>
      <c r="F17" s="284" t="str">
        <f ca="1"/>
        <v>0,0436875755433494</v>
      </c>
      <c r="G17" s="274" t="str">
        <f ca="1"/>
        <v>0,0436875755433494</v>
      </c>
      <c r="H17" s="268" t="str">
        <f ca="1"/>
        <v>0</v>
      </c>
      <c r="I17" s="273" t="str">
        <f ca="1"/>
        <v>0</v>
      </c>
      <c r="J17" s="274" t="str">
        <f ca="1"/>
        <v>0</v>
      </c>
      <c r="K17" s="268" t="str">
        <f ca="1"/>
        <v>0</v>
      </c>
    </row>
    <row r="18" spans="2:11" ht="15.75" thickBot="1">
      <c r="B18" s="202"/>
      <c r="C18" s="79"/>
      <c r="E18" s="229" t="s">
        <v>440</v>
      </c>
      <c r="F18" s="284" t="str">
        <f ca="1"/>
        <v>0,00415464586288723</v>
      </c>
      <c r="G18" s="274" t="str">
        <f ca="1"/>
        <v>0,00415464586288723</v>
      </c>
      <c r="H18" s="268" t="str">
        <f ca="1"/>
        <v>0</v>
      </c>
      <c r="I18" s="273" t="str">
        <f ca="1"/>
        <v>0</v>
      </c>
      <c r="J18" s="274" t="str">
        <f ca="1"/>
        <v>0</v>
      </c>
      <c r="K18" s="268" t="str">
        <f ca="1"/>
        <v>0</v>
      </c>
    </row>
    <row r="19" spans="2:11">
      <c r="B19" s="207" t="s">
        <v>442</v>
      </c>
      <c r="C19" s="63" t="s">
        <v>83</v>
      </c>
      <c r="E19" s="229" t="s">
        <v>441</v>
      </c>
      <c r="F19" s="284" t="str">
        <f ca="1"/>
        <v>4,36875755433494</v>
      </c>
      <c r="G19" s="276" t="str">
        <f ca="1"/>
        <v>4,36875755433494</v>
      </c>
      <c r="H19" s="268" t="str">
        <f ca="1"/>
        <v>0</v>
      </c>
      <c r="I19" s="275" t="str">
        <f ca="1"/>
        <v>0</v>
      </c>
      <c r="J19" s="276" t="str">
        <f ca="1"/>
        <v>0</v>
      </c>
      <c r="K19" s="268" t="str">
        <f ca="1"/>
        <v>0</v>
      </c>
    </row>
    <row r="20" spans="2:11" ht="15.75" thickBot="1">
      <c r="B20" s="208" t="s">
        <v>444</v>
      </c>
      <c r="C20" s="69" t="s">
        <v>445</v>
      </c>
      <c r="E20" s="229" t="s">
        <v>443</v>
      </c>
      <c r="F20" s="285" t="str">
        <f ca="1"/>
        <v>00:00:00.0110098</v>
      </c>
      <c r="G20" s="278" t="str">
        <f ca="1"/>
        <v>00:00:00.0110098</v>
      </c>
      <c r="H20" s="268" t="str">
        <f ca="1"/>
        <v>0</v>
      </c>
      <c r="I20" s="277" t="str">
        <f ca="1"/>
        <v>0</v>
      </c>
      <c r="J20" s="278" t="str">
        <f ca="1"/>
        <v>0</v>
      </c>
      <c r="K20" s="268" t="str">
        <f ca="1"/>
        <v>0</v>
      </c>
    </row>
    <row r="21" spans="2:11" ht="15.75" thickBot="1">
      <c r="B21" s="209" t="s">
        <v>446</v>
      </c>
      <c r="C21" s="220"/>
      <c r="E21" s="230"/>
      <c r="F21" s="269" t="str">
        <f ca="1"/>
        <v>dPV</v>
      </c>
      <c r="G21" s="269" t="str">
        <f ca="1"/>
        <v>dHedge</v>
      </c>
      <c r="H21" s="270" t="str">
        <f ca="1"/>
        <v>delta not. (Hedge Crncy)</v>
      </c>
      <c r="I21" s="269" t="str">
        <f ca="1"/>
        <v>delta not. (Product CCY)</v>
      </c>
      <c r="J21" s="269" t="str">
        <f ca="1"/>
        <v>dPV(dBeta)</v>
      </c>
      <c r="K21" s="270" t="str">
        <f ca="1"/>
        <v>Name</v>
      </c>
    </row>
    <row r="22" spans="2:11" ht="15.75" thickBot="1">
      <c r="B22" s="202"/>
      <c r="C22" s="79"/>
      <c r="E22" s="231"/>
      <c r="F22" s="279" t="str">
        <f ca="1"/>
        <v>0,000920551655870005</v>
      </c>
      <c r="G22" s="279" t="str">
        <f ca="1"/>
        <v>0,000904558033235289</v>
      </c>
      <c r="H22" s="280" t="str">
        <f ca="1"/>
        <v>1,01768114598188</v>
      </c>
      <c r="I22" s="279" t="str">
        <f ca="1"/>
        <v>1,01768114598188</v>
      </c>
      <c r="J22" s="279" t="str">
        <f ca="1"/>
        <v>-0,018150640499075</v>
      </c>
      <c r="K22" s="280" t="str">
        <f ca="1"/>
        <v>ABNAMRO_MMR.EUR.SU</v>
      </c>
    </row>
    <row r="23" spans="2:11">
      <c r="B23" s="210" t="s">
        <v>447</v>
      </c>
      <c r="C23" s="197" t="b">
        <v>1</v>
      </c>
    </row>
    <row r="24" spans="2:11" ht="15.75" thickBot="1">
      <c r="B24" s="209" t="s">
        <v>448</v>
      </c>
      <c r="C24" s="198" t="b">
        <v>1</v>
      </c>
    </row>
    <row r="25" spans="2:11" ht="15.75" thickBot="1">
      <c r="B25" s="203"/>
      <c r="C25" s="85"/>
      <c r="D25" s="199"/>
      <c r="H25" s="282"/>
    </row>
    <row r="26" spans="2:11" ht="15.75" thickBot="1">
      <c r="B26" s="180" t="s">
        <v>449</v>
      </c>
      <c r="C26" s="197" t="b">
        <v>1</v>
      </c>
      <c r="D26" s="85"/>
    </row>
    <row r="27" spans="2:11" ht="15.75" thickBot="1">
      <c r="B27" s="205" t="s">
        <v>450</v>
      </c>
      <c r="C27" s="219"/>
      <c r="D27" s="85"/>
    </row>
    <row r="28" spans="2:11">
      <c r="B28" s="205" t="s">
        <v>434</v>
      </c>
      <c r="C28" s="227"/>
      <c r="D28" s="85"/>
    </row>
    <row r="29" spans="2:11">
      <c r="B29" s="205" t="s">
        <v>447</v>
      </c>
      <c r="C29" s="200" t="b">
        <v>1</v>
      </c>
      <c r="D29" s="85"/>
    </row>
    <row r="30" spans="2:11" ht="15.75" thickBot="1">
      <c r="B30" s="206" t="s">
        <v>448</v>
      </c>
      <c r="C30" s="201" t="b">
        <v>1</v>
      </c>
      <c r="D30" s="85"/>
    </row>
    <row r="31" spans="2:11" ht="15.75" thickBot="1">
      <c r="B31" s="204"/>
      <c r="C31" s="79"/>
      <c r="D31" s="85"/>
    </row>
    <row r="32" spans="2:11" ht="15.75" thickBot="1">
      <c r="B32" s="180" t="s">
        <v>451</v>
      </c>
      <c r="C32" s="186" t="s">
        <v>452</v>
      </c>
      <c r="D32" s="85"/>
    </row>
  </sheetData>
  <mergeCells count="3">
    <mergeCell ref="B7:C7"/>
    <mergeCell ref="E7:F7"/>
    <mergeCell ref="C3:E5"/>
  </mergeCells>
  <conditionalFormatting sqref="F22 I22 G21:H22 J21:K22">
    <cfRule type="cellIs" dxfId="1" priority="5" stopIfTrue="1" operator="equal">
      <formula>#N/A</formula>
    </cfRule>
  </conditionalFormatting>
  <conditionalFormatting sqref="F21 I21">
    <cfRule type="cellIs" dxfId="0" priority="6" stopIfTrue="1" operator="equal">
      <formula>"""#N/A"""</formula>
    </cfRule>
  </conditionalFormatting>
  <dataValidations count="5">
    <dataValidation type="list" allowBlank="1" showInputMessage="1" showErrorMessage="1" sqref="C32" xr:uid="{0C13862A-39AD-47FA-89AF-93F59AB662F7}">
      <formula1>"1m,3m"</formula1>
    </dataValidation>
    <dataValidation type="list" allowBlank="1" showInputMessage="1" showErrorMessage="1" sqref="F9 C23:C24 C26 C29:C30" xr:uid="{8ACA7841-144A-4E6F-BDE6-8069CD41B739}">
      <formula1>TrueFalseList</formula1>
    </dataValidation>
    <dataValidation type="list" allowBlank="1" showInputMessage="1" showErrorMessage="1" sqref="C15" xr:uid="{C2CB3166-7190-428D-B805-63B52A169A71}">
      <formula1>"EUR,JPY,USD"</formula1>
    </dataValidation>
    <dataValidation type="list" allowBlank="1" showInputMessage="1" showErrorMessage="1" sqref="C19" xr:uid="{0FE05A52-D66F-4DEF-985C-5E70A623C8DE}">
      <formula1>"3M,6M,1Y,1M"</formula1>
    </dataValidation>
    <dataValidation type="list" allowBlank="1" showInputMessage="1" showErrorMessage="1" sqref="C20" xr:uid="{6C79EA61-FE20-4151-8AE6-F9FA74FC1166}">
      <formula1>"ShortFirst,LongFirst,ShortLast,LongLast"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8204" r:id="rId3" name="Button 12">
              <controlPr defaultSize="0" print="0" autoFill="0" autoPict="0" macro="[0]!CurrentRegionCalculate">
                <anchor moveWithCells="1" sizeWithCells="1">
                  <from>
                    <xdr:col>7</xdr:col>
                    <xdr:colOff>200025</xdr:colOff>
                    <xdr:row>6</xdr:row>
                    <xdr:rowOff>9525</xdr:rowOff>
                  </from>
                  <to>
                    <xdr:col>8</xdr:col>
                    <xdr:colOff>581025</xdr:colOff>
                    <xdr:row>8</xdr:row>
                    <xdr:rowOff>28575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A02A50-AEF8-4FAD-B452-51BAEC61562E}">
  <sheetPr codeName="Feuil4"/>
  <dimension ref="B2:K130"/>
  <sheetViews>
    <sheetView showGridLines="0" zoomScale="99" zoomScaleNormal="99" workbookViewId="0">
      <selection activeCell="D12" sqref="D12"/>
    </sheetView>
  </sheetViews>
  <sheetFormatPr defaultColWidth="11.42578125" defaultRowHeight="15"/>
  <sheetData>
    <row r="2" spans="2:11">
      <c r="J2" s="283"/>
      <c r="K2" s="176"/>
    </row>
    <row r="3" spans="2:11">
      <c r="J3" s="283"/>
    </row>
    <row r="5" spans="2:11" ht="15.75" thickBot="1"/>
    <row r="6" spans="2:11" ht="15.75" thickBot="1">
      <c r="B6" s="180" t="s">
        <v>423</v>
      </c>
      <c r="C6" s="186" t="b">
        <v>1</v>
      </c>
      <c r="H6" s="181" t="s">
        <v>424</v>
      </c>
      <c r="I6" s="502">
        <v>1</v>
      </c>
      <c r="J6" s="503"/>
      <c r="K6" s="504"/>
    </row>
    <row r="7" spans="2:11" ht="15.75" thickBot="1">
      <c r="D7" s="170"/>
      <c r="H7" s="182" t="s">
        <v>425</v>
      </c>
      <c r="I7" s="505" t="str" cm="1">
        <f t="array" aca="1" ref="I7" ca="1">GetGetCDSName(I6)</f>
        <v>ABNAMRO_MMR.EUR.SU</v>
      </c>
      <c r="J7" s="506"/>
      <c r="K7" s="507"/>
    </row>
    <row r="8" spans="2:11" ht="15.75" thickBot="1"/>
    <row r="9" spans="2:11" ht="15.75" thickBot="1">
      <c r="B9" s="173"/>
      <c r="C9" s="174" t="s">
        <v>426</v>
      </c>
      <c r="D9" s="175" t="s">
        <v>427</v>
      </c>
      <c r="E9" s="172" t="s">
        <v>428</v>
      </c>
    </row>
    <row r="10" spans="2:11">
      <c r="B10" s="183" t="str">
        <f ca="1">ROW()-ROW($B$9)&amp;"M"</f>
        <v>1M</v>
      </c>
      <c r="C10" s="214">
        <f ca="1">MAX(0,(DATE(YEAR(CDSRollDate),MONTH(CDSRollDate)+ROW()-ROW($B$9),DAY(CDSRollDate))-Parameter_Date)/365)</f>
        <v>0.17534246575342466</v>
      </c>
      <c r="D10" s="177">
        <f ca="1">IF(NOT($C$6),"",IF(GetConvertDate(CDSRollDate,B10)&lt;Parameter_Date,0,GetGetDefaultprob($I$6,B10)))</f>
        <v>3.912805534813657E-4</v>
      </c>
      <c r="E10" s="215">
        <f ca="1">IF(NOT($C$6),"",IF(C11=0,0,-LN(1-D11)/$C11))</f>
        <v>2.2319585960524635E-3</v>
      </c>
    </row>
    <row r="11" spans="2:11">
      <c r="B11" s="184" t="str">
        <f t="shared" ref="B11:B74" ca="1" si="0">ROW()-ROW($B$9)&amp;"M"</f>
        <v>2M</v>
      </c>
      <c r="C11" s="216">
        <f ca="1">MAX(0,(DATE(YEAR(CDSRollDate),MONTH(CDSRollDate)+ROW()-ROW($B$9),DAY(CDSRollDate))-Parameter_Date)/365)</f>
        <v>0.26027397260273971</v>
      </c>
      <c r="D11" s="169">
        <f ca="1">IF(NOT($C$6),"",IF(GetConvertDate(CDSRollDate,B11)&lt;Parameter_Date,0,GetGetDefaultprob($I$6,B11)))</f>
        <v>5.8075202870089271E-4</v>
      </c>
      <c r="E11" s="178">
        <f ca="1">IF(NOT($C$6),"",IF(C11=0,0,-LN((1-D11)/(1-D10))/($C11-$C10)))</f>
        <v>2.2319585960516638E-3</v>
      </c>
      <c r="F11" s="164"/>
      <c r="G11" s="165"/>
    </row>
    <row r="12" spans="2:11">
      <c r="B12" s="184" t="str">
        <f t="shared" ca="1" si="0"/>
        <v>3M</v>
      </c>
      <c r="C12" s="216">
        <f ca="1">MAX(0,(DATE(YEAR(CDSRollDate),MONTH(CDSRollDate)+ROW()-ROW($B$9),DAY(CDSRollDate))-Parameter_Date)/365)</f>
        <v>0.34520547945205482</v>
      </c>
      <c r="D12" s="169">
        <f ca="1">IF(NOT($C$6),"",IF(GetConvertDate(CDSRollDate,B12)&lt;Parameter_Date,0,GetGetDefaultprob($I$6,B12)))</f>
        <v>7.7018759042835061E-4</v>
      </c>
      <c r="E12" s="178">
        <f ca="1">IF(NOT($C$6),"",IF(C12=0,0,-LN((1-D12)/(1-D11))/($C12-$C11)))</f>
        <v>2.23195859605297E-3</v>
      </c>
      <c r="F12" s="164"/>
      <c r="G12" s="165"/>
    </row>
    <row r="13" spans="2:11">
      <c r="B13" s="184" t="str">
        <f t="shared" ca="1" si="0"/>
        <v>4M</v>
      </c>
      <c r="C13" s="216">
        <f t="shared" ref="C13:C41" ca="1" si="1">MAX(0,(DATE(YEAR(CDSRollDate),MONTH(CDSRollDate)+ROW()-ROW($B$9),DAY(CDSRollDate))-Parameter_Date)/365)</f>
        <v>0.42739726027397262</v>
      </c>
      <c r="D13" s="169">
        <f ca="1">IF(NOT($C$6),"",IF(GetConvertDate(CDSRollDate,B13)&lt;Parameter_Date,0,GetGetDefaultprob($I$6,B13)))</f>
        <v>9.5347813956758731E-4</v>
      </c>
      <c r="E13" s="178">
        <f t="shared" ref="E13:E75" ca="1" si="2">IF(NOT($C$6),"",IF(C13=0,0,-LN((1-D13)/(1-D12))/($C13-$C12)))</f>
        <v>2.2319585960533838E-3</v>
      </c>
      <c r="F13" s="164"/>
      <c r="G13" s="165"/>
    </row>
    <row r="14" spans="2:11">
      <c r="B14" s="184" t="str">
        <f t="shared" ca="1" si="0"/>
        <v>5M</v>
      </c>
      <c r="C14" s="216">
        <f t="shared" ca="1" si="1"/>
        <v>0.51232876712328768</v>
      </c>
      <c r="D14" s="169">
        <f ca="1">IF(NOT($C$6),"",IF(GetConvertDate(CDSRollDate,B14)&lt;Parameter_Date,0,GetGetDefaultprob($I$6,B14)))</f>
        <v>1.1428430526854161E-3</v>
      </c>
      <c r="E14" s="178">
        <f t="shared" ca="1" si="2"/>
        <v>2.2319585960516638E-3</v>
      </c>
      <c r="F14" s="164"/>
      <c r="G14" s="165"/>
    </row>
    <row r="15" spans="2:11">
      <c r="B15" s="184" t="str">
        <f t="shared" ca="1" si="0"/>
        <v>6M</v>
      </c>
      <c r="C15" s="216">
        <f t="shared" ca="1" si="1"/>
        <v>0.59452054794520548</v>
      </c>
      <c r="D15" s="169">
        <f ca="1">IF(NOT($C$6),"",IF(GetConvertDate(CDSRollDate,B15)&lt;Parameter_Date,0,GetGetDefaultprob($I$6,B15)))</f>
        <v>1.3260652449527122E-3</v>
      </c>
      <c r="E15" s="178">
        <f t="shared" ca="1" si="2"/>
        <v>2.2319585960520324E-3</v>
      </c>
      <c r="F15" s="164"/>
      <c r="G15" s="165"/>
    </row>
    <row r="16" spans="2:11">
      <c r="B16" s="184" t="str">
        <f t="shared" ca="1" si="0"/>
        <v>7M</v>
      </c>
      <c r="C16" s="216">
        <f t="shared" ca="1" si="1"/>
        <v>0.67945205479452053</v>
      </c>
      <c r="D16" s="169">
        <f ca="1">IF(NOT($C$6),"",IF(GetConvertDate(CDSRollDate,B16)&lt;Parameter_Date,0,GetGetDefaultprob($I$6,B16)))</f>
        <v>1.7273200735429262E-3</v>
      </c>
      <c r="E16" s="178">
        <f t="shared" ca="1" si="2"/>
        <v>4.73167589247945E-3</v>
      </c>
      <c r="F16" s="164"/>
      <c r="G16" s="165"/>
    </row>
    <row r="17" spans="2:7">
      <c r="B17" s="184" t="str">
        <f t="shared" ca="1" si="0"/>
        <v>8M</v>
      </c>
      <c r="C17" s="216">
        <f t="shared" ca="1" si="1"/>
        <v>0.76438356164383559</v>
      </c>
      <c r="D17" s="169">
        <f ca="1">IF(NOT($C$6),"",IF(GetConvertDate(CDSRollDate,B17)&lt;Parameter_Date,0,GetGetDefaultprob($I$6,B17)))</f>
        <v>2.1284136829085032E-3</v>
      </c>
      <c r="E17" s="178">
        <f t="shared" ca="1" si="2"/>
        <v>4.73167589247945E-3</v>
      </c>
      <c r="F17" s="164"/>
      <c r="G17" s="165"/>
    </row>
    <row r="18" spans="2:7">
      <c r="B18" s="184" t="str">
        <f t="shared" ca="1" si="0"/>
        <v>9M</v>
      </c>
      <c r="C18" s="216">
        <f t="shared" ca="1" si="1"/>
        <v>0.84109589041095889</v>
      </c>
      <c r="D18" s="169">
        <f ca="1">IF(NOT($C$6),"",IF(GetConvertDate(CDSRollDate,B18)&lt;Parameter_Date,0,GetGetDefaultprob($I$6,B18)))</f>
        <v>2.4905532642083283E-3</v>
      </c>
      <c r="E18" s="178">
        <f t="shared" ca="1" si="2"/>
        <v>4.7316758924795324E-3</v>
      </c>
      <c r="F18" s="164"/>
      <c r="G18" s="165"/>
    </row>
    <row r="19" spans="2:7">
      <c r="B19" s="184" t="str">
        <f t="shared" ca="1" si="0"/>
        <v>10M</v>
      </c>
      <c r="C19" s="216">
        <f t="shared" ca="1" si="1"/>
        <v>0.92602739726027394</v>
      </c>
      <c r="D19" s="169">
        <f ca="1">IF(NOT($C$6),"",IF(GetConvertDate(CDSRollDate,B19)&lt;Parameter_Date,0,GetGetDefaultprob($I$6,B19)))</f>
        <v>2.8913402159226331E-3</v>
      </c>
      <c r="E19" s="178">
        <f t="shared" ca="1" si="2"/>
        <v>4.7316758924781429E-3</v>
      </c>
      <c r="F19" s="164"/>
      <c r="G19" s="165"/>
    </row>
    <row r="20" spans="2:7">
      <c r="B20" s="184" t="str">
        <f t="shared" ca="1" si="0"/>
        <v>11M</v>
      </c>
      <c r="C20" s="216">
        <f t="shared" ca="1" si="1"/>
        <v>1.0082191780821919</v>
      </c>
      <c r="D20" s="169">
        <f ca="1">IF(NOT($C$6),"",IF(GetConvertDate(CDSRollDate,B20)&lt;Parameter_Date,0,GetGetDefaultprob($I$6,B20)))</f>
        <v>3.2790452324423791E-3</v>
      </c>
      <c r="E20" s="178">
        <f t="shared" ca="1" si="2"/>
        <v>4.7316758924806565E-3</v>
      </c>
      <c r="F20" s="164"/>
      <c r="G20" s="165"/>
    </row>
    <row r="21" spans="2:7">
      <c r="B21" s="184" t="str">
        <f t="shared" ca="1" si="0"/>
        <v>12M</v>
      </c>
      <c r="C21" s="216">
        <f t="shared" ca="1" si="1"/>
        <v>1.0931506849315069</v>
      </c>
      <c r="D21" s="169">
        <f ca="1">IF(NOT($C$6),"",IF(GetConvertDate(CDSRollDate,B21)&lt;Parameter_Date,0,GetGetDefaultprob($I$6,B21)))</f>
        <v>3.6795153778412804E-3</v>
      </c>
      <c r="E21" s="178">
        <f t="shared" ca="1" si="2"/>
        <v>4.7316758924781429E-3</v>
      </c>
      <c r="F21" s="164"/>
      <c r="G21" s="165"/>
    </row>
    <row r="22" spans="2:7">
      <c r="B22" s="184" t="str">
        <f t="shared" ca="1" si="0"/>
        <v>13M</v>
      </c>
      <c r="C22" s="216">
        <f t="shared" ca="1" si="1"/>
        <v>1.1753424657534246</v>
      </c>
      <c r="D22" s="169">
        <f ca="1">IF(NOT($C$6),"",IF(GetConvertDate(CDSRollDate,B22)&lt;Parameter_Date,0,GetGetDefaultprob($I$6,B22)))</f>
        <v>4.1315471914186164E-3</v>
      </c>
      <c r="E22" s="178">
        <f t="shared" ca="1" si="2"/>
        <v>5.5212840404597532E-3</v>
      </c>
      <c r="F22" s="164"/>
      <c r="G22" s="165"/>
    </row>
    <row r="23" spans="2:7">
      <c r="B23" s="184" t="str">
        <f t="shared" ca="1" si="0"/>
        <v>14M</v>
      </c>
      <c r="C23" s="216">
        <f t="shared" ca="1" si="1"/>
        <v>1.2602739726027397</v>
      </c>
      <c r="D23" s="169">
        <f ca="1">IF(NOT($C$6),"",IF(GetConvertDate(CDSRollDate,B23)&lt;Parameter_Date,0,GetGetDefaultprob($I$6,B23)))</f>
        <v>4.5984312775124714E-3</v>
      </c>
      <c r="E23" s="178">
        <f t="shared" ca="1" si="2"/>
        <v>5.5212840404622113E-3</v>
      </c>
      <c r="F23" s="164"/>
      <c r="G23" s="165"/>
    </row>
    <row r="24" spans="2:7">
      <c r="B24" s="184" t="str">
        <f t="shared" ca="1" si="0"/>
        <v>15M</v>
      </c>
      <c r="C24" s="216">
        <f t="shared" ca="1" si="1"/>
        <v>1.3452054794520547</v>
      </c>
      <c r="D24" s="169">
        <f ca="1">IF(NOT($C$6),"",IF(GetConvertDate(CDSRollDate,B24)&lt;Parameter_Date,0,GetGetDefaultprob($I$6,B24)))</f>
        <v>5.0650964785222685E-3</v>
      </c>
      <c r="E24" s="178">
        <f t="shared" ca="1" si="2"/>
        <v>5.5212840404595953E-3</v>
      </c>
      <c r="F24" s="164"/>
      <c r="G24" s="165"/>
    </row>
    <row r="25" spans="2:7">
      <c r="B25" s="184" t="str">
        <f t="shared" ca="1" si="0"/>
        <v>16M</v>
      </c>
      <c r="C25" s="216">
        <f t="shared" ca="1" si="1"/>
        <v>1.4273972602739726</v>
      </c>
      <c r="D25" s="169">
        <f ca="1">IF(NOT($C$6),"",IF(GetConvertDate(CDSRollDate,B25)&lt;Parameter_Date,0,GetGetDefaultprob($I$6,B25)))</f>
        <v>5.5164996522719667E-3</v>
      </c>
      <c r="E25" s="178">
        <f t="shared" ca="1" si="2"/>
        <v>5.5212840404597384E-3</v>
      </c>
      <c r="F25" s="164"/>
      <c r="G25" s="165"/>
    </row>
    <row r="26" spans="2:7">
      <c r="B26" s="184" t="str">
        <f t="shared" ca="1" si="0"/>
        <v>17M</v>
      </c>
      <c r="C26" s="216">
        <f t="shared" ca="1" si="1"/>
        <v>1.5123287671232877</v>
      </c>
      <c r="D26" s="169">
        <f ca="1">IF(NOT($C$6),"",IF(GetConvertDate(CDSRollDate,B26)&lt;Parameter_Date,0,GetGetDefaultprob($I$6,B26)))</f>
        <v>5.9827344435093854E-3</v>
      </c>
      <c r="E26" s="178">
        <f t="shared" ca="1" si="2"/>
        <v>5.5212840404609033E-3</v>
      </c>
      <c r="F26" s="164"/>
      <c r="G26" s="165"/>
    </row>
    <row r="27" spans="2:7">
      <c r="B27" s="184" t="str">
        <f t="shared" ca="1" si="0"/>
        <v>18M</v>
      </c>
      <c r="C27" s="216">
        <f t="shared" ca="1" si="1"/>
        <v>1.5945205479452054</v>
      </c>
      <c r="D27" s="169">
        <f ca="1">IF(NOT($C$6),"",IF(GetConvertDate(CDSRollDate,B27)&lt;Parameter_Date,0,GetGetDefaultprob($I$6,B27)))</f>
        <v>6.4337212838002644E-3</v>
      </c>
      <c r="E27" s="178">
        <f t="shared" ca="1" si="2"/>
        <v>5.5212840404611045E-3</v>
      </c>
      <c r="F27" s="164"/>
      <c r="G27" s="165"/>
    </row>
    <row r="28" spans="2:7">
      <c r="B28" s="184" t="str">
        <f t="shared" ca="1" si="0"/>
        <v>19M</v>
      </c>
      <c r="C28" s="216">
        <f t="shared" ca="1" si="1"/>
        <v>1.6794520547945206</v>
      </c>
      <c r="D28" s="169">
        <f ca="1">IF(NOT($C$6),"",IF(GetConvertDate(CDSRollDate,B28)&lt;Parameter_Date,0,GetGetDefaultprob($I$6,B28)))</f>
        <v>6.8995260622363164E-3</v>
      </c>
      <c r="E28" s="178">
        <f t="shared" ca="1" si="2"/>
        <v>5.5212840404608885E-3</v>
      </c>
      <c r="F28" s="164"/>
      <c r="G28" s="165"/>
    </row>
    <row r="29" spans="2:7">
      <c r="B29" s="184" t="str">
        <f t="shared" ca="1" si="0"/>
        <v>20M</v>
      </c>
      <c r="C29" s="216">
        <f t="shared" ca="1" si="1"/>
        <v>1.7643835616438357</v>
      </c>
      <c r="D29" s="169">
        <f ca="1">IF(NOT($C$6),"",IF(GetConvertDate(CDSRollDate,B29)&lt;Parameter_Date,0,GetGetDefaultprob($I$6,B29)))</f>
        <v>7.3651124615905506E-3</v>
      </c>
      <c r="E29" s="178">
        <f t="shared" ca="1" si="2"/>
        <v>5.5212840404595953E-3</v>
      </c>
      <c r="F29" s="164"/>
      <c r="G29" s="165"/>
    </row>
    <row r="30" spans="2:7">
      <c r="B30" s="184" t="str">
        <f t="shared" ca="1" si="0"/>
        <v>21M</v>
      </c>
      <c r="C30" s="216">
        <f t="shared" ca="1" si="1"/>
        <v>1.8410958904109589</v>
      </c>
      <c r="D30" s="169">
        <f ca="1">IF(NOT($C$6),"",IF(GetConvertDate(CDSRollDate,B30)&lt;Parameter_Date,0,GetGetDefaultprob($I$6,B30)))</f>
        <v>7.7854544963016359E-3</v>
      </c>
      <c r="E30" s="178">
        <f t="shared" ca="1" si="2"/>
        <v>5.5212840404594678E-3</v>
      </c>
      <c r="F30" s="164"/>
      <c r="G30" s="165"/>
    </row>
    <row r="31" spans="2:7">
      <c r="B31" s="184" t="str">
        <f t="shared" ca="1" si="0"/>
        <v>22M</v>
      </c>
      <c r="C31" s="216">
        <f t="shared" ca="1" si="1"/>
        <v>1.9260273972602739</v>
      </c>
      <c r="D31" s="169">
        <f ca="1">IF(NOT($C$6),"",IF(GetConvertDate(CDSRollDate,B31)&lt;Parameter_Date,0,GetGetDefaultprob($I$6,B31)))</f>
        <v>8.2506255537641016E-3</v>
      </c>
      <c r="E31" s="178">
        <f t="shared" ca="1" si="2"/>
        <v>5.5212840404609033E-3</v>
      </c>
      <c r="F31" s="164"/>
      <c r="G31" s="165"/>
    </row>
    <row r="32" spans="2:7">
      <c r="B32" s="184" t="str">
        <f t="shared" ca="1" si="0"/>
        <v>23M</v>
      </c>
      <c r="C32" s="216">
        <f t="shared" ca="1" si="1"/>
        <v>2.0082191780821916</v>
      </c>
      <c r="D32" s="169">
        <f ca="1">IF(NOT($C$6),"",IF(GetConvertDate(CDSRollDate,B32)&lt;Parameter_Date,0,GetGetDefaultprob($I$6,B32)))</f>
        <v>8.7005834491046263E-3</v>
      </c>
      <c r="E32" s="178">
        <f t="shared" ca="1" si="2"/>
        <v>5.5212840404611045E-3</v>
      </c>
      <c r="F32" s="164"/>
      <c r="G32" s="165"/>
    </row>
    <row r="33" spans="2:7">
      <c r="B33" s="184" t="str">
        <f t="shared" ca="1" si="0"/>
        <v>24M</v>
      </c>
      <c r="C33" s="216">
        <f t="shared" ca="1" si="1"/>
        <v>2.0931506849315067</v>
      </c>
      <c r="D33" s="169">
        <f ca="1">IF(NOT($C$6),"",IF(GetConvertDate(CDSRollDate,B33)&lt;Parameter_Date,0,GetGetDefaultprob($I$6,B33)))</f>
        <v>9.1653254748573776E-3</v>
      </c>
      <c r="E33" s="178">
        <f t="shared" ca="1" si="2"/>
        <v>5.5212840404595953E-3</v>
      </c>
      <c r="F33" s="164"/>
      <c r="G33" s="165"/>
    </row>
    <row r="34" spans="2:7">
      <c r="B34" s="184" t="str">
        <f t="shared" ca="1" si="0"/>
        <v>25M</v>
      </c>
      <c r="C34" s="216">
        <f t="shared" ca="1" si="1"/>
        <v>2.1753424657534248</v>
      </c>
      <c r="D34" s="169">
        <f ca="1">IF(NOT($C$6),"",IF(GetConvertDate(CDSRollDate,B34)&lt;Parameter_Date,0,GetGetDefaultprob($I$6,B34)))</f>
        <v>9.7699449003956218E-3</v>
      </c>
      <c r="E34" s="178">
        <f t="shared" ca="1" si="2"/>
        <v>7.4265147716911176E-3</v>
      </c>
      <c r="F34" s="164"/>
      <c r="G34" s="165"/>
    </row>
    <row r="35" spans="2:7">
      <c r="B35" s="184" t="str">
        <f t="shared" ca="1" si="0"/>
        <v>26M</v>
      </c>
      <c r="C35" s="216">
        <f t="shared" ca="1" si="1"/>
        <v>2.2602739726027399</v>
      </c>
      <c r="D35" s="169">
        <f ca="1">IF(NOT($C$6),"",IF(GetConvertDate(CDSRollDate,B35)&lt;Parameter_Date,0,GetGetDefaultprob($I$6,B35)))</f>
        <v>1.0394330710974065E-2</v>
      </c>
      <c r="E35" s="178">
        <f t="shared" ca="1" si="2"/>
        <v>7.426514771692168E-3</v>
      </c>
      <c r="F35" s="164"/>
      <c r="G35" s="165"/>
    </row>
    <row r="36" spans="2:7">
      <c r="B36" s="184" t="str">
        <f t="shared" ca="1" si="0"/>
        <v>27M</v>
      </c>
      <c r="C36" s="216">
        <f t="shared" ca="1" si="1"/>
        <v>2.3452054794520549</v>
      </c>
      <c r="D36" s="169">
        <f ca="1">IF(NOT($C$6),"",IF(GetConvertDate(CDSRollDate,B36)&lt;Parameter_Date,0,GetGetDefaultprob($I$6,B36)))</f>
        <v>1.1018322817444526E-2</v>
      </c>
      <c r="E36" s="178">
        <f t="shared" ca="1" si="2"/>
        <v>7.4265147716908592E-3</v>
      </c>
      <c r="F36" s="164"/>
      <c r="G36" s="165"/>
    </row>
    <row r="37" spans="2:7">
      <c r="B37" s="184" t="str">
        <f t="shared" ca="1" si="0"/>
        <v>28M</v>
      </c>
      <c r="C37" s="216">
        <f t="shared" ca="1" si="1"/>
        <v>2.4273972602739726</v>
      </c>
      <c r="D37" s="169">
        <f ca="1">IF(NOT($C$6),"",IF(GetConvertDate(CDSRollDate,B37)&lt;Parameter_Date,0,GetGetDefaultprob($I$6,B37)))</f>
        <v>1.1621811521362324E-2</v>
      </c>
      <c r="E37" s="178">
        <f t="shared" ca="1" si="2"/>
        <v>7.4265147716911575E-3</v>
      </c>
      <c r="F37" s="164"/>
      <c r="G37" s="165"/>
    </row>
    <row r="38" spans="2:7">
      <c r="B38" s="184" t="str">
        <f t="shared" ca="1" si="0"/>
        <v>29M</v>
      </c>
      <c r="C38" s="216">
        <f t="shared" ca="1" si="1"/>
        <v>2.5123287671232877</v>
      </c>
      <c r="D38" s="169">
        <f ca="1">IF(NOT($C$6),"",IF(GetConvertDate(CDSRollDate,B38)&lt;Parameter_Date,0,GetGetDefaultprob($I$6,B38)))</f>
        <v>1.2245029644457173E-2</v>
      </c>
      <c r="E38" s="178">
        <f t="shared" ca="1" si="2"/>
        <v>7.426514771692168E-3</v>
      </c>
      <c r="F38" s="164"/>
      <c r="G38" s="165"/>
    </row>
    <row r="39" spans="2:7">
      <c r="B39" s="184" t="str">
        <f t="shared" ca="1" si="0"/>
        <v>30M</v>
      </c>
      <c r="C39" s="216">
        <f t="shared" ca="1" si="1"/>
        <v>2.5945205479452054</v>
      </c>
      <c r="D39" s="169">
        <f ca="1">IF(NOT($C$6),"",IF(GetConvertDate(CDSRollDate,B39)&lt;Parameter_Date,0,GetGetDefaultprob($I$6,B39)))</f>
        <v>1.2847769796879849E-2</v>
      </c>
      <c r="E39" s="178">
        <f t="shared" ca="1" si="2"/>
        <v>7.4265147716911575E-3</v>
      </c>
      <c r="F39" s="164"/>
      <c r="G39" s="165"/>
    </row>
    <row r="40" spans="2:7">
      <c r="B40" s="184" t="str">
        <f t="shared" ca="1" si="0"/>
        <v>31M</v>
      </c>
      <c r="C40" s="216">
        <f t="shared" ca="1" si="1"/>
        <v>2.6794520547945204</v>
      </c>
      <c r="D40" s="169">
        <f ca="1">IF(NOT($C$6),"",IF(GetConvertDate(CDSRollDate,B40)&lt;Parameter_Date,0,GetGetDefaultprob($I$6,B40)))</f>
        <v>1.3470214896627475E-2</v>
      </c>
      <c r="E40" s="178">
        <f t="shared" ca="1" si="2"/>
        <v>7.4265147716908592E-3</v>
      </c>
      <c r="F40" s="164"/>
      <c r="G40" s="165"/>
    </row>
    <row r="41" spans="2:7">
      <c r="B41" s="184" t="str">
        <f t="shared" ca="1" si="0"/>
        <v>32M</v>
      </c>
      <c r="C41" s="216">
        <f t="shared" ca="1" si="1"/>
        <v>2.7643835616438355</v>
      </c>
      <c r="D41" s="169">
        <f ca="1">IF(NOT($C$6),"",IF(GetConvertDate(CDSRollDate,B41)&lt;Parameter_Date,0,GetGetDefaultprob($I$6,B41)))</f>
        <v>1.4092267515975143E-2</v>
      </c>
      <c r="E41" s="178">
        <f t="shared" ca="1" si="2"/>
        <v>7.426514771692168E-3</v>
      </c>
      <c r="F41" s="164"/>
      <c r="G41" s="165"/>
    </row>
    <row r="42" spans="2:7">
      <c r="B42" s="184" t="str">
        <f t="shared" ca="1" si="0"/>
        <v>33M</v>
      </c>
      <c r="C42" s="216">
        <f t="shared" ref="C42:C73" ca="1" si="3">MAX(0,(DATE(YEAR(CDSRollDate),MONTH(CDSRollDate)+ROW()-ROW($B$9),DAY(CDSRollDate))-Parameter_Date)/365)</f>
        <v>2.8410958904109589</v>
      </c>
      <c r="D42" s="169">
        <f ca="1">IF(NOT($C$6),"",IF(GetConvertDate(CDSRollDate,B42)&lt;Parameter_Date,0,GetGetDefaultprob($I$6,B42)))</f>
        <v>1.4653784355317834E-2</v>
      </c>
      <c r="E42" s="178">
        <f t="shared" ca="1" si="2"/>
        <v>7.4265147716913952E-3</v>
      </c>
      <c r="F42" s="164"/>
      <c r="G42" s="165"/>
    </row>
    <row r="43" spans="2:7">
      <c r="B43" s="184" t="str">
        <f t="shared" ca="1" si="0"/>
        <v>34M</v>
      </c>
      <c r="C43" s="216">
        <f t="shared" ca="1" si="3"/>
        <v>2.9260273972602739</v>
      </c>
      <c r="D43" s="169">
        <f ca="1">IF(NOT($C$6),"",IF(GetConvertDate(CDSRollDate,B43)&lt;Parameter_Date,0,GetGetDefaultprob($I$6,B43)))</f>
        <v>1.5275090679426229E-2</v>
      </c>
      <c r="E43" s="178">
        <f t="shared" ca="1" si="2"/>
        <v>7.4265147716908592E-3</v>
      </c>
      <c r="F43" s="164"/>
      <c r="G43" s="165"/>
    </row>
    <row r="44" spans="2:7">
      <c r="B44" s="184" t="str">
        <f t="shared" ca="1" si="0"/>
        <v>35M</v>
      </c>
      <c r="C44" s="216">
        <f t="shared" ca="1" si="3"/>
        <v>3.0082191780821916</v>
      </c>
      <c r="D44" s="169">
        <f ca="1">IF(NOT($C$6),"",IF(GetConvertDate(CDSRollDate,B44)&lt;Parameter_Date,0,GetGetDefaultprob($I$6,B44)))</f>
        <v>1.5875981851580678E-2</v>
      </c>
      <c r="E44" s="178">
        <f t="shared" ca="1" si="2"/>
        <v>7.426514771692508E-3</v>
      </c>
      <c r="F44" s="164"/>
      <c r="G44" s="165"/>
    </row>
    <row r="45" spans="2:7">
      <c r="B45" s="184" t="str">
        <f t="shared" ca="1" si="0"/>
        <v>36M</v>
      </c>
      <c r="C45" s="216">
        <f t="shared" ca="1" si="3"/>
        <v>3.0931506849315067</v>
      </c>
      <c r="D45" s="169">
        <f ca="1">IF(NOT($C$6),"",IF(GetConvertDate(CDSRollDate,B45)&lt;Parameter_Date,0,GetGetDefaultprob($I$6,B45)))</f>
        <v>1.6496517523687082E-2</v>
      </c>
      <c r="E45" s="178">
        <f t="shared" ca="1" si="2"/>
        <v>7.4265147716908592E-3</v>
      </c>
      <c r="F45" s="164"/>
      <c r="G45" s="165"/>
    </row>
    <row r="46" spans="2:7">
      <c r="B46" s="184" t="str">
        <f t="shared" ca="1" si="0"/>
        <v>37M</v>
      </c>
      <c r="C46" s="216">
        <f t="shared" ca="1" si="3"/>
        <v>3.1753424657534248</v>
      </c>
      <c r="D46" s="169">
        <f ca="1">IF(NOT($C$6),"",IF(GetConvertDate(CDSRollDate,B46)&lt;Parameter_Date,0,GetGetDefaultprob($I$6,B46)))</f>
        <v>1.72394305432505E-2</v>
      </c>
      <c r="E46" s="178">
        <f t="shared" ca="1" si="2"/>
        <v>9.1938572467715265E-3</v>
      </c>
      <c r="F46" s="164"/>
      <c r="G46" s="165"/>
    </row>
    <row r="47" spans="2:7">
      <c r="B47" s="184" t="str">
        <f t="shared" ca="1" si="0"/>
        <v>38M</v>
      </c>
      <c r="C47" s="216">
        <f t="shared" ca="1" si="3"/>
        <v>3.2602739726027399</v>
      </c>
      <c r="D47" s="169">
        <f ca="1">IF(NOT($C$6),"",IF(GetConvertDate(CDSRollDate,B47)&lt;Parameter_Date,0,GetGetDefaultprob($I$6,B47)))</f>
        <v>1.8006517787230725E-2</v>
      </c>
      <c r="E47" s="178">
        <f t="shared" ca="1" si="2"/>
        <v>9.1938572467706314E-3</v>
      </c>
      <c r="F47" s="164"/>
      <c r="G47" s="165"/>
    </row>
    <row r="48" spans="2:7">
      <c r="B48" s="184" t="str">
        <f t="shared" ca="1" si="0"/>
        <v>39M</v>
      </c>
      <c r="C48" s="216">
        <f t="shared" ca="1" si="3"/>
        <v>3.3452054794520549</v>
      </c>
      <c r="D48" s="169">
        <f ca="1">IF(NOT($C$6),"",IF(GetConvertDate(CDSRollDate,B48)&lt;Parameter_Date,0,GetGetDefaultprob($I$6,B48)))</f>
        <v>1.8773006286350591E-2</v>
      </c>
      <c r="E48" s="178">
        <f t="shared" ca="1" si="2"/>
        <v>9.1938572467706314E-3</v>
      </c>
      <c r="F48" s="164"/>
      <c r="G48" s="165"/>
    </row>
    <row r="49" spans="2:7">
      <c r="B49" s="184" t="str">
        <f t="shared" ca="1" si="0"/>
        <v>40M</v>
      </c>
      <c r="C49" s="216">
        <f t="shared" ca="1" si="3"/>
        <v>3.4273972602739726</v>
      </c>
      <c r="D49" s="169">
        <f ca="1">IF(NOT($C$6),"",IF(GetConvertDate(CDSRollDate,B49)&lt;Parameter_Date,0,GetGetDefaultprob($I$6,B49)))</f>
        <v>1.9514199705352508E-2</v>
      </c>
      <c r="E49" s="178">
        <f t="shared" ca="1" si="2"/>
        <v>9.1938572467715769E-3</v>
      </c>
      <c r="F49" s="164"/>
      <c r="G49" s="165"/>
    </row>
    <row r="50" spans="2:7">
      <c r="B50" s="184" t="str">
        <f t="shared" ca="1" si="0"/>
        <v>41M</v>
      </c>
      <c r="C50" s="216">
        <f t="shared" ca="1" si="3"/>
        <v>3.5123287671232877</v>
      </c>
      <c r="D50" s="169">
        <f ca="1">IF(NOT($C$6),"",IF(GetConvertDate(CDSRollDate,B50)&lt;Parameter_Date,0,GetGetDefaultprob($I$6,B50)))</f>
        <v>2.027951139335149E-2</v>
      </c>
      <c r="E50" s="178">
        <f t="shared" ca="1" si="2"/>
        <v>9.1938572467719411E-3</v>
      </c>
      <c r="F50" s="164"/>
      <c r="G50" s="165"/>
    </row>
    <row r="51" spans="2:7">
      <c r="B51" s="184" t="str">
        <f t="shared" ca="1" si="0"/>
        <v>42M</v>
      </c>
      <c r="C51" s="216">
        <f t="shared" ca="1" si="3"/>
        <v>3.5945205479452054</v>
      </c>
      <c r="D51" s="169">
        <f ca="1">IF(NOT($C$6),"",IF(GetConvertDate(CDSRollDate,B51)&lt;Parameter_Date,0,GetGetDefaultprob($I$6,B51)))</f>
        <v>2.1019566837472747E-2</v>
      </c>
      <c r="E51" s="178">
        <f t="shared" ca="1" si="2"/>
        <v>9.1938572467702238E-3</v>
      </c>
      <c r="F51" s="164"/>
      <c r="G51" s="165"/>
    </row>
    <row r="52" spans="2:7">
      <c r="B52" s="184" t="str">
        <f t="shared" ca="1" si="0"/>
        <v>43M</v>
      </c>
      <c r="C52" s="216">
        <f t="shared" ca="1" si="3"/>
        <v>3.6794520547945204</v>
      </c>
      <c r="D52" s="169">
        <f ca="1">IF(NOT($C$6),"",IF(GetConvertDate(CDSRollDate,B52)&lt;Parameter_Date,0,GetGetDefaultprob($I$6,B52)))</f>
        <v>2.1783703521141673E-2</v>
      </c>
      <c r="E52" s="178">
        <f t="shared" ca="1" si="2"/>
        <v>9.1938572467719411E-3</v>
      </c>
      <c r="F52" s="164"/>
      <c r="G52" s="165"/>
    </row>
    <row r="53" spans="2:7">
      <c r="B53" s="184" t="str">
        <f t="shared" ca="1" si="0"/>
        <v>44M</v>
      </c>
      <c r="C53" s="216">
        <f t="shared" ca="1" si="3"/>
        <v>3.7643835616438355</v>
      </c>
      <c r="D53" s="169">
        <f ca="1">IF(NOT($C$6),"",IF(GetConvertDate(CDSRollDate,B53)&lt;Parameter_Date,0,GetGetDefaultprob($I$6,B53)))</f>
        <v>2.2547243762990554E-2</v>
      </c>
      <c r="E53" s="178">
        <f t="shared" ca="1" si="2"/>
        <v>9.1938572467719411E-3</v>
      </c>
      <c r="F53" s="164"/>
      <c r="G53" s="165"/>
    </row>
    <row r="54" spans="2:7">
      <c r="B54" s="184" t="str">
        <f t="shared" ca="1" si="0"/>
        <v>45M</v>
      </c>
      <c r="C54" s="216">
        <f t="shared" ca="1" si="3"/>
        <v>3.8438356164383563</v>
      </c>
      <c r="D54" s="169">
        <f ca="1">IF(NOT($C$6),"",IF(GetConvertDate(CDSRollDate,B54)&lt;Parameter_Date,0,GetGetDefaultprob($I$6,B54)))</f>
        <v>2.32609837935428E-2</v>
      </c>
      <c r="E54" s="178">
        <f t="shared" ca="1" si="2"/>
        <v>9.1938572467707112E-3</v>
      </c>
      <c r="F54" s="164"/>
      <c r="G54" s="165"/>
    </row>
    <row r="55" spans="2:7">
      <c r="B55" s="184" t="str">
        <f t="shared" ca="1" si="0"/>
        <v>46M</v>
      </c>
      <c r="C55" s="216">
        <f t="shared" ca="1" si="3"/>
        <v>3.9287671232876713</v>
      </c>
      <c r="D55" s="169">
        <f ca="1">IF(NOT($C$6),"",IF(GetConvertDate(CDSRollDate,B55)&lt;Parameter_Date,0,GetGetDefaultprob($I$6,B55)))</f>
        <v>2.4023370954073697E-2</v>
      </c>
      <c r="E55" s="178">
        <f t="shared" ca="1" si="2"/>
        <v>9.1938572467719411E-3</v>
      </c>
      <c r="F55" s="164"/>
      <c r="G55" s="165"/>
    </row>
    <row r="56" spans="2:7">
      <c r="B56" s="184" t="str">
        <f t="shared" ca="1" si="0"/>
        <v>47M</v>
      </c>
      <c r="C56" s="216">
        <f t="shared" ca="1" si="3"/>
        <v>4.0109589041095894</v>
      </c>
      <c r="D56" s="169">
        <f ca="1">IF(NOT($C$6),"",IF(GetConvertDate(CDSRollDate,B56)&lt;Parameter_Date,0,GetGetDefaultprob($I$6,B56)))</f>
        <v>2.4760598383794741E-2</v>
      </c>
      <c r="E56" s="178">
        <f t="shared" ca="1" si="2"/>
        <v>9.1938572467701752E-3</v>
      </c>
      <c r="F56" s="164"/>
      <c r="G56" s="165"/>
    </row>
    <row r="57" spans="2:7">
      <c r="B57" s="184" t="str">
        <f t="shared" ca="1" si="0"/>
        <v>48M</v>
      </c>
      <c r="C57" s="216">
        <f t="shared" ca="1" si="3"/>
        <v>4.095890410958904</v>
      </c>
      <c r="D57" s="169">
        <f ca="1">IF(NOT($C$6),"",IF(GetConvertDate(CDSRollDate,B57)&lt;Parameter_Date,0,GetGetDefaultprob($I$6,B57)))</f>
        <v>2.5521815030103978E-2</v>
      </c>
      <c r="E57" s="178">
        <f t="shared" ca="1" si="2"/>
        <v>9.1938572467732977E-3</v>
      </c>
      <c r="F57" s="164"/>
      <c r="G57" s="165"/>
    </row>
    <row r="58" spans="2:7">
      <c r="B58" s="184" t="str">
        <f t="shared" ca="1" si="0"/>
        <v>49M</v>
      </c>
      <c r="C58" s="216">
        <f t="shared" ca="1" si="3"/>
        <v>4.1780821917808222</v>
      </c>
      <c r="D58" s="169">
        <f ca="1">IF(NOT($C$6),"",IF(GetConvertDate(CDSRollDate,B58)&lt;Parameter_Date,0,GetGetDefaultprob($I$6,B58)))</f>
        <v>2.6257910574038146E-2</v>
      </c>
      <c r="E58" s="178">
        <f t="shared" ca="1" si="2"/>
        <v>9.1938572467701752E-3</v>
      </c>
      <c r="F58" s="164"/>
      <c r="G58" s="165"/>
    </row>
    <row r="59" spans="2:7">
      <c r="B59" s="184" t="str">
        <f t="shared" ca="1" si="0"/>
        <v>50M</v>
      </c>
      <c r="C59" s="216">
        <f t="shared" ca="1" si="3"/>
        <v>4.2630136986301368</v>
      </c>
      <c r="D59" s="169">
        <f ca="1">IF(NOT($C$6),"",IF(GetConvertDate(CDSRollDate,B59)&lt;Parameter_Date,0,GetGetDefaultprob($I$6,B59)))</f>
        <v>2.7017958503248618E-2</v>
      </c>
      <c r="E59" s="178">
        <f t="shared" ca="1" si="2"/>
        <v>9.19385724677068E-3</v>
      </c>
      <c r="F59" s="164"/>
      <c r="G59" s="165"/>
    </row>
    <row r="60" spans="2:7">
      <c r="B60" s="184" t="str">
        <f t="shared" ca="1" si="0"/>
        <v>51M</v>
      </c>
      <c r="C60" s="216">
        <f t="shared" ca="1" si="3"/>
        <v>4.3479452054794523</v>
      </c>
      <c r="D60" s="169">
        <f ca="1">IF(NOT($C$6),"",IF(GetConvertDate(CDSRollDate,B60)&lt;Parameter_Date,0,GetGetDefaultprob($I$6,B60)))</f>
        <v>2.7777413182089261E-2</v>
      </c>
      <c r="E60" s="178">
        <f t="shared" ca="1" si="2"/>
        <v>9.1938572467718926E-3</v>
      </c>
      <c r="F60" s="164"/>
      <c r="G60" s="165"/>
    </row>
    <row r="61" spans="2:7">
      <c r="B61" s="184" t="str">
        <f t="shared" ca="1" si="0"/>
        <v>52M</v>
      </c>
      <c r="C61" s="216">
        <f t="shared" ca="1" si="3"/>
        <v>4.4301369863013695</v>
      </c>
      <c r="D61" s="169">
        <f ca="1">IF(NOT($C$6),"",IF(GetConvertDate(CDSRollDate,B61)&lt;Parameter_Date,0,GetGetDefaultprob($I$6,B61)))</f>
        <v>2.8511804905687499E-2</v>
      </c>
      <c r="E61" s="178">
        <f t="shared" ca="1" si="2"/>
        <v>9.1938572467716254E-3</v>
      </c>
      <c r="F61" s="164"/>
      <c r="G61" s="165"/>
    </row>
    <row r="62" spans="2:7">
      <c r="B62" s="184" t="str">
        <f t="shared" ca="1" si="0"/>
        <v>53M</v>
      </c>
      <c r="C62" s="216">
        <f t="shared" ca="1" si="3"/>
        <v>4.515068493150685</v>
      </c>
      <c r="D62" s="169">
        <f ca="1">IF(NOT($C$6),"",IF(GetConvertDate(CDSRollDate,B62)&lt;Parameter_Date,0,GetGetDefaultprob($I$6,B62)))</f>
        <v>2.9270093572627109E-2</v>
      </c>
      <c r="E62" s="178">
        <f t="shared" ca="1" si="2"/>
        <v>9.1938572467705846E-3</v>
      </c>
      <c r="F62" s="164"/>
      <c r="G62" s="165"/>
    </row>
    <row r="63" spans="2:7">
      <c r="B63" s="184" t="str">
        <f t="shared" ca="1" si="0"/>
        <v>54M</v>
      </c>
      <c r="C63" s="216">
        <f t="shared" ca="1" si="3"/>
        <v>4.5972602739726032</v>
      </c>
      <c r="D63" s="169">
        <f ca="1">IF(NOT($C$6),"",IF(GetConvertDate(CDSRollDate,B63)&lt;Parameter_Date,0,GetGetDefaultprob($I$6,B63)))</f>
        <v>3.0003357764176952E-2</v>
      </c>
      <c r="E63" s="178">
        <f t="shared" ca="1" si="2"/>
        <v>9.1938572467715265E-3</v>
      </c>
      <c r="F63" s="164"/>
      <c r="G63" s="165"/>
    </row>
    <row r="64" spans="2:7">
      <c r="B64" s="184" t="str">
        <f t="shared" ca="1" si="0"/>
        <v>55M</v>
      </c>
      <c r="C64" s="216">
        <f t="shared" ca="1" si="3"/>
        <v>4.6821917808219178</v>
      </c>
      <c r="D64" s="169">
        <f ca="1">IF(NOT($C$6),"",IF(GetConvertDate(CDSRollDate,B64)&lt;Parameter_Date,0,GetGetDefaultprob($I$6,B64)))</f>
        <v>3.0760482209426177E-2</v>
      </c>
      <c r="E64" s="178">
        <f t="shared" ca="1" si="2"/>
        <v>9.19385724677068E-3</v>
      </c>
      <c r="F64" s="164"/>
      <c r="G64" s="165"/>
    </row>
    <row r="65" spans="2:7">
      <c r="B65" s="184" t="str">
        <f t="shared" ca="1" si="0"/>
        <v>56M</v>
      </c>
      <c r="C65" s="216">
        <f t="shared" ca="1" si="3"/>
        <v>4.7671232876712333</v>
      </c>
      <c r="D65" s="169">
        <f ca="1">IF(NOT($C$6),"",IF(GetConvertDate(CDSRollDate,B65)&lt;Parameter_Date,0,GetGetDefaultprob($I$6,B65)))</f>
        <v>3.1517015686211569E-2</v>
      </c>
      <c r="E65" s="178">
        <f t="shared" ca="1" si="2"/>
        <v>9.1938572467705846E-3</v>
      </c>
      <c r="F65" s="164"/>
      <c r="G65" s="165"/>
    </row>
    <row r="66" spans="2:7">
      <c r="B66" s="184" t="str">
        <f t="shared" ca="1" si="0"/>
        <v>57M</v>
      </c>
      <c r="C66" s="216">
        <f t="shared" ca="1" si="3"/>
        <v>4.8438356164383558</v>
      </c>
      <c r="D66" s="169">
        <f ca="1">IF(NOT($C$6),"",IF(GetConvertDate(CDSRollDate,B66)&lt;Parameter_Date,0,GetGetDefaultprob($I$6,B66)))</f>
        <v>3.2199828679582154E-2</v>
      </c>
      <c r="E66" s="178">
        <f t="shared" ca="1" si="2"/>
        <v>9.1938572467707216E-3</v>
      </c>
      <c r="F66" s="164"/>
      <c r="G66" s="165"/>
    </row>
    <row r="67" spans="2:7">
      <c r="B67" s="184" t="str">
        <f t="shared" ca="1" si="0"/>
        <v>58M</v>
      </c>
      <c r="C67" s="216">
        <f t="shared" ca="1" si="3"/>
        <v>4.9287671232876713</v>
      </c>
      <c r="D67" s="169">
        <f ca="1">IF(NOT($C$6),"",IF(GetConvertDate(CDSRollDate,B67)&lt;Parameter_Date,0,GetGetDefaultprob($I$6,B67)))</f>
        <v>3.2955238684027277E-2</v>
      </c>
      <c r="E67" s="178">
        <f t="shared" ca="1" si="2"/>
        <v>9.1938572467718926E-3</v>
      </c>
      <c r="F67" s="164"/>
      <c r="G67" s="165"/>
    </row>
    <row r="68" spans="2:7">
      <c r="B68" s="184" t="str">
        <f t="shared" ca="1" si="0"/>
        <v>59M</v>
      </c>
      <c r="C68" s="216">
        <f t="shared" ca="1" si="3"/>
        <v>5.0109589041095894</v>
      </c>
      <c r="D68" s="169">
        <f ca="1">IF(NOT($C$6),"",IF(GetConvertDate(CDSRollDate,B68)&lt;Parameter_Date,0,GetGetDefaultprob($I$6,B68)))</f>
        <v>3.3685719212548926E-2</v>
      </c>
      <c r="E68" s="178">
        <f t="shared" ca="1" si="2"/>
        <v>9.1938572467715265E-3</v>
      </c>
      <c r="F68" s="164"/>
      <c r="G68" s="165"/>
    </row>
    <row r="69" spans="2:7">
      <c r="B69" s="184" t="str">
        <f t="shared" ca="1" si="0"/>
        <v>60M</v>
      </c>
      <c r="C69" s="216">
        <f t="shared" ca="1" si="3"/>
        <v>5.095890410958904</v>
      </c>
      <c r="D69" s="169">
        <f ca="1">IF(NOT($C$6),"",IF(GetConvertDate(CDSRollDate,B69)&lt;Parameter_Date,0,GetGetDefaultprob($I$6,B69)))</f>
        <v>3.4439969414994165E-2</v>
      </c>
      <c r="E69" s="178">
        <f t="shared" ca="1" si="2"/>
        <v>9.19385724677068E-3</v>
      </c>
      <c r="F69" s="164"/>
      <c r="G69" s="165"/>
    </row>
    <row r="70" spans="2:7">
      <c r="B70" s="184" t="str">
        <f t="shared" ca="1" si="0"/>
        <v>61M</v>
      </c>
      <c r="C70" s="216">
        <f t="shared" ca="1" si="3"/>
        <v>5.1780821917808222</v>
      </c>
      <c r="D70" s="169">
        <f ca="1">IF(NOT($C$6),"",IF(GetConvertDate(CDSRollDate,B70)&lt;Parameter_Date,0,GetGetDefaultprob($I$6,B70)))</f>
        <v>3.5189696781814273E-2</v>
      </c>
      <c r="E70" s="178">
        <f t="shared" ca="1" si="2"/>
        <v>9.4507082520838351E-3</v>
      </c>
      <c r="F70" s="164"/>
      <c r="G70" s="165"/>
    </row>
    <row r="71" spans="2:7">
      <c r="B71" s="184" t="str">
        <f t="shared" ca="1" si="0"/>
        <v>62M</v>
      </c>
      <c r="C71" s="216">
        <f t="shared" ca="1" si="3"/>
        <v>5.2630136986301368</v>
      </c>
      <c r="D71" s="169">
        <f ca="1">IF(NOT($C$6),"",IF(GetConvertDate(CDSRollDate,B71)&lt;Parameter_Date,0,GetGetDefaultprob($I$6,B71)))</f>
        <v>3.5963803495718816E-2</v>
      </c>
      <c r="E71" s="178">
        <f t="shared" ca="1" si="2"/>
        <v>9.450708252083757E-3</v>
      </c>
      <c r="F71" s="164"/>
      <c r="G71" s="165"/>
    </row>
    <row r="72" spans="2:7">
      <c r="B72" s="184" t="str">
        <f t="shared" ca="1" si="0"/>
        <v>63M</v>
      </c>
      <c r="C72" s="216">
        <f t="shared" ca="1" si="3"/>
        <v>5.3479452054794523</v>
      </c>
      <c r="D72" s="169">
        <f ca="1">IF(NOT($C$6),"",IF(GetConvertDate(CDSRollDate,B72)&lt;Parameter_Date,0,GetGetDefaultprob($I$6,B72)))</f>
        <v>3.6737289112188432E-2</v>
      </c>
      <c r="E72" s="178">
        <f t="shared" ca="1" si="2"/>
        <v>9.4507082520836581E-3</v>
      </c>
      <c r="F72" s="164"/>
      <c r="G72" s="165"/>
    </row>
    <row r="73" spans="2:7">
      <c r="B73" s="184" t="str">
        <f t="shared" ca="1" si="0"/>
        <v>64M</v>
      </c>
      <c r="C73" s="216">
        <f t="shared" ca="1" si="3"/>
        <v>5.4301369863013695</v>
      </c>
      <c r="D73" s="169">
        <f ca="1">IF(NOT($C$6),"",IF(GetConvertDate(CDSRollDate,B73)&lt;Parameter_Date,0,GetGetDefaultprob($I$6,B73)))</f>
        <v>3.7485232681634284E-2</v>
      </c>
      <c r="E73" s="178">
        <f t="shared" ca="1" si="2"/>
        <v>9.4507082520852888E-3</v>
      </c>
      <c r="F73" s="164"/>
      <c r="G73" s="165"/>
    </row>
    <row r="74" spans="2:7">
      <c r="B74" s="184" t="str">
        <f t="shared" ca="1" si="0"/>
        <v>65M</v>
      </c>
      <c r="C74" s="216">
        <f t="shared" ref="C74:C105" ca="1" si="4">MAX(0,(DATE(YEAR(CDSRollDate),MONTH(CDSRollDate)+ROW()-ROW($B$9),DAY(CDSRollDate))-Parameter_Date)/365)</f>
        <v>5.515068493150685</v>
      </c>
      <c r="D74" s="169">
        <f ca="1">IF(NOT($C$6),"",IF(GetConvertDate(CDSRollDate,B74)&lt;Parameter_Date,0,GetGetDefaultprob($I$6,B74)))</f>
        <v>3.8257497593325307E-2</v>
      </c>
      <c r="E74" s="178">
        <f t="shared" ca="1" si="2"/>
        <v>9.4507082520836581E-3</v>
      </c>
      <c r="F74" s="164"/>
      <c r="G74" s="165"/>
    </row>
    <row r="75" spans="2:7">
      <c r="B75" s="184" t="str">
        <f t="shared" ref="B75:B129" ca="1" si="5">ROW()-ROW($B$9)&amp;"M"</f>
        <v>66M</v>
      </c>
      <c r="C75" s="216">
        <f t="shared" ca="1" si="4"/>
        <v>5.5972602739726032</v>
      </c>
      <c r="D75" s="169">
        <f ca="1">IF(NOT($C$6),"",IF(GetConvertDate(CDSRollDate,B75)&lt;Parameter_Date,0,GetGetDefaultprob($I$6,B75)))</f>
        <v>3.9004260768113586E-2</v>
      </c>
      <c r="E75" s="178">
        <f t="shared" ca="1" si="2"/>
        <v>9.4507082520838351E-3</v>
      </c>
      <c r="F75" s="164"/>
      <c r="G75" s="165"/>
    </row>
    <row r="76" spans="2:7">
      <c r="B76" s="184" t="str">
        <f t="shared" ca="1" si="5"/>
        <v>67M</v>
      </c>
      <c r="C76" s="216">
        <f t="shared" ca="1" si="4"/>
        <v>5.6821917808219178</v>
      </c>
      <c r="D76" s="169">
        <f ca="1">IF(NOT($C$6),"",IF(GetConvertDate(CDSRollDate,B76)&lt;Parameter_Date,0,GetGetDefaultprob($I$6,B76)))</f>
        <v>3.9775306901526308E-2</v>
      </c>
      <c r="E76" s="178">
        <f t="shared" ref="E76:E129" ca="1" si="6">IF(NOT($C$6),"",IF(C76=0,0,-LN((1-D76)/(1-D75))/($C76-$C75)))</f>
        <v>9.450708252085065E-3</v>
      </c>
      <c r="F76" s="164"/>
      <c r="G76" s="165"/>
    </row>
    <row r="77" spans="2:7">
      <c r="B77" s="184" t="str">
        <f t="shared" ca="1" si="5"/>
        <v>68M</v>
      </c>
      <c r="C77" s="216">
        <f t="shared" ca="1" si="4"/>
        <v>5.7671232876712333</v>
      </c>
      <c r="D77" s="169">
        <f ca="1">IF(NOT($C$6),"",IF(GetConvertDate(CDSRollDate,B77)&lt;Parameter_Date,0,GetGetDefaultprob($I$6,B77)))</f>
        <v>4.0545734393132804E-2</v>
      </c>
      <c r="E77" s="178">
        <f t="shared" ca="1" si="6"/>
        <v>9.4507082520849661E-3</v>
      </c>
      <c r="F77" s="164"/>
      <c r="G77" s="165"/>
    </row>
    <row r="78" spans="2:7">
      <c r="B78" s="184" t="str">
        <f t="shared" ca="1" si="5"/>
        <v>69M</v>
      </c>
      <c r="C78" s="216">
        <f t="shared" ca="1" si="4"/>
        <v>5.8438356164383558</v>
      </c>
      <c r="D78" s="169">
        <f ca="1">IF(NOT($C$6),"",IF(GetConvertDate(CDSRollDate,B78)&lt;Parameter_Date,0,GetGetDefaultprob($I$6,B78)))</f>
        <v>4.1241073062601274E-2</v>
      </c>
      <c r="E78" s="178">
        <f t="shared" ca="1" si="6"/>
        <v>9.4507082520838195E-3</v>
      </c>
      <c r="F78" s="164"/>
      <c r="G78" s="165"/>
    </row>
    <row r="79" spans="2:7">
      <c r="B79" s="184" t="str">
        <f t="shared" ca="1" si="5"/>
        <v>70M</v>
      </c>
      <c r="C79" s="216">
        <f t="shared" ca="1" si="4"/>
        <v>5.9287671232876713</v>
      </c>
      <c r="D79" s="169">
        <f ca="1">IF(NOT($C$6),"",IF(GetConvertDate(CDSRollDate,B79)&lt;Parameter_Date,0,GetGetDefaultprob($I$6,B79)))</f>
        <v>4.2010324510147634E-2</v>
      </c>
      <c r="E79" s="178">
        <f t="shared" ca="1" si="6"/>
        <v>9.4507082520849661E-3</v>
      </c>
      <c r="F79" s="164"/>
      <c r="G79" s="165"/>
    </row>
    <row r="80" spans="2:7">
      <c r="B80" s="184" t="str">
        <f t="shared" ca="1" si="5"/>
        <v>71M</v>
      </c>
      <c r="C80" s="216">
        <f t="shared" ca="1" si="4"/>
        <v>6.0109589041095894</v>
      </c>
      <c r="D80" s="169">
        <f ca="1">IF(NOT($C$6),"",IF(GetConvertDate(CDSRollDate,B80)&lt;Parameter_Date,0,GetGetDefaultprob($I$6,B80)))</f>
        <v>4.275417373142365E-2</v>
      </c>
      <c r="E80" s="178">
        <f t="shared" ca="1" si="6"/>
        <v>9.4507082520838351E-3</v>
      </c>
      <c r="F80" s="164"/>
      <c r="G80" s="165"/>
    </row>
    <row r="81" spans="2:7">
      <c r="B81" s="184" t="str">
        <f t="shared" ca="1" si="5"/>
        <v>72M</v>
      </c>
      <c r="C81" s="216">
        <f t="shared" ca="1" si="4"/>
        <v>6.095890410958904</v>
      </c>
      <c r="D81" s="169">
        <f ca="1">IF(NOT($C$6),"",IF(GetConvertDate(CDSRollDate,B81)&lt;Parameter_Date,0,GetGetDefaultprob($I$6,B81)))</f>
        <v>4.352221115650079E-2</v>
      </c>
      <c r="E81" s="178">
        <f t="shared" ca="1" si="6"/>
        <v>9.450708252083757E-3</v>
      </c>
      <c r="F81" s="164"/>
      <c r="G81" s="165"/>
    </row>
    <row r="82" spans="2:7">
      <c r="B82" s="184" t="str">
        <f t="shared" ca="1" si="5"/>
        <v>73M</v>
      </c>
      <c r="C82" s="216">
        <f t="shared" ca="1" si="4"/>
        <v>6.1780821917808222</v>
      </c>
      <c r="D82" s="169">
        <f ca="1">IF(NOT($C$6),"",IF(GetConvertDate(CDSRollDate,B82)&lt;Parameter_Date,0,GetGetDefaultprob($I$6,B82)))</f>
        <v>4.426488644476545E-2</v>
      </c>
      <c r="E82" s="178">
        <f t="shared" ca="1" si="6"/>
        <v>9.4507082520838351E-3</v>
      </c>
      <c r="F82" s="164"/>
      <c r="G82" s="165"/>
    </row>
    <row r="83" spans="2:7">
      <c r="B83" s="184" t="str">
        <f t="shared" ca="1" si="5"/>
        <v>74M</v>
      </c>
      <c r="C83" s="216">
        <f t="shared" ca="1" si="4"/>
        <v>6.2630136986301368</v>
      </c>
      <c r="D83" s="169">
        <f ca="1">IF(NOT($C$6),"",IF(GetConvertDate(CDSRollDate,B83)&lt;Parameter_Date,0,GetGetDefaultprob($I$6,B83)))</f>
        <v>4.5031711763327764E-2</v>
      </c>
      <c r="E83" s="178">
        <f t="shared" ca="1" si="6"/>
        <v>9.450708252085065E-3</v>
      </c>
      <c r="F83" s="164"/>
      <c r="G83" s="165"/>
    </row>
    <row r="84" spans="2:7">
      <c r="B84" s="184" t="str">
        <f t="shared" ca="1" si="5"/>
        <v>75M</v>
      </c>
      <c r="C84" s="216">
        <f t="shared" ca="1" si="4"/>
        <v>6.3479452054794523</v>
      </c>
      <c r="D84" s="169">
        <f ca="1">IF(NOT($C$6),"",IF(GetConvertDate(CDSRollDate,B84)&lt;Parameter_Date,0,GetGetDefaultprob($I$6,B84)))</f>
        <v>4.5797921826615906E-2</v>
      </c>
      <c r="E84" s="178">
        <f t="shared" ca="1" si="6"/>
        <v>9.4507082520823502E-3</v>
      </c>
      <c r="F84" s="164"/>
      <c r="G84" s="165"/>
    </row>
    <row r="85" spans="2:7">
      <c r="B85" s="184" t="str">
        <f t="shared" ca="1" si="5"/>
        <v>76M</v>
      </c>
      <c r="C85" s="216">
        <f t="shared" ca="1" si="4"/>
        <v>6.4301369863013695</v>
      </c>
      <c r="D85" s="169">
        <f ca="1">IF(NOT($C$6),"",IF(GetConvertDate(CDSRollDate,B85)&lt;Parameter_Date,0,GetGetDefaultprob($I$6,B85)))</f>
        <v>4.6538830096244488E-2</v>
      </c>
      <c r="E85" s="178">
        <f t="shared" ca="1" si="6"/>
        <v>9.4507082520839357E-3</v>
      </c>
      <c r="F85" s="164"/>
      <c r="G85" s="165"/>
    </row>
    <row r="86" spans="2:7">
      <c r="B86" s="184" t="str">
        <f t="shared" ca="1" si="5"/>
        <v>77M</v>
      </c>
      <c r="C86" s="216">
        <f t="shared" ca="1" si="4"/>
        <v>6.515068493150685</v>
      </c>
      <c r="D86" s="169">
        <f ca="1">IF(NOT($C$6),"",IF(GetConvertDate(CDSRollDate,B86)&lt;Parameter_Date,0,GetGetDefaultprob($I$6,B86)))</f>
        <v>4.730383093693602E-2</v>
      </c>
      <c r="E86" s="178">
        <f t="shared" ca="1" si="6"/>
        <v>9.4507082520836581E-3</v>
      </c>
      <c r="F86" s="164"/>
      <c r="G86" s="165"/>
    </row>
    <row r="87" spans="2:7">
      <c r="B87" s="184" t="str">
        <f t="shared" ca="1" si="5"/>
        <v>78M</v>
      </c>
      <c r="C87" s="216">
        <f t="shared" ca="1" si="4"/>
        <v>6.5972602739726032</v>
      </c>
      <c r="D87" s="169">
        <f ca="1">IF(NOT($C$6),"",IF(GetConvertDate(CDSRollDate,B87)&lt;Parameter_Date,0,GetGetDefaultprob($I$6,B87)))</f>
        <v>4.8043569914924311E-2</v>
      </c>
      <c r="E87" s="178">
        <f t="shared" ca="1" si="6"/>
        <v>9.4507082520838351E-3</v>
      </c>
      <c r="F87" s="164"/>
      <c r="G87" s="165"/>
    </row>
    <row r="88" spans="2:7">
      <c r="B88" s="184" t="str">
        <f t="shared" ca="1" si="5"/>
        <v>79M</v>
      </c>
      <c r="C88" s="216">
        <f t="shared" ca="1" si="4"/>
        <v>6.6821917808219178</v>
      </c>
      <c r="D88" s="169">
        <f ca="1">IF(NOT($C$6),"",IF(GetConvertDate(CDSRollDate,B88)&lt;Parameter_Date,0,GetGetDefaultprob($I$6,B88)))</f>
        <v>4.8807363441398355E-2</v>
      </c>
      <c r="E88" s="178">
        <f t="shared" ca="1" si="6"/>
        <v>9.450708252085065E-3</v>
      </c>
      <c r="F88" s="164"/>
      <c r="G88" s="165"/>
    </row>
    <row r="89" spans="2:7">
      <c r="B89" s="184" t="str">
        <f t="shared" ca="1" si="5"/>
        <v>80M</v>
      </c>
      <c r="C89" s="216">
        <f t="shared" ca="1" si="4"/>
        <v>6.7671232876712333</v>
      </c>
      <c r="D89" s="169">
        <f ca="1">IF(NOT($C$6),"",IF(GetConvertDate(CDSRollDate,B89)&lt;Parameter_Date,0,GetGetDefaultprob($I$6,B89)))</f>
        <v>4.9570544145128959E-2</v>
      </c>
      <c r="E89" s="178">
        <f t="shared" ca="1" si="6"/>
        <v>9.4507082520836581E-3</v>
      </c>
      <c r="F89" s="164"/>
      <c r="G89" s="165"/>
    </row>
    <row r="90" spans="2:7">
      <c r="B90" s="184" t="str">
        <f t="shared" ca="1" si="5"/>
        <v>81M</v>
      </c>
      <c r="C90" s="216">
        <f t="shared" ca="1" si="4"/>
        <v>6.8438356164383558</v>
      </c>
      <c r="D90" s="169">
        <f ca="1">IF(NOT($C$6),"",IF(GetConvertDate(CDSRollDate,B90)&lt;Parameter_Date,0,GetGetDefaultprob($I$6,B90)))</f>
        <v>5.0259342326498979E-2</v>
      </c>
      <c r="E90" s="178">
        <f t="shared" ca="1" si="6"/>
        <v>9.450708252082371E-3</v>
      </c>
      <c r="F90" s="164"/>
      <c r="G90" s="165"/>
    </row>
    <row r="91" spans="2:7">
      <c r="B91" s="184" t="str">
        <f t="shared" ca="1" si="5"/>
        <v>82M</v>
      </c>
      <c r="C91" s="216">
        <f t="shared" ca="1" si="4"/>
        <v>6.9287671232876713</v>
      </c>
      <c r="D91" s="169">
        <f ca="1">IF(NOT($C$6),"",IF(GetConvertDate(CDSRollDate,B91)&lt;Parameter_Date,0,GetGetDefaultprob($I$6,B91)))</f>
        <v>5.1021358048264021E-2</v>
      </c>
      <c r="E91" s="178">
        <f t="shared" ca="1" si="6"/>
        <v>9.4507082520836581E-3</v>
      </c>
      <c r="F91" s="164"/>
      <c r="G91" s="165"/>
    </row>
    <row r="92" spans="2:7">
      <c r="B92" s="184" t="str">
        <f t="shared" ca="1" si="5"/>
        <v>83M</v>
      </c>
      <c r="C92" s="216">
        <f t="shared" ca="1" si="4"/>
        <v>7.0109589041095894</v>
      </c>
      <c r="D92" s="169">
        <f ca="1">IF(NOT($C$6),"",IF(GetConvertDate(CDSRollDate,B92)&lt;Parameter_Date,0,GetGetDefaultprob($I$6,B92)))</f>
        <v>5.1758210481942402E-2</v>
      </c>
      <c r="E92" s="178">
        <f t="shared" ca="1" si="6"/>
        <v>9.4507082520851864E-3</v>
      </c>
      <c r="F92" s="164"/>
      <c r="G92" s="165"/>
    </row>
    <row r="93" spans="2:7">
      <c r="B93" s="184" t="str">
        <f t="shared" ca="1" si="5"/>
        <v>84M</v>
      </c>
      <c r="C93" s="216">
        <f t="shared" ca="1" si="4"/>
        <v>7.095890410958904</v>
      </c>
      <c r="D93" s="169">
        <f ca="1">IF(NOT($C$6),"",IF(GetConvertDate(CDSRollDate,B93)&lt;Parameter_Date,0,GetGetDefaultprob($I$6,B93)))</f>
        <v>5.251902360056504E-2</v>
      </c>
      <c r="E93" s="178">
        <f t="shared" ca="1" si="6"/>
        <v>9.450708252082449E-3</v>
      </c>
      <c r="F93" s="164"/>
      <c r="G93" s="165"/>
    </row>
    <row r="94" spans="2:7">
      <c r="B94" s="184" t="str">
        <f t="shared" ca="1" si="5"/>
        <v>85M</v>
      </c>
      <c r="C94" s="216">
        <f t="shared" ca="1" si="4"/>
        <v>7.1780821917808222</v>
      </c>
      <c r="D94" s="169">
        <f ca="1">IF(NOT($C$6),"",IF(GetConvertDate(CDSRollDate,B94)&lt;Parameter_Date,0,GetGetDefaultprob($I$6,B94)))</f>
        <v>5.3309772055296856E-2</v>
      </c>
      <c r="E94" s="178">
        <f t="shared" ca="1" si="6"/>
        <v>1.0158293403183022E-2</v>
      </c>
      <c r="F94" s="164"/>
      <c r="G94" s="165"/>
    </row>
    <row r="95" spans="2:7">
      <c r="B95" s="184" t="str">
        <f t="shared" ca="1" si="5"/>
        <v>86M</v>
      </c>
      <c r="C95" s="216">
        <f t="shared" ca="1" si="4"/>
        <v>7.2630136986301368</v>
      </c>
      <c r="D95" s="169">
        <f ca="1">IF(NOT($C$6),"",IF(GetConvertDate(CDSRollDate,B95)&lt;Parameter_Date,0,GetGetDefaultprob($I$6,B95)))</f>
        <v>5.4126185491852552E-2</v>
      </c>
      <c r="E95" s="178">
        <f t="shared" ca="1" si="6"/>
        <v>1.0158293403183727E-2</v>
      </c>
      <c r="F95" s="164"/>
      <c r="G95" s="165"/>
    </row>
    <row r="96" spans="2:7">
      <c r="B96" s="184" t="str">
        <f t="shared" ca="1" si="5"/>
        <v>87M</v>
      </c>
      <c r="C96" s="216">
        <f t="shared" ca="1" si="4"/>
        <v>7.3479452054794523</v>
      </c>
      <c r="D96" s="169">
        <f ca="1">IF(NOT($C$6),"",IF(GetConvertDate(CDSRollDate,B96)&lt;Parameter_Date,0,GetGetDefaultprob($I$6,B96)))</f>
        <v>5.4941894863995477E-2</v>
      </c>
      <c r="E96" s="178">
        <f t="shared" ca="1" si="6"/>
        <v>1.0158293403183621E-2</v>
      </c>
      <c r="F96" s="164"/>
      <c r="G96" s="165"/>
    </row>
    <row r="97" spans="2:7">
      <c r="B97" s="184" t="str">
        <f t="shared" ca="1" si="5"/>
        <v>88M</v>
      </c>
      <c r="C97" s="216">
        <f t="shared" ca="1" si="4"/>
        <v>7.4301369863013695</v>
      </c>
      <c r="D97" s="169">
        <f ca="1">IF(NOT($C$6),"",IF(GetConvertDate(CDSRollDate,B97)&lt;Parameter_Date,0,GetGetDefaultprob($I$6,B97)))</f>
        <v>5.5730621239387101E-2</v>
      </c>
      <c r="E97" s="178">
        <f t="shared" ca="1" si="6"/>
        <v>1.0158293403183132E-2</v>
      </c>
      <c r="F97" s="164"/>
      <c r="G97" s="165"/>
    </row>
    <row r="98" spans="2:7">
      <c r="B98" s="184" t="str">
        <f t="shared" ca="1" si="5"/>
        <v>89M</v>
      </c>
      <c r="C98" s="216">
        <f t="shared" ca="1" si="4"/>
        <v>7.515068493150685</v>
      </c>
      <c r="D98" s="169">
        <f ca="1">IF(NOT($C$6),"",IF(GetConvertDate(CDSRollDate,B98)&lt;Parameter_Date,0,GetGetDefaultprob($I$6,B98)))</f>
        <v>5.6544946966844867E-2</v>
      </c>
      <c r="E98" s="178">
        <f t="shared" ca="1" si="6"/>
        <v>1.0158293403182313E-2</v>
      </c>
      <c r="F98" s="164"/>
      <c r="G98" s="165"/>
    </row>
    <row r="99" spans="2:7">
      <c r="B99" s="184" t="str">
        <f t="shared" ca="1" si="5"/>
        <v>90M</v>
      </c>
      <c r="C99" s="216">
        <f t="shared" ca="1" si="4"/>
        <v>7.5972602739726032</v>
      </c>
      <c r="D99" s="169">
        <f ca="1">IF(NOT($C$6),"",IF(GetConvertDate(CDSRollDate,B99)&lt;Parameter_Date,0,GetGetDefaultprob($I$6,B99)))</f>
        <v>5.7332335467382367E-2</v>
      </c>
      <c r="E99" s="178">
        <f t="shared" ca="1" si="6"/>
        <v>1.0158293403184375E-2</v>
      </c>
      <c r="F99" s="164"/>
      <c r="G99" s="165"/>
    </row>
    <row r="100" spans="2:7">
      <c r="B100" s="184" t="str">
        <f t="shared" ca="1" si="5"/>
        <v>91M</v>
      </c>
      <c r="C100" s="216">
        <f t="shared" ca="1" si="4"/>
        <v>7.6821917808219178</v>
      </c>
      <c r="D100" s="169">
        <f ca="1">IF(NOT($C$6),"",IF(GetConvertDate(CDSRollDate,B100)&lt;Parameter_Date,0,GetGetDefaultprob($I$6,B100)))</f>
        <v>5.8145279897158342E-2</v>
      </c>
      <c r="E100" s="178">
        <f t="shared" ca="1" si="6"/>
        <v>1.0158293403183727E-2</v>
      </c>
      <c r="F100" s="164"/>
      <c r="G100" s="165"/>
    </row>
    <row r="101" spans="2:7">
      <c r="B101" s="184" t="str">
        <f t="shared" ca="1" si="5"/>
        <v>92M</v>
      </c>
      <c r="C101" s="216">
        <f t="shared" ca="1" si="4"/>
        <v>7.7671232876712333</v>
      </c>
      <c r="D101" s="169">
        <f ca="1">IF(NOT($C$6),"",IF(GetConvertDate(CDSRollDate,B101)&lt;Parameter_Date,0,GetGetDefaultprob($I$6,B101)))</f>
        <v>5.8957523254148159E-2</v>
      </c>
      <c r="E101" s="178">
        <f t="shared" ca="1" si="6"/>
        <v>1.0158293403182313E-2</v>
      </c>
      <c r="F101" s="164"/>
      <c r="G101" s="165"/>
    </row>
    <row r="102" spans="2:7">
      <c r="B102" s="184" t="str">
        <f t="shared" ca="1" si="5"/>
        <v>93M</v>
      </c>
      <c r="C102" s="216">
        <f t="shared" ca="1" si="4"/>
        <v>7.8465753424657532</v>
      </c>
      <c r="D102" s="169">
        <f ca="1">IF(NOT($C$6),"",IF(GetConvertDate(CDSRollDate,B102)&lt;Parameter_Date,0,GetGetDefaultprob($I$6,B102)))</f>
        <v>5.971672966341357E-2</v>
      </c>
      <c r="E102" s="178">
        <f t="shared" ca="1" si="6"/>
        <v>1.0158293403184061E-2</v>
      </c>
      <c r="F102" s="164"/>
      <c r="G102" s="165"/>
    </row>
    <row r="103" spans="2:7">
      <c r="B103" s="184" t="str">
        <f t="shared" ca="1" si="5"/>
        <v>94M</v>
      </c>
      <c r="C103" s="216">
        <f t="shared" ca="1" si="4"/>
        <v>7.9315068493150687</v>
      </c>
      <c r="D103" s="169">
        <f ca="1">IF(NOT($C$6),"",IF(GetConvertDate(CDSRollDate,B103)&lt;Parameter_Date,0,GetGetDefaultprob($I$6,B103)))</f>
        <v>6.0527617822403013E-2</v>
      </c>
      <c r="E103" s="178">
        <f t="shared" ca="1" si="6"/>
        <v>1.0158293403183621E-2</v>
      </c>
      <c r="F103" s="164"/>
      <c r="G103" s="165"/>
    </row>
    <row r="104" spans="2:7">
      <c r="B104" s="184" t="str">
        <f t="shared" ca="1" si="5"/>
        <v>95M</v>
      </c>
      <c r="C104" s="216">
        <f t="shared" ca="1" si="4"/>
        <v>8.0136986301369859</v>
      </c>
      <c r="D104" s="169">
        <f ca="1">IF(NOT($C$6),"",IF(GetConvertDate(CDSRollDate,B104)&lt;Parameter_Date,0,GetGetDefaultprob($I$6,B104)))</f>
        <v>6.1311682466416495E-2</v>
      </c>
      <c r="E104" s="178">
        <f t="shared" ca="1" si="6"/>
        <v>1.0158293403183132E-2</v>
      </c>
      <c r="F104" s="164"/>
      <c r="G104" s="165"/>
    </row>
    <row r="105" spans="2:7">
      <c r="B105" s="184" t="str">
        <f t="shared" ca="1" si="5"/>
        <v>96M</v>
      </c>
      <c r="C105" s="216">
        <f t="shared" ca="1" si="4"/>
        <v>8.0986301369863014</v>
      </c>
      <c r="D105" s="169">
        <f ca="1">IF(NOT($C$6),"",IF(GetConvertDate(CDSRollDate,B105)&lt;Parameter_Date,0,GetGetDefaultprob($I$6,B105)))</f>
        <v>6.2121195158689746E-2</v>
      </c>
      <c r="E105" s="178">
        <f t="shared" ca="1" si="6"/>
        <v>1.0158293403183621E-2</v>
      </c>
      <c r="F105" s="164"/>
      <c r="G105" s="165"/>
    </row>
    <row r="106" spans="2:7">
      <c r="B106" s="184" t="str">
        <f t="shared" ca="1" si="5"/>
        <v>97M</v>
      </c>
      <c r="C106" s="216">
        <f t="shared" ref="C106:C129" ca="1" si="7">MAX(0,(DATE(YEAR(CDSRollDate),MONTH(CDSRollDate)+ROW()-ROW($B$9),DAY(CDSRollDate))-Parameter_Date)/365)</f>
        <v>8.1808219178082187</v>
      </c>
      <c r="D106" s="169">
        <f ca="1">IF(NOT($C$6),"",IF(GetConvertDate(CDSRollDate,B106)&lt;Parameter_Date,0,GetGetDefaultprob($I$6,B106)))</f>
        <v>6.2903929835297467E-2</v>
      </c>
      <c r="E106" s="178">
        <f t="shared" ca="1" si="6"/>
        <v>1.0158293403183132E-2</v>
      </c>
      <c r="F106" s="164"/>
      <c r="G106" s="165"/>
    </row>
    <row r="107" spans="2:7">
      <c r="B107" s="184" t="str">
        <f t="shared" ca="1" si="5"/>
        <v>98M</v>
      </c>
      <c r="C107" s="216">
        <f t="shared" ca="1" si="7"/>
        <v>8.2657534246575342</v>
      </c>
      <c r="D107" s="169">
        <f ca="1">IF(NOT($C$6),"",IF(GetConvertDate(CDSRollDate,B107)&lt;Parameter_Date,0,GetGetDefaultprob($I$6,B107)))</f>
        <v>6.3712069393985993E-2</v>
      </c>
      <c r="E107" s="178">
        <f t="shared" ca="1" si="6"/>
        <v>1.0158293403183621E-2</v>
      </c>
      <c r="F107" s="164"/>
      <c r="G107" s="165"/>
    </row>
    <row r="108" spans="2:7">
      <c r="B108" s="184" t="str">
        <f t="shared" ca="1" si="5"/>
        <v>99M</v>
      </c>
      <c r="C108" s="216">
        <f t="shared" ca="1" si="7"/>
        <v>8.3506849315068497</v>
      </c>
      <c r="D108" s="169">
        <f ca="1">IF(NOT($C$6),"",IF(GetConvertDate(CDSRollDate,B108)&lt;Parameter_Date,0,GetGetDefaultprob($I$6,B108)))</f>
        <v>6.4519512023547332E-2</v>
      </c>
      <c r="E108" s="178">
        <f t="shared" ca="1" si="6"/>
        <v>1.0158293403183621E-2</v>
      </c>
      <c r="F108" s="164"/>
      <c r="G108" s="165"/>
    </row>
    <row r="109" spans="2:7">
      <c r="B109" s="184" t="str">
        <f t="shared" ca="1" si="5"/>
        <v>100M</v>
      </c>
      <c r="C109" s="216">
        <f t="shared" ca="1" si="7"/>
        <v>8.4328767123287669</v>
      </c>
      <c r="D109" s="169">
        <f ca="1">IF(NOT($C$6),"",IF(GetConvertDate(CDSRollDate,B109)&lt;Parameter_Date,0,GetGetDefaultprob($I$6,B109)))</f>
        <v>6.5300245113419142E-2</v>
      </c>
      <c r="E109" s="178">
        <f t="shared" ca="1" si="6"/>
        <v>1.0158293403183132E-2</v>
      </c>
      <c r="F109" s="164"/>
      <c r="G109" s="165"/>
    </row>
    <row r="110" spans="2:7">
      <c r="B110" s="184" t="str">
        <f t="shared" ca="1" si="5"/>
        <v>101M</v>
      </c>
      <c r="C110" s="216">
        <f t="shared" ca="1" si="7"/>
        <v>8.5178082191780824</v>
      </c>
      <c r="D110" s="169">
        <f ca="1">IF(NOT($C$6),"",IF(GetConvertDate(CDSRollDate,B110)&lt;Parameter_Date,0,GetGetDefaultprob($I$6,B110)))</f>
        <v>6.6106318120733643E-2</v>
      </c>
      <c r="E110" s="178">
        <f t="shared" ca="1" si="6"/>
        <v>1.0158293403182313E-2</v>
      </c>
      <c r="F110" s="164"/>
      <c r="G110" s="165"/>
    </row>
    <row r="111" spans="2:7">
      <c r="B111" s="184" t="str">
        <f t="shared" ca="1" si="5"/>
        <v>102M</v>
      </c>
      <c r="C111" s="216">
        <f t="shared" ca="1" si="7"/>
        <v>8.6</v>
      </c>
      <c r="D111" s="169">
        <f ca="1">IF(NOT($C$6),"",IF(GetConvertDate(CDSRollDate,B111)&lt;Parameter_Date,0,GetGetDefaultprob($I$6,B111)))</f>
        <v>6.6885726894338915E-2</v>
      </c>
      <c r="E111" s="178">
        <f t="shared" ca="1" si="6"/>
        <v>1.0158293403183132E-2</v>
      </c>
      <c r="F111" s="164"/>
      <c r="G111" s="165"/>
    </row>
    <row r="112" spans="2:7">
      <c r="B112" s="184" t="str">
        <f t="shared" ca="1" si="5"/>
        <v>103M</v>
      </c>
      <c r="C112" s="216">
        <f t="shared" ca="1" si="7"/>
        <v>8.6849315068493151</v>
      </c>
      <c r="D112" s="169">
        <f ca="1">IF(NOT($C$6),"",IF(GetConvertDate(CDSRollDate,B112)&lt;Parameter_Date,0,GetGetDefaultprob($I$6,B112)))</f>
        <v>6.7690432602624639E-2</v>
      </c>
      <c r="E112" s="178">
        <f t="shared" ca="1" si="6"/>
        <v>1.0158293403183621E-2</v>
      </c>
      <c r="F112" s="164"/>
      <c r="G112" s="165"/>
    </row>
    <row r="113" spans="2:7">
      <c r="B113" s="184" t="str">
        <f t="shared" ca="1" si="5"/>
        <v>104M</v>
      </c>
      <c r="C113" s="216">
        <f t="shared" ca="1" si="7"/>
        <v>8.7698630136986306</v>
      </c>
      <c r="D113" s="169">
        <f ca="1">IF(NOT($C$6),"",IF(GetConvertDate(CDSRollDate,B113)&lt;Parameter_Date,0,GetGetDefaultprob($I$6,B113)))</f>
        <v>6.8494444343091376E-2</v>
      </c>
      <c r="E113" s="178">
        <f t="shared" ca="1" si="6"/>
        <v>1.0158293403183621E-2</v>
      </c>
      <c r="F113" s="164"/>
      <c r="G113" s="165"/>
    </row>
    <row r="114" spans="2:7">
      <c r="B114" s="184" t="str">
        <f t="shared" ca="1" si="5"/>
        <v>105M</v>
      </c>
      <c r="C114" s="216">
        <f t="shared" ca="1" si="7"/>
        <v>8.8465753424657532</v>
      </c>
      <c r="D114" s="169">
        <f ca="1">IF(NOT($C$6),"",IF(GetConvertDate(CDSRollDate,B114)&lt;Parameter_Date,0,GetGetDefaultprob($I$6,B114)))</f>
        <v>6.9220052513440655E-2</v>
      </c>
      <c r="E114" s="178">
        <f t="shared" ca="1" si="6"/>
        <v>1.0158293403183792E-2</v>
      </c>
      <c r="F114" s="164"/>
      <c r="G114" s="165"/>
    </row>
    <row r="115" spans="2:7">
      <c r="B115" s="184" t="str">
        <f t="shared" ca="1" si="5"/>
        <v>106M</v>
      </c>
      <c r="C115" s="216">
        <f t="shared" ca="1" si="7"/>
        <v>8.9315068493150687</v>
      </c>
      <c r="D115" s="169">
        <f ca="1">IF(NOT($C$6),"",IF(GetConvertDate(CDSRollDate,B115)&lt;Parameter_Date,0,GetGetDefaultprob($I$6,B115)))</f>
        <v>7.0022745129434405E-2</v>
      </c>
      <c r="E115" s="178">
        <f t="shared" ca="1" si="6"/>
        <v>1.0158293403183621E-2</v>
      </c>
      <c r="F115" s="164"/>
      <c r="G115" s="165"/>
    </row>
    <row r="116" spans="2:7">
      <c r="B116" s="184" t="str">
        <f t="shared" ca="1" si="5"/>
        <v>107M</v>
      </c>
      <c r="C116" s="216">
        <f t="shared" ca="1" si="7"/>
        <v>9.0136986301369859</v>
      </c>
      <c r="D116" s="169">
        <f ca="1">IF(NOT($C$6),"",IF(GetConvertDate(CDSRollDate,B116)&lt;Parameter_Date,0,GetGetDefaultprob($I$6,B116)))</f>
        <v>7.0798885332290062E-2</v>
      </c>
      <c r="E116" s="178">
        <f t="shared" ca="1" si="6"/>
        <v>1.015829340318178E-2</v>
      </c>
      <c r="F116" s="164"/>
      <c r="G116" s="165"/>
    </row>
    <row r="117" spans="2:7">
      <c r="B117" s="184" t="str">
        <f t="shared" ca="1" si="5"/>
        <v>108M</v>
      </c>
      <c r="C117" s="216">
        <f t="shared" ca="1" si="7"/>
        <v>9.0986301369863014</v>
      </c>
      <c r="D117" s="169">
        <f ca="1">IF(NOT($C$6),"",IF(GetConvertDate(CDSRollDate,B117)&lt;Parameter_Date,0,GetGetDefaultprob($I$6,B117)))</f>
        <v>7.1600216383233994E-2</v>
      </c>
      <c r="E117" s="178">
        <f t="shared" ca="1" si="6"/>
        <v>1.0158293403183621E-2</v>
      </c>
      <c r="F117" s="164"/>
      <c r="G117" s="165"/>
    </row>
    <row r="118" spans="2:7">
      <c r="B118" s="184" t="str">
        <f t="shared" ca="1" si="5"/>
        <v>109M</v>
      </c>
      <c r="C118" s="216">
        <f t="shared" ca="1" si="7"/>
        <v>9.1808219178082187</v>
      </c>
      <c r="D118" s="169">
        <f ca="1">IF(NOT($C$6),"",IF(GetConvertDate(CDSRollDate,B118)&lt;Parameter_Date,0,GetGetDefaultprob($I$6,B118)))</f>
        <v>7.2375040060494555E-2</v>
      </c>
      <c r="E118" s="178">
        <f t="shared" ca="1" si="6"/>
        <v>1.0158293403183132E-2</v>
      </c>
      <c r="F118" s="164"/>
      <c r="G118" s="165"/>
    </row>
    <row r="119" spans="2:7">
      <c r="B119" s="184" t="str">
        <f t="shared" ca="1" si="5"/>
        <v>110M</v>
      </c>
      <c r="C119" s="216">
        <f t="shared" ca="1" si="7"/>
        <v>9.2657534246575342</v>
      </c>
      <c r="D119" s="169">
        <f ca="1">IF(NOT($C$6),"",IF(GetConvertDate(CDSRollDate,B119)&lt;Parameter_Date,0,GetGetDefaultprob($I$6,B119)))</f>
        <v>7.3175011855939442E-2</v>
      </c>
      <c r="E119" s="178">
        <f t="shared" ca="1" si="6"/>
        <v>1.0158293403183621E-2</v>
      </c>
      <c r="F119" s="164"/>
      <c r="G119" s="165"/>
    </row>
    <row r="120" spans="2:7">
      <c r="B120" s="184" t="str">
        <f t="shared" ca="1" si="5"/>
        <v>111M</v>
      </c>
      <c r="C120" s="216">
        <f t="shared" ca="1" si="7"/>
        <v>9.3506849315068497</v>
      </c>
      <c r="D120" s="169">
        <f ca="1">IF(NOT($C$6),"",IF(GetConvertDate(CDSRollDate,B120)&lt;Parameter_Date,0,GetGetDefaultprob($I$6,B120)))</f>
        <v>7.3974293766030708E-2</v>
      </c>
      <c r="E120" s="178">
        <f t="shared" ca="1" si="6"/>
        <v>1.0158293403183621E-2</v>
      </c>
      <c r="F120" s="164"/>
      <c r="G120" s="165"/>
    </row>
    <row r="121" spans="2:7">
      <c r="B121" s="184" t="str">
        <f t="shared" ca="1" si="5"/>
        <v>112M</v>
      </c>
      <c r="C121" s="216">
        <f t="shared" ca="1" si="7"/>
        <v>9.4328767123287669</v>
      </c>
      <c r="D121" s="169">
        <f ca="1">IF(NOT($C$6),"",IF(GetConvertDate(CDSRollDate,B121)&lt;Parameter_Date,0,GetGetDefaultprob($I$6,B121)))</f>
        <v>7.4747136086336874E-2</v>
      </c>
      <c r="E121" s="178">
        <f t="shared" ca="1" si="6"/>
        <v>1.0158293403184485E-2</v>
      </c>
      <c r="F121" s="164"/>
      <c r="G121" s="165"/>
    </row>
    <row r="122" spans="2:7">
      <c r="B122" s="184" t="str">
        <f t="shared" ca="1" si="5"/>
        <v>113M</v>
      </c>
      <c r="C122" s="216">
        <f t="shared" ca="1" si="7"/>
        <v>9.5178082191780824</v>
      </c>
      <c r="D122" s="169">
        <f ca="1">IF(NOT($C$6),"",IF(GetConvertDate(CDSRollDate,B122)&lt;Parameter_Date,0,GetGetDefaultprob($I$6,B122)))</f>
        <v>7.5545062216778369E-2</v>
      </c>
      <c r="E122" s="178">
        <f t="shared" ca="1" si="6"/>
        <v>1.0158293403182313E-2</v>
      </c>
      <c r="F122" s="164"/>
      <c r="G122" s="165"/>
    </row>
    <row r="123" spans="2:7">
      <c r="B123" s="184" t="str">
        <f t="shared" ca="1" si="5"/>
        <v>114M</v>
      </c>
      <c r="C123" s="216">
        <f t="shared" ca="1" si="7"/>
        <v>9.6</v>
      </c>
      <c r="D123" s="169">
        <f ca="1">IF(NOT($C$6),"",IF(GetConvertDate(CDSRollDate,B123)&lt;Parameter_Date,0,GetGetDefaultprob($I$6,B123)))</f>
        <v>7.6316593605513128E-2</v>
      </c>
      <c r="E123" s="178">
        <f t="shared" ca="1" si="6"/>
        <v>1.0158293403183132E-2</v>
      </c>
      <c r="F123" s="164"/>
      <c r="G123" s="165"/>
    </row>
    <row r="124" spans="2:7">
      <c r="B124" s="184" t="str">
        <f t="shared" ca="1" si="5"/>
        <v>115M</v>
      </c>
      <c r="C124" s="216">
        <f t="shared" ca="1" si="7"/>
        <v>9.6849315068493151</v>
      </c>
      <c r="D124" s="169">
        <f ca="1">IF(NOT($C$6),"",IF(GetConvertDate(CDSRollDate,B124)&lt;Parameter_Date,0,GetGetDefaultprob($I$6,B124)))</f>
        <v>7.7113166256042365E-2</v>
      </c>
      <c r="E124" s="178">
        <f t="shared" ca="1" si="6"/>
        <v>1.0158293403183621E-2</v>
      </c>
      <c r="F124" s="164"/>
      <c r="G124" s="165"/>
    </row>
    <row r="125" spans="2:7">
      <c r="B125" s="184" t="str">
        <f t="shared" ca="1" si="5"/>
        <v>116M</v>
      </c>
      <c r="C125" s="216">
        <f t="shared" ca="1" si="7"/>
        <v>9.7698630136986306</v>
      </c>
      <c r="D125" s="169">
        <f ca="1">IF(NOT($C$6),"",IF(GetConvertDate(CDSRollDate,B125)&lt;Parameter_Date,0,GetGetDefaultprob($I$6,B125)))</f>
        <v>7.7909051952596675E-2</v>
      </c>
      <c r="E125" s="178">
        <f t="shared" ca="1" si="6"/>
        <v>1.0158293403183621E-2</v>
      </c>
      <c r="F125" s="164"/>
      <c r="G125" s="165"/>
    </row>
    <row r="126" spans="2:7">
      <c r="B126" s="184" t="str">
        <f t="shared" ca="1" si="5"/>
        <v>117M</v>
      </c>
      <c r="C126" s="216">
        <f t="shared" ca="1" si="7"/>
        <v>9.8465753424657532</v>
      </c>
      <c r="D126" s="169">
        <f ca="1">IF(NOT($C$6),"",IF(GetConvertDate(CDSRollDate,B126)&lt;Parameter_Date,0,GetGetDefaultprob($I$6,B126)))</f>
        <v>7.8627326493897143E-2</v>
      </c>
      <c r="E126" s="178">
        <f t="shared" ca="1" si="6"/>
        <v>1.0158293403183792E-2</v>
      </c>
      <c r="F126" s="164"/>
      <c r="G126" s="165"/>
    </row>
    <row r="127" spans="2:7">
      <c r="B127" s="184" t="str">
        <f t="shared" ca="1" si="5"/>
        <v>118M</v>
      </c>
      <c r="C127" s="216">
        <f t="shared" ca="1" si="7"/>
        <v>9.9315068493150687</v>
      </c>
      <c r="D127" s="169">
        <f ca="1">IF(NOT($C$6),"",IF(GetConvertDate(CDSRollDate,B127)&lt;Parameter_Date,0,GetGetDefaultprob($I$6,B127)))</f>
        <v>7.9421906398200903E-2</v>
      </c>
      <c r="E127" s="178">
        <f t="shared" ca="1" si="6"/>
        <v>1.0158293403183621E-2</v>
      </c>
      <c r="F127" s="164"/>
      <c r="G127" s="165"/>
    </row>
    <row r="128" spans="2:7">
      <c r="B128" s="184" t="str">
        <f t="shared" ca="1" si="5"/>
        <v>119M</v>
      </c>
      <c r="C128" s="216">
        <f t="shared" ca="1" si="7"/>
        <v>10.013698630136986</v>
      </c>
      <c r="D128" s="169">
        <f ca="1">IF(NOT($C$6),"",IF(GetConvertDate(CDSRollDate,B128)&lt;Parameter_Date,0,GetGetDefaultprob($I$6,B128)))</f>
        <v>8.0190202251212983E-2</v>
      </c>
      <c r="E128" s="178">
        <f t="shared" ca="1" si="6"/>
        <v>1.0158293403183132E-2</v>
      </c>
      <c r="F128" s="164"/>
      <c r="G128" s="165"/>
    </row>
    <row r="129" spans="2:7" ht="15.75" thickBot="1">
      <c r="B129" s="185" t="str">
        <f t="shared" ca="1" si="5"/>
        <v>120M</v>
      </c>
      <c r="C129" s="217">
        <f t="shared" ca="1" si="7"/>
        <v>10.098630136986301</v>
      </c>
      <c r="D129" s="179">
        <f ca="1">IF(NOT($C$6),"",IF(GetConvertDate(CDSRollDate,B129)&lt;Parameter_Date,0,GetGetDefaultprob($I$6,B129)))</f>
        <v>8.0983434351630912E-2</v>
      </c>
      <c r="E129" s="218">
        <f t="shared" ca="1" si="6"/>
        <v>1.0158293403183621E-2</v>
      </c>
      <c r="F129" s="164"/>
      <c r="G129" s="165"/>
    </row>
    <row r="130" spans="2:7">
      <c r="B130" s="176"/>
    </row>
  </sheetData>
  <mergeCells count="2">
    <mergeCell ref="I6:K6"/>
    <mergeCell ref="I7:K7"/>
  </mergeCells>
  <dataValidations disablePrompts="1" count="1">
    <dataValidation type="list" allowBlank="1" showInputMessage="1" showErrorMessage="1" sqref="C6" xr:uid="{848E409E-7E16-421D-9137-C13D016B0C6B}">
      <formula1>TrueFalseList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52" r:id="rId3" name="Button 8">
              <controlPr defaultSize="0" print="0" autoFill="0" autoPict="0" macro="[0]!CurrentRegionCalculate">
                <anchor moveWithCells="1" sizeWithCells="1">
                  <from>
                    <xdr:col>3</xdr:col>
                    <xdr:colOff>600075</xdr:colOff>
                    <xdr:row>3</xdr:row>
                    <xdr:rowOff>28575</xdr:rowOff>
                  </from>
                  <to>
                    <xdr:col>6</xdr:col>
                    <xdr:colOff>190500</xdr:colOff>
                    <xdr:row>5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EB9B24-E033-4F9C-B596-6F00D2E5C675}">
  <sheetPr codeName="Sheet18">
    <pageSetUpPr fitToPage="1"/>
  </sheetPr>
  <dimension ref="A4:Z338"/>
  <sheetViews>
    <sheetView showGridLines="0" zoomScaleNormal="100" workbookViewId="0">
      <selection activeCell="J15" sqref="J15"/>
    </sheetView>
  </sheetViews>
  <sheetFormatPr defaultColWidth="11.42578125" defaultRowHeight="11.25"/>
  <cols>
    <col min="1" max="1" width="3.140625" style="232" customWidth="1"/>
    <col min="2" max="2" width="17.140625" style="232" customWidth="1"/>
    <col min="3" max="3" width="20" style="233" customWidth="1"/>
    <col min="4" max="4" width="10.42578125" style="233" bestFit="1" customWidth="1"/>
    <col min="5" max="5" width="10" style="233" bestFit="1" customWidth="1"/>
    <col min="6" max="6" width="7.42578125" style="233" customWidth="1"/>
    <col min="7" max="7" width="9.7109375" style="233" customWidth="1"/>
    <col min="8" max="8" width="11.28515625" style="233" customWidth="1"/>
    <col min="9" max="13" width="24.140625" style="232" customWidth="1"/>
    <col min="14" max="14" width="36.7109375" style="232" customWidth="1"/>
    <col min="15" max="15" width="4.140625" style="232" customWidth="1"/>
    <col min="16" max="16" width="25.140625" style="232" customWidth="1"/>
    <col min="17" max="17" width="23.5703125" style="232" customWidth="1"/>
    <col min="18" max="18" width="23.140625" style="232" customWidth="1"/>
    <col min="19" max="19" width="24.5703125" style="232" customWidth="1"/>
    <col min="20" max="20" width="22.140625" style="232" customWidth="1"/>
    <col min="21" max="21" width="13.140625" style="232" bestFit="1" customWidth="1"/>
    <col min="22" max="23" width="11.42578125" style="232" customWidth="1"/>
    <col min="24" max="24" width="13.140625" style="232" customWidth="1"/>
    <col min="25" max="16384" width="11.42578125" style="232"/>
  </cols>
  <sheetData>
    <row r="4" spans="1:26" ht="12" thickBot="1"/>
    <row r="5" spans="1:26" ht="12" thickBot="1">
      <c r="H5" s="287" t="s">
        <v>423</v>
      </c>
      <c r="I5" s="234" t="b">
        <v>1</v>
      </c>
    </row>
    <row r="6" spans="1:26" ht="12" thickBot="1">
      <c r="B6" s="288" t="s">
        <v>432</v>
      </c>
      <c r="C6" s="235" t="s">
        <v>57</v>
      </c>
    </row>
    <row r="7" spans="1:26" customFormat="1" ht="15.75" thickBot="1">
      <c r="A7" s="232"/>
      <c r="B7" s="288" t="s">
        <v>457</v>
      </c>
      <c r="C7" s="236" cm="1">
        <f t="array" aca="1" ref="C7" ca="1">GetConvertDate([0]!CDSRollDate,C6)</f>
        <v>47289</v>
      </c>
      <c r="D7" s="233"/>
      <c r="E7" s="237"/>
      <c r="F7" s="233"/>
      <c r="G7" s="233"/>
      <c r="I7" s="417"/>
      <c r="J7" s="416"/>
      <c r="K7" s="416"/>
      <c r="L7" s="416"/>
      <c r="M7" s="416"/>
      <c r="N7" s="416"/>
      <c r="P7" s="79"/>
      <c r="Q7" s="79"/>
      <c r="R7" s="79"/>
      <c r="S7" s="468"/>
      <c r="T7" s="79"/>
      <c r="U7" s="79"/>
      <c r="V7" s="79"/>
      <c r="W7" s="79"/>
      <c r="X7" s="79"/>
      <c r="Y7" s="79"/>
      <c r="Z7" s="79"/>
    </row>
    <row r="8" spans="1:26" customFormat="1" ht="15">
      <c r="A8" s="232"/>
      <c r="B8" s="289" t="s">
        <v>82</v>
      </c>
      <c r="C8" s="238" t="s">
        <v>66</v>
      </c>
      <c r="D8" s="233"/>
      <c r="E8" s="414"/>
      <c r="F8" s="233"/>
      <c r="G8" s="233"/>
      <c r="H8" s="331" t="s">
        <v>435</v>
      </c>
      <c r="I8" s="418" t="str" cm="1">
        <f t="array" aca="1" ref="I8:N114" ca="1">IF(NOT($I$5),"",GETCDO(C6,C19:C20,C21:C22,G39:G338,C8,C17,C39:C338,D39:D338,C12,C13,C14,C15,C9,C10,E39:E338,F39:F338,C24,C25,C27,C29:C31,C36,C33,,C34))</f>
        <v>0,178428326186171</v>
      </c>
      <c r="J8" s="419" t="str">
        <f ca="1"/>
        <v>0,0594761087287237</v>
      </c>
      <c r="K8" s="428" t="str">
        <f ca="1"/>
        <v>0</v>
      </c>
      <c r="L8" s="428" t="str">
        <f ca="1"/>
        <v>0</v>
      </c>
      <c r="M8" s="429" t="str">
        <f ca="1"/>
        <v>0</v>
      </c>
      <c r="N8" s="430" t="str">
        <f ca="1"/>
        <v>0</v>
      </c>
      <c r="P8" s="79"/>
      <c r="Q8" s="79"/>
      <c r="R8" s="79"/>
      <c r="S8" s="79"/>
      <c r="T8" s="79"/>
      <c r="U8" s="79"/>
      <c r="V8" s="79"/>
      <c r="W8" s="79"/>
      <c r="X8" s="79"/>
      <c r="Y8" s="79"/>
      <c r="Z8" s="79"/>
    </row>
    <row r="9" spans="1:26" customFormat="1" ht="15.75" thickBot="1">
      <c r="A9" s="232"/>
      <c r="B9" s="289" t="s">
        <v>437</v>
      </c>
      <c r="C9" s="239">
        <v>-0.05</v>
      </c>
      <c r="D9" s="233"/>
      <c r="E9" s="233"/>
      <c r="F9" s="233"/>
      <c r="G9" s="233"/>
      <c r="H9" s="405" t="s">
        <v>436</v>
      </c>
      <c r="I9" s="420" t="str">
        <f ca="1"/>
        <v>0,766709052682946</v>
      </c>
      <c r="J9" s="421" t="str">
        <f ca="1"/>
        <v>0,255569684227649</v>
      </c>
      <c r="K9" s="431" t="str">
        <f ca="1"/>
        <v>0</v>
      </c>
      <c r="L9" s="431" t="str">
        <f ca="1"/>
        <v>0</v>
      </c>
      <c r="M9" s="351" t="str">
        <f ca="1"/>
        <v>0</v>
      </c>
      <c r="N9" s="432" t="str">
        <f ca="1"/>
        <v>0</v>
      </c>
      <c r="P9" s="79"/>
      <c r="Q9" s="79"/>
      <c r="R9" s="79"/>
      <c r="S9" s="79"/>
      <c r="T9" s="79"/>
      <c r="U9" s="79"/>
      <c r="V9" s="79"/>
      <c r="W9" s="79"/>
      <c r="X9" s="79"/>
      <c r="Y9" s="79"/>
      <c r="Z9" s="79"/>
    </row>
    <row r="10" spans="1:26" customFormat="1" ht="15.75" thickBot="1">
      <c r="A10" s="232"/>
      <c r="B10" s="290" t="s">
        <v>439</v>
      </c>
      <c r="C10" s="240">
        <v>0.1</v>
      </c>
      <c r="D10" s="233"/>
      <c r="E10" s="232"/>
      <c r="F10" s="233"/>
      <c r="G10" s="233"/>
      <c r="H10" s="405" t="s">
        <v>438</v>
      </c>
      <c r="I10" s="422" t="str">
        <f ca="1"/>
        <v>0,588280726496775</v>
      </c>
      <c r="J10" s="421" t="str">
        <f ca="1"/>
        <v>0,196093575498925</v>
      </c>
      <c r="K10" s="431" t="str">
        <f ca="1"/>
        <v>0</v>
      </c>
      <c r="L10" s="431" t="str">
        <f ca="1"/>
        <v>0</v>
      </c>
      <c r="M10" s="351" t="str">
        <f ca="1"/>
        <v>0</v>
      </c>
      <c r="N10" s="432" t="str">
        <f ca="1"/>
        <v>0</v>
      </c>
      <c r="P10" s="79"/>
      <c r="Q10" s="79"/>
      <c r="R10" s="79"/>
      <c r="S10" s="79"/>
      <c r="T10" s="79"/>
      <c r="U10" s="465" t="s">
        <v>434</v>
      </c>
      <c r="V10" s="466">
        <f ca="1">C29</f>
        <v>0</v>
      </c>
      <c r="W10" s="79"/>
      <c r="X10" s="465" t="s">
        <v>506</v>
      </c>
      <c r="Y10" s="466">
        <v>0.95</v>
      </c>
      <c r="Z10" s="79"/>
    </row>
    <row r="11" spans="1:26" customFormat="1" ht="15.75" thickBot="1">
      <c r="A11" s="232"/>
      <c r="B11" s="232"/>
      <c r="C11" s="232"/>
      <c r="D11" s="233"/>
      <c r="E11" s="233"/>
      <c r="F11" s="233"/>
      <c r="H11" s="405" t="s">
        <v>440</v>
      </c>
      <c r="I11" s="423" t="str">
        <f ca="1"/>
        <v>0,0651652364381131</v>
      </c>
      <c r="J11" s="423" t="str">
        <f ca="1"/>
        <v>0,0651652364381131</v>
      </c>
      <c r="K11" s="431" t="str">
        <f ca="1"/>
        <v>0</v>
      </c>
      <c r="L11" s="431" t="str">
        <f ca="1"/>
        <v>0</v>
      </c>
      <c r="M11" s="351" t="str">
        <f ca="1"/>
        <v>0</v>
      </c>
      <c r="N11" s="432" t="str">
        <f ca="1"/>
        <v>0</v>
      </c>
      <c r="P11" s="79"/>
      <c r="Q11" s="79"/>
      <c r="R11" s="79"/>
      <c r="S11" s="79"/>
      <c r="T11" s="79"/>
      <c r="U11" s="442" t="s">
        <v>507</v>
      </c>
      <c r="V11" s="467">
        <f ca="1">SUM(V15:V314)</f>
        <v>-0.18725090056466981</v>
      </c>
      <c r="W11" s="79"/>
      <c r="X11" s="442" t="s">
        <v>507</v>
      </c>
      <c r="Y11" s="467">
        <f ca="1">SUM(Y15:Y314)</f>
        <v>-9.8881700552895177E-3</v>
      </c>
      <c r="Z11" s="79"/>
    </row>
    <row r="12" spans="1:26" customFormat="1" ht="15">
      <c r="A12" s="232"/>
      <c r="B12" s="288" t="s">
        <v>434</v>
      </c>
      <c r="C12" s="241">
        <v>0.05</v>
      </c>
      <c r="D12" s="233"/>
      <c r="E12" s="233"/>
      <c r="F12" s="233"/>
      <c r="G12" s="233"/>
      <c r="H12" s="405" t="s">
        <v>497</v>
      </c>
      <c r="I12" s="424" t="str">
        <f ca="1"/>
        <v>3,9218715099785</v>
      </c>
      <c r="J12" s="424" t="str">
        <f ca="1"/>
        <v>3,9218715099785</v>
      </c>
      <c r="K12" s="431" t="str">
        <f ca="1"/>
        <v>0</v>
      </c>
      <c r="L12" s="431" t="str">
        <f ca="1"/>
        <v>0</v>
      </c>
      <c r="M12" s="351" t="str">
        <f ca="1"/>
        <v>0</v>
      </c>
      <c r="N12" s="432" t="str">
        <f ca="1"/>
        <v>0</v>
      </c>
      <c r="P12" s="302" t="s">
        <v>423</v>
      </c>
      <c r="Q12" s="197" t="b">
        <v>1</v>
      </c>
      <c r="R12" s="79"/>
      <c r="S12" s="79"/>
      <c r="T12" s="79"/>
      <c r="U12" s="442" t="s">
        <v>498</v>
      </c>
      <c r="V12" s="443">
        <f ca="1">$J$8+V11</f>
        <v>-0.12777479183594612</v>
      </c>
      <c r="W12" s="79"/>
      <c r="X12" s="442" t="s">
        <v>498</v>
      </c>
      <c r="Y12" s="443">
        <f ca="1">$J$8+Y11</f>
        <v>4.9587938673434181E-2</v>
      </c>
      <c r="Z12" s="79"/>
    </row>
    <row r="13" spans="1:26" customFormat="1" ht="15.75" thickBot="1">
      <c r="A13" s="232"/>
      <c r="B13" s="289" t="s">
        <v>458</v>
      </c>
      <c r="C13" s="238" t="s">
        <v>459</v>
      </c>
      <c r="D13" s="233"/>
      <c r="E13" s="233" t="s">
        <v>75</v>
      </c>
      <c r="F13" s="233"/>
      <c r="G13" s="233"/>
      <c r="H13" s="405" t="s">
        <v>443</v>
      </c>
      <c r="I13" s="425" t="str">
        <f ca="1"/>
        <v>00:00:01.1157069</v>
      </c>
      <c r="J13" s="425" t="str">
        <f ca="1"/>
        <v>00:00:01.1157069</v>
      </c>
      <c r="K13" s="433" t="str">
        <f ca="1"/>
        <v>Leverage=</v>
      </c>
      <c r="L13" s="434" t="str">
        <f ca="1"/>
        <v>11,4194124778501</v>
      </c>
      <c r="M13" s="351" t="str">
        <f ca="1"/>
        <v>0</v>
      </c>
      <c r="N13" s="432" t="str">
        <f ca="1"/>
        <v>0</v>
      </c>
      <c r="P13" s="306" t="s">
        <v>499</v>
      </c>
      <c r="Q13" s="444" t="str">
        <f ca="1">L13</f>
        <v>11,4194124778501</v>
      </c>
      <c r="R13" s="445"/>
      <c r="S13" s="79"/>
      <c r="T13" s="79"/>
      <c r="U13" s="446" t="s">
        <v>500</v>
      </c>
      <c r="V13" s="447">
        <f ca="1">V12*(C20-C21)</f>
        <v>-0.3322144587734599</v>
      </c>
      <c r="W13" s="79"/>
      <c r="X13" s="442" t="s">
        <v>500</v>
      </c>
      <c r="Y13" s="448">
        <f ca="1">Y12*(C20-C21)</f>
        <v>0.12892864055092887</v>
      </c>
      <c r="Z13" s="79"/>
    </row>
    <row r="14" spans="1:26" customFormat="1" ht="15.75" thickBot="1">
      <c r="A14" s="232"/>
      <c r="B14" s="289" t="s">
        <v>461</v>
      </c>
      <c r="C14" s="238" t="s">
        <v>445</v>
      </c>
      <c r="D14" s="233"/>
      <c r="E14" s="233"/>
      <c r="F14" s="233"/>
      <c r="G14" s="233"/>
      <c r="H14" s="405" t="s">
        <v>460</v>
      </c>
      <c r="I14" s="426" t="str">
        <f ca="1"/>
        <v>dPV</v>
      </c>
      <c r="J14" s="427" t="str">
        <f ca="1"/>
        <v>dHedge</v>
      </c>
      <c r="K14" s="427" t="str">
        <f ca="1"/>
        <v>delta not. (Hedge Crncy)</v>
      </c>
      <c r="L14" s="426" t="str">
        <f ca="1"/>
        <v>delta not. (Product CCY)</v>
      </c>
      <c r="M14" s="426" t="str">
        <f ca="1"/>
        <v>dPV(dBeta)</v>
      </c>
      <c r="N14" s="435" t="str">
        <f ca="1"/>
        <v>Name</v>
      </c>
      <c r="P14" s="449" t="s">
        <v>501</v>
      </c>
      <c r="Q14" s="356" t="s">
        <v>436</v>
      </c>
      <c r="R14" s="450" t="s">
        <v>438</v>
      </c>
      <c r="S14" s="450" t="s">
        <v>440</v>
      </c>
      <c r="T14" s="450" t="s">
        <v>441</v>
      </c>
      <c r="U14" s="446" t="s">
        <v>502</v>
      </c>
      <c r="V14" s="451" t="s">
        <v>503</v>
      </c>
      <c r="W14" s="452" t="s">
        <v>504</v>
      </c>
      <c r="X14" s="453" t="s">
        <v>505</v>
      </c>
      <c r="Y14" s="454" t="s">
        <v>503</v>
      </c>
      <c r="Z14" s="79"/>
    </row>
    <row r="15" spans="1:26" customFormat="1" ht="15.75" thickBot="1">
      <c r="A15" s="232"/>
      <c r="B15" s="290" t="s">
        <v>462</v>
      </c>
      <c r="C15" s="242"/>
      <c r="D15" s="233"/>
      <c r="E15" s="233"/>
      <c r="F15" s="233"/>
      <c r="G15" s="233"/>
      <c r="H15" s="405">
        <v>1</v>
      </c>
      <c r="I15" s="424" t="str">
        <f ca="1"/>
        <v>0,000337096005140159</v>
      </c>
      <c r="J15" s="424" t="str">
        <f ca="1"/>
        <v>0,000920551655870005</v>
      </c>
      <c r="K15" s="436" t="str">
        <f ca="1"/>
        <v>0,366189124739092</v>
      </c>
      <c r="L15" s="436" t="str">
        <f ca="1"/>
        <v>0,366189124739092</v>
      </c>
      <c r="M15" s="436" t="str">
        <f ca="1"/>
        <v>-0,00021816793178493</v>
      </c>
      <c r="N15" s="437" t="str">
        <f ca="1"/>
        <v>ABNAMRO_MMR.EUR.SU</v>
      </c>
      <c r="P15" s="455" t="str" cm="1">
        <f t="array" aca="1" ref="P15:T15" ca="1">IF(AND($Q$12,B39&lt;=$C$17,C39&lt;&gt;""),TRANSPOSE(INDEX(GetCDS(C39,$C$6,$C$29,F39,D39,$C$13,$C$14,$C$15,$C$8,,,TRUE,TRUE,FALSE,$C$29:$C$31,$C$33),{1;2;3;4;5})),"")</f>
        <v>0</v>
      </c>
      <c r="Q15" s="456" t="str">
        <f ca="1"/>
        <v>0,018150640499075</v>
      </c>
      <c r="R15" s="456" t="str">
        <f ca="1"/>
        <v>0,018150640499075</v>
      </c>
      <c r="S15" s="457" t="str">
        <f ca="1"/>
        <v>0,00415464586288723</v>
      </c>
      <c r="T15" s="458" t="str">
        <f ca="1"/>
        <v>4,36875755433494</v>
      </c>
      <c r="U15" s="459">
        <f ca="1">IF($Q$12,IF(P15="","",$Q$13*D39/$C$18),"")</f>
        <v>0.11419412477850101</v>
      </c>
      <c r="V15" s="460">
        <f ca="1">IF($Q$12,IF(U15="","",U15*($V$10-S15)*T15),"")</f>
        <v>-2.0726965059610835E-3</v>
      </c>
      <c r="W15" s="459">
        <f ca="1">IF($Q$12,IF(OR(P15="",L15=""),"",L15/($C$20-$C$19)),"")</f>
        <v>0.12206304157969733</v>
      </c>
      <c r="X15" s="461">
        <f ca="1">IF($Q$12,IF(S15="","",S15*$Y$10),"")</f>
        <v>3.9469135697428681E-3</v>
      </c>
      <c r="Y15" s="460">
        <f ca="1">IF($Q$12,IF(W15="","",W15*(X15-S15)*T15),"")</f>
        <v>-1.1077611929683651E-4</v>
      </c>
      <c r="Z15" s="136">
        <f ca="1">W15-U15</f>
        <v>7.8689168011963212E-3</v>
      </c>
    </row>
    <row r="16" spans="1:26" customFormat="1" ht="15.75" thickBot="1">
      <c r="A16" s="232"/>
      <c r="B16" s="232"/>
      <c r="C16" s="233"/>
      <c r="D16" s="233"/>
      <c r="E16" s="233"/>
      <c r="F16" s="233"/>
      <c r="G16" s="233"/>
      <c r="H16" s="405">
        <v>2</v>
      </c>
      <c r="I16" s="424" t="str">
        <f ca="1"/>
        <v>0,00028572674645404</v>
      </c>
      <c r="J16" s="424" t="str">
        <f ca="1"/>
        <v>0,000830342487570713</v>
      </c>
      <c r="K16" s="436" t="str">
        <f ca="1"/>
        <v>0,34410710126369</v>
      </c>
      <c r="L16" s="436" t="str">
        <f ca="1"/>
        <v>0,34410710126369</v>
      </c>
      <c r="M16" s="436" t="str">
        <f ca="1"/>
        <v>-0,000193729484154015</v>
      </c>
      <c r="N16" s="437" t="str">
        <f ca="1"/>
        <v>ACCOR_MMR.EUR.SU</v>
      </c>
      <c r="P16" s="455" t="str" cm="1">
        <f t="array" aca="1" ref="P16:T16" ca="1">IF(AND($Q$12,B40&lt;=$C$17,C40&lt;&gt;""),TRANSPOSE(INDEX(GetCDS(C40,$C$6,$C$29,F40,D40,$C$13,$C$14,$C$15,$C$8,,,TRUE,TRUE,FALSE,$C$29:$C$31,$C$33),{1;2;3;4;5})),"")</f>
        <v>0</v>
      </c>
      <c r="Q16" s="456" t="str">
        <f ca="1"/>
        <v>0,0163823153239926</v>
      </c>
      <c r="R16" s="456" t="str">
        <f ca="1"/>
        <v>0,0163823153239926</v>
      </c>
      <c r="S16" s="457" t="str">
        <f ca="1"/>
        <v>0,0037393876759593</v>
      </c>
      <c r="T16" s="458" t="str">
        <f ca="1"/>
        <v>4,38101548799427</v>
      </c>
      <c r="U16" s="459">
        <f ca="1">IF($Q$12,IF(P16="","",$Q$13*D40/$C$18),"")</f>
        <v>0.11419412477850101</v>
      </c>
      <c r="V16" s="460">
        <f t="shared" ref="V16:V79" ca="1" si="0">IF($Q$12,IF(U16="","",U16*($V$10-S16)*T16),"")</f>
        <v>-1.8707641602687594E-3</v>
      </c>
      <c r="W16" s="459">
        <f t="shared" ref="W16:W79" ca="1" si="1">IF($Q$12,IF(OR(P16="",L16=""),"",L16/($C$20-$C$19)),"")</f>
        <v>0.11470236708789666</v>
      </c>
      <c r="X16" s="461">
        <f t="shared" ref="X16:X79" ca="1" si="2">IF($Q$12,IF(S16="","",S16*$Y$10),"")</f>
        <v>3.552418292161335E-3</v>
      </c>
      <c r="Y16" s="460">
        <f t="shared" ref="Y16:Y79" ca="1" si="3">IF($Q$12,IF(W16="","",W16*(X16-S16)*T16),"")</f>
        <v>-9.3954517302113718E-5</v>
      </c>
      <c r="Z16" s="79"/>
    </row>
    <row r="17" spans="1:26" customFormat="1" ht="15">
      <c r="A17" s="232"/>
      <c r="B17" s="288" t="s">
        <v>463</v>
      </c>
      <c r="C17" s="243">
        <f ca="1">COUNTA(C39:C338)</f>
        <v>100</v>
      </c>
      <c r="D17" s="233"/>
      <c r="E17" s="232"/>
      <c r="F17" s="233"/>
      <c r="G17" s="233"/>
      <c r="H17" s="405">
        <v>3</v>
      </c>
      <c r="I17" s="424" t="str">
        <f ca="1"/>
        <v>0,00033196310314092</v>
      </c>
      <c r="J17" s="424" t="str">
        <f ca="1"/>
        <v>0,000920099481983807</v>
      </c>
      <c r="K17" s="436" t="str">
        <f ca="1"/>
        <v>0,360790446729936</v>
      </c>
      <c r="L17" s="436" t="str">
        <f ca="1"/>
        <v>0,360790446729936</v>
      </c>
      <c r="M17" s="436" t="str">
        <f ca="1"/>
        <v>-0,00021591910660963</v>
      </c>
      <c r="N17" s="437" t="str">
        <f ca="1"/>
        <v>ADECCO_MMR.EUR.SU</v>
      </c>
      <c r="P17" s="455" t="str" cm="1">
        <f t="array" aca="1" ref="P17:T17" ca="1">IF(AND($Q$12,B41&lt;=$C$17,C41&lt;&gt;""),TRANSPOSE(INDEX(GetCDS(C41,$C$6,$C$29,F41,D41,$C$13,$C$14,$C$15,$C$8,,,TRUE,TRUE,FALSE,$C$29:$C$31,$C$33),{1;2;3;4;5})),"")</f>
        <v>0</v>
      </c>
      <c r="Q17" s="456" t="str">
        <f ca="1"/>
        <v>0,0181783996086431</v>
      </c>
      <c r="R17" s="456" t="str">
        <f ca="1"/>
        <v>0,0181783996086431</v>
      </c>
      <c r="S17" s="457" t="str">
        <f ca="1"/>
        <v>0,00415446346388502</v>
      </c>
      <c r="T17" s="458" t="str">
        <f ca="1"/>
        <v>4,37563111739192</v>
      </c>
      <c r="U17" s="459">
        <f t="shared" ref="U17:U79" ca="1" si="4">IF($Q$12,IF(P17="","",$Q$13*D41/$C$18),"")</f>
        <v>0.11419412477850101</v>
      </c>
      <c r="V17" s="460">
        <f t="shared" ca="1" si="0"/>
        <v>-2.0758664331828459E-3</v>
      </c>
      <c r="W17" s="459">
        <f t="shared" ca="1" si="1"/>
        <v>0.120263482243312</v>
      </c>
      <c r="X17" s="461">
        <f t="shared" ca="1" si="2"/>
        <v>3.946740290690769E-3</v>
      </c>
      <c r="Y17" s="460">
        <f t="shared" ca="1" si="3"/>
        <v>-1.0930988192729426E-4</v>
      </c>
      <c r="Z17" s="79"/>
    </row>
    <row r="18" spans="1:26" customFormat="1" ht="15">
      <c r="A18" s="232"/>
      <c r="B18" s="289" t="s">
        <v>464</v>
      </c>
      <c r="C18" s="244">
        <f ca="1">SUM(OFFSET(D38,1,0,C17))</f>
        <v>100</v>
      </c>
      <c r="D18" s="233"/>
      <c r="E18" s="233"/>
      <c r="F18" s="233"/>
      <c r="G18" s="245"/>
      <c r="H18" s="405">
        <v>4</v>
      </c>
      <c r="I18" s="424" t="str">
        <f ca="1"/>
        <v>0,000312729251714417</v>
      </c>
      <c r="J18" s="424" t="str">
        <f ca="1"/>
        <v>0,000875711313358242</v>
      </c>
      <c r="K18" s="436" t="str">
        <f ca="1"/>
        <v>0,357114550130842</v>
      </c>
      <c r="L18" s="436" t="str">
        <f ca="1"/>
        <v>0,357114550130842</v>
      </c>
      <c r="M18" s="436" t="str">
        <f ca="1"/>
        <v>-0,000206897052493038</v>
      </c>
      <c r="N18" s="437" t="str">
        <f ca="1"/>
        <v>AEGON_MMR.EUR.SU</v>
      </c>
      <c r="P18" s="455" t="str" cm="1">
        <f t="array" aca="1" ref="P18:T18" ca="1">IF(AND($Q$12,B42&lt;=$C$17,C42&lt;&gt;""),TRANSPOSE(INDEX(GetCDS(C42,$C$6,$C$29,F42,D42,$C$13,$C$14,$C$15,$C$8,,,TRUE,TRUE,FALSE,$C$29:$C$31,$C$33),{1;2;3;4;5})),"")</f>
        <v>0</v>
      </c>
      <c r="Q18" s="456" t="str">
        <f ca="1"/>
        <v>0,0172584488577764</v>
      </c>
      <c r="R18" s="456" t="str">
        <f ca="1"/>
        <v>0,0172584488577764</v>
      </c>
      <c r="S18" s="457" t="str">
        <f ca="1"/>
        <v>0,00394707852048307</v>
      </c>
      <c r="T18" s="458" t="str">
        <f ca="1"/>
        <v>4,37246149733657</v>
      </c>
      <c r="U18" s="459">
        <f t="shared" ca="1" si="4"/>
        <v>0.11419412477850101</v>
      </c>
      <c r="V18" s="460">
        <f t="shared" ca="1" si="0"/>
        <v>-1.9708134623482986E-3</v>
      </c>
      <c r="W18" s="459">
        <f t="shared" ca="1" si="1"/>
        <v>0.11903818337694733</v>
      </c>
      <c r="X18" s="461">
        <f t="shared" ca="1" si="2"/>
        <v>3.7497245944589168E-3</v>
      </c>
      <c r="Y18" s="460">
        <f t="shared" ca="1" si="3"/>
        <v>-1.0272071999668284E-4</v>
      </c>
      <c r="Z18" s="79"/>
    </row>
    <row r="19" spans="1:26" customFormat="1" ht="15">
      <c r="A19" s="232"/>
      <c r="B19" s="289" t="s">
        <v>465</v>
      </c>
      <c r="C19" s="246">
        <v>0</v>
      </c>
      <c r="D19" s="247"/>
      <c r="E19" s="233"/>
      <c r="F19" s="233"/>
      <c r="G19" s="248"/>
      <c r="H19" s="405">
        <v>5</v>
      </c>
      <c r="I19" s="424" t="str">
        <f ca="1"/>
        <v>0,000172981299881769</v>
      </c>
      <c r="J19" s="424" t="str">
        <f ca="1"/>
        <v>0,000583003831669929</v>
      </c>
      <c r="K19" s="436" t="str">
        <f ca="1"/>
        <v>0,296706969122809</v>
      </c>
      <c r="L19" s="436" t="str">
        <f ca="1"/>
        <v>0,296706969122809</v>
      </c>
      <c r="M19" s="436" t="str">
        <f ca="1"/>
        <v>-0,000131055406172687</v>
      </c>
      <c r="N19" s="437" t="str">
        <f ca="1"/>
        <v>AKZONOBEL_MMR.EUR.SU</v>
      </c>
      <c r="P19" s="455" t="str" cm="1">
        <f t="array" aca="1" ref="P19:T19" ca="1">IF(AND($Q$12,B43&lt;=$C$17,C43&lt;&gt;""),TRANSPOSE(INDEX(GetCDS(C43,$C$6,$C$29,F43,D43,$C$13,$C$14,$C$15,$C$8,,,TRUE,TRUE,FALSE,$C$29:$C$31,$C$33),{1;2;3;4;5})),"")</f>
        <v>0</v>
      </c>
      <c r="Q19" s="456" t="str">
        <f ca="1"/>
        <v>0,011415857334611</v>
      </c>
      <c r="R19" s="456" t="str">
        <f ca="1"/>
        <v>0,011415857334611</v>
      </c>
      <c r="S19" s="457" t="str">
        <f ca="1"/>
        <v>0,00259748719754275</v>
      </c>
      <c r="T19" s="458" t="str">
        <f ca="1"/>
        <v>4,39496192528322</v>
      </c>
      <c r="U19" s="459">
        <f t="shared" ca="1" si="4"/>
        <v>0.11419412477850101</v>
      </c>
      <c r="V19" s="460">
        <f t="shared" ca="1" si="0"/>
        <v>-1.3036238369221345E-3</v>
      </c>
      <c r="W19" s="459">
        <f t="shared" ca="1" si="1"/>
        <v>9.8902323040936324E-2</v>
      </c>
      <c r="X19" s="461">
        <f t="shared" ca="1" si="2"/>
        <v>2.4676128376656123E-3</v>
      </c>
      <c r="Y19" s="460">
        <f t="shared" ca="1" si="3"/>
        <v>-5.645274049484698E-5</v>
      </c>
      <c r="Z19" s="79"/>
    </row>
    <row r="20" spans="1:26" customFormat="1" ht="15">
      <c r="A20" s="232"/>
      <c r="B20" s="289" t="s">
        <v>466</v>
      </c>
      <c r="C20" s="246">
        <v>3</v>
      </c>
      <c r="D20" s="247"/>
      <c r="E20" s="233"/>
      <c r="F20" s="233"/>
      <c r="G20" s="248"/>
      <c r="H20" s="405">
        <v>6</v>
      </c>
      <c r="I20" s="424" t="str">
        <f ca="1"/>
        <v>0,000246338930091339</v>
      </c>
      <c r="J20" s="424" t="str">
        <f ca="1"/>
        <v>0,000740997413190893</v>
      </c>
      <c r="K20" s="436" t="str">
        <f ca="1"/>
        <v>0,332442361749349</v>
      </c>
      <c r="L20" s="436" t="str">
        <f ca="1"/>
        <v>0,332442361749349</v>
      </c>
      <c r="M20" s="436" t="str">
        <f ca="1"/>
        <v>-0,000173785323244191</v>
      </c>
      <c r="N20" s="437" t="str">
        <f ca="1"/>
        <v>ALLIANZ_MMR.EUR.SU</v>
      </c>
      <c r="P20" s="455" t="str" cm="1">
        <f t="array" aca="1" ref="P20:T20" ca="1">IF(AND($Q$12,B44&lt;=$C$17,C44&lt;&gt;""),TRANSPOSE(INDEX(GetCDS(C44,$C$6,$C$29,F44,D44,$C$13,$C$14,$C$15,$C$8,,,TRUE,TRUE,FALSE,$C$29:$C$31,$C$33),{1;2;3;4;5})),"")</f>
        <v>0</v>
      </c>
      <c r="Q20" s="456" t="str">
        <f ca="1"/>
        <v>0,0145584141205244</v>
      </c>
      <c r="R20" s="456" t="str">
        <f ca="1"/>
        <v>0,0145584141205244</v>
      </c>
      <c r="S20" s="457" t="str">
        <f ca="1"/>
        <v>0,00332435261468685</v>
      </c>
      <c r="T20" s="458" t="str">
        <f ca="1"/>
        <v>4,37932307668144</v>
      </c>
      <c r="U20" s="459">
        <f t="shared" ca="1" si="4"/>
        <v>0.11419412477850101</v>
      </c>
      <c r="V20" s="460">
        <f t="shared" ca="1" si="0"/>
        <v>-1.6624853586562549E-3</v>
      </c>
      <c r="W20" s="459">
        <f t="shared" ca="1" si="1"/>
        <v>0.11081412058311634</v>
      </c>
      <c r="X20" s="461">
        <f t="shared" ca="1" si="2"/>
        <v>3.1581349839525075E-3</v>
      </c>
      <c r="Y20" s="460">
        <f t="shared" ca="1" si="3"/>
        <v>-8.0663892892536787E-5</v>
      </c>
      <c r="Z20" s="79"/>
    </row>
    <row r="21" spans="1:26" customFormat="1" ht="15">
      <c r="A21" s="232"/>
      <c r="B21" s="289" t="s">
        <v>467</v>
      </c>
      <c r="C21" s="249">
        <v>0.4</v>
      </c>
      <c r="D21" s="233"/>
      <c r="E21" s="233"/>
      <c r="F21" s="233"/>
      <c r="G21" s="250"/>
      <c r="H21" s="405">
        <v>7</v>
      </c>
      <c r="I21" s="424" t="str">
        <f ca="1"/>
        <v>0,000543567777311216</v>
      </c>
      <c r="J21" s="424" t="str">
        <f ca="1"/>
        <v>0,00129527124200453</v>
      </c>
      <c r="K21" s="436" t="str">
        <f ca="1"/>
        <v>0,419655559147599</v>
      </c>
      <c r="L21" s="436" t="str">
        <f ca="1"/>
        <v>0,419655559147599</v>
      </c>
      <c r="M21" s="436" t="str">
        <f ca="1"/>
        <v>-0,000303049561205215</v>
      </c>
      <c r="N21" s="437" t="str">
        <f ca="1"/>
        <v>ALTADIS_MMR.EUR.SU</v>
      </c>
      <c r="P21" s="455" t="str" cm="1">
        <f t="array" aca="1" ref="P21:T21" ca="1">IF(AND($Q$12,B45&lt;=$C$17,C45&lt;&gt;""),TRANSPOSE(INDEX(GetCDS(C45,$C$6,$C$29,F45,D45,$C$13,$C$14,$C$15,$C$8,,,TRUE,TRUE,FALSE,$C$29:$C$31,$C$33),{1;2;3;4;5})),"")</f>
        <v>0</v>
      </c>
      <c r="Q21" s="456" t="str">
        <f ca="1"/>
        <v>0,0257907135137107</v>
      </c>
      <c r="R21" s="456" t="str">
        <f ca="1"/>
        <v>0,0257907135137107</v>
      </c>
      <c r="S21" s="457" t="str">
        <f ca="1"/>
        <v>0,00591763949247225</v>
      </c>
      <c r="T21" s="458" t="str">
        <f ca="1"/>
        <v>4,3582772398553</v>
      </c>
      <c r="U21" s="459">
        <f t="shared" ca="1" si="4"/>
        <v>0.11419412477850101</v>
      </c>
      <c r="V21" s="460">
        <f t="shared" ca="1" si="0"/>
        <v>-2.9451479571112492E-3</v>
      </c>
      <c r="W21" s="459">
        <f t="shared" ca="1" si="1"/>
        <v>0.139885186382533</v>
      </c>
      <c r="X21" s="461">
        <f t="shared" ca="1" si="2"/>
        <v>5.621757517848637E-3</v>
      </c>
      <c r="Y21" s="460">
        <f t="shared" ca="1" si="3"/>
        <v>-1.8038693834019696E-4</v>
      </c>
      <c r="Z21" s="79"/>
    </row>
    <row r="22" spans="1:26" customFormat="1" ht="15.75" thickBot="1">
      <c r="A22" s="232"/>
      <c r="B22" s="290" t="s">
        <v>468</v>
      </c>
      <c r="C22" s="251">
        <v>0.5</v>
      </c>
      <c r="D22" s="233"/>
      <c r="E22" s="233"/>
      <c r="F22" s="233"/>
      <c r="G22" s="250"/>
      <c r="H22" s="405">
        <v>8</v>
      </c>
      <c r="I22" s="424" t="str">
        <f ca="1"/>
        <v>0,000479735399738046</v>
      </c>
      <c r="J22" s="424" t="str">
        <f ca="1"/>
        <v>0,0011856147954694</v>
      </c>
      <c r="K22" s="436" t="str">
        <f ca="1"/>
        <v>0,404630071732626</v>
      </c>
      <c r="L22" s="436" t="str">
        <f ca="1"/>
        <v>0,404630071732626</v>
      </c>
      <c r="M22" s="436" t="str">
        <f ca="1"/>
        <v>-0,000278869770812151</v>
      </c>
      <c r="N22" s="437" t="str">
        <f ca="1"/>
        <v>ARCELORFINANCESCA_MMR.EUR.SU</v>
      </c>
      <c r="P22" s="455" t="str" cm="1">
        <f t="array" aca="1" ref="P22:T22" ca="1">IF(AND($Q$12,B46&lt;=$C$17,C46&lt;&gt;""),TRANSPOSE(INDEX(GetCDS(C46,$C$6,$C$29,F46,D46,$C$13,$C$14,$C$15,$C$8,,,TRUE,TRUE,FALSE,$C$29:$C$31,$C$33),{1;2;3;4;5})),"")</f>
        <v>0</v>
      </c>
      <c r="Q22" s="456" t="str">
        <f ca="1"/>
        <v>0,023549391628362</v>
      </c>
      <c r="R22" s="456" t="str">
        <f ca="1"/>
        <v>0,023549391628362</v>
      </c>
      <c r="S22" s="457" t="str">
        <f ca="1"/>
        <v>0,00539930063019066</v>
      </c>
      <c r="T22" s="458" t="str">
        <f ca="1"/>
        <v>4,3615633285325</v>
      </c>
      <c r="U22" s="459">
        <f t="shared" ca="1" si="4"/>
        <v>0.11419412477850101</v>
      </c>
      <c r="V22" s="460">
        <f t="shared" ca="1" si="0"/>
        <v>-2.6892021660669574E-3</v>
      </c>
      <c r="W22" s="459">
        <f t="shared" ca="1" si="1"/>
        <v>0.13487669057754201</v>
      </c>
      <c r="X22" s="461">
        <f t="shared" ca="1" si="2"/>
        <v>5.1293355986811269E-3</v>
      </c>
      <c r="Y22" s="460">
        <f t="shared" ca="1" si="3"/>
        <v>-1.5881320039739716E-4</v>
      </c>
      <c r="Z22" s="79"/>
    </row>
    <row r="23" spans="1:26" customFormat="1" ht="15.75" thickBot="1">
      <c r="A23" s="232"/>
      <c r="B23" s="232"/>
      <c r="C23" s="233"/>
      <c r="D23" s="233"/>
      <c r="E23" s="233"/>
      <c r="F23" s="233"/>
      <c r="G23" s="233"/>
      <c r="H23" s="405">
        <v>9</v>
      </c>
      <c r="I23" s="424" t="str">
        <f ca="1"/>
        <v>0,000155184407876963</v>
      </c>
      <c r="J23" s="424" t="str">
        <f ca="1"/>
        <v>0,000537736318745005</v>
      </c>
      <c r="K23" s="436" t="str">
        <f ca="1"/>
        <v>0,288588295912651</v>
      </c>
      <c r="L23" s="436" t="str">
        <f ca="1"/>
        <v>0,288588295912651</v>
      </c>
      <c r="M23" s="436" t="str">
        <f ca="1"/>
        <v>-0,000120307286658061</v>
      </c>
      <c r="N23" s="437" t="str">
        <f ca="1"/>
        <v>AUCHAN_MMR.EUR.SU</v>
      </c>
      <c r="P23" s="455" t="str" cm="1">
        <f t="array" aca="1" ref="P23:T23" ca="1">IF(AND($Q$12,B47&lt;=$C$17,C47&lt;&gt;""),TRANSPOSE(INDEX(GetCDS(C47,$C$6,$C$29,F47,D47,$C$13,$C$14,$C$15,$C$8,,,TRUE,TRUE,FALSE,$C$29:$C$31,$C$33),{1;2;3;4;5})),"")</f>
        <v>0</v>
      </c>
      <c r="Q23" s="456" t="str">
        <f ca="1"/>
        <v>0,0105045483602938</v>
      </c>
      <c r="R23" s="456" t="str">
        <f ca="1"/>
        <v>0,0105045483602938</v>
      </c>
      <c r="S23" s="457" t="str">
        <f ca="1"/>
        <v>0,00238981662394661</v>
      </c>
      <c r="T23" s="458" t="str">
        <f ca="1"/>
        <v>4,39554577327623</v>
      </c>
      <c r="U23" s="459">
        <f t="shared" ca="1" si="4"/>
        <v>0.11419412477850101</v>
      </c>
      <c r="V23" s="460">
        <f t="shared" ca="1" si="0"/>
        <v>-1.1995577061971875E-3</v>
      </c>
      <c r="W23" s="459">
        <f t="shared" ca="1" si="1"/>
        <v>9.619609863755034E-2</v>
      </c>
      <c r="X23" s="461">
        <f t="shared" ca="1" si="2"/>
        <v>2.2703257927492795E-3</v>
      </c>
      <c r="Y23" s="460">
        <f t="shared" ca="1" si="3"/>
        <v>-5.0524828510486941E-5</v>
      </c>
      <c r="Z23" s="79"/>
    </row>
    <row r="24" spans="1:26" customFormat="1" ht="15">
      <c r="A24" s="252"/>
      <c r="B24" s="291" t="s">
        <v>447</v>
      </c>
      <c r="C24" s="253" t="b">
        <v>1</v>
      </c>
      <c r="D24" s="233"/>
      <c r="E24" s="233"/>
      <c r="F24" s="233"/>
      <c r="G24" s="233"/>
      <c r="H24" s="405">
        <v>10</v>
      </c>
      <c r="I24" s="424" t="str">
        <f ca="1"/>
        <v>0,000234182109959868</v>
      </c>
      <c r="J24" s="424" t="str">
        <f ca="1"/>
        <v>0,000718161317057786</v>
      </c>
      <c r="K24" s="436" t="str">
        <f ca="1"/>
        <v>0,32608566403894</v>
      </c>
      <c r="L24" s="436" t="str">
        <f ca="1"/>
        <v>0,32608566403894</v>
      </c>
      <c r="M24" s="436" t="str">
        <f ca="1"/>
        <v>-0,000167508246655234</v>
      </c>
      <c r="N24" s="437" t="str">
        <f ca="1"/>
        <v>AVIVA_MMR.EUR.SU</v>
      </c>
      <c r="P24" s="455" t="str" cm="1">
        <f t="array" aca="1" ref="P24:T24" ca="1">IF(AND($Q$12,B48&lt;=$C$17,C48&lt;&gt;""),TRANSPOSE(INDEX(GetCDS(C48,$C$6,$C$29,F48,D48,$C$13,$C$14,$C$15,$C$8,,,TRUE,TRUE,FALSE,$C$29:$C$31,$C$33),{1;2;3;4;5})),"")</f>
        <v>0</v>
      </c>
      <c r="Q24" s="456" t="str">
        <f ca="1"/>
        <v>0,0141133190646782</v>
      </c>
      <c r="R24" s="456" t="str">
        <f ca="1"/>
        <v>0,0141133190646782</v>
      </c>
      <c r="S24" s="457" t="str">
        <f ca="1"/>
        <v>0,00322050834170343</v>
      </c>
      <c r="T24" s="458" t="str">
        <f ca="1"/>
        <v>4,38232650476949</v>
      </c>
      <c r="U24" s="459">
        <f t="shared" ca="1" si="4"/>
        <v>0.11419412477850101</v>
      </c>
      <c r="V24" s="460">
        <f t="shared" ca="1" si="0"/>
        <v>-1.611658118310657E-3</v>
      </c>
      <c r="W24" s="459">
        <f t="shared" ca="1" si="1"/>
        <v>0.10869522134631333</v>
      </c>
      <c r="X24" s="461">
        <f t="shared" ca="1" si="2"/>
        <v>3.0594829246182583E-3</v>
      </c>
      <c r="Y24" s="460">
        <f t="shared" ca="1" si="3"/>
        <v>-7.6702516983316927E-5</v>
      </c>
      <c r="Z24" s="79"/>
    </row>
    <row r="25" spans="1:26" customFormat="1" ht="15.75" thickBot="1">
      <c r="A25" s="252"/>
      <c r="B25" s="290" t="s">
        <v>448</v>
      </c>
      <c r="C25" s="254" t="b">
        <v>1</v>
      </c>
      <c r="D25" s="233"/>
      <c r="E25" s="233"/>
      <c r="F25" s="233"/>
      <c r="G25" s="233"/>
      <c r="H25" s="405">
        <v>11</v>
      </c>
      <c r="I25" s="424" t="str">
        <f ca="1"/>
        <v>0,000267837001653049</v>
      </c>
      <c r="J25" s="424" t="str">
        <f ca="1"/>
        <v>0,000785998940561706</v>
      </c>
      <c r="K25" s="436" t="str">
        <f ca="1"/>
        <v>0,340760003393442</v>
      </c>
      <c r="L25" s="436" t="str">
        <f ca="1"/>
        <v>0,340760003393442</v>
      </c>
      <c r="M25" s="436" t="str">
        <f ca="1"/>
        <v>-0,000184874609605567</v>
      </c>
      <c r="N25" s="437" t="str">
        <f ca="1"/>
        <v>AXA_MMR.EUR.SU</v>
      </c>
      <c r="P25" s="455" t="str" cm="1">
        <f t="array" aca="1" ref="P25:T25" ca="1">IF(AND($Q$12,B49&lt;=$C$17,C49&lt;&gt;""),TRANSPOSE(INDEX(GetCDS(C49,$C$6,$C$29,F49,D49,$C$13,$C$14,$C$15,$C$8,,,TRUE,TRUE,FALSE,$C$29:$C$31,$C$33),{1;2;3;4;5})),"")</f>
        <v>0</v>
      </c>
      <c r="Q25" s="456" t="str">
        <f ca="1"/>
        <v>0,0154598879404987</v>
      </c>
      <c r="R25" s="456" t="str">
        <f ca="1"/>
        <v>0,0154598879404987</v>
      </c>
      <c r="S25" s="457" t="str">
        <f ca="1"/>
        <v>0,00353194582030576</v>
      </c>
      <c r="T25" s="458" t="str">
        <f ca="1"/>
        <v>4,3771588600304</v>
      </c>
      <c r="U25" s="459">
        <f t="shared" ca="1" si="4"/>
        <v>0.11419412477850101</v>
      </c>
      <c r="V25" s="460">
        <f t="shared" ca="1" si="0"/>
        <v>-1.7654283725389512E-3</v>
      </c>
      <c r="W25" s="459">
        <f t="shared" ca="1" si="1"/>
        <v>0.113586667797814</v>
      </c>
      <c r="X25" s="461">
        <f t="shared" ca="1" si="2"/>
        <v>3.3553485292904719E-3</v>
      </c>
      <c r="Y25" s="460">
        <f t="shared" ca="1" si="3"/>
        <v>-8.7801857784442796E-5</v>
      </c>
      <c r="Z25" s="79"/>
    </row>
    <row r="26" spans="1:26" customFormat="1" ht="15.75" thickBot="1">
      <c r="A26" s="232"/>
      <c r="B26" s="232"/>
      <c r="C26" s="233"/>
      <c r="D26" s="233"/>
      <c r="E26" s="233"/>
      <c r="F26" s="233"/>
      <c r="G26" s="233"/>
      <c r="H26" s="405">
        <v>12</v>
      </c>
      <c r="I26" s="424" t="str">
        <f ca="1"/>
        <v>0,000399505923650168</v>
      </c>
      <c r="J26" s="424" t="str">
        <f ca="1"/>
        <v>0,00103203201150184</v>
      </c>
      <c r="K26" s="436" t="str">
        <f ca="1"/>
        <v>0,387106135466473</v>
      </c>
      <c r="L26" s="436" t="str">
        <f ca="1"/>
        <v>0,387106135466473</v>
      </c>
      <c r="M26" s="436" t="str">
        <f ca="1"/>
        <v>-0,000245417112799528</v>
      </c>
      <c r="N26" s="437" t="str">
        <f ca="1"/>
        <v>BANCOESPIRITOSANTO_MMR.EUR.SU</v>
      </c>
      <c r="P26" s="455" t="str" cm="1">
        <f t="array" aca="1" ref="P26:T26" ca="1">IF(AND($Q$12,B50&lt;=$C$17,C50&lt;&gt;""),TRANSPOSE(INDEX(GetCDS(C50,$C$6,$C$29,F50,D50,$C$13,$C$14,$C$15,$C$8,,,TRUE,TRUE,FALSE,$C$29:$C$31,$C$33),{1;2;3;4;5})),"")</f>
        <v>0</v>
      </c>
      <c r="Q26" s="456" t="str">
        <f ca="1"/>
        <v>0,0203804825319467</v>
      </c>
      <c r="R26" s="456" t="str">
        <f ca="1"/>
        <v>0,0203804825319467</v>
      </c>
      <c r="S26" s="457" t="str">
        <f ca="1"/>
        <v>0,00467345159913031</v>
      </c>
      <c r="T26" s="458" t="str">
        <f ca="1"/>
        <v>4,36090587430912</v>
      </c>
      <c r="U26" s="459">
        <f t="shared" ca="1" si="4"/>
        <v>0.11419412477850101</v>
      </c>
      <c r="V26" s="460">
        <f t="shared" ca="1" si="0"/>
        <v>-2.3273313652991839E-3</v>
      </c>
      <c r="W26" s="459">
        <f t="shared" ca="1" si="1"/>
        <v>0.12903537848882432</v>
      </c>
      <c r="X26" s="461">
        <f t="shared" ca="1" si="2"/>
        <v>4.4397790191737941E-3</v>
      </c>
      <c r="Y26" s="460">
        <f t="shared" ca="1" si="3"/>
        <v>-1.3149016386473106E-4</v>
      </c>
      <c r="Z26" s="79"/>
    </row>
    <row r="27" spans="1:26" customFormat="1" ht="15.75" thickBot="1">
      <c r="A27" s="232"/>
      <c r="B27" s="288" t="s">
        <v>449</v>
      </c>
      <c r="C27" s="243" t="b">
        <v>1</v>
      </c>
      <c r="D27" s="233"/>
      <c r="E27" s="233"/>
      <c r="F27" s="233"/>
      <c r="G27" s="233"/>
      <c r="H27" s="405">
        <v>13</v>
      </c>
      <c r="I27" s="424" t="str">
        <f ca="1"/>
        <v>0,000341289937413824</v>
      </c>
      <c r="J27" s="424" t="str">
        <f ca="1"/>
        <v>0,000921068454571454</v>
      </c>
      <c r="K27" s="436" t="str">
        <f ca="1"/>
        <v>0,370536995073418</v>
      </c>
      <c r="L27" s="436" t="str">
        <f ca="1"/>
        <v>0,370536995073418</v>
      </c>
      <c r="M27" s="436" t="str">
        <f ca="1"/>
        <v>-0,000219119428028547</v>
      </c>
      <c r="N27" s="437" t="str">
        <f ca="1"/>
        <v>BARCLAYS_MMR.EUR.SU</v>
      </c>
      <c r="P27" s="455" t="str" cm="1">
        <f t="array" aca="1" ref="P27:T27" ca="1">IF(AND($Q$12,B51&lt;=$C$17,C51&lt;&gt;""),TRANSPOSE(INDEX(GetCDS(C51,$C$6,$C$29,F51,D51,$C$13,$C$14,$C$15,$C$8,,,TRUE,TRUE,FALSE,$C$29:$C$31,$C$33),{1;2;3;4;5})),"")</f>
        <v>0</v>
      </c>
      <c r="Q27" s="456" t="str">
        <f ca="1"/>
        <v>0,0181370520877501</v>
      </c>
      <c r="R27" s="456" t="str">
        <f ca="1"/>
        <v>0,0181370520877501</v>
      </c>
      <c r="S27" s="457" t="str">
        <f ca="1"/>
        <v>0,0041547438262482</v>
      </c>
      <c r="T27" s="458" t="str">
        <f ca="1"/>
        <v>4,36538396739809</v>
      </c>
      <c r="U27" s="459">
        <f t="shared" ca="1" si="4"/>
        <v>0.11419412477850101</v>
      </c>
      <c r="V27" s="460">
        <f t="shared" ca="1" si="0"/>
        <v>-2.0711447892227054E-3</v>
      </c>
      <c r="W27" s="459">
        <f t="shared" ca="1" si="1"/>
        <v>0.12351233169113933</v>
      </c>
      <c r="X27" s="461">
        <f t="shared" ca="1" si="2"/>
        <v>3.94700663493579E-3</v>
      </c>
      <c r="Y27" s="460">
        <f t="shared" ca="1" si="3"/>
        <v>-1.1200747966808292E-4</v>
      </c>
      <c r="Z27" s="79"/>
    </row>
    <row r="28" spans="1:26" customFormat="1" ht="15.75" thickBot="1">
      <c r="A28" s="232"/>
      <c r="B28" s="292" t="s">
        <v>450</v>
      </c>
      <c r="C28" s="255"/>
      <c r="D28" s="233"/>
      <c r="E28" s="233"/>
      <c r="F28" s="233"/>
      <c r="G28" s="233"/>
      <c r="H28" s="405">
        <v>14</v>
      </c>
      <c r="I28" s="424" t="str">
        <f ca="1"/>
        <v>0,000125815749011915</v>
      </c>
      <c r="J28" s="424" t="str">
        <f ca="1"/>
        <v>0,000470203044178207</v>
      </c>
      <c r="K28" s="436" t="str">
        <f ca="1"/>
        <v>0,267577487150914</v>
      </c>
      <c r="L28" s="436" t="str">
        <f ca="1"/>
        <v>0,267577487150914</v>
      </c>
      <c r="M28" s="436" t="str">
        <f ca="1"/>
        <v>-9,663469092418E-05</v>
      </c>
      <c r="N28" s="437" t="str">
        <f ca="1"/>
        <v>BASF_MMR.EUR.SU</v>
      </c>
      <c r="P28" s="455" t="str" cm="1">
        <f t="array" aca="1" ref="P28:T28" ca="1">IF(AND($Q$12,B52&lt;=$C$17,C52&lt;&gt;""),TRANSPOSE(INDEX(GetCDS(C52,$C$6,$C$29,F52,D52,$C$13,$C$14,$C$15,$C$8,,,TRUE,TRUE,FALSE,$C$29:$C$31,$C$33),{1;2;3;4;5})),"")</f>
        <v>1,04083408558608E-17</v>
      </c>
      <c r="Q28" s="456" t="str">
        <f ca="1"/>
        <v>0,00868999990119327</v>
      </c>
      <c r="R28" s="456" t="str">
        <f ca="1"/>
        <v>0,00868999990119326</v>
      </c>
      <c r="S28" s="457" t="str">
        <f ca="1"/>
        <v>0,00197438429940151</v>
      </c>
      <c r="T28" s="458" t="str">
        <f ca="1"/>
        <v>4,40137206511794</v>
      </c>
      <c r="U28" s="459">
        <f t="shared" ca="1" si="4"/>
        <v>0.11419412477850101</v>
      </c>
      <c r="V28" s="460">
        <f t="shared" ca="1" si="0"/>
        <v>-9.9234693304202479E-4</v>
      </c>
      <c r="W28" s="459">
        <f t="shared" ca="1" si="1"/>
        <v>8.919249571697134E-2</v>
      </c>
      <c r="X28" s="461">
        <f t="shared" ca="1" si="2"/>
        <v>1.8756650844314346E-3</v>
      </c>
      <c r="Y28" s="460">
        <f t="shared" ca="1" si="3"/>
        <v>-3.8754138948383075E-5</v>
      </c>
      <c r="Z28" s="79"/>
    </row>
    <row r="29" spans="1:26" customFormat="1" ht="15">
      <c r="A29" s="232"/>
      <c r="B29" s="289" t="s">
        <v>469</v>
      </c>
      <c r="C29" s="256"/>
      <c r="D29" s="233"/>
      <c r="E29" s="233"/>
      <c r="F29" s="233"/>
      <c r="G29" s="233"/>
      <c r="H29" s="405">
        <v>15</v>
      </c>
      <c r="I29" s="424" t="str">
        <f ca="1"/>
        <v>0,000252162921950027</v>
      </c>
      <c r="J29" s="424" t="str">
        <f ca="1"/>
        <v>0,000762772504224441</v>
      </c>
      <c r="K29" s="436" t="str">
        <f ca="1"/>
        <v>0,330587325255539</v>
      </c>
      <c r="L29" s="436" t="str">
        <f ca="1"/>
        <v>0,330587325255539</v>
      </c>
      <c r="M29" s="436" t="str">
        <f ca="1"/>
        <v>-0,000176655625477817</v>
      </c>
      <c r="N29" s="437" t="str">
        <f ca="1"/>
        <v>BAT_MMR.EUR.SU</v>
      </c>
      <c r="P29" s="455" t="str" cm="1">
        <f t="array" aca="1" ref="P29:T29" ca="1">IF(AND($Q$12,B53&lt;=$C$17,C53&lt;&gt;""),TRANSPOSE(INDEX(GetCDS(C53,$C$6,$C$29,F53,D53,$C$13,$C$14,$C$15,$C$8,,,TRUE,TRUE,FALSE,$C$29:$C$31,$C$33),{1;2;3;4;5})),"")</f>
        <v>0</v>
      </c>
      <c r="Q29" s="456" t="str">
        <f ca="1"/>
        <v>0,0150335838715908</v>
      </c>
      <c r="R29" s="456" t="str">
        <f ca="1"/>
        <v>0,0150335838715908</v>
      </c>
      <c r="S29" s="457" t="str">
        <f ca="1"/>
        <v>0,00342801315889556</v>
      </c>
      <c r="T29" s="458" t="str">
        <f ca="1"/>
        <v>4,38550938247691</v>
      </c>
      <c r="U29" s="459">
        <f t="shared" ca="1" si="4"/>
        <v>0.11419412477850101</v>
      </c>
      <c r="V29" s="460">
        <f t="shared" ca="1" si="0"/>
        <v>-1.7167469525004987E-3</v>
      </c>
      <c r="W29" s="459">
        <f t="shared" ca="1" si="1"/>
        <v>0.11019577508517968</v>
      </c>
      <c r="X29" s="461">
        <f t="shared" ca="1" si="2"/>
        <v>3.256612500950782E-3</v>
      </c>
      <c r="Y29" s="460">
        <f t="shared" ca="1" si="3"/>
        <v>-8.2831871351900173E-5</v>
      </c>
      <c r="Z29" s="79"/>
    </row>
    <row r="30" spans="1:26" customFormat="1" ht="15">
      <c r="A30" s="232"/>
      <c r="B30" s="289" t="s">
        <v>447</v>
      </c>
      <c r="C30" s="257" t="b">
        <v>1</v>
      </c>
      <c r="D30" s="233"/>
      <c r="E30" s="233"/>
      <c r="F30" s="233"/>
      <c r="G30" s="233"/>
      <c r="H30" s="405">
        <v>16</v>
      </c>
      <c r="I30" s="424" t="str">
        <f ca="1"/>
        <v>0,000173012012971818</v>
      </c>
      <c r="J30" s="424" t="str">
        <f ca="1"/>
        <v>0,000582998173332971</v>
      </c>
      <c r="K30" s="436" t="str">
        <f ca="1"/>
        <v>0,296762530116891</v>
      </c>
      <c r="L30" s="436" t="str">
        <f ca="1"/>
        <v>0,296762530116891</v>
      </c>
      <c r="M30" s="436" t="str">
        <f ca="1"/>
        <v>-0,000131068843282423</v>
      </c>
      <c r="N30" s="437" t="str">
        <f ca="1"/>
        <v>BAYER_MMR.EUR.SU</v>
      </c>
      <c r="P30" s="455" t="str" cm="1">
        <f t="array" aca="1" ref="P30:T30" ca="1">IF(AND($Q$12,B54&lt;=$C$17,C54&lt;&gt;""),TRANSPOSE(INDEX(GetCDS(C54,$C$6,$C$29,F54,D54,$C$13,$C$14,$C$15,$C$8,,,TRUE,TRUE,FALSE,$C$29:$C$31,$C$33),{1;2;3;4;5})),"")</f>
        <v>0</v>
      </c>
      <c r="Q30" s="456" t="str">
        <f ca="1"/>
        <v>0,0114157486102272</v>
      </c>
      <c r="R30" s="456" t="str">
        <f ca="1"/>
        <v>0,0114157486102272</v>
      </c>
      <c r="S30" s="457" t="str">
        <f ca="1"/>
        <v>0,00259748856949014</v>
      </c>
      <c r="T30" s="458" t="str">
        <f ca="1"/>
        <v>4,39491774643997</v>
      </c>
      <c r="U30" s="459">
        <f t="shared" ca="1" si="4"/>
        <v>0.11419412477850101</v>
      </c>
      <c r="V30" s="460">
        <f t="shared" ca="1" si="0"/>
        <v>-1.3036114212362829E-3</v>
      </c>
      <c r="W30" s="459">
        <f t="shared" ca="1" si="1"/>
        <v>9.8920843372297007E-2</v>
      </c>
      <c r="X30" s="461">
        <f t="shared" ca="1" si="2"/>
        <v>2.4676141410156331E-3</v>
      </c>
      <c r="Y30" s="460">
        <f t="shared" ca="1" si="3"/>
        <v>-5.6462774012490063E-5</v>
      </c>
      <c r="Z30" s="79"/>
    </row>
    <row r="31" spans="1:26" customFormat="1" ht="15.75" thickBot="1">
      <c r="A31" s="232"/>
      <c r="B31" s="290" t="s">
        <v>448</v>
      </c>
      <c r="C31" s="254" t="b">
        <v>1</v>
      </c>
      <c r="D31" s="233"/>
      <c r="E31" s="233"/>
      <c r="F31" s="233"/>
      <c r="G31" s="233"/>
      <c r="H31" s="405">
        <v>17</v>
      </c>
      <c r="I31" s="424" t="str">
        <f ca="1"/>
        <v>0,000260591854330982</v>
      </c>
      <c r="J31" s="424" t="str">
        <f ca="1"/>
        <v>0,000764220045765788</v>
      </c>
      <c r="K31" s="436" t="str">
        <f ca="1"/>
        <v>0,340990603131662</v>
      </c>
      <c r="L31" s="436" t="str">
        <f ca="1"/>
        <v>0,340990603131662</v>
      </c>
      <c r="M31" s="436" t="str">
        <f ca="1"/>
        <v>-0,000180541794555378</v>
      </c>
      <c r="N31" s="437" t="str">
        <f ca="1"/>
        <v>BBVA_MMR.EUR.SU</v>
      </c>
      <c r="P31" s="455" t="str" cm="1">
        <f t="array" aca="1" ref="P31:T31" ca="1">IF(AND($Q$12,B55&lt;=$C$17,C55&lt;&gt;""),TRANSPOSE(INDEX(GetCDS(C55,$C$6,$C$29,F55,D55,$C$13,$C$14,$C$15,$C$8,,,TRUE,TRUE,FALSE,$C$29:$C$31,$C$33),{1;2;3;4;5})),"")</f>
        <v>0</v>
      </c>
      <c r="Q31" s="456" t="str">
        <f ca="1"/>
        <v>0,014997564518974</v>
      </c>
      <c r="R31" s="456" t="str">
        <f ca="1"/>
        <v>0,014997564518974</v>
      </c>
      <c r="S31" s="457" t="str">
        <f ca="1"/>
        <v>0,00342821999992765</v>
      </c>
      <c r="T31" s="458" t="str">
        <f ca="1"/>
        <v>4,3747380621111</v>
      </c>
      <c r="U31" s="459">
        <f t="shared" ca="1" si="4"/>
        <v>0.11419412477850101</v>
      </c>
      <c r="V31" s="460">
        <f t="shared" ca="1" si="0"/>
        <v>-1.7126337540533368E-3</v>
      </c>
      <c r="W31" s="459">
        <f t="shared" ca="1" si="1"/>
        <v>0.11366353437722067</v>
      </c>
      <c r="X31" s="461">
        <f t="shared" ca="1" si="2"/>
        <v>3.2568089999312675E-3</v>
      </c>
      <c r="Y31" s="460">
        <f t="shared" ca="1" si="3"/>
        <v>-8.5233809513849293E-5</v>
      </c>
      <c r="Z31" s="79"/>
    </row>
    <row r="32" spans="1:26" customFormat="1" ht="15.75" thickBot="1">
      <c r="A32" s="232"/>
      <c r="B32" s="232"/>
      <c r="C32" s="233"/>
      <c r="D32" s="233"/>
      <c r="E32" s="233"/>
      <c r="F32" s="233"/>
      <c r="G32" s="233"/>
      <c r="H32" s="405">
        <v>18</v>
      </c>
      <c r="I32" s="424" t="str">
        <f ca="1"/>
        <v>0,0002316589531286</v>
      </c>
      <c r="J32" s="424" t="str">
        <f ca="1"/>
        <v>0,000717949896563081</v>
      </c>
      <c r="K32" s="436" t="str">
        <f ca="1"/>
        <v>0,322667297867973</v>
      </c>
      <c r="L32" s="436" t="str">
        <f ca="1"/>
        <v>0,322667297867973</v>
      </c>
      <c r="M32" s="436" t="str">
        <f ca="1"/>
        <v>-0,000165478893337001</v>
      </c>
      <c r="N32" s="437" t="str">
        <f ca="1"/>
        <v>BERTELSMANNAG_MMR.EUR.SU</v>
      </c>
      <c r="P32" s="455" t="str" cm="1">
        <f t="array" aca="1" ref="P32:T32" ca="1">IF(AND($Q$12,B56&lt;=$C$17,C56&lt;&gt;""),TRANSPOSE(INDEX(GetCDS(C56,$C$6,$C$29,F56,D56,$C$13,$C$14,$C$15,$C$8,,,TRUE,TRUE,FALSE,$C$29:$C$31,$C$33),{1;2;3;4;5})),"")</f>
        <v>0</v>
      </c>
      <c r="Q32" s="456" t="str">
        <f ca="1"/>
        <v>0,0141298287486247</v>
      </c>
      <c r="R32" s="456" t="str">
        <f ca="1"/>
        <v>0,0141298287486247</v>
      </c>
      <c r="S32" s="457" t="str">
        <f ca="1"/>
        <v>0,00322041714116055</v>
      </c>
      <c r="T32" s="458" t="str">
        <f ca="1"/>
        <v>4,38757717689104</v>
      </c>
      <c r="U32" s="459">
        <f t="shared" ca="1" si="4"/>
        <v>0.11419412477850101</v>
      </c>
      <c r="V32" s="460">
        <f t="shared" ca="1" si="0"/>
        <v>-1.6135434272193019E-3</v>
      </c>
      <c r="W32" s="459">
        <f t="shared" ca="1" si="1"/>
        <v>0.10755576595599099</v>
      </c>
      <c r="X32" s="461">
        <f t="shared" ca="1" si="2"/>
        <v>3.0593962841025221E-3</v>
      </c>
      <c r="Y32" s="460">
        <f t="shared" ca="1" si="3"/>
        <v>-7.5987227694265829E-5</v>
      </c>
      <c r="Z32" s="79"/>
    </row>
    <row r="33" spans="1:26" customFormat="1" ht="15">
      <c r="A33" s="232"/>
      <c r="B33" s="288" t="s">
        <v>451</v>
      </c>
      <c r="C33" s="258" t="s">
        <v>452</v>
      </c>
      <c r="D33" s="259"/>
      <c r="E33" s="259"/>
      <c r="F33" s="259"/>
      <c r="G33" s="233"/>
      <c r="H33" s="405">
        <v>19</v>
      </c>
      <c r="I33" s="424" t="str">
        <f ca="1"/>
        <v>0,000182605088830767</v>
      </c>
      <c r="J33" s="424" t="str">
        <f ca="1"/>
        <v>0,000605505541438369</v>
      </c>
      <c r="K33" s="436" t="str">
        <f ca="1"/>
        <v>0,301574595662645</v>
      </c>
      <c r="L33" s="436" t="str">
        <f ca="1"/>
        <v>0,301574595662645</v>
      </c>
      <c r="M33" s="436" t="str">
        <f ca="1"/>
        <v>-0,000137090579663024</v>
      </c>
      <c r="N33" s="437" t="str">
        <f ca="1"/>
        <v>BMW_MMR.EUR.SU</v>
      </c>
      <c r="P33" s="455" t="str" cm="1">
        <f t="array" aca="1" ref="P33:T33" ca="1">IF(AND($Q$12,B57&lt;=$C$17,C57&lt;&gt;""),TRANSPOSE(INDEX(GetCDS(C57,$C$6,$C$29,F57,D57,$C$13,$C$14,$C$15,$C$8,,,TRUE,TRUE,FALSE,$C$29:$C$31,$C$33),{1;2;3;4;5})),"")</f>
        <v>0</v>
      </c>
      <c r="Q33" s="456" t="str">
        <f ca="1"/>
        <v>0,0118674330822562</v>
      </c>
      <c r="R33" s="456" t="str">
        <f ca="1"/>
        <v>0,0118674330822562</v>
      </c>
      <c r="S33" s="457" t="str">
        <f ca="1"/>
        <v>0,00270132920402518</v>
      </c>
      <c r="T33" s="458" t="str">
        <f ca="1"/>
        <v>4,39318283183436</v>
      </c>
      <c r="U33" s="459">
        <f t="shared" ca="1" si="4"/>
        <v>0.11419412477850101</v>
      </c>
      <c r="V33" s="460">
        <f t="shared" ca="1" si="0"/>
        <v>-1.3551911341956751E-3</v>
      </c>
      <c r="W33" s="459">
        <f t="shared" ca="1" si="1"/>
        <v>0.10052486522088167</v>
      </c>
      <c r="X33" s="461">
        <f t="shared" ca="1" si="2"/>
        <v>2.566262743823921E-3</v>
      </c>
      <c r="Y33" s="460">
        <f t="shared" ca="1" si="3"/>
        <v>-5.9648605555581884E-5</v>
      </c>
      <c r="Z33" s="79"/>
    </row>
    <row r="34" spans="1:26" customFormat="1" ht="15">
      <c r="A34" s="232"/>
      <c r="B34" s="289" t="s">
        <v>470</v>
      </c>
      <c r="C34" s="260">
        <v>0.01</v>
      </c>
      <c r="D34" s="259"/>
      <c r="E34" s="259"/>
      <c r="F34" s="259"/>
      <c r="G34" s="233"/>
      <c r="H34" s="405">
        <v>20</v>
      </c>
      <c r="I34" s="424" t="str">
        <f ca="1"/>
        <v>0,000222752412249294</v>
      </c>
      <c r="J34" s="424" t="str">
        <f ca="1"/>
        <v>0,000695485995864725</v>
      </c>
      <c r="K34" s="436" t="str">
        <f ca="1"/>
        <v>0,320283102138293</v>
      </c>
      <c r="L34" s="436" t="str">
        <f ca="1"/>
        <v>0,320283102138293</v>
      </c>
      <c r="M34" s="436" t="str">
        <f ca="1"/>
        <v>-0,000161123337674951</v>
      </c>
      <c r="N34" s="437" t="str">
        <f ca="1"/>
        <v>BNPPARIBAS_MMR.EUR.SU</v>
      </c>
      <c r="P34" s="455" t="str" cm="1">
        <f t="array" aca="1" ref="P34:T34" ca="1">IF(AND($Q$12,B58&lt;=$C$17,C58&lt;&gt;""),TRANSPOSE(INDEX(GetCDS(C58,$C$6,$C$29,F58,D58,$C$13,$C$14,$C$15,$C$8,,,TRUE,TRUE,FALSE,$C$29:$C$31,$C$33),{1;2;3;4;5})),"")</f>
        <v>0</v>
      </c>
      <c r="Q34" s="456" t="str">
        <f ca="1"/>
        <v>0,0136683405722066</v>
      </c>
      <c r="R34" s="456" t="str">
        <f ca="1"/>
        <v>0,0136683405722066</v>
      </c>
      <c r="S34" s="457" t="str">
        <f ca="1"/>
        <v>0,00311665646336977</v>
      </c>
      <c r="T34" s="458" t="str">
        <f ca="1"/>
        <v>4,38557817739983</v>
      </c>
      <c r="U34" s="459">
        <f t="shared" ca="1" si="4"/>
        <v>0.11419412477850101</v>
      </c>
      <c r="V34" s="460">
        <f t="shared" ca="1" si="0"/>
        <v>-1.5608441888176076E-3</v>
      </c>
      <c r="W34" s="459">
        <f t="shared" ca="1" si="1"/>
        <v>0.10676103404609766</v>
      </c>
      <c r="X34" s="461">
        <f t="shared" ca="1" si="2"/>
        <v>2.9608236402012813E-3</v>
      </c>
      <c r="Y34" s="460">
        <f t="shared" ca="1" si="3"/>
        <v>-7.2962308659150319E-5</v>
      </c>
      <c r="Z34" s="79"/>
    </row>
    <row r="35" spans="1:26" customFormat="1" ht="15">
      <c r="A35" s="232"/>
      <c r="B35" s="289" t="s">
        <v>471</v>
      </c>
      <c r="C35" s="260">
        <v>1</v>
      </c>
      <c r="D35" s="233"/>
      <c r="E35" s="233"/>
      <c r="F35" s="233"/>
      <c r="G35" s="233"/>
      <c r="H35" s="405">
        <v>21</v>
      </c>
      <c r="I35" s="424" t="str">
        <f ca="1"/>
        <v>0,000323178048242378</v>
      </c>
      <c r="J35" s="424" t="str">
        <f ca="1"/>
        <v>0,000898060386711444</v>
      </c>
      <c r="K35" s="436" t="str">
        <f ca="1"/>
        <v>0,359862268756565</v>
      </c>
      <c r="L35" s="436" t="str">
        <f ca="1"/>
        <v>0,359862268756565</v>
      </c>
      <c r="M35" s="436" t="str">
        <f ca="1"/>
        <v>-0,000211988165261312</v>
      </c>
      <c r="N35" s="437" t="str">
        <f ca="1"/>
        <v>BRITISHTELECOM_MMR.EUR.SU</v>
      </c>
      <c r="P35" s="455" t="str" cm="1">
        <f t="array" aca="1" ref="P35:T35" ca="1">IF(AND($Q$12,B59&lt;=$C$17,C59&lt;&gt;""),TRANSPOSE(INDEX(GetCDS(C59,$C$6,$C$29,F59,D59,$C$13,$C$14,$C$15,$C$8,,,TRUE,TRUE,FALSE,$C$29:$C$31,$C$33),{1;2;3;4;5})),"")</f>
        <v>0</v>
      </c>
      <c r="Q35" s="456" t="str">
        <f ca="1"/>
        <v>0,0177118072659902</v>
      </c>
      <c r="R35" s="456" t="str">
        <f ca="1"/>
        <v>0,0177118072659902</v>
      </c>
      <c r="S35" s="457" t="str">
        <f ca="1"/>
        <v>0,00405079416228328</v>
      </c>
      <c r="T35" s="458" t="str">
        <f ca="1"/>
        <v>4,37242835760549</v>
      </c>
      <c r="U35" s="459">
        <f t="shared" ca="1" si="4"/>
        <v>0.11419412477850101</v>
      </c>
      <c r="V35" s="460">
        <f t="shared" ca="1" si="0"/>
        <v>-2.0225843289852444E-3</v>
      </c>
      <c r="W35" s="459">
        <f t="shared" ca="1" si="1"/>
        <v>0.11995408958552167</v>
      </c>
      <c r="X35" s="461">
        <f t="shared" ca="1" si="2"/>
        <v>3.8482544541691152E-3</v>
      </c>
      <c r="Y35" s="460">
        <f t="shared" ca="1" si="3"/>
        <v>-1.0623018577530424E-4</v>
      </c>
      <c r="Z35" s="79"/>
    </row>
    <row r="36" spans="1:26" customFormat="1" ht="15.75" thickBot="1">
      <c r="A36" s="232"/>
      <c r="B36" s="290" t="s">
        <v>472</v>
      </c>
      <c r="C36" s="261"/>
      <c r="D36" s="233"/>
      <c r="E36" s="233"/>
      <c r="F36" s="233"/>
      <c r="G36" s="233"/>
      <c r="H36" s="405">
        <v>22</v>
      </c>
      <c r="I36" s="424" t="str">
        <f ca="1"/>
        <v>0,000257959726958457</v>
      </c>
      <c r="J36" s="424" t="str">
        <f ca="1"/>
        <v>0,00076383423468692</v>
      </c>
      <c r="K36" s="436" t="str">
        <f ca="1"/>
        <v>0,337716896211374</v>
      </c>
      <c r="L36" s="436" t="str">
        <f ca="1"/>
        <v>0,337716896211374</v>
      </c>
      <c r="M36" s="436" t="str">
        <f ca="1"/>
        <v>-0,000179597713063928</v>
      </c>
      <c r="N36" s="437" t="str">
        <f ca="1"/>
        <v>BSCH_MMR.EUR.SU</v>
      </c>
      <c r="P36" s="455" t="str" cm="1">
        <f t="array" aca="1" ref="P36:T36" ca="1">IF(AND($Q$12,B60&lt;=$C$17,C60&lt;&gt;""),TRANSPOSE(INDEX(GetCDS(C60,$C$6,$C$29,F60,D60,$C$13,$C$14,$C$15,$C$8,,,TRUE,TRUE,FALSE,$C$29:$C$31,$C$33),{1;2;3;4;5})),"")</f>
        <v>0</v>
      </c>
      <c r="Q36" s="456" t="str">
        <f ca="1"/>
        <v>0,0150074841229267</v>
      </c>
      <c r="R36" s="456" t="str">
        <f ca="1"/>
        <v>0,0150074841229267</v>
      </c>
      <c r="S36" s="457" t="str">
        <f ca="1"/>
        <v>0,00342815011888838</v>
      </c>
      <c r="T36" s="458" t="str">
        <f ca="1"/>
        <v>4,37772081223592</v>
      </c>
      <c r="U36" s="459">
        <f t="shared" ca="1" si="4"/>
        <v>0.11419412477850101</v>
      </c>
      <c r="V36" s="460">
        <f t="shared" ca="1" si="0"/>
        <v>-1.7137665145448651E-3</v>
      </c>
      <c r="W36" s="459">
        <f t="shared" ca="1" si="1"/>
        <v>0.11257229873712467</v>
      </c>
      <c r="X36" s="461">
        <f t="shared" ca="1" si="2"/>
        <v>3.2567426129439607E-3</v>
      </c>
      <c r="Y36" s="460">
        <f t="shared" ca="1" si="3"/>
        <v>-8.4471349298938188E-5</v>
      </c>
      <c r="Z36" s="79"/>
    </row>
    <row r="37" spans="1:26" customFormat="1" ht="15.75" thickBot="1">
      <c r="A37" s="232"/>
      <c r="B37" s="232"/>
      <c r="C37" s="233"/>
      <c r="D37" s="233"/>
      <c r="E37" s="233"/>
      <c r="F37" s="233"/>
      <c r="G37" s="233"/>
      <c r="H37" s="405">
        <v>23</v>
      </c>
      <c r="I37" s="424" t="str">
        <f ca="1"/>
        <v>0,000286190041559475</v>
      </c>
      <c r="J37" s="424" t="str">
        <f ca="1"/>
        <v>0,000830586034106571</v>
      </c>
      <c r="K37" s="436" t="str">
        <f ca="1"/>
        <v>0,344563994345653</v>
      </c>
      <c r="L37" s="436" t="str">
        <f ca="1"/>
        <v>0,344563994345653</v>
      </c>
      <c r="M37" s="436" t="str">
        <f ca="1"/>
        <v>-0,000193859415186593</v>
      </c>
      <c r="N37" s="437" t="str">
        <f ca="1"/>
        <v>CADBURYSCHWEPPES_MMR.EUR.SU</v>
      </c>
      <c r="P37" s="455" t="str" cm="1">
        <f t="array" aca="1" ref="P37:T37" ca="1">IF(AND($Q$12,B61&lt;=$C$17,C61&lt;&gt;""),TRANSPOSE(INDEX(GetCDS(C61,$C$6,$C$29,F61,D61,$C$13,$C$14,$C$15,$C$8,,,TRUE,TRUE,FALSE,$C$29:$C$31,$C$33),{1;2;3;4;5})),"")</f>
        <v>0</v>
      </c>
      <c r="Q37" s="456" t="str">
        <f ca="1"/>
        <v>0,0163811132977569</v>
      </c>
      <c r="R37" s="456" t="str">
        <f ca="1"/>
        <v>0,0163811132977569</v>
      </c>
      <c r="S37" s="457" t="str">
        <f ca="1"/>
        <v>0,00373937713932559</v>
      </c>
      <c r="T37" s="458" t="str">
        <f ca="1"/>
        <v>4,38070638168133</v>
      </c>
      <c r="U37" s="459">
        <f t="shared" ca="1" si="4"/>
        <v>0.11419412477850101</v>
      </c>
      <c r="V37" s="460">
        <f t="shared" ca="1" si="0"/>
        <v>-1.8706268959348122E-3</v>
      </c>
      <c r="W37" s="459">
        <f t="shared" ca="1" si="1"/>
        <v>0.11485466478188433</v>
      </c>
      <c r="X37" s="461">
        <f t="shared" ca="1" si="2"/>
        <v>3.5524082823593104E-3</v>
      </c>
      <c r="Y37" s="460">
        <f t="shared" ca="1" si="3"/>
        <v>-9.4072363828396829E-5</v>
      </c>
      <c r="Z37" s="79"/>
    </row>
    <row r="38" spans="1:26" customFormat="1" ht="15.75" thickBot="1">
      <c r="A38" s="232"/>
      <c r="B38" s="293" t="s">
        <v>460</v>
      </c>
      <c r="C38" s="262" t="s">
        <v>80</v>
      </c>
      <c r="D38" s="262" t="s">
        <v>473</v>
      </c>
      <c r="E38" s="262" t="s">
        <v>474</v>
      </c>
      <c r="F38" s="262" t="s">
        <v>85</v>
      </c>
      <c r="G38" s="262" t="s">
        <v>434</v>
      </c>
      <c r="H38" s="405">
        <v>24</v>
      </c>
      <c r="I38" s="424" t="str">
        <f ca="1"/>
        <v>0,000408857802475548</v>
      </c>
      <c r="J38" s="424" t="str">
        <f ca="1"/>
        <v>0,00105385968897667</v>
      </c>
      <c r="K38" s="436" t="str">
        <f ca="1"/>
        <v>0,387962275008888</v>
      </c>
      <c r="L38" s="436" t="str">
        <f ca="1"/>
        <v>0,387962275008888</v>
      </c>
      <c r="M38" s="436" t="str">
        <f ca="1"/>
        <v>-0,000249788849594856</v>
      </c>
      <c r="N38" s="437" t="str">
        <f ca="1"/>
        <v>CAPITALIA_MMR.EUR.SU</v>
      </c>
      <c r="P38" s="455" t="str" cm="1">
        <f t="array" aca="1" ref="P38:T38" ca="1">IF(AND($Q$12,B62&lt;=$C$17,C62&lt;&gt;""),TRANSPOSE(INDEX(GetCDS(C62,$C$6,$C$29,F62,D62,$C$13,$C$14,$C$15,$C$8,,,TRUE,TRUE,FALSE,$C$29:$C$31,$C$33),{1;2;3;4;5})),"")</f>
        <v>0</v>
      </c>
      <c r="Q38" s="456" t="str">
        <f ca="1"/>
        <v>0,0208412210754421</v>
      </c>
      <c r="R38" s="456" t="str">
        <f ca="1"/>
        <v>0,0208412210754421</v>
      </c>
      <c r="S38" s="457" t="str">
        <f ca="1"/>
        <v>0,00477710907860583</v>
      </c>
      <c r="T38" s="458" t="str">
        <f ca="1"/>
        <v>4,36272664754067</v>
      </c>
      <c r="U38" s="459">
        <f t="shared" ca="1" si="4"/>
        <v>0.11419412477850101</v>
      </c>
      <c r="V38" s="460">
        <f t="shared" ca="1" si="0"/>
        <v>-2.3799450000253617E-3</v>
      </c>
      <c r="W38" s="459">
        <f t="shared" ca="1" si="1"/>
        <v>0.129320758336296</v>
      </c>
      <c r="X38" s="461">
        <f t="shared" ca="1" si="2"/>
        <v>4.5382536246755386E-3</v>
      </c>
      <c r="Y38" s="460">
        <f t="shared" ca="1" si="3"/>
        <v>-1.3476012570652837E-4</v>
      </c>
      <c r="Z38" s="79"/>
    </row>
    <row r="39" spans="1:26" customFormat="1" ht="15">
      <c r="A39" s="232"/>
      <c r="B39" s="294">
        <v>1</v>
      </c>
      <c r="C39" s="263" t="s">
        <v>86</v>
      </c>
      <c r="D39" s="264">
        <v>1</v>
      </c>
      <c r="E39" s="256"/>
      <c r="F39" s="239">
        <v>0.4</v>
      </c>
      <c r="G39" s="469">
        <v>100</v>
      </c>
      <c r="H39" s="405">
        <v>25</v>
      </c>
      <c r="I39" s="424" t="str">
        <f ca="1"/>
        <v>0,00015535101816726</v>
      </c>
      <c r="J39" s="424" t="str">
        <f ca="1"/>
        <v>0,000537712286322189</v>
      </c>
      <c r="K39" s="436" t="str">
        <f ca="1"/>
        <v>0,288911044286937</v>
      </c>
      <c r="L39" s="436" t="str">
        <f ca="1"/>
        <v>0,288911044286937</v>
      </c>
      <c r="M39" s="436" t="str">
        <f ca="1"/>
        <v>-0,000120398028756496</v>
      </c>
      <c r="N39" s="437" t="str">
        <f ca="1"/>
        <v>CARREFOUR_MMR.EUR.SU</v>
      </c>
      <c r="P39" s="455" t="str" cm="1">
        <f t="array" aca="1" ref="P39:T39" ca="1">IF(AND($Q$12,B63&lt;=$C$17,C63&lt;&gt;""),TRANSPOSE(INDEX(GetCDS(C63,$C$6,$C$29,F63,D63,$C$13,$C$14,$C$15,$C$8,,,TRUE,TRUE,FALSE,$C$29:$C$31,$C$33),{1;2;3;4;5})),"")</f>
        <v>0</v>
      </c>
      <c r="Q39" s="456" t="str">
        <f ca="1"/>
        <v>0,0105040832458183</v>
      </c>
      <c r="R39" s="456" t="str">
        <f ca="1"/>
        <v>0,0105040832458183</v>
      </c>
      <c r="S39" s="457" t="str">
        <f ca="1"/>
        <v>0,00238982083217985</v>
      </c>
      <c r="T39" s="458" t="str">
        <f ca="1"/>
        <v>4,39534341000664</v>
      </c>
      <c r="U39" s="459">
        <f t="shared" ca="1" si="4"/>
        <v>0.11419412477850101</v>
      </c>
      <c r="V39" s="460">
        <f t="shared" ca="1" si="0"/>
        <v>-1.1995045928567356E-3</v>
      </c>
      <c r="W39" s="459">
        <f t="shared" ca="1" si="1"/>
        <v>9.6303681428978993E-2</v>
      </c>
      <c r="X39" s="461">
        <f t="shared" ca="1" si="2"/>
        <v>2.2703297905708577E-3</v>
      </c>
      <c r="Y39" s="460">
        <f t="shared" ca="1" si="3"/>
        <v>-5.0579094330438004E-5</v>
      </c>
      <c r="Z39" s="79"/>
    </row>
    <row r="40" spans="1:26" customFormat="1" ht="15">
      <c r="A40" s="232"/>
      <c r="B40" s="295">
        <v>2</v>
      </c>
      <c r="C40" s="265" t="s">
        <v>88</v>
      </c>
      <c r="D40" s="266">
        <v>1</v>
      </c>
      <c r="E40" s="256"/>
      <c r="F40" s="239">
        <v>0.4</v>
      </c>
      <c r="G40" s="469">
        <v>100</v>
      </c>
      <c r="H40" s="405">
        <v>26</v>
      </c>
      <c r="I40" s="424" t="str">
        <f ca="1"/>
        <v>0,000698911549093228</v>
      </c>
      <c r="J40" s="424" t="str">
        <f ca="1"/>
        <v>0,00153361308877123</v>
      </c>
      <c r="K40" s="436" t="str">
        <f ca="1"/>
        <v>0,455728732501373</v>
      </c>
      <c r="L40" s="436" t="str">
        <f ca="1"/>
        <v>0,455728732501373</v>
      </c>
      <c r="M40" s="436" t="str">
        <f ca="1"/>
        <v>-0,000356193615814604</v>
      </c>
      <c r="N40" s="437" t="str">
        <f ca="1"/>
        <v>CASINOGUICHARD_MMR.EUR.SU</v>
      </c>
      <c r="P40" s="455" t="str" cm="1">
        <f t="array" aca="1" ref="P40:T40" ca="1">IF(AND($Q$12,B64&lt;=$C$17,C64&lt;&gt;""),TRANSPOSE(INDEX(GetCDS(C64,$C$6,$C$29,F64,D64,$C$13,$C$14,$C$15,$C$8,,,TRUE,TRUE,FALSE,$C$29:$C$31,$C$33),{1;2;3;4;5})),"")</f>
        <v>0</v>
      </c>
      <c r="Q40" s="456" t="str">
        <f ca="1"/>
        <v>0,0306427423865253</v>
      </c>
      <c r="R40" s="456" t="str">
        <f ca="1"/>
        <v>0,0306427423865253</v>
      </c>
      <c r="S40" s="457" t="str">
        <f ca="1"/>
        <v>0,00705793174974852</v>
      </c>
      <c r="T40" s="458" t="str">
        <f ca="1"/>
        <v>4,34160366988773</v>
      </c>
      <c r="U40" s="459">
        <f t="shared" ca="1" si="4"/>
        <v>0.11419412477850101</v>
      </c>
      <c r="V40" s="460">
        <f t="shared" ca="1" si="0"/>
        <v>-3.4992211476423322E-3</v>
      </c>
      <c r="W40" s="459">
        <f t="shared" ca="1" si="1"/>
        <v>0.15190957750045767</v>
      </c>
      <c r="X40" s="461">
        <f t="shared" ca="1" si="2"/>
        <v>6.7050351622610941E-3</v>
      </c>
      <c r="Y40" s="460">
        <f t="shared" ca="1" si="3"/>
        <v>-2.3274630246962122E-4</v>
      </c>
      <c r="Z40" s="79"/>
    </row>
    <row r="41" spans="1:26" customFormat="1" ht="12.75" customHeight="1">
      <c r="A41" s="232"/>
      <c r="B41" s="295">
        <v>3</v>
      </c>
      <c r="C41" s="265" t="s">
        <v>89</v>
      </c>
      <c r="D41" s="266">
        <v>1</v>
      </c>
      <c r="E41" s="256"/>
      <c r="F41" s="239">
        <v>0.4</v>
      </c>
      <c r="G41" s="469">
        <v>100</v>
      </c>
      <c r="H41" s="405">
        <v>27</v>
      </c>
      <c r="I41" s="424" t="str">
        <f ca="1"/>
        <v>0,000155404202124454</v>
      </c>
      <c r="J41" s="424" t="str">
        <f ca="1"/>
        <v>0,000537690737258626</v>
      </c>
      <c r="K41" s="436" t="str">
        <f ca="1"/>
        <v>0,289021534789255</v>
      </c>
      <c r="L41" s="436" t="str">
        <f ca="1"/>
        <v>0,289021534789255</v>
      </c>
      <c r="M41" s="436" t="str">
        <f ca="1"/>
        <v>-0,000120490624756742</v>
      </c>
      <c r="N41" s="437" t="str">
        <f ca="1"/>
        <v>CENTRICA_MMR.EUR.SU</v>
      </c>
      <c r="P41" s="455" t="str" cm="1">
        <f t="array" aca="1" ref="P41:T41" ca="1">IF(AND($Q$12,B65&lt;=$C$17,C65&lt;&gt;""),TRANSPOSE(INDEX(GetCDS(C65,$C$6,$C$29,F65,D65,$C$13,$C$14,$C$15,$C$8,,,TRUE,TRUE,FALSE,$C$29:$C$31,$C$33),{1;2;3;4;5})),"")</f>
        <v>0</v>
      </c>
      <c r="Q41" s="456" t="str">
        <f ca="1"/>
        <v>0,0105036724650955</v>
      </c>
      <c r="R41" s="456" t="str">
        <f ca="1"/>
        <v>0,0105036724650955</v>
      </c>
      <c r="S41" s="457" t="str">
        <f ca="1"/>
        <v>0,00238982704328983</v>
      </c>
      <c r="T41" s="458" t="str">
        <f ca="1"/>
        <v>4,39516009938367</v>
      </c>
      <c r="U41" s="459">
        <f t="shared" ca="1" si="4"/>
        <v>0.11419412477850101</v>
      </c>
      <c r="V41" s="460">
        <f t="shared" ca="1" si="0"/>
        <v>-1.1994576841116221E-3</v>
      </c>
      <c r="W41" s="459">
        <f t="shared" ca="1" si="1"/>
        <v>9.6340511596418335E-2</v>
      </c>
      <c r="X41" s="461">
        <f t="shared" ca="1" si="2"/>
        <v>2.270335691125338E-3</v>
      </c>
      <c r="Y41" s="460">
        <f t="shared" ca="1" si="3"/>
        <v>-5.0596458946425827E-5</v>
      </c>
      <c r="Z41" s="79"/>
    </row>
    <row r="42" spans="1:26" customFormat="1" ht="15">
      <c r="A42" s="232"/>
      <c r="B42" s="295">
        <v>4</v>
      </c>
      <c r="C42" s="265" t="s">
        <v>90</v>
      </c>
      <c r="D42" s="266">
        <v>1</v>
      </c>
      <c r="E42" s="256"/>
      <c r="F42" s="239">
        <v>0.4</v>
      </c>
      <c r="G42" s="469">
        <v>100</v>
      </c>
      <c r="H42" s="405">
        <v>28</v>
      </c>
      <c r="I42" s="424" t="str">
        <f ca="1"/>
        <v>0,000466971484460333</v>
      </c>
      <c r="J42" s="424" t="str">
        <f ca="1"/>
        <v>0,00116388551953945</v>
      </c>
      <c r="K42" s="436" t="str">
        <f ca="1"/>
        <v>0,401217711382056</v>
      </c>
      <c r="L42" s="436" t="str">
        <f ca="1"/>
        <v>0,401217711382056</v>
      </c>
      <c r="M42" s="436" t="str">
        <f ca="1"/>
        <v>-0,000273841099747841</v>
      </c>
      <c r="N42" s="437" t="str">
        <f ca="1"/>
        <v>CIBASC_MMR.EUR.SU</v>
      </c>
      <c r="P42" s="455" t="str" cm="1">
        <f t="array" aca="1" ref="P42:T42" ca="1">IF(AND($Q$12,B66&lt;=$C$17,C66&lt;&gt;""),TRANSPOSE(INDEX(GetCDS(C66,$C$6,$C$29,F66,D66,$C$13,$C$14,$C$15,$C$8,,,TRUE,TRUE,FALSE,$C$29:$C$31,$C$33),{1;2;3;4;5})),"")</f>
        <v>0</v>
      </c>
      <c r="Q42" s="456" t="str">
        <f ca="1"/>
        <v>0,0231023489647099</v>
      </c>
      <c r="R42" s="456" t="str">
        <f ca="1"/>
        <v>0,0231023489647099</v>
      </c>
      <c r="S42" s="457" t="str">
        <f ca="1"/>
        <v>0,00529553989692545</v>
      </c>
      <c r="T42" s="458" t="str">
        <f ca="1"/>
        <v>4,3626050250557</v>
      </c>
      <c r="U42" s="459">
        <f t="shared" ca="1" si="4"/>
        <v>0.11419412477850101</v>
      </c>
      <c r="V42" s="460">
        <f t="shared" ca="1" si="0"/>
        <v>-2.638152520352557E-3</v>
      </c>
      <c r="W42" s="459">
        <f t="shared" ca="1" si="1"/>
        <v>0.133739237127352</v>
      </c>
      <c r="X42" s="461">
        <f t="shared" ca="1" si="2"/>
        <v>5.0307629020791772E-3</v>
      </c>
      <c r="Y42" s="460">
        <f t="shared" ca="1" si="3"/>
        <v>-1.5448452631950876E-4</v>
      </c>
      <c r="Z42" s="79"/>
    </row>
    <row r="43" spans="1:26" customFormat="1" ht="15">
      <c r="A43" s="232"/>
      <c r="B43" s="295">
        <v>5</v>
      </c>
      <c r="C43" s="265" t="s">
        <v>93</v>
      </c>
      <c r="D43" s="266">
        <v>1</v>
      </c>
      <c r="E43" s="256"/>
      <c r="F43" s="239">
        <v>0.4</v>
      </c>
      <c r="G43" s="469">
        <v>100</v>
      </c>
      <c r="H43" s="405">
        <v>29</v>
      </c>
      <c r="I43" s="424" t="str">
        <f ca="1"/>
        <v>0,000374798613313798</v>
      </c>
      <c r="J43" s="424" t="str">
        <f ca="1"/>
        <v>0,000987548252922617</v>
      </c>
      <c r="K43" s="436" t="str">
        <f ca="1"/>
        <v>0,37952435458682</v>
      </c>
      <c r="L43" s="436" t="str">
        <f ca="1"/>
        <v>0,37952435458682</v>
      </c>
      <c r="M43" s="436" t="str">
        <f ca="1"/>
        <v>-0,000234661505561773</v>
      </c>
      <c r="N43" s="437" t="str">
        <f ca="1"/>
        <v>COMMERZBANK_MMR.EUR.SU</v>
      </c>
      <c r="P43" s="455" t="str" cm="1">
        <f t="array" aca="1" ref="P43:T43" ca="1">IF(AND($Q$12,B67&lt;=$C$17,C67&lt;&gt;""),TRANSPOSE(INDEX(GetCDS(C67,$C$6,$C$29,F67,D67,$C$13,$C$14,$C$15,$C$8,,,TRUE,TRUE,FALSE,$C$29:$C$31,$C$33),{1;2;3;4;5})),"")</f>
        <v>0</v>
      </c>
      <c r="Q43" s="456" t="str">
        <f ca="1"/>
        <v>0,0194873580748977</v>
      </c>
      <c r="R43" s="456" t="str">
        <f ca="1"/>
        <v>0,0194873580748977</v>
      </c>
      <c r="S43" s="457" t="str">
        <f ca="1"/>
        <v>0,00446596747119753</v>
      </c>
      <c r="T43" s="458" t="str">
        <f ca="1"/>
        <v>4,36352441001373</v>
      </c>
      <c r="U43" s="459">
        <f t="shared" ca="1" si="4"/>
        <v>0.11419412477850101</v>
      </c>
      <c r="V43" s="460">
        <f t="shared" ca="1" si="0"/>
        <v>-2.2253417996081983E-3</v>
      </c>
      <c r="W43" s="459">
        <f t="shared" ca="1" si="1"/>
        <v>0.12650811819560667</v>
      </c>
      <c r="X43" s="461">
        <f t="shared" ca="1" si="2"/>
        <v>4.2426690976376533E-3</v>
      </c>
      <c r="Y43" s="460">
        <f t="shared" ca="1" si="3"/>
        <v>-1.2326544993296367E-4</v>
      </c>
      <c r="Z43" s="79"/>
    </row>
    <row r="44" spans="1:26" customFormat="1" ht="15">
      <c r="A44" s="232"/>
      <c r="B44" s="295">
        <v>6</v>
      </c>
      <c r="C44" s="265" t="s">
        <v>94</v>
      </c>
      <c r="D44" s="266">
        <v>1</v>
      </c>
      <c r="E44" s="256"/>
      <c r="F44" s="239">
        <v>0.4</v>
      </c>
      <c r="G44" s="469">
        <v>100</v>
      </c>
      <c r="H44" s="405">
        <v>30</v>
      </c>
      <c r="I44" s="424" t="str">
        <f ca="1"/>
        <v>0,000201846001427342</v>
      </c>
      <c r="J44" s="424" t="str">
        <f ca="1"/>
        <v>0,000650569806853861</v>
      </c>
      <c r="K44" s="436" t="str">
        <f ca="1"/>
        <v>0,310260327640264</v>
      </c>
      <c r="L44" s="436" t="str">
        <f ca="1"/>
        <v>0,310260327640264</v>
      </c>
      <c r="M44" s="436" t="str">
        <f ca="1"/>
        <v>-0,000148803230854089</v>
      </c>
      <c r="N44" s="437" t="str">
        <f ca="1"/>
        <v>COMPASS_MMR.EUR.SU</v>
      </c>
      <c r="P44" s="455" t="str" cm="1">
        <f t="array" aca="1" ref="P44:T44" ca="1">IF(AND($Q$12,B68&lt;=$C$17,C68&lt;&gt;""),TRANSPOSE(INDEX(GetCDS(C68,$C$6,$C$29,F68,D68,$C$13,$C$14,$C$15,$C$8,,,TRUE,TRUE,FALSE,$C$29:$C$31,$C$33),{1;2;3;4;5})),"")</f>
        <v>0</v>
      </c>
      <c r="Q44" s="456" t="str">
        <f ca="1"/>
        <v>0,0127708599005199</v>
      </c>
      <c r="R44" s="456" t="str">
        <f ca="1"/>
        <v>0,0127708599005199</v>
      </c>
      <c r="S44" s="457" t="str">
        <f ca="1"/>
        <v>0,00290897086651472</v>
      </c>
      <c r="T44" s="458" t="str">
        <f ca="1"/>
        <v>4,39016424933153</v>
      </c>
      <c r="U44" s="459">
        <f t="shared" ca="1" si="4"/>
        <v>0.11419412477850101</v>
      </c>
      <c r="V44" s="460">
        <f t="shared" ca="1" si="0"/>
        <v>-1.4583571690087228E-3</v>
      </c>
      <c r="W44" s="459">
        <f t="shared" ca="1" si="1"/>
        <v>0.10342010921342133</v>
      </c>
      <c r="X44" s="461">
        <f t="shared" ca="1" si="2"/>
        <v>2.7635223231889838E-3</v>
      </c>
      <c r="Y44" s="460">
        <f t="shared" ca="1" si="3"/>
        <v>-6.6038186283053592E-5</v>
      </c>
      <c r="Z44" s="79"/>
    </row>
    <row r="45" spans="1:26" customFormat="1" ht="15">
      <c r="A45" s="232"/>
      <c r="B45" s="295">
        <v>7</v>
      </c>
      <c r="C45" s="265" t="s">
        <v>95</v>
      </c>
      <c r="D45" s="266">
        <v>1</v>
      </c>
      <c r="E45" s="256"/>
      <c r="F45" s="239">
        <v>0.4</v>
      </c>
      <c r="G45" s="469">
        <v>100</v>
      </c>
      <c r="H45" s="405">
        <v>31</v>
      </c>
      <c r="I45" s="424" t="str">
        <f ca="1"/>
        <v>0,000576450020894148</v>
      </c>
      <c r="J45" s="424" t="str">
        <f ca="1"/>
        <v>0,0013388977697656</v>
      </c>
      <c r="K45" s="436" t="str">
        <f ca="1"/>
        <v>0,430540728285078</v>
      </c>
      <c r="L45" s="436" t="str">
        <f ca="1"/>
        <v>0,430540728285078</v>
      </c>
      <c r="M45" s="436" t="str">
        <f ca="1"/>
        <v>-0,000314708278370013</v>
      </c>
      <c r="N45" s="437" t="str">
        <f ca="1"/>
        <v>CONTINENTAL_MMR.EUR.SU</v>
      </c>
      <c r="P45" s="455" t="str" cm="1">
        <f t="array" aca="1" ref="P45:T45" ca="1">IF(AND($Q$12,B69&lt;=$C$17,C69&lt;&gt;""),TRANSPOSE(INDEX(GetCDS(C69,$C$6,$C$29,F69,D69,$C$13,$C$14,$C$15,$C$8,,,TRUE,TRUE,FALSE,$C$29:$C$31,$C$33),{1;2;3;4;5})),"")</f>
        <v>0</v>
      </c>
      <c r="Q45" s="456" t="str">
        <f ca="1"/>
        <v>0,0266404405418635</v>
      </c>
      <c r="R45" s="456" t="str">
        <f ca="1"/>
        <v>0,0266404405418635</v>
      </c>
      <c r="S45" s="457" t="str">
        <f ca="1"/>
        <v>0,00612522202168216</v>
      </c>
      <c r="T45" s="458" t="str">
        <f ca="1"/>
        <v>4,34930202489987</v>
      </c>
      <c r="U45" s="459">
        <f t="shared" ca="1" si="4"/>
        <v>0.11419412477850101</v>
      </c>
      <c r="V45" s="460">
        <f t="shared" ca="1" si="0"/>
        <v>-3.0421817913917973E-3</v>
      </c>
      <c r="W45" s="459">
        <f t="shared" ca="1" si="1"/>
        <v>0.14351357609502599</v>
      </c>
      <c r="X45" s="461">
        <f t="shared" ca="1" si="2"/>
        <v>5.8189609205980515E-3</v>
      </c>
      <c r="Y45" s="460">
        <f t="shared" ca="1" si="3"/>
        <v>-1.9116324454548743E-4</v>
      </c>
      <c r="Z45" s="79"/>
    </row>
    <row r="46" spans="1:26" customFormat="1" ht="15">
      <c r="A46" s="232"/>
      <c r="B46" s="295">
        <v>8</v>
      </c>
      <c r="C46" s="265" t="s">
        <v>96</v>
      </c>
      <c r="D46" s="266">
        <v>1</v>
      </c>
      <c r="E46" s="256"/>
      <c r="F46" s="239">
        <v>0.4</v>
      </c>
      <c r="G46" s="469">
        <v>100</v>
      </c>
      <c r="H46" s="405">
        <v>32</v>
      </c>
      <c r="I46" s="424" t="str">
        <f ca="1"/>
        <v>0,000222965485582294</v>
      </c>
      <c r="J46" s="424" t="str">
        <f ca="1"/>
        <v>0,000695700765598641</v>
      </c>
      <c r="K46" s="436" t="str">
        <f ca="1"/>
        <v>0,320490499087543</v>
      </c>
      <c r="L46" s="436" t="str">
        <f ca="1"/>
        <v>0,320490499087543</v>
      </c>
      <c r="M46" s="436" t="str">
        <f ca="1"/>
        <v>-0,000161122014425352</v>
      </c>
      <c r="N46" s="437" t="str">
        <f ca="1"/>
        <v>CREDITAGRICOLE_MMR.EUR.SU</v>
      </c>
      <c r="P46" s="455" t="str" cm="1">
        <f t="array" aca="1" ref="P46:T46" ca="1">IF(AND($Q$12,B70&lt;=$C$17,C70&lt;&gt;""),TRANSPOSE(INDEX(GetCDS(C70,$C$6,$C$29,F70,D70,$C$13,$C$14,$C$15,$C$8,,,TRUE,TRUE,FALSE,$C$29:$C$31,$C$33),{1;2;3;4;5})),"")</f>
        <v>0</v>
      </c>
      <c r="Q46" s="456" t="str">
        <f ca="1"/>
        <v>0,0136683951202508</v>
      </c>
      <c r="R46" s="456" t="str">
        <f ca="1"/>
        <v>0,0136683951202508</v>
      </c>
      <c r="S46" s="457" t="str">
        <f ca="1"/>
        <v>0,00311664477264424</v>
      </c>
      <c r="T46" s="458" t="str">
        <f ca="1"/>
        <v>4,38561213014154</v>
      </c>
      <c r="U46" s="459">
        <f t="shared" ca="1" si="4"/>
        <v>0.11419412477850101</v>
      </c>
      <c r="V46" s="460">
        <f t="shared" ca="1" si="0"/>
        <v>-1.5608504178837744E-3</v>
      </c>
      <c r="W46" s="459">
        <f t="shared" ca="1" si="1"/>
        <v>0.10683016636251434</v>
      </c>
      <c r="X46" s="461">
        <f t="shared" ca="1" si="2"/>
        <v>2.9608125340120279E-3</v>
      </c>
      <c r="Y46" s="460">
        <f t="shared" ca="1" si="3"/>
        <v>-7.3009846230248572E-5</v>
      </c>
      <c r="Z46" s="79"/>
    </row>
    <row r="47" spans="1:26" customFormat="1" ht="15">
      <c r="A47" s="232"/>
      <c r="B47" s="295">
        <v>9</v>
      </c>
      <c r="C47" s="265" t="s">
        <v>97</v>
      </c>
      <c r="D47" s="266">
        <v>1</v>
      </c>
      <c r="E47" s="256"/>
      <c r="F47" s="239">
        <v>0.4</v>
      </c>
      <c r="G47" s="469">
        <v>100</v>
      </c>
      <c r="H47" s="405">
        <v>33</v>
      </c>
      <c r="I47" s="424" t="str">
        <f ca="1"/>
        <v>0,000432848192190516</v>
      </c>
      <c r="J47" s="424" t="str">
        <f ca="1"/>
        <v>0,00109797138953696</v>
      </c>
      <c r="K47" s="436" t="str">
        <f ca="1"/>
        <v>0,394225383571295</v>
      </c>
      <c r="L47" s="436" t="str">
        <f ca="1"/>
        <v>0,394225383571295</v>
      </c>
      <c r="M47" s="436" t="str">
        <f ca="1"/>
        <v>-0,000259846913769856</v>
      </c>
      <c r="N47" s="437" t="str">
        <f ca="1"/>
        <v>CREDITSUISSEGROUP_MMR.EUR.SU</v>
      </c>
      <c r="P47" s="455" t="str" cm="1">
        <f t="array" aca="1" ref="P47:T47" ca="1">IF(AND($Q$12,B71&lt;=$C$17,C71&lt;&gt;""),TRANSPOSE(INDEX(GetCDS(C71,$C$6,$C$29,F71,D71,$C$13,$C$14,$C$15,$C$8,,,TRUE,TRUE,FALSE,$C$29:$C$31,$C$33),{1;2;3;4;5})),"")</f>
        <v>0</v>
      </c>
      <c r="Q47" s="456" t="str">
        <f ca="1"/>
        <v>0,0217406171872072</v>
      </c>
      <c r="R47" s="456" t="str">
        <f ca="1"/>
        <v>0,0217406171872072</v>
      </c>
      <c r="S47" s="457" t="str">
        <f ca="1"/>
        <v>0,00498453903157198</v>
      </c>
      <c r="T47" s="458" t="str">
        <f ca="1"/>
        <v>4,36161038152225</v>
      </c>
      <c r="U47" s="459">
        <f t="shared" ca="1" si="4"/>
        <v>0.11419412477850101</v>
      </c>
      <c r="V47" s="460">
        <f t="shared" ca="1" si="0"/>
        <v>-2.4826507518375634E-3</v>
      </c>
      <c r="W47" s="459">
        <f t="shared" ca="1" si="1"/>
        <v>0.13140846119043167</v>
      </c>
      <c r="X47" s="461">
        <f t="shared" ca="1" si="2"/>
        <v>4.735312079993381E-3</v>
      </c>
      <c r="Y47" s="460">
        <f t="shared" ca="1" si="3"/>
        <v>-1.4284505249505746E-4</v>
      </c>
      <c r="Z47" s="79"/>
    </row>
    <row r="48" spans="1:26" customFormat="1" ht="15">
      <c r="A48" s="232"/>
      <c r="B48" s="295">
        <v>10</v>
      </c>
      <c r="C48" s="265" t="s">
        <v>98</v>
      </c>
      <c r="D48" s="266">
        <v>1</v>
      </c>
      <c r="E48" s="256"/>
      <c r="F48" s="239">
        <v>0.4</v>
      </c>
      <c r="G48" s="469">
        <v>100</v>
      </c>
      <c r="H48" s="405">
        <v>34</v>
      </c>
      <c r="I48" s="424" t="str">
        <f ca="1"/>
        <v>0,000195124320178807</v>
      </c>
      <c r="J48" s="424" t="str">
        <f ca="1"/>
        <v>0,000628196848834288</v>
      </c>
      <c r="K48" s="436" t="str">
        <f ca="1"/>
        <v>0,310610154350327</v>
      </c>
      <c r="L48" s="436" t="str">
        <f ca="1"/>
        <v>0,310610154350327</v>
      </c>
      <c r="M48" s="436" t="str">
        <f ca="1"/>
        <v>-0,00014557098899377</v>
      </c>
      <c r="N48" s="437" t="str">
        <f ca="1"/>
        <v>DAIMLERCHRYSLER_MMR.EUR.SU</v>
      </c>
      <c r="P48" s="455" t="str" cm="1">
        <f t="array" aca="1" ref="P48:T48" ca="1">IF(AND($Q$12,B72&lt;=$C$17,C72&lt;&gt;""),TRANSPOSE(INDEX(GetCDS(C72,$C$6,$C$29,F72,D72,$C$13,$C$14,$C$15,$C$8,,,TRUE,TRUE,FALSE,$C$29:$C$31,$C$33),{1;2;3;4;5})),"")</f>
        <v>0</v>
      </c>
      <c r="Q48" s="456" t="str">
        <f ca="1"/>
        <v>0,0123014381648679</v>
      </c>
      <c r="R48" s="456" t="str">
        <f ca="1"/>
        <v>0,0123014381648679</v>
      </c>
      <c r="S48" s="457" t="str">
        <f ca="1"/>
        <v>0,00280525514291189</v>
      </c>
      <c r="T48" s="458" t="str">
        <f ca="1"/>
        <v>4,38514058015374</v>
      </c>
      <c r="U48" s="459">
        <f t="shared" ca="1" si="4"/>
        <v>0.11419412477850101</v>
      </c>
      <c r="V48" s="460">
        <f t="shared" ca="1" si="0"/>
        <v>-1.4047519647539405E-3</v>
      </c>
      <c r="W48" s="459">
        <f t="shared" ca="1" si="1"/>
        <v>0.10353671811677567</v>
      </c>
      <c r="X48" s="461">
        <f t="shared" ca="1" si="2"/>
        <v>2.6649923857662958E-3</v>
      </c>
      <c r="Y48" s="460">
        <f t="shared" ca="1" si="3"/>
        <v>-6.3682526785343704E-5</v>
      </c>
      <c r="Z48" s="79"/>
    </row>
    <row r="49" spans="1:26" customFormat="1" ht="15">
      <c r="A49" s="232"/>
      <c r="B49" s="295">
        <v>11</v>
      </c>
      <c r="C49" s="265" t="s">
        <v>99</v>
      </c>
      <c r="D49" s="266">
        <v>1</v>
      </c>
      <c r="E49" s="256"/>
      <c r="F49" s="239">
        <v>0.4</v>
      </c>
      <c r="G49" s="469">
        <v>100</v>
      </c>
      <c r="H49" s="405">
        <v>35</v>
      </c>
      <c r="I49" s="424" t="str">
        <f ca="1"/>
        <v>0,00019248649256991</v>
      </c>
      <c r="J49" s="424" t="str">
        <f ca="1"/>
        <v>0,00062793472808133</v>
      </c>
      <c r="K49" s="436" t="str">
        <f ca="1"/>
        <v>0,306539014266749</v>
      </c>
      <c r="L49" s="436" t="str">
        <f ca="1"/>
        <v>0,306539014266749</v>
      </c>
      <c r="M49" s="436" t="str">
        <f ca="1"/>
        <v>-0,000143447043484613</v>
      </c>
      <c r="N49" s="437" t="str">
        <f ca="1"/>
        <v>DANONE_MMR.EUR.SU</v>
      </c>
      <c r="P49" s="455" t="str" cm="1">
        <f t="array" aca="1" ref="P49:T49" ca="1">IF(AND($Q$12,B73&lt;=$C$17,C73&lt;&gt;""),TRANSPOSE(INDEX(GetCDS(C73,$C$6,$C$29,F73,D73,$C$13,$C$14,$C$15,$C$8,,,TRUE,TRUE,FALSE,$C$29:$C$31,$C$33),{1;2;3;4;5})),"")</f>
        <v>0</v>
      </c>
      <c r="Q49" s="456" t="str">
        <f ca="1"/>
        <v>0,0123163887460671</v>
      </c>
      <c r="R49" s="456" t="str">
        <f ca="1"/>
        <v>0,0123163887460671</v>
      </c>
      <c r="S49" s="457" t="str">
        <f ca="1"/>
        <v>0,00280517487574201</v>
      </c>
      <c r="T49" s="458" t="str">
        <f ca="1"/>
        <v>4,39059569960295</v>
      </c>
      <c r="U49" s="459">
        <f t="shared" ca="1" si="4"/>
        <v>0.11419412477850101</v>
      </c>
      <c r="V49" s="460">
        <f t="shared" ca="1" si="0"/>
        <v>-1.4064592332889128E-3</v>
      </c>
      <c r="W49" s="459">
        <f t="shared" ca="1" si="1"/>
        <v>0.10217967142224967</v>
      </c>
      <c r="X49" s="461">
        <f t="shared" ca="1" si="2"/>
        <v>2.6649161319549091E-3</v>
      </c>
      <c r="Y49" s="460">
        <f t="shared" ca="1" si="3"/>
        <v>-6.2924227759091666E-5</v>
      </c>
      <c r="Z49" s="79"/>
    </row>
    <row r="50" spans="1:26" customFormat="1" ht="15">
      <c r="A50" s="232"/>
      <c r="B50" s="295">
        <v>12</v>
      </c>
      <c r="C50" s="265" t="s">
        <v>100</v>
      </c>
      <c r="D50" s="266">
        <v>1</v>
      </c>
      <c r="E50" s="256"/>
      <c r="F50" s="239">
        <v>0.4</v>
      </c>
      <c r="G50" s="469">
        <v>100</v>
      </c>
      <c r="H50" s="405">
        <v>36</v>
      </c>
      <c r="I50" s="424" t="str">
        <f ca="1"/>
        <v>0,000350129615842398</v>
      </c>
      <c r="J50" s="424" t="str">
        <f ca="1"/>
        <v>0,000942949023168498</v>
      </c>
      <c r="K50" s="436" t="str">
        <f ca="1"/>
        <v>0,371313408508439</v>
      </c>
      <c r="L50" s="436" t="str">
        <f ca="1"/>
        <v>0,371313408508439</v>
      </c>
      <c r="M50" s="436" t="str">
        <f ca="1"/>
        <v>-0,00022378014161899</v>
      </c>
      <c r="N50" s="437" t="str">
        <f ca="1"/>
        <v>DEUTSCHEBANK_MMR.EUR.SU</v>
      </c>
      <c r="P50" s="455" t="str" cm="1">
        <f t="array" aca="1" ref="P50:T50" ca="1">IF(AND($Q$12,B74&lt;=$C$17,C74&lt;&gt;""),TRANSPOSE(INDEX(GetCDS(C74,$C$6,$C$29,F74,D74,$C$13,$C$14,$C$15,$C$8,,,TRUE,TRUE,FALSE,$C$29:$C$31,$C$33),{1;2;3;4;5})),"")</f>
        <v>0</v>
      </c>
      <c r="Q50" s="456" t="str">
        <f ca="1"/>
        <v>0,0185948837483407</v>
      </c>
      <c r="R50" s="456" t="str">
        <f ca="1"/>
        <v>0,0185948837483407</v>
      </c>
      <c r="S50" s="457" t="str">
        <f ca="1"/>
        <v>0,00425844615817991</v>
      </c>
      <c r="T50" s="458" t="str">
        <f ca="1"/>
        <v>4,36658890535046</v>
      </c>
      <c r="U50" s="459">
        <f t="shared" ca="1" si="4"/>
        <v>0.11419412477850101</v>
      </c>
      <c r="V50" s="460">
        <f t="shared" ca="1" si="0"/>
        <v>-2.1234264749997365E-3</v>
      </c>
      <c r="W50" s="459">
        <f t="shared" ca="1" si="1"/>
        <v>0.12377113616947967</v>
      </c>
      <c r="X50" s="461">
        <f t="shared" ca="1" si="2"/>
        <v>4.0455238502709141E-3</v>
      </c>
      <c r="Y50" s="460">
        <f t="shared" ca="1" si="3"/>
        <v>-1.1507549442357622E-4</v>
      </c>
      <c r="Z50" s="79"/>
    </row>
    <row r="51" spans="1:26" customFormat="1" ht="15">
      <c r="A51" s="232"/>
      <c r="B51" s="295">
        <v>13</v>
      </c>
      <c r="C51" s="265" t="s">
        <v>101</v>
      </c>
      <c r="D51" s="266">
        <v>1</v>
      </c>
      <c r="E51" s="256"/>
      <c r="F51" s="239">
        <v>0.4</v>
      </c>
      <c r="G51" s="469">
        <v>100</v>
      </c>
      <c r="H51" s="405">
        <v>37</v>
      </c>
      <c r="I51" s="424" t="str">
        <f ca="1"/>
        <v>0,000164024193245793</v>
      </c>
      <c r="J51" s="424" t="str">
        <f ca="1"/>
        <v>0,000560374324756444</v>
      </c>
      <c r="K51" s="436" t="str">
        <f ca="1"/>
        <v>0,292704690417576</v>
      </c>
      <c r="L51" s="436" t="str">
        <f ca="1"/>
        <v>0,292704690417576</v>
      </c>
      <c r="M51" s="436" t="str">
        <f ca="1"/>
        <v>-0,000125612816390119</v>
      </c>
      <c r="N51" s="437" t="str">
        <f ca="1"/>
        <v>DEUTSCHEPOSTAG_MMR.EUR.SU</v>
      </c>
      <c r="P51" s="455" t="str" cm="1">
        <f t="array" aca="1" ref="P51:T51" ca="1">IF(AND($Q$12,B75&lt;=$C$17,C75&lt;&gt;""),TRANSPOSE(INDEX(GetCDS(C75,$C$6,$C$29,F75,D75,$C$13,$C$14,$C$15,$C$8,,,TRUE,TRUE,FALSE,$C$29:$C$31,$C$33),{1;2;3;4;5})),"")</f>
        <v>0</v>
      </c>
      <c r="Q51" s="456" t="str">
        <f ca="1"/>
        <v>0,0109606948147682</v>
      </c>
      <c r="R51" s="456" t="str">
        <f ca="1"/>
        <v>0,0109606948147682</v>
      </c>
      <c r="S51" s="457" t="str">
        <f ca="1"/>
        <v>0,00249365625625196</v>
      </c>
      <c r="T51" s="458" t="str">
        <f ca="1"/>
        <v>4,39543132189456</v>
      </c>
      <c r="U51" s="459">
        <f t="shared" ca="1" si="4"/>
        <v>0.11419412477850101</v>
      </c>
      <c r="V51" s="460">
        <f t="shared" ca="1" si="0"/>
        <v>-1.2516469513367081E-3</v>
      </c>
      <c r="W51" s="459">
        <f t="shared" ca="1" si="1"/>
        <v>9.7568230139192011E-2</v>
      </c>
      <c r="X51" s="461">
        <f t="shared" ca="1" si="2"/>
        <v>2.368973443439362E-3</v>
      </c>
      <c r="Y51" s="460">
        <f t="shared" ca="1" si="3"/>
        <v>-5.3470779708637636E-5</v>
      </c>
      <c r="Z51" s="79"/>
    </row>
    <row r="52" spans="1:26" customFormat="1" ht="15">
      <c r="A52" s="232"/>
      <c r="B52" s="295">
        <v>14</v>
      </c>
      <c r="C52" s="265" t="s">
        <v>102</v>
      </c>
      <c r="D52" s="266">
        <v>1</v>
      </c>
      <c r="E52" s="256"/>
      <c r="F52" s="239">
        <v>0.4</v>
      </c>
      <c r="G52" s="469">
        <v>100</v>
      </c>
      <c r="H52" s="405">
        <v>38</v>
      </c>
      <c r="I52" s="424" t="str">
        <f ca="1"/>
        <v>0,000321607885131226</v>
      </c>
      <c r="J52" s="424" t="str">
        <f ca="1"/>
        <v>0,000897718482272198</v>
      </c>
      <c r="K52" s="436" t="str">
        <f ca="1"/>
        <v>0,358250266071397</v>
      </c>
      <c r="L52" s="436" t="str">
        <f ca="1"/>
        <v>0,358250266071397</v>
      </c>
      <c r="M52" s="436" t="str">
        <f ca="1"/>
        <v>-0,000211420933570161</v>
      </c>
      <c r="N52" s="437" t="str">
        <f ca="1"/>
        <v>DEUTSCHETELEKOM_MMR.EUR.SU</v>
      </c>
      <c r="P52" s="455" t="str" cm="1">
        <f t="array" aca="1" ref="P52:T52" ca="1">IF(AND($Q$12,B76&lt;=$C$17,C76&lt;&gt;""),TRANSPOSE(INDEX(GetCDS(C76,$C$6,$C$29,F76,D76,$C$13,$C$14,$C$15,$C$8,,,TRUE,TRUE,FALSE,$C$29:$C$31,$C$33),{1;2;3;4;5})),"")</f>
        <v>0</v>
      </c>
      <c r="Q52" s="456" t="str">
        <f ca="1"/>
        <v>0,0177183074212997</v>
      </c>
      <c r="R52" s="456" t="str">
        <f ca="1"/>
        <v>0,0177183074212997</v>
      </c>
      <c r="S52" s="457" t="str">
        <f ca="1"/>
        <v>0,00405077244102119</v>
      </c>
      <c r="T52" s="458" t="str">
        <f ca="1"/>
        <v>4,37405647423457</v>
      </c>
      <c r="U52" s="459">
        <f t="shared" ca="1" si="4"/>
        <v>0.11419412477850101</v>
      </c>
      <c r="V52" s="460">
        <f t="shared" ca="1" si="0"/>
        <v>-2.0233266085317395E-3</v>
      </c>
      <c r="W52" s="459">
        <f t="shared" ca="1" si="1"/>
        <v>0.11941675535713232</v>
      </c>
      <c r="X52" s="461">
        <f t="shared" ca="1" si="2"/>
        <v>3.8482338189701304E-3</v>
      </c>
      <c r="Y52" s="460">
        <f t="shared" ca="1" si="3"/>
        <v>-1.057931391335907E-4</v>
      </c>
      <c r="Z52" s="79"/>
    </row>
    <row r="53" spans="1:26" customFormat="1" ht="15">
      <c r="A53" s="232"/>
      <c r="B53" s="295">
        <v>15</v>
      </c>
      <c r="C53" s="265" t="s">
        <v>103</v>
      </c>
      <c r="D53" s="266">
        <v>1</v>
      </c>
      <c r="E53" s="256"/>
      <c r="F53" s="239">
        <v>0.4</v>
      </c>
      <c r="G53" s="469">
        <v>100</v>
      </c>
      <c r="H53" s="405">
        <v>39</v>
      </c>
      <c r="I53" s="424" t="str">
        <f ca="1"/>
        <v>0,000211674031205966</v>
      </c>
      <c r="J53" s="424" t="str">
        <f ca="1"/>
        <v>0,000673025354730098</v>
      </c>
      <c r="K53" s="436" t="str">
        <f ca="1"/>
        <v>0,314511228616124</v>
      </c>
      <c r="L53" s="436" t="str">
        <f ca="1"/>
        <v>0,314511228616124</v>
      </c>
      <c r="M53" s="436" t="str">
        <f ca="1"/>
        <v>-0,00015426257358575</v>
      </c>
      <c r="N53" s="437" t="str">
        <f ca="1"/>
        <v>DIAGEO_MMR.EUR.SU</v>
      </c>
      <c r="P53" s="455" t="str" cm="1">
        <f t="array" aca="1" ref="P53:T53" ca="1">IF(AND($Q$12,B77&lt;=$C$17,C77&lt;&gt;""),TRANSPOSE(INDEX(GetCDS(C77,$C$6,$C$29,F77,D77,$C$13,$C$14,$C$15,$C$8,,,TRUE,TRUE,FALSE,$C$29:$C$31,$C$33),{1;2;3;4;5})),"")</f>
        <v>0</v>
      </c>
      <c r="Q53" s="456" t="str">
        <f ca="1"/>
        <v>0,013224968291154</v>
      </c>
      <c r="R53" s="456" t="str">
        <f ca="1"/>
        <v>0,013224968291154</v>
      </c>
      <c r="S53" s="457" t="str">
        <f ca="1"/>
        <v>0,00301279931328354</v>
      </c>
      <c r="T53" s="458" t="str">
        <f ca="1"/>
        <v>4,38959483057655</v>
      </c>
      <c r="U53" s="459">
        <f t="shared" ca="1" si="4"/>
        <v>0.11419412477850101</v>
      </c>
      <c r="V53" s="460">
        <f t="shared" ca="1" si="0"/>
        <v>-1.5102136792317601E-3</v>
      </c>
      <c r="W53" s="459">
        <f t="shared" ca="1" si="1"/>
        <v>0.10483707620537468</v>
      </c>
      <c r="X53" s="461">
        <f t="shared" ca="1" si="2"/>
        <v>2.862159347619363E-3</v>
      </c>
      <c r="Y53" s="460">
        <f t="shared" ca="1" si="3"/>
        <v>-6.9323350427668938E-5</v>
      </c>
      <c r="Z53" s="79"/>
    </row>
    <row r="54" spans="1:26" customFormat="1" ht="15">
      <c r="A54" s="232"/>
      <c r="B54" s="295">
        <v>16</v>
      </c>
      <c r="C54" s="265" t="s">
        <v>104</v>
      </c>
      <c r="D54" s="266">
        <v>1</v>
      </c>
      <c r="E54" s="256"/>
      <c r="F54" s="239">
        <v>0.4</v>
      </c>
      <c r="G54" s="469">
        <v>100</v>
      </c>
      <c r="H54" s="405">
        <v>40</v>
      </c>
      <c r="I54" s="424" t="str">
        <f ca="1"/>
        <v>0,000874664844701134</v>
      </c>
      <c r="J54" s="424" t="str">
        <f ca="1"/>
        <v>0,00178947725903894</v>
      </c>
      <c r="K54" s="436" t="str">
        <f ca="1"/>
        <v>0,488782319128706</v>
      </c>
      <c r="L54" s="436" t="str">
        <f ca="1"/>
        <v>0,488782319128706</v>
      </c>
      <c r="M54" s="436" t="str">
        <f ca="1"/>
        <v>-0,000408688713481231</v>
      </c>
      <c r="N54" s="437" t="str">
        <f ca="1"/>
        <v>DIXONSGROUPPLC_MMR.EUR.SU</v>
      </c>
      <c r="P54" s="455" t="str" cm="1">
        <f t="array" aca="1" ref="P54:T54" ca="1">IF(AND($Q$12,B78&lt;=$C$17,C78&lt;&gt;""),TRANSPOSE(INDEX(GetCDS(C78,$C$6,$C$29,F78,D78,$C$13,$C$14,$C$15,$C$8,,,TRUE,TRUE,FALSE,$C$29:$C$31,$C$33),{1;2;3;4;5})),"")</f>
        <v>0</v>
      </c>
      <c r="Q54" s="456" t="str">
        <f ca="1"/>
        <v>0,0359184964870382</v>
      </c>
      <c r="R54" s="456" t="str">
        <f ca="1"/>
        <v>0,0359184964870382</v>
      </c>
      <c r="S54" s="457" t="str">
        <f ca="1"/>
        <v>0,00830108236465261</v>
      </c>
      <c r="T54" s="458" t="str">
        <f ca="1"/>
        <v>4,3269654376621</v>
      </c>
      <c r="U54" s="459">
        <f t="shared" ca="1" si="4"/>
        <v>0.11419412477850101</v>
      </c>
      <c r="V54" s="460">
        <f t="shared" ca="1" si="0"/>
        <v>-4.1016812696969924E-3</v>
      </c>
      <c r="W54" s="459">
        <f t="shared" ca="1" si="1"/>
        <v>0.16292743970956866</v>
      </c>
      <c r="X54" s="461">
        <f t="shared" ca="1" si="2"/>
        <v>7.8860282464199797E-3</v>
      </c>
      <c r="Y54" s="460">
        <f t="shared" ca="1" si="3"/>
        <v>-2.9260543354251334E-4</v>
      </c>
      <c r="Z54" s="79"/>
    </row>
    <row r="55" spans="1:26" customFormat="1" ht="15">
      <c r="A55" s="232"/>
      <c r="B55" s="295">
        <v>17</v>
      </c>
      <c r="C55" s="265" t="s">
        <v>105</v>
      </c>
      <c r="D55" s="266">
        <v>1</v>
      </c>
      <c r="E55" s="256"/>
      <c r="F55" s="239">
        <v>0.4</v>
      </c>
      <c r="G55" s="469">
        <v>100</v>
      </c>
      <c r="H55" s="405">
        <v>41</v>
      </c>
      <c r="I55" s="424" t="str">
        <f ca="1"/>
        <v>0,000201770992587002</v>
      </c>
      <c r="J55" s="424" t="str">
        <f ca="1"/>
        <v>0,000650584013006968</v>
      </c>
      <c r="K55" s="436" t="str">
        <f ca="1"/>
        <v>0,31013825816965</v>
      </c>
      <c r="L55" s="436" t="str">
        <f ca="1"/>
        <v>0,31013825816965</v>
      </c>
      <c r="M55" s="436" t="str">
        <f ca="1"/>
        <v>-0,000148556205595063</v>
      </c>
      <c r="N55" s="437" t="str">
        <f ca="1"/>
        <v>DSM_MMR.EUR.SU</v>
      </c>
      <c r="P55" s="455" t="str" cm="1">
        <f t="array" aca="1" ref="P55:T55" ca="1">IF(AND($Q$12,B79&lt;=$C$17,C79&lt;&gt;""),TRANSPOSE(INDEX(GetCDS(C79,$C$6,$C$29,F79,D79,$C$13,$C$14,$C$15,$C$8,,,TRUE,TRUE,FALSE,$C$29:$C$31,$C$33),{1;2;3;4;5})),"")</f>
        <v>0</v>
      </c>
      <c r="Q55" s="456" t="str">
        <f ca="1"/>
        <v>0,0127725552397255</v>
      </c>
      <c r="R55" s="456" t="str">
        <f ca="1"/>
        <v>0,0127725552397255</v>
      </c>
      <c r="S55" s="457" t="str">
        <f ca="1"/>
        <v>0,00290897148497851</v>
      </c>
      <c r="T55" s="458" t="str">
        <f ca="1"/>
        <v>4,3907461127347</v>
      </c>
      <c r="U55" s="459">
        <f t="shared" ca="1" si="4"/>
        <v>0.11419412477850101</v>
      </c>
      <c r="V55" s="460">
        <f t="shared" ca="1" si="0"/>
        <v>-1.4585507667855082E-3</v>
      </c>
      <c r="W55" s="459">
        <f t="shared" ca="1" si="1"/>
        <v>0.10337941938988333</v>
      </c>
      <c r="X55" s="461">
        <f t="shared" ca="1" si="2"/>
        <v>2.7635229107295842E-3</v>
      </c>
      <c r="Y55" s="460">
        <f t="shared" ca="1" si="3"/>
        <v>-6.6020967240401659E-5</v>
      </c>
      <c r="Z55" s="79"/>
    </row>
    <row r="56" spans="1:26" customFormat="1" ht="15">
      <c r="A56" s="232"/>
      <c r="B56" s="295">
        <v>18</v>
      </c>
      <c r="C56" s="265" t="s">
        <v>106</v>
      </c>
      <c r="D56" s="266">
        <v>1</v>
      </c>
      <c r="E56" s="256"/>
      <c r="F56" s="239">
        <v>0.4</v>
      </c>
      <c r="G56" s="469">
        <v>100</v>
      </c>
      <c r="H56" s="405">
        <v>42</v>
      </c>
      <c r="I56" s="424" t="str">
        <f ca="1"/>
        <v>0,000201589466329022</v>
      </c>
      <c r="J56" s="424" t="str">
        <f ca="1"/>
        <v>0,000650627709424151</v>
      </c>
      <c r="K56" s="436" t="str">
        <f ca="1"/>
        <v>0,309838427427941</v>
      </c>
      <c r="L56" s="436" t="str">
        <f ca="1"/>
        <v>0,309838427427941</v>
      </c>
      <c r="M56" s="436" t="str">
        <f ca="1"/>
        <v>-0,000148195374159888</v>
      </c>
      <c r="N56" s="437" t="str">
        <f ca="1"/>
        <v>EADS_MMR.EUR.SU</v>
      </c>
      <c r="P56" s="455" t="str" cm="1">
        <f t="array" aca="1" ref="P56:T56" ca="1">IF(AND($Q$12,B80&lt;=$C$17,C80&lt;&gt;""),TRANSPOSE(INDEX(GetCDS(C80,$C$6,$C$29,F80,D80,$C$13,$C$14,$C$15,$C$8,,,TRUE,TRUE,FALSE,$C$29:$C$31,$C$33),{1;2;3;4;5})),"")</f>
        <v>0</v>
      </c>
      <c r="Q56" s="456" t="str">
        <f ca="1"/>
        <v>0,0127748754914939</v>
      </c>
      <c r="R56" s="456" t="str">
        <f ca="1"/>
        <v>0,0127748754914939</v>
      </c>
      <c r="S56" s="457" t="str">
        <f ca="1"/>
        <v>0,00290896393337696</v>
      </c>
      <c r="T56" s="458" t="str">
        <f ca="1"/>
        <v>4,39155513236762</v>
      </c>
      <c r="U56" s="459">
        <f t="shared" ca="1" si="4"/>
        <v>0.11419412477850101</v>
      </c>
      <c r="V56" s="460">
        <f t="shared" ca="1" si="0"/>
        <v>-1.4588157259054675E-3</v>
      </c>
      <c r="W56" s="459">
        <f t="shared" ca="1" si="1"/>
        <v>0.10327947580931367</v>
      </c>
      <c r="X56" s="461">
        <f t="shared" ca="1" si="2"/>
        <v>2.7635157367081119E-3</v>
      </c>
      <c r="Y56" s="460">
        <f t="shared" ca="1" si="3"/>
        <v>-6.596912221453693E-5</v>
      </c>
      <c r="Z56" s="79"/>
    </row>
    <row r="57" spans="1:26" customFormat="1" ht="15">
      <c r="A57" s="232"/>
      <c r="B57" s="295">
        <v>19</v>
      </c>
      <c r="C57" s="265" t="s">
        <v>107</v>
      </c>
      <c r="D57" s="266">
        <v>1</v>
      </c>
      <c r="E57" s="256"/>
      <c r="F57" s="239">
        <v>0.4</v>
      </c>
      <c r="G57" s="469">
        <v>100</v>
      </c>
      <c r="H57" s="405">
        <v>43</v>
      </c>
      <c r="I57" s="424" t="str">
        <f ca="1"/>
        <v>0,00013756390112738</v>
      </c>
      <c r="J57" s="424" t="str">
        <f ca="1"/>
        <v>0,000492466823024791</v>
      </c>
      <c r="K57" s="436" t="str">
        <f ca="1"/>
        <v>0,279336383073373</v>
      </c>
      <c r="L57" s="436" t="str">
        <f ca="1"/>
        <v>0,279336383073373</v>
      </c>
      <c r="M57" s="436" t="str">
        <f ca="1"/>
        <v>-0,000108565343423161</v>
      </c>
      <c r="N57" s="437" t="str">
        <f ca="1"/>
        <v>EDF_MMR.EUR.SU</v>
      </c>
      <c r="P57" s="455" t="str" cm="1">
        <f t="array" aca="1" ref="P57:T57" ca="1">IF(AND($Q$12,B81&lt;=$C$17,C81&lt;&gt;""),TRANSPOSE(INDEX(GetCDS(C81,$C$6,$C$29,F81,D81,$C$13,$C$14,$C$15,$C$8,,,TRUE,TRUE,FALSE,$C$29:$C$31,$C$33),{1;2;3;4;5})),"")</f>
        <v>8,67361737988404E-18</v>
      </c>
      <c r="Q57" s="456" t="str">
        <f ca="1"/>
        <v>0,00959761106293847</v>
      </c>
      <c r="R57" s="456" t="str">
        <f ca="1"/>
        <v>0,00959761106293846</v>
      </c>
      <c r="S57" s="457" t="str">
        <f ca="1"/>
        <v>0,00218211391260972</v>
      </c>
      <c r="T57" s="458" t="str">
        <f ca="1"/>
        <v>4,39830890929984</v>
      </c>
      <c r="U57" s="459">
        <f t="shared" ca="1" si="4"/>
        <v>0.11419412477850101</v>
      </c>
      <c r="V57" s="460">
        <f t="shared" ca="1" si="0"/>
        <v>-1.0959907952967165E-3</v>
      </c>
      <c r="W57" s="459">
        <f t="shared" ca="1" si="1"/>
        <v>9.3112127691124327E-2</v>
      </c>
      <c r="X57" s="461">
        <f t="shared" ca="1" si="2"/>
        <v>2.0730082169792339E-3</v>
      </c>
      <c r="Y57" s="460">
        <f t="shared" ca="1" si="3"/>
        <v>-4.4682699341103646E-5</v>
      </c>
      <c r="Z57" s="79"/>
    </row>
    <row r="58" spans="1:26" customFormat="1" ht="15">
      <c r="A58" s="232"/>
      <c r="B58" s="295">
        <v>20</v>
      </c>
      <c r="C58" s="265" t="s">
        <v>108</v>
      </c>
      <c r="D58" s="266">
        <v>1</v>
      </c>
      <c r="E58" s="256"/>
      <c r="F58" s="239">
        <v>0.4</v>
      </c>
      <c r="G58" s="469">
        <v>100</v>
      </c>
      <c r="H58" s="405">
        <v>44</v>
      </c>
      <c r="I58" s="424" t="str">
        <f ca="1"/>
        <v>0,000265800151870011</v>
      </c>
      <c r="J58" s="424" t="str">
        <f ca="1"/>
        <v>0,000785891676094036</v>
      </c>
      <c r="K58" s="436" t="str">
        <f ca="1"/>
        <v>0,338214743781313</v>
      </c>
      <c r="L58" s="436" t="str">
        <f ca="1"/>
        <v>0,338214743781313</v>
      </c>
      <c r="M58" s="436" t="str">
        <f ca="1"/>
        <v>-0,000183799793392936</v>
      </c>
      <c r="N58" s="437" t="str">
        <f ca="1"/>
        <v>EDISON_MMR.EUR.SU</v>
      </c>
      <c r="P58" s="455" t="str" cm="1">
        <f t="array" aca="1" ref="P58:T58" ca="1">IF(AND($Q$12,B82&lt;=$C$17,C82&lt;&gt;""),TRANSPOSE(INDEX(GetCDS(C82,$C$6,$C$29,F82,D82,$C$13,$C$14,$C$15,$C$8,,,TRUE,TRUE,FALSE,$C$29:$C$31,$C$33),{1;2;3;4;5})),"")</f>
        <v>0</v>
      </c>
      <c r="Q58" s="456" t="str">
        <f ca="1"/>
        <v>0,0154707325746657</v>
      </c>
      <c r="R58" s="456" t="str">
        <f ca="1"/>
        <v>0,0154707325746657</v>
      </c>
      <c r="S58" s="457" t="str">
        <f ca="1"/>
        <v>0,00353185763973001</v>
      </c>
      <c r="T58" s="458" t="str">
        <f ca="1"/>
        <v>4,3803386638903</v>
      </c>
      <c r="U58" s="459">
        <f t="shared" ca="1" si="4"/>
        <v>0.11419412477850101</v>
      </c>
      <c r="V58" s="460">
        <f t="shared" ca="1" si="0"/>
        <v>-1.7666667660461951E-3</v>
      </c>
      <c r="W58" s="459">
        <f t="shared" ca="1" si="1"/>
        <v>0.11273824792710434</v>
      </c>
      <c r="X58" s="461">
        <f t="shared" ca="1" si="2"/>
        <v>3.3552647577435096E-3</v>
      </c>
      <c r="Y58" s="460">
        <f t="shared" ca="1" si="3"/>
        <v>-8.7207164230829545E-5</v>
      </c>
      <c r="Z58" s="79"/>
    </row>
    <row r="59" spans="1:26" customFormat="1" ht="15">
      <c r="A59" s="232"/>
      <c r="B59" s="295">
        <v>21</v>
      </c>
      <c r="C59" s="265" t="s">
        <v>109</v>
      </c>
      <c r="D59" s="266">
        <v>1</v>
      </c>
      <c r="E59" s="256"/>
      <c r="F59" s="239">
        <v>0.4</v>
      </c>
      <c r="G59" s="469">
        <v>100</v>
      </c>
      <c r="H59" s="405">
        <v>45</v>
      </c>
      <c r="I59" s="424" t="str">
        <f ca="1"/>
        <v>0,000288648038830086</v>
      </c>
      <c r="J59" s="424" t="str">
        <f ca="1"/>
        <v>0,000830815179039314</v>
      </c>
      <c r="K59" s="436" t="str">
        <f ca="1"/>
        <v>0,347427497850791</v>
      </c>
      <c r="L59" s="436" t="str">
        <f ca="1"/>
        <v>0,347427497850791</v>
      </c>
      <c r="M59" s="436" t="str">
        <f ca="1"/>
        <v>-0,000195387363089949</v>
      </c>
      <c r="N59" s="437" t="str">
        <f ca="1"/>
        <v>ELECTRICITEDEPORTUGAL_MMR.EUR.SU</v>
      </c>
      <c r="P59" s="455" t="str" cm="1">
        <f t="array" aca="1" ref="P59:T59" ca="1">IF(AND($Q$12,B83&lt;=$C$17,C83&lt;&gt;""),TRANSPOSE(INDEX(GetCDS(C83,$C$6,$C$29,F83,D83,$C$13,$C$14,$C$15,$C$8,,,TRUE,TRUE,FALSE,$C$29:$C$31,$C$33),{1;2;3;4;5})),"")</f>
        <v>0</v>
      </c>
      <c r="Q59" s="456" t="str">
        <f ca="1"/>
        <v>0,0163662108563491</v>
      </c>
      <c r="R59" s="456" t="str">
        <f ca="1"/>
        <v>0,0163662108563491</v>
      </c>
      <c r="S59" s="457" t="str">
        <f ca="1"/>
        <v>0,0037394676643392</v>
      </c>
      <c r="T59" s="458" t="str">
        <f ca="1"/>
        <v>4,37661515632899</v>
      </c>
      <c r="U59" s="459">
        <f t="shared" ca="1" si="4"/>
        <v>0.11419412477850101</v>
      </c>
      <c r="V59" s="460">
        <f t="shared" ca="1" si="0"/>
        <v>-1.8689251246811883E-3</v>
      </c>
      <c r="W59" s="459">
        <f t="shared" ca="1" si="1"/>
        <v>0.11580916595026368</v>
      </c>
      <c r="X59" s="461">
        <f t="shared" ca="1" si="2"/>
        <v>3.5524942811222399E-3</v>
      </c>
      <c r="Y59" s="460">
        <f t="shared" ca="1" si="3"/>
        <v>-9.4767861451997229E-5</v>
      </c>
      <c r="Z59" s="79"/>
    </row>
    <row r="60" spans="1:26" customFormat="1" ht="15">
      <c r="A60" s="232"/>
      <c r="B60" s="295">
        <v>22</v>
      </c>
      <c r="C60" s="265" t="s">
        <v>110</v>
      </c>
      <c r="D60" s="266">
        <v>1</v>
      </c>
      <c r="E60" s="256"/>
      <c r="F60" s="239">
        <v>0.4</v>
      </c>
      <c r="G60" s="469">
        <v>100</v>
      </c>
      <c r="H60" s="405">
        <v>46</v>
      </c>
      <c r="I60" s="424" t="str">
        <f ca="1"/>
        <v>0,000274204288312152</v>
      </c>
      <c r="J60" s="424" t="str">
        <f ca="1"/>
        <v>0,000807996436938223</v>
      </c>
      <c r="K60" s="436" t="str">
        <f ca="1"/>
        <v>0,339363239460816</v>
      </c>
      <c r="L60" s="436" t="str">
        <f ca="1"/>
        <v>0,339363239460816</v>
      </c>
      <c r="M60" s="436" t="str">
        <f ca="1"/>
        <v>-0,000187726965149526</v>
      </c>
      <c r="N60" s="437" t="str">
        <f ca="1"/>
        <v>ELECTROLUX_MMR.EUR.SU</v>
      </c>
      <c r="P60" s="455" t="str" cm="1">
        <f t="array" aca="1" ref="P60:T60" ca="1">IF(AND($Q$12,B84&lt;=$C$17,C84&lt;&gt;""),TRANSPOSE(INDEX(GetCDS(C84,$C$6,$C$29,F84,D84,$C$13,$C$14,$C$15,$C$8,,,TRUE,TRUE,FALSE,$C$29:$C$31,$C$33),{1;2;3;4;5})),"")</f>
        <v>0</v>
      </c>
      <c r="Q60" s="456" t="str">
        <f ca="1"/>
        <v>0,015935906266047</v>
      </c>
      <c r="R60" s="456" t="str">
        <f ca="1"/>
        <v>0,015935906266047</v>
      </c>
      <c r="S60" s="457" t="str">
        <f ca="1"/>
        <v>0,00363557084354354</v>
      </c>
      <c r="T60" s="458" t="str">
        <f ca="1"/>
        <v>4,383329868086</v>
      </c>
      <c r="U60" s="459">
        <f t="shared" ca="1" si="4"/>
        <v>0.11419412477850101</v>
      </c>
      <c r="V60" s="460">
        <f t="shared" ca="1" si="0"/>
        <v>-1.8197868686034688E-3</v>
      </c>
      <c r="W60" s="459">
        <f t="shared" ca="1" si="1"/>
        <v>0.11312107982027199</v>
      </c>
      <c r="X60" s="461">
        <f t="shared" ca="1" si="2"/>
        <v>3.4537923013663627E-3</v>
      </c>
      <c r="Y60" s="460">
        <f t="shared" ca="1" si="3"/>
        <v>-9.0134346236494012E-5</v>
      </c>
      <c r="Z60" s="79"/>
    </row>
    <row r="61" spans="1:26" customFormat="1" ht="15">
      <c r="A61" s="232"/>
      <c r="B61" s="295">
        <v>23</v>
      </c>
      <c r="C61" s="265" t="s">
        <v>111</v>
      </c>
      <c r="D61" s="266">
        <v>1</v>
      </c>
      <c r="E61" s="256"/>
      <c r="F61" s="239">
        <v>0.4</v>
      </c>
      <c r="G61" s="469">
        <v>100</v>
      </c>
      <c r="H61" s="405">
        <v>47</v>
      </c>
      <c r="I61" s="424" t="str">
        <f ca="1"/>
        <v>0,000397106487861043</v>
      </c>
      <c r="J61" s="424" t="str">
        <f ca="1"/>
        <v>0,00103182196306623</v>
      </c>
      <c r="K61" s="436" t="str">
        <f ca="1"/>
        <v>0,384859502971787</v>
      </c>
      <c r="L61" s="436" t="str">
        <f ca="1"/>
        <v>0,384859502971787</v>
      </c>
      <c r="M61" s="436" t="str">
        <f ca="1"/>
        <v>-0,000244699504542867</v>
      </c>
      <c r="N61" s="437" t="str">
        <f ca="1"/>
        <v>ENDESA_MMR.EUR.SU</v>
      </c>
      <c r="P61" s="455" t="str" cm="1">
        <f t="array" aca="1" ref="P61:T61" ca="1">IF(AND($Q$12,B85&lt;=$C$17,C85&lt;&gt;""),TRANSPOSE(INDEX(GetCDS(C85,$C$6,$C$29,F85,D85,$C$13,$C$14,$C$15,$C$8,,,TRUE,TRUE,FALSE,$C$29:$C$31,$C$33),{1;2;3;4;5})),"")</f>
        <v>0</v>
      </c>
      <c r="Q61" s="456" t="str">
        <f ca="1"/>
        <v>0,0203918618164139</v>
      </c>
      <c r="R61" s="456" t="str">
        <f ca="1"/>
        <v>0,0203918618164139</v>
      </c>
      <c r="S61" s="457" t="str">
        <f ca="1"/>
        <v>0,00467338021668434</v>
      </c>
      <c r="T61" s="458" t="str">
        <f ca="1"/>
        <v>4,36340739912694</v>
      </c>
      <c r="U61" s="459">
        <f t="shared" ca="1" si="4"/>
        <v>0.11419412477850101</v>
      </c>
      <c r="V61" s="460">
        <f t="shared" ca="1" si="0"/>
        <v>-2.3286308127295208E-3</v>
      </c>
      <c r="W61" s="459">
        <f t="shared" ca="1" si="1"/>
        <v>0.12828650099059566</v>
      </c>
      <c r="X61" s="461">
        <f t="shared" ca="1" si="2"/>
        <v>4.4397112058501232E-3</v>
      </c>
      <c r="Y61" s="460">
        <f t="shared" ca="1" si="3"/>
        <v>-1.308000300555736E-4</v>
      </c>
      <c r="Z61" s="79"/>
    </row>
    <row r="62" spans="1:26" customFormat="1" ht="15">
      <c r="A62" s="232"/>
      <c r="B62" s="295">
        <v>24</v>
      </c>
      <c r="C62" s="265" t="s">
        <v>112</v>
      </c>
      <c r="D62" s="266">
        <v>1</v>
      </c>
      <c r="E62" s="256"/>
      <c r="F62" s="239">
        <v>0.4</v>
      </c>
      <c r="G62" s="469">
        <v>100</v>
      </c>
      <c r="H62" s="405">
        <v>48</v>
      </c>
      <c r="I62" s="424" t="str">
        <f ca="1"/>
        <v>0,000312246875602606</v>
      </c>
      <c r="J62" s="424" t="str">
        <f ca="1"/>
        <v>0,000875804169184563</v>
      </c>
      <c r="K62" s="436" t="str">
        <f ca="1"/>
        <v>0,356525906805548</v>
      </c>
      <c r="L62" s="436" t="str">
        <f ca="1"/>
        <v>0,356525906805548</v>
      </c>
      <c r="M62" s="436" t="str">
        <f ca="1"/>
        <v>-0,000206606792957542</v>
      </c>
      <c r="N62" s="437" t="str">
        <f ca="1"/>
        <v>ENEL_MMR.EUR.SU</v>
      </c>
      <c r="P62" s="455" t="str" cm="1">
        <f t="array" aca="1" ref="P62:T62" ca="1">IF(AND($Q$12,B86&lt;=$C$17,C86&lt;&gt;""),TRANSPOSE(INDEX(GetCDS(C86,$C$6,$C$29,F86,D86,$C$13,$C$14,$C$15,$C$8,,,TRUE,TRUE,FALSE,$C$29:$C$31,$C$33),{1;2;3;4;5})),"")</f>
        <v>0</v>
      </c>
      <c r="Q62" s="456" t="str">
        <f ca="1"/>
        <v>0,0172625923181572</v>
      </c>
      <c r="R62" s="456" t="str">
        <f ca="1"/>
        <v>0,0172625923181572</v>
      </c>
      <c r="S62" s="457" t="str">
        <f ca="1"/>
        <v>0,00394703851714151</v>
      </c>
      <c r="T62" s="458" t="str">
        <f ca="1"/>
        <v>4,37355557671602</v>
      </c>
      <c r="U62" s="459">
        <f t="shared" ca="1" si="4"/>
        <v>0.11419412477850101</v>
      </c>
      <c r="V62" s="460">
        <f t="shared" ca="1" si="0"/>
        <v>-1.9712866211800345E-3</v>
      </c>
      <c r="W62" s="459">
        <f t="shared" ca="1" si="1"/>
        <v>0.11884196893518267</v>
      </c>
      <c r="X62" s="461">
        <f t="shared" ca="1" si="2"/>
        <v>3.7496865912844345E-3</v>
      </c>
      <c r="Y62" s="460">
        <f t="shared" ca="1" si="3"/>
        <v>-1.02576023000758E-4</v>
      </c>
      <c r="Z62" s="79"/>
    </row>
    <row r="63" spans="1:26" customFormat="1" ht="15">
      <c r="A63" s="232"/>
      <c r="B63" s="295">
        <v>25</v>
      </c>
      <c r="C63" s="265" t="s">
        <v>113</v>
      </c>
      <c r="D63" s="266">
        <v>1</v>
      </c>
      <c r="E63" s="256"/>
      <c r="F63" s="239">
        <v>0.4</v>
      </c>
      <c r="G63" s="469">
        <v>100</v>
      </c>
      <c r="H63" s="405">
        <v>49</v>
      </c>
      <c r="I63" s="424" t="str">
        <f ca="1"/>
        <v>0,000147233884422882</v>
      </c>
      <c r="J63" s="424" t="str">
        <f ca="1"/>
        <v>0,000514924365523376</v>
      </c>
      <c r="K63" s="436" t="str">
        <f ca="1"/>
        <v>0,285933030714582</v>
      </c>
      <c r="L63" s="436" t="str">
        <f ca="1"/>
        <v>0,285933030714582</v>
      </c>
      <c r="M63" s="436" t="str">
        <f ca="1"/>
        <v>-0,000115588598006866</v>
      </c>
      <c r="N63" s="437" t="str">
        <f ca="1"/>
        <v>ENERGIEBADENWUERTTEMBERG_MMR.EUR.SU</v>
      </c>
      <c r="P63" s="455" t="str" cm="1">
        <f t="array" aca="1" ref="P63:T63" ca="1">IF(AND($Q$12,B87&lt;=$C$17,C87&lt;&gt;""),TRANSPOSE(INDEX(GetCDS(C87,$C$6,$C$29,F87,D87,$C$13,$C$14,$C$15,$C$8,,,TRUE,TRUE,FALSE,$C$29:$C$31,$C$33),{1;2;3;4;5})),"")</f>
        <v>0</v>
      </c>
      <c r="Q63" s="456" t="str">
        <f ca="1"/>
        <v>0,0100455764728056</v>
      </c>
      <c r="R63" s="456" t="str">
        <f ca="1"/>
        <v>0,0100455764728056</v>
      </c>
      <c r="S63" s="457" t="str">
        <f ca="1"/>
        <v>0,00228600094661938</v>
      </c>
      <c r="T63" s="458" t="str">
        <f ca="1"/>
        <v>4,39438858836055</v>
      </c>
      <c r="U63" s="459">
        <f t="shared" ca="1" si="4"/>
        <v>0.11419412477850101</v>
      </c>
      <c r="V63" s="460">
        <f t="shared" ca="1" si="0"/>
        <v>-1.1471458132075389E-3</v>
      </c>
      <c r="W63" s="459">
        <f t="shared" ca="1" si="1"/>
        <v>9.5311010238193994E-2</v>
      </c>
      <c r="X63" s="461">
        <f t="shared" ca="1" si="2"/>
        <v>2.171700899288411E-3</v>
      </c>
      <c r="Y63" s="460">
        <f t="shared" ca="1" si="3"/>
        <v>-4.7872702102406811E-5</v>
      </c>
      <c r="Z63" s="79"/>
    </row>
    <row r="64" spans="1:26" customFormat="1" ht="15">
      <c r="A64" s="232"/>
      <c r="B64" s="295">
        <v>26</v>
      </c>
      <c r="C64" s="265" t="s">
        <v>114</v>
      </c>
      <c r="D64" s="266">
        <v>1</v>
      </c>
      <c r="E64" s="256"/>
      <c r="F64" s="239">
        <v>0.4</v>
      </c>
      <c r="G64" s="469">
        <v>100</v>
      </c>
      <c r="H64" s="405">
        <v>50</v>
      </c>
      <c r="I64" s="424" t="str">
        <f ca="1"/>
        <v>0,000165274272239646</v>
      </c>
      <c r="J64" s="424" t="str">
        <f ca="1"/>
        <v>0,000560040784175751</v>
      </c>
      <c r="K64" s="436" t="str">
        <f ca="1"/>
        <v>0,295111136384274</v>
      </c>
      <c r="L64" s="436" t="str">
        <f ca="1"/>
        <v>0,295111136384274</v>
      </c>
      <c r="M64" s="436" t="str">
        <f ca="1"/>
        <v>-0,000127392391089965</v>
      </c>
      <c r="N64" s="437" t="str">
        <f ca="1"/>
        <v>EON_MMR.EUR.SU</v>
      </c>
      <c r="P64" s="455" t="str" cm="1">
        <f t="array" aca="1" ref="P64:T64" ca="1">IF(AND($Q$12,B88&lt;=$C$17,C88&lt;&gt;""),TRANSPOSE(INDEX(GetCDS(C88,$C$6,$C$29,F88,D88,$C$13,$C$14,$C$15,$C$8,,,TRUE,TRUE,FALSE,$C$29:$C$31,$C$33),{1;2;3;4;5})),"")</f>
        <v>0</v>
      </c>
      <c r="Q64" s="456" t="str">
        <f ca="1"/>
        <v>0,0109507737243776</v>
      </c>
      <c r="R64" s="456" t="str">
        <f ca="1"/>
        <v>0,0109507737243776</v>
      </c>
      <c r="S64" s="457" t="str">
        <f ca="1"/>
        <v>0,00249371704236879</v>
      </c>
      <c r="T64" s="458" t="str">
        <f ca="1"/>
        <v>4,39134574545612</v>
      </c>
      <c r="U64" s="459">
        <f t="shared" ca="1" si="4"/>
        <v>0.11419412477850101</v>
      </c>
      <c r="V64" s="460">
        <f t="shared" ca="1" si="0"/>
        <v>-1.2505140211027063E-3</v>
      </c>
      <c r="W64" s="459">
        <f t="shared" ca="1" si="1"/>
        <v>9.8370378794758004E-2</v>
      </c>
      <c r="X64" s="461">
        <f t="shared" ca="1" si="2"/>
        <v>2.3690311902503504E-3</v>
      </c>
      <c r="Y64" s="460">
        <f t="shared" ca="1" si="3"/>
        <v>-5.3861587968135366E-5</v>
      </c>
      <c r="Z64" s="79"/>
    </row>
    <row r="65" spans="1:26" customFormat="1" ht="15">
      <c r="A65" s="232"/>
      <c r="B65" s="295">
        <v>27</v>
      </c>
      <c r="C65" s="265" t="s">
        <v>115</v>
      </c>
      <c r="D65" s="266">
        <v>1</v>
      </c>
      <c r="E65" s="256"/>
      <c r="F65" s="239">
        <v>0.4</v>
      </c>
      <c r="G65" s="469">
        <v>100</v>
      </c>
      <c r="H65" s="405">
        <v>51</v>
      </c>
      <c r="I65" s="424" t="str">
        <f ca="1"/>
        <v>0,000192000905208545</v>
      </c>
      <c r="J65" s="424" t="str">
        <f ca="1"/>
        <v>0,000628082904774213</v>
      </c>
      <c r="K65" s="436" t="str">
        <f ca="1"/>
        <v>0,305693569669066</v>
      </c>
      <c r="L65" s="436" t="str">
        <f ca="1"/>
        <v>0,305693569669066</v>
      </c>
      <c r="M65" s="436" t="str">
        <f ca="1"/>
        <v>-0,000142743133216472</v>
      </c>
      <c r="N65" s="437" t="str">
        <f ca="1"/>
        <v>FORTUMOYJ_MMR.EUR.SU</v>
      </c>
      <c r="P65" s="455" t="str" cm="1">
        <f t="array" aca="1" ref="P65:T65" ca="1">IF(AND($Q$12,B89&lt;=$C$17,C89&lt;&gt;""),TRANSPOSE(INDEX(GetCDS(C89,$C$6,$C$29,F89,D89,$C$13,$C$14,$C$15,$C$8,,,TRUE,TRUE,FALSE,$C$29:$C$31,$C$33),{1;2;3;4;5})),"")</f>
        <v>0</v>
      </c>
      <c r="Q65" s="456" t="str">
        <f ca="1"/>
        <v>0,012320655486417</v>
      </c>
      <c r="R65" s="456" t="str">
        <f ca="1"/>
        <v>0,012320655486417</v>
      </c>
      <c r="S65" s="457" t="str">
        <f ca="1"/>
        <v>0,00280514904334446</v>
      </c>
      <c r="T65" s="458" t="str">
        <f ca="1"/>
        <v>4,39215717098854</v>
      </c>
      <c r="U65" s="459">
        <f t="shared" ca="1" si="4"/>
        <v>0.11419412477850101</v>
      </c>
      <c r="V65" s="460">
        <f t="shared" ca="1" si="0"/>
        <v>-1.4069464699688274E-3</v>
      </c>
      <c r="W65" s="459">
        <f t="shared" ca="1" si="1"/>
        <v>0.10189785655635535</v>
      </c>
      <c r="X65" s="461">
        <f t="shared" ca="1" si="2"/>
        <v>2.6648915911772369E-3</v>
      </c>
      <c r="Y65" s="460">
        <f t="shared" ca="1" si="3"/>
        <v>-6.2772419271759619E-5</v>
      </c>
      <c r="Z65" s="79"/>
    </row>
    <row r="66" spans="1:26" customFormat="1" ht="15">
      <c r="A66" s="232"/>
      <c r="B66" s="295">
        <v>28</v>
      </c>
      <c r="C66" s="265" t="s">
        <v>116</v>
      </c>
      <c r="D66" s="266">
        <v>1</v>
      </c>
      <c r="E66" s="256"/>
      <c r="F66" s="239">
        <v>0.4</v>
      </c>
      <c r="G66" s="469">
        <v>100</v>
      </c>
      <c r="H66" s="405">
        <v>52</v>
      </c>
      <c r="I66" s="424" t="str">
        <f ca="1"/>
        <v>0,000223232857812339</v>
      </c>
      <c r="J66" s="424" t="str">
        <f ca="1"/>
        <v>0,000695707621535568</v>
      </c>
      <c r="K66" s="436" t="str">
        <f ca="1"/>
        <v>0,320871657722563</v>
      </c>
      <c r="L66" s="436" t="str">
        <f ca="1"/>
        <v>0,320871657722563</v>
      </c>
      <c r="M66" s="436" t="str">
        <f ca="1"/>
        <v>-0,000161192498439866</v>
      </c>
      <c r="N66" s="437" t="str">
        <f ca="1"/>
        <v>FRANCETELECOM_MMR.EUR.SU</v>
      </c>
      <c r="P66" s="455" t="str" cm="1">
        <f t="array" aca="1" ref="P66:T66" ca="1">IF(AND($Q$12,B90&lt;=$C$17,C90&lt;&gt;""),TRANSPOSE(INDEX(GetCDS(C90,$C$6,$C$29,F90,D90,$C$13,$C$14,$C$15,$C$8,,,TRUE,TRUE,FALSE,$C$29:$C$31,$C$33),{1;2;3;4;5})),"")</f>
        <v>0</v>
      </c>
      <c r="Q66" s="456" t="str">
        <f ca="1"/>
        <v>0,0136673460719228</v>
      </c>
      <c r="R66" s="456" t="str">
        <f ca="1"/>
        <v>0,0136673460719228</v>
      </c>
      <c r="S66" s="457" t="str">
        <f ca="1"/>
        <v>0,00311664953183855</v>
      </c>
      <c r="T66" s="458" t="str">
        <f ca="1"/>
        <v>4,3852688383157</v>
      </c>
      <c r="U66" s="459">
        <f t="shared" ca="1" si="4"/>
        <v>0.11419412477850101</v>
      </c>
      <c r="V66" s="460">
        <f t="shared" ca="1" si="0"/>
        <v>-1.5607306227281089E-3</v>
      </c>
      <c r="W66" s="459">
        <f t="shared" ca="1" si="1"/>
        <v>0.10695721924085433</v>
      </c>
      <c r="X66" s="461">
        <f t="shared" ca="1" si="2"/>
        <v>2.9608170552466225E-3</v>
      </c>
      <c r="Y66" s="460">
        <f t="shared" ca="1" si="3"/>
        <v>-7.3091066512763933E-5</v>
      </c>
      <c r="Z66" s="79"/>
    </row>
    <row r="67" spans="1:26" customFormat="1" ht="15">
      <c r="A67" s="232"/>
      <c r="B67" s="295">
        <v>29</v>
      </c>
      <c r="C67" s="265" t="s">
        <v>117</v>
      </c>
      <c r="D67" s="266">
        <v>1</v>
      </c>
      <c r="E67" s="256"/>
      <c r="F67" s="239">
        <v>0.4</v>
      </c>
      <c r="G67" s="469">
        <v>100</v>
      </c>
      <c r="H67" s="405">
        <v>53</v>
      </c>
      <c r="I67" s="424" t="str">
        <f ca="1"/>
        <v>0,000154773695877642</v>
      </c>
      <c r="J67" s="424" t="str">
        <f ca="1"/>
        <v>0,000537809439795726</v>
      </c>
      <c r="K67" s="436" t="str">
        <f ca="1"/>
        <v>0,287785383492765</v>
      </c>
      <c r="L67" s="436" t="str">
        <f ca="1"/>
        <v>0,287785383492765</v>
      </c>
      <c r="M67" s="436" t="str">
        <f ca="1"/>
        <v>-0,000119801828260457</v>
      </c>
      <c r="N67" s="437" t="str">
        <f ca="1"/>
        <v>GALLAHERGROUPPLC_MMR.EUR.SU</v>
      </c>
      <c r="P67" s="455" t="str" cm="1">
        <f t="array" aca="1" ref="P67:T67" ca="1">IF(AND($Q$12,B91&lt;=$C$17,C91&lt;&gt;""),TRANSPOSE(INDEX(GetCDS(C91,$C$6,$C$29,F91,D91,$C$13,$C$14,$C$15,$C$8,,,TRUE,TRUE,FALSE,$C$29:$C$31,$C$33),{1;2;3;4;5})),"")</f>
        <v>0</v>
      </c>
      <c r="Q67" s="456" t="str">
        <f ca="1"/>
        <v>0,0105070826258628</v>
      </c>
      <c r="R67" s="456" t="str">
        <f ca="1"/>
        <v>0,0105070826258628</v>
      </c>
      <c r="S67" s="457" t="str">
        <f ca="1"/>
        <v>0,00238980445653345</v>
      </c>
      <c r="T67" s="458" t="str">
        <f ca="1"/>
        <v>4,39662860161536</v>
      </c>
      <c r="U67" s="459">
        <f t="shared" ca="1" si="4"/>
        <v>0.11419412477850101</v>
      </c>
      <c r="V67" s="460">
        <f t="shared" ca="1" si="0"/>
        <v>-1.1998471044357987E-3</v>
      </c>
      <c r="W67" s="459">
        <f t="shared" ca="1" si="1"/>
        <v>9.5928461164255005E-2</v>
      </c>
      <c r="X67" s="461">
        <f t="shared" ca="1" si="2"/>
        <v>2.2703142337067773E-3</v>
      </c>
      <c r="Y67" s="460">
        <f t="shared" ca="1" si="3"/>
        <v>-5.0396413381235109E-5</v>
      </c>
      <c r="Z67" s="79"/>
    </row>
    <row r="68" spans="1:26" customFormat="1" ht="15">
      <c r="A68" s="232"/>
      <c r="B68" s="295">
        <v>30</v>
      </c>
      <c r="C68" s="265" t="s">
        <v>118</v>
      </c>
      <c r="D68" s="266">
        <v>1</v>
      </c>
      <c r="E68" s="256"/>
      <c r="F68" s="239">
        <v>0.4</v>
      </c>
      <c r="G68" s="469">
        <v>100</v>
      </c>
      <c r="H68" s="405">
        <v>54</v>
      </c>
      <c r="I68" s="424" t="str">
        <f ca="1"/>
        <v>0,000128912093483224</v>
      </c>
      <c r="J68" s="424" t="str">
        <f ca="1"/>
        <v>0,000469798800861466</v>
      </c>
      <c r="K68" s="436" t="str">
        <f ca="1"/>
        <v>0,274398515379007</v>
      </c>
      <c r="L68" s="436" t="str">
        <f ca="1"/>
        <v>0,274398515379007</v>
      </c>
      <c r="M68" s="436" t="str">
        <f ca="1"/>
        <v>-0,000102674828629934</v>
      </c>
      <c r="N68" s="437" t="str">
        <f ca="1"/>
        <v>GASNATURALSDGSA_MMR.EUR.SU</v>
      </c>
      <c r="P68" s="455" t="str" cm="1">
        <f t="array" aca="1" ref="P68:T68" ca="1">IF(AND($Q$12,B92&lt;=$C$17,C92&lt;&gt;""),TRANSPOSE(INDEX(GetCDS(C92,$C$6,$C$29,F92,D92,$C$13,$C$14,$C$15,$C$8,,,TRUE,TRUE,FALSE,$C$29:$C$31,$C$33),{1;2;3;4;5})),"")</f>
        <v>0</v>
      </c>
      <c r="Q68" s="456" t="str">
        <f ca="1"/>
        <v>0,00914374785306759</v>
      </c>
      <c r="R68" s="456" t="str">
        <f ca="1"/>
        <v>0,00914374785306759</v>
      </c>
      <c r="S68" s="457" t="str">
        <f ca="1"/>
        <v>0,00207825538317126</v>
      </c>
      <c r="T68" s="458" t="str">
        <f ca="1"/>
        <v>4,39972292486736</v>
      </c>
      <c r="U68" s="459">
        <f t="shared" ca="1" si="4"/>
        <v>0.11419412477850101</v>
      </c>
      <c r="V68" s="460">
        <f t="shared" ca="1" si="0"/>
        <v>-1.0441622832763513E-3</v>
      </c>
      <c r="W68" s="459">
        <f t="shared" ca="1" si="1"/>
        <v>9.1466171793002329E-2</v>
      </c>
      <c r="X68" s="461">
        <f t="shared" ca="1" si="2"/>
        <v>1.974342614012697E-3</v>
      </c>
      <c r="Y68" s="460">
        <f t="shared" ca="1" si="3"/>
        <v>-4.1817180598028865E-5</v>
      </c>
      <c r="Z68" s="79"/>
    </row>
    <row r="69" spans="1:26" customFormat="1" ht="15">
      <c r="A69" s="232"/>
      <c r="B69" s="295">
        <v>31</v>
      </c>
      <c r="C69" s="265" t="s">
        <v>119</v>
      </c>
      <c r="D69" s="266">
        <v>1</v>
      </c>
      <c r="E69" s="256"/>
      <c r="F69" s="239">
        <v>0.4</v>
      </c>
      <c r="G69" s="469">
        <v>100</v>
      </c>
      <c r="H69" s="405">
        <v>55</v>
      </c>
      <c r="I69" s="424" t="str">
        <f ca="1"/>
        <v>0,000137485672797166</v>
      </c>
      <c r="J69" s="424" t="str">
        <f ca="1"/>
        <v>0,000492456646427707</v>
      </c>
      <c r="K69" s="436" t="str">
        <f ca="1"/>
        <v>0,279183302316032</v>
      </c>
      <c r="L69" s="436" t="str">
        <f ca="1"/>
        <v>0,279183302316032</v>
      </c>
      <c r="M69" s="436" t="str">
        <f ca="1"/>
        <v>-0,000108618872244404</v>
      </c>
      <c r="N69" s="437" t="str">
        <f ca="1"/>
        <v>GAZDEFRANCE_MMR.EUR.SU</v>
      </c>
      <c r="P69" s="455" t="str" cm="1">
        <f t="array" aca="1" ref="P69:T69" ca="1">IF(AND($Q$12,B93&lt;=$C$17,C93&lt;&gt;""),TRANSPOSE(INDEX(GetCDS(C93,$C$6,$C$29,F93,D93,$C$13,$C$14,$C$15,$C$8,,,TRUE,TRUE,FALSE,$C$29:$C$31,$C$33),{1;2;3;4;5})),"")</f>
        <v>0</v>
      </c>
      <c r="Q69" s="456" t="str">
        <f ca="1"/>
        <v>0,00959741879015059</v>
      </c>
      <c r="R69" s="456" t="str">
        <f ca="1"/>
        <v>0,00959741879015059</v>
      </c>
      <c r="S69" s="457" t="str">
        <f ca="1"/>
        <v>0,00218211736133196</v>
      </c>
      <c r="T69" s="458" t="str">
        <f ca="1"/>
        <v>4,39821384505751</v>
      </c>
      <c r="U69" s="459">
        <f t="shared" ca="1" si="4"/>
        <v>0.11419412477850101</v>
      </c>
      <c r="V69" s="460">
        <f t="shared" ca="1" si="0"/>
        <v>-1.0959688388739864E-3</v>
      </c>
      <c r="W69" s="459">
        <f t="shared" ca="1" si="1"/>
        <v>9.3061100772010671E-2</v>
      </c>
      <c r="X69" s="461">
        <f t="shared" ca="1" si="2"/>
        <v>2.0730114932653618E-3</v>
      </c>
      <c r="Y69" s="460">
        <f t="shared" ca="1" si="3"/>
        <v>-4.4657317859069702E-5</v>
      </c>
      <c r="Z69" s="79"/>
    </row>
    <row r="70" spans="1:26" customFormat="1" ht="15">
      <c r="A70" s="232"/>
      <c r="B70" s="295">
        <v>32</v>
      </c>
      <c r="C70" s="265" t="s">
        <v>120</v>
      </c>
      <c r="D70" s="266">
        <v>1</v>
      </c>
      <c r="E70" s="256"/>
      <c r="F70" s="239">
        <v>0.4</v>
      </c>
      <c r="G70" s="469">
        <v>100</v>
      </c>
      <c r="H70" s="405">
        <v>56</v>
      </c>
      <c r="I70" s="424" t="str">
        <f ca="1"/>
        <v>0,000234712162261519</v>
      </c>
      <c r="J70" s="424" t="str">
        <f ca="1"/>
        <v>0,000718344522640528</v>
      </c>
      <c r="K70" s="436" t="str">
        <f ca="1"/>
        <v>0,32674037994854</v>
      </c>
      <c r="L70" s="436" t="str">
        <f ca="1"/>
        <v>0,32674037994854</v>
      </c>
      <c r="M70" s="436" t="str">
        <f ca="1"/>
        <v>-0,000167753156787454</v>
      </c>
      <c r="N70" s="437" t="str">
        <f ca="1"/>
        <v>GENERALI_MMR.EUR.SU</v>
      </c>
      <c r="P70" s="455" t="str" cm="1">
        <f t="array" aca="1" ref="P70:T70" ca="1">IF(AND($Q$12,B94&lt;=$C$17,C94&lt;&gt;""),TRANSPOSE(INDEX(GetCDS(C94,$C$6,$C$29,F94,D94,$C$13,$C$14,$C$15,$C$8,,,TRUE,TRUE,FALSE,$C$29:$C$31,$C$33),{1;2;3;4;5})),"")</f>
        <v>0</v>
      </c>
      <c r="Q70" s="456" t="str">
        <f ca="1"/>
        <v>0,0141116660314822</v>
      </c>
      <c r="R70" s="456" t="str">
        <f ca="1"/>
        <v>0,0141116660314822</v>
      </c>
      <c r="S70" s="457" t="str">
        <f ca="1"/>
        <v>0,00322051065505501</v>
      </c>
      <c r="T70" s="458" t="str">
        <f ca="1"/>
        <v>4,38181007391859</v>
      </c>
      <c r="U70" s="459">
        <f t="shared" ca="1" si="4"/>
        <v>0.11419412477850101</v>
      </c>
      <c r="V70" s="460">
        <f t="shared" ca="1" si="0"/>
        <v>-1.6114693516316124E-3</v>
      </c>
      <c r="W70" s="459">
        <f t="shared" ca="1" si="1"/>
        <v>0.10891345998284667</v>
      </c>
      <c r="X70" s="461">
        <f t="shared" ca="1" si="2"/>
        <v>3.0594851223022593E-3</v>
      </c>
      <c r="Y70" s="460">
        <f t="shared" ca="1" si="3"/>
        <v>-7.6847518680556775E-5</v>
      </c>
      <c r="Z70" s="79"/>
    </row>
    <row r="71" spans="1:26" customFormat="1" ht="15">
      <c r="A71" s="232"/>
      <c r="B71" s="295">
        <v>33</v>
      </c>
      <c r="C71" s="265" t="s">
        <v>121</v>
      </c>
      <c r="D71" s="266">
        <v>1</v>
      </c>
      <c r="E71" s="256"/>
      <c r="F71" s="239">
        <v>0.4</v>
      </c>
      <c r="G71" s="469">
        <v>100</v>
      </c>
      <c r="H71" s="405">
        <v>57</v>
      </c>
      <c r="I71" s="424" t="str">
        <f ca="1"/>
        <v>0,000519457699511027</v>
      </c>
      <c r="J71" s="424" t="str">
        <f ca="1"/>
        <v>0,00125163282450356</v>
      </c>
      <c r="K71" s="436" t="str">
        <f ca="1"/>
        <v>0,41502403048359</v>
      </c>
      <c r="L71" s="436" t="str">
        <f ca="1"/>
        <v>0,41502403048359</v>
      </c>
      <c r="M71" s="436" t="str">
        <f ca="1"/>
        <v>-0,000294198935369083</v>
      </c>
      <c r="N71" s="437" t="str">
        <f ca="1"/>
        <v>GKN HOLDINGS  PLC_MMR.EUR.SU</v>
      </c>
      <c r="P71" s="455" t="str" cm="1">
        <f t="array" aca="1" ref="P71:T71" ca="1">IF(AND($Q$12,B95&lt;=$C$17,C95&lt;&gt;""),TRANSPOSE(INDEX(GetCDS(C95,$C$6,$C$29,F95,D95,$C$13,$C$14,$C$15,$C$8,,,TRUE,TRUE,FALSE,$C$29:$C$31,$C$33),{1;2;3;4;5})),"")</f>
        <v>0</v>
      </c>
      <c r="Q71" s="456" t="str">
        <f ca="1"/>
        <v>0,0248808596983573</v>
      </c>
      <c r="R71" s="456" t="str">
        <f ca="1"/>
        <v>0,0248808596983573</v>
      </c>
      <c r="S71" s="457" t="str">
        <f ca="1"/>
        <v>0,00571035352770467</v>
      </c>
      <c r="T71" s="458" t="str">
        <f ca="1"/>
        <v>4,35714874353119</v>
      </c>
      <c r="U71" s="459">
        <f t="shared" ca="1" si="4"/>
        <v>0.11419412477850101</v>
      </c>
      <c r="V71" s="460">
        <f t="shared" ca="1" si="0"/>
        <v>-2.8412479969905906E-3</v>
      </c>
      <c r="W71" s="459">
        <f t="shared" ca="1" si="1"/>
        <v>0.13834134349453001</v>
      </c>
      <c r="X71" s="461">
        <f t="shared" ca="1" si="2"/>
        <v>5.4248358513194362E-3</v>
      </c>
      <c r="Y71" s="460">
        <f t="shared" ca="1" si="3"/>
        <v>-1.7210257789848318E-4</v>
      </c>
      <c r="Z71" s="79"/>
    </row>
    <row r="72" spans="1:26" customFormat="1" ht="15">
      <c r="A72" s="232"/>
      <c r="B72" s="295">
        <v>34</v>
      </c>
      <c r="C72" s="265" t="s">
        <v>122</v>
      </c>
      <c r="D72" s="266">
        <v>1</v>
      </c>
      <c r="E72" s="256"/>
      <c r="F72" s="239">
        <v>0.4</v>
      </c>
      <c r="G72" s="469">
        <v>100</v>
      </c>
      <c r="H72" s="405">
        <v>58</v>
      </c>
      <c r="I72" s="424" t="str">
        <f ca="1"/>
        <v>0,000589740588790976</v>
      </c>
      <c r="J72" s="424" t="str">
        <f ca="1"/>
        <v>0,00136088515179267</v>
      </c>
      <c r="K72" s="436" t="str">
        <f ca="1"/>
        <v>0,433350740886636</v>
      </c>
      <c r="L72" s="436" t="str">
        <f ca="1"/>
        <v>0,433350740886636</v>
      </c>
      <c r="M72" s="436" t="str">
        <f ca="1"/>
        <v>-0,000319533019785445</v>
      </c>
      <c r="N72" s="437" t="str">
        <f ca="1"/>
        <v>GLENCOREINTAG_MMR.EUR.SU</v>
      </c>
      <c r="P72" s="455" t="str" cm="1">
        <f t="array" aca="1" ref="P72:T72" ca="1">IF(AND($Q$12,B96&lt;=$C$17,C96&lt;&gt;""),TRANSPOSE(INDEX(GetCDS(C96,$C$6,$C$29,F96,D96,$C$13,$C$14,$C$15,$C$8,,,TRUE,TRUE,FALSE,$C$29:$C$31,$C$33),{1;2;3;4;5})),"")</f>
        <v>0</v>
      </c>
      <c r="Q72" s="456" t="str">
        <f ca="1"/>
        <v>0,0270816851340175</v>
      </c>
      <c r="R72" s="456" t="str">
        <f ca="1"/>
        <v>0,0270816851340175</v>
      </c>
      <c r="S72" s="457" t="str">
        <f ca="1"/>
        <v>0,00622880522542092</v>
      </c>
      <c r="T72" s="458" t="str">
        <f ca="1"/>
        <v>4,34781377068785</v>
      </c>
      <c r="U72" s="459">
        <f t="shared" ca="1" si="4"/>
        <v>0.11419412477850101</v>
      </c>
      <c r="V72" s="460">
        <f t="shared" ca="1" si="0"/>
        <v>-3.0925693314060717E-3</v>
      </c>
      <c r="W72" s="459">
        <f t="shared" ca="1" si="1"/>
        <v>0.14445024696221201</v>
      </c>
      <c r="X72" s="461">
        <f t="shared" ca="1" si="2"/>
        <v>5.9173649641498741E-3</v>
      </c>
      <c r="Y72" s="460">
        <f t="shared" ca="1" si="3"/>
        <v>-1.9559780528808482E-4</v>
      </c>
      <c r="Z72" s="79"/>
    </row>
    <row r="73" spans="1:26" customFormat="1" ht="15">
      <c r="A73" s="232"/>
      <c r="B73" s="295">
        <v>35</v>
      </c>
      <c r="C73" s="265" t="s">
        <v>123</v>
      </c>
      <c r="D73" s="266">
        <v>1</v>
      </c>
      <c r="E73" s="256"/>
      <c r="F73" s="239">
        <v>0.4</v>
      </c>
      <c r="G73" s="469">
        <v>100</v>
      </c>
      <c r="H73" s="405">
        <v>59</v>
      </c>
      <c r="I73" s="424" t="str">
        <f ca="1"/>
        <v>0,000274280992293629</v>
      </c>
      <c r="J73" s="424" t="str">
        <f ca="1"/>
        <v>0,000807931764180678</v>
      </c>
      <c r="K73" s="436" t="str">
        <f ca="1"/>
        <v>0,339485343260117</v>
      </c>
      <c r="L73" s="436" t="str">
        <f ca="1"/>
        <v>0,339485343260117</v>
      </c>
      <c r="M73" s="436" t="str">
        <f ca="1"/>
        <v>-0,000187893950362073</v>
      </c>
      <c r="N73" s="437" t="str">
        <f ca="1"/>
        <v>GREATUNIVERSALSTORES_MMR.EUR.SU</v>
      </c>
      <c r="P73" s="455" t="str" cm="1">
        <f t="array" aca="1" ref="P73:T73" ca="1">IF(AND($Q$12,B97&lt;=$C$17,C97&lt;&gt;""),TRANSPOSE(INDEX(GetCDS(C97,$C$6,$C$29,F97,D97,$C$13,$C$14,$C$15,$C$8,,,TRUE,TRUE,FALSE,$C$29:$C$31,$C$33),{1;2;3;4;5})),"")</f>
        <v>0</v>
      </c>
      <c r="Q73" s="456" t="str">
        <f ca="1"/>
        <v>0,0159346353851156</v>
      </c>
      <c r="R73" s="456" t="str">
        <f ca="1"/>
        <v>0,0159346353851156</v>
      </c>
      <c r="S73" s="457" t="str">
        <f ca="1"/>
        <v>0,00363558420671414</v>
      </c>
      <c r="T73" s="458" t="str">
        <f ca="1"/>
        <v>4,38296418927329</v>
      </c>
      <c r="U73" s="459">
        <f t="shared" ca="1" si="4"/>
        <v>0.11419412477850101</v>
      </c>
      <c r="V73" s="460">
        <f t="shared" ca="1" si="0"/>
        <v>-1.8196417414678102E-3</v>
      </c>
      <c r="W73" s="459">
        <f t="shared" ca="1" si="1"/>
        <v>0.11316178108670566</v>
      </c>
      <c r="X73" s="461">
        <f t="shared" ca="1" si="2"/>
        <v>3.4538049963784329E-3</v>
      </c>
      <c r="Y73" s="460">
        <f t="shared" ca="1" si="3"/>
        <v>-9.0159586057346439E-5</v>
      </c>
      <c r="Z73" s="79"/>
    </row>
    <row r="74" spans="1:26" customFormat="1" ht="15">
      <c r="A74" s="232"/>
      <c r="B74" s="295">
        <v>36</v>
      </c>
      <c r="C74" s="265" t="s">
        <v>124</v>
      </c>
      <c r="D74" s="266">
        <v>1</v>
      </c>
      <c r="E74" s="256"/>
      <c r="F74" s="239">
        <v>0.4</v>
      </c>
      <c r="G74" s="469">
        <v>100</v>
      </c>
      <c r="H74" s="405">
        <v>60</v>
      </c>
      <c r="I74" s="424" t="str">
        <f ca="1"/>
        <v>0,000224552802637668</v>
      </c>
      <c r="J74" s="424" t="str">
        <f ca="1"/>
        <v>0,000695744606541704</v>
      </c>
      <c r="K74" s="436" t="str">
        <f ca="1"/>
        <v>0,322751769149658</v>
      </c>
      <c r="L74" s="436" t="str">
        <f ca="1"/>
        <v>0,322751769149658</v>
      </c>
      <c r="M74" s="436" t="str">
        <f ca="1"/>
        <v>-0,000162310657510445</v>
      </c>
      <c r="N74" s="437" t="str">
        <f ca="1"/>
        <v>HANNOVERRUECK_MMR.EUR.SU</v>
      </c>
      <c r="P74" s="455" t="str" cm="1">
        <f t="array" aca="1" ref="P74:T74" ca="1">IF(AND($Q$12,B98&lt;=$C$17,C98&lt;&gt;""),TRANSPOSE(INDEX(GetCDS(C98,$C$6,$C$29,F98,D98,$C$13,$C$14,$C$15,$C$8,,,TRUE,TRUE,FALSE,$C$29:$C$31,$C$33),{1;2;3;4;5})),"")</f>
        <v>0</v>
      </c>
      <c r="Q74" s="456" t="str">
        <f ca="1"/>
        <v>0,0136585488647186</v>
      </c>
      <c r="R74" s="456" t="str">
        <f ca="1"/>
        <v>0,0136585488647186</v>
      </c>
      <c r="S74" s="457" t="str">
        <f ca="1"/>
        <v>0,00311671748244154</v>
      </c>
      <c r="T74" s="458" t="str">
        <f ca="1"/>
        <v>4,38235064347857</v>
      </c>
      <c r="U74" s="459">
        <f t="shared" ca="1" si="4"/>
        <v>0.11419412477850101</v>
      </c>
      <c r="V74" s="460">
        <f t="shared" ca="1" si="0"/>
        <v>-1.5597260333509279E-3</v>
      </c>
      <c r="W74" s="459">
        <f t="shared" ca="1" si="1"/>
        <v>0.107583923049886</v>
      </c>
      <c r="X74" s="461">
        <f t="shared" ca="1" si="2"/>
        <v>2.9608816083194628E-3</v>
      </c>
      <c r="Y74" s="460">
        <f t="shared" ca="1" si="3"/>
        <v>-7.3472013501749744E-5</v>
      </c>
      <c r="Z74" s="79"/>
    </row>
    <row r="75" spans="1:26" customFormat="1" ht="15">
      <c r="A75" s="232"/>
      <c r="B75" s="295">
        <v>37</v>
      </c>
      <c r="C75" s="265" t="s">
        <v>125</v>
      </c>
      <c r="D75" s="266">
        <v>1</v>
      </c>
      <c r="E75" s="256"/>
      <c r="F75" s="239">
        <v>0.4</v>
      </c>
      <c r="G75" s="469">
        <v>100</v>
      </c>
      <c r="H75" s="405">
        <v>61</v>
      </c>
      <c r="I75" s="424" t="str">
        <f ca="1"/>
        <v>0,000417489206176591</v>
      </c>
      <c r="J75" s="424" t="str">
        <f ca="1"/>
        <v>0,00107569927118807</v>
      </c>
      <c r="K75" s="436" t="str">
        <f ca="1"/>
        <v>0,388109592856273</v>
      </c>
      <c r="L75" s="436" t="str">
        <f ca="1"/>
        <v>0,388109592856273</v>
      </c>
      <c r="M75" s="436" t="str">
        <f ca="1"/>
        <v>-0,000253602917256912</v>
      </c>
      <c r="N75" s="437" t="str">
        <f ca="1"/>
        <v>HELLENIC TELCOM_MMR.EUR.SU</v>
      </c>
      <c r="P75" s="455" t="str" cm="1">
        <f t="array" aca="1" ref="P75:T75" ca="1">IF(AND($Q$12,B99&lt;=$C$17,C99&lt;&gt;""),TRANSPOSE(INDEX(GetCDS(C99,$C$6,$C$29,F99,D99,$C$13,$C$14,$C$15,$C$8,,,TRUE,TRUE,FALSE,$C$29:$C$31,$C$33),{1;2;3;4;5})),"")</f>
        <v>0</v>
      </c>
      <c r="Q75" s="456" t="str">
        <f ca="1"/>
        <v>0,0213101822065897</v>
      </c>
      <c r="R75" s="456" t="str">
        <f ca="1"/>
        <v>0,0213101822065897</v>
      </c>
      <c r="S75" s="457" t="str">
        <f ca="1"/>
        <v>0,00488071449460777</v>
      </c>
      <c r="T75" s="458" t="str">
        <f ca="1"/>
        <v>4,36620134821106</v>
      </c>
      <c r="U75" s="459">
        <f t="shared" ca="1" si="4"/>
        <v>0.11419412477850101</v>
      </c>
      <c r="V75" s="460">
        <f t="shared" ca="1" si="0"/>
        <v>-2.4334976059518973E-3</v>
      </c>
      <c r="W75" s="459">
        <f t="shared" ca="1" si="1"/>
        <v>0.12936986428542432</v>
      </c>
      <c r="X75" s="461">
        <f t="shared" ca="1" si="2"/>
        <v>4.6366787698773814E-3</v>
      </c>
      <c r="Y75" s="460">
        <f t="shared" ca="1" si="3"/>
        <v>-1.3784476899820884E-4</v>
      </c>
      <c r="Z75" s="79"/>
    </row>
    <row r="76" spans="1:26" customFormat="1" ht="15">
      <c r="A76" s="232"/>
      <c r="B76" s="295">
        <v>38</v>
      </c>
      <c r="C76" s="265" t="s">
        <v>126</v>
      </c>
      <c r="D76" s="266">
        <v>1</v>
      </c>
      <c r="E76" s="256"/>
      <c r="F76" s="239">
        <v>0.4</v>
      </c>
      <c r="G76" s="469">
        <v>100</v>
      </c>
      <c r="H76" s="405">
        <v>62</v>
      </c>
      <c r="I76" s="424" t="str">
        <f ca="1"/>
        <v>0,00016372419340458</v>
      </c>
      <c r="J76" s="424" t="str">
        <f ca="1"/>
        <v>0,000560414466411024</v>
      </c>
      <c r="K76" s="436" t="str">
        <f ca="1"/>
        <v>0,292148406612509</v>
      </c>
      <c r="L76" s="436" t="str">
        <f ca="1"/>
        <v>0,292148406612509</v>
      </c>
      <c r="M76" s="436" t="str">
        <f ca="1"/>
        <v>-0,00012524876596951</v>
      </c>
      <c r="N76" s="437" t="str">
        <f ca="1"/>
        <v>HENKELKG_MMR.EUR.SU</v>
      </c>
      <c r="P76" s="455" t="str" cm="1">
        <f t="array" aca="1" ref="P76:T76" ca="1">IF(AND($Q$12,B100&lt;=$C$17,C100&lt;&gt;""),TRANSPOSE(INDEX(GetCDS(C100,$C$6,$C$29,F100,D100,$C$13,$C$14,$C$15,$C$8,,,TRUE,TRUE,FALSE,$C$29:$C$31,$C$33),{1;2;3;4;5})),"")</f>
        <v>0</v>
      </c>
      <c r="Q76" s="456" t="str">
        <f ca="1"/>
        <v>0,0109627418687248</v>
      </c>
      <c r="R76" s="456" t="str">
        <f ca="1"/>
        <v>0,0109627418687248</v>
      </c>
      <c r="S76" s="457" t="str">
        <f ca="1"/>
        <v>0,00249365151860289</v>
      </c>
      <c r="T76" s="458" t="str">
        <f ca="1"/>
        <v>4,3962605788907</v>
      </c>
      <c r="U76" s="459">
        <f t="shared" ca="1" si="4"/>
        <v>0.11419412477850101</v>
      </c>
      <c r="V76" s="460">
        <f t="shared" ca="1" si="0"/>
        <v>-1.2518807128716588E-3</v>
      </c>
      <c r="W76" s="459">
        <f t="shared" ca="1" si="1"/>
        <v>9.7382802204169672E-2</v>
      </c>
      <c r="X76" s="461">
        <f t="shared" ca="1" si="2"/>
        <v>2.3689689426727454E-3</v>
      </c>
      <c r="Y76" s="460">
        <f t="shared" ca="1" si="3"/>
        <v>-5.3379126150870029E-5</v>
      </c>
      <c r="Z76" s="79"/>
    </row>
    <row r="77" spans="1:26" customFormat="1" ht="15">
      <c r="A77" s="232"/>
      <c r="B77" s="295">
        <v>39</v>
      </c>
      <c r="C77" s="265" t="s">
        <v>127</v>
      </c>
      <c r="D77" s="266">
        <v>1</v>
      </c>
      <c r="E77" s="256"/>
      <c r="F77" s="239">
        <v>0.4</v>
      </c>
      <c r="G77" s="469">
        <v>100</v>
      </c>
      <c r="H77" s="405">
        <v>63</v>
      </c>
      <c r="I77" s="424" t="str">
        <f ca="1"/>
        <v>0,000266485699475582</v>
      </c>
      <c r="J77" s="424" t="str">
        <f ca="1"/>
        <v>0,000785966384723445</v>
      </c>
      <c r="K77" s="436" t="str">
        <f ca="1"/>
        <v>0,339054830658374</v>
      </c>
      <c r="L77" s="436" t="str">
        <f ca="1"/>
        <v>0,339054830658374</v>
      </c>
      <c r="M77" s="436" t="str">
        <f ca="1"/>
        <v>-0,000184275041934567</v>
      </c>
      <c r="N77" s="437" t="str">
        <f ca="1"/>
        <v>IBERDROLA_MMR.EUR.SU</v>
      </c>
      <c r="P77" s="455" t="str" cm="1">
        <f t="array" aca="1" ref="P77:T77" ca="1">IF(AND($Q$12,B101&lt;=$C$17,C101&lt;&gt;""),TRANSPOSE(INDEX(GetCDS(C101,$C$6,$C$29,F101,D101,$C$13,$C$14,$C$15,$C$8,,,TRUE,TRUE,FALSE,$C$29:$C$31,$C$33),{1;2;3;4;5})),"")</f>
        <v>0</v>
      </c>
      <c r="Q77" s="456" t="str">
        <f ca="1"/>
        <v>0,015466405356828</v>
      </c>
      <c r="R77" s="456" t="str">
        <f ca="1"/>
        <v>0,015466405356828</v>
      </c>
      <c r="S77" s="457" t="str">
        <f ca="1"/>
        <v>0,00353188519796308</v>
      </c>
      <c r="T77" s="458" t="str">
        <f ca="1"/>
        <v>4,37907929899529</v>
      </c>
      <c r="U77" s="459">
        <f t="shared" ca="1" si="4"/>
        <v>0.11419412477850101</v>
      </c>
      <c r="V77" s="460">
        <f t="shared" ca="1" si="0"/>
        <v>-1.7661726231924936E-3</v>
      </c>
      <c r="W77" s="459">
        <f t="shared" ca="1" si="1"/>
        <v>0.11301827688612466</v>
      </c>
      <c r="X77" s="461">
        <f t="shared" ca="1" si="2"/>
        <v>3.355290938064926E-3</v>
      </c>
      <c r="Y77" s="460">
        <f t="shared" ca="1" si="3"/>
        <v>-8.7399324152551543E-5</v>
      </c>
      <c r="Z77" s="79"/>
    </row>
    <row r="78" spans="1:26" customFormat="1" ht="15">
      <c r="A78" s="232"/>
      <c r="B78" s="295">
        <v>40</v>
      </c>
      <c r="C78" s="265" t="s">
        <v>128</v>
      </c>
      <c r="D78" s="266">
        <v>1</v>
      </c>
      <c r="E78" s="256"/>
      <c r="F78" s="239">
        <v>0.4</v>
      </c>
      <c r="G78" s="469">
        <v>100</v>
      </c>
      <c r="H78" s="405">
        <v>64</v>
      </c>
      <c r="I78" s="424" t="str">
        <f ca="1"/>
        <v>0,000105602128335591</v>
      </c>
      <c r="J78" s="424" t="str">
        <f ca="1"/>
        <v>0,000472369330694297</v>
      </c>
      <c r="K78" s="436" t="str">
        <f ca="1"/>
        <v>0,22355839271016</v>
      </c>
      <c r="L78" s="436" t="str">
        <f ca="1"/>
        <v>0,22355839271016</v>
      </c>
      <c r="M78" s="436" t="str">
        <f ca="1"/>
        <v>-6,23520905885577E-05</v>
      </c>
      <c r="N78" s="437" t="str">
        <f ca="1"/>
        <v>ICI_MMR.EUR.SU</v>
      </c>
      <c r="P78" s="455" t="str" cm="1">
        <f t="array" aca="1" ref="P78:T78" ca="1">IF(AND($Q$12,B102&lt;=$C$17,C102&lt;&gt;""),TRANSPOSE(INDEX(GetCDS(C102,$C$6,$C$29,F102,D102,$C$13,$C$14,$C$15,$C$8,,,TRUE,TRUE,FALSE,$C$29:$C$31,$C$33),{1;2;3;4;5})),"")</f>
        <v>1,04083408558608E-17</v>
      </c>
      <c r="Q78" s="456" t="str">
        <f ca="1"/>
        <v>0,00595559896516687</v>
      </c>
      <c r="R78" s="456" t="str">
        <f ca="1"/>
        <v>0,00595559896516686</v>
      </c>
      <c r="S78" s="457" t="str">
        <f ca="1"/>
        <v>0,00135109773279627</v>
      </c>
      <c r="T78" s="458" t="str">
        <f ca="1"/>
        <v>4,40797051212645</v>
      </c>
      <c r="U78" s="459">
        <f t="shared" ca="1" si="4"/>
        <v>0.11419412477850101</v>
      </c>
      <c r="V78" s="460">
        <f t="shared" ca="1" si="0"/>
        <v>-6.8009441135897586E-4</v>
      </c>
      <c r="W78" s="459">
        <f t="shared" ca="1" si="1"/>
        <v>7.4519464236719998E-2</v>
      </c>
      <c r="X78" s="461">
        <f t="shared" ca="1" si="2"/>
        <v>1.2835428461564565E-3</v>
      </c>
      <c r="Y78" s="460">
        <f t="shared" ca="1" si="3"/>
        <v>-2.2190402204649918E-5</v>
      </c>
      <c r="Z78" s="79"/>
    </row>
    <row r="79" spans="1:26" customFormat="1" ht="15">
      <c r="A79" s="232"/>
      <c r="B79" s="295">
        <v>41</v>
      </c>
      <c r="C79" s="265" t="s">
        <v>129</v>
      </c>
      <c r="D79" s="266">
        <v>1</v>
      </c>
      <c r="E79" s="256"/>
      <c r="F79" s="239">
        <v>0.4</v>
      </c>
      <c r="G79" s="469">
        <v>100</v>
      </c>
      <c r="H79" s="405">
        <v>65</v>
      </c>
      <c r="I79" s="424" t="str">
        <f ca="1"/>
        <v>0,000225600370490797</v>
      </c>
      <c r="J79" s="424" t="str">
        <f ca="1"/>
        <v>0,000696054171478358</v>
      </c>
      <c r="K79" s="436" t="str">
        <f ca="1"/>
        <v>0,324113236778169</v>
      </c>
      <c r="L79" s="436" t="str">
        <f ca="1"/>
        <v>0,324113236778169</v>
      </c>
      <c r="M79" s="436" t="str">
        <f ca="1"/>
        <v>-0,000162686862658146</v>
      </c>
      <c r="N79" s="437" t="str">
        <f ca="1"/>
        <v>INTESA_MMR.EUR.SU</v>
      </c>
      <c r="P79" s="455" t="str" cm="1">
        <f t="array" aca="1" ref="P79:T79" ca="1">IF(AND($Q$12,B103&lt;=$C$17,C103&lt;&gt;""),TRANSPOSE(INDEX(GetCDS(C103,$C$6,$C$29,F103,D103,$C$13,$C$14,$C$15,$C$8,,,TRUE,TRUE,FALSE,$C$29:$C$31,$C$33),{1;2;3;4;5})),"")</f>
        <v>0</v>
      </c>
      <c r="Q79" s="456" t="str">
        <f ca="1"/>
        <v>0,0136557248647699</v>
      </c>
      <c r="R79" s="456" t="str">
        <f ca="1"/>
        <v>0,0136557248647699</v>
      </c>
      <c r="S79" s="457" t="str">
        <f ca="1"/>
        <v>0,0031167263968542</v>
      </c>
      <c r="T79" s="458" t="str">
        <f ca="1"/>
        <v>4,38143203027157</v>
      </c>
      <c r="U79" s="459">
        <f t="shared" ca="1" si="4"/>
        <v>0.11419412477850101</v>
      </c>
      <c r="V79" s="460">
        <f t="shared" ca="1" si="0"/>
        <v>-1.5594035491484121E-3</v>
      </c>
      <c r="W79" s="459">
        <f t="shared" ca="1" si="1"/>
        <v>0.108037745592723</v>
      </c>
      <c r="X79" s="461">
        <f t="shared" ca="1" si="2"/>
        <v>2.9608900770114899E-3</v>
      </c>
      <c r="Y79" s="460">
        <f t="shared" ca="1" si="3"/>
        <v>-7.3766686441211556E-5</v>
      </c>
      <c r="Z79" s="79"/>
    </row>
    <row r="80" spans="1:26" customFormat="1" ht="15">
      <c r="A80" s="232"/>
      <c r="B80" s="295">
        <v>42</v>
      </c>
      <c r="C80" s="265" t="s">
        <v>130</v>
      </c>
      <c r="D80" s="266">
        <v>1</v>
      </c>
      <c r="E80" s="256"/>
      <c r="F80" s="239">
        <v>0.4</v>
      </c>
      <c r="G80" s="469">
        <v>100</v>
      </c>
      <c r="H80" s="405">
        <v>66</v>
      </c>
      <c r="I80" s="424" t="str">
        <f ca="1"/>
        <v>0,00123842422578963</v>
      </c>
      <c r="J80" s="424" t="str">
        <f ca="1"/>
        <v>0,00228227316326905</v>
      </c>
      <c r="K80" s="436" t="str">
        <f ca="1"/>
        <v>0,542627519668046</v>
      </c>
      <c r="L80" s="436" t="str">
        <f ca="1"/>
        <v>0,542627519668046</v>
      </c>
      <c r="M80" s="436" t="str">
        <f ca="1"/>
        <v>-0,000496436007295898</v>
      </c>
      <c r="N80" s="437" t="str">
        <f ca="1"/>
        <v>KINGFISHER_MMR.EUR.SU</v>
      </c>
      <c r="P80" s="455" t="str" cm="1">
        <f t="array" aca="1" ref="P80:T80" ca="1">IF(AND($Q$12,B104&lt;=$C$17,C104&lt;&gt;""),TRANSPOSE(INDEX(GetCDS(C104,$C$6,$C$29,F104,D104,$C$13,$C$14,$C$15,$C$8,,,TRUE,TRUE,FALSE,$C$29:$C$31,$C$33),{1;2;3;4;5})),"")</f>
        <v>0</v>
      </c>
      <c r="Q80" s="456" t="str">
        <f ca="1"/>
        <v>0,0459253575534029</v>
      </c>
      <c r="R80" s="456" t="str">
        <f ca="1"/>
        <v>0,0459253575534029</v>
      </c>
      <c r="S80" s="457" t="str">
        <f ca="1"/>
        <v>0,0106785263886631</v>
      </c>
      <c r="T80" s="458" t="str">
        <f ca="1"/>
        <v>4,30072051909332</v>
      </c>
      <c r="U80" s="459">
        <f t="shared" ref="U80:U143" ca="1" si="5">IF($Q$12,IF(P80="","",$Q$13*D104/$C$18),"")</f>
        <v>0.11419412477850101</v>
      </c>
      <c r="V80" s="460">
        <f t="shared" ref="V80:V143" ca="1" si="6">IF($Q$12,IF(U80="","",U80*($V$10-S80)*T80),"")</f>
        <v>-5.2444060109505634E-3</v>
      </c>
      <c r="W80" s="459">
        <f t="shared" ref="W80:W143" ca="1" si="7">IF($Q$12,IF(OR(P80="",L80=""),"",L80/($C$20-$C$19)),"")</f>
        <v>0.18087583988934866</v>
      </c>
      <c r="X80" s="461">
        <f t="shared" ref="X80:X143" ca="1" si="8">IF($Q$12,IF(S80="","",S80*$Y$10),"")</f>
        <v>1.0144600069229945E-2</v>
      </c>
      <c r="Y80" s="460">
        <f t="shared" ref="Y80:Y143" ca="1" si="9">IF($Q$12,IF(W80="","",W80*(X80-S80)*T80),"")</f>
        <v>-4.1533938098452011E-4</v>
      </c>
      <c r="Z80" s="79"/>
    </row>
    <row r="81" spans="1:26" customFormat="1" ht="15">
      <c r="A81" s="232"/>
      <c r="B81" s="295">
        <v>43</v>
      </c>
      <c r="C81" s="265" t="s">
        <v>131</v>
      </c>
      <c r="D81" s="266">
        <v>1</v>
      </c>
      <c r="E81" s="256"/>
      <c r="F81" s="239">
        <v>0.4</v>
      </c>
      <c r="G81" s="469">
        <v>100</v>
      </c>
      <c r="H81" s="405">
        <v>67</v>
      </c>
      <c r="I81" s="424" t="str">
        <f ca="1"/>
        <v>0,00033298808276454</v>
      </c>
      <c r="J81" s="424" t="str">
        <f ca="1"/>
        <v>0,000920142909471423</v>
      </c>
      <c r="K81" s="436" t="str">
        <f ca="1"/>
        <v>0,361887353950079</v>
      </c>
      <c r="L81" s="436" t="str">
        <f ca="1"/>
        <v>0,361887353950079</v>
      </c>
      <c r="M81" s="436" t="str">
        <f ca="1"/>
        <v>-0,000216535987429101</v>
      </c>
      <c r="N81" s="437" t="str">
        <f ca="1"/>
        <v>KPN_MMR.EUR.SU</v>
      </c>
      <c r="P81" s="455" t="str" cm="1">
        <f t="array" aca="1" ref="P81:T81" ca="1">IF(AND($Q$12,B105&lt;=$C$17,C105&lt;&gt;""),TRANSPOSE(INDEX(GetCDS(C105,$C$6,$C$29,F105,D105,$C$13,$C$14,$C$15,$C$8,,,TRUE,TRUE,FALSE,$C$29:$C$31,$C$33),{1;2;3;4;5})),"")</f>
        <v>0</v>
      </c>
      <c r="Q81" s="456" t="str">
        <f ca="1"/>
        <v>0,0181716890947426</v>
      </c>
      <c r="R81" s="456" t="str">
        <f ca="1"/>
        <v>0,0181716890947426</v>
      </c>
      <c r="S81" s="457" t="str">
        <f ca="1"/>
        <v>0,00415451125369032</v>
      </c>
      <c r="T81" s="458" t="str">
        <f ca="1"/>
        <v>4,37396554855912</v>
      </c>
      <c r="U81" s="459">
        <f t="shared" ca="1" si="5"/>
        <v>0.11419412477850101</v>
      </c>
      <c r="V81" s="460">
        <f t="shared" ca="1" si="6"/>
        <v>-2.0751001319211644E-3</v>
      </c>
      <c r="W81" s="459">
        <f t="shared" ca="1" si="7"/>
        <v>0.12062911798335967</v>
      </c>
      <c r="X81" s="461">
        <f t="shared" ca="1" si="8"/>
        <v>3.9467856910058042E-3</v>
      </c>
      <c r="Y81" s="460">
        <f t="shared" ca="1" si="9"/>
        <v>-1.0960174138833183E-4</v>
      </c>
      <c r="Z81" s="79"/>
    </row>
    <row r="82" spans="1:26" customFormat="1" ht="15">
      <c r="A82" s="232"/>
      <c r="B82" s="295">
        <v>44</v>
      </c>
      <c r="C82" s="265" t="s">
        <v>132</v>
      </c>
      <c r="D82" s="266">
        <v>1</v>
      </c>
      <c r="E82" s="256"/>
      <c r="F82" s="239">
        <v>0.4</v>
      </c>
      <c r="G82" s="469">
        <v>100</v>
      </c>
      <c r="H82" s="405">
        <v>68</v>
      </c>
      <c r="I82" s="424" t="str">
        <f ca="1"/>
        <v>0,00046607104422216</v>
      </c>
      <c r="J82" s="424" t="str">
        <f ca="1"/>
        <v>0,00116374118912618</v>
      </c>
      <c r="K82" s="436" t="str">
        <f ca="1"/>
        <v>0,400493725389336</v>
      </c>
      <c r="L82" s="436" t="str">
        <f ca="1"/>
        <v>0,400493725389336</v>
      </c>
      <c r="M82" s="436" t="str">
        <f ca="1"/>
        <v>-0,000273563348527462</v>
      </c>
      <c r="N82" s="437" t="str">
        <f ca="1"/>
        <v>LAFARGE_MMR.EUR.SU</v>
      </c>
      <c r="P82" s="455" t="str" cm="1">
        <f t="array" aca="1" ref="P82:T82" ca="1">IF(AND($Q$12,B106&lt;=$C$17,C106&lt;&gt;""),TRANSPOSE(INDEX(GetCDS(C106,$C$6,$C$29,F106,D106,$C$13,$C$14,$C$15,$C$8,,,TRUE,TRUE,FALSE,$C$29:$C$31,$C$33),{1;2;3;4;5})),"")</f>
        <v>0</v>
      </c>
      <c r="Q82" s="456" t="str">
        <f ca="1"/>
        <v>0,023106767465623</v>
      </c>
      <c r="R82" s="456" t="str">
        <f ca="1"/>
        <v>0,023106767465623</v>
      </c>
      <c r="S82" s="457" t="str">
        <f ca="1"/>
        <v>0,0052955268004208</v>
      </c>
      <c r="T82" s="458" t="str">
        <f ca="1"/>
        <v>4,3634501979646</v>
      </c>
      <c r="U82" s="459">
        <f t="shared" ca="1" si="5"/>
        <v>0.11419412477850101</v>
      </c>
      <c r="V82" s="460">
        <f t="shared" ca="1" si="6"/>
        <v>-2.6386570871971583E-3</v>
      </c>
      <c r="W82" s="459">
        <f t="shared" ca="1" si="7"/>
        <v>0.13349790846311199</v>
      </c>
      <c r="X82" s="461">
        <f t="shared" ca="1" si="8"/>
        <v>5.0307504603997596E-3</v>
      </c>
      <c r="Y82" s="460">
        <f t="shared" ca="1" si="9"/>
        <v>-1.5423525640020778E-4</v>
      </c>
      <c r="Z82" s="79"/>
    </row>
    <row r="83" spans="1:26" customFormat="1" ht="15">
      <c r="A83" s="232"/>
      <c r="B83" s="295">
        <v>45</v>
      </c>
      <c r="C83" s="265" t="s">
        <v>133</v>
      </c>
      <c r="D83" s="266">
        <v>1</v>
      </c>
      <c r="E83" s="256"/>
      <c r="F83" s="239">
        <v>0.4</v>
      </c>
      <c r="G83" s="469">
        <v>100</v>
      </c>
      <c r="H83" s="405">
        <v>69</v>
      </c>
      <c r="I83" s="424" t="str">
        <f ca="1"/>
        <v>0,000191824016904585</v>
      </c>
      <c r="J83" s="424" t="str">
        <f ca="1"/>
        <v>0,000628155096780056</v>
      </c>
      <c r="K83" s="436" t="str">
        <f ca="1"/>
        <v>0,305376837484693</v>
      </c>
      <c r="L83" s="436" t="str">
        <f ca="1"/>
        <v>0,305376837484693</v>
      </c>
      <c r="M83" s="436" t="str">
        <f ca="1"/>
        <v>-0,000142663847469548</v>
      </c>
      <c r="N83" s="437" t="str">
        <f ca="1"/>
        <v>LINDE_MMR.EUR.SU</v>
      </c>
      <c r="P83" s="455" t="str" cm="1">
        <f t="array" aca="1" ref="P83:T83" ca="1">IF(AND($Q$12,B107&lt;=$C$17,C107&lt;&gt;""),TRANSPOSE(INDEX(GetCDS(C107,$C$6,$C$29,F107,D107,$C$13,$C$14,$C$15,$C$8,,,TRUE,TRUE,FALSE,$C$29:$C$31,$C$33),{1;2;3;4;5})),"")</f>
        <v>0</v>
      </c>
      <c r="Q83" s="456" t="str">
        <f ca="1"/>
        <v>0,0123206796175292</v>
      </c>
      <c r="R83" s="456" t="str">
        <f ca="1"/>
        <v>0,0123206796175292</v>
      </c>
      <c r="S83" s="457" t="str">
        <f ca="1"/>
        <v>0,00280513058621148</v>
      </c>
      <c r="T83" s="458" t="str">
        <f ca="1"/>
        <v>4,39219467289368</v>
      </c>
      <c r="U83" s="459">
        <f t="shared" ca="1" si="5"/>
        <v>0.11419412477850101</v>
      </c>
      <c r="V83" s="460">
        <f t="shared" ca="1" si="6"/>
        <v>-1.4069492256000623E-3</v>
      </c>
      <c r="W83" s="459">
        <f t="shared" ca="1" si="7"/>
        <v>0.10179227916156434</v>
      </c>
      <c r="X83" s="461">
        <f t="shared" ca="1" si="8"/>
        <v>2.6648740569009057E-3</v>
      </c>
      <c r="Y83" s="460">
        <f t="shared" ca="1" si="9"/>
        <v>-6.2707502954386426E-5</v>
      </c>
      <c r="Z83" s="79"/>
    </row>
    <row r="84" spans="1:26" customFormat="1" ht="15">
      <c r="A84" s="232"/>
      <c r="B84" s="295">
        <v>46</v>
      </c>
      <c r="C84" s="265" t="s">
        <v>134</v>
      </c>
      <c r="D84" s="266">
        <v>1</v>
      </c>
      <c r="E84" s="256"/>
      <c r="F84" s="239">
        <v>0.4</v>
      </c>
      <c r="G84" s="469">
        <v>100</v>
      </c>
      <c r="H84" s="405">
        <v>70</v>
      </c>
      <c r="I84" s="424" t="str">
        <f ca="1"/>
        <v>0,000367319051210302</v>
      </c>
      <c r="J84" s="424" t="str">
        <f ca="1"/>
        <v>0,000986968359359079</v>
      </c>
      <c r="K84" s="436" t="str">
        <f ca="1"/>
        <v>0,372169024191245</v>
      </c>
      <c r="L84" s="436" t="str">
        <f ca="1"/>
        <v>0,372169024191245</v>
      </c>
      <c r="M84" s="436" t="str">
        <f ca="1"/>
        <v>-0,000231926768143742</v>
      </c>
      <c r="N84" s="437" t="str">
        <f ca="1"/>
        <v>LUFTHANSA_MMR.EUR.SU</v>
      </c>
      <c r="P84" s="455" t="str" cm="1">
        <f t="array" aca="1" ref="P84:T84" ca="1">IF(AND($Q$12,B108&lt;=$C$17,C108&lt;&gt;""),TRANSPOSE(INDEX(GetCDS(C108,$C$6,$C$29,F108,D108,$C$13,$C$14,$C$15,$C$8,,,TRUE,TRUE,FALSE,$C$29:$C$31,$C$33),{1;2;3;4;5})),"")</f>
        <v>0</v>
      </c>
      <c r="Q84" s="456" t="str">
        <f ca="1"/>
        <v>0,0195257757199257</v>
      </c>
      <c r="R84" s="456" t="str">
        <f ca="1"/>
        <v>0,0195257757199257</v>
      </c>
      <c r="S84" s="457" t="str">
        <f ca="1"/>
        <v>0,00446570804449757</v>
      </c>
      <c r="T84" s="458" t="str">
        <f ca="1"/>
        <v>4,372380712166</v>
      </c>
      <c r="U84" s="459">
        <f t="shared" ca="1" si="5"/>
        <v>0.11419412477850101</v>
      </c>
      <c r="V84" s="460">
        <f t="shared" ca="1" si="6"/>
        <v>-2.2297288689582229E-3</v>
      </c>
      <c r="W84" s="459">
        <f t="shared" ca="1" si="7"/>
        <v>0.12405634139708166</v>
      </c>
      <c r="X84" s="461">
        <f t="shared" ca="1" si="8"/>
        <v>4.2424226422726917E-3</v>
      </c>
      <c r="Y84" s="460">
        <f t="shared" ca="1" si="9"/>
        <v>-1.2111481493769768E-4</v>
      </c>
      <c r="Z84" s="79"/>
    </row>
    <row r="85" spans="1:26" customFormat="1" ht="15">
      <c r="A85" s="232"/>
      <c r="B85" s="295">
        <v>47</v>
      </c>
      <c r="C85" s="265" t="s">
        <v>135</v>
      </c>
      <c r="D85" s="266">
        <v>1</v>
      </c>
      <c r="E85" s="256"/>
      <c r="F85" s="239">
        <v>0.4</v>
      </c>
      <c r="G85" s="469">
        <v>100</v>
      </c>
      <c r="H85" s="405">
        <v>71</v>
      </c>
      <c r="I85" s="424" t="str">
        <f ca="1"/>
        <v>0,00020191547763182</v>
      </c>
      <c r="J85" s="424" t="str">
        <f ca="1"/>
        <v>0,000650521699130214</v>
      </c>
      <c r="K85" s="436" t="str">
        <f ca="1"/>
        <v>0,310390072924228</v>
      </c>
      <c r="L85" s="436" t="str">
        <f ca="1"/>
        <v>0,310390072924228</v>
      </c>
      <c r="M85" s="436" t="str">
        <f ca="1"/>
        <v>-0,000148773840114247</v>
      </c>
      <c r="N85" s="437" t="str">
        <f ca="1"/>
        <v>LVMH_MMR.EUR.SU</v>
      </c>
      <c r="P85" s="455" t="str" cm="1">
        <f t="array" aca="1" ref="P85:T85" ca="1">IF(AND($Q$12,B109&lt;=$C$17,C109&lt;&gt;""),TRANSPOSE(INDEX(GetCDS(C109,$C$6,$C$29,F109,D109,$C$13,$C$14,$C$15,$C$8,,,TRUE,TRUE,FALSE,$C$29:$C$31,$C$33),{1;2;3;4;5})),"")</f>
        <v>0</v>
      </c>
      <c r="Q85" s="456" t="str">
        <f ca="1"/>
        <v>0,0127713352482995</v>
      </c>
      <c r="R85" s="456" t="str">
        <f ca="1"/>
        <v>0,0127713352482995</v>
      </c>
      <c r="S85" s="457" t="str">
        <f ca="1"/>
        <v>0,00290898267309034</v>
      </c>
      <c r="T85" s="458" t="str">
        <f ca="1"/>
        <v>4,39030983802043</v>
      </c>
      <c r="U85" s="459">
        <f t="shared" ca="1" si="5"/>
        <v>0.11419412477850101</v>
      </c>
      <c r="V85" s="460">
        <f t="shared" ca="1" si="6"/>
        <v>-1.4584114509323799E-3</v>
      </c>
      <c r="W85" s="459">
        <f t="shared" ca="1" si="7"/>
        <v>0.10346335764140933</v>
      </c>
      <c r="X85" s="461">
        <f t="shared" ca="1" si="8"/>
        <v>2.7635335394358227E-3</v>
      </c>
      <c r="Y85" s="460">
        <f t="shared" ca="1" si="9"/>
        <v>-6.6068261317657514E-5</v>
      </c>
      <c r="Z85" s="79"/>
    </row>
    <row r="86" spans="1:26" customFormat="1" ht="15">
      <c r="A86" s="232"/>
      <c r="B86" s="295">
        <v>48</v>
      </c>
      <c r="C86" s="265" t="s">
        <v>136</v>
      </c>
      <c r="D86" s="266">
        <v>1</v>
      </c>
      <c r="E86" s="256"/>
      <c r="F86" s="239">
        <v>0.4</v>
      </c>
      <c r="G86" s="469">
        <v>100</v>
      </c>
      <c r="H86" s="405">
        <v>72</v>
      </c>
      <c r="I86" s="424" t="str">
        <f ca="1"/>
        <v>0,000330887885972242</v>
      </c>
      <c r="J86" s="424" t="str">
        <f ca="1"/>
        <v>0,000919645608792539</v>
      </c>
      <c r="K86" s="436" t="str">
        <f ca="1"/>
        <v>0,359799343147721</v>
      </c>
      <c r="L86" s="436" t="str">
        <f ca="1"/>
        <v>0,359799343147721</v>
      </c>
      <c r="M86" s="436" t="str">
        <f ca="1"/>
        <v>-0,000215679210848174</v>
      </c>
      <c r="N86" s="437" t="str">
        <f ca="1"/>
        <v>MARKSANDSPENCERPLC_MMR.EUR.SU</v>
      </c>
      <c r="P86" s="455" t="str" cm="1">
        <f t="array" aca="1" ref="P86:T86" ca="1">IF(AND($Q$12,B110&lt;=$C$17,C110&lt;&gt;""),TRANSPOSE(INDEX(GetCDS(C110,$C$6,$C$29,F110,D110,$C$13,$C$14,$C$15,$C$8,,,TRUE,TRUE,FALSE,$C$29:$C$31,$C$33),{1;2;3;4;5})),"")</f>
        <v>0</v>
      </c>
      <c r="Q86" s="456" t="str">
        <f ca="1"/>
        <v>0,0181813968901595</v>
      </c>
      <c r="R86" s="456" t="str">
        <f ca="1"/>
        <v>0,0181813968901595</v>
      </c>
      <c r="S86" s="457" t="str">
        <f ca="1"/>
        <v>0,00415448547541144</v>
      </c>
      <c r="T86" s="458" t="str">
        <f ca="1"/>
        <v>4,37632939091186</v>
      </c>
      <c r="U86" s="459">
        <f t="shared" ca="1" si="5"/>
        <v>0.11419412477850101</v>
      </c>
      <c r="V86" s="460">
        <f t="shared" ca="1" si="6"/>
        <v>-2.0762087051223259E-3</v>
      </c>
      <c r="W86" s="459">
        <f t="shared" ca="1" si="7"/>
        <v>0.11993311438257366</v>
      </c>
      <c r="X86" s="461">
        <f t="shared" ca="1" si="8"/>
        <v>3.9467612016408672E-3</v>
      </c>
      <c r="Y86" s="460">
        <f t="shared" ca="1" si="9"/>
        <v>-1.0902757764312378E-4</v>
      </c>
      <c r="Z86" s="79"/>
    </row>
    <row r="87" spans="1:26" customFormat="1" ht="15">
      <c r="A87" s="232"/>
      <c r="B87" s="295">
        <v>49</v>
      </c>
      <c r="C87" s="265" t="s">
        <v>137</v>
      </c>
      <c r="D87" s="266">
        <v>1</v>
      </c>
      <c r="E87" s="256"/>
      <c r="F87" s="239">
        <v>0.4</v>
      </c>
      <c r="G87" s="469">
        <v>100</v>
      </c>
      <c r="H87" s="405">
        <v>73</v>
      </c>
      <c r="I87" s="424" t="str">
        <f ca="1"/>
        <v>0,000232937212535966</v>
      </c>
      <c r="J87" s="424" t="str">
        <f ca="1"/>
        <v>0,000718279564316926</v>
      </c>
      <c r="K87" s="436" t="str">
        <f ca="1"/>
        <v>0,324298816377278</v>
      </c>
      <c r="L87" s="436" t="str">
        <f ca="1"/>
        <v>0,324298816377278</v>
      </c>
      <c r="M87" s="436" t="str">
        <f ca="1"/>
        <v>-0,000166400227602281</v>
      </c>
      <c r="N87" s="437" t="str">
        <f ca="1"/>
        <v>METRO_MMR.EUR.SU</v>
      </c>
      <c r="P87" s="455" t="str" cm="1">
        <f t="array" aca="1" ref="P87:T87" ca="1">IF(AND($Q$12,B111&lt;=$C$17,C111&lt;&gt;""),TRANSPOSE(INDEX(GetCDS(C111,$C$6,$C$29,F111,D111,$C$13,$C$14,$C$15,$C$8,,,TRUE,TRUE,FALSE,$C$29:$C$31,$C$33),{1;2;3;4;5})),"")</f>
        <v>0</v>
      </c>
      <c r="Q87" s="456" t="str">
        <f ca="1"/>
        <v>0,0141226712826786</v>
      </c>
      <c r="R87" s="456" t="str">
        <f ca="1"/>
        <v>0,0141226712826786</v>
      </c>
      <c r="S87" s="457" t="str">
        <f ca="1"/>
        <v>0,00322043094533106</v>
      </c>
      <c r="T87" s="458" t="str">
        <f ca="1"/>
        <v>4,3853358517603</v>
      </c>
      <c r="U87" s="459">
        <f t="shared" ca="1" si="5"/>
        <v>0.11419412477850101</v>
      </c>
      <c r="V87" s="460">
        <f t="shared" ca="1" si="6"/>
        <v>-1.6127260866599545E-3</v>
      </c>
      <c r="W87" s="459">
        <f t="shared" ca="1" si="7"/>
        <v>0.10809960545909265</v>
      </c>
      <c r="X87" s="461">
        <f t="shared" ca="1" si="8"/>
        <v>3.0594093980645071E-3</v>
      </c>
      <c r="Y87" s="460">
        <f t="shared" ca="1" si="9"/>
        <v>-7.6332759684300872E-5</v>
      </c>
      <c r="Z87" s="79"/>
    </row>
    <row r="88" spans="1:26" customFormat="1" ht="15">
      <c r="A88" s="232"/>
      <c r="B88" s="295">
        <v>50</v>
      </c>
      <c r="C88" s="265" t="s">
        <v>138</v>
      </c>
      <c r="D88" s="266">
        <v>1</v>
      </c>
      <c r="E88" s="256"/>
      <c r="F88" s="239">
        <v>0.4</v>
      </c>
      <c r="G88" s="469">
        <v>100</v>
      </c>
      <c r="H88" s="405">
        <v>74</v>
      </c>
      <c r="I88" s="424" t="str">
        <f ca="1"/>
        <v>0,000330897569141775</v>
      </c>
      <c r="J88" s="424" t="str">
        <f ca="1"/>
        <v>0,000919655939882334</v>
      </c>
      <c r="K88" s="436" t="str">
        <f ca="1"/>
        <v>0,359805830411003</v>
      </c>
      <c r="L88" s="436" t="str">
        <f ca="1"/>
        <v>0,359805830411003</v>
      </c>
      <c r="M88" s="436" t="str">
        <f ca="1"/>
        <v>-0,000215634438432799</v>
      </c>
      <c r="N88" s="437" t="str">
        <f ca="1"/>
        <v>MICHELIN_MMR.EUR.SU</v>
      </c>
      <c r="P88" s="455" t="str" cm="1">
        <f t="array" aca="1" ref="P88:T88" ca="1">IF(AND($Q$12,B112&lt;=$C$17,C112&lt;&gt;""),TRANSPOSE(INDEX(GetCDS(C112,$C$6,$C$29,F112,D112,$C$13,$C$14,$C$15,$C$8,,,TRUE,TRUE,FALSE,$C$29:$C$31,$C$33),{1;2;3;4;5})),"")</f>
        <v>0</v>
      </c>
      <c r="Q88" s="456" t="str">
        <f ca="1"/>
        <v>0,018181611828731</v>
      </c>
      <c r="R88" s="456" t="str">
        <f ca="1"/>
        <v>0,018181611828731</v>
      </c>
      <c r="S88" s="457" t="str">
        <f ca="1"/>
        <v>0,00415448621051802</v>
      </c>
      <c r="T88" s="458" t="str">
        <f ca="1"/>
        <v>4,37638035305067</v>
      </c>
      <c r="U88" s="459">
        <f t="shared" ca="1" si="5"/>
        <v>0.11419412477850101</v>
      </c>
      <c r="V88" s="460">
        <f t="shared" ca="1" si="6"/>
        <v>-2.0762332498443768E-3</v>
      </c>
      <c r="W88" s="459">
        <f t="shared" ca="1" si="7"/>
        <v>0.11993527680366767</v>
      </c>
      <c r="X88" s="461">
        <f t="shared" ca="1" si="8"/>
        <v>3.946761899992119E-3</v>
      </c>
      <c r="Y88" s="460">
        <f t="shared" ca="1" si="9"/>
        <v>-1.0903083237078463E-4</v>
      </c>
      <c r="Z88" s="79"/>
    </row>
    <row r="89" spans="1:26" customFormat="1" ht="15">
      <c r="A89" s="232"/>
      <c r="B89" s="295">
        <v>51</v>
      </c>
      <c r="C89" s="265" t="s">
        <v>139</v>
      </c>
      <c r="D89" s="266">
        <v>1</v>
      </c>
      <c r="E89" s="256"/>
      <c r="F89" s="239">
        <v>0.4</v>
      </c>
      <c r="G89" s="469">
        <v>100</v>
      </c>
      <c r="H89" s="405">
        <v>75</v>
      </c>
      <c r="I89" s="424" t="str">
        <f ca="1"/>
        <v>0,000304805851290136</v>
      </c>
      <c r="J89" s="424" t="str">
        <f ca="1"/>
        <v>0,000853840067769236</v>
      </c>
      <c r="K89" s="436" t="str">
        <f ca="1"/>
        <v>0,356982370347739</v>
      </c>
      <c r="L89" s="436" t="str">
        <f ca="1"/>
        <v>0,356982370347739</v>
      </c>
      <c r="M89" s="436" t="str">
        <f ca="1"/>
        <v>-0,000202441911657725</v>
      </c>
      <c r="N89" s="437" t="str">
        <f ca="1"/>
        <v>MONTEDEIPASCHI_MMR.EUR.SU</v>
      </c>
      <c r="P89" s="455" t="str" cm="1">
        <f t="array" aca="1" ref="P89:T89" ca="1">IF(AND($Q$12,B113&lt;=$C$17,C113&lt;&gt;""),TRANSPOSE(INDEX(GetCDS(C113,$C$6,$C$29,F113,D113,$C$13,$C$14,$C$15,$C$8,,,TRUE,TRUE,FALSE,$C$29:$C$31,$C$33),{1;2;3;4;5})),"")</f>
        <v>0</v>
      </c>
      <c r="Q89" s="456" t="str">
        <f ca="1"/>
        <v>0,0167964538613532</v>
      </c>
      <c r="R89" s="456" t="str">
        <f ca="1"/>
        <v>0,0167964538613532</v>
      </c>
      <c r="S89" s="457" t="str">
        <f ca="1"/>
        <v>0,0038433860919881</v>
      </c>
      <c r="T89" s="458" t="str">
        <f ca="1"/>
        <v>4,37022288662776</v>
      </c>
      <c r="U89" s="459">
        <f t="shared" ca="1" si="5"/>
        <v>0.11419412477850101</v>
      </c>
      <c r="V89" s="460">
        <f t="shared" ca="1" si="6"/>
        <v>-1.9180563480797046E-3</v>
      </c>
      <c r="W89" s="459">
        <f t="shared" ca="1" si="7"/>
        <v>0.11899412344924633</v>
      </c>
      <c r="X89" s="461">
        <f t="shared" ca="1" si="8"/>
        <v>3.6512167873886951E-3</v>
      </c>
      <c r="Y89" s="460">
        <f t="shared" ca="1" si="9"/>
        <v>-9.993396521437176E-5</v>
      </c>
      <c r="Z89" s="79"/>
    </row>
    <row r="90" spans="1:26" customFormat="1" ht="15">
      <c r="A90" s="232"/>
      <c r="B90" s="295">
        <v>52</v>
      </c>
      <c r="C90" s="265" t="s">
        <v>140</v>
      </c>
      <c r="D90" s="266">
        <v>1</v>
      </c>
      <c r="E90" s="256"/>
      <c r="F90" s="239">
        <v>0.4</v>
      </c>
      <c r="G90" s="469">
        <v>100</v>
      </c>
      <c r="H90" s="405">
        <v>76</v>
      </c>
      <c r="I90" s="424" t="str">
        <f ca="1"/>
        <v>0,000214970480391607</v>
      </c>
      <c r="J90" s="424" t="str">
        <f ca="1"/>
        <v>0,000673303091124082</v>
      </c>
      <c r="K90" s="436" t="str">
        <f ca="1"/>
        <v>0,319277429771952</v>
      </c>
      <c r="L90" s="436" t="str">
        <f ca="1"/>
        <v>0,319277429771952</v>
      </c>
      <c r="M90" s="436" t="str">
        <f ca="1"/>
        <v>-0,000156977175394224</v>
      </c>
      <c r="N90" s="437" t="str">
        <f ca="1"/>
        <v>MUNICHRE_MMR.EUR.SU</v>
      </c>
      <c r="P90" s="455" t="str" cm="1">
        <f t="array" aca="1" ref="P90:T90" ca="1">IF(AND($Q$12,B114&lt;=$C$17,C114&lt;&gt;""),TRANSPOSE(INDEX(GetCDS(C114,$C$6,$C$29,F114,D114,$C$13,$C$14,$C$15,$C$8,,,TRUE,TRUE,FALSE,$C$29:$C$31,$C$33),{1;2;3;4;5})),"")</f>
        <v>0</v>
      </c>
      <c r="Q90" s="456" t="str">
        <f ca="1"/>
        <v>0,0132045648974113</v>
      </c>
      <c r="R90" s="456" t="str">
        <f ca="1"/>
        <v>0,0132045648974113</v>
      </c>
      <c r="S90" s="457" t="str">
        <f ca="1"/>
        <v>0,00301291447933672</v>
      </c>
      <c r="T90" s="458" t="str">
        <f ca="1"/>
        <v>4,38265506305317</v>
      </c>
      <c r="U90" s="459">
        <f t="shared" ca="1" si="5"/>
        <v>0.11419412477850101</v>
      </c>
      <c r="V90" s="460">
        <f t="shared" ca="1" si="6"/>
        <v>-1.5078837315407982E-3</v>
      </c>
      <c r="W90" s="459">
        <f t="shared" ca="1" si="7"/>
        <v>0.106425809923984</v>
      </c>
      <c r="X90" s="461">
        <f t="shared" ca="1" si="8"/>
        <v>2.8622687553698837E-3</v>
      </c>
      <c r="Y90" s="460">
        <f t="shared" ca="1" si="9"/>
        <v>-7.0265325695040306E-5</v>
      </c>
      <c r="Z90" s="79"/>
    </row>
    <row r="91" spans="1:26" customFormat="1" ht="15">
      <c r="A91" s="232"/>
      <c r="B91" s="295">
        <v>53</v>
      </c>
      <c r="C91" s="265" t="s">
        <v>141</v>
      </c>
      <c r="D91" s="266">
        <v>1</v>
      </c>
      <c r="E91" s="256"/>
      <c r="F91" s="239">
        <v>0.4</v>
      </c>
      <c r="G91" s="469">
        <v>100</v>
      </c>
      <c r="H91" s="405">
        <v>77</v>
      </c>
      <c r="I91" s="424" t="str">
        <f ca="1"/>
        <v>0,000252952390672001</v>
      </c>
      <c r="J91" s="424" t="str">
        <f ca="1"/>
        <v>0,000762867618408722</v>
      </c>
      <c r="K91" s="436" t="str">
        <f ca="1"/>
        <v>0,331580977574639</v>
      </c>
      <c r="L91" s="436" t="str">
        <f ca="1"/>
        <v>0,331580977574639</v>
      </c>
      <c r="M91" s="436" t="str">
        <f ca="1"/>
        <v>-0,000177147832780134</v>
      </c>
      <c r="N91" s="437" t="str">
        <f ca="1"/>
        <v>NATIONALGRIDTRANSCOPLC_MMR.EUR.SU</v>
      </c>
      <c r="P91" s="455" t="str" cm="1">
        <f t="array" aca="1" ref="P91:T91" ca="1">IF(AND($Q$12,B115&lt;=$C$17,C115&lt;&gt;""),TRANSPOSE(INDEX(GetCDS(C115,$C$6,$C$29,F115,D115,$C$13,$C$14,$C$15,$C$8,,,TRUE,TRUE,FALSE,$C$29:$C$31,$C$33),{1;2;3;4;5})),"")</f>
        <v>0</v>
      </c>
      <c r="Q91" s="456" t="str">
        <f ca="1"/>
        <v>0,0150293838063469</v>
      </c>
      <c r="R91" s="456" t="str">
        <f ca="1"/>
        <v>0,0150293838063469</v>
      </c>
      <c r="S91" s="457" t="str">
        <f ca="1"/>
        <v>0,00342803607069655</v>
      </c>
      <c r="T91" s="458" t="str">
        <f ca="1"/>
        <v>4,38425486091605</v>
      </c>
      <c r="U91" s="459">
        <f t="shared" ca="1" si="5"/>
        <v>0.11419412477850101</v>
      </c>
      <c r="V91" s="460">
        <f t="shared" ca="1" si="6"/>
        <v>-1.7162673297259608E-3</v>
      </c>
      <c r="W91" s="459">
        <f t="shared" ca="1" si="7"/>
        <v>0.11052699252487967</v>
      </c>
      <c r="X91" s="461">
        <f t="shared" ca="1" si="8"/>
        <v>3.2566342671617224E-3</v>
      </c>
      <c r="Y91" s="460">
        <f t="shared" ca="1" si="9"/>
        <v>-8.3057629580882586E-5</v>
      </c>
      <c r="Z91" s="79"/>
    </row>
    <row r="92" spans="1:26" customFormat="1" ht="15">
      <c r="A92" s="232"/>
      <c r="B92" s="295">
        <v>54</v>
      </c>
      <c r="C92" s="265" t="s">
        <v>142</v>
      </c>
      <c r="D92" s="266">
        <v>1</v>
      </c>
      <c r="E92" s="256"/>
      <c r="F92" s="239">
        <v>0.4</v>
      </c>
      <c r="G92" s="469">
        <v>100</v>
      </c>
      <c r="H92" s="405">
        <v>78</v>
      </c>
      <c r="I92" s="424" t="str">
        <f ca="1"/>
        <v>0,000585753759803187</v>
      </c>
      <c r="J92" s="424" t="str">
        <f ca="1"/>
        <v>0,00136057321592516</v>
      </c>
      <c r="K92" s="436" t="str">
        <f ca="1"/>
        <v>0,430519837482533</v>
      </c>
      <c r="L92" s="436" t="str">
        <f ca="1"/>
        <v>0,430519837482533</v>
      </c>
      <c r="M92" s="436" t="str">
        <f ca="1"/>
        <v>-0,000318370915713984</v>
      </c>
      <c r="N92" s="437" t="str">
        <f ca="1"/>
        <v>NEXTPLC_MMR.EUR.SU</v>
      </c>
      <c r="P92" s="455" t="str" cm="1">
        <f t="array" aca="1" ref="P92:T92" ca="1">IF(AND($Q$12,B116&lt;=$C$17,C116&lt;&gt;""),TRANSPOSE(INDEX(GetCDS(C116,$C$6,$C$29,F116,D116,$C$13,$C$14,$C$15,$C$8,,,TRUE,TRUE,FALSE,$C$29:$C$31,$C$33),{1;2;3;4;5})),"")</f>
        <v>0</v>
      </c>
      <c r="Q92" s="456" t="str">
        <f ca="1"/>
        <v>0,027107723697743</v>
      </c>
      <c r="R92" s="456" t="str">
        <f ca="1"/>
        <v>0,027107723697743</v>
      </c>
      <c r="S92" s="457" t="str">
        <f ca="1"/>
        <v>0,00622873793077644</v>
      </c>
      <c r="T92" s="458" t="str">
        <f ca="1"/>
        <v>4,35204113562118</v>
      </c>
      <c r="U92" s="459">
        <f t="shared" ca="1" si="5"/>
        <v>0.11419412477850101</v>
      </c>
      <c r="V92" s="460">
        <f t="shared" ca="1" si="6"/>
        <v>-3.0955427824011948E-3</v>
      </c>
      <c r="W92" s="459">
        <f t="shared" ca="1" si="7"/>
        <v>0.14350661249417765</v>
      </c>
      <c r="X92" s="461">
        <f t="shared" ca="1" si="8"/>
        <v>5.9173010342376178E-3</v>
      </c>
      <c r="Y92" s="460">
        <f t="shared" ca="1" si="9"/>
        <v>-1.9450688001456238E-4</v>
      </c>
      <c r="Z92" s="79"/>
    </row>
    <row r="93" spans="1:26" customFormat="1" ht="15">
      <c r="A93" s="232"/>
      <c r="B93" s="295">
        <v>55</v>
      </c>
      <c r="C93" s="265" t="s">
        <v>143</v>
      </c>
      <c r="D93" s="266">
        <v>1</v>
      </c>
      <c r="E93" s="256"/>
      <c r="F93" s="239">
        <v>0.4</v>
      </c>
      <c r="G93" s="469">
        <v>100</v>
      </c>
      <c r="H93" s="405">
        <v>79</v>
      </c>
      <c r="I93" s="424" t="str">
        <f ca="1"/>
        <v>0,000263654386852141</v>
      </c>
      <c r="J93" s="424" t="str">
        <f ca="1"/>
        <v>0,000785590884390794</v>
      </c>
      <c r="K93" s="436" t="str">
        <f ca="1"/>
        <v>0,335612838808076</v>
      </c>
      <c r="L93" s="436" t="str">
        <f ca="1"/>
        <v>0,335612838808076</v>
      </c>
      <c r="M93" s="436" t="str">
        <f ca="1"/>
        <v>-0,000182454519985509</v>
      </c>
      <c r="N93" s="437" t="str">
        <f ca="1"/>
        <v>PEARSON_MMR.EUR.SU</v>
      </c>
      <c r="P93" s="455" t="str" cm="1">
        <f t="array" aca="1" ref="P93:T93" ca="1">IF(AND($Q$12,B117&lt;=$C$17,C117&lt;&gt;""),TRANSPOSE(INDEX(GetCDS(C117,$C$6,$C$29,F117,D117,$C$13,$C$14,$C$15,$C$8,,,TRUE,TRUE,FALSE,$C$29:$C$31,$C$33),{1;2;3;4;5})),"")</f>
        <v>0</v>
      </c>
      <c r="Q93" s="456" t="str">
        <f ca="1"/>
        <v>0,0154826002555497</v>
      </c>
      <c r="R93" s="456" t="str">
        <f ca="1"/>
        <v>0,0154826002555497</v>
      </c>
      <c r="S93" s="457" t="str">
        <f ca="1"/>
        <v>0,00353179768276597</v>
      </c>
      <c r="T93" s="458" t="str">
        <f ca="1"/>
        <v>4,38377326399521</v>
      </c>
      <c r="U93" s="459">
        <f t="shared" ca="1" si="5"/>
        <v>0.11419412477850101</v>
      </c>
      <c r="V93" s="460">
        <f t="shared" ca="1" si="6"/>
        <v>-1.7680219854778938E-3</v>
      </c>
      <c r="W93" s="459">
        <f t="shared" ca="1" si="7"/>
        <v>0.11187094626935867</v>
      </c>
      <c r="X93" s="461">
        <f t="shared" ca="1" si="8"/>
        <v>3.3552077986276716E-3</v>
      </c>
      <c r="Y93" s="460">
        <f t="shared" ca="1" si="9"/>
        <v>-8.6602657064927988E-5</v>
      </c>
      <c r="Z93" s="79"/>
    </row>
    <row r="94" spans="1:26" customFormat="1" ht="15">
      <c r="A94" s="232"/>
      <c r="B94" s="295">
        <v>56</v>
      </c>
      <c r="C94" s="265" t="s">
        <v>144</v>
      </c>
      <c r="D94" s="266">
        <v>1</v>
      </c>
      <c r="E94" s="256"/>
      <c r="F94" s="239">
        <v>0.4</v>
      </c>
      <c r="G94" s="469">
        <v>100</v>
      </c>
      <c r="H94" s="405">
        <v>80</v>
      </c>
      <c r="I94" s="424" t="str">
        <f ca="1"/>
        <v>0,000296536945673287</v>
      </c>
      <c r="J94" s="424" t="str">
        <f ca="1"/>
        <v>0,000852645967726438</v>
      </c>
      <c r="K94" s="436" t="str">
        <f ca="1"/>
        <v>0,347784375810744</v>
      </c>
      <c r="L94" s="436" t="str">
        <f ca="1"/>
        <v>0,347784375810744</v>
      </c>
      <c r="M94" s="436" t="str">
        <f ca="1"/>
        <v>-0,000199043119196052</v>
      </c>
      <c r="N94" s="437" t="str">
        <f ca="1"/>
        <v>PEUGEOT_MMR.EUR.SU</v>
      </c>
      <c r="P94" s="455" t="str" cm="1">
        <f t="array" aca="1" ref="P94:T94" ca="1">IF(AND($Q$12,B118&lt;=$C$17,C118&lt;&gt;""),TRANSPOSE(INDEX(GetCDS(C118,$C$6,$C$29,F118,D118,$C$13,$C$14,$C$15,$C$8,,,TRUE,TRUE,FALSE,$C$29:$C$31,$C$33),{1;2;3;4;5})),"")</f>
        <v>0</v>
      </c>
      <c r="Q94" s="456" t="str">
        <f ca="1"/>
        <v>0,0168342196204416</v>
      </c>
      <c r="R94" s="456" t="str">
        <f ca="1"/>
        <v>0,0168342196204416</v>
      </c>
      <c r="S94" s="457" t="str">
        <f ca="1"/>
        <v>0,00384316419454782</v>
      </c>
      <c r="T94" s="458" t="str">
        <f ca="1"/>
        <v>4,38030195127333</v>
      </c>
      <c r="U94" s="459">
        <f t="shared" ca="1" si="5"/>
        <v>0.11419412477850101</v>
      </c>
      <c r="V94" s="460">
        <f t="shared" ca="1" si="6"/>
        <v>-1.9223689758853992E-3</v>
      </c>
      <c r="W94" s="459">
        <f t="shared" ca="1" si="7"/>
        <v>0.115928125270248</v>
      </c>
      <c r="X94" s="461">
        <f t="shared" ca="1" si="8"/>
        <v>3.6510059848204289E-3</v>
      </c>
      <c r="Y94" s="460">
        <f t="shared" ca="1" si="9"/>
        <v>-9.7577976049271223E-5</v>
      </c>
      <c r="Z94" s="79"/>
    </row>
    <row r="95" spans="1:26" customFormat="1" ht="15">
      <c r="A95" s="232"/>
      <c r="B95" s="295">
        <v>57</v>
      </c>
      <c r="C95" s="265" t="s">
        <v>145</v>
      </c>
      <c r="D95" s="266">
        <v>1</v>
      </c>
      <c r="E95" s="256"/>
      <c r="F95" s="239">
        <v>0.4</v>
      </c>
      <c r="G95" s="469">
        <v>100</v>
      </c>
      <c r="H95" s="405">
        <v>81</v>
      </c>
      <c r="I95" s="424" t="str">
        <f ca="1"/>
        <v>0,000192097755936004</v>
      </c>
      <c r="J95" s="424" t="str">
        <f ca="1"/>
        <v>0,000628061052824326</v>
      </c>
      <c r="K95" s="436" t="str">
        <f ca="1"/>
        <v>0,305858411490667</v>
      </c>
      <c r="L95" s="436" t="str">
        <f ca="1"/>
        <v>0,305858411490667</v>
      </c>
      <c r="M95" s="436" t="str">
        <f ca="1"/>
        <v>-0,000142811904705286</v>
      </c>
      <c r="N95" s="437" t="str">
        <f ca="1"/>
        <v>PHILIPSELEC_MMR.EUR.SU</v>
      </c>
      <c r="P95" s="455" t="str" cm="1">
        <f t="array" aca="1" ref="P95:T95" ca="1">IF(AND($Q$12,B119&lt;=$C$17,C119&lt;&gt;""),TRANSPOSE(INDEX(GetCDS(C119,$C$6,$C$29,F119,D119,$C$13,$C$14,$C$15,$C$8,,,TRUE,TRUE,FALSE,$C$29:$C$31,$C$33),{1;2;3;4;5})),"")</f>
        <v>0</v>
      </c>
      <c r="Q95" s="456" t="str">
        <f ca="1"/>
        <v>0,0123202283400723</v>
      </c>
      <c r="R95" s="456" t="str">
        <f ca="1"/>
        <v>0,0123202283400723</v>
      </c>
      <c r="S95" s="457" t="str">
        <f ca="1"/>
        <v>0,00280515270970884</v>
      </c>
      <c r="T95" s="458" t="str">
        <f ca="1"/>
        <v>4,39199915834567</v>
      </c>
      <c r="U95" s="459">
        <f t="shared" ca="1" si="5"/>
        <v>0.11419412477850101</v>
      </c>
      <c r="V95" s="460">
        <f t="shared" ca="1" si="6"/>
        <v>-1.4068976923658405E-3</v>
      </c>
      <c r="W95" s="459">
        <f t="shared" ca="1" si="7"/>
        <v>0.10195280383022233</v>
      </c>
      <c r="X95" s="461">
        <f t="shared" ca="1" si="8"/>
        <v>2.6648950742233979E-3</v>
      </c>
      <c r="Y95" s="460">
        <f t="shared" ca="1" si="9"/>
        <v>-6.2804091154946849E-5</v>
      </c>
      <c r="Z95" s="79"/>
    </row>
    <row r="96" spans="1:26" customFormat="1" ht="15">
      <c r="A96" s="232"/>
      <c r="B96" s="295">
        <v>58</v>
      </c>
      <c r="C96" s="265" t="s">
        <v>146</v>
      </c>
      <c r="D96" s="266">
        <v>1</v>
      </c>
      <c r="E96" s="256"/>
      <c r="F96" s="239">
        <v>0.4</v>
      </c>
      <c r="G96" s="469">
        <v>100</v>
      </c>
      <c r="H96" s="405">
        <v>82</v>
      </c>
      <c r="I96" s="424" t="str">
        <f ca="1"/>
        <v>0,000699782713648722</v>
      </c>
      <c r="J96" s="424" t="str">
        <f ca="1"/>
        <v>0,00153345974918212</v>
      </c>
      <c r="K96" s="436" t="str">
        <f ca="1"/>
        <v>0,456342407436488</v>
      </c>
      <c r="L96" s="436" t="str">
        <f ca="1"/>
        <v>0,456342407436488</v>
      </c>
      <c r="M96" s="436" t="str">
        <f ca="1"/>
        <v>-0,000356385544739957</v>
      </c>
      <c r="N96" s="437" t="str">
        <f ca="1"/>
        <v>PINAULTPRINTEMPS_MMR.EUR.SU</v>
      </c>
      <c r="P96" s="455" t="str" cm="1">
        <f t="array" aca="1" ref="P96:T96" ca="1">IF(AND($Q$12,B120&lt;=$C$17,C120&lt;&gt;""),TRANSPOSE(INDEX(GetCDS(C120,$C$6,$C$29,F120,D120,$C$13,$C$14,$C$15,$C$8,,,TRUE,TRUE,FALSE,$C$29:$C$31,$C$33),{1;2;3;4;5})),"")</f>
        <v>0</v>
      </c>
      <c r="Q96" s="456" t="str">
        <f ca="1"/>
        <v>0,0306373132720246</v>
      </c>
      <c r="R96" s="456" t="str">
        <f ca="1"/>
        <v>0,0306373132720246</v>
      </c>
      <c r="S96" s="457" t="str">
        <f ca="1"/>
        <v>0,00705799379553954</v>
      </c>
      <c r="T96" s="458" t="str">
        <f ca="1"/>
        <v>4,34079628851283</v>
      </c>
      <c r="U96" s="459">
        <f t="shared" ca="1" si="5"/>
        <v>0.11419412477850101</v>
      </c>
      <c r="V96" s="460">
        <f t="shared" ca="1" si="6"/>
        <v>-3.4986011746636039E-3</v>
      </c>
      <c r="W96" s="459">
        <f t="shared" ca="1" si="7"/>
        <v>0.15211413581216268</v>
      </c>
      <c r="X96" s="461">
        <f t="shared" ca="1" si="8"/>
        <v>6.7050941057625628E-3</v>
      </c>
      <c r="Y96" s="460">
        <f t="shared" ca="1" si="9"/>
        <v>-2.3301842159902643E-4</v>
      </c>
      <c r="Z96" s="79"/>
    </row>
    <row r="97" spans="1:26" customFormat="1" ht="15">
      <c r="A97" s="232"/>
      <c r="B97" s="295">
        <v>59</v>
      </c>
      <c r="C97" s="265" t="s">
        <v>147</v>
      </c>
      <c r="D97" s="266">
        <v>1</v>
      </c>
      <c r="E97" s="256"/>
      <c r="F97" s="239">
        <v>0.4</v>
      </c>
      <c r="G97" s="469">
        <v>100</v>
      </c>
      <c r="H97" s="405">
        <v>83</v>
      </c>
      <c r="I97" s="424" t="str">
        <f ca="1"/>
        <v>0,000427577186573957</v>
      </c>
      <c r="J97" s="424" t="str">
        <f ca="1"/>
        <v>0,00109764399800483</v>
      </c>
      <c r="K97" s="436" t="str">
        <f ca="1"/>
        <v>0,38954085965136</v>
      </c>
      <c r="L97" s="436" t="str">
        <f ca="1"/>
        <v>0,38954085965136</v>
      </c>
      <c r="M97" s="436" t="str">
        <f ca="1"/>
        <v>-0,000257888360708658</v>
      </c>
      <c r="N97" s="437" t="str">
        <f ca="1"/>
        <v>PORTUGALTELECOM_MMR.EUR.SU</v>
      </c>
      <c r="P97" s="455" t="str" cm="1">
        <f t="array" aca="1" ref="P97:T97" ca="1">IF(AND($Q$12,B121&lt;=$C$17,C121&lt;&gt;""),TRANSPOSE(INDEX(GetCDS(C121,$C$6,$C$29,F121,D121,$C$13,$C$14,$C$15,$C$8,,,TRUE,TRUE,FALSE,$C$29:$C$31,$C$33),{1;2;3;4;5})),"")</f>
        <v>0</v>
      </c>
      <c r="Q97" s="456" t="str">
        <f ca="1"/>
        <v>0,0217701028354596</v>
      </c>
      <c r="R97" s="456" t="str">
        <f ca="1"/>
        <v>0,0217701028354596</v>
      </c>
      <c r="S97" s="457" t="str">
        <f ca="1"/>
        <v>0,00498435175488415</v>
      </c>
      <c r="T97" s="458" t="str">
        <f ca="1"/>
        <v>4,36768990353202</v>
      </c>
      <c r="U97" s="459">
        <f t="shared" ca="1" si="5"/>
        <v>0.11419412477850101</v>
      </c>
      <c r="V97" s="460">
        <f t="shared" ca="1" si="6"/>
        <v>-2.4860178396332727E-3</v>
      </c>
      <c r="W97" s="459">
        <f t="shared" ca="1" si="7"/>
        <v>0.12984695321712</v>
      </c>
      <c r="X97" s="461">
        <f t="shared" ca="1" si="8"/>
        <v>4.7351341671399419E-3</v>
      </c>
      <c r="Y97" s="460">
        <f t="shared" ca="1" si="9"/>
        <v>-1.4133907622039096E-4</v>
      </c>
      <c r="Z97" s="79"/>
    </row>
    <row r="98" spans="1:26" customFormat="1" ht="15">
      <c r="A98" s="232"/>
      <c r="B98" s="295">
        <v>60</v>
      </c>
      <c r="C98" s="265" t="s">
        <v>148</v>
      </c>
      <c r="D98" s="266">
        <v>1</v>
      </c>
      <c r="E98" s="256"/>
      <c r="F98" s="239">
        <v>0.4</v>
      </c>
      <c r="G98" s="469">
        <v>100</v>
      </c>
      <c r="H98" s="405">
        <v>84</v>
      </c>
      <c r="I98" s="424" t="str">
        <f ca="1"/>
        <v>0,00022151709933631</v>
      </c>
      <c r="J98" s="424" t="str">
        <f ca="1"/>
        <v>0,000695521195822347</v>
      </c>
      <c r="K98" s="436" t="str">
        <f ca="1"/>
        <v>0,318490796063231</v>
      </c>
      <c r="L98" s="436" t="str">
        <f ca="1"/>
        <v>0,318490796063231</v>
      </c>
      <c r="M98" s="436" t="str">
        <f ca="1"/>
        <v>-0,000159930682477061</v>
      </c>
      <c r="N98" s="437" t="str">
        <f ca="1"/>
        <v>REEDELSEVIER_MMR.EUR.SU</v>
      </c>
      <c r="P98" s="455" t="str" cm="1">
        <f t="array" aca="1" ref="P98:T98" ca="1">IF(AND($Q$12,B122&lt;=$C$17,C122&lt;&gt;""),TRANSPOSE(INDEX(GetCDS(C122,$C$6,$C$29,F122,D122,$C$13,$C$14,$C$15,$C$8,,,TRUE,TRUE,FALSE,$C$29:$C$31,$C$33),{1;2;3;4;5})),"")</f>
        <v>0</v>
      </c>
      <c r="Q98" s="456" t="str">
        <f ca="1"/>
        <v>0,0136771532767221</v>
      </c>
      <c r="R98" s="456" t="str">
        <f ca="1"/>
        <v>0,0136771532767221</v>
      </c>
      <c r="S98" s="457" t="str">
        <f ca="1"/>
        <v>0,003116607095866</v>
      </c>
      <c r="T98" s="458" t="str">
        <f ca="1"/>
        <v>4,38847530536142</v>
      </c>
      <c r="U98" s="459">
        <f t="shared" ca="1" si="5"/>
        <v>0.11419412477850101</v>
      </c>
      <c r="V98" s="460">
        <f t="shared" ca="1" si="6"/>
        <v>-1.561850547896689E-3</v>
      </c>
      <c r="W98" s="459">
        <f t="shared" ca="1" si="7"/>
        <v>0.10616359868774367</v>
      </c>
      <c r="X98" s="461">
        <f t="shared" ca="1" si="8"/>
        <v>2.9607767410726998E-3</v>
      </c>
      <c r="Y98" s="460">
        <f t="shared" ca="1" si="9"/>
        <v>-7.2600790583034357E-5</v>
      </c>
      <c r="Z98" s="79"/>
    </row>
    <row r="99" spans="1:26" customFormat="1" ht="15">
      <c r="A99" s="232"/>
      <c r="B99" s="295">
        <v>61</v>
      </c>
      <c r="C99" s="265" t="s">
        <v>149</v>
      </c>
      <c r="D99" s="266">
        <v>1</v>
      </c>
      <c r="E99" s="256"/>
      <c r="F99" s="239">
        <v>0.4</v>
      </c>
      <c r="G99" s="469">
        <v>100</v>
      </c>
      <c r="H99" s="405">
        <v>85</v>
      </c>
      <c r="I99" s="424" t="str">
        <f ca="1"/>
        <v>0,00029656274689005</v>
      </c>
      <c r="J99" s="424" t="str">
        <f ca="1"/>
        <v>0,00085259444757503</v>
      </c>
      <c r="K99" s="436" t="str">
        <f ca="1"/>
        <v>0,347835653555499</v>
      </c>
      <c r="L99" s="436" t="str">
        <f ca="1"/>
        <v>0,347835653555499</v>
      </c>
      <c r="M99" s="436" t="str">
        <f ca="1"/>
        <v>-0,000199192113992242</v>
      </c>
      <c r="N99" s="437" t="str">
        <f ca="1"/>
        <v>RENAULT_MMR.EUR.SU</v>
      </c>
      <c r="P99" s="455" t="str" cm="1">
        <f t="array" aca="1" ref="P99:T99" ca="1">IF(AND($Q$12,B123&lt;=$C$17,C123&lt;&gt;""),TRANSPOSE(INDEX(GetCDS(C123,$C$6,$C$29,F123,D123,$C$13,$C$14,$C$15,$C$8,,,TRUE,TRUE,FALSE,$C$29:$C$31,$C$33),{1;2;3;4;5})),"")</f>
        <v>0</v>
      </c>
      <c r="Q99" s="456" t="str">
        <f ca="1"/>
        <v>0,0168332179024799</v>
      </c>
      <c r="R99" s="456" t="str">
        <f ca="1"/>
        <v>0,0168332179024799</v>
      </c>
      <c r="S99" s="457" t="str">
        <f ca="1"/>
        <v>0,00384317858216723</v>
      </c>
      <c r="T99" s="458" t="str">
        <f ca="1"/>
        <v>4,3800249045381</v>
      </c>
      <c r="U99" s="459">
        <f t="shared" ca="1" si="5"/>
        <v>0.11419412477850101</v>
      </c>
      <c r="V99" s="460">
        <f t="shared" ca="1" si="6"/>
        <v>-1.9222545855794857E-3</v>
      </c>
      <c r="W99" s="459">
        <f t="shared" ca="1" si="7"/>
        <v>0.115945217851833</v>
      </c>
      <c r="X99" s="461">
        <f t="shared" ca="1" si="8"/>
        <v>3.651019653058868E-3</v>
      </c>
      <c r="Y99" s="460">
        <f t="shared" ca="1" si="9"/>
        <v>-9.7586555842520513E-5</v>
      </c>
      <c r="Z99" s="79"/>
    </row>
    <row r="100" spans="1:26" customFormat="1" ht="15">
      <c r="A100" s="232"/>
      <c r="B100" s="295">
        <v>62</v>
      </c>
      <c r="C100" s="265" t="s">
        <v>150</v>
      </c>
      <c r="D100" s="266">
        <v>1</v>
      </c>
      <c r="E100" s="256"/>
      <c r="F100" s="239">
        <v>0.4</v>
      </c>
      <c r="G100" s="469">
        <v>100</v>
      </c>
      <c r="H100" s="405">
        <v>86</v>
      </c>
      <c r="I100" s="424" t="str">
        <f ca="1"/>
        <v>0,000432328427891293</v>
      </c>
      <c r="J100" s="424" t="str">
        <f ca="1"/>
        <v>0,00109798548671906</v>
      </c>
      <c r="K100" s="436" t="str">
        <f ca="1"/>
        <v>0,393746942123209</v>
      </c>
      <c r="L100" s="436" t="str">
        <f ca="1"/>
        <v>0,393746942123209</v>
      </c>
      <c r="M100" s="436" t="str">
        <f ca="1"/>
        <v>-0,00025968543394097</v>
      </c>
      <c r="N100" s="437" t="str">
        <f ca="1"/>
        <v>REPSOL_MMR.EUR.SU</v>
      </c>
      <c r="P100" s="455" t="str" cm="1">
        <f t="array" aca="1" ref="P100:T100" ca="1">IF(AND($Q$12,B124&lt;=$C$17,C124&lt;&gt;""),TRANSPOSE(INDEX(GetCDS(C124,$C$6,$C$29,F124,D124,$C$13,$C$14,$C$15,$C$8,,,TRUE,TRUE,FALSE,$C$29:$C$31,$C$33),{1;2;3;4;5})),"")</f>
        <v>0</v>
      </c>
      <c r="Q100" s="456" t="str">
        <f ca="1"/>
        <v>0,0217433492303864</v>
      </c>
      <c r="R100" s="456" t="str">
        <f ca="1"/>
        <v>0,0217433492303864</v>
      </c>
      <c r="S100" s="457" t="str">
        <f ca="1"/>
        <v>0,00498451092993919</v>
      </c>
      <c r="T100" s="458" t="str">
        <f ca="1"/>
        <v>4,36218307793974</v>
      </c>
      <c r="U100" s="459">
        <f t="shared" ca="1" si="5"/>
        <v>0.11419412477850101</v>
      </c>
      <c r="V100" s="460">
        <f t="shared" ca="1" si="6"/>
        <v>-2.4829627351172696E-3</v>
      </c>
      <c r="W100" s="459">
        <f t="shared" ca="1" si="7"/>
        <v>0.13124898070773633</v>
      </c>
      <c r="X100" s="461">
        <f t="shared" ca="1" si="8"/>
        <v>4.7352853834422299E-3</v>
      </c>
      <c r="Y100" s="460">
        <f t="shared" ca="1" si="9"/>
        <v>-1.4268962118302834E-4</v>
      </c>
      <c r="Z100" s="79"/>
    </row>
    <row r="101" spans="1:26" customFormat="1" ht="15">
      <c r="A101" s="232"/>
      <c r="B101" s="295">
        <v>63</v>
      </c>
      <c r="C101" s="265" t="s">
        <v>151</v>
      </c>
      <c r="D101" s="266">
        <v>1</v>
      </c>
      <c r="E101" s="256"/>
      <c r="F101" s="239">
        <v>0.4</v>
      </c>
      <c r="G101" s="469">
        <v>100</v>
      </c>
      <c r="H101" s="405">
        <v>87</v>
      </c>
      <c r="I101" s="424" t="str">
        <f ca="1"/>
        <v>0,00013704353643651</v>
      </c>
      <c r="J101" s="424" t="str">
        <f ca="1"/>
        <v>0,000492537496121829</v>
      </c>
      <c r="K101" s="436" t="str">
        <f ca="1"/>
        <v>0,278239804107447</v>
      </c>
      <c r="L101" s="436" t="str">
        <f ca="1"/>
        <v>0,278239804107447</v>
      </c>
      <c r="M101" s="436" t="str">
        <f ca="1"/>
        <v>-0,000108026105403658</v>
      </c>
      <c r="N101" s="437" t="str">
        <f ca="1"/>
        <v>REUTERS_MMR.EUR.SU</v>
      </c>
      <c r="P101" s="455" t="str" cm="1">
        <f t="array" aca="1" ref="P101:T101" ca="1">IF(AND($Q$12,B125&lt;=$C$17,C125&lt;&gt;""),TRANSPOSE(INDEX(GetCDS(C125,$C$6,$C$29,F125,D125,$C$13,$C$14,$C$15,$C$8,,,TRUE,TRUE,FALSE,$C$29:$C$31,$C$33),{1;2;3;4;5})),"")</f>
        <v>-2,08166817117217E-17</v>
      </c>
      <c r="Q101" s="456" t="str">
        <f ca="1"/>
        <v>0,0096000198781776</v>
      </c>
      <c r="R101" s="456" t="str">
        <f ca="1"/>
        <v>0,00960001987817762</v>
      </c>
      <c r="S101" s="457" t="str">
        <f ca="1"/>
        <v>0,00218210196276475</v>
      </c>
      <c r="T101" s="458" t="str">
        <f ca="1"/>
        <v>4,39943689249712</v>
      </c>
      <c r="U101" s="459">
        <f t="shared" ca="1" si="5"/>
        <v>0.11419412477850101</v>
      </c>
      <c r="V101" s="460">
        <f t="shared" ca="1" si="6"/>
        <v>-1.0962658678447051E-3</v>
      </c>
      <c r="W101" s="459">
        <f t="shared" ca="1" si="7"/>
        <v>9.2746601369148987E-2</v>
      </c>
      <c r="X101" s="461">
        <f t="shared" ca="1" si="8"/>
        <v>2.0729968646265124E-3</v>
      </c>
      <c r="Y101" s="460">
        <f t="shared" ca="1" si="9"/>
        <v>-4.4518460838862299E-5</v>
      </c>
      <c r="Z101" s="79"/>
    </row>
    <row r="102" spans="1:26" customFormat="1" ht="15">
      <c r="A102" s="232"/>
      <c r="B102" s="295">
        <v>64</v>
      </c>
      <c r="C102" s="265" t="s">
        <v>152</v>
      </c>
      <c r="D102" s="266">
        <v>1</v>
      </c>
      <c r="E102" s="256"/>
      <c r="F102" s="239">
        <v>0.4</v>
      </c>
      <c r="G102" s="469">
        <v>100</v>
      </c>
      <c r="H102" s="405">
        <v>88</v>
      </c>
      <c r="I102" s="424" t="str">
        <f ca="1"/>
        <v>0,000365647254452717</v>
      </c>
      <c r="J102" s="424" t="str">
        <f ca="1"/>
        <v>0,000965620559921482</v>
      </c>
      <c r="K102" s="436" t="str">
        <f ca="1"/>
        <v>0,378665564538569</v>
      </c>
      <c r="L102" s="436" t="str">
        <f ca="1"/>
        <v>0,378665564538569</v>
      </c>
      <c r="M102" s="436" t="str">
        <f ca="1"/>
        <v>-0,00022995584671468</v>
      </c>
      <c r="N102" s="437" t="str">
        <f ca="1"/>
        <v>ROYALBANKSCOTLAND_MMR.EUR.SU</v>
      </c>
      <c r="P102" s="455" t="str" cm="1">
        <f t="array" aca="1" ref="P102:T102" ca="1">IF(AND($Q$12,B126&lt;=$C$17,C126&lt;&gt;""),TRANSPOSE(INDEX(GetCDS(C126,$C$6,$C$29,F126,D126,$C$13,$C$14,$C$15,$C$8,,,TRUE,TRUE,FALSE,$C$29:$C$31,$C$33),{1;2;3;4;5})),"")</f>
        <v>0</v>
      </c>
      <c r="Q102" s="456" t="str">
        <f ca="1"/>
        <v>0,019030396721107</v>
      </c>
      <c r="R102" s="456" t="str">
        <f ca="1"/>
        <v>0,019030396721107</v>
      </c>
      <c r="S102" s="457" t="str">
        <f ca="1"/>
        <v>0,00436228516400849</v>
      </c>
      <c r="T102" s="458" t="str">
        <f ca="1"/>
        <v>4,36248342454074</v>
      </c>
      <c r="U102" s="459">
        <f t="shared" ca="1" si="5"/>
        <v>0.11419412477850101</v>
      </c>
      <c r="V102" s="460">
        <f t="shared" ca="1" si="6"/>
        <v>-2.1731594977544718E-3</v>
      </c>
      <c r="W102" s="459">
        <f t="shared" ca="1" si="7"/>
        <v>0.12622185484618967</v>
      </c>
      <c r="X102" s="461">
        <f t="shared" ca="1" si="8"/>
        <v>4.1441709058080657E-3</v>
      </c>
      <c r="Y102" s="460">
        <f t="shared" ca="1" si="9"/>
        <v>-1.2010259862984883E-4</v>
      </c>
      <c r="Z102" s="79"/>
    </row>
    <row r="103" spans="1:26" customFormat="1" ht="15">
      <c r="A103" s="232"/>
      <c r="B103" s="295">
        <v>65</v>
      </c>
      <c r="C103" s="265" t="s">
        <v>153</v>
      </c>
      <c r="D103" s="266">
        <v>1</v>
      </c>
      <c r="E103" s="256"/>
      <c r="F103" s="239">
        <v>0.4</v>
      </c>
      <c r="G103" s="469">
        <v>100</v>
      </c>
      <c r="H103" s="405">
        <v>89</v>
      </c>
      <c r="I103" s="424" t="str">
        <f ca="1"/>
        <v>0,000137917162456991</v>
      </c>
      <c r="J103" s="424" t="str">
        <f ca="1"/>
        <v>0,000492389875482036</v>
      </c>
      <c r="K103" s="436" t="str">
        <f ca="1"/>
        <v>0,280097478287859</v>
      </c>
      <c r="L103" s="436" t="str">
        <f ca="1"/>
        <v>0,280097478287859</v>
      </c>
      <c r="M103" s="436" t="str">
        <f ca="1"/>
        <v>-0,000108928297599009</v>
      </c>
      <c r="N103" s="437" t="str">
        <f ca="1"/>
        <v>RWE_MMR.EUR.SU</v>
      </c>
      <c r="P103" s="455" t="str" cm="1">
        <f t="array" aca="1" ref="P103:T103" ca="1">IF(AND($Q$12,B127&lt;=$C$17,C127&lt;&gt;""),TRANSPOSE(INDEX(GetCDS(C127,$C$6,$C$29,F127,D127,$C$13,$C$14,$C$15,$C$8,,,TRUE,TRUE,FALSE,$C$29:$C$31,$C$33),{1;2;3;4;5})),"")</f>
        <v>1,04083408558608E-17</v>
      </c>
      <c r="Q103" s="456" t="str">
        <f ca="1"/>
        <v>0,0095961327428863</v>
      </c>
      <c r="R103" s="456" t="str">
        <f ca="1"/>
        <v>0,00959613274288629</v>
      </c>
      <c r="S103" s="457" t="str">
        <f ca="1"/>
        <v>0,0021821296900042</v>
      </c>
      <c r="T103" s="458" t="str">
        <f ca="1"/>
        <v>4,39759964169124</v>
      </c>
      <c r="U103" s="459">
        <f t="shared" ca="1" si="5"/>
        <v>0.11419412477850101</v>
      </c>
      <c r="V103" s="460">
        <f t="shared" ca="1" si="6"/>
        <v>-1.0958219798322159E-3</v>
      </c>
      <c r="W103" s="459">
        <f t="shared" ca="1" si="7"/>
        <v>9.3365826095953008E-2</v>
      </c>
      <c r="X103" s="461">
        <f t="shared" ca="1" si="8"/>
        <v>2.0730232055039899E-3</v>
      </c>
      <c r="Y103" s="460">
        <f t="shared" ca="1" si="9"/>
        <v>-4.4797543043300172E-5</v>
      </c>
      <c r="Z103" s="79"/>
    </row>
    <row r="104" spans="1:26" customFormat="1" ht="15">
      <c r="A104" s="232"/>
      <c r="B104" s="295">
        <v>66</v>
      </c>
      <c r="C104" s="265" t="s">
        <v>154</v>
      </c>
      <c r="D104" s="266">
        <v>1</v>
      </c>
      <c r="E104" s="256"/>
      <c r="F104" s="239">
        <v>0.4</v>
      </c>
      <c r="G104" s="469">
        <v>100</v>
      </c>
      <c r="H104" s="405">
        <v>90</v>
      </c>
      <c r="I104" s="424" t="str">
        <f ca="1"/>
        <v>0,000491832830522565</v>
      </c>
      <c r="J104" s="424" t="str">
        <f ca="1"/>
        <v>0,00120772473544837</v>
      </c>
      <c r="K104" s="436" t="str">
        <f ca="1"/>
        <v>0,407239179662882</v>
      </c>
      <c r="L104" s="436" t="str">
        <f ca="1"/>
        <v>0,407239179662882</v>
      </c>
      <c r="M104" s="436" t="str">
        <f ca="1"/>
        <v>-0,000283632360470198</v>
      </c>
      <c r="N104" s="437" t="str">
        <f ca="1"/>
        <v>SAFEWAYPLC_MMR.EUR.SU</v>
      </c>
      <c r="P104" s="455" t="str" cm="1">
        <f t="array" aca="1" ref="P104:T104" ca="1">IF(AND($Q$12,B128&lt;=$C$17,C128&lt;&gt;""),TRANSPOSE(INDEX(GetCDS(C128,$C$6,$C$29,F128,D128,$C$13,$C$14,$C$15,$C$8,,,TRUE,TRUE,FALSE,$C$29:$C$31,$C$33),{1;2;3;4;5})),"")</f>
        <v>0</v>
      </c>
      <c r="Q104" s="456" t="str">
        <f ca="1"/>
        <v>0,0240004216662236</v>
      </c>
      <c r="R104" s="456" t="str">
        <f ca="1"/>
        <v>0,0240004216662236</v>
      </c>
      <c r="S104" s="457" t="str">
        <f ca="1"/>
        <v>0,00550292267901835</v>
      </c>
      <c r="T104" s="458" t="str">
        <f ca="1"/>
        <v>4,36139540134425</v>
      </c>
      <c r="U104" s="459">
        <f t="shared" ca="1" si="5"/>
        <v>0.11419412477850101</v>
      </c>
      <c r="V104" s="460">
        <f t="shared" ca="1" si="6"/>
        <v>-2.7407071464893786E-3</v>
      </c>
      <c r="W104" s="459">
        <f t="shared" ca="1" si="7"/>
        <v>0.13574639322096066</v>
      </c>
      <c r="X104" s="461">
        <f t="shared" ca="1" si="8"/>
        <v>5.2277765450674321E-3</v>
      </c>
      <c r="Y104" s="460">
        <f t="shared" ca="1" si="9"/>
        <v>-1.628985338486028E-4</v>
      </c>
      <c r="Z104" s="79"/>
    </row>
    <row r="105" spans="1:26" customFormat="1" ht="15">
      <c r="A105" s="232"/>
      <c r="B105" s="295">
        <v>67</v>
      </c>
      <c r="C105" s="265" t="s">
        <v>155</v>
      </c>
      <c r="D105" s="266">
        <v>1</v>
      </c>
      <c r="E105" s="256"/>
      <c r="F105" s="239">
        <v>0.4</v>
      </c>
      <c r="G105" s="469">
        <v>100</v>
      </c>
      <c r="H105" s="405">
        <v>91</v>
      </c>
      <c r="I105" s="424" t="str">
        <f ca="1"/>
        <v>0,000128574963075212</v>
      </c>
      <c r="J105" s="424" t="str">
        <f ca="1"/>
        <v>0,000469844509130766</v>
      </c>
      <c r="K105" s="436" t="str">
        <f ca="1"/>
        <v>0,27365428471875</v>
      </c>
      <c r="L105" s="436" t="str">
        <f ca="1"/>
        <v>0,27365428471875</v>
      </c>
      <c r="M105" s="436" t="str">
        <f ca="1"/>
        <v>-0,000102229425690381</v>
      </c>
      <c r="N105" s="437" t="str">
        <f ca="1"/>
        <v>SANOFIAVENTIS_MMR.EUR.SU</v>
      </c>
      <c r="P105" s="455" t="str" cm="1">
        <f t="array" aca="1" ref="P105:T105" ca="1">IF(AND($Q$12,B129&lt;=$C$17,C129&lt;&gt;""),TRANSPOSE(INDEX(GetCDS(C129,$C$6,$C$29,F129,D129,$C$13,$C$14,$C$15,$C$8,,,TRUE,TRUE,FALSE,$C$29:$C$31,$C$33),{1;2;3;4;5})),"")</f>
        <v>0</v>
      </c>
      <c r="Q105" s="456" t="str">
        <f ca="1"/>
        <v>0,00914563785136299</v>
      </c>
      <c r="R105" s="456" t="str">
        <f ca="1"/>
        <v>0,00914563785136299</v>
      </c>
      <c r="S105" s="457" t="str">
        <f ca="1"/>
        <v>0,00207824768711861</v>
      </c>
      <c r="T105" s="458" t="str">
        <f ca="1"/>
        <v>4,40064863685376</v>
      </c>
      <c r="U105" s="459">
        <f t="shared" ca="1" si="5"/>
        <v>0.11419412477850101</v>
      </c>
      <c r="V105" s="460">
        <f t="shared" ca="1" si="6"/>
        <v>-1.0443781099775272E-3</v>
      </c>
      <c r="W105" s="459">
        <f t="shared" ca="1" si="7"/>
        <v>9.1218094906249991E-2</v>
      </c>
      <c r="X105" s="461">
        <f t="shared" ca="1" si="8"/>
        <v>1.9743353027626793E-3</v>
      </c>
      <c r="Y105" s="460">
        <f t="shared" ca="1" si="9"/>
        <v>-4.1712383075191119E-5</v>
      </c>
      <c r="Z105" s="79"/>
    </row>
    <row r="106" spans="1:26" customFormat="1" ht="15">
      <c r="A106" s="232"/>
      <c r="B106" s="295">
        <v>68</v>
      </c>
      <c r="C106" s="265" t="s">
        <v>156</v>
      </c>
      <c r="D106" s="266">
        <v>1</v>
      </c>
      <c r="E106" s="256"/>
      <c r="F106" s="239">
        <v>0.4</v>
      </c>
      <c r="G106" s="469">
        <v>100</v>
      </c>
      <c r="H106" s="405">
        <v>92</v>
      </c>
      <c r="I106" s="424" t="str">
        <f ca="1"/>
        <v>0,000128843224672371</v>
      </c>
      <c r="J106" s="424" t="str">
        <f ca="1"/>
        <v>0,000469820419882572</v>
      </c>
      <c r="K106" s="436" t="str">
        <f ca="1"/>
        <v>0,274239303401445</v>
      </c>
      <c r="L106" s="436" t="str">
        <f ca="1"/>
        <v>0,274239303401445</v>
      </c>
      <c r="M106" s="436" t="str">
        <f ca="1"/>
        <v>-0,000102549194361923</v>
      </c>
      <c r="N106" s="437" t="str">
        <f ca="1"/>
        <v>SIEMENS_MMR.EUR.SU</v>
      </c>
      <c r="P106" s="455" t="str" cm="1">
        <f t="array" aca="1" ref="P106:T106" ca="1">IF(AND($Q$12,B130&lt;=$C$17,C130&lt;&gt;""),TRANSPOSE(INDEX(GetCDS(C130,$C$6,$C$29,F130,D130,$C$13,$C$14,$C$15,$C$8,,,TRUE,TRUE,FALSE,$C$29:$C$31,$C$33),{1;2;3;4;5})),"")</f>
        <v>8,67361737988404E-18</v>
      </c>
      <c r="Q106" s="456" t="str">
        <f ca="1"/>
        <v>0,0091441625338101</v>
      </c>
      <c r="R106" s="456" t="str">
        <f ca="1"/>
        <v>0,00914416253381009</v>
      </c>
      <c r="S106" s="457" t="str">
        <f ca="1"/>
        <v>0,00207825077581178</v>
      </c>
      <c r="T106" s="458" t="str">
        <f ca="1"/>
        <v>4,39993221233771</v>
      </c>
      <c r="U106" s="459">
        <f t="shared" ca="1" si="5"/>
        <v>0.11419412477850101</v>
      </c>
      <c r="V106" s="460">
        <f t="shared" ca="1" si="6"/>
        <v>-1.044209637380803E-3</v>
      </c>
      <c r="W106" s="459">
        <f t="shared" ca="1" si="7"/>
        <v>9.1413101133814997E-2</v>
      </c>
      <c r="X106" s="461">
        <f t="shared" ca="1" si="8"/>
        <v>1.9743382370211908E-3</v>
      </c>
      <c r="Y106" s="460">
        <f t="shared" ca="1" si="9"/>
        <v>-4.1794812724361266E-5</v>
      </c>
      <c r="Z106" s="79"/>
    </row>
    <row r="107" spans="1:26" customFormat="1" ht="15">
      <c r="A107" s="232"/>
      <c r="B107" s="295">
        <v>69</v>
      </c>
      <c r="C107" s="265" t="s">
        <v>157</v>
      </c>
      <c r="D107" s="266">
        <v>1</v>
      </c>
      <c r="E107" s="256"/>
      <c r="F107" s="239">
        <v>0.4</v>
      </c>
      <c r="G107" s="469">
        <v>100</v>
      </c>
      <c r="H107" s="405">
        <v>93</v>
      </c>
      <c r="I107" s="424" t="str">
        <f ca="1"/>
        <v>0,000212055245868958</v>
      </c>
      <c r="J107" s="424" t="str">
        <f ca="1"/>
        <v>0,000672876471846409</v>
      </c>
      <c r="K107" s="436" t="str">
        <f ca="1"/>
        <v>0,315147363210764</v>
      </c>
      <c r="L107" s="436" t="str">
        <f ca="1"/>
        <v>0,315147363210764</v>
      </c>
      <c r="M107" s="436" t="str">
        <f ca="1"/>
        <v>-0,000155114424273206</v>
      </c>
      <c r="N107" s="437" t="str">
        <f ca="1"/>
        <v>SODEXHOALLIANCE_MMR.EUR.SU</v>
      </c>
      <c r="P107" s="455" t="str" cm="1">
        <f t="array" aca="1" ref="P107:T107" ca="1">IF(AND($Q$12,B131&lt;=$C$17,C131&lt;&gt;""),TRANSPOSE(INDEX(GetCDS(C131,$C$6,$C$29,F131,D131,$C$13,$C$14,$C$15,$C$8,,,TRUE,TRUE,FALSE,$C$29:$C$31,$C$33),{1;2;3;4;5})),"")</f>
        <v>0</v>
      </c>
      <c r="Q107" s="456" t="str">
        <f ca="1"/>
        <v>0,0132190935233138</v>
      </c>
      <c r="R107" s="456" t="str">
        <f ca="1"/>
        <v>0,0132190935233138</v>
      </c>
      <c r="S107" s="457" t="str">
        <f ca="1"/>
        <v>0,00301282243375954</v>
      </c>
      <c r="T107" s="458" t="str">
        <f ca="1"/>
        <v>4,3876112230147</v>
      </c>
      <c r="U107" s="459">
        <f t="shared" ca="1" si="5"/>
        <v>0.11419412477850101</v>
      </c>
      <c r="V107" s="460">
        <f t="shared" ca="1" si="6"/>
        <v>-1.5095428152599728E-3</v>
      </c>
      <c r="W107" s="459">
        <f t="shared" ca="1" si="7"/>
        <v>0.10504912107025466</v>
      </c>
      <c r="X107" s="461">
        <f t="shared" ca="1" si="8"/>
        <v>2.8621813120715631E-3</v>
      </c>
      <c r="Y107" s="460">
        <f t="shared" ca="1" si="9"/>
        <v>-6.9432707798480601E-5</v>
      </c>
      <c r="Z107" s="79"/>
    </row>
    <row r="108" spans="1:26" customFormat="1" ht="15">
      <c r="A108" s="232"/>
      <c r="B108" s="295">
        <v>70</v>
      </c>
      <c r="C108" s="265" t="s">
        <v>158</v>
      </c>
      <c r="D108" s="266">
        <v>1</v>
      </c>
      <c r="E108" s="256"/>
      <c r="F108" s="239">
        <v>0.4</v>
      </c>
      <c r="G108" s="469">
        <v>100</v>
      </c>
      <c r="H108" s="405">
        <v>94</v>
      </c>
      <c r="I108" s="424" t="str">
        <f ca="1"/>
        <v>0,00013704353643651</v>
      </c>
      <c r="J108" s="424" t="str">
        <f ca="1"/>
        <v>0,000492537496121829</v>
      </c>
      <c r="K108" s="436" t="str">
        <f ca="1"/>
        <v>0,278239804107447</v>
      </c>
      <c r="L108" s="436" t="str">
        <f ca="1"/>
        <v>0,278239804107447</v>
      </c>
      <c r="M108" s="436" t="str">
        <f ca="1"/>
        <v>-0,000108026105403658</v>
      </c>
      <c r="N108" s="437" t="str">
        <f ca="1"/>
        <v>SOLVAY_MMR.EUR.SU</v>
      </c>
      <c r="P108" s="455" t="str" cm="1">
        <f t="array" aca="1" ref="P108:T108" ca="1">IF(AND($Q$12,B132&lt;=$C$17,C132&lt;&gt;""),TRANSPOSE(INDEX(GetCDS(C132,$C$6,$C$29,F132,D132,$C$13,$C$14,$C$15,$C$8,,,TRUE,TRUE,FALSE,$C$29:$C$31,$C$33),{1;2;3;4;5})),"")</f>
        <v>-2,08166817117217E-17</v>
      </c>
      <c r="Q108" s="456" t="str">
        <f ca="1"/>
        <v>0,0096000198781776</v>
      </c>
      <c r="R108" s="456" t="str">
        <f ca="1"/>
        <v>0,00960001987817762</v>
      </c>
      <c r="S108" s="457" t="str">
        <f ca="1"/>
        <v>0,00218210196276475</v>
      </c>
      <c r="T108" s="458" t="str">
        <f ca="1"/>
        <v>4,39943689249712</v>
      </c>
      <c r="U108" s="459">
        <f t="shared" ca="1" si="5"/>
        <v>0.11419412477850101</v>
      </c>
      <c r="V108" s="460">
        <f t="shared" ca="1" si="6"/>
        <v>-1.0962658678447051E-3</v>
      </c>
      <c r="W108" s="459">
        <f t="shared" ca="1" si="7"/>
        <v>9.2746601369148987E-2</v>
      </c>
      <c r="X108" s="461">
        <f t="shared" ca="1" si="8"/>
        <v>2.0729968646265124E-3</v>
      </c>
      <c r="Y108" s="460">
        <f t="shared" ca="1" si="9"/>
        <v>-4.4518460838862299E-5</v>
      </c>
      <c r="Z108" s="79"/>
    </row>
    <row r="109" spans="1:26" customFormat="1" ht="15">
      <c r="A109" s="232"/>
      <c r="B109" s="295">
        <v>71</v>
      </c>
      <c r="C109" s="265" t="s">
        <v>159</v>
      </c>
      <c r="D109" s="266">
        <v>1</v>
      </c>
      <c r="E109" s="256"/>
      <c r="F109" s="239">
        <v>0.4</v>
      </c>
      <c r="G109" s="469">
        <v>100</v>
      </c>
      <c r="H109" s="405">
        <v>95</v>
      </c>
      <c r="I109" s="424" t="str">
        <f ca="1"/>
        <v>0,000365546169129827</v>
      </c>
      <c r="J109" s="424" t="str">
        <f ca="1"/>
        <v>0,000986543655568479</v>
      </c>
      <c r="K109" s="436" t="str">
        <f ca="1"/>
        <v>0,37053217773641</v>
      </c>
      <c r="L109" s="436" t="str">
        <f ca="1"/>
        <v>0,37053217773641</v>
      </c>
      <c r="M109" s="436" t="str">
        <f ca="1"/>
        <v>-0,000231176751848894</v>
      </c>
      <c r="N109" s="437" t="str">
        <f ca="1"/>
        <v>STGOBAIN_MMR.EUR.SU</v>
      </c>
      <c r="P109" s="455" t="str" cm="1">
        <f t="array" aca="1" ref="P109:T109" ca="1">IF(AND($Q$12,B133&lt;=$C$17,C133&lt;&gt;""),TRANSPOSE(INDEX(GetCDS(C133,$C$6,$C$29,F133,D133,$C$13,$C$14,$C$15,$C$8,,,TRUE,TRUE,FALSE,$C$29:$C$31,$C$33),{1;2;3;4;5})),"")</f>
        <v>0</v>
      </c>
      <c r="Q109" s="456" t="str">
        <f ca="1"/>
        <v>0,0195353561572649</v>
      </c>
      <c r="R109" s="456" t="str">
        <f ca="1"/>
        <v>0,0195353561572649</v>
      </c>
      <c r="S109" s="457" t="str">
        <f ca="1"/>
        <v>0,00446569788233423</v>
      </c>
      <c r="T109" s="458" t="str">
        <f ca="1"/>
        <v>4,37453600131447</v>
      </c>
      <c r="U109" s="459">
        <f t="shared" ca="1" si="5"/>
        <v>0.11419412477850101</v>
      </c>
      <c r="V109" s="460">
        <f t="shared" ca="1" si="6"/>
        <v>-2.230822898615164E-3</v>
      </c>
      <c r="W109" s="459">
        <f t="shared" ca="1" si="7"/>
        <v>0.12351072591213667</v>
      </c>
      <c r="X109" s="461">
        <f t="shared" ca="1" si="8"/>
        <v>4.2424129882175183E-3</v>
      </c>
      <c r="Y109" s="460">
        <f t="shared" ca="1" si="9"/>
        <v>-1.2064130099679593E-4</v>
      </c>
      <c r="Z109" s="79"/>
    </row>
    <row r="110" spans="1:26" customFormat="1" ht="15">
      <c r="A110" s="232"/>
      <c r="B110" s="295">
        <v>72</v>
      </c>
      <c r="C110" s="265" t="s">
        <v>160</v>
      </c>
      <c r="D110" s="266">
        <v>1</v>
      </c>
      <c r="E110" s="256"/>
      <c r="F110" s="239">
        <v>0.4</v>
      </c>
      <c r="G110" s="469">
        <v>100</v>
      </c>
      <c r="H110" s="405">
        <v>96</v>
      </c>
      <c r="I110" s="424" t="str">
        <f ca="1"/>
        <v>0,000182300758903309</v>
      </c>
      <c r="J110" s="424" t="str">
        <f ca="1"/>
        <v>0,000605562931996436</v>
      </c>
      <c r="K110" s="436" t="str">
        <f ca="1"/>
        <v>0,301043457700251</v>
      </c>
      <c r="L110" s="436" t="str">
        <f ca="1"/>
        <v>0,301043457700251</v>
      </c>
      <c r="M110" s="436" t="str">
        <f ca="1"/>
        <v>-0,000136888387239576</v>
      </c>
      <c r="N110" s="437" t="str">
        <f ca="1"/>
        <v>STMICRO_MMR.EUR.SU</v>
      </c>
      <c r="P110" s="455" t="str" cm="1">
        <f t="array" aca="1" ref="P110:T110" ca="1">IF(AND($Q$12,B134&lt;=$C$17,C134&lt;&gt;""),TRANSPOSE(INDEX(GetCDS(C134,$C$6,$C$29,F134,D134,$C$13,$C$14,$C$15,$C$8,,,TRUE,TRUE,FALSE,$C$29:$C$31,$C$33),{1;2;3;4;5})),"")</f>
        <v>0</v>
      </c>
      <c r="Q110" s="456" t="str">
        <f ca="1"/>
        <v>0,0118685552846028</v>
      </c>
      <c r="R110" s="456" t="str">
        <f ca="1"/>
        <v>0,0118685552846028</v>
      </c>
      <c r="S110" s="457" t="str">
        <f ca="1"/>
        <v>0,00270132017866877</v>
      </c>
      <c r="T110" s="458" t="str">
        <f ca="1"/>
        <v>4,3936129372312</v>
      </c>
      <c r="U110" s="459">
        <f t="shared" ca="1" si="5"/>
        <v>0.11419412477850101</v>
      </c>
      <c r="V110" s="460">
        <f t="shared" ca="1" si="6"/>
        <v>-1.3553192831104702E-3</v>
      </c>
      <c r="W110" s="459">
        <f t="shared" ca="1" si="7"/>
        <v>0.100347819233417</v>
      </c>
      <c r="X110" s="461">
        <f t="shared" ca="1" si="8"/>
        <v>2.5662541697353313E-3</v>
      </c>
      <c r="Y110" s="460">
        <f t="shared" ca="1" si="9"/>
        <v>-5.9549182013057013E-5</v>
      </c>
      <c r="Z110" s="79"/>
    </row>
    <row r="111" spans="1:26" customFormat="1" ht="15">
      <c r="A111" s="232"/>
      <c r="B111" s="295">
        <v>73</v>
      </c>
      <c r="C111" s="265" t="s">
        <v>161</v>
      </c>
      <c r="D111" s="266">
        <v>1</v>
      </c>
      <c r="E111" s="256"/>
      <c r="F111" s="239">
        <v>0.4</v>
      </c>
      <c r="G111" s="469">
        <v>100</v>
      </c>
      <c r="H111" s="405">
        <v>97</v>
      </c>
      <c r="I111" s="424" t="str">
        <f ca="1"/>
        <v>0,000438570000940607</v>
      </c>
      <c r="J111" s="424" t="str">
        <f ca="1"/>
        <v>0,0011193717588055</v>
      </c>
      <c r="K111" s="436" t="str">
        <f ca="1"/>
        <v>0,391800130287915</v>
      </c>
      <c r="L111" s="436" t="str">
        <f ca="1"/>
        <v>0,391800130287915</v>
      </c>
      <c r="M111" s="436" t="str">
        <f ca="1"/>
        <v>-0,000262465347098039</v>
      </c>
      <c r="N111" s="437" t="str">
        <f ca="1"/>
        <v>SUEDZUCKERAG_MMR.EUR.SU</v>
      </c>
      <c r="P111" s="455" t="str" cm="1">
        <f t="array" aca="1" ref="P111:T111" ca="1">IF(AND($Q$12,B135&lt;=$C$17,C135&lt;&gt;""),TRANSPOSE(INDEX(GetCDS(C135,$C$6,$C$29,F135,D135,$C$13,$C$14,$C$15,$C$8,,,TRUE,TRUE,FALSE,$C$29:$C$31,$C$33),{1;2;3;4;5})),"")</f>
        <v>0</v>
      </c>
      <c r="Q111" s="456" t="str">
        <f ca="1"/>
        <v>0,0222263301278584</v>
      </c>
      <c r="R111" s="456" t="str">
        <f ca="1"/>
        <v>0,0222263301278584</v>
      </c>
      <c r="S111" s="457" t="str">
        <f ca="1"/>
        <v>0,00508806591064634</v>
      </c>
      <c r="T111" s="458" t="str">
        <f ca="1"/>
        <v>4,36832590579295</v>
      </c>
      <c r="U111" s="459">
        <f t="shared" ca="1" si="5"/>
        <v>0.11419412477850101</v>
      </c>
      <c r="V111" s="460">
        <f t="shared" ca="1" si="6"/>
        <v>-2.5381163159888189E-3</v>
      </c>
      <c r="W111" s="459">
        <f t="shared" ca="1" si="7"/>
        <v>0.13060004342930501</v>
      </c>
      <c r="X111" s="461">
        <f t="shared" ca="1" si="8"/>
        <v>4.8336626151140221E-3</v>
      </c>
      <c r="Y111" s="460">
        <f t="shared" ca="1" si="9"/>
        <v>-1.4513798399861928E-4</v>
      </c>
      <c r="Z111" s="79"/>
    </row>
    <row r="112" spans="1:26" customFormat="1" ht="15">
      <c r="A112" s="232"/>
      <c r="B112" s="295">
        <v>74</v>
      </c>
      <c r="C112" s="265" t="s">
        <v>162</v>
      </c>
      <c r="D112" s="266">
        <v>1</v>
      </c>
      <c r="E112" s="256"/>
      <c r="F112" s="239">
        <v>0.4</v>
      </c>
      <c r="G112" s="469">
        <v>100</v>
      </c>
      <c r="H112" s="405">
        <v>98</v>
      </c>
      <c r="I112" s="424" t="str">
        <f ca="1"/>
        <v>0,000173791045921368</v>
      </c>
      <c r="J112" s="424" t="str">
        <f ca="1"/>
        <v>0,00058280446927677</v>
      </c>
      <c r="K112" s="436" t="str">
        <f ca="1"/>
        <v>0,298197860659912</v>
      </c>
      <c r="L112" s="436" t="str">
        <f ca="1"/>
        <v>0,298197860659912</v>
      </c>
      <c r="M112" s="436" t="str">
        <f ca="1"/>
        <v>-0,000132203448748869</v>
      </c>
      <c r="N112" s="437" t="str">
        <f ca="1"/>
        <v>SUEZLYONNAISE_MMR.EUR.SU</v>
      </c>
      <c r="P112" s="455" t="str" cm="1">
        <f t="array" aca="1" ref="P112:T112" ca="1">IF(AND($Q$12,B136&lt;=$C$17,C136&lt;&gt;""),TRANSPOSE(INDEX(GetCDS(C136,$C$6,$C$29,F136,D136,$C$13,$C$14,$C$15,$C$8,,,TRUE,TRUE,FALSE,$C$29:$C$31,$C$33),{1;2;3;4;5})),"")</f>
        <v>0</v>
      </c>
      <c r="Q112" s="456" t="str">
        <f ca="1"/>
        <v>0,0114094353683284</v>
      </c>
      <c r="R112" s="456" t="str">
        <f ca="1"/>
        <v>0,0114094353683284</v>
      </c>
      <c r="S112" s="457" t="str">
        <f ca="1"/>
        <v>0,0025975215623064</v>
      </c>
      <c r="T112" s="458" t="str">
        <f ca="1"/>
        <v>4,39243143691084</v>
      </c>
      <c r="U112" s="459">
        <f t="shared" ca="1" si="5"/>
        <v>0.11419412477850101</v>
      </c>
      <c r="V112" s="460">
        <f t="shared" ca="1" si="6"/>
        <v>-1.3028904861031349E-3</v>
      </c>
      <c r="W112" s="459">
        <f t="shared" ca="1" si="7"/>
        <v>9.9399286886637336E-2</v>
      </c>
      <c r="X112" s="461">
        <f t="shared" ca="1" si="8"/>
        <v>2.4676454841910797E-3</v>
      </c>
      <c r="Y112" s="460">
        <f t="shared" ca="1" si="9"/>
        <v>-5.6704486969551161E-5</v>
      </c>
      <c r="Z112" s="79"/>
    </row>
    <row r="113" spans="1:26" customFormat="1" ht="15">
      <c r="A113" s="232"/>
      <c r="B113" s="295">
        <v>75</v>
      </c>
      <c r="C113" s="265" t="s">
        <v>163</v>
      </c>
      <c r="D113" s="266">
        <v>1</v>
      </c>
      <c r="E113" s="256"/>
      <c r="F113" s="239">
        <v>0.4</v>
      </c>
      <c r="G113" s="469">
        <v>100</v>
      </c>
      <c r="H113" s="405">
        <v>99</v>
      </c>
      <c r="I113" s="424" t="str">
        <f ca="1"/>
        <v>0,000352278070585665</v>
      </c>
      <c r="J113" s="424" t="str">
        <f ca="1"/>
        <v>0,000963969048859921</v>
      </c>
      <c r="K113" s="436" t="str">
        <f ca="1"/>
        <v>0,365445416533136</v>
      </c>
      <c r="L113" s="436" t="str">
        <f ca="1"/>
        <v>0,365445416533136</v>
      </c>
      <c r="M113" s="436" t="str">
        <f ca="1"/>
        <v>-0,000225126351539684</v>
      </c>
      <c r="N113" s="437" t="str">
        <f ca="1"/>
        <v>SVENSKACELLULOSAAB_MMR.EUR.SU</v>
      </c>
      <c r="P113" s="455" t="str" cm="1">
        <f t="array" aca="1" ref="P113:T113" ca="1">IF(AND($Q$12,B137&lt;=$C$17,C137&lt;&gt;""),TRANSPOSE(INDEX(GetCDS(C137,$C$6,$C$29,F137,D137,$C$13,$C$14,$C$15,$C$8,,,TRUE,TRUE,FALSE,$C$29:$C$31,$C$33),{1;2;3;4;5})),"")</f>
        <v>0</v>
      </c>
      <c r="Q113" s="456" t="str">
        <f ca="1"/>
        <v>0,0190946852335855</v>
      </c>
      <c r="R113" s="456" t="str">
        <f ca="1"/>
        <v>0,0190946852335855</v>
      </c>
      <c r="S113" s="457" t="str">
        <f ca="1"/>
        <v>0,00436193818773546</v>
      </c>
      <c r="T113" s="458" t="str">
        <f ca="1"/>
        <v>4,37756896401567</v>
      </c>
      <c r="U113" s="459">
        <f t="shared" ca="1" si="5"/>
        <v>0.11419412477850101</v>
      </c>
      <c r="V113" s="460">
        <f t="shared" ca="1" si="6"/>
        <v>-2.1805008681702637E-3</v>
      </c>
      <c r="W113" s="459">
        <f t="shared" ca="1" si="7"/>
        <v>0.12181513884437867</v>
      </c>
      <c r="X113" s="461">
        <f t="shared" ca="1" si="8"/>
        <v>4.1438412783486867E-3</v>
      </c>
      <c r="Y113" s="460">
        <f t="shared" ca="1" si="9"/>
        <v>-1.1630108664594652E-4</v>
      </c>
      <c r="Z113" s="79"/>
    </row>
    <row r="114" spans="1:26" customFormat="1" ht="15">
      <c r="A114" s="232"/>
      <c r="B114" s="295">
        <v>76</v>
      </c>
      <c r="C114" s="265" t="s">
        <v>164</v>
      </c>
      <c r="D114" s="266">
        <v>1</v>
      </c>
      <c r="E114" s="256"/>
      <c r="F114" s="239">
        <v>0.4</v>
      </c>
      <c r="G114" s="469">
        <v>100</v>
      </c>
      <c r="H114" s="405">
        <v>100</v>
      </c>
      <c r="I114" s="424" t="str">
        <f ca="1"/>
        <v>0,000258415309138127</v>
      </c>
      <c r="J114" s="424" t="str">
        <f ca="1"/>
        <v>0,000763720195051189</v>
      </c>
      <c r="K114" s="436" t="str">
        <f ca="1"/>
        <v>0,338363854737148</v>
      </c>
      <c r="L114" s="436" t="str">
        <f ca="1"/>
        <v>0,338363854737148</v>
      </c>
      <c r="M114" s="436" t="str">
        <f ca="1"/>
        <v>-0,000179878999676819</v>
      </c>
      <c r="N114" s="437" t="str">
        <f ca="1"/>
        <v>SWISSRE_MMR.EUR.SU</v>
      </c>
      <c r="P114" s="455" t="str" cm="1">
        <f t="array" aca="1" ref="P114:T114" ca="1">IF(AND($Q$12,B138&lt;=$C$17,C138&lt;&gt;""),TRANSPOSE(INDEX(GetCDS(C138,$C$6,$C$29,F138,D138,$C$13,$C$14,$C$15,$C$8,,,TRUE,TRUE,FALSE,$C$29:$C$31,$C$33),{1;2;3;4;5})),"")</f>
        <v>0</v>
      </c>
      <c r="Q114" s="456" t="str">
        <f ca="1"/>
        <v>0,0150033674385764</v>
      </c>
      <c r="R114" s="456" t="str">
        <f ca="1"/>
        <v>0,0150033674385764</v>
      </c>
      <c r="S114" s="457" t="str">
        <f ca="1"/>
        <v>0,00342819185377694</v>
      </c>
      <c r="T114" s="458" t="str">
        <f ca="1"/>
        <v>4,37646668521388</v>
      </c>
      <c r="U114" s="459">
        <f t="shared" ca="1" si="5"/>
        <v>0.11419412477850101</v>
      </c>
      <c r="V114" s="460">
        <f t="shared" ca="1" si="6"/>
        <v>-1.7132964133784916E-3</v>
      </c>
      <c r="W114" s="459">
        <f t="shared" ca="1" si="7"/>
        <v>0.11278795157904932</v>
      </c>
      <c r="X114" s="461">
        <f t="shared" ca="1" si="8"/>
        <v>3.2567822610880927E-3</v>
      </c>
      <c r="Y114" s="460">
        <f t="shared" ca="1" si="9"/>
        <v>-8.460995400924205E-5</v>
      </c>
      <c r="Z114" s="79"/>
    </row>
    <row r="115" spans="1:26" customFormat="1" ht="15">
      <c r="A115" s="232"/>
      <c r="B115" s="295">
        <v>77</v>
      </c>
      <c r="C115" s="265" t="s">
        <v>165</v>
      </c>
      <c r="D115" s="266">
        <v>1</v>
      </c>
      <c r="E115" s="256"/>
      <c r="F115" s="239">
        <v>0.4</v>
      </c>
      <c r="G115" s="469">
        <v>100</v>
      </c>
      <c r="H115" s="405">
        <v>101</v>
      </c>
      <c r="I115" s="424"/>
      <c r="J115" s="424"/>
      <c r="K115" s="436"/>
      <c r="L115" s="436"/>
      <c r="M115" s="436"/>
      <c r="N115" s="437"/>
      <c r="P115" s="455" t="str" cm="1">
        <f t="array" aca="1" ref="P115" ca="1">IF(AND($Q$12,B139&lt;=$C$17,C139&lt;&gt;""),TRANSPOSE(INDEX(GetCDS(C139,$C$6,$C$29,F139,D139,$C$13,$C$14,$C$15,$C$8,,,TRUE,TRUE,FALSE,$C$29:$C$31,$C$33),{1;2;3;4;5})),"")</f>
        <v/>
      </c>
      <c r="Q115" s="456"/>
      <c r="R115" s="456"/>
      <c r="S115" s="457"/>
      <c r="T115" s="458"/>
      <c r="U115" s="459" t="str">
        <f t="shared" ca="1" si="5"/>
        <v/>
      </c>
      <c r="V115" s="460" t="str">
        <f t="shared" ca="1" si="6"/>
        <v/>
      </c>
      <c r="W115" s="459" t="str">
        <f t="shared" ca="1" si="7"/>
        <v/>
      </c>
      <c r="X115" s="461" t="str">
        <f t="shared" ca="1" si="8"/>
        <v/>
      </c>
      <c r="Y115" s="460" t="str">
        <f t="shared" ca="1" si="9"/>
        <v/>
      </c>
      <c r="Z115" s="79"/>
    </row>
    <row r="116" spans="1:26" customFormat="1" ht="15">
      <c r="A116" s="232"/>
      <c r="B116" s="295">
        <v>78</v>
      </c>
      <c r="C116" s="265" t="s">
        <v>166</v>
      </c>
      <c r="D116" s="266">
        <v>1</v>
      </c>
      <c r="E116" s="256"/>
      <c r="F116" s="239">
        <v>0.4</v>
      </c>
      <c r="G116" s="469">
        <v>100</v>
      </c>
      <c r="H116" s="405">
        <v>102</v>
      </c>
      <c r="I116" s="424"/>
      <c r="J116" s="424"/>
      <c r="K116" s="436"/>
      <c r="L116" s="436"/>
      <c r="M116" s="436"/>
      <c r="N116" s="437"/>
      <c r="P116" s="455" t="str" cm="1">
        <f t="array" aca="1" ref="P116" ca="1">IF(AND($Q$12,B140&lt;=$C$17,C140&lt;&gt;""),TRANSPOSE(INDEX(GetCDS(C140,$C$6,$C$29,F140,D140,$C$13,$C$14,$C$15,$C$8,,,TRUE,TRUE,FALSE,$C$29:$C$31,$C$33),{1;2;3;4;5})),"")</f>
        <v/>
      </c>
      <c r="Q116" s="456"/>
      <c r="R116" s="456"/>
      <c r="S116" s="457"/>
      <c r="T116" s="458"/>
      <c r="U116" s="459" t="str">
        <f t="shared" ca="1" si="5"/>
        <v/>
      </c>
      <c r="V116" s="460" t="str">
        <f t="shared" ca="1" si="6"/>
        <v/>
      </c>
      <c r="W116" s="459" t="str">
        <f t="shared" ca="1" si="7"/>
        <v/>
      </c>
      <c r="X116" s="461" t="str">
        <f t="shared" ca="1" si="8"/>
        <v/>
      </c>
      <c r="Y116" s="460" t="str">
        <f t="shared" ca="1" si="9"/>
        <v/>
      </c>
      <c r="Z116" s="79"/>
    </row>
    <row r="117" spans="1:26" customFormat="1" ht="15">
      <c r="A117" s="232"/>
      <c r="B117" s="295">
        <v>79</v>
      </c>
      <c r="C117" s="265" t="s">
        <v>167</v>
      </c>
      <c r="D117" s="266">
        <v>1</v>
      </c>
      <c r="E117" s="256"/>
      <c r="F117" s="239">
        <v>0.4</v>
      </c>
      <c r="G117" s="469">
        <v>100</v>
      </c>
      <c r="H117" s="405">
        <v>103</v>
      </c>
      <c r="I117" s="424"/>
      <c r="J117" s="424"/>
      <c r="K117" s="436"/>
      <c r="L117" s="436"/>
      <c r="M117" s="436"/>
      <c r="N117" s="437"/>
      <c r="P117" s="455" t="str" cm="1">
        <f t="array" aca="1" ref="P117" ca="1">IF(AND($Q$12,B141&lt;=$C$17,C141&lt;&gt;""),TRANSPOSE(INDEX(GetCDS(C141,$C$6,$C$29,F141,D141,$C$13,$C$14,$C$15,$C$8,,,TRUE,TRUE,FALSE,$C$29:$C$31,$C$33),{1;2;3;4;5})),"")</f>
        <v/>
      </c>
      <c r="Q117" s="456"/>
      <c r="R117" s="456"/>
      <c r="S117" s="457"/>
      <c r="T117" s="458"/>
      <c r="U117" s="459" t="str">
        <f t="shared" ca="1" si="5"/>
        <v/>
      </c>
      <c r="V117" s="460" t="str">
        <f t="shared" ca="1" si="6"/>
        <v/>
      </c>
      <c r="W117" s="459" t="str">
        <f t="shared" ca="1" si="7"/>
        <v/>
      </c>
      <c r="X117" s="461" t="str">
        <f t="shared" ca="1" si="8"/>
        <v/>
      </c>
      <c r="Y117" s="460" t="str">
        <f t="shared" ca="1" si="9"/>
        <v/>
      </c>
      <c r="Z117" s="79"/>
    </row>
    <row r="118" spans="1:26" customFormat="1" ht="15">
      <c r="A118" s="232"/>
      <c r="B118" s="295">
        <v>80</v>
      </c>
      <c r="C118" s="265" t="s">
        <v>168</v>
      </c>
      <c r="D118" s="266">
        <v>1</v>
      </c>
      <c r="E118" s="256"/>
      <c r="F118" s="239">
        <v>0.4</v>
      </c>
      <c r="G118" s="469">
        <v>100</v>
      </c>
      <c r="H118" s="405">
        <v>104</v>
      </c>
      <c r="I118" s="424"/>
      <c r="J118" s="424"/>
      <c r="K118" s="436"/>
      <c r="L118" s="436"/>
      <c r="M118" s="436"/>
      <c r="N118" s="437"/>
      <c r="P118" s="455" t="str" cm="1">
        <f t="array" aca="1" ref="P118" ca="1">IF(AND($Q$12,B142&lt;=$C$17,C142&lt;&gt;""),TRANSPOSE(INDEX(GetCDS(C142,$C$6,$C$29,F142,D142,$C$13,$C$14,$C$15,$C$8,,,TRUE,TRUE,FALSE,$C$29:$C$31,$C$33),{1;2;3;4;5})),"")</f>
        <v/>
      </c>
      <c r="Q118" s="456"/>
      <c r="R118" s="456"/>
      <c r="S118" s="457"/>
      <c r="T118" s="458"/>
      <c r="U118" s="459" t="str">
        <f t="shared" ca="1" si="5"/>
        <v/>
      </c>
      <c r="V118" s="460" t="str">
        <f t="shared" ca="1" si="6"/>
        <v/>
      </c>
      <c r="W118" s="459" t="str">
        <f t="shared" ca="1" si="7"/>
        <v/>
      </c>
      <c r="X118" s="461" t="str">
        <f t="shared" ca="1" si="8"/>
        <v/>
      </c>
      <c r="Y118" s="460" t="str">
        <f t="shared" ca="1" si="9"/>
        <v/>
      </c>
      <c r="Z118" s="79"/>
    </row>
    <row r="119" spans="1:26" customFormat="1" ht="15">
      <c r="A119" s="232"/>
      <c r="B119" s="295">
        <v>81</v>
      </c>
      <c r="C119" s="265" t="s">
        <v>169</v>
      </c>
      <c r="D119" s="266">
        <v>1</v>
      </c>
      <c r="E119" s="256"/>
      <c r="F119" s="239">
        <v>0.4</v>
      </c>
      <c r="G119" s="469">
        <v>100</v>
      </c>
      <c r="H119" s="405">
        <v>105</v>
      </c>
      <c r="I119" s="424"/>
      <c r="J119" s="424"/>
      <c r="K119" s="436"/>
      <c r="L119" s="436"/>
      <c r="M119" s="436"/>
      <c r="N119" s="437"/>
      <c r="P119" s="455" t="str" cm="1">
        <f t="array" aca="1" ref="P119" ca="1">IF(AND($Q$12,B143&lt;=$C$17,C143&lt;&gt;""),TRANSPOSE(INDEX(GetCDS(C143,$C$6,$C$29,F143,D143,$C$13,$C$14,$C$15,$C$8,,,TRUE,TRUE,FALSE,$C$29:$C$31,$C$33),{1;2;3;4;5})),"")</f>
        <v/>
      </c>
      <c r="Q119" s="456"/>
      <c r="R119" s="456"/>
      <c r="S119" s="457"/>
      <c r="T119" s="458"/>
      <c r="U119" s="459" t="str">
        <f t="shared" ca="1" si="5"/>
        <v/>
      </c>
      <c r="V119" s="460" t="str">
        <f t="shared" ca="1" si="6"/>
        <v/>
      </c>
      <c r="W119" s="459" t="str">
        <f t="shared" ca="1" si="7"/>
        <v/>
      </c>
      <c r="X119" s="461" t="str">
        <f t="shared" ca="1" si="8"/>
        <v/>
      </c>
      <c r="Y119" s="460" t="str">
        <f t="shared" ca="1" si="9"/>
        <v/>
      </c>
      <c r="Z119" s="79"/>
    </row>
    <row r="120" spans="1:26" customFormat="1" ht="15">
      <c r="A120" s="232"/>
      <c r="B120" s="295">
        <v>82</v>
      </c>
      <c r="C120" s="265" t="s">
        <v>170</v>
      </c>
      <c r="D120" s="266">
        <v>1</v>
      </c>
      <c r="E120" s="256"/>
      <c r="F120" s="239">
        <v>0.4</v>
      </c>
      <c r="G120" s="469">
        <v>100</v>
      </c>
      <c r="H120" s="405">
        <v>106</v>
      </c>
      <c r="I120" s="424"/>
      <c r="J120" s="424"/>
      <c r="K120" s="436"/>
      <c r="L120" s="436"/>
      <c r="M120" s="436"/>
      <c r="N120" s="437"/>
      <c r="P120" s="455" t="str" cm="1">
        <f t="array" aca="1" ref="P120" ca="1">IF(AND($Q$12,B144&lt;=$C$17,C144&lt;&gt;""),TRANSPOSE(INDEX(GetCDS(C144,$C$6,$C$29,F144,D144,$C$13,$C$14,$C$15,$C$8,,,TRUE,TRUE,FALSE,$C$29:$C$31,$C$33),{1;2;3;4;5})),"")</f>
        <v/>
      </c>
      <c r="Q120" s="456"/>
      <c r="R120" s="456"/>
      <c r="S120" s="457"/>
      <c r="T120" s="458"/>
      <c r="U120" s="459" t="str">
        <f t="shared" ca="1" si="5"/>
        <v/>
      </c>
      <c r="V120" s="460" t="str">
        <f t="shared" ca="1" si="6"/>
        <v/>
      </c>
      <c r="W120" s="459" t="str">
        <f t="shared" ca="1" si="7"/>
        <v/>
      </c>
      <c r="X120" s="461" t="str">
        <f t="shared" ca="1" si="8"/>
        <v/>
      </c>
      <c r="Y120" s="460" t="str">
        <f t="shared" ca="1" si="9"/>
        <v/>
      </c>
      <c r="Z120" s="79"/>
    </row>
    <row r="121" spans="1:26" customFormat="1" ht="15">
      <c r="A121" s="232"/>
      <c r="B121" s="295">
        <v>83</v>
      </c>
      <c r="C121" s="265" t="s">
        <v>171</v>
      </c>
      <c r="D121" s="266">
        <v>1</v>
      </c>
      <c r="E121" s="256"/>
      <c r="F121" s="239">
        <v>0.4</v>
      </c>
      <c r="G121" s="469">
        <v>100</v>
      </c>
      <c r="H121" s="405">
        <v>107</v>
      </c>
      <c r="I121" s="424"/>
      <c r="J121" s="424"/>
      <c r="K121" s="436"/>
      <c r="L121" s="436"/>
      <c r="M121" s="436"/>
      <c r="N121" s="437"/>
      <c r="P121" s="455" t="str" cm="1">
        <f t="array" aca="1" ref="P121" ca="1">IF(AND($Q$12,B145&lt;=$C$17,C145&lt;&gt;""),TRANSPOSE(INDEX(GetCDS(C145,$C$6,$C$29,F145,D145,$C$13,$C$14,$C$15,$C$8,,,TRUE,TRUE,FALSE,$C$29:$C$31,$C$33),{1;2;3;4;5})),"")</f>
        <v/>
      </c>
      <c r="Q121" s="456"/>
      <c r="R121" s="456"/>
      <c r="S121" s="457"/>
      <c r="T121" s="458"/>
      <c r="U121" s="459" t="str">
        <f t="shared" ca="1" si="5"/>
        <v/>
      </c>
      <c r="V121" s="460" t="str">
        <f t="shared" ca="1" si="6"/>
        <v/>
      </c>
      <c r="W121" s="459" t="str">
        <f t="shared" ca="1" si="7"/>
        <v/>
      </c>
      <c r="X121" s="461" t="str">
        <f t="shared" ca="1" si="8"/>
        <v/>
      </c>
      <c r="Y121" s="460" t="str">
        <f t="shared" ca="1" si="9"/>
        <v/>
      </c>
      <c r="Z121" s="79"/>
    </row>
    <row r="122" spans="1:26" customFormat="1" ht="15">
      <c r="A122" s="232"/>
      <c r="B122" s="295">
        <v>84</v>
      </c>
      <c r="C122" s="265" t="s">
        <v>172</v>
      </c>
      <c r="D122" s="266">
        <v>1</v>
      </c>
      <c r="E122" s="256"/>
      <c r="F122" s="239">
        <v>0.4</v>
      </c>
      <c r="G122" s="469">
        <v>100</v>
      </c>
      <c r="H122" s="405">
        <v>108</v>
      </c>
      <c r="I122" s="424"/>
      <c r="J122" s="424"/>
      <c r="K122" s="436"/>
      <c r="L122" s="436"/>
      <c r="M122" s="436"/>
      <c r="N122" s="437"/>
      <c r="P122" s="455" t="str" cm="1">
        <f t="array" aca="1" ref="P122" ca="1">IF(AND($Q$12,B146&lt;=$C$17,C146&lt;&gt;""),TRANSPOSE(INDEX(GetCDS(C146,$C$6,$C$29,F146,D146,$C$13,$C$14,$C$15,$C$8,,,TRUE,TRUE,FALSE,$C$29:$C$31,$C$33),{1;2;3;4;5})),"")</f>
        <v/>
      </c>
      <c r="Q122" s="456"/>
      <c r="R122" s="456"/>
      <c r="S122" s="457"/>
      <c r="T122" s="458"/>
      <c r="U122" s="459" t="str">
        <f t="shared" ca="1" si="5"/>
        <v/>
      </c>
      <c r="V122" s="460" t="str">
        <f t="shared" ca="1" si="6"/>
        <v/>
      </c>
      <c r="W122" s="459" t="str">
        <f t="shared" ca="1" si="7"/>
        <v/>
      </c>
      <c r="X122" s="461" t="str">
        <f t="shared" ca="1" si="8"/>
        <v/>
      </c>
      <c r="Y122" s="460" t="str">
        <f t="shared" ca="1" si="9"/>
        <v/>
      </c>
      <c r="Z122" s="79"/>
    </row>
    <row r="123" spans="1:26" customFormat="1" ht="15">
      <c r="A123" s="232"/>
      <c r="B123" s="295">
        <v>85</v>
      </c>
      <c r="C123" s="265" t="s">
        <v>173</v>
      </c>
      <c r="D123" s="266">
        <v>1</v>
      </c>
      <c r="E123" s="256"/>
      <c r="F123" s="239">
        <v>0.4</v>
      </c>
      <c r="G123" s="469">
        <v>100</v>
      </c>
      <c r="H123" s="405">
        <v>109</v>
      </c>
      <c r="I123" s="424"/>
      <c r="J123" s="424"/>
      <c r="K123" s="436"/>
      <c r="L123" s="436"/>
      <c r="M123" s="436"/>
      <c r="N123" s="437"/>
      <c r="P123" s="455" t="str" cm="1">
        <f t="array" aca="1" ref="P123" ca="1">IF(AND($Q$12,B147&lt;=$C$17,C147&lt;&gt;""),TRANSPOSE(INDEX(GetCDS(C147,$C$6,$C$29,F147,D147,$C$13,$C$14,$C$15,$C$8,,,TRUE,TRUE,FALSE,$C$29:$C$31,$C$33),{1;2;3;4;5})),"")</f>
        <v/>
      </c>
      <c r="Q123" s="456"/>
      <c r="R123" s="456"/>
      <c r="S123" s="457"/>
      <c r="T123" s="458"/>
      <c r="U123" s="459" t="str">
        <f t="shared" ca="1" si="5"/>
        <v/>
      </c>
      <c r="V123" s="460" t="str">
        <f t="shared" ca="1" si="6"/>
        <v/>
      </c>
      <c r="W123" s="459" t="str">
        <f t="shared" ca="1" si="7"/>
        <v/>
      </c>
      <c r="X123" s="461" t="str">
        <f t="shared" ca="1" si="8"/>
        <v/>
      </c>
      <c r="Y123" s="460" t="str">
        <f t="shared" ca="1" si="9"/>
        <v/>
      </c>
      <c r="Z123" s="79"/>
    </row>
    <row r="124" spans="1:26" customFormat="1" ht="15">
      <c r="A124" s="232"/>
      <c r="B124" s="295">
        <v>86</v>
      </c>
      <c r="C124" s="265" t="s">
        <v>174</v>
      </c>
      <c r="D124" s="266">
        <v>1</v>
      </c>
      <c r="E124" s="256"/>
      <c r="F124" s="239">
        <v>0.4</v>
      </c>
      <c r="G124" s="469">
        <v>100</v>
      </c>
      <c r="H124" s="405">
        <v>110</v>
      </c>
      <c r="I124" s="424"/>
      <c r="J124" s="424"/>
      <c r="K124" s="436"/>
      <c r="L124" s="436"/>
      <c r="M124" s="436"/>
      <c r="N124" s="437"/>
      <c r="P124" s="455" t="str" cm="1">
        <f t="array" aca="1" ref="P124" ca="1">IF(AND($Q$12,B148&lt;=$C$17,C148&lt;&gt;""),TRANSPOSE(INDEX(GetCDS(C148,$C$6,$C$29,F148,D148,$C$13,$C$14,$C$15,$C$8,,,TRUE,TRUE,FALSE,$C$29:$C$31,$C$33),{1;2;3;4;5})),"")</f>
        <v/>
      </c>
      <c r="Q124" s="456"/>
      <c r="R124" s="456"/>
      <c r="S124" s="457"/>
      <c r="T124" s="458"/>
      <c r="U124" s="459" t="str">
        <f t="shared" ca="1" si="5"/>
        <v/>
      </c>
      <c r="V124" s="460" t="str">
        <f t="shared" ca="1" si="6"/>
        <v/>
      </c>
      <c r="W124" s="459" t="str">
        <f t="shared" ca="1" si="7"/>
        <v/>
      </c>
      <c r="X124" s="461" t="str">
        <f t="shared" ca="1" si="8"/>
        <v/>
      </c>
      <c r="Y124" s="460" t="str">
        <f t="shared" ca="1" si="9"/>
        <v/>
      </c>
      <c r="Z124" s="79"/>
    </row>
    <row r="125" spans="1:26" customFormat="1" ht="15">
      <c r="A125" s="232"/>
      <c r="B125" s="295">
        <v>87</v>
      </c>
      <c r="C125" s="265" t="s">
        <v>175</v>
      </c>
      <c r="D125" s="266">
        <v>1</v>
      </c>
      <c r="E125" s="256"/>
      <c r="F125" s="239">
        <v>0.4</v>
      </c>
      <c r="G125" s="469">
        <v>100</v>
      </c>
      <c r="H125" s="405">
        <v>111</v>
      </c>
      <c r="I125" s="424"/>
      <c r="J125" s="424"/>
      <c r="K125" s="436"/>
      <c r="L125" s="436"/>
      <c r="M125" s="436"/>
      <c r="N125" s="437"/>
      <c r="P125" s="455" t="str" cm="1">
        <f t="array" aca="1" ref="P125" ca="1">IF(AND($Q$12,B149&lt;=$C$17,C149&lt;&gt;""),TRANSPOSE(INDEX(GetCDS(C149,$C$6,$C$29,F149,D149,$C$13,$C$14,$C$15,$C$8,,,TRUE,TRUE,FALSE,$C$29:$C$31,$C$33),{1;2;3;4;5})),"")</f>
        <v/>
      </c>
      <c r="Q125" s="456"/>
      <c r="R125" s="456"/>
      <c r="S125" s="457"/>
      <c r="T125" s="458"/>
      <c r="U125" s="459" t="str">
        <f t="shared" ca="1" si="5"/>
        <v/>
      </c>
      <c r="V125" s="460" t="str">
        <f t="shared" ca="1" si="6"/>
        <v/>
      </c>
      <c r="W125" s="459" t="str">
        <f t="shared" ca="1" si="7"/>
        <v/>
      </c>
      <c r="X125" s="461" t="str">
        <f t="shared" ca="1" si="8"/>
        <v/>
      </c>
      <c r="Y125" s="460" t="str">
        <f t="shared" ca="1" si="9"/>
        <v/>
      </c>
      <c r="Z125" s="79"/>
    </row>
    <row r="126" spans="1:26" customFormat="1" ht="15">
      <c r="A126" s="232"/>
      <c r="B126" s="295">
        <v>88</v>
      </c>
      <c r="C126" s="265" t="s">
        <v>176</v>
      </c>
      <c r="D126" s="266">
        <v>1</v>
      </c>
      <c r="E126" s="256"/>
      <c r="F126" s="239">
        <v>0.4</v>
      </c>
      <c r="G126" s="469">
        <v>100</v>
      </c>
      <c r="H126" s="405">
        <v>112</v>
      </c>
      <c r="I126" s="424"/>
      <c r="J126" s="424"/>
      <c r="K126" s="436"/>
      <c r="L126" s="436"/>
      <c r="M126" s="436"/>
      <c r="N126" s="437"/>
      <c r="P126" s="455" t="str" cm="1">
        <f t="array" aca="1" ref="P126" ca="1">IF(AND($Q$12,B150&lt;=$C$17,C150&lt;&gt;""),TRANSPOSE(INDEX(GetCDS(C150,$C$6,$C$29,F150,D150,$C$13,$C$14,$C$15,$C$8,,,TRUE,TRUE,FALSE,$C$29:$C$31,$C$33),{1;2;3;4;5})),"")</f>
        <v/>
      </c>
      <c r="Q126" s="456"/>
      <c r="R126" s="456"/>
      <c r="S126" s="457"/>
      <c r="T126" s="458"/>
      <c r="U126" s="459" t="str">
        <f t="shared" ca="1" si="5"/>
        <v/>
      </c>
      <c r="V126" s="460" t="str">
        <f t="shared" ca="1" si="6"/>
        <v/>
      </c>
      <c r="W126" s="459" t="str">
        <f t="shared" ca="1" si="7"/>
        <v/>
      </c>
      <c r="X126" s="461" t="str">
        <f t="shared" ca="1" si="8"/>
        <v/>
      </c>
      <c r="Y126" s="460" t="str">
        <f t="shared" ca="1" si="9"/>
        <v/>
      </c>
      <c r="Z126" s="79"/>
    </row>
    <row r="127" spans="1:26" customFormat="1" ht="15">
      <c r="A127" s="232"/>
      <c r="B127" s="295">
        <v>89</v>
      </c>
      <c r="C127" s="265" t="s">
        <v>177</v>
      </c>
      <c r="D127" s="266">
        <v>1</v>
      </c>
      <c r="E127" s="256"/>
      <c r="F127" s="239">
        <v>0.4</v>
      </c>
      <c r="G127" s="469">
        <v>100</v>
      </c>
      <c r="H127" s="405">
        <v>113</v>
      </c>
      <c r="I127" s="424"/>
      <c r="J127" s="424"/>
      <c r="K127" s="436"/>
      <c r="L127" s="436"/>
      <c r="M127" s="436"/>
      <c r="N127" s="437"/>
      <c r="P127" s="455" t="str" cm="1">
        <f t="array" aca="1" ref="P127" ca="1">IF(AND($Q$12,B151&lt;=$C$17,C151&lt;&gt;""),TRANSPOSE(INDEX(GetCDS(C151,$C$6,$C$29,F151,D151,$C$13,$C$14,$C$15,$C$8,,,TRUE,TRUE,FALSE,$C$29:$C$31,$C$33),{1;2;3;4;5})),"")</f>
        <v/>
      </c>
      <c r="Q127" s="456"/>
      <c r="R127" s="456"/>
      <c r="S127" s="457"/>
      <c r="T127" s="458"/>
      <c r="U127" s="459" t="str">
        <f t="shared" ca="1" si="5"/>
        <v/>
      </c>
      <c r="V127" s="460" t="str">
        <f t="shared" ca="1" si="6"/>
        <v/>
      </c>
      <c r="W127" s="459" t="str">
        <f t="shared" ca="1" si="7"/>
        <v/>
      </c>
      <c r="X127" s="461" t="str">
        <f t="shared" ca="1" si="8"/>
        <v/>
      </c>
      <c r="Y127" s="460" t="str">
        <f t="shared" ca="1" si="9"/>
        <v/>
      </c>
      <c r="Z127" s="79"/>
    </row>
    <row r="128" spans="1:26" customFormat="1" ht="15">
      <c r="A128" s="232"/>
      <c r="B128" s="295">
        <v>90</v>
      </c>
      <c r="C128" s="265" t="s">
        <v>178</v>
      </c>
      <c r="D128" s="266">
        <v>1</v>
      </c>
      <c r="E128" s="256"/>
      <c r="F128" s="239">
        <v>0.4</v>
      </c>
      <c r="G128" s="469">
        <v>100</v>
      </c>
      <c r="H128" s="405">
        <v>114</v>
      </c>
      <c r="I128" s="424"/>
      <c r="J128" s="424"/>
      <c r="K128" s="436"/>
      <c r="L128" s="436"/>
      <c r="M128" s="436"/>
      <c r="N128" s="437"/>
      <c r="P128" s="455" t="str" cm="1">
        <f t="array" aca="1" ref="P128" ca="1">IF(AND($Q$12,B152&lt;=$C$17,C152&lt;&gt;""),TRANSPOSE(INDEX(GetCDS(C152,$C$6,$C$29,F152,D152,$C$13,$C$14,$C$15,$C$8,,,TRUE,TRUE,FALSE,$C$29:$C$31,$C$33),{1;2;3;4;5})),"")</f>
        <v/>
      </c>
      <c r="Q128" s="456"/>
      <c r="R128" s="456"/>
      <c r="S128" s="457"/>
      <c r="T128" s="458"/>
      <c r="U128" s="459" t="str">
        <f t="shared" ca="1" si="5"/>
        <v/>
      </c>
      <c r="V128" s="460" t="str">
        <f t="shared" ca="1" si="6"/>
        <v/>
      </c>
      <c r="W128" s="459" t="str">
        <f t="shared" ca="1" si="7"/>
        <v/>
      </c>
      <c r="X128" s="461" t="str">
        <f t="shared" ca="1" si="8"/>
        <v/>
      </c>
      <c r="Y128" s="460" t="str">
        <f t="shared" ca="1" si="9"/>
        <v/>
      </c>
      <c r="Z128" s="79"/>
    </row>
    <row r="129" spans="1:26" customFormat="1" ht="15">
      <c r="A129" s="232"/>
      <c r="B129" s="295">
        <v>91</v>
      </c>
      <c r="C129" s="265" t="s">
        <v>179</v>
      </c>
      <c r="D129" s="266">
        <v>1</v>
      </c>
      <c r="E129" s="256"/>
      <c r="F129" s="239">
        <v>0.4</v>
      </c>
      <c r="G129" s="469">
        <v>100</v>
      </c>
      <c r="H129" s="405">
        <v>115</v>
      </c>
      <c r="I129" s="424"/>
      <c r="J129" s="424"/>
      <c r="K129" s="436"/>
      <c r="L129" s="436"/>
      <c r="M129" s="436"/>
      <c r="N129" s="437"/>
      <c r="P129" s="455" t="str" cm="1">
        <f t="array" aca="1" ref="P129" ca="1">IF(AND($Q$12,B153&lt;=$C$17,C153&lt;&gt;""),TRANSPOSE(INDEX(GetCDS(C153,$C$6,$C$29,F153,D153,$C$13,$C$14,$C$15,$C$8,,,TRUE,TRUE,FALSE,$C$29:$C$31,$C$33),{1;2;3;4;5})),"")</f>
        <v/>
      </c>
      <c r="Q129" s="456"/>
      <c r="R129" s="456"/>
      <c r="S129" s="457"/>
      <c r="T129" s="458"/>
      <c r="U129" s="459" t="str">
        <f t="shared" ca="1" si="5"/>
        <v/>
      </c>
      <c r="V129" s="460" t="str">
        <f t="shared" ca="1" si="6"/>
        <v/>
      </c>
      <c r="W129" s="459" t="str">
        <f t="shared" ca="1" si="7"/>
        <v/>
      </c>
      <c r="X129" s="461" t="str">
        <f t="shared" ca="1" si="8"/>
        <v/>
      </c>
      <c r="Y129" s="460" t="str">
        <f t="shared" ca="1" si="9"/>
        <v/>
      </c>
      <c r="Z129" s="79"/>
    </row>
    <row r="130" spans="1:26" customFormat="1" ht="15">
      <c r="A130" s="232"/>
      <c r="B130" s="295">
        <v>92</v>
      </c>
      <c r="C130" s="265" t="s">
        <v>180</v>
      </c>
      <c r="D130" s="266">
        <v>1</v>
      </c>
      <c r="E130" s="256"/>
      <c r="F130" s="239">
        <v>0.4</v>
      </c>
      <c r="G130" s="469">
        <v>100</v>
      </c>
      <c r="H130" s="405">
        <v>116</v>
      </c>
      <c r="I130" s="424"/>
      <c r="J130" s="424"/>
      <c r="K130" s="436"/>
      <c r="L130" s="436"/>
      <c r="M130" s="436"/>
      <c r="N130" s="437"/>
      <c r="P130" s="455" t="str" cm="1">
        <f t="array" aca="1" ref="P130" ca="1">IF(AND($Q$12,B154&lt;=$C$17,C154&lt;&gt;""),TRANSPOSE(INDEX(GetCDS(C154,$C$6,$C$29,F154,D154,$C$13,$C$14,$C$15,$C$8,,,TRUE,TRUE,FALSE,$C$29:$C$31,$C$33),{1;2;3;4;5})),"")</f>
        <v/>
      </c>
      <c r="Q130" s="456"/>
      <c r="R130" s="456"/>
      <c r="S130" s="457"/>
      <c r="T130" s="458"/>
      <c r="U130" s="459" t="str">
        <f t="shared" ca="1" si="5"/>
        <v/>
      </c>
      <c r="V130" s="460" t="str">
        <f t="shared" ca="1" si="6"/>
        <v/>
      </c>
      <c r="W130" s="459" t="str">
        <f t="shared" ca="1" si="7"/>
        <v/>
      </c>
      <c r="X130" s="461" t="str">
        <f t="shared" ca="1" si="8"/>
        <v/>
      </c>
      <c r="Y130" s="460" t="str">
        <f t="shared" ca="1" si="9"/>
        <v/>
      </c>
      <c r="Z130" s="79"/>
    </row>
    <row r="131" spans="1:26" customFormat="1" ht="15">
      <c r="A131" s="232"/>
      <c r="B131" s="295">
        <v>93</v>
      </c>
      <c r="C131" s="265" t="s">
        <v>181</v>
      </c>
      <c r="D131" s="266">
        <v>1</v>
      </c>
      <c r="E131" s="256"/>
      <c r="F131" s="239">
        <v>0.4</v>
      </c>
      <c r="G131" s="469">
        <v>100</v>
      </c>
      <c r="H131" s="405">
        <v>117</v>
      </c>
      <c r="I131" s="424"/>
      <c r="J131" s="424"/>
      <c r="K131" s="436"/>
      <c r="L131" s="436"/>
      <c r="M131" s="436"/>
      <c r="N131" s="437"/>
      <c r="P131" s="455" t="str" cm="1">
        <f t="array" aca="1" ref="P131" ca="1">IF(AND($Q$12,B155&lt;=$C$17,C155&lt;&gt;""),TRANSPOSE(INDEX(GetCDS(C155,$C$6,$C$29,F155,D155,$C$13,$C$14,$C$15,$C$8,,,TRUE,TRUE,FALSE,$C$29:$C$31,$C$33),{1;2;3;4;5})),"")</f>
        <v/>
      </c>
      <c r="Q131" s="456"/>
      <c r="R131" s="456"/>
      <c r="S131" s="457"/>
      <c r="T131" s="458"/>
      <c r="U131" s="459" t="str">
        <f t="shared" ca="1" si="5"/>
        <v/>
      </c>
      <c r="V131" s="460" t="str">
        <f t="shared" ca="1" si="6"/>
        <v/>
      </c>
      <c r="W131" s="459" t="str">
        <f t="shared" ca="1" si="7"/>
        <v/>
      </c>
      <c r="X131" s="461" t="str">
        <f t="shared" ca="1" si="8"/>
        <v/>
      </c>
      <c r="Y131" s="460" t="str">
        <f t="shared" ca="1" si="9"/>
        <v/>
      </c>
      <c r="Z131" s="79"/>
    </row>
    <row r="132" spans="1:26" customFormat="1" ht="15">
      <c r="A132" s="232"/>
      <c r="B132" s="295">
        <v>94</v>
      </c>
      <c r="C132" s="265" t="s">
        <v>182</v>
      </c>
      <c r="D132" s="266">
        <v>1</v>
      </c>
      <c r="E132" s="256"/>
      <c r="F132" s="239">
        <v>0.4</v>
      </c>
      <c r="G132" s="469">
        <v>100</v>
      </c>
      <c r="H132" s="405">
        <v>118</v>
      </c>
      <c r="I132" s="424"/>
      <c r="J132" s="424"/>
      <c r="K132" s="436"/>
      <c r="L132" s="436"/>
      <c r="M132" s="436"/>
      <c r="N132" s="437"/>
      <c r="P132" s="455" t="str" cm="1">
        <f t="array" aca="1" ref="P132" ca="1">IF(AND($Q$12,B156&lt;=$C$17,C156&lt;&gt;""),TRANSPOSE(INDEX(GetCDS(C156,$C$6,$C$29,F156,D156,$C$13,$C$14,$C$15,$C$8,,,TRUE,TRUE,FALSE,$C$29:$C$31,$C$33),{1;2;3;4;5})),"")</f>
        <v/>
      </c>
      <c r="Q132" s="456"/>
      <c r="R132" s="456"/>
      <c r="S132" s="457"/>
      <c r="T132" s="458"/>
      <c r="U132" s="459" t="str">
        <f t="shared" ca="1" si="5"/>
        <v/>
      </c>
      <c r="V132" s="460" t="str">
        <f t="shared" ca="1" si="6"/>
        <v/>
      </c>
      <c r="W132" s="459" t="str">
        <f t="shared" ca="1" si="7"/>
        <v/>
      </c>
      <c r="X132" s="461" t="str">
        <f t="shared" ca="1" si="8"/>
        <v/>
      </c>
      <c r="Y132" s="460" t="str">
        <f t="shared" ca="1" si="9"/>
        <v/>
      </c>
      <c r="Z132" s="79"/>
    </row>
    <row r="133" spans="1:26" customFormat="1" ht="15">
      <c r="A133" s="232"/>
      <c r="B133" s="295">
        <v>95</v>
      </c>
      <c r="C133" s="265" t="s">
        <v>183</v>
      </c>
      <c r="D133" s="266">
        <v>1</v>
      </c>
      <c r="E133" s="256"/>
      <c r="F133" s="239">
        <v>0.4</v>
      </c>
      <c r="G133" s="469">
        <v>100</v>
      </c>
      <c r="H133" s="405">
        <v>119</v>
      </c>
      <c r="I133" s="424"/>
      <c r="J133" s="424"/>
      <c r="K133" s="436"/>
      <c r="L133" s="436"/>
      <c r="M133" s="436"/>
      <c r="N133" s="437"/>
      <c r="P133" s="455" t="str" cm="1">
        <f t="array" aca="1" ref="P133" ca="1">IF(AND($Q$12,B157&lt;=$C$17,C157&lt;&gt;""),TRANSPOSE(INDEX(GetCDS(C157,$C$6,$C$29,F157,D157,$C$13,$C$14,$C$15,$C$8,,,TRUE,TRUE,FALSE,$C$29:$C$31,$C$33),{1;2;3;4;5})),"")</f>
        <v/>
      </c>
      <c r="Q133" s="456"/>
      <c r="R133" s="456"/>
      <c r="S133" s="457"/>
      <c r="T133" s="458"/>
      <c r="U133" s="459" t="str">
        <f t="shared" ca="1" si="5"/>
        <v/>
      </c>
      <c r="V133" s="460" t="str">
        <f t="shared" ca="1" si="6"/>
        <v/>
      </c>
      <c r="W133" s="459" t="str">
        <f t="shared" ca="1" si="7"/>
        <v/>
      </c>
      <c r="X133" s="461" t="str">
        <f t="shared" ca="1" si="8"/>
        <v/>
      </c>
      <c r="Y133" s="460" t="str">
        <f t="shared" ca="1" si="9"/>
        <v/>
      </c>
      <c r="Z133" s="79"/>
    </row>
    <row r="134" spans="1:26" customFormat="1" ht="15">
      <c r="A134" s="232"/>
      <c r="B134" s="295">
        <v>96</v>
      </c>
      <c r="C134" s="265" t="s">
        <v>184</v>
      </c>
      <c r="D134" s="266">
        <v>1</v>
      </c>
      <c r="E134" s="256"/>
      <c r="F134" s="239">
        <v>0.4</v>
      </c>
      <c r="G134" s="469">
        <v>100</v>
      </c>
      <c r="H134" s="405">
        <v>120</v>
      </c>
      <c r="I134" s="424"/>
      <c r="J134" s="424"/>
      <c r="K134" s="436"/>
      <c r="L134" s="436"/>
      <c r="M134" s="436"/>
      <c r="N134" s="437"/>
      <c r="P134" s="455" t="str" cm="1">
        <f t="array" aca="1" ref="P134" ca="1">IF(AND($Q$12,B158&lt;=$C$17,C158&lt;&gt;""),TRANSPOSE(INDEX(GetCDS(C158,$C$6,$C$29,F158,D158,$C$13,$C$14,$C$15,$C$8,,,TRUE,TRUE,FALSE,$C$29:$C$31,$C$33),{1;2;3;4;5})),"")</f>
        <v/>
      </c>
      <c r="Q134" s="456"/>
      <c r="R134" s="456"/>
      <c r="S134" s="457"/>
      <c r="T134" s="458"/>
      <c r="U134" s="459" t="str">
        <f t="shared" ca="1" si="5"/>
        <v/>
      </c>
      <c r="V134" s="460" t="str">
        <f t="shared" ca="1" si="6"/>
        <v/>
      </c>
      <c r="W134" s="459" t="str">
        <f t="shared" ca="1" si="7"/>
        <v/>
      </c>
      <c r="X134" s="461" t="str">
        <f t="shared" ca="1" si="8"/>
        <v/>
      </c>
      <c r="Y134" s="460" t="str">
        <f t="shared" ca="1" si="9"/>
        <v/>
      </c>
      <c r="Z134" s="79"/>
    </row>
    <row r="135" spans="1:26" customFormat="1" ht="15">
      <c r="A135" s="232"/>
      <c r="B135" s="295">
        <v>97</v>
      </c>
      <c r="C135" s="265" t="s">
        <v>185</v>
      </c>
      <c r="D135" s="266">
        <v>1</v>
      </c>
      <c r="E135" s="256"/>
      <c r="F135" s="239">
        <v>0.4</v>
      </c>
      <c r="G135" s="469">
        <v>100</v>
      </c>
      <c r="H135" s="405">
        <v>121</v>
      </c>
      <c r="I135" s="424"/>
      <c r="J135" s="424"/>
      <c r="K135" s="436"/>
      <c r="L135" s="436"/>
      <c r="M135" s="436"/>
      <c r="N135" s="437"/>
      <c r="P135" s="455" t="str" cm="1">
        <f t="array" aca="1" ref="P135" ca="1">IF(AND($Q$12,B159&lt;=$C$17,C159&lt;&gt;""),TRANSPOSE(INDEX(GetCDS(C159,$C$6,$C$29,F159,D159,$C$13,$C$14,$C$15,$C$8,,,TRUE,TRUE,FALSE,$C$29:$C$31,$C$33),{1;2;3;4;5})),"")</f>
        <v/>
      </c>
      <c r="Q135" s="456"/>
      <c r="R135" s="456"/>
      <c r="S135" s="457"/>
      <c r="T135" s="458"/>
      <c r="U135" s="459" t="str">
        <f t="shared" ca="1" si="5"/>
        <v/>
      </c>
      <c r="V135" s="460" t="str">
        <f t="shared" ca="1" si="6"/>
        <v/>
      </c>
      <c r="W135" s="459" t="str">
        <f t="shared" ca="1" si="7"/>
        <v/>
      </c>
      <c r="X135" s="461" t="str">
        <f t="shared" ca="1" si="8"/>
        <v/>
      </c>
      <c r="Y135" s="460" t="str">
        <f t="shared" ca="1" si="9"/>
        <v/>
      </c>
      <c r="Z135" s="79"/>
    </row>
    <row r="136" spans="1:26" customFormat="1" ht="15">
      <c r="A136" s="232"/>
      <c r="B136" s="295">
        <v>98</v>
      </c>
      <c r="C136" s="265" t="s">
        <v>186</v>
      </c>
      <c r="D136" s="266">
        <v>1</v>
      </c>
      <c r="E136" s="256"/>
      <c r="F136" s="239">
        <v>0.4</v>
      </c>
      <c r="G136" s="469">
        <v>100</v>
      </c>
      <c r="H136" s="405">
        <v>122</v>
      </c>
      <c r="I136" s="424"/>
      <c r="J136" s="424"/>
      <c r="K136" s="436"/>
      <c r="L136" s="436"/>
      <c r="M136" s="436"/>
      <c r="N136" s="437"/>
      <c r="P136" s="455" t="str" cm="1">
        <f t="array" aca="1" ref="P136" ca="1">IF(AND($Q$12,B160&lt;=$C$17,C160&lt;&gt;""),TRANSPOSE(INDEX(GetCDS(C160,$C$6,$C$29,F160,D160,$C$13,$C$14,$C$15,$C$8,,,TRUE,TRUE,FALSE,$C$29:$C$31,$C$33),{1;2;3;4;5})),"")</f>
        <v/>
      </c>
      <c r="Q136" s="456"/>
      <c r="R136" s="456"/>
      <c r="S136" s="457"/>
      <c r="T136" s="458"/>
      <c r="U136" s="459" t="str">
        <f t="shared" ca="1" si="5"/>
        <v/>
      </c>
      <c r="V136" s="460" t="str">
        <f t="shared" ca="1" si="6"/>
        <v/>
      </c>
      <c r="W136" s="459" t="str">
        <f t="shared" ca="1" si="7"/>
        <v/>
      </c>
      <c r="X136" s="461" t="str">
        <f t="shared" ca="1" si="8"/>
        <v/>
      </c>
      <c r="Y136" s="460" t="str">
        <f t="shared" ca="1" si="9"/>
        <v/>
      </c>
      <c r="Z136" s="79"/>
    </row>
    <row r="137" spans="1:26" customFormat="1" ht="15">
      <c r="A137" s="232"/>
      <c r="B137" s="295">
        <v>99</v>
      </c>
      <c r="C137" s="265" t="s">
        <v>187</v>
      </c>
      <c r="D137" s="266">
        <v>1</v>
      </c>
      <c r="E137" s="256"/>
      <c r="F137" s="239">
        <v>0.4</v>
      </c>
      <c r="G137" s="469">
        <v>100</v>
      </c>
      <c r="H137" s="405">
        <v>123</v>
      </c>
      <c r="I137" s="424"/>
      <c r="J137" s="424"/>
      <c r="K137" s="436"/>
      <c r="L137" s="436"/>
      <c r="M137" s="436"/>
      <c r="N137" s="437"/>
      <c r="P137" s="455" t="str" cm="1">
        <f t="array" aca="1" ref="P137" ca="1">IF(AND($Q$12,B161&lt;=$C$17,C161&lt;&gt;""),TRANSPOSE(INDEX(GetCDS(C161,$C$6,$C$29,F161,D161,$C$13,$C$14,$C$15,$C$8,,,TRUE,TRUE,FALSE,$C$29:$C$31,$C$33),{1;2;3;4;5})),"")</f>
        <v/>
      </c>
      <c r="Q137" s="456"/>
      <c r="R137" s="456"/>
      <c r="S137" s="457"/>
      <c r="T137" s="458"/>
      <c r="U137" s="459" t="str">
        <f t="shared" ca="1" si="5"/>
        <v/>
      </c>
      <c r="V137" s="460" t="str">
        <f t="shared" ca="1" si="6"/>
        <v/>
      </c>
      <c r="W137" s="459" t="str">
        <f t="shared" ca="1" si="7"/>
        <v/>
      </c>
      <c r="X137" s="461" t="str">
        <f t="shared" ca="1" si="8"/>
        <v/>
      </c>
      <c r="Y137" s="460" t="str">
        <f t="shared" ca="1" si="9"/>
        <v/>
      </c>
      <c r="Z137" s="79"/>
    </row>
    <row r="138" spans="1:26" customFormat="1" ht="15">
      <c r="A138" s="232"/>
      <c r="B138" s="295">
        <v>100</v>
      </c>
      <c r="C138" s="265" t="s">
        <v>188</v>
      </c>
      <c r="D138" s="266">
        <v>1</v>
      </c>
      <c r="E138" s="256"/>
      <c r="F138" s="239">
        <v>0.4</v>
      </c>
      <c r="G138" s="469">
        <v>100</v>
      </c>
      <c r="H138" s="405">
        <v>124</v>
      </c>
      <c r="I138" s="424"/>
      <c r="J138" s="424"/>
      <c r="K138" s="436"/>
      <c r="L138" s="436"/>
      <c r="M138" s="436"/>
      <c r="N138" s="437"/>
      <c r="P138" s="455" t="str" cm="1">
        <f t="array" aca="1" ref="P138" ca="1">IF(AND($Q$12,B162&lt;=$C$17,C162&lt;&gt;""),TRANSPOSE(INDEX(GetCDS(C162,$C$6,$C$29,F162,D162,$C$13,$C$14,$C$15,$C$8,,,TRUE,TRUE,FALSE,$C$29:$C$31,$C$33),{1;2;3;4;5})),"")</f>
        <v/>
      </c>
      <c r="Q138" s="456"/>
      <c r="R138" s="456"/>
      <c r="S138" s="457"/>
      <c r="T138" s="458"/>
      <c r="U138" s="459" t="str">
        <f t="shared" ca="1" si="5"/>
        <v/>
      </c>
      <c r="V138" s="460" t="str">
        <f t="shared" ca="1" si="6"/>
        <v/>
      </c>
      <c r="W138" s="459" t="str">
        <f t="shared" ca="1" si="7"/>
        <v/>
      </c>
      <c r="X138" s="461" t="str">
        <f t="shared" ca="1" si="8"/>
        <v/>
      </c>
      <c r="Y138" s="460" t="str">
        <f t="shared" ca="1" si="9"/>
        <v/>
      </c>
      <c r="Z138" s="79"/>
    </row>
    <row r="139" spans="1:26" customFormat="1" ht="15">
      <c r="A139" s="232"/>
      <c r="B139" s="295">
        <v>101</v>
      </c>
      <c r="C139" s="265"/>
      <c r="D139" s="266"/>
      <c r="E139" s="256"/>
      <c r="F139" s="239"/>
      <c r="G139" s="246"/>
      <c r="H139" s="405">
        <v>125</v>
      </c>
      <c r="I139" s="424"/>
      <c r="J139" s="424"/>
      <c r="K139" s="436"/>
      <c r="L139" s="436"/>
      <c r="M139" s="436"/>
      <c r="N139" s="437"/>
      <c r="P139" s="455" t="str" cm="1">
        <f t="array" aca="1" ref="P139" ca="1">IF(AND($Q$12,B163&lt;=$C$17,C163&lt;&gt;""),TRANSPOSE(INDEX(GetCDS(C163,$C$6,$C$29,F163,D163,$C$13,$C$14,$C$15,$C$8,,,TRUE,TRUE,FALSE,$C$29:$C$31,$C$33),{1;2;3;4;5})),"")</f>
        <v/>
      </c>
      <c r="Q139" s="456"/>
      <c r="R139" s="456"/>
      <c r="S139" s="457"/>
      <c r="T139" s="458"/>
      <c r="U139" s="459" t="str">
        <f t="shared" ca="1" si="5"/>
        <v/>
      </c>
      <c r="V139" s="460" t="str">
        <f t="shared" ca="1" si="6"/>
        <v/>
      </c>
      <c r="W139" s="459" t="str">
        <f t="shared" ca="1" si="7"/>
        <v/>
      </c>
      <c r="X139" s="461" t="str">
        <f t="shared" ca="1" si="8"/>
        <v/>
      </c>
      <c r="Y139" s="460" t="str">
        <f t="shared" ca="1" si="9"/>
        <v/>
      </c>
      <c r="Z139" s="79"/>
    </row>
    <row r="140" spans="1:26" customFormat="1" ht="15">
      <c r="A140" s="232"/>
      <c r="B140" s="295">
        <v>102</v>
      </c>
      <c r="C140" s="265"/>
      <c r="D140" s="266"/>
      <c r="E140" s="256"/>
      <c r="F140" s="239"/>
      <c r="G140" s="246"/>
      <c r="H140" s="405">
        <v>126</v>
      </c>
      <c r="I140" s="424"/>
      <c r="J140" s="424"/>
      <c r="K140" s="436"/>
      <c r="L140" s="436"/>
      <c r="M140" s="424"/>
      <c r="N140" s="438"/>
      <c r="P140" s="455" t="str" cm="1">
        <f t="array" aca="1" ref="P140" ca="1">IF(AND($Q$12,B164&lt;=$C$17,C164&lt;&gt;""),TRANSPOSE(INDEX(GetCDS(C164,$C$6,$C$29,F164,D164,$C$13,$C$14,$C$15,$C$8,,,TRUE,TRUE,FALSE,$C$29:$C$31,$C$33),{1;2;3;4;5})),"")</f>
        <v/>
      </c>
      <c r="Q140" s="456"/>
      <c r="R140" s="456"/>
      <c r="S140" s="457"/>
      <c r="T140" s="458"/>
      <c r="U140" s="459" t="str">
        <f t="shared" ca="1" si="5"/>
        <v/>
      </c>
      <c r="V140" s="460" t="str">
        <f t="shared" ca="1" si="6"/>
        <v/>
      </c>
      <c r="W140" s="459" t="str">
        <f t="shared" ca="1" si="7"/>
        <v/>
      </c>
      <c r="X140" s="461" t="str">
        <f t="shared" ca="1" si="8"/>
        <v/>
      </c>
      <c r="Y140" s="460" t="str">
        <f t="shared" ca="1" si="9"/>
        <v/>
      </c>
      <c r="Z140" s="79"/>
    </row>
    <row r="141" spans="1:26" customFormat="1" ht="15">
      <c r="A141" s="232"/>
      <c r="B141" s="295">
        <v>103</v>
      </c>
      <c r="C141" s="265"/>
      <c r="D141" s="266"/>
      <c r="E141" s="256"/>
      <c r="F141" s="239"/>
      <c r="G141" s="246"/>
      <c r="H141" s="405">
        <v>127</v>
      </c>
      <c r="I141" s="424"/>
      <c r="J141" s="424"/>
      <c r="K141" s="436"/>
      <c r="L141" s="436"/>
      <c r="M141" s="424"/>
      <c r="N141" s="438"/>
      <c r="P141" s="455" t="str" cm="1">
        <f t="array" aca="1" ref="P141" ca="1">IF(AND($Q$12,B165&lt;=$C$17,C165&lt;&gt;""),TRANSPOSE(INDEX(GetCDS(C165,$C$6,$C$29,F165,D165,$C$13,$C$14,$C$15,$C$8,,,TRUE,TRUE,FALSE,$C$29:$C$31,$C$33),{1;2;3;4;5})),"")</f>
        <v/>
      </c>
      <c r="Q141" s="456"/>
      <c r="R141" s="456"/>
      <c r="S141" s="457"/>
      <c r="T141" s="458"/>
      <c r="U141" s="459" t="str">
        <f t="shared" ca="1" si="5"/>
        <v/>
      </c>
      <c r="V141" s="460" t="str">
        <f t="shared" ca="1" si="6"/>
        <v/>
      </c>
      <c r="W141" s="459" t="str">
        <f t="shared" ca="1" si="7"/>
        <v/>
      </c>
      <c r="X141" s="461" t="str">
        <f t="shared" ca="1" si="8"/>
        <v/>
      </c>
      <c r="Y141" s="460" t="str">
        <f t="shared" ca="1" si="9"/>
        <v/>
      </c>
      <c r="Z141" s="79"/>
    </row>
    <row r="142" spans="1:26" customFormat="1" ht="15">
      <c r="A142" s="232"/>
      <c r="B142" s="295">
        <v>104</v>
      </c>
      <c r="C142" s="265"/>
      <c r="D142" s="266"/>
      <c r="E142" s="256"/>
      <c r="F142" s="239"/>
      <c r="G142" s="246"/>
      <c r="H142" s="405">
        <v>128</v>
      </c>
      <c r="I142" s="424"/>
      <c r="J142" s="424"/>
      <c r="K142" s="436"/>
      <c r="L142" s="436"/>
      <c r="M142" s="424"/>
      <c r="N142" s="438"/>
      <c r="P142" s="455" t="str" cm="1">
        <f t="array" aca="1" ref="P142" ca="1">IF(AND($Q$12,B166&lt;=$C$17,C166&lt;&gt;""),TRANSPOSE(INDEX(GetCDS(C166,$C$6,$C$29,F166,D166,$C$13,$C$14,$C$15,$C$8,,,TRUE,TRUE,FALSE,$C$29:$C$31,$C$33),{1;2;3;4;5})),"")</f>
        <v/>
      </c>
      <c r="Q142" s="456"/>
      <c r="R142" s="456"/>
      <c r="S142" s="457"/>
      <c r="T142" s="458"/>
      <c r="U142" s="459" t="str">
        <f t="shared" ca="1" si="5"/>
        <v/>
      </c>
      <c r="V142" s="460" t="str">
        <f t="shared" ca="1" si="6"/>
        <v/>
      </c>
      <c r="W142" s="459" t="str">
        <f t="shared" ca="1" si="7"/>
        <v/>
      </c>
      <c r="X142" s="461" t="str">
        <f t="shared" ca="1" si="8"/>
        <v/>
      </c>
      <c r="Y142" s="460" t="str">
        <f t="shared" ca="1" si="9"/>
        <v/>
      </c>
      <c r="Z142" s="79"/>
    </row>
    <row r="143" spans="1:26" customFormat="1" ht="15">
      <c r="A143" s="232"/>
      <c r="B143" s="295">
        <v>105</v>
      </c>
      <c r="C143" s="265"/>
      <c r="D143" s="266"/>
      <c r="E143" s="256"/>
      <c r="F143" s="239"/>
      <c r="G143" s="246"/>
      <c r="H143" s="405">
        <v>129</v>
      </c>
      <c r="I143" s="424"/>
      <c r="J143" s="424"/>
      <c r="K143" s="436"/>
      <c r="L143" s="436"/>
      <c r="M143" s="424"/>
      <c r="N143" s="438"/>
      <c r="P143" s="455" t="str" cm="1">
        <f t="array" aca="1" ref="P143" ca="1">IF(AND($Q$12,B167&lt;=$C$17,C167&lt;&gt;""),TRANSPOSE(INDEX(GetCDS(C167,$C$6,$C$29,F167,D167,$C$13,$C$14,$C$15,$C$8,,,TRUE,TRUE,FALSE,$C$29:$C$31,$C$33),{1;2;3;4;5})),"")</f>
        <v/>
      </c>
      <c r="Q143" s="456"/>
      <c r="R143" s="456"/>
      <c r="S143" s="457"/>
      <c r="T143" s="458"/>
      <c r="U143" s="459" t="str">
        <f t="shared" ca="1" si="5"/>
        <v/>
      </c>
      <c r="V143" s="460" t="str">
        <f t="shared" ca="1" si="6"/>
        <v/>
      </c>
      <c r="W143" s="459" t="str">
        <f t="shared" ca="1" si="7"/>
        <v/>
      </c>
      <c r="X143" s="461" t="str">
        <f t="shared" ca="1" si="8"/>
        <v/>
      </c>
      <c r="Y143" s="460" t="str">
        <f t="shared" ca="1" si="9"/>
        <v/>
      </c>
      <c r="Z143" s="79"/>
    </row>
    <row r="144" spans="1:26" customFormat="1" ht="15">
      <c r="A144" s="232"/>
      <c r="B144" s="295">
        <v>106</v>
      </c>
      <c r="C144" s="265"/>
      <c r="D144" s="266"/>
      <c r="E144" s="256"/>
      <c r="F144" s="239"/>
      <c r="G144" s="246"/>
      <c r="H144" s="405">
        <v>130</v>
      </c>
      <c r="I144" s="424"/>
      <c r="J144" s="424"/>
      <c r="K144" s="436"/>
      <c r="L144" s="436"/>
      <c r="M144" s="424"/>
      <c r="N144" s="438"/>
      <c r="P144" s="455" t="str" cm="1">
        <f t="array" aca="1" ref="P144" ca="1">IF(AND($Q$12,B168&lt;=$C$17,C168&lt;&gt;""),TRANSPOSE(INDEX(GetCDS(C168,$C$6,$C$29,F168,D168,$C$13,$C$14,$C$15,$C$8,,,TRUE,TRUE,FALSE,$C$29:$C$31,$C$33),{1;2;3;4;5})),"")</f>
        <v/>
      </c>
      <c r="Q144" s="456"/>
      <c r="R144" s="456"/>
      <c r="S144" s="457"/>
      <c r="T144" s="458"/>
      <c r="U144" s="459" t="str">
        <f t="shared" ref="U144:U207" ca="1" si="10">IF($Q$12,IF(P144="","",$Q$13*D168/$C$18),"")</f>
        <v/>
      </c>
      <c r="V144" s="460" t="str">
        <f t="shared" ref="V144:V207" ca="1" si="11">IF($Q$12,IF(U144="","",U144*($V$10-S144)*T144),"")</f>
        <v/>
      </c>
      <c r="W144" s="459" t="str">
        <f t="shared" ref="W144:W207" ca="1" si="12">IF($Q$12,IF(OR(P144="",L144=""),"",L144/($C$20-$C$19)),"")</f>
        <v/>
      </c>
      <c r="X144" s="461" t="str">
        <f t="shared" ref="X144:X207" ca="1" si="13">IF($Q$12,IF(S144="","",S144*$Y$10),"")</f>
        <v/>
      </c>
      <c r="Y144" s="460" t="str">
        <f t="shared" ref="Y144:Y207" ca="1" si="14">IF($Q$12,IF(W144="","",W144*(X144-S144)*T144),"")</f>
        <v/>
      </c>
      <c r="Z144" s="79"/>
    </row>
    <row r="145" spans="1:26" customFormat="1" ht="15">
      <c r="A145" s="232"/>
      <c r="B145" s="295">
        <v>107</v>
      </c>
      <c r="C145" s="265"/>
      <c r="D145" s="266"/>
      <c r="E145" s="256"/>
      <c r="F145" s="239"/>
      <c r="G145" s="246"/>
      <c r="H145" s="405">
        <v>131</v>
      </c>
      <c r="I145" s="424"/>
      <c r="J145" s="424"/>
      <c r="K145" s="436"/>
      <c r="L145" s="436"/>
      <c r="M145" s="424"/>
      <c r="N145" s="438"/>
      <c r="P145" s="455" t="str" cm="1">
        <f t="array" aca="1" ref="P145" ca="1">IF(AND($Q$12,B169&lt;=$C$17,C169&lt;&gt;""),TRANSPOSE(INDEX(GetCDS(C169,$C$6,$C$29,F169,D169,$C$13,$C$14,$C$15,$C$8,,,TRUE,TRUE,FALSE,$C$29:$C$31,$C$33),{1;2;3;4;5})),"")</f>
        <v/>
      </c>
      <c r="Q145" s="456"/>
      <c r="R145" s="456"/>
      <c r="S145" s="457"/>
      <c r="T145" s="458"/>
      <c r="U145" s="459" t="str">
        <f t="shared" ca="1" si="10"/>
        <v/>
      </c>
      <c r="V145" s="460" t="str">
        <f t="shared" ca="1" si="11"/>
        <v/>
      </c>
      <c r="W145" s="459" t="str">
        <f t="shared" ca="1" si="12"/>
        <v/>
      </c>
      <c r="X145" s="461" t="str">
        <f t="shared" ca="1" si="13"/>
        <v/>
      </c>
      <c r="Y145" s="460" t="str">
        <f t="shared" ca="1" si="14"/>
        <v/>
      </c>
      <c r="Z145" s="79"/>
    </row>
    <row r="146" spans="1:26" customFormat="1" ht="15">
      <c r="A146" s="232"/>
      <c r="B146" s="295">
        <v>108</v>
      </c>
      <c r="C146" s="265"/>
      <c r="D146" s="266"/>
      <c r="E146" s="256"/>
      <c r="F146" s="239"/>
      <c r="G146" s="246"/>
      <c r="H146" s="405">
        <v>132</v>
      </c>
      <c r="I146" s="424"/>
      <c r="J146" s="424"/>
      <c r="K146" s="436"/>
      <c r="L146" s="436"/>
      <c r="M146" s="424"/>
      <c r="N146" s="438"/>
      <c r="P146" s="455" t="str" cm="1">
        <f t="array" aca="1" ref="P146" ca="1">IF(AND($Q$12,B170&lt;=$C$17,C170&lt;&gt;""),TRANSPOSE(INDEX(GetCDS(C170,$C$6,$C$29,F170,D170,$C$13,$C$14,$C$15,$C$8,,,TRUE,TRUE,FALSE,$C$29:$C$31,$C$33),{1;2;3;4;5})),"")</f>
        <v/>
      </c>
      <c r="Q146" s="456"/>
      <c r="R146" s="456"/>
      <c r="S146" s="457"/>
      <c r="T146" s="458"/>
      <c r="U146" s="459" t="str">
        <f t="shared" ca="1" si="10"/>
        <v/>
      </c>
      <c r="V146" s="460" t="str">
        <f t="shared" ca="1" si="11"/>
        <v/>
      </c>
      <c r="W146" s="459" t="str">
        <f t="shared" ca="1" si="12"/>
        <v/>
      </c>
      <c r="X146" s="461" t="str">
        <f t="shared" ca="1" si="13"/>
        <v/>
      </c>
      <c r="Y146" s="460" t="str">
        <f t="shared" ca="1" si="14"/>
        <v/>
      </c>
      <c r="Z146" s="79"/>
    </row>
    <row r="147" spans="1:26" customFormat="1" ht="15">
      <c r="A147" s="232"/>
      <c r="B147" s="295">
        <v>109</v>
      </c>
      <c r="C147" s="265"/>
      <c r="D147" s="266"/>
      <c r="E147" s="256"/>
      <c r="F147" s="239"/>
      <c r="G147" s="246"/>
      <c r="H147" s="405">
        <v>133</v>
      </c>
      <c r="I147" s="424"/>
      <c r="J147" s="424"/>
      <c r="K147" s="436"/>
      <c r="L147" s="436"/>
      <c r="M147" s="424"/>
      <c r="N147" s="438"/>
      <c r="P147" s="455" t="str" cm="1">
        <f t="array" aca="1" ref="P147" ca="1">IF(AND($Q$12,B171&lt;=$C$17,C171&lt;&gt;""),TRANSPOSE(INDEX(GetCDS(C171,$C$6,$C$29,F171,D171,$C$13,$C$14,$C$15,$C$8,,,TRUE,TRUE,FALSE,$C$29:$C$31,$C$33),{1;2;3;4;5})),"")</f>
        <v/>
      </c>
      <c r="Q147" s="456"/>
      <c r="R147" s="456"/>
      <c r="S147" s="457"/>
      <c r="T147" s="458"/>
      <c r="U147" s="459" t="str">
        <f t="shared" ca="1" si="10"/>
        <v/>
      </c>
      <c r="V147" s="460" t="str">
        <f t="shared" ca="1" si="11"/>
        <v/>
      </c>
      <c r="W147" s="459" t="str">
        <f t="shared" ca="1" si="12"/>
        <v/>
      </c>
      <c r="X147" s="461" t="str">
        <f t="shared" ca="1" si="13"/>
        <v/>
      </c>
      <c r="Y147" s="460" t="str">
        <f t="shared" ca="1" si="14"/>
        <v/>
      </c>
      <c r="Z147" s="79"/>
    </row>
    <row r="148" spans="1:26" customFormat="1" ht="15">
      <c r="A148" s="232"/>
      <c r="B148" s="295">
        <v>110</v>
      </c>
      <c r="C148" s="265"/>
      <c r="D148" s="266"/>
      <c r="E148" s="256"/>
      <c r="F148" s="239"/>
      <c r="G148" s="246"/>
      <c r="H148" s="405">
        <v>134</v>
      </c>
      <c r="I148" s="424"/>
      <c r="J148" s="424"/>
      <c r="K148" s="436"/>
      <c r="L148" s="436"/>
      <c r="M148" s="424"/>
      <c r="N148" s="438"/>
      <c r="P148" s="455" t="str" cm="1">
        <f t="array" aca="1" ref="P148" ca="1">IF(AND($Q$12,B172&lt;=$C$17,C172&lt;&gt;""),TRANSPOSE(INDEX(GetCDS(C172,$C$6,$C$29,F172,D172,$C$13,$C$14,$C$15,$C$8,,,TRUE,TRUE,FALSE,$C$29:$C$31,$C$33),{1;2;3;4;5})),"")</f>
        <v/>
      </c>
      <c r="Q148" s="456"/>
      <c r="R148" s="456"/>
      <c r="S148" s="457"/>
      <c r="T148" s="458"/>
      <c r="U148" s="459" t="str">
        <f t="shared" ca="1" si="10"/>
        <v/>
      </c>
      <c r="V148" s="460" t="str">
        <f t="shared" ca="1" si="11"/>
        <v/>
      </c>
      <c r="W148" s="459" t="str">
        <f t="shared" ca="1" si="12"/>
        <v/>
      </c>
      <c r="X148" s="461" t="str">
        <f t="shared" ca="1" si="13"/>
        <v/>
      </c>
      <c r="Y148" s="460" t="str">
        <f t="shared" ca="1" si="14"/>
        <v/>
      </c>
      <c r="Z148" s="79"/>
    </row>
    <row r="149" spans="1:26" customFormat="1" ht="15">
      <c r="A149" s="232"/>
      <c r="B149" s="295">
        <v>111</v>
      </c>
      <c r="C149" s="265"/>
      <c r="D149" s="266"/>
      <c r="E149" s="256"/>
      <c r="F149" s="239"/>
      <c r="G149" s="246"/>
      <c r="H149" s="405">
        <v>135</v>
      </c>
      <c r="I149" s="424"/>
      <c r="J149" s="424"/>
      <c r="K149" s="436"/>
      <c r="L149" s="436"/>
      <c r="M149" s="424"/>
      <c r="N149" s="438"/>
      <c r="P149" s="455" t="str" cm="1">
        <f t="array" aca="1" ref="P149" ca="1">IF(AND($Q$12,B173&lt;=$C$17,C173&lt;&gt;""),TRANSPOSE(INDEX(GetCDS(C173,$C$6,$C$29,F173,D173,$C$13,$C$14,$C$15,$C$8,,,TRUE,TRUE,FALSE,$C$29:$C$31,$C$33),{1;2;3;4;5})),"")</f>
        <v/>
      </c>
      <c r="Q149" s="456"/>
      <c r="R149" s="456"/>
      <c r="S149" s="457"/>
      <c r="T149" s="458"/>
      <c r="U149" s="459" t="str">
        <f t="shared" ca="1" si="10"/>
        <v/>
      </c>
      <c r="V149" s="460" t="str">
        <f t="shared" ca="1" si="11"/>
        <v/>
      </c>
      <c r="W149" s="459" t="str">
        <f t="shared" ca="1" si="12"/>
        <v/>
      </c>
      <c r="X149" s="461" t="str">
        <f t="shared" ca="1" si="13"/>
        <v/>
      </c>
      <c r="Y149" s="460" t="str">
        <f t="shared" ca="1" si="14"/>
        <v/>
      </c>
      <c r="Z149" s="79"/>
    </row>
    <row r="150" spans="1:26" customFormat="1" ht="15">
      <c r="A150" s="232"/>
      <c r="B150" s="295">
        <v>112</v>
      </c>
      <c r="C150" s="265"/>
      <c r="D150" s="266"/>
      <c r="E150" s="256"/>
      <c r="F150" s="239"/>
      <c r="G150" s="246"/>
      <c r="H150" s="405">
        <v>136</v>
      </c>
      <c r="I150" s="424"/>
      <c r="J150" s="424"/>
      <c r="K150" s="436"/>
      <c r="L150" s="436"/>
      <c r="M150" s="424"/>
      <c r="N150" s="438"/>
      <c r="P150" s="455" t="str" cm="1">
        <f t="array" aca="1" ref="P150" ca="1">IF(AND($Q$12,B174&lt;=$C$17,C174&lt;&gt;""),TRANSPOSE(INDEX(GetCDS(C174,$C$6,$C$29,F174,D174,$C$13,$C$14,$C$15,$C$8,,,TRUE,TRUE,FALSE,$C$29:$C$31,$C$33),{1;2;3;4;5})),"")</f>
        <v/>
      </c>
      <c r="Q150" s="456"/>
      <c r="R150" s="456"/>
      <c r="S150" s="457"/>
      <c r="T150" s="458"/>
      <c r="U150" s="459" t="str">
        <f t="shared" ca="1" si="10"/>
        <v/>
      </c>
      <c r="V150" s="460" t="str">
        <f t="shared" ca="1" si="11"/>
        <v/>
      </c>
      <c r="W150" s="459" t="str">
        <f t="shared" ca="1" si="12"/>
        <v/>
      </c>
      <c r="X150" s="461" t="str">
        <f t="shared" ca="1" si="13"/>
        <v/>
      </c>
      <c r="Y150" s="460" t="str">
        <f t="shared" ca="1" si="14"/>
        <v/>
      </c>
      <c r="Z150" s="79"/>
    </row>
    <row r="151" spans="1:26" customFormat="1" ht="15">
      <c r="A151" s="232"/>
      <c r="B151" s="295">
        <v>113</v>
      </c>
      <c r="C151" s="265"/>
      <c r="D151" s="266"/>
      <c r="E151" s="256"/>
      <c r="F151" s="239"/>
      <c r="G151" s="246"/>
      <c r="H151" s="405">
        <v>137</v>
      </c>
      <c r="I151" s="424"/>
      <c r="J151" s="424"/>
      <c r="K151" s="436"/>
      <c r="L151" s="436"/>
      <c r="M151" s="424"/>
      <c r="N151" s="438"/>
      <c r="P151" s="455" t="str" cm="1">
        <f t="array" aca="1" ref="P151" ca="1">IF(AND($Q$12,B175&lt;=$C$17,C175&lt;&gt;""),TRANSPOSE(INDEX(GetCDS(C175,$C$6,$C$29,F175,D175,$C$13,$C$14,$C$15,$C$8,,,TRUE,TRUE,FALSE,$C$29:$C$31,$C$33),{1;2;3;4;5})),"")</f>
        <v/>
      </c>
      <c r="Q151" s="456"/>
      <c r="R151" s="456"/>
      <c r="S151" s="457"/>
      <c r="T151" s="458"/>
      <c r="U151" s="459" t="str">
        <f t="shared" ca="1" si="10"/>
        <v/>
      </c>
      <c r="V151" s="460" t="str">
        <f t="shared" ca="1" si="11"/>
        <v/>
      </c>
      <c r="W151" s="459" t="str">
        <f t="shared" ca="1" si="12"/>
        <v/>
      </c>
      <c r="X151" s="461" t="str">
        <f t="shared" ca="1" si="13"/>
        <v/>
      </c>
      <c r="Y151" s="460" t="str">
        <f t="shared" ca="1" si="14"/>
        <v/>
      </c>
      <c r="Z151" s="79"/>
    </row>
    <row r="152" spans="1:26" customFormat="1" ht="15">
      <c r="A152" s="232"/>
      <c r="B152" s="295">
        <v>114</v>
      </c>
      <c r="C152" s="265"/>
      <c r="D152" s="266"/>
      <c r="E152" s="256"/>
      <c r="F152" s="239"/>
      <c r="G152" s="246"/>
      <c r="H152" s="405">
        <v>138</v>
      </c>
      <c r="I152" s="424"/>
      <c r="J152" s="424"/>
      <c r="K152" s="436"/>
      <c r="L152" s="436"/>
      <c r="M152" s="424"/>
      <c r="N152" s="438"/>
      <c r="P152" s="455" t="str" cm="1">
        <f t="array" aca="1" ref="P152" ca="1">IF(AND($Q$12,B176&lt;=$C$17,C176&lt;&gt;""),TRANSPOSE(INDEX(GetCDS(C176,$C$6,$C$29,F176,D176,$C$13,$C$14,$C$15,$C$8,,,TRUE,TRUE,FALSE,$C$29:$C$31,$C$33),{1;2;3;4;5})),"")</f>
        <v/>
      </c>
      <c r="Q152" s="456"/>
      <c r="R152" s="456"/>
      <c r="S152" s="457"/>
      <c r="T152" s="458"/>
      <c r="U152" s="459" t="str">
        <f t="shared" ca="1" si="10"/>
        <v/>
      </c>
      <c r="V152" s="460" t="str">
        <f t="shared" ca="1" si="11"/>
        <v/>
      </c>
      <c r="W152" s="459" t="str">
        <f t="shared" ca="1" si="12"/>
        <v/>
      </c>
      <c r="X152" s="461" t="str">
        <f t="shared" ca="1" si="13"/>
        <v/>
      </c>
      <c r="Y152" s="460" t="str">
        <f t="shared" ca="1" si="14"/>
        <v/>
      </c>
      <c r="Z152" s="79"/>
    </row>
    <row r="153" spans="1:26" customFormat="1" ht="15">
      <c r="A153" s="232"/>
      <c r="B153" s="295">
        <v>115</v>
      </c>
      <c r="C153" s="265"/>
      <c r="D153" s="266"/>
      <c r="E153" s="256"/>
      <c r="F153" s="239"/>
      <c r="G153" s="246"/>
      <c r="H153" s="405">
        <v>139</v>
      </c>
      <c r="I153" s="424"/>
      <c r="J153" s="424"/>
      <c r="K153" s="436"/>
      <c r="L153" s="436"/>
      <c r="M153" s="424"/>
      <c r="N153" s="438"/>
      <c r="P153" s="455" t="str" cm="1">
        <f t="array" aca="1" ref="P153" ca="1">IF(AND($Q$12,B177&lt;=$C$17,C177&lt;&gt;""),TRANSPOSE(INDEX(GetCDS(C177,$C$6,$C$29,F177,D177,$C$13,$C$14,$C$15,$C$8,,,TRUE,TRUE,FALSE,$C$29:$C$31,$C$33),{1;2;3;4;5})),"")</f>
        <v/>
      </c>
      <c r="Q153" s="456"/>
      <c r="R153" s="456"/>
      <c r="S153" s="457"/>
      <c r="T153" s="458"/>
      <c r="U153" s="459" t="str">
        <f t="shared" ca="1" si="10"/>
        <v/>
      </c>
      <c r="V153" s="460" t="str">
        <f t="shared" ca="1" si="11"/>
        <v/>
      </c>
      <c r="W153" s="459" t="str">
        <f t="shared" ca="1" si="12"/>
        <v/>
      </c>
      <c r="X153" s="461" t="str">
        <f t="shared" ca="1" si="13"/>
        <v/>
      </c>
      <c r="Y153" s="460" t="str">
        <f t="shared" ca="1" si="14"/>
        <v/>
      </c>
      <c r="Z153" s="79"/>
    </row>
    <row r="154" spans="1:26" customFormat="1" ht="15">
      <c r="A154" s="232"/>
      <c r="B154" s="295">
        <v>116</v>
      </c>
      <c r="C154" s="265"/>
      <c r="D154" s="266"/>
      <c r="E154" s="256"/>
      <c r="F154" s="239"/>
      <c r="G154" s="246"/>
      <c r="H154" s="405">
        <v>140</v>
      </c>
      <c r="I154" s="424"/>
      <c r="J154" s="424"/>
      <c r="K154" s="436"/>
      <c r="L154" s="436"/>
      <c r="M154" s="424"/>
      <c r="N154" s="438"/>
      <c r="P154" s="455" t="str" cm="1">
        <f t="array" aca="1" ref="P154" ca="1">IF(AND($Q$12,B178&lt;=$C$17,C178&lt;&gt;""),TRANSPOSE(INDEX(GetCDS(C178,$C$6,$C$29,F178,D178,$C$13,$C$14,$C$15,$C$8,,,TRUE,TRUE,FALSE,$C$29:$C$31,$C$33),{1;2;3;4;5})),"")</f>
        <v/>
      </c>
      <c r="Q154" s="456"/>
      <c r="R154" s="456"/>
      <c r="S154" s="457"/>
      <c r="T154" s="458"/>
      <c r="U154" s="459" t="str">
        <f t="shared" ca="1" si="10"/>
        <v/>
      </c>
      <c r="V154" s="460" t="str">
        <f t="shared" ca="1" si="11"/>
        <v/>
      </c>
      <c r="W154" s="459" t="str">
        <f t="shared" ca="1" si="12"/>
        <v/>
      </c>
      <c r="X154" s="461" t="str">
        <f t="shared" ca="1" si="13"/>
        <v/>
      </c>
      <c r="Y154" s="460" t="str">
        <f t="shared" ca="1" si="14"/>
        <v/>
      </c>
      <c r="Z154" s="79"/>
    </row>
    <row r="155" spans="1:26" customFormat="1" ht="15">
      <c r="A155" s="232"/>
      <c r="B155" s="295">
        <v>117</v>
      </c>
      <c r="C155" s="265"/>
      <c r="D155" s="266"/>
      <c r="E155" s="256"/>
      <c r="F155" s="239"/>
      <c r="G155" s="246"/>
      <c r="H155" s="405">
        <v>141</v>
      </c>
      <c r="I155" s="424"/>
      <c r="J155" s="424"/>
      <c r="K155" s="436"/>
      <c r="L155" s="436"/>
      <c r="M155" s="424"/>
      <c r="N155" s="438"/>
      <c r="P155" s="455" t="str" cm="1">
        <f t="array" aca="1" ref="P155" ca="1">IF(AND($Q$12,B179&lt;=$C$17,C179&lt;&gt;""),TRANSPOSE(INDEX(GetCDS(C179,$C$6,$C$29,F179,D179,$C$13,$C$14,$C$15,$C$8,,,TRUE,TRUE,FALSE,$C$29:$C$31,$C$33),{1;2;3;4;5})),"")</f>
        <v/>
      </c>
      <c r="Q155" s="456"/>
      <c r="R155" s="456"/>
      <c r="S155" s="457"/>
      <c r="T155" s="458"/>
      <c r="U155" s="459" t="str">
        <f t="shared" ca="1" si="10"/>
        <v/>
      </c>
      <c r="V155" s="460" t="str">
        <f t="shared" ca="1" si="11"/>
        <v/>
      </c>
      <c r="W155" s="459" t="str">
        <f t="shared" ca="1" si="12"/>
        <v/>
      </c>
      <c r="X155" s="461" t="str">
        <f t="shared" ca="1" si="13"/>
        <v/>
      </c>
      <c r="Y155" s="460" t="str">
        <f t="shared" ca="1" si="14"/>
        <v/>
      </c>
      <c r="Z155" s="79"/>
    </row>
    <row r="156" spans="1:26" customFormat="1" ht="15">
      <c r="A156" s="232"/>
      <c r="B156" s="295">
        <v>118</v>
      </c>
      <c r="C156" s="265"/>
      <c r="D156" s="266"/>
      <c r="E156" s="256"/>
      <c r="F156" s="239"/>
      <c r="G156" s="246"/>
      <c r="H156" s="405">
        <v>142</v>
      </c>
      <c r="I156" s="424"/>
      <c r="J156" s="424"/>
      <c r="K156" s="436"/>
      <c r="L156" s="436"/>
      <c r="M156" s="424"/>
      <c r="N156" s="438"/>
      <c r="P156" s="455" t="str" cm="1">
        <f t="array" aca="1" ref="P156" ca="1">IF(AND($Q$12,B180&lt;=$C$17,C180&lt;&gt;""),TRANSPOSE(INDEX(GetCDS(C180,$C$6,$C$29,F180,D180,$C$13,$C$14,$C$15,$C$8,,,TRUE,TRUE,FALSE,$C$29:$C$31,$C$33),{1;2;3;4;5})),"")</f>
        <v/>
      </c>
      <c r="Q156" s="456"/>
      <c r="R156" s="456"/>
      <c r="S156" s="457"/>
      <c r="T156" s="458"/>
      <c r="U156" s="459" t="str">
        <f t="shared" ca="1" si="10"/>
        <v/>
      </c>
      <c r="V156" s="460" t="str">
        <f t="shared" ca="1" si="11"/>
        <v/>
      </c>
      <c r="W156" s="459" t="str">
        <f t="shared" ca="1" si="12"/>
        <v/>
      </c>
      <c r="X156" s="461" t="str">
        <f t="shared" ca="1" si="13"/>
        <v/>
      </c>
      <c r="Y156" s="460" t="str">
        <f t="shared" ca="1" si="14"/>
        <v/>
      </c>
      <c r="Z156" s="79"/>
    </row>
    <row r="157" spans="1:26" customFormat="1" ht="15">
      <c r="A157" s="232"/>
      <c r="B157" s="295">
        <v>119</v>
      </c>
      <c r="C157" s="265"/>
      <c r="D157" s="266"/>
      <c r="E157" s="256"/>
      <c r="F157" s="239"/>
      <c r="G157" s="246"/>
      <c r="H157" s="405">
        <v>143</v>
      </c>
      <c r="I157" s="424"/>
      <c r="J157" s="424"/>
      <c r="K157" s="436"/>
      <c r="L157" s="436"/>
      <c r="M157" s="424"/>
      <c r="N157" s="438"/>
      <c r="P157" s="455" t="str" cm="1">
        <f t="array" aca="1" ref="P157" ca="1">IF(AND($Q$12,B181&lt;=$C$17,C181&lt;&gt;""),TRANSPOSE(INDEX(GetCDS(C181,$C$6,$C$29,F181,D181,$C$13,$C$14,$C$15,$C$8,,,TRUE,TRUE,FALSE,$C$29:$C$31,$C$33),{1;2;3;4;5})),"")</f>
        <v/>
      </c>
      <c r="Q157" s="456"/>
      <c r="R157" s="456"/>
      <c r="S157" s="457"/>
      <c r="T157" s="458"/>
      <c r="U157" s="459" t="str">
        <f t="shared" ca="1" si="10"/>
        <v/>
      </c>
      <c r="V157" s="460" t="str">
        <f t="shared" ca="1" si="11"/>
        <v/>
      </c>
      <c r="W157" s="459" t="str">
        <f t="shared" ca="1" si="12"/>
        <v/>
      </c>
      <c r="X157" s="461" t="str">
        <f t="shared" ca="1" si="13"/>
        <v/>
      </c>
      <c r="Y157" s="460" t="str">
        <f t="shared" ca="1" si="14"/>
        <v/>
      </c>
      <c r="Z157" s="79"/>
    </row>
    <row r="158" spans="1:26" customFormat="1" ht="15">
      <c r="A158" s="232"/>
      <c r="B158" s="295">
        <v>120</v>
      </c>
      <c r="C158" s="265"/>
      <c r="D158" s="266"/>
      <c r="E158" s="256"/>
      <c r="F158" s="239"/>
      <c r="G158" s="246"/>
      <c r="H158" s="405">
        <v>144</v>
      </c>
      <c r="I158" s="424"/>
      <c r="J158" s="424"/>
      <c r="K158" s="436"/>
      <c r="L158" s="436"/>
      <c r="M158" s="424"/>
      <c r="N158" s="438"/>
      <c r="P158" s="455" t="str" cm="1">
        <f t="array" aca="1" ref="P158" ca="1">IF(AND($Q$12,B182&lt;=$C$17,C182&lt;&gt;""),TRANSPOSE(INDEX(GetCDS(C182,$C$6,$C$29,F182,D182,$C$13,$C$14,$C$15,$C$8,,,TRUE,TRUE,FALSE,$C$29:$C$31,$C$33),{1;2;3;4;5})),"")</f>
        <v/>
      </c>
      <c r="Q158" s="456"/>
      <c r="R158" s="456"/>
      <c r="S158" s="457"/>
      <c r="T158" s="458"/>
      <c r="U158" s="459" t="str">
        <f t="shared" ca="1" si="10"/>
        <v/>
      </c>
      <c r="V158" s="460" t="str">
        <f t="shared" ca="1" si="11"/>
        <v/>
      </c>
      <c r="W158" s="459" t="str">
        <f t="shared" ca="1" si="12"/>
        <v/>
      </c>
      <c r="X158" s="461" t="str">
        <f t="shared" ca="1" si="13"/>
        <v/>
      </c>
      <c r="Y158" s="460" t="str">
        <f t="shared" ca="1" si="14"/>
        <v/>
      </c>
      <c r="Z158" s="79"/>
    </row>
    <row r="159" spans="1:26" customFormat="1" ht="15">
      <c r="A159" s="232"/>
      <c r="B159" s="295">
        <v>121</v>
      </c>
      <c r="C159" s="265"/>
      <c r="D159" s="266"/>
      <c r="E159" s="256"/>
      <c r="F159" s="239"/>
      <c r="G159" s="246"/>
      <c r="H159" s="405">
        <v>145</v>
      </c>
      <c r="I159" s="424"/>
      <c r="J159" s="424"/>
      <c r="K159" s="436"/>
      <c r="L159" s="436"/>
      <c r="M159" s="424"/>
      <c r="N159" s="438"/>
      <c r="P159" s="455" t="str" cm="1">
        <f t="array" aca="1" ref="P159" ca="1">IF(AND($Q$12,B183&lt;=$C$17,C183&lt;&gt;""),TRANSPOSE(INDEX(GetCDS(C183,$C$6,$C$29,F183,D183,$C$13,$C$14,$C$15,$C$8,,,TRUE,TRUE,FALSE,$C$29:$C$31,$C$33),{1;2;3;4;5})),"")</f>
        <v/>
      </c>
      <c r="Q159" s="456"/>
      <c r="R159" s="456"/>
      <c r="S159" s="457"/>
      <c r="T159" s="458"/>
      <c r="U159" s="459" t="str">
        <f t="shared" ca="1" si="10"/>
        <v/>
      </c>
      <c r="V159" s="460" t="str">
        <f t="shared" ca="1" si="11"/>
        <v/>
      </c>
      <c r="W159" s="459" t="str">
        <f t="shared" ca="1" si="12"/>
        <v/>
      </c>
      <c r="X159" s="461" t="str">
        <f t="shared" ca="1" si="13"/>
        <v/>
      </c>
      <c r="Y159" s="460" t="str">
        <f t="shared" ca="1" si="14"/>
        <v/>
      </c>
      <c r="Z159" s="79"/>
    </row>
    <row r="160" spans="1:26" customFormat="1" ht="15">
      <c r="A160" s="232"/>
      <c r="B160" s="295">
        <v>122</v>
      </c>
      <c r="C160" s="265"/>
      <c r="D160" s="266"/>
      <c r="E160" s="256"/>
      <c r="F160" s="239"/>
      <c r="G160" s="246"/>
      <c r="H160" s="405">
        <v>146</v>
      </c>
      <c r="I160" s="424"/>
      <c r="J160" s="424"/>
      <c r="K160" s="436"/>
      <c r="L160" s="436"/>
      <c r="M160" s="424"/>
      <c r="N160" s="438"/>
      <c r="P160" s="455" t="str" cm="1">
        <f t="array" aca="1" ref="P160" ca="1">IF(AND($Q$12,B184&lt;=$C$17,C184&lt;&gt;""),TRANSPOSE(INDEX(GetCDS(C184,$C$6,$C$29,F184,D184,$C$13,$C$14,$C$15,$C$8,,,TRUE,TRUE,FALSE,$C$29:$C$31,$C$33),{1;2;3;4;5})),"")</f>
        <v/>
      </c>
      <c r="Q160" s="456"/>
      <c r="R160" s="456"/>
      <c r="S160" s="457"/>
      <c r="T160" s="458"/>
      <c r="U160" s="459" t="str">
        <f t="shared" ca="1" si="10"/>
        <v/>
      </c>
      <c r="V160" s="460" t="str">
        <f t="shared" ca="1" si="11"/>
        <v/>
      </c>
      <c r="W160" s="459" t="str">
        <f t="shared" ca="1" si="12"/>
        <v/>
      </c>
      <c r="X160" s="461" t="str">
        <f t="shared" ca="1" si="13"/>
        <v/>
      </c>
      <c r="Y160" s="460" t="str">
        <f t="shared" ca="1" si="14"/>
        <v/>
      </c>
      <c r="Z160" s="79"/>
    </row>
    <row r="161" spans="1:26" customFormat="1" ht="15">
      <c r="A161" s="232"/>
      <c r="B161" s="295">
        <v>123</v>
      </c>
      <c r="C161" s="265"/>
      <c r="D161" s="266"/>
      <c r="E161" s="256"/>
      <c r="F161" s="239"/>
      <c r="G161" s="246"/>
      <c r="H161" s="405">
        <v>147</v>
      </c>
      <c r="I161" s="424"/>
      <c r="J161" s="424"/>
      <c r="K161" s="436"/>
      <c r="L161" s="436"/>
      <c r="M161" s="424"/>
      <c r="N161" s="438"/>
      <c r="P161" s="455" t="str" cm="1">
        <f t="array" aca="1" ref="P161" ca="1">IF(AND($Q$12,B185&lt;=$C$17,C185&lt;&gt;""),TRANSPOSE(INDEX(GetCDS(C185,$C$6,$C$29,F185,D185,$C$13,$C$14,$C$15,$C$8,,,TRUE,TRUE,FALSE,$C$29:$C$31,$C$33),{1;2;3;4;5})),"")</f>
        <v/>
      </c>
      <c r="Q161" s="456"/>
      <c r="R161" s="456"/>
      <c r="S161" s="457"/>
      <c r="T161" s="458"/>
      <c r="U161" s="459" t="str">
        <f t="shared" ca="1" si="10"/>
        <v/>
      </c>
      <c r="V161" s="460" t="str">
        <f t="shared" ca="1" si="11"/>
        <v/>
      </c>
      <c r="W161" s="459" t="str">
        <f t="shared" ca="1" si="12"/>
        <v/>
      </c>
      <c r="X161" s="461" t="str">
        <f t="shared" ca="1" si="13"/>
        <v/>
      </c>
      <c r="Y161" s="460" t="str">
        <f t="shared" ca="1" si="14"/>
        <v/>
      </c>
      <c r="Z161" s="79"/>
    </row>
    <row r="162" spans="1:26" customFormat="1" ht="15">
      <c r="A162" s="232"/>
      <c r="B162" s="295">
        <v>124</v>
      </c>
      <c r="C162" s="265"/>
      <c r="D162" s="266"/>
      <c r="E162" s="256"/>
      <c r="F162" s="239"/>
      <c r="G162" s="246"/>
      <c r="H162" s="405">
        <v>148</v>
      </c>
      <c r="I162" s="424"/>
      <c r="J162" s="424"/>
      <c r="K162" s="436"/>
      <c r="L162" s="436"/>
      <c r="M162" s="424"/>
      <c r="N162" s="438"/>
      <c r="P162" s="455" t="str" cm="1">
        <f t="array" aca="1" ref="P162" ca="1">IF(AND($Q$12,B186&lt;=$C$17,C186&lt;&gt;""),TRANSPOSE(INDEX(GetCDS(C186,$C$6,$C$29,F186,D186,$C$13,$C$14,$C$15,$C$8,,,TRUE,TRUE,FALSE,$C$29:$C$31,$C$33),{1;2;3;4;5})),"")</f>
        <v/>
      </c>
      <c r="Q162" s="456"/>
      <c r="R162" s="456"/>
      <c r="S162" s="457"/>
      <c r="T162" s="458"/>
      <c r="U162" s="459" t="str">
        <f t="shared" ca="1" si="10"/>
        <v/>
      </c>
      <c r="V162" s="460" t="str">
        <f t="shared" ca="1" si="11"/>
        <v/>
      </c>
      <c r="W162" s="459" t="str">
        <f t="shared" ca="1" si="12"/>
        <v/>
      </c>
      <c r="X162" s="461" t="str">
        <f t="shared" ca="1" si="13"/>
        <v/>
      </c>
      <c r="Y162" s="460" t="str">
        <f t="shared" ca="1" si="14"/>
        <v/>
      </c>
      <c r="Z162" s="79"/>
    </row>
    <row r="163" spans="1:26" customFormat="1" ht="15">
      <c r="A163" s="232"/>
      <c r="B163" s="295">
        <v>125</v>
      </c>
      <c r="C163" s="265"/>
      <c r="D163" s="266"/>
      <c r="E163" s="256"/>
      <c r="F163" s="239"/>
      <c r="G163" s="246"/>
      <c r="H163" s="405">
        <v>149</v>
      </c>
      <c r="I163" s="424"/>
      <c r="J163" s="424"/>
      <c r="K163" s="436"/>
      <c r="L163" s="436"/>
      <c r="M163" s="436"/>
      <c r="N163" s="437"/>
      <c r="P163" s="455" t="str" cm="1">
        <f t="array" aca="1" ref="P163" ca="1">IF(AND($Q$12,B187&lt;=$C$17,C187&lt;&gt;""),TRANSPOSE(INDEX(GetCDS(C187,$C$6,$C$29,F187,D187,$C$13,$C$14,$C$15,$C$8,,,TRUE,TRUE,FALSE,$C$29:$C$31,$C$33),{1;2;3;4;5})),"")</f>
        <v/>
      </c>
      <c r="Q163" s="456"/>
      <c r="R163" s="456"/>
      <c r="S163" s="457"/>
      <c r="T163" s="458"/>
      <c r="U163" s="459" t="str">
        <f t="shared" ca="1" si="10"/>
        <v/>
      </c>
      <c r="V163" s="460" t="str">
        <f t="shared" ca="1" si="11"/>
        <v/>
      </c>
      <c r="W163" s="459" t="str">
        <f t="shared" ca="1" si="12"/>
        <v/>
      </c>
      <c r="X163" s="461" t="str">
        <f t="shared" ca="1" si="13"/>
        <v/>
      </c>
      <c r="Y163" s="460" t="str">
        <f t="shared" ca="1" si="14"/>
        <v/>
      </c>
      <c r="Z163" s="79"/>
    </row>
    <row r="164" spans="1:26" customFormat="1" ht="15">
      <c r="A164" s="232"/>
      <c r="B164" s="295">
        <v>126</v>
      </c>
      <c r="C164" s="265"/>
      <c r="D164" s="266"/>
      <c r="E164" s="256"/>
      <c r="F164" s="239"/>
      <c r="G164" s="246"/>
      <c r="H164" s="405">
        <v>150</v>
      </c>
      <c r="I164" s="424"/>
      <c r="J164" s="424"/>
      <c r="K164" s="436"/>
      <c r="L164" s="436"/>
      <c r="M164" s="436"/>
      <c r="N164" s="437"/>
      <c r="P164" s="455" t="str" cm="1">
        <f t="array" aca="1" ref="P164" ca="1">IF(AND($Q$12,B188&lt;=$C$17,C188&lt;&gt;""),TRANSPOSE(INDEX(GetCDS(C188,$C$6,$C$29,F188,D188,$C$13,$C$14,$C$15,$C$8,,,TRUE,TRUE,FALSE,$C$29:$C$31,$C$33),{1;2;3;4;5})),"")</f>
        <v/>
      </c>
      <c r="Q164" s="456"/>
      <c r="R164" s="456"/>
      <c r="S164" s="457"/>
      <c r="T164" s="458"/>
      <c r="U164" s="459" t="str">
        <f t="shared" ca="1" si="10"/>
        <v/>
      </c>
      <c r="V164" s="460" t="str">
        <f t="shared" ca="1" si="11"/>
        <v/>
      </c>
      <c r="W164" s="459" t="str">
        <f t="shared" ca="1" si="12"/>
        <v/>
      </c>
      <c r="X164" s="461" t="str">
        <f t="shared" ca="1" si="13"/>
        <v/>
      </c>
      <c r="Y164" s="460" t="str">
        <f t="shared" ca="1" si="14"/>
        <v/>
      </c>
      <c r="Z164" s="79"/>
    </row>
    <row r="165" spans="1:26" customFormat="1" ht="15">
      <c r="A165" s="232"/>
      <c r="B165" s="295">
        <v>127</v>
      </c>
      <c r="C165" s="265"/>
      <c r="D165" s="266"/>
      <c r="E165" s="256"/>
      <c r="F165" s="239"/>
      <c r="G165" s="246"/>
      <c r="H165" s="405">
        <v>151</v>
      </c>
      <c r="I165" s="424"/>
      <c r="J165" s="424"/>
      <c r="K165" s="436"/>
      <c r="L165" s="436"/>
      <c r="M165" s="436"/>
      <c r="N165" s="437"/>
      <c r="P165" s="455" t="str" cm="1">
        <f t="array" aca="1" ref="P165" ca="1">IF(AND($Q$12,B189&lt;=$C$17,C189&lt;&gt;""),TRANSPOSE(INDEX(GetCDS(C189,$C$6,$C$29,F189,D189,$C$13,$C$14,$C$15,$C$8,,,TRUE,TRUE,FALSE,$C$29:$C$31,$C$33),{1;2;3;4;5})),"")</f>
        <v/>
      </c>
      <c r="Q165" s="456"/>
      <c r="R165" s="456"/>
      <c r="S165" s="457"/>
      <c r="T165" s="458"/>
      <c r="U165" s="459" t="str">
        <f t="shared" ca="1" si="10"/>
        <v/>
      </c>
      <c r="V165" s="460" t="str">
        <f t="shared" ca="1" si="11"/>
        <v/>
      </c>
      <c r="W165" s="459" t="str">
        <f t="shared" ca="1" si="12"/>
        <v/>
      </c>
      <c r="X165" s="461" t="str">
        <f t="shared" ca="1" si="13"/>
        <v/>
      </c>
      <c r="Y165" s="460" t="str">
        <f t="shared" ca="1" si="14"/>
        <v/>
      </c>
      <c r="Z165" s="79"/>
    </row>
    <row r="166" spans="1:26" customFormat="1" ht="15">
      <c r="A166" s="232"/>
      <c r="B166" s="295">
        <v>128</v>
      </c>
      <c r="C166" s="265"/>
      <c r="D166" s="266"/>
      <c r="E166" s="256"/>
      <c r="F166" s="239"/>
      <c r="G166" s="246"/>
      <c r="H166" s="405">
        <v>152</v>
      </c>
      <c r="I166" s="424"/>
      <c r="J166" s="424"/>
      <c r="K166" s="436"/>
      <c r="L166" s="436"/>
      <c r="M166" s="436"/>
      <c r="N166" s="437"/>
      <c r="P166" s="455" t="str" cm="1">
        <f t="array" aca="1" ref="P166" ca="1">IF(AND($Q$12,B190&lt;=$C$17,C190&lt;&gt;""),TRANSPOSE(INDEX(GetCDS(C190,$C$6,$C$29,F190,D190,$C$13,$C$14,$C$15,$C$8,,,TRUE,TRUE,FALSE,$C$29:$C$31,$C$33),{1;2;3;4;5})),"")</f>
        <v/>
      </c>
      <c r="Q166" s="456"/>
      <c r="R166" s="456"/>
      <c r="S166" s="457"/>
      <c r="T166" s="458"/>
      <c r="U166" s="459" t="str">
        <f t="shared" ca="1" si="10"/>
        <v/>
      </c>
      <c r="V166" s="460" t="str">
        <f t="shared" ca="1" si="11"/>
        <v/>
      </c>
      <c r="W166" s="459" t="str">
        <f t="shared" ca="1" si="12"/>
        <v/>
      </c>
      <c r="X166" s="461" t="str">
        <f t="shared" ca="1" si="13"/>
        <v/>
      </c>
      <c r="Y166" s="460" t="str">
        <f t="shared" ca="1" si="14"/>
        <v/>
      </c>
      <c r="Z166" s="79"/>
    </row>
    <row r="167" spans="1:26" customFormat="1" ht="15">
      <c r="A167" s="232"/>
      <c r="B167" s="295">
        <v>129</v>
      </c>
      <c r="C167" s="265"/>
      <c r="D167" s="266"/>
      <c r="E167" s="256"/>
      <c r="F167" s="239"/>
      <c r="G167" s="246"/>
      <c r="H167" s="405">
        <v>153</v>
      </c>
      <c r="I167" s="424"/>
      <c r="J167" s="424"/>
      <c r="K167" s="436"/>
      <c r="L167" s="436"/>
      <c r="M167" s="436"/>
      <c r="N167" s="437"/>
      <c r="P167" s="455" t="str" cm="1">
        <f t="array" aca="1" ref="P167" ca="1">IF(AND($Q$12,B191&lt;=$C$17,C191&lt;&gt;""),TRANSPOSE(INDEX(GetCDS(C191,$C$6,$C$29,F191,D191,$C$13,$C$14,$C$15,$C$8,,,TRUE,TRUE,FALSE,$C$29:$C$31,$C$33),{1;2;3;4;5})),"")</f>
        <v/>
      </c>
      <c r="Q167" s="456"/>
      <c r="R167" s="456"/>
      <c r="S167" s="457"/>
      <c r="T167" s="458"/>
      <c r="U167" s="459" t="str">
        <f t="shared" ca="1" si="10"/>
        <v/>
      </c>
      <c r="V167" s="460" t="str">
        <f t="shared" ca="1" si="11"/>
        <v/>
      </c>
      <c r="W167" s="459" t="str">
        <f t="shared" ca="1" si="12"/>
        <v/>
      </c>
      <c r="X167" s="461" t="str">
        <f t="shared" ca="1" si="13"/>
        <v/>
      </c>
      <c r="Y167" s="460" t="str">
        <f t="shared" ca="1" si="14"/>
        <v/>
      </c>
      <c r="Z167" s="79"/>
    </row>
    <row r="168" spans="1:26" customFormat="1" ht="15">
      <c r="A168" s="232"/>
      <c r="B168" s="295">
        <v>130</v>
      </c>
      <c r="C168" s="265"/>
      <c r="D168" s="266"/>
      <c r="E168" s="256"/>
      <c r="F168" s="239"/>
      <c r="G168" s="246"/>
      <c r="H168" s="405">
        <v>154</v>
      </c>
      <c r="I168" s="424"/>
      <c r="J168" s="424"/>
      <c r="K168" s="436"/>
      <c r="L168" s="436"/>
      <c r="M168" s="436"/>
      <c r="N168" s="437"/>
      <c r="P168" s="455" t="str" cm="1">
        <f t="array" aca="1" ref="P168" ca="1">IF(AND($Q$12,B192&lt;=$C$17,C192&lt;&gt;""),TRANSPOSE(INDEX(GetCDS(C192,$C$6,$C$29,F192,D192,$C$13,$C$14,$C$15,$C$8,,,TRUE,TRUE,FALSE,$C$29:$C$31,$C$33),{1;2;3;4;5})),"")</f>
        <v/>
      </c>
      <c r="Q168" s="456"/>
      <c r="R168" s="456"/>
      <c r="S168" s="457"/>
      <c r="T168" s="458"/>
      <c r="U168" s="459" t="str">
        <f t="shared" ca="1" si="10"/>
        <v/>
      </c>
      <c r="V168" s="460" t="str">
        <f t="shared" ca="1" si="11"/>
        <v/>
      </c>
      <c r="W168" s="459" t="str">
        <f t="shared" ca="1" si="12"/>
        <v/>
      </c>
      <c r="X168" s="461" t="str">
        <f t="shared" ca="1" si="13"/>
        <v/>
      </c>
      <c r="Y168" s="460" t="str">
        <f t="shared" ca="1" si="14"/>
        <v/>
      </c>
      <c r="Z168" s="79"/>
    </row>
    <row r="169" spans="1:26" customFormat="1" ht="15">
      <c r="A169" s="232"/>
      <c r="B169" s="295">
        <v>131</v>
      </c>
      <c r="C169" s="265"/>
      <c r="D169" s="266"/>
      <c r="E169" s="256"/>
      <c r="F169" s="239"/>
      <c r="G169" s="246"/>
      <c r="H169" s="405">
        <v>155</v>
      </c>
      <c r="I169" s="424"/>
      <c r="J169" s="424"/>
      <c r="K169" s="436"/>
      <c r="L169" s="436"/>
      <c r="M169" s="436"/>
      <c r="N169" s="437"/>
      <c r="P169" s="455" t="str" cm="1">
        <f t="array" aca="1" ref="P169" ca="1">IF(AND($Q$12,B193&lt;=$C$17,C193&lt;&gt;""),TRANSPOSE(INDEX(GetCDS(C193,$C$6,$C$29,F193,D193,$C$13,$C$14,$C$15,$C$8,,,TRUE,TRUE,FALSE,$C$29:$C$31,$C$33),{1;2;3;4;5})),"")</f>
        <v/>
      </c>
      <c r="Q169" s="456"/>
      <c r="R169" s="456"/>
      <c r="S169" s="457"/>
      <c r="T169" s="458"/>
      <c r="U169" s="459" t="str">
        <f t="shared" ca="1" si="10"/>
        <v/>
      </c>
      <c r="V169" s="460" t="str">
        <f t="shared" ca="1" si="11"/>
        <v/>
      </c>
      <c r="W169" s="459" t="str">
        <f t="shared" ca="1" si="12"/>
        <v/>
      </c>
      <c r="X169" s="461" t="str">
        <f t="shared" ca="1" si="13"/>
        <v/>
      </c>
      <c r="Y169" s="460" t="str">
        <f t="shared" ca="1" si="14"/>
        <v/>
      </c>
      <c r="Z169" s="79"/>
    </row>
    <row r="170" spans="1:26" customFormat="1" ht="15">
      <c r="A170" s="232"/>
      <c r="B170" s="295">
        <v>132</v>
      </c>
      <c r="C170" s="265"/>
      <c r="D170" s="266"/>
      <c r="E170" s="256"/>
      <c r="F170" s="239"/>
      <c r="G170" s="246"/>
      <c r="H170" s="405">
        <v>156</v>
      </c>
      <c r="I170" s="424"/>
      <c r="J170" s="424"/>
      <c r="K170" s="436"/>
      <c r="L170" s="436"/>
      <c r="M170" s="436"/>
      <c r="N170" s="437"/>
      <c r="P170" s="455" t="str" cm="1">
        <f t="array" aca="1" ref="P170" ca="1">IF(AND($Q$12,B194&lt;=$C$17,C194&lt;&gt;""),TRANSPOSE(INDEX(GetCDS(C194,$C$6,$C$29,F194,D194,$C$13,$C$14,$C$15,$C$8,,,TRUE,TRUE,FALSE,$C$29:$C$31,$C$33),{1;2;3;4;5})),"")</f>
        <v/>
      </c>
      <c r="Q170" s="456"/>
      <c r="R170" s="456"/>
      <c r="S170" s="457"/>
      <c r="T170" s="458"/>
      <c r="U170" s="459" t="str">
        <f t="shared" ca="1" si="10"/>
        <v/>
      </c>
      <c r="V170" s="460" t="str">
        <f t="shared" ca="1" si="11"/>
        <v/>
      </c>
      <c r="W170" s="459" t="str">
        <f t="shared" ca="1" si="12"/>
        <v/>
      </c>
      <c r="X170" s="461" t="str">
        <f t="shared" ca="1" si="13"/>
        <v/>
      </c>
      <c r="Y170" s="460" t="str">
        <f t="shared" ca="1" si="14"/>
        <v/>
      </c>
      <c r="Z170" s="79"/>
    </row>
    <row r="171" spans="1:26" customFormat="1" ht="15">
      <c r="A171" s="232"/>
      <c r="B171" s="295">
        <v>133</v>
      </c>
      <c r="C171" s="265"/>
      <c r="D171" s="266"/>
      <c r="E171" s="256"/>
      <c r="F171" s="239"/>
      <c r="G171" s="246"/>
      <c r="H171" s="405">
        <v>157</v>
      </c>
      <c r="I171" s="424"/>
      <c r="J171" s="424"/>
      <c r="K171" s="436"/>
      <c r="L171" s="436"/>
      <c r="M171" s="436"/>
      <c r="N171" s="437"/>
      <c r="P171" s="455" t="str" cm="1">
        <f t="array" aca="1" ref="P171" ca="1">IF(AND($Q$12,B195&lt;=$C$17,C195&lt;&gt;""),TRANSPOSE(INDEX(GetCDS(C195,$C$6,$C$29,F195,D195,$C$13,$C$14,$C$15,$C$8,,,TRUE,TRUE,FALSE,$C$29:$C$31,$C$33),{1;2;3;4;5})),"")</f>
        <v/>
      </c>
      <c r="Q171" s="456"/>
      <c r="R171" s="456"/>
      <c r="S171" s="457"/>
      <c r="T171" s="458"/>
      <c r="U171" s="459" t="str">
        <f t="shared" ca="1" si="10"/>
        <v/>
      </c>
      <c r="V171" s="460" t="str">
        <f t="shared" ca="1" si="11"/>
        <v/>
      </c>
      <c r="W171" s="459" t="str">
        <f t="shared" ca="1" si="12"/>
        <v/>
      </c>
      <c r="X171" s="461" t="str">
        <f t="shared" ca="1" si="13"/>
        <v/>
      </c>
      <c r="Y171" s="460" t="str">
        <f t="shared" ca="1" si="14"/>
        <v/>
      </c>
      <c r="Z171" s="79"/>
    </row>
    <row r="172" spans="1:26" customFormat="1" ht="15">
      <c r="A172" s="232"/>
      <c r="B172" s="295">
        <v>134</v>
      </c>
      <c r="C172" s="265"/>
      <c r="D172" s="266"/>
      <c r="E172" s="256"/>
      <c r="F172" s="239"/>
      <c r="G172" s="246"/>
      <c r="H172" s="405">
        <v>158</v>
      </c>
      <c r="I172" s="424"/>
      <c r="J172" s="424"/>
      <c r="K172" s="436"/>
      <c r="L172" s="436"/>
      <c r="M172" s="436"/>
      <c r="N172" s="437"/>
      <c r="P172" s="455" t="str" cm="1">
        <f t="array" aca="1" ref="P172" ca="1">IF(AND($Q$12,B196&lt;=$C$17,C196&lt;&gt;""),TRANSPOSE(INDEX(GetCDS(C196,$C$6,$C$29,F196,D196,$C$13,$C$14,$C$15,$C$8,,,TRUE,TRUE,FALSE,$C$29:$C$31,$C$33),{1;2;3;4;5})),"")</f>
        <v/>
      </c>
      <c r="Q172" s="456"/>
      <c r="R172" s="456"/>
      <c r="S172" s="457"/>
      <c r="T172" s="458"/>
      <c r="U172" s="459" t="str">
        <f t="shared" ca="1" si="10"/>
        <v/>
      </c>
      <c r="V172" s="460" t="str">
        <f t="shared" ca="1" si="11"/>
        <v/>
      </c>
      <c r="W172" s="459" t="str">
        <f t="shared" ca="1" si="12"/>
        <v/>
      </c>
      <c r="X172" s="461" t="str">
        <f t="shared" ca="1" si="13"/>
        <v/>
      </c>
      <c r="Y172" s="460" t="str">
        <f t="shared" ca="1" si="14"/>
        <v/>
      </c>
      <c r="Z172" s="79"/>
    </row>
    <row r="173" spans="1:26" customFormat="1" ht="15">
      <c r="A173" s="232"/>
      <c r="B173" s="295">
        <v>135</v>
      </c>
      <c r="C173" s="265"/>
      <c r="D173" s="266"/>
      <c r="E173" s="256"/>
      <c r="F173" s="239"/>
      <c r="G173" s="246"/>
      <c r="H173" s="405">
        <v>159</v>
      </c>
      <c r="I173" s="424"/>
      <c r="J173" s="424"/>
      <c r="K173" s="436"/>
      <c r="L173" s="436"/>
      <c r="M173" s="436"/>
      <c r="N173" s="437"/>
      <c r="P173" s="455" t="str" cm="1">
        <f t="array" aca="1" ref="P173" ca="1">IF(AND($Q$12,B197&lt;=$C$17,C197&lt;&gt;""),TRANSPOSE(INDEX(GetCDS(C197,$C$6,$C$29,F197,D197,$C$13,$C$14,$C$15,$C$8,,,TRUE,TRUE,FALSE,$C$29:$C$31,$C$33),{1;2;3;4;5})),"")</f>
        <v/>
      </c>
      <c r="Q173" s="456"/>
      <c r="R173" s="456"/>
      <c r="S173" s="457"/>
      <c r="T173" s="458"/>
      <c r="U173" s="459" t="str">
        <f t="shared" ca="1" si="10"/>
        <v/>
      </c>
      <c r="V173" s="460" t="str">
        <f t="shared" ca="1" si="11"/>
        <v/>
      </c>
      <c r="W173" s="459" t="str">
        <f t="shared" ca="1" si="12"/>
        <v/>
      </c>
      <c r="X173" s="461" t="str">
        <f t="shared" ca="1" si="13"/>
        <v/>
      </c>
      <c r="Y173" s="460" t="str">
        <f t="shared" ca="1" si="14"/>
        <v/>
      </c>
      <c r="Z173" s="79"/>
    </row>
    <row r="174" spans="1:26" customFormat="1" ht="15">
      <c r="A174" s="232"/>
      <c r="B174" s="295">
        <v>136</v>
      </c>
      <c r="C174" s="265"/>
      <c r="D174" s="266"/>
      <c r="E174" s="256"/>
      <c r="F174" s="239"/>
      <c r="G174" s="246"/>
      <c r="H174" s="405">
        <v>160</v>
      </c>
      <c r="I174" s="424"/>
      <c r="J174" s="424"/>
      <c r="K174" s="436"/>
      <c r="L174" s="436"/>
      <c r="M174" s="436"/>
      <c r="N174" s="437"/>
      <c r="P174" s="455" t="str" cm="1">
        <f t="array" aca="1" ref="P174" ca="1">IF(AND($Q$12,B198&lt;=$C$17,C198&lt;&gt;""),TRANSPOSE(INDEX(GetCDS(C198,$C$6,$C$29,F198,D198,$C$13,$C$14,$C$15,$C$8,,,TRUE,TRUE,FALSE,$C$29:$C$31,$C$33),{1;2;3;4;5})),"")</f>
        <v/>
      </c>
      <c r="Q174" s="456"/>
      <c r="R174" s="456"/>
      <c r="S174" s="457"/>
      <c r="T174" s="458"/>
      <c r="U174" s="459" t="str">
        <f t="shared" ca="1" si="10"/>
        <v/>
      </c>
      <c r="V174" s="460" t="str">
        <f t="shared" ca="1" si="11"/>
        <v/>
      </c>
      <c r="W174" s="459" t="str">
        <f t="shared" ca="1" si="12"/>
        <v/>
      </c>
      <c r="X174" s="461" t="str">
        <f t="shared" ca="1" si="13"/>
        <v/>
      </c>
      <c r="Y174" s="460" t="str">
        <f t="shared" ca="1" si="14"/>
        <v/>
      </c>
      <c r="Z174" s="79"/>
    </row>
    <row r="175" spans="1:26" customFormat="1" ht="15">
      <c r="A175" s="232"/>
      <c r="B175" s="295">
        <v>137</v>
      </c>
      <c r="C175" s="265"/>
      <c r="D175" s="266"/>
      <c r="E175" s="256"/>
      <c r="F175" s="239"/>
      <c r="G175" s="246"/>
      <c r="H175" s="405">
        <v>161</v>
      </c>
      <c r="I175" s="424"/>
      <c r="J175" s="424"/>
      <c r="K175" s="436"/>
      <c r="L175" s="436"/>
      <c r="M175" s="436"/>
      <c r="N175" s="437"/>
      <c r="P175" s="455" t="str" cm="1">
        <f t="array" aca="1" ref="P175" ca="1">IF(AND($Q$12,B199&lt;=$C$17,C199&lt;&gt;""),TRANSPOSE(INDEX(GetCDS(C199,$C$6,$C$29,F199,D199,$C$13,$C$14,$C$15,$C$8,,,TRUE,TRUE,FALSE,$C$29:$C$31,$C$33),{1;2;3;4;5})),"")</f>
        <v/>
      </c>
      <c r="Q175" s="456"/>
      <c r="R175" s="456"/>
      <c r="S175" s="457"/>
      <c r="T175" s="458"/>
      <c r="U175" s="459" t="str">
        <f t="shared" ca="1" si="10"/>
        <v/>
      </c>
      <c r="V175" s="460" t="str">
        <f t="shared" ca="1" si="11"/>
        <v/>
      </c>
      <c r="W175" s="459" t="str">
        <f t="shared" ca="1" si="12"/>
        <v/>
      </c>
      <c r="X175" s="461" t="str">
        <f t="shared" ca="1" si="13"/>
        <v/>
      </c>
      <c r="Y175" s="460" t="str">
        <f t="shared" ca="1" si="14"/>
        <v/>
      </c>
      <c r="Z175" s="79"/>
    </row>
    <row r="176" spans="1:26" customFormat="1" ht="15">
      <c r="A176" s="232"/>
      <c r="B176" s="295">
        <v>138</v>
      </c>
      <c r="C176" s="265"/>
      <c r="D176" s="266"/>
      <c r="E176" s="256"/>
      <c r="F176" s="239"/>
      <c r="G176" s="246"/>
      <c r="H176" s="405">
        <v>162</v>
      </c>
      <c r="I176" s="424"/>
      <c r="J176" s="424"/>
      <c r="K176" s="436"/>
      <c r="L176" s="436"/>
      <c r="M176" s="436"/>
      <c r="N176" s="437"/>
      <c r="P176" s="455" t="str" cm="1">
        <f t="array" aca="1" ref="P176" ca="1">IF(AND($Q$12,B200&lt;=$C$17,C200&lt;&gt;""),TRANSPOSE(INDEX(GetCDS(C200,$C$6,$C$29,F200,D200,$C$13,$C$14,$C$15,$C$8,,,TRUE,TRUE,FALSE,$C$29:$C$31,$C$33),{1;2;3;4;5})),"")</f>
        <v/>
      </c>
      <c r="Q176" s="456"/>
      <c r="R176" s="456"/>
      <c r="S176" s="457"/>
      <c r="T176" s="458"/>
      <c r="U176" s="459" t="str">
        <f t="shared" ca="1" si="10"/>
        <v/>
      </c>
      <c r="V176" s="460" t="str">
        <f t="shared" ca="1" si="11"/>
        <v/>
      </c>
      <c r="W176" s="459" t="str">
        <f t="shared" ca="1" si="12"/>
        <v/>
      </c>
      <c r="X176" s="461" t="str">
        <f t="shared" ca="1" si="13"/>
        <v/>
      </c>
      <c r="Y176" s="460" t="str">
        <f t="shared" ca="1" si="14"/>
        <v/>
      </c>
      <c r="Z176" s="79"/>
    </row>
    <row r="177" spans="1:26" customFormat="1" ht="15">
      <c r="A177" s="232"/>
      <c r="B177" s="295">
        <v>139</v>
      </c>
      <c r="C177" s="265"/>
      <c r="D177" s="266"/>
      <c r="E177" s="256"/>
      <c r="F177" s="239"/>
      <c r="G177" s="246"/>
      <c r="H177" s="405">
        <v>163</v>
      </c>
      <c r="I177" s="424"/>
      <c r="J177" s="424"/>
      <c r="K177" s="436"/>
      <c r="L177" s="436"/>
      <c r="M177" s="436"/>
      <c r="N177" s="437"/>
      <c r="P177" s="455" t="str" cm="1">
        <f t="array" aca="1" ref="P177" ca="1">IF(AND($Q$12,B201&lt;=$C$17,C201&lt;&gt;""),TRANSPOSE(INDEX(GetCDS(C201,$C$6,$C$29,F201,D201,$C$13,$C$14,$C$15,$C$8,,,TRUE,TRUE,FALSE,$C$29:$C$31,$C$33),{1;2;3;4;5})),"")</f>
        <v/>
      </c>
      <c r="Q177" s="456"/>
      <c r="R177" s="456"/>
      <c r="S177" s="457"/>
      <c r="T177" s="458"/>
      <c r="U177" s="459" t="str">
        <f t="shared" ca="1" si="10"/>
        <v/>
      </c>
      <c r="V177" s="460" t="str">
        <f t="shared" ca="1" si="11"/>
        <v/>
      </c>
      <c r="W177" s="459" t="str">
        <f t="shared" ca="1" si="12"/>
        <v/>
      </c>
      <c r="X177" s="461" t="str">
        <f t="shared" ca="1" si="13"/>
        <v/>
      </c>
      <c r="Y177" s="460" t="str">
        <f t="shared" ca="1" si="14"/>
        <v/>
      </c>
      <c r="Z177" s="79"/>
    </row>
    <row r="178" spans="1:26" customFormat="1" ht="15">
      <c r="A178" s="232"/>
      <c r="B178" s="295">
        <v>140</v>
      </c>
      <c r="C178" s="265"/>
      <c r="D178" s="266"/>
      <c r="E178" s="256"/>
      <c r="F178" s="239"/>
      <c r="G178" s="246"/>
      <c r="H178" s="405">
        <v>164</v>
      </c>
      <c r="I178" s="424"/>
      <c r="J178" s="424"/>
      <c r="K178" s="436"/>
      <c r="L178" s="436"/>
      <c r="M178" s="436"/>
      <c r="N178" s="437"/>
      <c r="P178" s="455" t="str" cm="1">
        <f t="array" aca="1" ref="P178" ca="1">IF(AND($Q$12,B202&lt;=$C$17,C202&lt;&gt;""),TRANSPOSE(INDEX(GetCDS(C202,$C$6,$C$29,F202,D202,$C$13,$C$14,$C$15,$C$8,,,TRUE,TRUE,FALSE,$C$29:$C$31,$C$33),{1;2;3;4;5})),"")</f>
        <v/>
      </c>
      <c r="Q178" s="456"/>
      <c r="R178" s="456"/>
      <c r="S178" s="457"/>
      <c r="T178" s="458"/>
      <c r="U178" s="459" t="str">
        <f t="shared" ca="1" si="10"/>
        <v/>
      </c>
      <c r="V178" s="460" t="str">
        <f t="shared" ca="1" si="11"/>
        <v/>
      </c>
      <c r="W178" s="459" t="str">
        <f t="shared" ca="1" si="12"/>
        <v/>
      </c>
      <c r="X178" s="461" t="str">
        <f t="shared" ca="1" si="13"/>
        <v/>
      </c>
      <c r="Y178" s="460" t="str">
        <f t="shared" ca="1" si="14"/>
        <v/>
      </c>
      <c r="Z178" s="79"/>
    </row>
    <row r="179" spans="1:26" customFormat="1" ht="15">
      <c r="A179" s="232"/>
      <c r="B179" s="295">
        <v>141</v>
      </c>
      <c r="C179" s="265"/>
      <c r="D179" s="266"/>
      <c r="E179" s="256"/>
      <c r="F179" s="239"/>
      <c r="G179" s="246"/>
      <c r="H179" s="405">
        <v>165</v>
      </c>
      <c r="I179" s="424"/>
      <c r="J179" s="424"/>
      <c r="K179" s="436"/>
      <c r="L179" s="436"/>
      <c r="M179" s="436"/>
      <c r="N179" s="437"/>
      <c r="P179" s="455" t="str" cm="1">
        <f t="array" aca="1" ref="P179" ca="1">IF(AND($Q$12,B203&lt;=$C$17,C203&lt;&gt;""),TRANSPOSE(INDEX(GetCDS(C203,$C$6,$C$29,F203,D203,$C$13,$C$14,$C$15,$C$8,,,TRUE,TRUE,FALSE,$C$29:$C$31,$C$33),{1;2;3;4;5})),"")</f>
        <v/>
      </c>
      <c r="Q179" s="456"/>
      <c r="R179" s="456"/>
      <c r="S179" s="457"/>
      <c r="T179" s="458"/>
      <c r="U179" s="459" t="str">
        <f t="shared" ca="1" si="10"/>
        <v/>
      </c>
      <c r="V179" s="460" t="str">
        <f t="shared" ca="1" si="11"/>
        <v/>
      </c>
      <c r="W179" s="459" t="str">
        <f t="shared" ca="1" si="12"/>
        <v/>
      </c>
      <c r="X179" s="461" t="str">
        <f t="shared" ca="1" si="13"/>
        <v/>
      </c>
      <c r="Y179" s="460" t="str">
        <f t="shared" ca="1" si="14"/>
        <v/>
      </c>
      <c r="Z179" s="79"/>
    </row>
    <row r="180" spans="1:26" customFormat="1" ht="15">
      <c r="A180" s="232"/>
      <c r="B180" s="295">
        <v>142</v>
      </c>
      <c r="C180" s="265"/>
      <c r="D180" s="266"/>
      <c r="E180" s="256"/>
      <c r="F180" s="239"/>
      <c r="G180" s="246"/>
      <c r="H180" s="405">
        <v>166</v>
      </c>
      <c r="I180" s="424"/>
      <c r="J180" s="424"/>
      <c r="K180" s="436"/>
      <c r="L180" s="436"/>
      <c r="M180" s="436"/>
      <c r="N180" s="437"/>
      <c r="P180" s="455" t="str" cm="1">
        <f t="array" aca="1" ref="P180" ca="1">IF(AND($Q$12,B204&lt;=$C$17,C204&lt;&gt;""),TRANSPOSE(INDEX(GetCDS(C204,$C$6,$C$29,F204,D204,$C$13,$C$14,$C$15,$C$8,,,TRUE,TRUE,FALSE,$C$29:$C$31,$C$33),{1;2;3;4;5})),"")</f>
        <v/>
      </c>
      <c r="Q180" s="456"/>
      <c r="R180" s="456"/>
      <c r="S180" s="457"/>
      <c r="T180" s="458"/>
      <c r="U180" s="459" t="str">
        <f t="shared" ca="1" si="10"/>
        <v/>
      </c>
      <c r="V180" s="460" t="str">
        <f t="shared" ca="1" si="11"/>
        <v/>
      </c>
      <c r="W180" s="459" t="str">
        <f t="shared" ca="1" si="12"/>
        <v/>
      </c>
      <c r="X180" s="461" t="str">
        <f t="shared" ca="1" si="13"/>
        <v/>
      </c>
      <c r="Y180" s="460" t="str">
        <f t="shared" ca="1" si="14"/>
        <v/>
      </c>
      <c r="Z180" s="79"/>
    </row>
    <row r="181" spans="1:26" customFormat="1" ht="15">
      <c r="A181" s="232"/>
      <c r="B181" s="295">
        <v>143</v>
      </c>
      <c r="C181" s="265"/>
      <c r="D181" s="266"/>
      <c r="E181" s="256"/>
      <c r="F181" s="239"/>
      <c r="G181" s="246"/>
      <c r="H181" s="405">
        <v>167</v>
      </c>
      <c r="I181" s="424"/>
      <c r="J181" s="424"/>
      <c r="K181" s="436"/>
      <c r="L181" s="436"/>
      <c r="M181" s="436"/>
      <c r="N181" s="437"/>
      <c r="P181" s="455" t="str" cm="1">
        <f t="array" aca="1" ref="P181" ca="1">IF(AND($Q$12,B205&lt;=$C$17,C205&lt;&gt;""),TRANSPOSE(INDEX(GetCDS(C205,$C$6,$C$29,F205,D205,$C$13,$C$14,$C$15,$C$8,,,TRUE,TRUE,FALSE,$C$29:$C$31,$C$33),{1;2;3;4;5})),"")</f>
        <v/>
      </c>
      <c r="Q181" s="456"/>
      <c r="R181" s="456"/>
      <c r="S181" s="457"/>
      <c r="T181" s="458"/>
      <c r="U181" s="459" t="str">
        <f t="shared" ca="1" si="10"/>
        <v/>
      </c>
      <c r="V181" s="460" t="str">
        <f t="shared" ca="1" si="11"/>
        <v/>
      </c>
      <c r="W181" s="459" t="str">
        <f t="shared" ca="1" si="12"/>
        <v/>
      </c>
      <c r="X181" s="461" t="str">
        <f t="shared" ca="1" si="13"/>
        <v/>
      </c>
      <c r="Y181" s="460" t="str">
        <f t="shared" ca="1" si="14"/>
        <v/>
      </c>
      <c r="Z181" s="79"/>
    </row>
    <row r="182" spans="1:26" customFormat="1" ht="15">
      <c r="A182" s="232"/>
      <c r="B182" s="295">
        <v>144</v>
      </c>
      <c r="C182" s="265"/>
      <c r="D182" s="266"/>
      <c r="E182" s="256"/>
      <c r="F182" s="239"/>
      <c r="G182" s="246"/>
      <c r="H182" s="405">
        <v>168</v>
      </c>
      <c r="I182" s="424"/>
      <c r="J182" s="424"/>
      <c r="K182" s="436"/>
      <c r="L182" s="436"/>
      <c r="M182" s="436"/>
      <c r="N182" s="437"/>
      <c r="P182" s="455" t="str" cm="1">
        <f t="array" aca="1" ref="P182" ca="1">IF(AND($Q$12,B206&lt;=$C$17,C206&lt;&gt;""),TRANSPOSE(INDEX(GetCDS(C206,$C$6,$C$29,F206,D206,$C$13,$C$14,$C$15,$C$8,,,TRUE,TRUE,FALSE,$C$29:$C$31,$C$33),{1;2;3;4;5})),"")</f>
        <v/>
      </c>
      <c r="Q182" s="456"/>
      <c r="R182" s="456"/>
      <c r="S182" s="457"/>
      <c r="T182" s="458"/>
      <c r="U182" s="459" t="str">
        <f t="shared" ca="1" si="10"/>
        <v/>
      </c>
      <c r="V182" s="460" t="str">
        <f t="shared" ca="1" si="11"/>
        <v/>
      </c>
      <c r="W182" s="459" t="str">
        <f t="shared" ca="1" si="12"/>
        <v/>
      </c>
      <c r="X182" s="461" t="str">
        <f t="shared" ca="1" si="13"/>
        <v/>
      </c>
      <c r="Y182" s="460" t="str">
        <f t="shared" ca="1" si="14"/>
        <v/>
      </c>
      <c r="Z182" s="79"/>
    </row>
    <row r="183" spans="1:26" customFormat="1" ht="15">
      <c r="A183" s="232"/>
      <c r="B183" s="295">
        <v>145</v>
      </c>
      <c r="C183" s="265"/>
      <c r="D183" s="266"/>
      <c r="E183" s="256"/>
      <c r="F183" s="239"/>
      <c r="G183" s="246"/>
      <c r="H183" s="405">
        <v>169</v>
      </c>
      <c r="I183" s="424"/>
      <c r="J183" s="424"/>
      <c r="K183" s="436"/>
      <c r="L183" s="436"/>
      <c r="M183" s="436"/>
      <c r="N183" s="437"/>
      <c r="P183" s="455" t="str" cm="1">
        <f t="array" aca="1" ref="P183" ca="1">IF(AND($Q$12,B207&lt;=$C$17,C207&lt;&gt;""),TRANSPOSE(INDEX(GetCDS(C207,$C$6,$C$29,F207,D207,$C$13,$C$14,$C$15,$C$8,,,TRUE,TRUE,FALSE,$C$29:$C$31,$C$33),{1;2;3;4;5})),"")</f>
        <v/>
      </c>
      <c r="Q183" s="456"/>
      <c r="R183" s="456"/>
      <c r="S183" s="457"/>
      <c r="T183" s="458"/>
      <c r="U183" s="459" t="str">
        <f t="shared" ca="1" si="10"/>
        <v/>
      </c>
      <c r="V183" s="460" t="str">
        <f t="shared" ca="1" si="11"/>
        <v/>
      </c>
      <c r="W183" s="459" t="str">
        <f t="shared" ca="1" si="12"/>
        <v/>
      </c>
      <c r="X183" s="461" t="str">
        <f t="shared" ca="1" si="13"/>
        <v/>
      </c>
      <c r="Y183" s="460" t="str">
        <f t="shared" ca="1" si="14"/>
        <v/>
      </c>
      <c r="Z183" s="79"/>
    </row>
    <row r="184" spans="1:26" customFormat="1" ht="15">
      <c r="A184" s="232"/>
      <c r="B184" s="295">
        <v>146</v>
      </c>
      <c r="C184" s="265"/>
      <c r="D184" s="266"/>
      <c r="E184" s="256"/>
      <c r="F184" s="239"/>
      <c r="G184" s="246"/>
      <c r="H184" s="405">
        <v>170</v>
      </c>
      <c r="I184" s="424"/>
      <c r="J184" s="424"/>
      <c r="K184" s="436"/>
      <c r="L184" s="436"/>
      <c r="M184" s="436"/>
      <c r="N184" s="437"/>
      <c r="P184" s="455" t="str" cm="1">
        <f t="array" aca="1" ref="P184" ca="1">IF(AND($Q$12,B208&lt;=$C$17,C208&lt;&gt;""),TRANSPOSE(INDEX(GetCDS(C208,$C$6,$C$29,F208,D208,$C$13,$C$14,$C$15,$C$8,,,TRUE,TRUE,FALSE,$C$29:$C$31,$C$33),{1;2;3;4;5})),"")</f>
        <v/>
      </c>
      <c r="Q184" s="456"/>
      <c r="R184" s="456"/>
      <c r="S184" s="457"/>
      <c r="T184" s="458"/>
      <c r="U184" s="459" t="str">
        <f t="shared" ca="1" si="10"/>
        <v/>
      </c>
      <c r="V184" s="460" t="str">
        <f t="shared" ca="1" si="11"/>
        <v/>
      </c>
      <c r="W184" s="459" t="str">
        <f t="shared" ca="1" si="12"/>
        <v/>
      </c>
      <c r="X184" s="461" t="str">
        <f t="shared" ca="1" si="13"/>
        <v/>
      </c>
      <c r="Y184" s="460" t="str">
        <f t="shared" ca="1" si="14"/>
        <v/>
      </c>
      <c r="Z184" s="79"/>
    </row>
    <row r="185" spans="1:26" customFormat="1" ht="15">
      <c r="A185" s="232"/>
      <c r="B185" s="295">
        <v>147</v>
      </c>
      <c r="C185" s="265"/>
      <c r="D185" s="266"/>
      <c r="E185" s="256"/>
      <c r="F185" s="239"/>
      <c r="G185" s="246"/>
      <c r="H185" s="405">
        <v>171</v>
      </c>
      <c r="I185" s="424"/>
      <c r="J185" s="424"/>
      <c r="K185" s="436"/>
      <c r="L185" s="436"/>
      <c r="M185" s="436"/>
      <c r="N185" s="437"/>
      <c r="P185" s="455" t="str" cm="1">
        <f t="array" aca="1" ref="P185" ca="1">IF(AND($Q$12,B209&lt;=$C$17,C209&lt;&gt;""),TRANSPOSE(INDEX(GetCDS(C209,$C$6,$C$29,F209,D209,$C$13,$C$14,$C$15,$C$8,,,TRUE,TRUE,FALSE,$C$29:$C$31,$C$33),{1;2;3;4;5})),"")</f>
        <v/>
      </c>
      <c r="Q185" s="456"/>
      <c r="R185" s="456"/>
      <c r="S185" s="457"/>
      <c r="T185" s="458"/>
      <c r="U185" s="459" t="str">
        <f t="shared" ca="1" si="10"/>
        <v/>
      </c>
      <c r="V185" s="460" t="str">
        <f t="shared" ca="1" si="11"/>
        <v/>
      </c>
      <c r="W185" s="459" t="str">
        <f t="shared" ca="1" si="12"/>
        <v/>
      </c>
      <c r="X185" s="461" t="str">
        <f t="shared" ca="1" si="13"/>
        <v/>
      </c>
      <c r="Y185" s="460" t="str">
        <f t="shared" ca="1" si="14"/>
        <v/>
      </c>
      <c r="Z185" s="79"/>
    </row>
    <row r="186" spans="1:26" customFormat="1" ht="15">
      <c r="A186" s="232"/>
      <c r="B186" s="295">
        <v>148</v>
      </c>
      <c r="C186" s="265"/>
      <c r="D186" s="266"/>
      <c r="E186" s="256"/>
      <c r="F186" s="239"/>
      <c r="G186" s="246"/>
      <c r="H186" s="405">
        <v>172</v>
      </c>
      <c r="I186" s="424"/>
      <c r="J186" s="424"/>
      <c r="K186" s="436"/>
      <c r="L186" s="436"/>
      <c r="M186" s="436"/>
      <c r="N186" s="437"/>
      <c r="P186" s="455" t="str" cm="1">
        <f t="array" aca="1" ref="P186" ca="1">IF(AND($Q$12,B210&lt;=$C$17,C210&lt;&gt;""),TRANSPOSE(INDEX(GetCDS(C210,$C$6,$C$29,F210,D210,$C$13,$C$14,$C$15,$C$8,,,TRUE,TRUE,FALSE,$C$29:$C$31,$C$33),{1;2;3;4;5})),"")</f>
        <v/>
      </c>
      <c r="Q186" s="456"/>
      <c r="R186" s="456"/>
      <c r="S186" s="457"/>
      <c r="T186" s="458"/>
      <c r="U186" s="459" t="str">
        <f t="shared" ca="1" si="10"/>
        <v/>
      </c>
      <c r="V186" s="460" t="str">
        <f t="shared" ca="1" si="11"/>
        <v/>
      </c>
      <c r="W186" s="459" t="str">
        <f t="shared" ca="1" si="12"/>
        <v/>
      </c>
      <c r="X186" s="461" t="str">
        <f t="shared" ca="1" si="13"/>
        <v/>
      </c>
      <c r="Y186" s="460" t="str">
        <f t="shared" ca="1" si="14"/>
        <v/>
      </c>
      <c r="Z186" s="79"/>
    </row>
    <row r="187" spans="1:26" customFormat="1" ht="15">
      <c r="A187" s="232"/>
      <c r="B187" s="295">
        <v>149</v>
      </c>
      <c r="C187" s="265"/>
      <c r="D187" s="266"/>
      <c r="E187" s="256"/>
      <c r="F187" s="239"/>
      <c r="G187" s="246"/>
      <c r="H187" s="405">
        <v>173</v>
      </c>
      <c r="I187" s="424"/>
      <c r="J187" s="424"/>
      <c r="K187" s="436"/>
      <c r="L187" s="436"/>
      <c r="M187" s="436"/>
      <c r="N187" s="437"/>
      <c r="P187" s="455" t="str" cm="1">
        <f t="array" aca="1" ref="P187" ca="1">IF(AND($Q$12,B211&lt;=$C$17,C211&lt;&gt;""),TRANSPOSE(INDEX(GetCDS(C211,$C$6,$C$29,F211,D211,$C$13,$C$14,$C$15,$C$8,,,TRUE,TRUE,FALSE,$C$29:$C$31,$C$33),{1;2;3;4;5})),"")</f>
        <v/>
      </c>
      <c r="Q187" s="456"/>
      <c r="R187" s="456"/>
      <c r="S187" s="457"/>
      <c r="T187" s="458"/>
      <c r="U187" s="459" t="str">
        <f t="shared" ca="1" si="10"/>
        <v/>
      </c>
      <c r="V187" s="460" t="str">
        <f t="shared" ca="1" si="11"/>
        <v/>
      </c>
      <c r="W187" s="459" t="str">
        <f t="shared" ca="1" si="12"/>
        <v/>
      </c>
      <c r="X187" s="461" t="str">
        <f t="shared" ca="1" si="13"/>
        <v/>
      </c>
      <c r="Y187" s="460" t="str">
        <f t="shared" ca="1" si="14"/>
        <v/>
      </c>
      <c r="Z187" s="79"/>
    </row>
    <row r="188" spans="1:26" customFormat="1" ht="15">
      <c r="A188" s="232"/>
      <c r="B188" s="295">
        <v>150</v>
      </c>
      <c r="C188" s="265"/>
      <c r="D188" s="266"/>
      <c r="E188" s="256"/>
      <c r="F188" s="239"/>
      <c r="G188" s="246"/>
      <c r="H188" s="405">
        <v>174</v>
      </c>
      <c r="I188" s="424"/>
      <c r="J188" s="424"/>
      <c r="K188" s="436"/>
      <c r="L188" s="436"/>
      <c r="M188" s="436"/>
      <c r="N188" s="437"/>
      <c r="P188" s="455" t="str" cm="1">
        <f t="array" aca="1" ref="P188" ca="1">IF(AND($Q$12,B212&lt;=$C$17,C212&lt;&gt;""),TRANSPOSE(INDEX(GetCDS(C212,$C$6,$C$29,F212,D212,$C$13,$C$14,$C$15,$C$8,,,TRUE,TRUE,FALSE,$C$29:$C$31,$C$33),{1;2;3;4;5})),"")</f>
        <v/>
      </c>
      <c r="Q188" s="456"/>
      <c r="R188" s="456"/>
      <c r="S188" s="457"/>
      <c r="T188" s="458"/>
      <c r="U188" s="459" t="str">
        <f t="shared" ca="1" si="10"/>
        <v/>
      </c>
      <c r="V188" s="460" t="str">
        <f t="shared" ca="1" si="11"/>
        <v/>
      </c>
      <c r="W188" s="459" t="str">
        <f t="shared" ca="1" si="12"/>
        <v/>
      </c>
      <c r="X188" s="461" t="str">
        <f t="shared" ca="1" si="13"/>
        <v/>
      </c>
      <c r="Y188" s="460" t="str">
        <f t="shared" ca="1" si="14"/>
        <v/>
      </c>
      <c r="Z188" s="79"/>
    </row>
    <row r="189" spans="1:26" customFormat="1" ht="15">
      <c r="A189" s="232"/>
      <c r="B189" s="295">
        <v>151</v>
      </c>
      <c r="C189" s="265"/>
      <c r="D189" s="266"/>
      <c r="E189" s="256"/>
      <c r="F189" s="239"/>
      <c r="G189" s="246"/>
      <c r="H189" s="405">
        <v>175</v>
      </c>
      <c r="I189" s="424"/>
      <c r="J189" s="424"/>
      <c r="K189" s="436"/>
      <c r="L189" s="436"/>
      <c r="M189" s="436"/>
      <c r="N189" s="437"/>
      <c r="P189" s="455" t="str" cm="1">
        <f t="array" aca="1" ref="P189" ca="1">IF(AND($Q$12,B213&lt;=$C$17,C213&lt;&gt;""),TRANSPOSE(INDEX(GetCDS(C213,$C$6,$C$29,F213,D213,$C$13,$C$14,$C$15,$C$8,,,TRUE,TRUE,FALSE,$C$29:$C$31,$C$33),{1;2;3;4;5})),"")</f>
        <v/>
      </c>
      <c r="Q189" s="456"/>
      <c r="R189" s="456"/>
      <c r="S189" s="457"/>
      <c r="T189" s="458"/>
      <c r="U189" s="459" t="str">
        <f t="shared" ca="1" si="10"/>
        <v/>
      </c>
      <c r="V189" s="460" t="str">
        <f t="shared" ca="1" si="11"/>
        <v/>
      </c>
      <c r="W189" s="459" t="str">
        <f t="shared" ca="1" si="12"/>
        <v/>
      </c>
      <c r="X189" s="461" t="str">
        <f t="shared" ca="1" si="13"/>
        <v/>
      </c>
      <c r="Y189" s="460" t="str">
        <f t="shared" ca="1" si="14"/>
        <v/>
      </c>
      <c r="Z189" s="79"/>
    </row>
    <row r="190" spans="1:26" customFormat="1" ht="15">
      <c r="A190" s="232"/>
      <c r="B190" s="295">
        <v>152</v>
      </c>
      <c r="C190" s="265"/>
      <c r="D190" s="266"/>
      <c r="E190" s="256"/>
      <c r="F190" s="239"/>
      <c r="G190" s="246"/>
      <c r="H190" s="405">
        <v>176</v>
      </c>
      <c r="I190" s="424"/>
      <c r="J190" s="424"/>
      <c r="K190" s="436"/>
      <c r="L190" s="436"/>
      <c r="M190" s="436"/>
      <c r="N190" s="437"/>
      <c r="P190" s="455" t="str" cm="1">
        <f t="array" aca="1" ref="P190" ca="1">IF(AND($Q$12,B214&lt;=$C$17,C214&lt;&gt;""),TRANSPOSE(INDEX(GetCDS(C214,$C$6,$C$29,F214,D214,$C$13,$C$14,$C$15,$C$8,,,TRUE,TRUE,FALSE,$C$29:$C$31,$C$33),{1;2;3;4;5})),"")</f>
        <v/>
      </c>
      <c r="Q190" s="456"/>
      <c r="R190" s="456"/>
      <c r="S190" s="457"/>
      <c r="T190" s="458"/>
      <c r="U190" s="459" t="str">
        <f t="shared" ca="1" si="10"/>
        <v/>
      </c>
      <c r="V190" s="460" t="str">
        <f t="shared" ca="1" si="11"/>
        <v/>
      </c>
      <c r="W190" s="459" t="str">
        <f t="shared" ca="1" si="12"/>
        <v/>
      </c>
      <c r="X190" s="461" t="str">
        <f t="shared" ca="1" si="13"/>
        <v/>
      </c>
      <c r="Y190" s="460" t="str">
        <f t="shared" ca="1" si="14"/>
        <v/>
      </c>
      <c r="Z190" s="79"/>
    </row>
    <row r="191" spans="1:26" customFormat="1" ht="15">
      <c r="A191" s="232"/>
      <c r="B191" s="295">
        <v>153</v>
      </c>
      <c r="C191" s="265"/>
      <c r="D191" s="266"/>
      <c r="E191" s="256"/>
      <c r="F191" s="239"/>
      <c r="G191" s="246"/>
      <c r="H191" s="405">
        <v>177</v>
      </c>
      <c r="I191" s="424"/>
      <c r="J191" s="424"/>
      <c r="K191" s="436"/>
      <c r="L191" s="436"/>
      <c r="M191" s="436"/>
      <c r="N191" s="437"/>
      <c r="P191" s="455" t="str" cm="1">
        <f t="array" aca="1" ref="P191" ca="1">IF(AND($Q$12,B215&lt;=$C$17,C215&lt;&gt;""),TRANSPOSE(INDEX(GetCDS(C215,$C$6,$C$29,F215,D215,$C$13,$C$14,$C$15,$C$8,,,TRUE,TRUE,FALSE,$C$29:$C$31,$C$33),{1;2;3;4;5})),"")</f>
        <v/>
      </c>
      <c r="Q191" s="456"/>
      <c r="R191" s="456"/>
      <c r="S191" s="457"/>
      <c r="T191" s="458"/>
      <c r="U191" s="459" t="str">
        <f t="shared" ca="1" si="10"/>
        <v/>
      </c>
      <c r="V191" s="460" t="str">
        <f t="shared" ca="1" si="11"/>
        <v/>
      </c>
      <c r="W191" s="459" t="str">
        <f t="shared" ca="1" si="12"/>
        <v/>
      </c>
      <c r="X191" s="461" t="str">
        <f t="shared" ca="1" si="13"/>
        <v/>
      </c>
      <c r="Y191" s="460" t="str">
        <f t="shared" ca="1" si="14"/>
        <v/>
      </c>
      <c r="Z191" s="79"/>
    </row>
    <row r="192" spans="1:26" customFormat="1" ht="15">
      <c r="A192" s="232"/>
      <c r="B192" s="295">
        <v>154</v>
      </c>
      <c r="C192" s="265"/>
      <c r="D192" s="266"/>
      <c r="E192" s="256"/>
      <c r="F192" s="239"/>
      <c r="G192" s="246"/>
      <c r="H192" s="405">
        <v>178</v>
      </c>
      <c r="I192" s="424"/>
      <c r="J192" s="424"/>
      <c r="K192" s="436"/>
      <c r="L192" s="436"/>
      <c r="M192" s="436"/>
      <c r="N192" s="437"/>
      <c r="P192" s="455" t="str" cm="1">
        <f t="array" aca="1" ref="P192" ca="1">IF(AND($Q$12,B216&lt;=$C$17,C216&lt;&gt;""),TRANSPOSE(INDEX(GetCDS(C216,$C$6,$C$29,F216,D216,$C$13,$C$14,$C$15,$C$8,,,TRUE,TRUE,FALSE,$C$29:$C$31,$C$33),{1;2;3;4;5})),"")</f>
        <v/>
      </c>
      <c r="Q192" s="456"/>
      <c r="R192" s="456"/>
      <c r="S192" s="457"/>
      <c r="T192" s="458"/>
      <c r="U192" s="459" t="str">
        <f t="shared" ca="1" si="10"/>
        <v/>
      </c>
      <c r="V192" s="460" t="str">
        <f t="shared" ca="1" si="11"/>
        <v/>
      </c>
      <c r="W192" s="459" t="str">
        <f t="shared" ca="1" si="12"/>
        <v/>
      </c>
      <c r="X192" s="461" t="str">
        <f t="shared" ca="1" si="13"/>
        <v/>
      </c>
      <c r="Y192" s="460" t="str">
        <f t="shared" ca="1" si="14"/>
        <v/>
      </c>
      <c r="Z192" s="79"/>
    </row>
    <row r="193" spans="1:26" customFormat="1" ht="15">
      <c r="A193" s="232"/>
      <c r="B193" s="295">
        <v>155</v>
      </c>
      <c r="C193" s="265"/>
      <c r="D193" s="266"/>
      <c r="E193" s="256"/>
      <c r="F193" s="239"/>
      <c r="G193" s="246"/>
      <c r="H193" s="405">
        <v>179</v>
      </c>
      <c r="I193" s="424"/>
      <c r="J193" s="424"/>
      <c r="K193" s="436"/>
      <c r="L193" s="436"/>
      <c r="M193" s="436"/>
      <c r="N193" s="437"/>
      <c r="P193" s="455" t="str" cm="1">
        <f t="array" aca="1" ref="P193" ca="1">IF(AND($Q$12,B217&lt;=$C$17,C217&lt;&gt;""),TRANSPOSE(INDEX(GetCDS(C217,$C$6,$C$29,F217,D217,$C$13,$C$14,$C$15,$C$8,,,TRUE,TRUE,FALSE,$C$29:$C$31,$C$33),{1;2;3;4;5})),"")</f>
        <v/>
      </c>
      <c r="Q193" s="456"/>
      <c r="R193" s="456"/>
      <c r="S193" s="457"/>
      <c r="T193" s="458"/>
      <c r="U193" s="459" t="str">
        <f t="shared" ca="1" si="10"/>
        <v/>
      </c>
      <c r="V193" s="460" t="str">
        <f t="shared" ca="1" si="11"/>
        <v/>
      </c>
      <c r="W193" s="459" t="str">
        <f t="shared" ca="1" si="12"/>
        <v/>
      </c>
      <c r="X193" s="461" t="str">
        <f t="shared" ca="1" si="13"/>
        <v/>
      </c>
      <c r="Y193" s="460" t="str">
        <f t="shared" ca="1" si="14"/>
        <v/>
      </c>
      <c r="Z193" s="79"/>
    </row>
    <row r="194" spans="1:26" customFormat="1" ht="15">
      <c r="A194" s="232"/>
      <c r="B194" s="295">
        <v>156</v>
      </c>
      <c r="C194" s="265"/>
      <c r="D194" s="266"/>
      <c r="E194" s="256"/>
      <c r="F194" s="239"/>
      <c r="G194" s="246"/>
      <c r="H194" s="405">
        <v>180</v>
      </c>
      <c r="I194" s="424"/>
      <c r="J194" s="424"/>
      <c r="K194" s="436"/>
      <c r="L194" s="436"/>
      <c r="M194" s="436"/>
      <c r="N194" s="437"/>
      <c r="P194" s="455" t="str" cm="1">
        <f t="array" aca="1" ref="P194" ca="1">IF(AND($Q$12,B218&lt;=$C$17,C218&lt;&gt;""),TRANSPOSE(INDEX(GetCDS(C218,$C$6,$C$29,F218,D218,$C$13,$C$14,$C$15,$C$8,,,TRUE,TRUE,FALSE,$C$29:$C$31,$C$33),{1;2;3;4;5})),"")</f>
        <v/>
      </c>
      <c r="Q194" s="456"/>
      <c r="R194" s="456"/>
      <c r="S194" s="457"/>
      <c r="T194" s="458"/>
      <c r="U194" s="459" t="str">
        <f t="shared" ca="1" si="10"/>
        <v/>
      </c>
      <c r="V194" s="460" t="str">
        <f t="shared" ca="1" si="11"/>
        <v/>
      </c>
      <c r="W194" s="459" t="str">
        <f t="shared" ca="1" si="12"/>
        <v/>
      </c>
      <c r="X194" s="461" t="str">
        <f t="shared" ca="1" si="13"/>
        <v/>
      </c>
      <c r="Y194" s="460" t="str">
        <f t="shared" ca="1" si="14"/>
        <v/>
      </c>
      <c r="Z194" s="79"/>
    </row>
    <row r="195" spans="1:26" customFormat="1" ht="15">
      <c r="A195" s="232"/>
      <c r="B195" s="295">
        <v>157</v>
      </c>
      <c r="C195" s="265"/>
      <c r="D195" s="266"/>
      <c r="E195" s="256"/>
      <c r="F195" s="239"/>
      <c r="G195" s="246"/>
      <c r="H195" s="405">
        <v>181</v>
      </c>
      <c r="I195" s="424"/>
      <c r="J195" s="424"/>
      <c r="K195" s="436"/>
      <c r="L195" s="436"/>
      <c r="M195" s="436"/>
      <c r="N195" s="437"/>
      <c r="P195" s="455" t="str" cm="1">
        <f t="array" aca="1" ref="P195" ca="1">IF(AND($Q$12,B219&lt;=$C$17,C219&lt;&gt;""),TRANSPOSE(INDEX(GetCDS(C219,$C$6,$C$29,F219,D219,$C$13,$C$14,$C$15,$C$8,,,TRUE,TRUE,FALSE,$C$29:$C$31,$C$33),{1;2;3;4;5})),"")</f>
        <v/>
      </c>
      <c r="Q195" s="456"/>
      <c r="R195" s="456"/>
      <c r="S195" s="457"/>
      <c r="T195" s="458"/>
      <c r="U195" s="459" t="str">
        <f t="shared" ca="1" si="10"/>
        <v/>
      </c>
      <c r="V195" s="460" t="str">
        <f t="shared" ca="1" si="11"/>
        <v/>
      </c>
      <c r="W195" s="459" t="str">
        <f t="shared" ca="1" si="12"/>
        <v/>
      </c>
      <c r="X195" s="461" t="str">
        <f t="shared" ca="1" si="13"/>
        <v/>
      </c>
      <c r="Y195" s="460" t="str">
        <f t="shared" ca="1" si="14"/>
        <v/>
      </c>
      <c r="Z195" s="79"/>
    </row>
    <row r="196" spans="1:26" customFormat="1" ht="15">
      <c r="A196" s="232"/>
      <c r="B196" s="295">
        <v>158</v>
      </c>
      <c r="C196" s="265"/>
      <c r="D196" s="266"/>
      <c r="E196" s="256"/>
      <c r="F196" s="239"/>
      <c r="G196" s="246"/>
      <c r="H196" s="405">
        <v>182</v>
      </c>
      <c r="I196" s="424"/>
      <c r="J196" s="424"/>
      <c r="K196" s="436"/>
      <c r="L196" s="436"/>
      <c r="M196" s="436"/>
      <c r="N196" s="437"/>
      <c r="P196" s="455" t="str" cm="1">
        <f t="array" aca="1" ref="P196" ca="1">IF(AND($Q$12,B220&lt;=$C$17,C220&lt;&gt;""),TRANSPOSE(INDEX(GetCDS(C220,$C$6,$C$29,F220,D220,$C$13,$C$14,$C$15,$C$8,,,TRUE,TRUE,FALSE,$C$29:$C$31,$C$33),{1;2;3;4;5})),"")</f>
        <v/>
      </c>
      <c r="Q196" s="456"/>
      <c r="R196" s="456"/>
      <c r="S196" s="457"/>
      <c r="T196" s="458"/>
      <c r="U196" s="459" t="str">
        <f t="shared" ca="1" si="10"/>
        <v/>
      </c>
      <c r="V196" s="460" t="str">
        <f t="shared" ca="1" si="11"/>
        <v/>
      </c>
      <c r="W196" s="459" t="str">
        <f t="shared" ca="1" si="12"/>
        <v/>
      </c>
      <c r="X196" s="461" t="str">
        <f t="shared" ca="1" si="13"/>
        <v/>
      </c>
      <c r="Y196" s="460" t="str">
        <f t="shared" ca="1" si="14"/>
        <v/>
      </c>
      <c r="Z196" s="79"/>
    </row>
    <row r="197" spans="1:26" customFormat="1" ht="15">
      <c r="A197" s="232"/>
      <c r="B197" s="295">
        <v>159</v>
      </c>
      <c r="C197" s="265"/>
      <c r="D197" s="266"/>
      <c r="E197" s="256"/>
      <c r="F197" s="239"/>
      <c r="G197" s="246"/>
      <c r="H197" s="405">
        <v>183</v>
      </c>
      <c r="I197" s="424"/>
      <c r="J197" s="424"/>
      <c r="K197" s="436"/>
      <c r="L197" s="436"/>
      <c r="M197" s="436"/>
      <c r="N197" s="437"/>
      <c r="P197" s="455" t="str" cm="1">
        <f t="array" aca="1" ref="P197" ca="1">IF(AND($Q$12,B221&lt;=$C$17,C221&lt;&gt;""),TRANSPOSE(INDEX(GetCDS(C221,$C$6,$C$29,F221,D221,$C$13,$C$14,$C$15,$C$8,,,TRUE,TRUE,FALSE,$C$29:$C$31,$C$33),{1;2;3;4;5})),"")</f>
        <v/>
      </c>
      <c r="Q197" s="456"/>
      <c r="R197" s="456"/>
      <c r="S197" s="457"/>
      <c r="T197" s="458"/>
      <c r="U197" s="459" t="str">
        <f t="shared" ca="1" si="10"/>
        <v/>
      </c>
      <c r="V197" s="460" t="str">
        <f t="shared" ca="1" si="11"/>
        <v/>
      </c>
      <c r="W197" s="459" t="str">
        <f t="shared" ca="1" si="12"/>
        <v/>
      </c>
      <c r="X197" s="461" t="str">
        <f t="shared" ca="1" si="13"/>
        <v/>
      </c>
      <c r="Y197" s="460" t="str">
        <f t="shared" ca="1" si="14"/>
        <v/>
      </c>
      <c r="Z197" s="79"/>
    </row>
    <row r="198" spans="1:26" customFormat="1" ht="15">
      <c r="A198" s="232"/>
      <c r="B198" s="295">
        <v>160</v>
      </c>
      <c r="C198" s="265"/>
      <c r="D198" s="266"/>
      <c r="E198" s="256"/>
      <c r="F198" s="239"/>
      <c r="G198" s="246"/>
      <c r="H198" s="405">
        <v>184</v>
      </c>
      <c r="I198" s="424"/>
      <c r="J198" s="424"/>
      <c r="K198" s="436"/>
      <c r="L198" s="436"/>
      <c r="M198" s="436"/>
      <c r="N198" s="437"/>
      <c r="P198" s="455" t="str" cm="1">
        <f t="array" aca="1" ref="P198" ca="1">IF(AND($Q$12,B222&lt;=$C$17,C222&lt;&gt;""),TRANSPOSE(INDEX(GetCDS(C222,$C$6,$C$29,F222,D222,$C$13,$C$14,$C$15,$C$8,,,TRUE,TRUE,FALSE,$C$29:$C$31,$C$33),{1;2;3;4;5})),"")</f>
        <v/>
      </c>
      <c r="Q198" s="456"/>
      <c r="R198" s="456"/>
      <c r="S198" s="457"/>
      <c r="T198" s="458"/>
      <c r="U198" s="459" t="str">
        <f t="shared" ca="1" si="10"/>
        <v/>
      </c>
      <c r="V198" s="460" t="str">
        <f t="shared" ca="1" si="11"/>
        <v/>
      </c>
      <c r="W198" s="459" t="str">
        <f t="shared" ca="1" si="12"/>
        <v/>
      </c>
      <c r="X198" s="461" t="str">
        <f t="shared" ca="1" si="13"/>
        <v/>
      </c>
      <c r="Y198" s="460" t="str">
        <f t="shared" ca="1" si="14"/>
        <v/>
      </c>
      <c r="Z198" s="79"/>
    </row>
    <row r="199" spans="1:26" customFormat="1" ht="15">
      <c r="A199" s="232"/>
      <c r="B199" s="295">
        <v>161</v>
      </c>
      <c r="C199" s="265"/>
      <c r="D199" s="266"/>
      <c r="E199" s="256"/>
      <c r="F199" s="239"/>
      <c r="G199" s="246"/>
      <c r="H199" s="405">
        <v>185</v>
      </c>
      <c r="I199" s="424"/>
      <c r="J199" s="424"/>
      <c r="K199" s="436"/>
      <c r="L199" s="436"/>
      <c r="M199" s="436"/>
      <c r="N199" s="437"/>
      <c r="P199" s="455" t="str" cm="1">
        <f t="array" aca="1" ref="P199" ca="1">IF(AND($Q$12,B223&lt;=$C$17,C223&lt;&gt;""),TRANSPOSE(INDEX(GetCDS(C223,$C$6,$C$29,F223,D223,$C$13,$C$14,$C$15,$C$8,,,TRUE,TRUE,FALSE,$C$29:$C$31,$C$33),{1;2;3;4;5})),"")</f>
        <v/>
      </c>
      <c r="Q199" s="456"/>
      <c r="R199" s="456"/>
      <c r="S199" s="457"/>
      <c r="T199" s="458"/>
      <c r="U199" s="459" t="str">
        <f t="shared" ca="1" si="10"/>
        <v/>
      </c>
      <c r="V199" s="460" t="str">
        <f t="shared" ca="1" si="11"/>
        <v/>
      </c>
      <c r="W199" s="459" t="str">
        <f t="shared" ca="1" si="12"/>
        <v/>
      </c>
      <c r="X199" s="461" t="str">
        <f t="shared" ca="1" si="13"/>
        <v/>
      </c>
      <c r="Y199" s="460" t="str">
        <f t="shared" ca="1" si="14"/>
        <v/>
      </c>
      <c r="Z199" s="79"/>
    </row>
    <row r="200" spans="1:26" customFormat="1" ht="15">
      <c r="A200" s="232"/>
      <c r="B200" s="295">
        <v>162</v>
      </c>
      <c r="C200" s="265"/>
      <c r="D200" s="266"/>
      <c r="E200" s="256"/>
      <c r="F200" s="239"/>
      <c r="G200" s="246"/>
      <c r="H200" s="405">
        <v>186</v>
      </c>
      <c r="I200" s="424"/>
      <c r="J200" s="424"/>
      <c r="K200" s="436"/>
      <c r="L200" s="436"/>
      <c r="M200" s="436"/>
      <c r="N200" s="437"/>
      <c r="P200" s="455" t="str" cm="1">
        <f t="array" aca="1" ref="P200" ca="1">IF(AND($Q$12,B224&lt;=$C$17,C224&lt;&gt;""),TRANSPOSE(INDEX(GetCDS(C224,$C$6,$C$29,F224,D224,$C$13,$C$14,$C$15,$C$8,,,TRUE,TRUE,FALSE,$C$29:$C$31,$C$33),{1;2;3;4;5})),"")</f>
        <v/>
      </c>
      <c r="Q200" s="456"/>
      <c r="R200" s="456"/>
      <c r="S200" s="457"/>
      <c r="T200" s="458"/>
      <c r="U200" s="459" t="str">
        <f t="shared" ca="1" si="10"/>
        <v/>
      </c>
      <c r="V200" s="460" t="str">
        <f t="shared" ca="1" si="11"/>
        <v/>
      </c>
      <c r="W200" s="459" t="str">
        <f t="shared" ca="1" si="12"/>
        <v/>
      </c>
      <c r="X200" s="461" t="str">
        <f t="shared" ca="1" si="13"/>
        <v/>
      </c>
      <c r="Y200" s="460" t="str">
        <f t="shared" ca="1" si="14"/>
        <v/>
      </c>
      <c r="Z200" s="79"/>
    </row>
    <row r="201" spans="1:26" customFormat="1" ht="15">
      <c r="A201" s="232"/>
      <c r="B201" s="295">
        <v>163</v>
      </c>
      <c r="C201" s="265"/>
      <c r="D201" s="266"/>
      <c r="E201" s="256"/>
      <c r="F201" s="239"/>
      <c r="G201" s="246"/>
      <c r="H201" s="405">
        <v>187</v>
      </c>
      <c r="I201" s="424"/>
      <c r="J201" s="424"/>
      <c r="K201" s="436"/>
      <c r="L201" s="436"/>
      <c r="M201" s="436"/>
      <c r="N201" s="437"/>
      <c r="P201" s="455" t="str" cm="1">
        <f t="array" aca="1" ref="P201" ca="1">IF(AND($Q$12,B225&lt;=$C$17,C225&lt;&gt;""),TRANSPOSE(INDEX(GetCDS(C225,$C$6,$C$29,F225,D225,$C$13,$C$14,$C$15,$C$8,,,TRUE,TRUE,FALSE,$C$29:$C$31,$C$33),{1;2;3;4;5})),"")</f>
        <v/>
      </c>
      <c r="Q201" s="456"/>
      <c r="R201" s="456"/>
      <c r="S201" s="457"/>
      <c r="T201" s="458"/>
      <c r="U201" s="459" t="str">
        <f t="shared" ca="1" si="10"/>
        <v/>
      </c>
      <c r="V201" s="460" t="str">
        <f t="shared" ca="1" si="11"/>
        <v/>
      </c>
      <c r="W201" s="459" t="str">
        <f t="shared" ca="1" si="12"/>
        <v/>
      </c>
      <c r="X201" s="461" t="str">
        <f t="shared" ca="1" si="13"/>
        <v/>
      </c>
      <c r="Y201" s="460" t="str">
        <f t="shared" ca="1" si="14"/>
        <v/>
      </c>
      <c r="Z201" s="79"/>
    </row>
    <row r="202" spans="1:26" customFormat="1" ht="15">
      <c r="A202" s="232"/>
      <c r="B202" s="295">
        <v>164</v>
      </c>
      <c r="C202" s="265"/>
      <c r="D202" s="266"/>
      <c r="E202" s="256"/>
      <c r="F202" s="239"/>
      <c r="G202" s="246"/>
      <c r="H202" s="405">
        <v>188</v>
      </c>
      <c r="I202" s="424"/>
      <c r="J202" s="424"/>
      <c r="K202" s="436"/>
      <c r="L202" s="436"/>
      <c r="M202" s="436"/>
      <c r="N202" s="437"/>
      <c r="P202" s="455" t="str" cm="1">
        <f t="array" aca="1" ref="P202" ca="1">IF(AND($Q$12,B226&lt;=$C$17,C226&lt;&gt;""),TRANSPOSE(INDEX(GetCDS(C226,$C$6,$C$29,F226,D226,$C$13,$C$14,$C$15,$C$8,,,TRUE,TRUE,FALSE,$C$29:$C$31,$C$33),{1;2;3;4;5})),"")</f>
        <v/>
      </c>
      <c r="Q202" s="456"/>
      <c r="R202" s="456"/>
      <c r="S202" s="457"/>
      <c r="T202" s="458"/>
      <c r="U202" s="459" t="str">
        <f t="shared" ca="1" si="10"/>
        <v/>
      </c>
      <c r="V202" s="460" t="str">
        <f t="shared" ca="1" si="11"/>
        <v/>
      </c>
      <c r="W202" s="459" t="str">
        <f t="shared" ca="1" si="12"/>
        <v/>
      </c>
      <c r="X202" s="461" t="str">
        <f t="shared" ca="1" si="13"/>
        <v/>
      </c>
      <c r="Y202" s="460" t="str">
        <f t="shared" ca="1" si="14"/>
        <v/>
      </c>
      <c r="Z202" s="79"/>
    </row>
    <row r="203" spans="1:26" customFormat="1" ht="15">
      <c r="A203" s="232"/>
      <c r="B203" s="295">
        <v>165</v>
      </c>
      <c r="C203" s="265"/>
      <c r="D203" s="266"/>
      <c r="E203" s="256"/>
      <c r="F203" s="239"/>
      <c r="G203" s="246"/>
      <c r="H203" s="405">
        <v>189</v>
      </c>
      <c r="I203" s="424"/>
      <c r="J203" s="424"/>
      <c r="K203" s="436"/>
      <c r="L203" s="436"/>
      <c r="M203" s="436"/>
      <c r="N203" s="437"/>
      <c r="P203" s="455" t="str" cm="1">
        <f t="array" aca="1" ref="P203" ca="1">IF(AND($Q$12,B227&lt;=$C$17,C227&lt;&gt;""),TRANSPOSE(INDEX(GetCDS(C227,$C$6,$C$29,F227,D227,$C$13,$C$14,$C$15,$C$8,,,TRUE,TRUE,FALSE,$C$29:$C$31,$C$33),{1;2;3;4;5})),"")</f>
        <v/>
      </c>
      <c r="Q203" s="456"/>
      <c r="R203" s="456"/>
      <c r="S203" s="457"/>
      <c r="T203" s="458"/>
      <c r="U203" s="459" t="str">
        <f t="shared" ca="1" si="10"/>
        <v/>
      </c>
      <c r="V203" s="460" t="str">
        <f t="shared" ca="1" si="11"/>
        <v/>
      </c>
      <c r="W203" s="459" t="str">
        <f t="shared" ca="1" si="12"/>
        <v/>
      </c>
      <c r="X203" s="461" t="str">
        <f t="shared" ca="1" si="13"/>
        <v/>
      </c>
      <c r="Y203" s="460" t="str">
        <f t="shared" ca="1" si="14"/>
        <v/>
      </c>
      <c r="Z203" s="79"/>
    </row>
    <row r="204" spans="1:26" customFormat="1" ht="15">
      <c r="A204" s="232"/>
      <c r="B204" s="295">
        <v>166</v>
      </c>
      <c r="C204" s="265"/>
      <c r="D204" s="266"/>
      <c r="E204" s="256"/>
      <c r="F204" s="239"/>
      <c r="G204" s="246"/>
      <c r="H204" s="405">
        <v>190</v>
      </c>
      <c r="I204" s="424"/>
      <c r="J204" s="424"/>
      <c r="K204" s="436"/>
      <c r="L204" s="436"/>
      <c r="M204" s="436"/>
      <c r="N204" s="437"/>
      <c r="P204" s="455" t="str" cm="1">
        <f t="array" aca="1" ref="P204" ca="1">IF(AND($Q$12,B228&lt;=$C$17,C228&lt;&gt;""),TRANSPOSE(INDEX(GetCDS(C228,$C$6,$C$29,F228,D228,$C$13,$C$14,$C$15,$C$8,,,TRUE,TRUE,FALSE,$C$29:$C$31,$C$33),{1;2;3;4;5})),"")</f>
        <v/>
      </c>
      <c r="Q204" s="456"/>
      <c r="R204" s="456"/>
      <c r="S204" s="457"/>
      <c r="T204" s="458"/>
      <c r="U204" s="459" t="str">
        <f t="shared" ca="1" si="10"/>
        <v/>
      </c>
      <c r="V204" s="460" t="str">
        <f t="shared" ca="1" si="11"/>
        <v/>
      </c>
      <c r="W204" s="459" t="str">
        <f t="shared" ca="1" si="12"/>
        <v/>
      </c>
      <c r="X204" s="461" t="str">
        <f t="shared" ca="1" si="13"/>
        <v/>
      </c>
      <c r="Y204" s="460" t="str">
        <f t="shared" ca="1" si="14"/>
        <v/>
      </c>
      <c r="Z204" s="79"/>
    </row>
    <row r="205" spans="1:26" customFormat="1" ht="15">
      <c r="A205" s="232"/>
      <c r="B205" s="295">
        <v>167</v>
      </c>
      <c r="C205" s="265"/>
      <c r="D205" s="266"/>
      <c r="E205" s="256"/>
      <c r="F205" s="239"/>
      <c r="G205" s="246"/>
      <c r="H205" s="405">
        <v>191</v>
      </c>
      <c r="I205" s="424"/>
      <c r="J205" s="424"/>
      <c r="K205" s="436"/>
      <c r="L205" s="436"/>
      <c r="M205" s="436"/>
      <c r="N205" s="437"/>
      <c r="P205" s="455" t="str" cm="1">
        <f t="array" aca="1" ref="P205" ca="1">IF(AND($Q$12,B229&lt;=$C$17,C229&lt;&gt;""),TRANSPOSE(INDEX(GetCDS(C229,$C$6,$C$29,F229,D229,$C$13,$C$14,$C$15,$C$8,,,TRUE,TRUE,FALSE,$C$29:$C$31,$C$33),{1;2;3;4;5})),"")</f>
        <v/>
      </c>
      <c r="Q205" s="456"/>
      <c r="R205" s="456"/>
      <c r="S205" s="457"/>
      <c r="T205" s="458"/>
      <c r="U205" s="459" t="str">
        <f t="shared" ca="1" si="10"/>
        <v/>
      </c>
      <c r="V205" s="460" t="str">
        <f t="shared" ca="1" si="11"/>
        <v/>
      </c>
      <c r="W205" s="459" t="str">
        <f t="shared" ca="1" si="12"/>
        <v/>
      </c>
      <c r="X205" s="461" t="str">
        <f t="shared" ca="1" si="13"/>
        <v/>
      </c>
      <c r="Y205" s="460" t="str">
        <f t="shared" ca="1" si="14"/>
        <v/>
      </c>
      <c r="Z205" s="79"/>
    </row>
    <row r="206" spans="1:26" customFormat="1" ht="15">
      <c r="A206" s="232"/>
      <c r="B206" s="295">
        <v>168</v>
      </c>
      <c r="C206" s="265"/>
      <c r="D206" s="266"/>
      <c r="E206" s="256"/>
      <c r="F206" s="239"/>
      <c r="G206" s="246"/>
      <c r="H206" s="405">
        <v>192</v>
      </c>
      <c r="I206" s="424"/>
      <c r="J206" s="424"/>
      <c r="K206" s="436"/>
      <c r="L206" s="436"/>
      <c r="M206" s="436"/>
      <c r="N206" s="437"/>
      <c r="P206" s="455" t="str" cm="1">
        <f t="array" aca="1" ref="P206" ca="1">IF(AND($Q$12,B230&lt;=$C$17,C230&lt;&gt;""),TRANSPOSE(INDEX(GetCDS(C230,$C$6,$C$29,F230,D230,$C$13,$C$14,$C$15,$C$8,,,TRUE,TRUE,FALSE,$C$29:$C$31,$C$33),{1;2;3;4;5})),"")</f>
        <v/>
      </c>
      <c r="Q206" s="456"/>
      <c r="R206" s="456"/>
      <c r="S206" s="457"/>
      <c r="T206" s="458"/>
      <c r="U206" s="459" t="str">
        <f t="shared" ca="1" si="10"/>
        <v/>
      </c>
      <c r="V206" s="460" t="str">
        <f t="shared" ca="1" si="11"/>
        <v/>
      </c>
      <c r="W206" s="459" t="str">
        <f t="shared" ca="1" si="12"/>
        <v/>
      </c>
      <c r="X206" s="461" t="str">
        <f t="shared" ca="1" si="13"/>
        <v/>
      </c>
      <c r="Y206" s="460" t="str">
        <f t="shared" ca="1" si="14"/>
        <v/>
      </c>
      <c r="Z206" s="79"/>
    </row>
    <row r="207" spans="1:26" customFormat="1" ht="15">
      <c r="A207" s="232"/>
      <c r="B207" s="295">
        <v>169</v>
      </c>
      <c r="C207" s="265"/>
      <c r="D207" s="266"/>
      <c r="E207" s="256"/>
      <c r="F207" s="239"/>
      <c r="G207" s="246"/>
      <c r="H207" s="405">
        <v>193</v>
      </c>
      <c r="I207" s="424"/>
      <c r="J207" s="424"/>
      <c r="K207" s="436"/>
      <c r="L207" s="436"/>
      <c r="M207" s="436"/>
      <c r="N207" s="437"/>
      <c r="P207" s="455" t="str" cm="1">
        <f t="array" aca="1" ref="P207" ca="1">IF(AND($Q$12,B231&lt;=$C$17,C231&lt;&gt;""),TRANSPOSE(INDEX(GetCDS(C231,$C$6,$C$29,F231,D231,$C$13,$C$14,$C$15,$C$8,,,TRUE,TRUE,FALSE,$C$29:$C$31,$C$33),{1;2;3;4;5})),"")</f>
        <v/>
      </c>
      <c r="Q207" s="456"/>
      <c r="R207" s="456"/>
      <c r="S207" s="457"/>
      <c r="T207" s="458"/>
      <c r="U207" s="459" t="str">
        <f t="shared" ca="1" si="10"/>
        <v/>
      </c>
      <c r="V207" s="460" t="str">
        <f t="shared" ca="1" si="11"/>
        <v/>
      </c>
      <c r="W207" s="459" t="str">
        <f t="shared" ca="1" si="12"/>
        <v/>
      </c>
      <c r="X207" s="461" t="str">
        <f t="shared" ca="1" si="13"/>
        <v/>
      </c>
      <c r="Y207" s="460" t="str">
        <f t="shared" ca="1" si="14"/>
        <v/>
      </c>
      <c r="Z207" s="79"/>
    </row>
    <row r="208" spans="1:26" customFormat="1" ht="15">
      <c r="A208" s="232"/>
      <c r="B208" s="295">
        <v>170</v>
      </c>
      <c r="C208" s="265"/>
      <c r="D208" s="266"/>
      <c r="E208" s="256"/>
      <c r="F208" s="239"/>
      <c r="G208" s="246"/>
      <c r="H208" s="405">
        <v>194</v>
      </c>
      <c r="I208" s="424"/>
      <c r="J208" s="424"/>
      <c r="K208" s="436"/>
      <c r="L208" s="436"/>
      <c r="M208" s="436"/>
      <c r="N208" s="437"/>
      <c r="P208" s="455" t="str" cm="1">
        <f t="array" aca="1" ref="P208" ca="1">IF(AND($Q$12,B232&lt;=$C$17,C232&lt;&gt;""),TRANSPOSE(INDEX(GetCDS(C232,$C$6,$C$29,F232,D232,$C$13,$C$14,$C$15,$C$8,,,TRUE,TRUE,FALSE,$C$29:$C$31,$C$33),{1;2;3;4;5})),"")</f>
        <v/>
      </c>
      <c r="Q208" s="456"/>
      <c r="R208" s="456"/>
      <c r="S208" s="457"/>
      <c r="T208" s="458"/>
      <c r="U208" s="459" t="str">
        <f t="shared" ref="U208:U271" ca="1" si="15">IF($Q$12,IF(P208="","",$Q$13*D232/$C$18),"")</f>
        <v/>
      </c>
      <c r="V208" s="460" t="str">
        <f t="shared" ref="V208:V271" ca="1" si="16">IF($Q$12,IF(U208="","",U208*($V$10-S208)*T208),"")</f>
        <v/>
      </c>
      <c r="W208" s="459" t="str">
        <f t="shared" ref="W208:W271" ca="1" si="17">IF($Q$12,IF(OR(P208="",L208=""),"",L208/($C$20-$C$19)),"")</f>
        <v/>
      </c>
      <c r="X208" s="461" t="str">
        <f t="shared" ref="X208:X271" ca="1" si="18">IF($Q$12,IF(S208="","",S208*$Y$10),"")</f>
        <v/>
      </c>
      <c r="Y208" s="460" t="str">
        <f t="shared" ref="Y208:Y271" ca="1" si="19">IF($Q$12,IF(W208="","",W208*(X208-S208)*T208),"")</f>
        <v/>
      </c>
      <c r="Z208" s="79"/>
    </row>
    <row r="209" spans="1:26" customFormat="1" ht="15">
      <c r="A209" s="232"/>
      <c r="B209" s="295">
        <v>171</v>
      </c>
      <c r="C209" s="265"/>
      <c r="D209" s="266"/>
      <c r="E209" s="256"/>
      <c r="F209" s="239"/>
      <c r="G209" s="246"/>
      <c r="H209" s="405">
        <v>195</v>
      </c>
      <c r="I209" s="424"/>
      <c r="J209" s="424"/>
      <c r="K209" s="436"/>
      <c r="L209" s="436"/>
      <c r="M209" s="436"/>
      <c r="N209" s="437"/>
      <c r="P209" s="455" t="str" cm="1">
        <f t="array" aca="1" ref="P209" ca="1">IF(AND($Q$12,B233&lt;=$C$17,C233&lt;&gt;""),TRANSPOSE(INDEX(GetCDS(C233,$C$6,$C$29,F233,D233,$C$13,$C$14,$C$15,$C$8,,,TRUE,TRUE,FALSE,$C$29:$C$31,$C$33),{1;2;3;4;5})),"")</f>
        <v/>
      </c>
      <c r="Q209" s="456"/>
      <c r="R209" s="456"/>
      <c r="S209" s="457"/>
      <c r="T209" s="458"/>
      <c r="U209" s="459" t="str">
        <f t="shared" ca="1" si="15"/>
        <v/>
      </c>
      <c r="V209" s="460" t="str">
        <f t="shared" ca="1" si="16"/>
        <v/>
      </c>
      <c r="W209" s="459" t="str">
        <f t="shared" ca="1" si="17"/>
        <v/>
      </c>
      <c r="X209" s="461" t="str">
        <f t="shared" ca="1" si="18"/>
        <v/>
      </c>
      <c r="Y209" s="460" t="str">
        <f t="shared" ca="1" si="19"/>
        <v/>
      </c>
      <c r="Z209" s="79"/>
    </row>
    <row r="210" spans="1:26" customFormat="1" ht="15">
      <c r="A210" s="232"/>
      <c r="B210" s="295">
        <v>172</v>
      </c>
      <c r="C210" s="265"/>
      <c r="D210" s="266"/>
      <c r="E210" s="256"/>
      <c r="F210" s="239"/>
      <c r="G210" s="246"/>
      <c r="H210" s="405">
        <v>196</v>
      </c>
      <c r="I210" s="424"/>
      <c r="J210" s="424"/>
      <c r="K210" s="436"/>
      <c r="L210" s="436"/>
      <c r="M210" s="436"/>
      <c r="N210" s="437"/>
      <c r="P210" s="455" t="str" cm="1">
        <f t="array" aca="1" ref="P210" ca="1">IF(AND($Q$12,B234&lt;=$C$17,C234&lt;&gt;""),TRANSPOSE(INDEX(GetCDS(C234,$C$6,$C$29,F234,D234,$C$13,$C$14,$C$15,$C$8,,,TRUE,TRUE,FALSE,$C$29:$C$31,$C$33),{1;2;3;4;5})),"")</f>
        <v/>
      </c>
      <c r="Q210" s="456"/>
      <c r="R210" s="456"/>
      <c r="S210" s="457"/>
      <c r="T210" s="458"/>
      <c r="U210" s="459" t="str">
        <f t="shared" ca="1" si="15"/>
        <v/>
      </c>
      <c r="V210" s="460" t="str">
        <f t="shared" ca="1" si="16"/>
        <v/>
      </c>
      <c r="W210" s="459" t="str">
        <f t="shared" ca="1" si="17"/>
        <v/>
      </c>
      <c r="X210" s="461" t="str">
        <f t="shared" ca="1" si="18"/>
        <v/>
      </c>
      <c r="Y210" s="460" t="str">
        <f t="shared" ca="1" si="19"/>
        <v/>
      </c>
      <c r="Z210" s="79"/>
    </row>
    <row r="211" spans="1:26" customFormat="1" ht="15">
      <c r="A211" s="232"/>
      <c r="B211" s="295">
        <v>173</v>
      </c>
      <c r="C211" s="265"/>
      <c r="D211" s="266"/>
      <c r="E211" s="256"/>
      <c r="F211" s="239"/>
      <c r="G211" s="246"/>
      <c r="H211" s="405">
        <v>197</v>
      </c>
      <c r="I211" s="424"/>
      <c r="J211" s="424"/>
      <c r="K211" s="436"/>
      <c r="L211" s="436"/>
      <c r="M211" s="436"/>
      <c r="N211" s="437"/>
      <c r="P211" s="455" t="str" cm="1">
        <f t="array" aca="1" ref="P211" ca="1">IF(AND($Q$12,B235&lt;=$C$17,C235&lt;&gt;""),TRANSPOSE(INDEX(GetCDS(C235,$C$6,$C$29,F235,D235,$C$13,$C$14,$C$15,$C$8,,,TRUE,TRUE,FALSE,$C$29:$C$31,$C$33),{1;2;3;4;5})),"")</f>
        <v/>
      </c>
      <c r="Q211" s="456"/>
      <c r="R211" s="456"/>
      <c r="S211" s="457"/>
      <c r="T211" s="458"/>
      <c r="U211" s="459" t="str">
        <f t="shared" ca="1" si="15"/>
        <v/>
      </c>
      <c r="V211" s="460" t="str">
        <f t="shared" ca="1" si="16"/>
        <v/>
      </c>
      <c r="W211" s="459" t="str">
        <f t="shared" ca="1" si="17"/>
        <v/>
      </c>
      <c r="X211" s="461" t="str">
        <f t="shared" ca="1" si="18"/>
        <v/>
      </c>
      <c r="Y211" s="460" t="str">
        <f t="shared" ca="1" si="19"/>
        <v/>
      </c>
      <c r="Z211" s="79"/>
    </row>
    <row r="212" spans="1:26" customFormat="1" ht="15">
      <c r="A212" s="232"/>
      <c r="B212" s="295">
        <v>174</v>
      </c>
      <c r="C212" s="265"/>
      <c r="D212" s="266"/>
      <c r="E212" s="256"/>
      <c r="F212" s="239"/>
      <c r="G212" s="246"/>
      <c r="H212" s="405">
        <v>198</v>
      </c>
      <c r="I212" s="424"/>
      <c r="J212" s="424"/>
      <c r="K212" s="436"/>
      <c r="L212" s="436"/>
      <c r="M212" s="436"/>
      <c r="N212" s="437"/>
      <c r="P212" s="455" t="str" cm="1">
        <f t="array" aca="1" ref="P212" ca="1">IF(AND($Q$12,B236&lt;=$C$17,C236&lt;&gt;""),TRANSPOSE(INDEX(GetCDS(C236,$C$6,$C$29,F236,D236,$C$13,$C$14,$C$15,$C$8,,,TRUE,TRUE,FALSE,$C$29:$C$31,$C$33),{1;2;3;4;5})),"")</f>
        <v/>
      </c>
      <c r="Q212" s="456"/>
      <c r="R212" s="456"/>
      <c r="S212" s="457"/>
      <c r="T212" s="458"/>
      <c r="U212" s="459" t="str">
        <f t="shared" ca="1" si="15"/>
        <v/>
      </c>
      <c r="V212" s="460" t="str">
        <f t="shared" ca="1" si="16"/>
        <v/>
      </c>
      <c r="W212" s="459" t="str">
        <f t="shared" ca="1" si="17"/>
        <v/>
      </c>
      <c r="X212" s="461" t="str">
        <f t="shared" ca="1" si="18"/>
        <v/>
      </c>
      <c r="Y212" s="460" t="str">
        <f t="shared" ca="1" si="19"/>
        <v/>
      </c>
      <c r="Z212" s="79"/>
    </row>
    <row r="213" spans="1:26" customFormat="1" ht="15">
      <c r="A213" s="232"/>
      <c r="B213" s="295">
        <v>175</v>
      </c>
      <c r="C213" s="265"/>
      <c r="D213" s="266"/>
      <c r="E213" s="256"/>
      <c r="F213" s="239"/>
      <c r="G213" s="246"/>
      <c r="H213" s="405">
        <v>199</v>
      </c>
      <c r="I213" s="424"/>
      <c r="J213" s="424"/>
      <c r="K213" s="436"/>
      <c r="L213" s="436"/>
      <c r="M213" s="436"/>
      <c r="N213" s="437"/>
      <c r="P213" s="455" t="str" cm="1">
        <f t="array" aca="1" ref="P213" ca="1">IF(AND($Q$12,B237&lt;=$C$17,C237&lt;&gt;""),TRANSPOSE(INDEX(GetCDS(C237,$C$6,$C$29,F237,D237,$C$13,$C$14,$C$15,$C$8,,,TRUE,TRUE,FALSE,$C$29:$C$31,$C$33),{1;2;3;4;5})),"")</f>
        <v/>
      </c>
      <c r="Q213" s="456"/>
      <c r="R213" s="456"/>
      <c r="S213" s="457"/>
      <c r="T213" s="458"/>
      <c r="U213" s="459" t="str">
        <f t="shared" ca="1" si="15"/>
        <v/>
      </c>
      <c r="V213" s="460" t="str">
        <f t="shared" ca="1" si="16"/>
        <v/>
      </c>
      <c r="W213" s="459" t="str">
        <f t="shared" ca="1" si="17"/>
        <v/>
      </c>
      <c r="X213" s="461" t="str">
        <f t="shared" ca="1" si="18"/>
        <v/>
      </c>
      <c r="Y213" s="460" t="str">
        <f t="shared" ca="1" si="19"/>
        <v/>
      </c>
      <c r="Z213" s="79"/>
    </row>
    <row r="214" spans="1:26" customFormat="1" ht="15">
      <c r="A214" s="232"/>
      <c r="B214" s="295">
        <v>176</v>
      </c>
      <c r="C214" s="265"/>
      <c r="D214" s="266"/>
      <c r="E214" s="256"/>
      <c r="F214" s="239"/>
      <c r="G214" s="246"/>
      <c r="H214" s="405">
        <v>200</v>
      </c>
      <c r="I214" s="424"/>
      <c r="J214" s="424"/>
      <c r="K214" s="436"/>
      <c r="L214" s="436"/>
      <c r="M214" s="436"/>
      <c r="N214" s="437"/>
      <c r="P214" s="455" t="str" cm="1">
        <f t="array" aca="1" ref="P214" ca="1">IF(AND($Q$12,B238&lt;=$C$17,C238&lt;&gt;""),TRANSPOSE(INDEX(GetCDS(C238,$C$6,$C$29,F238,D238,$C$13,$C$14,$C$15,$C$8,,,TRUE,TRUE,FALSE,$C$29:$C$31,$C$33),{1;2;3;4;5})),"")</f>
        <v/>
      </c>
      <c r="Q214" s="456"/>
      <c r="R214" s="456"/>
      <c r="S214" s="457"/>
      <c r="T214" s="458"/>
      <c r="U214" s="459" t="str">
        <f t="shared" ca="1" si="15"/>
        <v/>
      </c>
      <c r="V214" s="460" t="str">
        <f t="shared" ca="1" si="16"/>
        <v/>
      </c>
      <c r="W214" s="459" t="str">
        <f t="shared" ca="1" si="17"/>
        <v/>
      </c>
      <c r="X214" s="461" t="str">
        <f t="shared" ca="1" si="18"/>
        <v/>
      </c>
      <c r="Y214" s="460" t="str">
        <f t="shared" ca="1" si="19"/>
        <v/>
      </c>
      <c r="Z214" s="79"/>
    </row>
    <row r="215" spans="1:26" customFormat="1" ht="15">
      <c r="A215" s="232"/>
      <c r="B215" s="295">
        <v>177</v>
      </c>
      <c r="C215" s="265"/>
      <c r="D215" s="266"/>
      <c r="E215" s="256"/>
      <c r="F215" s="239"/>
      <c r="G215" s="246"/>
      <c r="H215" s="405">
        <v>201</v>
      </c>
      <c r="I215" s="424"/>
      <c r="J215" s="424"/>
      <c r="K215" s="436"/>
      <c r="L215" s="436"/>
      <c r="M215" s="436"/>
      <c r="N215" s="437"/>
      <c r="P215" s="455" t="str" cm="1">
        <f t="array" aca="1" ref="P215" ca="1">IF(AND($Q$12,B239&lt;=$C$17,C239&lt;&gt;""),TRANSPOSE(INDEX(GetCDS(C239,$C$6,$C$29,F239,D239,$C$13,$C$14,$C$15,$C$8,,,TRUE,TRUE,FALSE,$C$29:$C$31,$C$33),{1;2;3;4;5})),"")</f>
        <v/>
      </c>
      <c r="Q215" s="456"/>
      <c r="R215" s="456"/>
      <c r="S215" s="457"/>
      <c r="T215" s="458"/>
      <c r="U215" s="459" t="str">
        <f t="shared" ca="1" si="15"/>
        <v/>
      </c>
      <c r="V215" s="460" t="str">
        <f t="shared" ca="1" si="16"/>
        <v/>
      </c>
      <c r="W215" s="459" t="str">
        <f t="shared" ca="1" si="17"/>
        <v/>
      </c>
      <c r="X215" s="461" t="str">
        <f t="shared" ca="1" si="18"/>
        <v/>
      </c>
      <c r="Y215" s="460" t="str">
        <f t="shared" ca="1" si="19"/>
        <v/>
      </c>
      <c r="Z215" s="79"/>
    </row>
    <row r="216" spans="1:26" customFormat="1" ht="15">
      <c r="A216" s="232"/>
      <c r="B216" s="295">
        <v>178</v>
      </c>
      <c r="C216" s="265"/>
      <c r="D216" s="266"/>
      <c r="E216" s="256"/>
      <c r="F216" s="239"/>
      <c r="G216" s="246"/>
      <c r="H216" s="405">
        <v>202</v>
      </c>
      <c r="I216" s="424"/>
      <c r="J216" s="424"/>
      <c r="K216" s="436"/>
      <c r="L216" s="436"/>
      <c r="M216" s="436"/>
      <c r="N216" s="437"/>
      <c r="P216" s="455" t="str" cm="1">
        <f t="array" aca="1" ref="P216" ca="1">IF(AND($Q$12,B240&lt;=$C$17,C240&lt;&gt;""),TRANSPOSE(INDEX(GetCDS(C240,$C$6,$C$29,F240,D240,$C$13,$C$14,$C$15,$C$8,,,TRUE,TRUE,FALSE,$C$29:$C$31,$C$33),{1;2;3;4;5})),"")</f>
        <v/>
      </c>
      <c r="Q216" s="456"/>
      <c r="R216" s="456"/>
      <c r="S216" s="457"/>
      <c r="T216" s="458"/>
      <c r="U216" s="459" t="str">
        <f t="shared" ca="1" si="15"/>
        <v/>
      </c>
      <c r="V216" s="460" t="str">
        <f t="shared" ca="1" si="16"/>
        <v/>
      </c>
      <c r="W216" s="459" t="str">
        <f t="shared" ca="1" si="17"/>
        <v/>
      </c>
      <c r="X216" s="461" t="str">
        <f t="shared" ca="1" si="18"/>
        <v/>
      </c>
      <c r="Y216" s="460" t="str">
        <f t="shared" ca="1" si="19"/>
        <v/>
      </c>
      <c r="Z216" s="79"/>
    </row>
    <row r="217" spans="1:26" customFormat="1" ht="15">
      <c r="A217" s="232"/>
      <c r="B217" s="295">
        <v>179</v>
      </c>
      <c r="C217" s="265"/>
      <c r="D217" s="266"/>
      <c r="E217" s="256"/>
      <c r="F217" s="239"/>
      <c r="G217" s="246"/>
      <c r="H217" s="405">
        <v>203</v>
      </c>
      <c r="I217" s="424"/>
      <c r="J217" s="424"/>
      <c r="K217" s="436"/>
      <c r="L217" s="436"/>
      <c r="M217" s="436"/>
      <c r="N217" s="437"/>
      <c r="P217" s="455" t="str" cm="1">
        <f t="array" aca="1" ref="P217" ca="1">IF(AND($Q$12,B241&lt;=$C$17,C241&lt;&gt;""),TRANSPOSE(INDEX(GetCDS(C241,$C$6,$C$29,F241,D241,$C$13,$C$14,$C$15,$C$8,,,TRUE,TRUE,FALSE,$C$29:$C$31,$C$33),{1;2;3;4;5})),"")</f>
        <v/>
      </c>
      <c r="Q217" s="456"/>
      <c r="R217" s="456"/>
      <c r="S217" s="457"/>
      <c r="T217" s="458"/>
      <c r="U217" s="459" t="str">
        <f t="shared" ca="1" si="15"/>
        <v/>
      </c>
      <c r="V217" s="460" t="str">
        <f t="shared" ca="1" si="16"/>
        <v/>
      </c>
      <c r="W217" s="459" t="str">
        <f t="shared" ca="1" si="17"/>
        <v/>
      </c>
      <c r="X217" s="461" t="str">
        <f t="shared" ca="1" si="18"/>
        <v/>
      </c>
      <c r="Y217" s="460" t="str">
        <f t="shared" ca="1" si="19"/>
        <v/>
      </c>
      <c r="Z217" s="79"/>
    </row>
    <row r="218" spans="1:26" customFormat="1" ht="15">
      <c r="A218" s="232"/>
      <c r="B218" s="295">
        <v>180</v>
      </c>
      <c r="C218" s="265"/>
      <c r="D218" s="266"/>
      <c r="E218" s="256"/>
      <c r="F218" s="239"/>
      <c r="G218" s="246"/>
      <c r="H218" s="405">
        <v>204</v>
      </c>
      <c r="I218" s="424"/>
      <c r="J218" s="424"/>
      <c r="K218" s="436"/>
      <c r="L218" s="436"/>
      <c r="M218" s="436"/>
      <c r="N218" s="437"/>
      <c r="P218" s="455" t="str" cm="1">
        <f t="array" aca="1" ref="P218" ca="1">IF(AND($Q$12,B242&lt;=$C$17,C242&lt;&gt;""),TRANSPOSE(INDEX(GetCDS(C242,$C$6,$C$29,F242,D242,$C$13,$C$14,$C$15,$C$8,,,TRUE,TRUE,FALSE,$C$29:$C$31,$C$33),{1;2;3;4;5})),"")</f>
        <v/>
      </c>
      <c r="Q218" s="456"/>
      <c r="R218" s="456"/>
      <c r="S218" s="457"/>
      <c r="T218" s="458"/>
      <c r="U218" s="459" t="str">
        <f t="shared" ca="1" si="15"/>
        <v/>
      </c>
      <c r="V218" s="460" t="str">
        <f t="shared" ca="1" si="16"/>
        <v/>
      </c>
      <c r="W218" s="459" t="str">
        <f t="shared" ca="1" si="17"/>
        <v/>
      </c>
      <c r="X218" s="461" t="str">
        <f t="shared" ca="1" si="18"/>
        <v/>
      </c>
      <c r="Y218" s="460" t="str">
        <f t="shared" ca="1" si="19"/>
        <v/>
      </c>
      <c r="Z218" s="79"/>
    </row>
    <row r="219" spans="1:26" customFormat="1" ht="15">
      <c r="A219" s="232"/>
      <c r="B219" s="295">
        <v>181</v>
      </c>
      <c r="C219" s="265"/>
      <c r="D219" s="266"/>
      <c r="E219" s="256"/>
      <c r="F219" s="239"/>
      <c r="G219" s="246"/>
      <c r="H219" s="405">
        <v>205</v>
      </c>
      <c r="I219" s="424"/>
      <c r="J219" s="424"/>
      <c r="K219" s="436"/>
      <c r="L219" s="436"/>
      <c r="M219" s="436"/>
      <c r="N219" s="437"/>
      <c r="P219" s="455" t="str" cm="1">
        <f t="array" aca="1" ref="P219" ca="1">IF(AND($Q$12,B243&lt;=$C$17,C243&lt;&gt;""),TRANSPOSE(INDEX(GetCDS(C243,$C$6,$C$29,F243,D243,$C$13,$C$14,$C$15,$C$8,,,TRUE,TRUE,FALSE,$C$29:$C$31,$C$33),{1;2;3;4;5})),"")</f>
        <v/>
      </c>
      <c r="Q219" s="456"/>
      <c r="R219" s="456"/>
      <c r="S219" s="457"/>
      <c r="T219" s="458"/>
      <c r="U219" s="459" t="str">
        <f t="shared" ca="1" si="15"/>
        <v/>
      </c>
      <c r="V219" s="460" t="str">
        <f t="shared" ca="1" si="16"/>
        <v/>
      </c>
      <c r="W219" s="459" t="str">
        <f t="shared" ca="1" si="17"/>
        <v/>
      </c>
      <c r="X219" s="461" t="str">
        <f t="shared" ca="1" si="18"/>
        <v/>
      </c>
      <c r="Y219" s="460" t="str">
        <f t="shared" ca="1" si="19"/>
        <v/>
      </c>
      <c r="Z219" s="79"/>
    </row>
    <row r="220" spans="1:26" customFormat="1" ht="15">
      <c r="A220" s="232"/>
      <c r="B220" s="295">
        <v>182</v>
      </c>
      <c r="C220" s="265"/>
      <c r="D220" s="266"/>
      <c r="E220" s="256"/>
      <c r="F220" s="239"/>
      <c r="G220" s="246"/>
      <c r="H220" s="405">
        <v>206</v>
      </c>
      <c r="I220" s="424"/>
      <c r="J220" s="424"/>
      <c r="K220" s="436"/>
      <c r="L220" s="436"/>
      <c r="M220" s="436"/>
      <c r="N220" s="437"/>
      <c r="P220" s="455" t="str" cm="1">
        <f t="array" aca="1" ref="P220" ca="1">IF(AND($Q$12,B244&lt;=$C$17,C244&lt;&gt;""),TRANSPOSE(INDEX(GetCDS(C244,$C$6,$C$29,F244,D244,$C$13,$C$14,$C$15,$C$8,,,TRUE,TRUE,FALSE,$C$29:$C$31,$C$33),{1;2;3;4;5})),"")</f>
        <v/>
      </c>
      <c r="Q220" s="456"/>
      <c r="R220" s="456"/>
      <c r="S220" s="457"/>
      <c r="T220" s="458"/>
      <c r="U220" s="459" t="str">
        <f t="shared" ca="1" si="15"/>
        <v/>
      </c>
      <c r="V220" s="460" t="str">
        <f t="shared" ca="1" si="16"/>
        <v/>
      </c>
      <c r="W220" s="459" t="str">
        <f t="shared" ca="1" si="17"/>
        <v/>
      </c>
      <c r="X220" s="461" t="str">
        <f t="shared" ca="1" si="18"/>
        <v/>
      </c>
      <c r="Y220" s="460" t="str">
        <f t="shared" ca="1" si="19"/>
        <v/>
      </c>
      <c r="Z220" s="79"/>
    </row>
    <row r="221" spans="1:26" customFormat="1" ht="15">
      <c r="A221" s="232"/>
      <c r="B221" s="295">
        <v>183</v>
      </c>
      <c r="C221" s="265"/>
      <c r="D221" s="266"/>
      <c r="E221" s="256"/>
      <c r="F221" s="239"/>
      <c r="G221" s="246"/>
      <c r="H221" s="405">
        <v>207</v>
      </c>
      <c r="I221" s="424"/>
      <c r="J221" s="424"/>
      <c r="K221" s="436"/>
      <c r="L221" s="436"/>
      <c r="M221" s="436"/>
      <c r="N221" s="437"/>
      <c r="P221" s="455" t="str" cm="1">
        <f t="array" aca="1" ref="P221" ca="1">IF(AND($Q$12,B245&lt;=$C$17,C245&lt;&gt;""),TRANSPOSE(INDEX(GetCDS(C245,$C$6,$C$29,F245,D245,$C$13,$C$14,$C$15,$C$8,,,TRUE,TRUE,FALSE,$C$29:$C$31,$C$33),{1;2;3;4;5})),"")</f>
        <v/>
      </c>
      <c r="Q221" s="456"/>
      <c r="R221" s="456"/>
      <c r="S221" s="457"/>
      <c r="T221" s="458"/>
      <c r="U221" s="459" t="str">
        <f t="shared" ca="1" si="15"/>
        <v/>
      </c>
      <c r="V221" s="460" t="str">
        <f t="shared" ca="1" si="16"/>
        <v/>
      </c>
      <c r="W221" s="459" t="str">
        <f t="shared" ca="1" si="17"/>
        <v/>
      </c>
      <c r="X221" s="461" t="str">
        <f t="shared" ca="1" si="18"/>
        <v/>
      </c>
      <c r="Y221" s="460" t="str">
        <f t="shared" ca="1" si="19"/>
        <v/>
      </c>
      <c r="Z221" s="79"/>
    </row>
    <row r="222" spans="1:26" customFormat="1" ht="15">
      <c r="A222" s="232"/>
      <c r="B222" s="295">
        <v>184</v>
      </c>
      <c r="C222" s="265"/>
      <c r="D222" s="266"/>
      <c r="E222" s="256"/>
      <c r="F222" s="239"/>
      <c r="G222" s="246"/>
      <c r="H222" s="405">
        <v>208</v>
      </c>
      <c r="I222" s="424"/>
      <c r="J222" s="424"/>
      <c r="K222" s="436"/>
      <c r="L222" s="436"/>
      <c r="M222" s="436"/>
      <c r="N222" s="437"/>
      <c r="P222" s="455" t="str" cm="1">
        <f t="array" aca="1" ref="P222" ca="1">IF(AND($Q$12,B246&lt;=$C$17,C246&lt;&gt;""),TRANSPOSE(INDEX(GetCDS(C246,$C$6,$C$29,F246,D246,$C$13,$C$14,$C$15,$C$8,,,TRUE,TRUE,FALSE,$C$29:$C$31,$C$33),{1;2;3;4;5})),"")</f>
        <v/>
      </c>
      <c r="Q222" s="456"/>
      <c r="R222" s="456"/>
      <c r="S222" s="457"/>
      <c r="T222" s="458"/>
      <c r="U222" s="459" t="str">
        <f t="shared" ca="1" si="15"/>
        <v/>
      </c>
      <c r="V222" s="460" t="str">
        <f t="shared" ca="1" si="16"/>
        <v/>
      </c>
      <c r="W222" s="459" t="str">
        <f t="shared" ca="1" si="17"/>
        <v/>
      </c>
      <c r="X222" s="461" t="str">
        <f t="shared" ca="1" si="18"/>
        <v/>
      </c>
      <c r="Y222" s="460" t="str">
        <f t="shared" ca="1" si="19"/>
        <v/>
      </c>
      <c r="Z222" s="79"/>
    </row>
    <row r="223" spans="1:26" customFormat="1" ht="15">
      <c r="A223" s="232"/>
      <c r="B223" s="295">
        <v>185</v>
      </c>
      <c r="C223" s="265"/>
      <c r="D223" s="266"/>
      <c r="E223" s="256"/>
      <c r="F223" s="239"/>
      <c r="G223" s="246"/>
      <c r="H223" s="405">
        <v>209</v>
      </c>
      <c r="I223" s="424"/>
      <c r="J223" s="424"/>
      <c r="K223" s="436"/>
      <c r="L223" s="436"/>
      <c r="M223" s="436"/>
      <c r="N223" s="437"/>
      <c r="P223" s="455" t="str" cm="1">
        <f t="array" aca="1" ref="P223" ca="1">IF(AND($Q$12,B247&lt;=$C$17,C247&lt;&gt;""),TRANSPOSE(INDEX(GetCDS(C247,$C$6,$C$29,F247,D247,$C$13,$C$14,$C$15,$C$8,,,TRUE,TRUE,FALSE,$C$29:$C$31,$C$33),{1;2;3;4;5})),"")</f>
        <v/>
      </c>
      <c r="Q223" s="456"/>
      <c r="R223" s="456"/>
      <c r="S223" s="457"/>
      <c r="T223" s="458"/>
      <c r="U223" s="459" t="str">
        <f t="shared" ca="1" si="15"/>
        <v/>
      </c>
      <c r="V223" s="460" t="str">
        <f t="shared" ca="1" si="16"/>
        <v/>
      </c>
      <c r="W223" s="459" t="str">
        <f t="shared" ca="1" si="17"/>
        <v/>
      </c>
      <c r="X223" s="461" t="str">
        <f t="shared" ca="1" si="18"/>
        <v/>
      </c>
      <c r="Y223" s="460" t="str">
        <f t="shared" ca="1" si="19"/>
        <v/>
      </c>
      <c r="Z223" s="79"/>
    </row>
    <row r="224" spans="1:26" customFormat="1" ht="15">
      <c r="A224" s="232"/>
      <c r="B224" s="295">
        <v>186</v>
      </c>
      <c r="C224" s="265"/>
      <c r="D224" s="266"/>
      <c r="E224" s="256"/>
      <c r="F224" s="239"/>
      <c r="G224" s="246"/>
      <c r="H224" s="405">
        <v>210</v>
      </c>
      <c r="I224" s="424"/>
      <c r="J224" s="424"/>
      <c r="K224" s="436"/>
      <c r="L224" s="436"/>
      <c r="M224" s="436"/>
      <c r="N224" s="437"/>
      <c r="P224" s="455" t="str" cm="1">
        <f t="array" aca="1" ref="P224" ca="1">IF(AND($Q$12,B248&lt;=$C$17,C248&lt;&gt;""),TRANSPOSE(INDEX(GetCDS(C248,$C$6,$C$29,F248,D248,$C$13,$C$14,$C$15,$C$8,,,TRUE,TRUE,FALSE,$C$29:$C$31,$C$33),{1;2;3;4;5})),"")</f>
        <v/>
      </c>
      <c r="Q224" s="456"/>
      <c r="R224" s="456"/>
      <c r="S224" s="457"/>
      <c r="T224" s="458"/>
      <c r="U224" s="459" t="str">
        <f t="shared" ca="1" si="15"/>
        <v/>
      </c>
      <c r="V224" s="460" t="str">
        <f t="shared" ca="1" si="16"/>
        <v/>
      </c>
      <c r="W224" s="459" t="str">
        <f t="shared" ca="1" si="17"/>
        <v/>
      </c>
      <c r="X224" s="461" t="str">
        <f t="shared" ca="1" si="18"/>
        <v/>
      </c>
      <c r="Y224" s="460" t="str">
        <f t="shared" ca="1" si="19"/>
        <v/>
      </c>
      <c r="Z224" s="79"/>
    </row>
    <row r="225" spans="1:26" customFormat="1" ht="15">
      <c r="A225" s="232"/>
      <c r="B225" s="295">
        <v>187</v>
      </c>
      <c r="C225" s="265"/>
      <c r="D225" s="266"/>
      <c r="E225" s="256"/>
      <c r="F225" s="239"/>
      <c r="G225" s="246"/>
      <c r="H225" s="405">
        <v>211</v>
      </c>
      <c r="I225" s="424"/>
      <c r="J225" s="424"/>
      <c r="K225" s="436"/>
      <c r="L225" s="436"/>
      <c r="M225" s="436"/>
      <c r="N225" s="437"/>
      <c r="P225" s="455" t="str" cm="1">
        <f t="array" aca="1" ref="P225" ca="1">IF(AND($Q$12,B249&lt;=$C$17,C249&lt;&gt;""),TRANSPOSE(INDEX(GetCDS(C249,$C$6,$C$29,F249,D249,$C$13,$C$14,$C$15,$C$8,,,TRUE,TRUE,FALSE,$C$29:$C$31,$C$33),{1;2;3;4;5})),"")</f>
        <v/>
      </c>
      <c r="Q225" s="456"/>
      <c r="R225" s="456"/>
      <c r="S225" s="457"/>
      <c r="T225" s="458"/>
      <c r="U225" s="459" t="str">
        <f t="shared" ca="1" si="15"/>
        <v/>
      </c>
      <c r="V225" s="460" t="str">
        <f t="shared" ca="1" si="16"/>
        <v/>
      </c>
      <c r="W225" s="459" t="str">
        <f t="shared" ca="1" si="17"/>
        <v/>
      </c>
      <c r="X225" s="461" t="str">
        <f t="shared" ca="1" si="18"/>
        <v/>
      </c>
      <c r="Y225" s="460" t="str">
        <f t="shared" ca="1" si="19"/>
        <v/>
      </c>
      <c r="Z225" s="79"/>
    </row>
    <row r="226" spans="1:26" customFormat="1" ht="15">
      <c r="A226" s="232"/>
      <c r="B226" s="295">
        <v>188</v>
      </c>
      <c r="C226" s="265"/>
      <c r="D226" s="266"/>
      <c r="E226" s="256"/>
      <c r="F226" s="239"/>
      <c r="G226" s="246"/>
      <c r="H226" s="405">
        <v>212</v>
      </c>
      <c r="I226" s="424"/>
      <c r="J226" s="424"/>
      <c r="K226" s="436"/>
      <c r="L226" s="436"/>
      <c r="M226" s="436"/>
      <c r="N226" s="437"/>
      <c r="P226" s="455" t="str" cm="1">
        <f t="array" aca="1" ref="P226" ca="1">IF(AND($Q$12,B250&lt;=$C$17,C250&lt;&gt;""),TRANSPOSE(INDEX(GetCDS(C250,$C$6,$C$29,F250,D250,$C$13,$C$14,$C$15,$C$8,,,TRUE,TRUE,FALSE,$C$29:$C$31,$C$33),{1;2;3;4;5})),"")</f>
        <v/>
      </c>
      <c r="Q226" s="456"/>
      <c r="R226" s="456"/>
      <c r="S226" s="457"/>
      <c r="T226" s="458"/>
      <c r="U226" s="459" t="str">
        <f t="shared" ca="1" si="15"/>
        <v/>
      </c>
      <c r="V226" s="460" t="str">
        <f t="shared" ca="1" si="16"/>
        <v/>
      </c>
      <c r="W226" s="459" t="str">
        <f t="shared" ca="1" si="17"/>
        <v/>
      </c>
      <c r="X226" s="461" t="str">
        <f t="shared" ca="1" si="18"/>
        <v/>
      </c>
      <c r="Y226" s="460" t="str">
        <f t="shared" ca="1" si="19"/>
        <v/>
      </c>
      <c r="Z226" s="79"/>
    </row>
    <row r="227" spans="1:26" customFormat="1" ht="15">
      <c r="A227" s="232"/>
      <c r="B227" s="295">
        <v>189</v>
      </c>
      <c r="C227" s="265"/>
      <c r="D227" s="266"/>
      <c r="E227" s="256"/>
      <c r="F227" s="239"/>
      <c r="G227" s="246"/>
      <c r="H227" s="405">
        <v>213</v>
      </c>
      <c r="I227" s="424"/>
      <c r="J227" s="424"/>
      <c r="K227" s="436"/>
      <c r="L227" s="436"/>
      <c r="M227" s="436"/>
      <c r="N227" s="437"/>
      <c r="P227" s="455" t="str" cm="1">
        <f t="array" aca="1" ref="P227" ca="1">IF(AND($Q$12,B251&lt;=$C$17,C251&lt;&gt;""),TRANSPOSE(INDEX(GetCDS(C251,$C$6,$C$29,F251,D251,$C$13,$C$14,$C$15,$C$8,,,TRUE,TRUE,FALSE,$C$29:$C$31,$C$33),{1;2;3;4;5})),"")</f>
        <v/>
      </c>
      <c r="Q227" s="456"/>
      <c r="R227" s="456"/>
      <c r="S227" s="457"/>
      <c r="T227" s="458"/>
      <c r="U227" s="459" t="str">
        <f t="shared" ca="1" si="15"/>
        <v/>
      </c>
      <c r="V227" s="460" t="str">
        <f t="shared" ca="1" si="16"/>
        <v/>
      </c>
      <c r="W227" s="459" t="str">
        <f t="shared" ca="1" si="17"/>
        <v/>
      </c>
      <c r="X227" s="461" t="str">
        <f t="shared" ca="1" si="18"/>
        <v/>
      </c>
      <c r="Y227" s="460" t="str">
        <f t="shared" ca="1" si="19"/>
        <v/>
      </c>
      <c r="Z227" s="79"/>
    </row>
    <row r="228" spans="1:26" customFormat="1" ht="15">
      <c r="A228" s="232"/>
      <c r="B228" s="295">
        <v>190</v>
      </c>
      <c r="C228" s="265"/>
      <c r="D228" s="266"/>
      <c r="E228" s="256"/>
      <c r="F228" s="239"/>
      <c r="G228" s="246"/>
      <c r="H228" s="405">
        <v>214</v>
      </c>
      <c r="I228" s="424"/>
      <c r="J228" s="424"/>
      <c r="K228" s="436"/>
      <c r="L228" s="436"/>
      <c r="M228" s="436"/>
      <c r="N228" s="437"/>
      <c r="P228" s="455" t="str" cm="1">
        <f t="array" aca="1" ref="P228" ca="1">IF(AND($Q$12,B252&lt;=$C$17,C252&lt;&gt;""),TRANSPOSE(INDEX(GetCDS(C252,$C$6,$C$29,F252,D252,$C$13,$C$14,$C$15,$C$8,,,TRUE,TRUE,FALSE,$C$29:$C$31,$C$33),{1;2;3;4;5})),"")</f>
        <v/>
      </c>
      <c r="Q228" s="456"/>
      <c r="R228" s="456"/>
      <c r="S228" s="457"/>
      <c r="T228" s="458"/>
      <c r="U228" s="459" t="str">
        <f t="shared" ca="1" si="15"/>
        <v/>
      </c>
      <c r="V228" s="460" t="str">
        <f t="shared" ca="1" si="16"/>
        <v/>
      </c>
      <c r="W228" s="459" t="str">
        <f t="shared" ca="1" si="17"/>
        <v/>
      </c>
      <c r="X228" s="461" t="str">
        <f t="shared" ca="1" si="18"/>
        <v/>
      </c>
      <c r="Y228" s="460" t="str">
        <f t="shared" ca="1" si="19"/>
        <v/>
      </c>
      <c r="Z228" s="79"/>
    </row>
    <row r="229" spans="1:26" customFormat="1" ht="15">
      <c r="A229" s="232"/>
      <c r="B229" s="295">
        <v>191</v>
      </c>
      <c r="C229" s="265"/>
      <c r="D229" s="266"/>
      <c r="E229" s="256"/>
      <c r="F229" s="239"/>
      <c r="G229" s="246"/>
      <c r="H229" s="405">
        <v>215</v>
      </c>
      <c r="I229" s="424"/>
      <c r="J229" s="424"/>
      <c r="K229" s="436"/>
      <c r="L229" s="436"/>
      <c r="M229" s="436"/>
      <c r="N229" s="437"/>
      <c r="P229" s="455" t="str" cm="1">
        <f t="array" aca="1" ref="P229" ca="1">IF(AND($Q$12,B253&lt;=$C$17,C253&lt;&gt;""),TRANSPOSE(INDEX(GetCDS(C253,$C$6,$C$29,F253,D253,$C$13,$C$14,$C$15,$C$8,,,TRUE,TRUE,FALSE,$C$29:$C$31,$C$33),{1;2;3;4;5})),"")</f>
        <v/>
      </c>
      <c r="Q229" s="456"/>
      <c r="R229" s="456"/>
      <c r="S229" s="457"/>
      <c r="T229" s="458"/>
      <c r="U229" s="459" t="str">
        <f t="shared" ca="1" si="15"/>
        <v/>
      </c>
      <c r="V229" s="460" t="str">
        <f t="shared" ca="1" si="16"/>
        <v/>
      </c>
      <c r="W229" s="459" t="str">
        <f t="shared" ca="1" si="17"/>
        <v/>
      </c>
      <c r="X229" s="461" t="str">
        <f t="shared" ca="1" si="18"/>
        <v/>
      </c>
      <c r="Y229" s="460" t="str">
        <f t="shared" ca="1" si="19"/>
        <v/>
      </c>
      <c r="Z229" s="79"/>
    </row>
    <row r="230" spans="1:26" customFormat="1" ht="15">
      <c r="A230" s="232"/>
      <c r="B230" s="295">
        <v>192</v>
      </c>
      <c r="C230" s="265"/>
      <c r="D230" s="266"/>
      <c r="E230" s="256"/>
      <c r="F230" s="239"/>
      <c r="G230" s="246"/>
      <c r="H230" s="405">
        <v>216</v>
      </c>
      <c r="I230" s="424"/>
      <c r="J230" s="424"/>
      <c r="K230" s="436"/>
      <c r="L230" s="436"/>
      <c r="M230" s="436"/>
      <c r="N230" s="437"/>
      <c r="P230" s="455" t="str" cm="1">
        <f t="array" aca="1" ref="P230" ca="1">IF(AND($Q$12,B254&lt;=$C$17,C254&lt;&gt;""),TRANSPOSE(INDEX(GetCDS(C254,$C$6,$C$29,F254,D254,$C$13,$C$14,$C$15,$C$8,,,TRUE,TRUE,FALSE,$C$29:$C$31,$C$33),{1;2;3;4;5})),"")</f>
        <v/>
      </c>
      <c r="Q230" s="456"/>
      <c r="R230" s="456"/>
      <c r="S230" s="457"/>
      <c r="T230" s="458"/>
      <c r="U230" s="459" t="str">
        <f t="shared" ca="1" si="15"/>
        <v/>
      </c>
      <c r="V230" s="460" t="str">
        <f t="shared" ca="1" si="16"/>
        <v/>
      </c>
      <c r="W230" s="459" t="str">
        <f t="shared" ca="1" si="17"/>
        <v/>
      </c>
      <c r="X230" s="461" t="str">
        <f t="shared" ca="1" si="18"/>
        <v/>
      </c>
      <c r="Y230" s="460" t="str">
        <f t="shared" ca="1" si="19"/>
        <v/>
      </c>
      <c r="Z230" s="79"/>
    </row>
    <row r="231" spans="1:26" customFormat="1" ht="15">
      <c r="A231" s="232"/>
      <c r="B231" s="295">
        <v>193</v>
      </c>
      <c r="C231" s="265"/>
      <c r="D231" s="266"/>
      <c r="E231" s="256"/>
      <c r="F231" s="239"/>
      <c r="G231" s="246"/>
      <c r="H231" s="405">
        <v>217</v>
      </c>
      <c r="I231" s="424"/>
      <c r="J231" s="424"/>
      <c r="K231" s="436"/>
      <c r="L231" s="436"/>
      <c r="M231" s="436"/>
      <c r="N231" s="437"/>
      <c r="P231" s="455" t="str" cm="1">
        <f t="array" aca="1" ref="P231" ca="1">IF(AND($Q$12,B255&lt;=$C$17,C255&lt;&gt;""),TRANSPOSE(INDEX(GetCDS(C255,$C$6,$C$29,F255,D255,$C$13,$C$14,$C$15,$C$8,,,TRUE,TRUE,FALSE,$C$29:$C$31,$C$33),{1;2;3;4;5})),"")</f>
        <v/>
      </c>
      <c r="Q231" s="456"/>
      <c r="R231" s="456"/>
      <c r="S231" s="457"/>
      <c r="T231" s="458"/>
      <c r="U231" s="459" t="str">
        <f t="shared" ca="1" si="15"/>
        <v/>
      </c>
      <c r="V231" s="460" t="str">
        <f t="shared" ca="1" si="16"/>
        <v/>
      </c>
      <c r="W231" s="459" t="str">
        <f t="shared" ca="1" si="17"/>
        <v/>
      </c>
      <c r="X231" s="461" t="str">
        <f t="shared" ca="1" si="18"/>
        <v/>
      </c>
      <c r="Y231" s="460" t="str">
        <f t="shared" ca="1" si="19"/>
        <v/>
      </c>
      <c r="Z231" s="79"/>
    </row>
    <row r="232" spans="1:26" customFormat="1" ht="15">
      <c r="A232" s="232"/>
      <c r="B232" s="295">
        <v>194</v>
      </c>
      <c r="C232" s="265"/>
      <c r="D232" s="266"/>
      <c r="E232" s="256"/>
      <c r="F232" s="239"/>
      <c r="G232" s="246"/>
      <c r="H232" s="405">
        <v>218</v>
      </c>
      <c r="I232" s="424"/>
      <c r="J232" s="424"/>
      <c r="K232" s="436"/>
      <c r="L232" s="436"/>
      <c r="M232" s="436"/>
      <c r="N232" s="437"/>
      <c r="P232" s="455" t="str" cm="1">
        <f t="array" aca="1" ref="P232" ca="1">IF(AND($Q$12,B256&lt;=$C$17,C256&lt;&gt;""),TRANSPOSE(INDEX(GetCDS(C256,$C$6,$C$29,F256,D256,$C$13,$C$14,$C$15,$C$8,,,TRUE,TRUE,FALSE,$C$29:$C$31,$C$33),{1;2;3;4;5})),"")</f>
        <v/>
      </c>
      <c r="Q232" s="456"/>
      <c r="R232" s="456"/>
      <c r="S232" s="457"/>
      <c r="T232" s="458"/>
      <c r="U232" s="459" t="str">
        <f t="shared" ca="1" si="15"/>
        <v/>
      </c>
      <c r="V232" s="460" t="str">
        <f t="shared" ca="1" si="16"/>
        <v/>
      </c>
      <c r="W232" s="459" t="str">
        <f t="shared" ca="1" si="17"/>
        <v/>
      </c>
      <c r="X232" s="461" t="str">
        <f t="shared" ca="1" si="18"/>
        <v/>
      </c>
      <c r="Y232" s="460" t="str">
        <f t="shared" ca="1" si="19"/>
        <v/>
      </c>
      <c r="Z232" s="79"/>
    </row>
    <row r="233" spans="1:26" customFormat="1" ht="15">
      <c r="A233" s="232"/>
      <c r="B233" s="295">
        <v>195</v>
      </c>
      <c r="C233" s="265"/>
      <c r="D233" s="266"/>
      <c r="E233" s="256"/>
      <c r="F233" s="239"/>
      <c r="G233" s="246"/>
      <c r="H233" s="405">
        <v>219</v>
      </c>
      <c r="I233" s="424"/>
      <c r="J233" s="424"/>
      <c r="K233" s="436"/>
      <c r="L233" s="436"/>
      <c r="M233" s="436"/>
      <c r="N233" s="437"/>
      <c r="P233" s="455" t="str" cm="1">
        <f t="array" aca="1" ref="P233" ca="1">IF(AND($Q$12,B257&lt;=$C$17,C257&lt;&gt;""),TRANSPOSE(INDEX(GetCDS(C257,$C$6,$C$29,F257,D257,$C$13,$C$14,$C$15,$C$8,,,TRUE,TRUE,FALSE,$C$29:$C$31,$C$33),{1;2;3;4;5})),"")</f>
        <v/>
      </c>
      <c r="Q233" s="456"/>
      <c r="R233" s="456"/>
      <c r="S233" s="457"/>
      <c r="T233" s="458"/>
      <c r="U233" s="459" t="str">
        <f t="shared" ca="1" si="15"/>
        <v/>
      </c>
      <c r="V233" s="460" t="str">
        <f t="shared" ca="1" si="16"/>
        <v/>
      </c>
      <c r="W233" s="459" t="str">
        <f t="shared" ca="1" si="17"/>
        <v/>
      </c>
      <c r="X233" s="461" t="str">
        <f t="shared" ca="1" si="18"/>
        <v/>
      </c>
      <c r="Y233" s="460" t="str">
        <f t="shared" ca="1" si="19"/>
        <v/>
      </c>
      <c r="Z233" s="79"/>
    </row>
    <row r="234" spans="1:26" customFormat="1" ht="15">
      <c r="A234" s="232"/>
      <c r="B234" s="295">
        <v>196</v>
      </c>
      <c r="C234" s="265"/>
      <c r="D234" s="266"/>
      <c r="E234" s="256"/>
      <c r="F234" s="239"/>
      <c r="G234" s="246"/>
      <c r="H234" s="405">
        <v>220</v>
      </c>
      <c r="I234" s="424"/>
      <c r="J234" s="424"/>
      <c r="K234" s="436"/>
      <c r="L234" s="436"/>
      <c r="M234" s="436"/>
      <c r="N234" s="437"/>
      <c r="P234" s="455" t="str" cm="1">
        <f t="array" aca="1" ref="P234" ca="1">IF(AND($Q$12,B258&lt;=$C$17,C258&lt;&gt;""),TRANSPOSE(INDEX(GetCDS(C258,$C$6,$C$29,F258,D258,$C$13,$C$14,$C$15,$C$8,,,TRUE,TRUE,FALSE,$C$29:$C$31,$C$33),{1;2;3;4;5})),"")</f>
        <v/>
      </c>
      <c r="Q234" s="456"/>
      <c r="R234" s="456"/>
      <c r="S234" s="457"/>
      <c r="T234" s="458"/>
      <c r="U234" s="459" t="str">
        <f t="shared" ca="1" si="15"/>
        <v/>
      </c>
      <c r="V234" s="460" t="str">
        <f t="shared" ca="1" si="16"/>
        <v/>
      </c>
      <c r="W234" s="459" t="str">
        <f t="shared" ca="1" si="17"/>
        <v/>
      </c>
      <c r="X234" s="461" t="str">
        <f t="shared" ca="1" si="18"/>
        <v/>
      </c>
      <c r="Y234" s="460" t="str">
        <f t="shared" ca="1" si="19"/>
        <v/>
      </c>
      <c r="Z234" s="79"/>
    </row>
    <row r="235" spans="1:26" customFormat="1" ht="15">
      <c r="A235" s="232"/>
      <c r="B235" s="295">
        <v>197</v>
      </c>
      <c r="C235" s="265"/>
      <c r="D235" s="266"/>
      <c r="E235" s="256"/>
      <c r="F235" s="239"/>
      <c r="G235" s="246"/>
      <c r="H235" s="405">
        <v>221</v>
      </c>
      <c r="I235" s="424"/>
      <c r="J235" s="424"/>
      <c r="K235" s="436"/>
      <c r="L235" s="436"/>
      <c r="M235" s="436"/>
      <c r="N235" s="437"/>
      <c r="P235" s="455" t="str" cm="1">
        <f t="array" aca="1" ref="P235" ca="1">IF(AND($Q$12,B259&lt;=$C$17,C259&lt;&gt;""),TRANSPOSE(INDEX(GetCDS(C259,$C$6,$C$29,F259,D259,$C$13,$C$14,$C$15,$C$8,,,TRUE,TRUE,FALSE,$C$29:$C$31,$C$33),{1;2;3;4;5})),"")</f>
        <v/>
      </c>
      <c r="Q235" s="456"/>
      <c r="R235" s="456"/>
      <c r="S235" s="457"/>
      <c r="T235" s="458"/>
      <c r="U235" s="459" t="str">
        <f t="shared" ca="1" si="15"/>
        <v/>
      </c>
      <c r="V235" s="460" t="str">
        <f t="shared" ca="1" si="16"/>
        <v/>
      </c>
      <c r="W235" s="459" t="str">
        <f t="shared" ca="1" si="17"/>
        <v/>
      </c>
      <c r="X235" s="461" t="str">
        <f t="shared" ca="1" si="18"/>
        <v/>
      </c>
      <c r="Y235" s="460" t="str">
        <f t="shared" ca="1" si="19"/>
        <v/>
      </c>
      <c r="Z235" s="79"/>
    </row>
    <row r="236" spans="1:26" customFormat="1" ht="15">
      <c r="A236" s="232"/>
      <c r="B236" s="295">
        <v>198</v>
      </c>
      <c r="C236" s="265"/>
      <c r="D236" s="266"/>
      <c r="E236" s="256"/>
      <c r="F236" s="239"/>
      <c r="G236" s="246"/>
      <c r="H236" s="405">
        <v>222</v>
      </c>
      <c r="I236" s="424"/>
      <c r="J236" s="424"/>
      <c r="K236" s="436"/>
      <c r="L236" s="436"/>
      <c r="M236" s="436"/>
      <c r="N236" s="437"/>
      <c r="P236" s="455" t="str" cm="1">
        <f t="array" aca="1" ref="P236" ca="1">IF(AND($Q$12,B260&lt;=$C$17,C260&lt;&gt;""),TRANSPOSE(INDEX(GetCDS(C260,$C$6,$C$29,F260,D260,$C$13,$C$14,$C$15,$C$8,,,TRUE,TRUE,FALSE,$C$29:$C$31,$C$33),{1;2;3;4;5})),"")</f>
        <v/>
      </c>
      <c r="Q236" s="456"/>
      <c r="R236" s="456"/>
      <c r="S236" s="457"/>
      <c r="T236" s="458"/>
      <c r="U236" s="459" t="str">
        <f t="shared" ca="1" si="15"/>
        <v/>
      </c>
      <c r="V236" s="460" t="str">
        <f t="shared" ca="1" si="16"/>
        <v/>
      </c>
      <c r="W236" s="459" t="str">
        <f t="shared" ca="1" si="17"/>
        <v/>
      </c>
      <c r="X236" s="461" t="str">
        <f t="shared" ca="1" si="18"/>
        <v/>
      </c>
      <c r="Y236" s="460" t="str">
        <f t="shared" ca="1" si="19"/>
        <v/>
      </c>
      <c r="Z236" s="79"/>
    </row>
    <row r="237" spans="1:26" customFormat="1" ht="15">
      <c r="A237" s="232"/>
      <c r="B237" s="295">
        <v>199</v>
      </c>
      <c r="C237" s="265"/>
      <c r="D237" s="266"/>
      <c r="E237" s="256"/>
      <c r="F237" s="239"/>
      <c r="G237" s="246"/>
      <c r="H237" s="405">
        <v>223</v>
      </c>
      <c r="I237" s="424"/>
      <c r="J237" s="424"/>
      <c r="K237" s="436"/>
      <c r="L237" s="436"/>
      <c r="M237" s="436"/>
      <c r="N237" s="437"/>
      <c r="P237" s="455" t="str" cm="1">
        <f t="array" aca="1" ref="P237" ca="1">IF(AND($Q$12,B261&lt;=$C$17,C261&lt;&gt;""),TRANSPOSE(INDEX(GetCDS(C261,$C$6,$C$29,F261,D261,$C$13,$C$14,$C$15,$C$8,,,TRUE,TRUE,FALSE,$C$29:$C$31,$C$33),{1;2;3;4;5})),"")</f>
        <v/>
      </c>
      <c r="Q237" s="456"/>
      <c r="R237" s="456"/>
      <c r="S237" s="457"/>
      <c r="T237" s="458"/>
      <c r="U237" s="459" t="str">
        <f t="shared" ca="1" si="15"/>
        <v/>
      </c>
      <c r="V237" s="460" t="str">
        <f t="shared" ca="1" si="16"/>
        <v/>
      </c>
      <c r="W237" s="459" t="str">
        <f t="shared" ca="1" si="17"/>
        <v/>
      </c>
      <c r="X237" s="461" t="str">
        <f t="shared" ca="1" si="18"/>
        <v/>
      </c>
      <c r="Y237" s="460" t="str">
        <f t="shared" ca="1" si="19"/>
        <v/>
      </c>
      <c r="Z237" s="79"/>
    </row>
    <row r="238" spans="1:26" customFormat="1" ht="15">
      <c r="A238" s="232"/>
      <c r="B238" s="295">
        <v>200</v>
      </c>
      <c r="C238" s="265"/>
      <c r="D238" s="266"/>
      <c r="E238" s="256"/>
      <c r="F238" s="239"/>
      <c r="G238" s="246"/>
      <c r="H238" s="405">
        <v>224</v>
      </c>
      <c r="I238" s="424"/>
      <c r="J238" s="424"/>
      <c r="K238" s="436"/>
      <c r="L238" s="436"/>
      <c r="M238" s="436"/>
      <c r="N238" s="437"/>
      <c r="P238" s="455" t="str" cm="1">
        <f t="array" aca="1" ref="P238" ca="1">IF(AND($Q$12,B262&lt;=$C$17,C262&lt;&gt;""),TRANSPOSE(INDEX(GetCDS(C262,$C$6,$C$29,F262,D262,$C$13,$C$14,$C$15,$C$8,,,TRUE,TRUE,FALSE,$C$29:$C$31,$C$33),{1;2;3;4;5})),"")</f>
        <v/>
      </c>
      <c r="Q238" s="456"/>
      <c r="R238" s="456"/>
      <c r="S238" s="457"/>
      <c r="T238" s="458"/>
      <c r="U238" s="459" t="str">
        <f t="shared" ca="1" si="15"/>
        <v/>
      </c>
      <c r="V238" s="460" t="str">
        <f t="shared" ca="1" si="16"/>
        <v/>
      </c>
      <c r="W238" s="459" t="str">
        <f t="shared" ca="1" si="17"/>
        <v/>
      </c>
      <c r="X238" s="461" t="str">
        <f t="shared" ca="1" si="18"/>
        <v/>
      </c>
      <c r="Y238" s="460" t="str">
        <f t="shared" ca="1" si="19"/>
        <v/>
      </c>
      <c r="Z238" s="79"/>
    </row>
    <row r="239" spans="1:26" customFormat="1" ht="15">
      <c r="A239" s="232"/>
      <c r="B239" s="295">
        <v>201</v>
      </c>
      <c r="C239" s="265"/>
      <c r="D239" s="266"/>
      <c r="E239" s="256"/>
      <c r="F239" s="239"/>
      <c r="G239" s="246"/>
      <c r="H239" s="405">
        <v>225</v>
      </c>
      <c r="I239" s="424"/>
      <c r="J239" s="424"/>
      <c r="K239" s="436"/>
      <c r="L239" s="436"/>
      <c r="M239" s="436"/>
      <c r="N239" s="437"/>
      <c r="P239" s="455" t="str" cm="1">
        <f t="array" aca="1" ref="P239" ca="1">IF(AND($Q$12,B263&lt;=$C$17,C263&lt;&gt;""),TRANSPOSE(INDEX(GetCDS(C263,$C$6,$C$29,F263,D263,$C$13,$C$14,$C$15,$C$8,,,TRUE,TRUE,FALSE,$C$29:$C$31,$C$33),{1;2;3;4;5})),"")</f>
        <v/>
      </c>
      <c r="Q239" s="456"/>
      <c r="R239" s="456"/>
      <c r="S239" s="457"/>
      <c r="T239" s="458"/>
      <c r="U239" s="459" t="str">
        <f t="shared" ca="1" si="15"/>
        <v/>
      </c>
      <c r="V239" s="460" t="str">
        <f t="shared" ca="1" si="16"/>
        <v/>
      </c>
      <c r="W239" s="459" t="str">
        <f t="shared" ca="1" si="17"/>
        <v/>
      </c>
      <c r="X239" s="461" t="str">
        <f t="shared" ca="1" si="18"/>
        <v/>
      </c>
      <c r="Y239" s="460" t="str">
        <f t="shared" ca="1" si="19"/>
        <v/>
      </c>
      <c r="Z239" s="79"/>
    </row>
    <row r="240" spans="1:26" customFormat="1" ht="15">
      <c r="A240" s="232"/>
      <c r="B240" s="295">
        <v>202</v>
      </c>
      <c r="C240" s="265"/>
      <c r="D240" s="266"/>
      <c r="E240" s="256"/>
      <c r="F240" s="239"/>
      <c r="G240" s="246"/>
      <c r="H240" s="405">
        <v>226</v>
      </c>
      <c r="I240" s="424"/>
      <c r="J240" s="424"/>
      <c r="K240" s="436"/>
      <c r="L240" s="436"/>
      <c r="M240" s="436"/>
      <c r="N240" s="437"/>
      <c r="P240" s="455" t="str" cm="1">
        <f t="array" aca="1" ref="P240" ca="1">IF(AND($Q$12,B264&lt;=$C$17,C264&lt;&gt;""),TRANSPOSE(INDEX(GetCDS(C264,$C$6,$C$29,F264,D264,$C$13,$C$14,$C$15,$C$8,,,TRUE,TRUE,FALSE,$C$29:$C$31,$C$33),{1;2;3;4;5})),"")</f>
        <v/>
      </c>
      <c r="Q240" s="456"/>
      <c r="R240" s="456"/>
      <c r="S240" s="457"/>
      <c r="T240" s="458"/>
      <c r="U240" s="459" t="str">
        <f t="shared" ca="1" si="15"/>
        <v/>
      </c>
      <c r="V240" s="460" t="str">
        <f t="shared" ca="1" si="16"/>
        <v/>
      </c>
      <c r="W240" s="459" t="str">
        <f t="shared" ca="1" si="17"/>
        <v/>
      </c>
      <c r="X240" s="461" t="str">
        <f t="shared" ca="1" si="18"/>
        <v/>
      </c>
      <c r="Y240" s="460" t="str">
        <f t="shared" ca="1" si="19"/>
        <v/>
      </c>
      <c r="Z240" s="79"/>
    </row>
    <row r="241" spans="1:26" customFormat="1" ht="15">
      <c r="A241" s="232"/>
      <c r="B241" s="295">
        <v>203</v>
      </c>
      <c r="C241" s="265"/>
      <c r="D241" s="266"/>
      <c r="E241" s="256"/>
      <c r="F241" s="239"/>
      <c r="G241" s="246"/>
      <c r="H241" s="405">
        <v>227</v>
      </c>
      <c r="I241" s="424"/>
      <c r="J241" s="424"/>
      <c r="K241" s="436"/>
      <c r="L241" s="436"/>
      <c r="M241" s="436"/>
      <c r="N241" s="437"/>
      <c r="P241" s="455" t="str" cm="1">
        <f t="array" aca="1" ref="P241" ca="1">IF(AND($Q$12,B265&lt;=$C$17,C265&lt;&gt;""),TRANSPOSE(INDEX(GetCDS(C265,$C$6,$C$29,F265,D265,$C$13,$C$14,$C$15,$C$8,,,TRUE,TRUE,FALSE,$C$29:$C$31,$C$33),{1;2;3;4;5})),"")</f>
        <v/>
      </c>
      <c r="Q241" s="456"/>
      <c r="R241" s="456"/>
      <c r="S241" s="457"/>
      <c r="T241" s="458"/>
      <c r="U241" s="459" t="str">
        <f t="shared" ca="1" si="15"/>
        <v/>
      </c>
      <c r="V241" s="460" t="str">
        <f t="shared" ca="1" si="16"/>
        <v/>
      </c>
      <c r="W241" s="459" t="str">
        <f t="shared" ca="1" si="17"/>
        <v/>
      </c>
      <c r="X241" s="461" t="str">
        <f t="shared" ca="1" si="18"/>
        <v/>
      </c>
      <c r="Y241" s="460" t="str">
        <f t="shared" ca="1" si="19"/>
        <v/>
      </c>
      <c r="Z241" s="79"/>
    </row>
    <row r="242" spans="1:26" customFormat="1" ht="15">
      <c r="A242" s="232"/>
      <c r="B242" s="295">
        <v>204</v>
      </c>
      <c r="C242" s="265"/>
      <c r="D242" s="266"/>
      <c r="E242" s="256"/>
      <c r="F242" s="239"/>
      <c r="G242" s="246"/>
      <c r="H242" s="405">
        <v>228</v>
      </c>
      <c r="I242" s="424"/>
      <c r="J242" s="424"/>
      <c r="K242" s="436"/>
      <c r="L242" s="436"/>
      <c r="M242" s="436"/>
      <c r="N242" s="437"/>
      <c r="P242" s="455" t="str" cm="1">
        <f t="array" aca="1" ref="P242" ca="1">IF(AND($Q$12,B266&lt;=$C$17,C266&lt;&gt;""),TRANSPOSE(INDEX(GetCDS(C266,$C$6,$C$29,F266,D266,$C$13,$C$14,$C$15,$C$8,,,TRUE,TRUE,FALSE,$C$29:$C$31,$C$33),{1;2;3;4;5})),"")</f>
        <v/>
      </c>
      <c r="Q242" s="456"/>
      <c r="R242" s="456"/>
      <c r="S242" s="457"/>
      <c r="T242" s="458"/>
      <c r="U242" s="459" t="str">
        <f t="shared" ca="1" si="15"/>
        <v/>
      </c>
      <c r="V242" s="460" t="str">
        <f t="shared" ca="1" si="16"/>
        <v/>
      </c>
      <c r="W242" s="459" t="str">
        <f t="shared" ca="1" si="17"/>
        <v/>
      </c>
      <c r="X242" s="461" t="str">
        <f t="shared" ca="1" si="18"/>
        <v/>
      </c>
      <c r="Y242" s="460" t="str">
        <f t="shared" ca="1" si="19"/>
        <v/>
      </c>
      <c r="Z242" s="79"/>
    </row>
    <row r="243" spans="1:26" customFormat="1" ht="15">
      <c r="A243" s="232"/>
      <c r="B243" s="295">
        <v>205</v>
      </c>
      <c r="C243" s="265"/>
      <c r="D243" s="266"/>
      <c r="E243" s="256"/>
      <c r="F243" s="239"/>
      <c r="G243" s="246"/>
      <c r="H243" s="405">
        <v>229</v>
      </c>
      <c r="I243" s="424"/>
      <c r="J243" s="424"/>
      <c r="K243" s="436"/>
      <c r="L243" s="436"/>
      <c r="M243" s="436"/>
      <c r="N243" s="437"/>
      <c r="P243" s="455" t="str" cm="1">
        <f t="array" aca="1" ref="P243" ca="1">IF(AND($Q$12,B267&lt;=$C$17,C267&lt;&gt;""),TRANSPOSE(INDEX(GetCDS(C267,$C$6,$C$29,F267,D267,$C$13,$C$14,$C$15,$C$8,,,TRUE,TRUE,FALSE,$C$29:$C$31,$C$33),{1;2;3;4;5})),"")</f>
        <v/>
      </c>
      <c r="Q243" s="456"/>
      <c r="R243" s="456"/>
      <c r="S243" s="457"/>
      <c r="T243" s="458"/>
      <c r="U243" s="459" t="str">
        <f t="shared" ca="1" si="15"/>
        <v/>
      </c>
      <c r="V243" s="460" t="str">
        <f t="shared" ca="1" si="16"/>
        <v/>
      </c>
      <c r="W243" s="459" t="str">
        <f t="shared" ca="1" si="17"/>
        <v/>
      </c>
      <c r="X243" s="461" t="str">
        <f t="shared" ca="1" si="18"/>
        <v/>
      </c>
      <c r="Y243" s="460" t="str">
        <f t="shared" ca="1" si="19"/>
        <v/>
      </c>
      <c r="Z243" s="79"/>
    </row>
    <row r="244" spans="1:26" customFormat="1" ht="15">
      <c r="A244" s="232"/>
      <c r="B244" s="295">
        <v>206</v>
      </c>
      <c r="C244" s="265"/>
      <c r="D244" s="266"/>
      <c r="E244" s="256"/>
      <c r="F244" s="239"/>
      <c r="G244" s="246"/>
      <c r="H244" s="405">
        <v>230</v>
      </c>
      <c r="I244" s="424"/>
      <c r="J244" s="424"/>
      <c r="K244" s="436"/>
      <c r="L244" s="436"/>
      <c r="M244" s="436"/>
      <c r="N244" s="437"/>
      <c r="P244" s="455" t="str" cm="1">
        <f t="array" aca="1" ref="P244" ca="1">IF(AND($Q$12,B268&lt;=$C$17,C268&lt;&gt;""),TRANSPOSE(INDEX(GetCDS(C268,$C$6,$C$29,F268,D268,$C$13,$C$14,$C$15,$C$8,,,TRUE,TRUE,FALSE,$C$29:$C$31,$C$33),{1;2;3;4;5})),"")</f>
        <v/>
      </c>
      <c r="Q244" s="456"/>
      <c r="R244" s="456"/>
      <c r="S244" s="457"/>
      <c r="T244" s="458"/>
      <c r="U244" s="459" t="str">
        <f t="shared" ca="1" si="15"/>
        <v/>
      </c>
      <c r="V244" s="460" t="str">
        <f t="shared" ca="1" si="16"/>
        <v/>
      </c>
      <c r="W244" s="459" t="str">
        <f t="shared" ca="1" si="17"/>
        <v/>
      </c>
      <c r="X244" s="461" t="str">
        <f t="shared" ca="1" si="18"/>
        <v/>
      </c>
      <c r="Y244" s="460" t="str">
        <f t="shared" ca="1" si="19"/>
        <v/>
      </c>
      <c r="Z244" s="79"/>
    </row>
    <row r="245" spans="1:26" customFormat="1" ht="15">
      <c r="A245" s="232"/>
      <c r="B245" s="295">
        <v>207</v>
      </c>
      <c r="C245" s="265"/>
      <c r="D245" s="266"/>
      <c r="E245" s="256"/>
      <c r="F245" s="239"/>
      <c r="G245" s="246"/>
      <c r="H245" s="405">
        <v>231</v>
      </c>
      <c r="I245" s="424"/>
      <c r="J245" s="424"/>
      <c r="K245" s="436"/>
      <c r="L245" s="436"/>
      <c r="M245" s="436"/>
      <c r="N245" s="437"/>
      <c r="P245" s="455" t="str" cm="1">
        <f t="array" aca="1" ref="P245" ca="1">IF(AND($Q$12,B269&lt;=$C$17,C269&lt;&gt;""),TRANSPOSE(INDEX(GetCDS(C269,$C$6,$C$29,F269,D269,$C$13,$C$14,$C$15,$C$8,,,TRUE,TRUE,FALSE,$C$29:$C$31,$C$33),{1;2;3;4;5})),"")</f>
        <v/>
      </c>
      <c r="Q245" s="456"/>
      <c r="R245" s="456"/>
      <c r="S245" s="457"/>
      <c r="T245" s="458"/>
      <c r="U245" s="459" t="str">
        <f t="shared" ca="1" si="15"/>
        <v/>
      </c>
      <c r="V245" s="460" t="str">
        <f t="shared" ca="1" si="16"/>
        <v/>
      </c>
      <c r="W245" s="459" t="str">
        <f t="shared" ca="1" si="17"/>
        <v/>
      </c>
      <c r="X245" s="461" t="str">
        <f t="shared" ca="1" si="18"/>
        <v/>
      </c>
      <c r="Y245" s="460" t="str">
        <f t="shared" ca="1" si="19"/>
        <v/>
      </c>
      <c r="Z245" s="79"/>
    </row>
    <row r="246" spans="1:26" customFormat="1" ht="15">
      <c r="A246" s="232"/>
      <c r="B246" s="295">
        <v>208</v>
      </c>
      <c r="C246" s="265"/>
      <c r="D246" s="266"/>
      <c r="E246" s="256"/>
      <c r="F246" s="239"/>
      <c r="G246" s="246"/>
      <c r="H246" s="405">
        <v>232</v>
      </c>
      <c r="I246" s="424"/>
      <c r="J246" s="424"/>
      <c r="K246" s="436"/>
      <c r="L246" s="436"/>
      <c r="M246" s="436"/>
      <c r="N246" s="437"/>
      <c r="P246" s="455" t="str" cm="1">
        <f t="array" aca="1" ref="P246" ca="1">IF(AND($Q$12,B270&lt;=$C$17,C270&lt;&gt;""),TRANSPOSE(INDEX(GetCDS(C270,$C$6,$C$29,F270,D270,$C$13,$C$14,$C$15,$C$8,,,TRUE,TRUE,FALSE,$C$29:$C$31,$C$33),{1;2;3;4;5})),"")</f>
        <v/>
      </c>
      <c r="Q246" s="456"/>
      <c r="R246" s="456"/>
      <c r="S246" s="457"/>
      <c r="T246" s="458"/>
      <c r="U246" s="459" t="str">
        <f t="shared" ca="1" si="15"/>
        <v/>
      </c>
      <c r="V246" s="460" t="str">
        <f t="shared" ca="1" si="16"/>
        <v/>
      </c>
      <c r="W246" s="459" t="str">
        <f t="shared" ca="1" si="17"/>
        <v/>
      </c>
      <c r="X246" s="461" t="str">
        <f t="shared" ca="1" si="18"/>
        <v/>
      </c>
      <c r="Y246" s="460" t="str">
        <f t="shared" ca="1" si="19"/>
        <v/>
      </c>
      <c r="Z246" s="79"/>
    </row>
    <row r="247" spans="1:26" customFormat="1" ht="15">
      <c r="A247" s="232"/>
      <c r="B247" s="295">
        <v>209</v>
      </c>
      <c r="C247" s="265"/>
      <c r="D247" s="266"/>
      <c r="E247" s="256"/>
      <c r="F247" s="239"/>
      <c r="G247" s="246"/>
      <c r="H247" s="405">
        <v>233</v>
      </c>
      <c r="I247" s="424"/>
      <c r="J247" s="424"/>
      <c r="K247" s="436"/>
      <c r="L247" s="436"/>
      <c r="M247" s="436"/>
      <c r="N247" s="437"/>
      <c r="P247" s="455" t="str" cm="1">
        <f t="array" aca="1" ref="P247" ca="1">IF(AND($Q$12,B271&lt;=$C$17,C271&lt;&gt;""),TRANSPOSE(INDEX(GetCDS(C271,$C$6,$C$29,F271,D271,$C$13,$C$14,$C$15,$C$8,,,TRUE,TRUE,FALSE,$C$29:$C$31,$C$33),{1;2;3;4;5})),"")</f>
        <v/>
      </c>
      <c r="Q247" s="456"/>
      <c r="R247" s="456"/>
      <c r="S247" s="457"/>
      <c r="T247" s="458"/>
      <c r="U247" s="459" t="str">
        <f t="shared" ca="1" si="15"/>
        <v/>
      </c>
      <c r="V247" s="460" t="str">
        <f t="shared" ca="1" si="16"/>
        <v/>
      </c>
      <c r="W247" s="459" t="str">
        <f t="shared" ca="1" si="17"/>
        <v/>
      </c>
      <c r="X247" s="461" t="str">
        <f t="shared" ca="1" si="18"/>
        <v/>
      </c>
      <c r="Y247" s="460" t="str">
        <f t="shared" ca="1" si="19"/>
        <v/>
      </c>
      <c r="Z247" s="79"/>
    </row>
    <row r="248" spans="1:26" customFormat="1" ht="15">
      <c r="A248" s="232"/>
      <c r="B248" s="295">
        <v>210</v>
      </c>
      <c r="C248" s="265"/>
      <c r="D248" s="266"/>
      <c r="E248" s="256"/>
      <c r="F248" s="239"/>
      <c r="G248" s="246"/>
      <c r="H248" s="405">
        <v>234</v>
      </c>
      <c r="I248" s="424"/>
      <c r="J248" s="424"/>
      <c r="K248" s="436"/>
      <c r="L248" s="436"/>
      <c r="M248" s="436"/>
      <c r="N248" s="437"/>
      <c r="P248" s="455" t="str" cm="1">
        <f t="array" aca="1" ref="P248" ca="1">IF(AND($Q$12,B272&lt;=$C$17,C272&lt;&gt;""),TRANSPOSE(INDEX(GetCDS(C272,$C$6,$C$29,F272,D272,$C$13,$C$14,$C$15,$C$8,,,TRUE,TRUE,FALSE,$C$29:$C$31,$C$33),{1;2;3;4;5})),"")</f>
        <v/>
      </c>
      <c r="Q248" s="456"/>
      <c r="R248" s="456"/>
      <c r="S248" s="457"/>
      <c r="T248" s="458"/>
      <c r="U248" s="459" t="str">
        <f t="shared" ca="1" si="15"/>
        <v/>
      </c>
      <c r="V248" s="460" t="str">
        <f t="shared" ca="1" si="16"/>
        <v/>
      </c>
      <c r="W248" s="459" t="str">
        <f t="shared" ca="1" si="17"/>
        <v/>
      </c>
      <c r="X248" s="461" t="str">
        <f t="shared" ca="1" si="18"/>
        <v/>
      </c>
      <c r="Y248" s="460" t="str">
        <f t="shared" ca="1" si="19"/>
        <v/>
      </c>
      <c r="Z248" s="79"/>
    </row>
    <row r="249" spans="1:26" customFormat="1" ht="15">
      <c r="A249" s="232"/>
      <c r="B249" s="295">
        <v>211</v>
      </c>
      <c r="C249" s="265"/>
      <c r="D249" s="266"/>
      <c r="E249" s="256"/>
      <c r="F249" s="239"/>
      <c r="G249" s="246"/>
      <c r="H249" s="405">
        <v>235</v>
      </c>
      <c r="I249" s="424"/>
      <c r="J249" s="424"/>
      <c r="K249" s="436"/>
      <c r="L249" s="436"/>
      <c r="M249" s="436"/>
      <c r="N249" s="437"/>
      <c r="P249" s="455" t="str" cm="1">
        <f t="array" aca="1" ref="P249" ca="1">IF(AND($Q$12,B273&lt;=$C$17,C273&lt;&gt;""),TRANSPOSE(INDEX(GetCDS(C273,$C$6,$C$29,F273,D273,$C$13,$C$14,$C$15,$C$8,,,TRUE,TRUE,FALSE,$C$29:$C$31,$C$33),{1;2;3;4;5})),"")</f>
        <v/>
      </c>
      <c r="Q249" s="456"/>
      <c r="R249" s="456"/>
      <c r="S249" s="457"/>
      <c r="T249" s="458"/>
      <c r="U249" s="459" t="str">
        <f t="shared" ca="1" si="15"/>
        <v/>
      </c>
      <c r="V249" s="460" t="str">
        <f t="shared" ca="1" si="16"/>
        <v/>
      </c>
      <c r="W249" s="459" t="str">
        <f t="shared" ca="1" si="17"/>
        <v/>
      </c>
      <c r="X249" s="461" t="str">
        <f t="shared" ca="1" si="18"/>
        <v/>
      </c>
      <c r="Y249" s="460" t="str">
        <f t="shared" ca="1" si="19"/>
        <v/>
      </c>
      <c r="Z249" s="79"/>
    </row>
    <row r="250" spans="1:26" customFormat="1" ht="15">
      <c r="A250" s="232"/>
      <c r="B250" s="295">
        <v>212</v>
      </c>
      <c r="C250" s="265"/>
      <c r="D250" s="266"/>
      <c r="E250" s="256"/>
      <c r="F250" s="239"/>
      <c r="G250" s="246"/>
      <c r="H250" s="405">
        <v>236</v>
      </c>
      <c r="I250" s="424"/>
      <c r="J250" s="424"/>
      <c r="K250" s="436"/>
      <c r="L250" s="436"/>
      <c r="M250" s="436"/>
      <c r="N250" s="437"/>
      <c r="P250" s="455" t="str" cm="1">
        <f t="array" aca="1" ref="P250" ca="1">IF(AND($Q$12,B274&lt;=$C$17,C274&lt;&gt;""),TRANSPOSE(INDEX(GetCDS(C274,$C$6,$C$29,F274,D274,$C$13,$C$14,$C$15,$C$8,,,TRUE,TRUE,FALSE,$C$29:$C$31,$C$33),{1;2;3;4;5})),"")</f>
        <v/>
      </c>
      <c r="Q250" s="456"/>
      <c r="R250" s="456"/>
      <c r="S250" s="457"/>
      <c r="T250" s="458"/>
      <c r="U250" s="459" t="str">
        <f t="shared" ca="1" si="15"/>
        <v/>
      </c>
      <c r="V250" s="460" t="str">
        <f t="shared" ca="1" si="16"/>
        <v/>
      </c>
      <c r="W250" s="459" t="str">
        <f t="shared" ca="1" si="17"/>
        <v/>
      </c>
      <c r="X250" s="461" t="str">
        <f t="shared" ca="1" si="18"/>
        <v/>
      </c>
      <c r="Y250" s="460" t="str">
        <f t="shared" ca="1" si="19"/>
        <v/>
      </c>
      <c r="Z250" s="79"/>
    </row>
    <row r="251" spans="1:26" customFormat="1" ht="15">
      <c r="A251" s="232"/>
      <c r="B251" s="295">
        <v>213</v>
      </c>
      <c r="C251" s="265"/>
      <c r="D251" s="266"/>
      <c r="E251" s="256"/>
      <c r="F251" s="239"/>
      <c r="G251" s="246"/>
      <c r="H251" s="405">
        <v>237</v>
      </c>
      <c r="I251" s="424"/>
      <c r="J251" s="424"/>
      <c r="K251" s="436"/>
      <c r="L251" s="436"/>
      <c r="M251" s="436"/>
      <c r="N251" s="437"/>
      <c r="P251" s="455" t="str" cm="1">
        <f t="array" aca="1" ref="P251" ca="1">IF(AND($Q$12,B275&lt;=$C$17,C275&lt;&gt;""),TRANSPOSE(INDEX(GetCDS(C275,$C$6,$C$29,F275,D275,$C$13,$C$14,$C$15,$C$8,,,TRUE,TRUE,FALSE,$C$29:$C$31,$C$33),{1;2;3;4;5})),"")</f>
        <v/>
      </c>
      <c r="Q251" s="456"/>
      <c r="R251" s="456"/>
      <c r="S251" s="457"/>
      <c r="T251" s="458"/>
      <c r="U251" s="459" t="str">
        <f t="shared" ca="1" si="15"/>
        <v/>
      </c>
      <c r="V251" s="460" t="str">
        <f t="shared" ca="1" si="16"/>
        <v/>
      </c>
      <c r="W251" s="459" t="str">
        <f t="shared" ca="1" si="17"/>
        <v/>
      </c>
      <c r="X251" s="461" t="str">
        <f t="shared" ca="1" si="18"/>
        <v/>
      </c>
      <c r="Y251" s="460" t="str">
        <f t="shared" ca="1" si="19"/>
        <v/>
      </c>
      <c r="Z251" s="79"/>
    </row>
    <row r="252" spans="1:26" customFormat="1" ht="15">
      <c r="A252" s="232"/>
      <c r="B252" s="295">
        <v>214</v>
      </c>
      <c r="C252" s="265"/>
      <c r="D252" s="266"/>
      <c r="E252" s="256"/>
      <c r="F252" s="239"/>
      <c r="G252" s="246"/>
      <c r="H252" s="405">
        <v>238</v>
      </c>
      <c r="I252" s="424"/>
      <c r="J252" s="424"/>
      <c r="K252" s="436"/>
      <c r="L252" s="436"/>
      <c r="M252" s="436"/>
      <c r="N252" s="437"/>
      <c r="P252" s="455" t="str" cm="1">
        <f t="array" aca="1" ref="P252" ca="1">IF(AND($Q$12,B276&lt;=$C$17,C276&lt;&gt;""),TRANSPOSE(INDEX(GetCDS(C276,$C$6,$C$29,F276,D276,$C$13,$C$14,$C$15,$C$8,,,TRUE,TRUE,FALSE,$C$29:$C$31,$C$33),{1;2;3;4;5})),"")</f>
        <v/>
      </c>
      <c r="Q252" s="456"/>
      <c r="R252" s="456"/>
      <c r="S252" s="457"/>
      <c r="T252" s="458"/>
      <c r="U252" s="459" t="str">
        <f t="shared" ca="1" si="15"/>
        <v/>
      </c>
      <c r="V252" s="460" t="str">
        <f t="shared" ca="1" si="16"/>
        <v/>
      </c>
      <c r="W252" s="459" t="str">
        <f t="shared" ca="1" si="17"/>
        <v/>
      </c>
      <c r="X252" s="461" t="str">
        <f t="shared" ca="1" si="18"/>
        <v/>
      </c>
      <c r="Y252" s="460" t="str">
        <f t="shared" ca="1" si="19"/>
        <v/>
      </c>
      <c r="Z252" s="79"/>
    </row>
    <row r="253" spans="1:26" customFormat="1" ht="15">
      <c r="A253" s="232"/>
      <c r="B253" s="295">
        <v>215</v>
      </c>
      <c r="C253" s="265"/>
      <c r="D253" s="266"/>
      <c r="E253" s="256"/>
      <c r="F253" s="239"/>
      <c r="G253" s="246"/>
      <c r="H253" s="405">
        <v>239</v>
      </c>
      <c r="I253" s="424"/>
      <c r="J253" s="424"/>
      <c r="K253" s="436"/>
      <c r="L253" s="436"/>
      <c r="M253" s="436"/>
      <c r="N253" s="437"/>
      <c r="P253" s="455" t="str" cm="1">
        <f t="array" aca="1" ref="P253" ca="1">IF(AND($Q$12,B277&lt;=$C$17,C277&lt;&gt;""),TRANSPOSE(INDEX(GetCDS(C277,$C$6,$C$29,F277,D277,$C$13,$C$14,$C$15,$C$8,,,TRUE,TRUE,FALSE,$C$29:$C$31,$C$33),{1;2;3;4;5})),"")</f>
        <v/>
      </c>
      <c r="Q253" s="456"/>
      <c r="R253" s="456"/>
      <c r="S253" s="457"/>
      <c r="T253" s="458"/>
      <c r="U253" s="459" t="str">
        <f t="shared" ca="1" si="15"/>
        <v/>
      </c>
      <c r="V253" s="460" t="str">
        <f t="shared" ca="1" si="16"/>
        <v/>
      </c>
      <c r="W253" s="459" t="str">
        <f t="shared" ca="1" si="17"/>
        <v/>
      </c>
      <c r="X253" s="461" t="str">
        <f t="shared" ca="1" si="18"/>
        <v/>
      </c>
      <c r="Y253" s="460" t="str">
        <f t="shared" ca="1" si="19"/>
        <v/>
      </c>
      <c r="Z253" s="79"/>
    </row>
    <row r="254" spans="1:26" customFormat="1" ht="15">
      <c r="A254" s="232"/>
      <c r="B254" s="295">
        <v>216</v>
      </c>
      <c r="C254" s="265"/>
      <c r="D254" s="266"/>
      <c r="E254" s="256"/>
      <c r="F254" s="239"/>
      <c r="G254" s="246"/>
      <c r="H254" s="405">
        <v>240</v>
      </c>
      <c r="I254" s="424"/>
      <c r="J254" s="424"/>
      <c r="K254" s="436"/>
      <c r="L254" s="436"/>
      <c r="M254" s="436"/>
      <c r="N254" s="437"/>
      <c r="P254" s="455" t="str" cm="1">
        <f t="array" aca="1" ref="P254" ca="1">IF(AND($Q$12,B278&lt;=$C$17,C278&lt;&gt;""),TRANSPOSE(INDEX(GetCDS(C278,$C$6,$C$29,F278,D278,$C$13,$C$14,$C$15,$C$8,,,TRUE,TRUE,FALSE,$C$29:$C$31,$C$33),{1;2;3;4;5})),"")</f>
        <v/>
      </c>
      <c r="Q254" s="456"/>
      <c r="R254" s="456"/>
      <c r="S254" s="457"/>
      <c r="T254" s="458"/>
      <c r="U254" s="459" t="str">
        <f t="shared" ca="1" si="15"/>
        <v/>
      </c>
      <c r="V254" s="460" t="str">
        <f t="shared" ca="1" si="16"/>
        <v/>
      </c>
      <c r="W254" s="459" t="str">
        <f t="shared" ca="1" si="17"/>
        <v/>
      </c>
      <c r="X254" s="461" t="str">
        <f t="shared" ca="1" si="18"/>
        <v/>
      </c>
      <c r="Y254" s="460" t="str">
        <f t="shared" ca="1" si="19"/>
        <v/>
      </c>
      <c r="Z254" s="79"/>
    </row>
    <row r="255" spans="1:26" customFormat="1" ht="15">
      <c r="A255" s="232"/>
      <c r="B255" s="295">
        <v>217</v>
      </c>
      <c r="C255" s="265"/>
      <c r="D255" s="266"/>
      <c r="E255" s="256"/>
      <c r="F255" s="239"/>
      <c r="G255" s="246"/>
      <c r="H255" s="405">
        <v>241</v>
      </c>
      <c r="I255" s="424"/>
      <c r="J255" s="424"/>
      <c r="K255" s="436"/>
      <c r="L255" s="436"/>
      <c r="M255" s="436"/>
      <c r="N255" s="437"/>
      <c r="P255" s="455" t="str" cm="1">
        <f t="array" aca="1" ref="P255" ca="1">IF(AND($Q$12,B279&lt;=$C$17,C279&lt;&gt;""),TRANSPOSE(INDEX(GetCDS(C279,$C$6,$C$29,F279,D279,$C$13,$C$14,$C$15,$C$8,,,TRUE,TRUE,FALSE,$C$29:$C$31,$C$33),{1;2;3;4;5})),"")</f>
        <v/>
      </c>
      <c r="Q255" s="456"/>
      <c r="R255" s="456"/>
      <c r="S255" s="457"/>
      <c r="T255" s="458"/>
      <c r="U255" s="459" t="str">
        <f t="shared" ca="1" si="15"/>
        <v/>
      </c>
      <c r="V255" s="460" t="str">
        <f t="shared" ca="1" si="16"/>
        <v/>
      </c>
      <c r="W255" s="459" t="str">
        <f t="shared" ca="1" si="17"/>
        <v/>
      </c>
      <c r="X255" s="461" t="str">
        <f t="shared" ca="1" si="18"/>
        <v/>
      </c>
      <c r="Y255" s="460" t="str">
        <f t="shared" ca="1" si="19"/>
        <v/>
      </c>
      <c r="Z255" s="79"/>
    </row>
    <row r="256" spans="1:26" customFormat="1" ht="15">
      <c r="A256" s="232"/>
      <c r="B256" s="295">
        <v>218</v>
      </c>
      <c r="C256" s="265"/>
      <c r="D256" s="266"/>
      <c r="E256" s="256"/>
      <c r="F256" s="239"/>
      <c r="G256" s="246"/>
      <c r="H256" s="405">
        <v>242</v>
      </c>
      <c r="I256" s="424"/>
      <c r="J256" s="424"/>
      <c r="K256" s="436"/>
      <c r="L256" s="436"/>
      <c r="M256" s="436"/>
      <c r="N256" s="437"/>
      <c r="P256" s="455" t="str" cm="1">
        <f t="array" aca="1" ref="P256" ca="1">IF(AND($Q$12,B280&lt;=$C$17,C280&lt;&gt;""),TRANSPOSE(INDEX(GetCDS(C280,$C$6,$C$29,F280,D280,$C$13,$C$14,$C$15,$C$8,,,TRUE,TRUE,FALSE,$C$29:$C$31,$C$33),{1;2;3;4;5})),"")</f>
        <v/>
      </c>
      <c r="Q256" s="456"/>
      <c r="R256" s="456"/>
      <c r="S256" s="457"/>
      <c r="T256" s="458"/>
      <c r="U256" s="459" t="str">
        <f t="shared" ca="1" si="15"/>
        <v/>
      </c>
      <c r="V256" s="460" t="str">
        <f t="shared" ca="1" si="16"/>
        <v/>
      </c>
      <c r="W256" s="459" t="str">
        <f t="shared" ca="1" si="17"/>
        <v/>
      </c>
      <c r="X256" s="461" t="str">
        <f t="shared" ca="1" si="18"/>
        <v/>
      </c>
      <c r="Y256" s="460" t="str">
        <f t="shared" ca="1" si="19"/>
        <v/>
      </c>
      <c r="Z256" s="79"/>
    </row>
    <row r="257" spans="1:26" customFormat="1" ht="15">
      <c r="A257" s="232"/>
      <c r="B257" s="295">
        <v>219</v>
      </c>
      <c r="C257" s="265"/>
      <c r="D257" s="266"/>
      <c r="E257" s="256"/>
      <c r="F257" s="239"/>
      <c r="G257" s="246"/>
      <c r="H257" s="405">
        <v>243</v>
      </c>
      <c r="I257" s="424"/>
      <c r="J257" s="424"/>
      <c r="K257" s="436"/>
      <c r="L257" s="436"/>
      <c r="M257" s="436"/>
      <c r="N257" s="437"/>
      <c r="P257" s="455" t="str" cm="1">
        <f t="array" aca="1" ref="P257" ca="1">IF(AND($Q$12,B281&lt;=$C$17,C281&lt;&gt;""),TRANSPOSE(INDEX(GetCDS(C281,$C$6,$C$29,F281,D281,$C$13,$C$14,$C$15,$C$8,,,TRUE,TRUE,FALSE,$C$29:$C$31,$C$33),{1;2;3;4;5})),"")</f>
        <v/>
      </c>
      <c r="Q257" s="456"/>
      <c r="R257" s="456"/>
      <c r="S257" s="457"/>
      <c r="T257" s="458"/>
      <c r="U257" s="459" t="str">
        <f t="shared" ca="1" si="15"/>
        <v/>
      </c>
      <c r="V257" s="460" t="str">
        <f t="shared" ca="1" si="16"/>
        <v/>
      </c>
      <c r="W257" s="459" t="str">
        <f t="shared" ca="1" si="17"/>
        <v/>
      </c>
      <c r="X257" s="461" t="str">
        <f t="shared" ca="1" si="18"/>
        <v/>
      </c>
      <c r="Y257" s="460" t="str">
        <f t="shared" ca="1" si="19"/>
        <v/>
      </c>
      <c r="Z257" s="79"/>
    </row>
    <row r="258" spans="1:26" customFormat="1" ht="15">
      <c r="A258" s="232"/>
      <c r="B258" s="295">
        <v>220</v>
      </c>
      <c r="C258" s="265"/>
      <c r="D258" s="266"/>
      <c r="E258" s="256"/>
      <c r="F258" s="239"/>
      <c r="G258" s="246"/>
      <c r="H258" s="405">
        <v>244</v>
      </c>
      <c r="I258" s="424"/>
      <c r="J258" s="424"/>
      <c r="K258" s="436"/>
      <c r="L258" s="436"/>
      <c r="M258" s="436"/>
      <c r="N258" s="437"/>
      <c r="P258" s="455" t="str" cm="1">
        <f t="array" aca="1" ref="P258" ca="1">IF(AND($Q$12,B282&lt;=$C$17,C282&lt;&gt;""),TRANSPOSE(INDEX(GetCDS(C282,$C$6,$C$29,F282,D282,$C$13,$C$14,$C$15,$C$8,,,TRUE,TRUE,FALSE,$C$29:$C$31,$C$33),{1;2;3;4;5})),"")</f>
        <v/>
      </c>
      <c r="Q258" s="456"/>
      <c r="R258" s="456"/>
      <c r="S258" s="457"/>
      <c r="T258" s="458"/>
      <c r="U258" s="459" t="str">
        <f t="shared" ca="1" si="15"/>
        <v/>
      </c>
      <c r="V258" s="460" t="str">
        <f t="shared" ca="1" si="16"/>
        <v/>
      </c>
      <c r="W258" s="459" t="str">
        <f t="shared" ca="1" si="17"/>
        <v/>
      </c>
      <c r="X258" s="461" t="str">
        <f t="shared" ca="1" si="18"/>
        <v/>
      </c>
      <c r="Y258" s="460" t="str">
        <f t="shared" ca="1" si="19"/>
        <v/>
      </c>
      <c r="Z258" s="79"/>
    </row>
    <row r="259" spans="1:26" customFormat="1" ht="15">
      <c r="A259" s="232"/>
      <c r="B259" s="295">
        <v>221</v>
      </c>
      <c r="C259" s="265"/>
      <c r="D259" s="266"/>
      <c r="E259" s="256"/>
      <c r="F259" s="239"/>
      <c r="G259" s="246"/>
      <c r="H259" s="405">
        <v>245</v>
      </c>
      <c r="I259" s="424"/>
      <c r="J259" s="424"/>
      <c r="K259" s="436"/>
      <c r="L259" s="436"/>
      <c r="M259" s="436"/>
      <c r="N259" s="437"/>
      <c r="P259" s="455" t="str" cm="1">
        <f t="array" aca="1" ref="P259" ca="1">IF(AND($Q$12,B283&lt;=$C$17,C283&lt;&gt;""),TRANSPOSE(INDEX(GetCDS(C283,$C$6,$C$29,F283,D283,$C$13,$C$14,$C$15,$C$8,,,TRUE,TRUE,FALSE,$C$29:$C$31,$C$33),{1;2;3;4;5})),"")</f>
        <v/>
      </c>
      <c r="Q259" s="456"/>
      <c r="R259" s="456"/>
      <c r="S259" s="457"/>
      <c r="T259" s="458"/>
      <c r="U259" s="459" t="str">
        <f t="shared" ca="1" si="15"/>
        <v/>
      </c>
      <c r="V259" s="460" t="str">
        <f t="shared" ca="1" si="16"/>
        <v/>
      </c>
      <c r="W259" s="459" t="str">
        <f t="shared" ca="1" si="17"/>
        <v/>
      </c>
      <c r="X259" s="461" t="str">
        <f t="shared" ca="1" si="18"/>
        <v/>
      </c>
      <c r="Y259" s="460" t="str">
        <f t="shared" ca="1" si="19"/>
        <v/>
      </c>
      <c r="Z259" s="79"/>
    </row>
    <row r="260" spans="1:26" customFormat="1" ht="15">
      <c r="A260" s="232"/>
      <c r="B260" s="295">
        <v>222</v>
      </c>
      <c r="C260" s="265"/>
      <c r="D260" s="266"/>
      <c r="E260" s="256"/>
      <c r="F260" s="239"/>
      <c r="G260" s="246"/>
      <c r="H260" s="405">
        <v>246</v>
      </c>
      <c r="I260" s="424"/>
      <c r="J260" s="424"/>
      <c r="K260" s="436"/>
      <c r="L260" s="436"/>
      <c r="M260" s="436"/>
      <c r="N260" s="437"/>
      <c r="P260" s="455" t="str" cm="1">
        <f t="array" aca="1" ref="P260" ca="1">IF(AND($Q$12,B284&lt;=$C$17,C284&lt;&gt;""),TRANSPOSE(INDEX(GetCDS(C284,$C$6,$C$29,F284,D284,$C$13,$C$14,$C$15,$C$8,,,TRUE,TRUE,FALSE,$C$29:$C$31,$C$33),{1;2;3;4;5})),"")</f>
        <v/>
      </c>
      <c r="Q260" s="456"/>
      <c r="R260" s="456"/>
      <c r="S260" s="457"/>
      <c r="T260" s="458"/>
      <c r="U260" s="459" t="str">
        <f t="shared" ca="1" si="15"/>
        <v/>
      </c>
      <c r="V260" s="460" t="str">
        <f t="shared" ca="1" si="16"/>
        <v/>
      </c>
      <c r="W260" s="459" t="str">
        <f t="shared" ca="1" si="17"/>
        <v/>
      </c>
      <c r="X260" s="461" t="str">
        <f t="shared" ca="1" si="18"/>
        <v/>
      </c>
      <c r="Y260" s="460" t="str">
        <f t="shared" ca="1" si="19"/>
        <v/>
      </c>
      <c r="Z260" s="79"/>
    </row>
    <row r="261" spans="1:26" customFormat="1" ht="15">
      <c r="A261" s="232"/>
      <c r="B261" s="295">
        <v>223</v>
      </c>
      <c r="C261" s="265"/>
      <c r="D261" s="266"/>
      <c r="E261" s="256"/>
      <c r="F261" s="239"/>
      <c r="G261" s="246"/>
      <c r="H261" s="405">
        <v>247</v>
      </c>
      <c r="I261" s="424"/>
      <c r="J261" s="424"/>
      <c r="K261" s="436"/>
      <c r="L261" s="436"/>
      <c r="M261" s="436"/>
      <c r="N261" s="437"/>
      <c r="P261" s="455" t="str" cm="1">
        <f t="array" aca="1" ref="P261" ca="1">IF(AND($Q$12,B285&lt;=$C$17,C285&lt;&gt;""),TRANSPOSE(INDEX(GetCDS(C285,$C$6,$C$29,F285,D285,$C$13,$C$14,$C$15,$C$8,,,TRUE,TRUE,FALSE,$C$29:$C$31,$C$33),{1;2;3;4;5})),"")</f>
        <v/>
      </c>
      <c r="Q261" s="456"/>
      <c r="R261" s="456"/>
      <c r="S261" s="457"/>
      <c r="T261" s="458"/>
      <c r="U261" s="459" t="str">
        <f t="shared" ca="1" si="15"/>
        <v/>
      </c>
      <c r="V261" s="460" t="str">
        <f t="shared" ca="1" si="16"/>
        <v/>
      </c>
      <c r="W261" s="459" t="str">
        <f t="shared" ca="1" si="17"/>
        <v/>
      </c>
      <c r="X261" s="461" t="str">
        <f t="shared" ca="1" si="18"/>
        <v/>
      </c>
      <c r="Y261" s="460" t="str">
        <f t="shared" ca="1" si="19"/>
        <v/>
      </c>
      <c r="Z261" s="79"/>
    </row>
    <row r="262" spans="1:26" customFormat="1" ht="15">
      <c r="A262" s="232"/>
      <c r="B262" s="295">
        <v>224</v>
      </c>
      <c r="C262" s="265"/>
      <c r="D262" s="266"/>
      <c r="E262" s="256"/>
      <c r="F262" s="239"/>
      <c r="G262" s="246"/>
      <c r="H262" s="405">
        <v>248</v>
      </c>
      <c r="I262" s="424"/>
      <c r="J262" s="424"/>
      <c r="K262" s="436"/>
      <c r="L262" s="436"/>
      <c r="M262" s="436"/>
      <c r="N262" s="437"/>
      <c r="P262" s="455" t="str" cm="1">
        <f t="array" aca="1" ref="P262" ca="1">IF(AND($Q$12,B286&lt;=$C$17,C286&lt;&gt;""),TRANSPOSE(INDEX(GetCDS(C286,$C$6,$C$29,F286,D286,$C$13,$C$14,$C$15,$C$8,,,TRUE,TRUE,FALSE,$C$29:$C$31,$C$33),{1;2;3;4;5})),"")</f>
        <v/>
      </c>
      <c r="Q262" s="456"/>
      <c r="R262" s="456"/>
      <c r="S262" s="457"/>
      <c r="T262" s="458"/>
      <c r="U262" s="459" t="str">
        <f t="shared" ca="1" si="15"/>
        <v/>
      </c>
      <c r="V262" s="460" t="str">
        <f t="shared" ca="1" si="16"/>
        <v/>
      </c>
      <c r="W262" s="459" t="str">
        <f t="shared" ca="1" si="17"/>
        <v/>
      </c>
      <c r="X262" s="461" t="str">
        <f t="shared" ca="1" si="18"/>
        <v/>
      </c>
      <c r="Y262" s="460" t="str">
        <f t="shared" ca="1" si="19"/>
        <v/>
      </c>
      <c r="Z262" s="79"/>
    </row>
    <row r="263" spans="1:26" customFormat="1" ht="15">
      <c r="A263" s="232"/>
      <c r="B263" s="295">
        <v>225</v>
      </c>
      <c r="C263" s="265"/>
      <c r="D263" s="266"/>
      <c r="E263" s="256"/>
      <c r="F263" s="239"/>
      <c r="G263" s="246"/>
      <c r="H263" s="405">
        <v>249</v>
      </c>
      <c r="I263" s="424"/>
      <c r="J263" s="424"/>
      <c r="K263" s="436"/>
      <c r="L263" s="436"/>
      <c r="M263" s="436"/>
      <c r="N263" s="437"/>
      <c r="P263" s="455" t="str" cm="1">
        <f t="array" aca="1" ref="P263" ca="1">IF(AND($Q$12,B287&lt;=$C$17,C287&lt;&gt;""),TRANSPOSE(INDEX(GetCDS(C287,$C$6,$C$29,F287,D287,$C$13,$C$14,$C$15,$C$8,,,TRUE,TRUE,FALSE,$C$29:$C$31,$C$33),{1;2;3;4;5})),"")</f>
        <v/>
      </c>
      <c r="Q263" s="456"/>
      <c r="R263" s="456"/>
      <c r="S263" s="457"/>
      <c r="T263" s="458"/>
      <c r="U263" s="459" t="str">
        <f t="shared" ca="1" si="15"/>
        <v/>
      </c>
      <c r="V263" s="460" t="str">
        <f t="shared" ca="1" si="16"/>
        <v/>
      </c>
      <c r="W263" s="459" t="str">
        <f t="shared" ca="1" si="17"/>
        <v/>
      </c>
      <c r="X263" s="461" t="str">
        <f t="shared" ca="1" si="18"/>
        <v/>
      </c>
      <c r="Y263" s="460" t="str">
        <f t="shared" ca="1" si="19"/>
        <v/>
      </c>
      <c r="Z263" s="79"/>
    </row>
    <row r="264" spans="1:26" customFormat="1" ht="15">
      <c r="A264" s="232"/>
      <c r="B264" s="295">
        <v>226</v>
      </c>
      <c r="C264" s="265"/>
      <c r="D264" s="266"/>
      <c r="E264" s="256"/>
      <c r="F264" s="239"/>
      <c r="G264" s="246"/>
      <c r="H264" s="405">
        <v>250</v>
      </c>
      <c r="I264" s="424"/>
      <c r="J264" s="424"/>
      <c r="K264" s="436"/>
      <c r="L264" s="436"/>
      <c r="M264" s="436"/>
      <c r="N264" s="437"/>
      <c r="P264" s="455" t="str" cm="1">
        <f t="array" aca="1" ref="P264" ca="1">IF(AND($Q$12,B288&lt;=$C$17,C288&lt;&gt;""),TRANSPOSE(INDEX(GetCDS(C288,$C$6,$C$29,F288,D288,$C$13,$C$14,$C$15,$C$8,,,TRUE,TRUE,FALSE,$C$29:$C$31,$C$33),{1;2;3;4;5})),"")</f>
        <v/>
      </c>
      <c r="Q264" s="456"/>
      <c r="R264" s="456"/>
      <c r="S264" s="457"/>
      <c r="T264" s="458"/>
      <c r="U264" s="459" t="str">
        <f t="shared" ca="1" si="15"/>
        <v/>
      </c>
      <c r="V264" s="460" t="str">
        <f t="shared" ca="1" si="16"/>
        <v/>
      </c>
      <c r="W264" s="459" t="str">
        <f t="shared" ca="1" si="17"/>
        <v/>
      </c>
      <c r="X264" s="461" t="str">
        <f t="shared" ca="1" si="18"/>
        <v/>
      </c>
      <c r="Y264" s="460" t="str">
        <f t="shared" ca="1" si="19"/>
        <v/>
      </c>
      <c r="Z264" s="79"/>
    </row>
    <row r="265" spans="1:26" customFormat="1" ht="15">
      <c r="A265" s="232"/>
      <c r="B265" s="295">
        <v>227</v>
      </c>
      <c r="C265" s="265"/>
      <c r="D265" s="266"/>
      <c r="E265" s="256"/>
      <c r="F265" s="239"/>
      <c r="G265" s="246"/>
      <c r="H265" s="405">
        <v>251</v>
      </c>
      <c r="I265" s="424"/>
      <c r="J265" s="424"/>
      <c r="K265" s="436"/>
      <c r="L265" s="436"/>
      <c r="M265" s="436"/>
      <c r="N265" s="437"/>
      <c r="P265" s="455" t="str" cm="1">
        <f t="array" aca="1" ref="P265" ca="1">IF(AND($Q$12,B289&lt;=$C$17,C289&lt;&gt;""),TRANSPOSE(INDEX(GetCDS(C289,$C$6,$C$29,F289,D289,$C$13,$C$14,$C$15,$C$8,,,TRUE,TRUE,FALSE,$C$29:$C$31,$C$33),{1;2;3;4;5})),"")</f>
        <v/>
      </c>
      <c r="Q265" s="456"/>
      <c r="R265" s="456"/>
      <c r="S265" s="457"/>
      <c r="T265" s="458"/>
      <c r="U265" s="459" t="str">
        <f t="shared" ca="1" si="15"/>
        <v/>
      </c>
      <c r="V265" s="460" t="str">
        <f t="shared" ca="1" si="16"/>
        <v/>
      </c>
      <c r="W265" s="459" t="str">
        <f t="shared" ca="1" si="17"/>
        <v/>
      </c>
      <c r="X265" s="461" t="str">
        <f t="shared" ca="1" si="18"/>
        <v/>
      </c>
      <c r="Y265" s="460" t="str">
        <f t="shared" ca="1" si="19"/>
        <v/>
      </c>
      <c r="Z265" s="79"/>
    </row>
    <row r="266" spans="1:26" customFormat="1" ht="15">
      <c r="A266" s="232"/>
      <c r="B266" s="295">
        <v>228</v>
      </c>
      <c r="C266" s="265"/>
      <c r="D266" s="266"/>
      <c r="E266" s="256"/>
      <c r="F266" s="239"/>
      <c r="G266" s="246"/>
      <c r="H266" s="405">
        <v>252</v>
      </c>
      <c r="I266" s="424"/>
      <c r="J266" s="424"/>
      <c r="K266" s="436"/>
      <c r="L266" s="436"/>
      <c r="M266" s="436"/>
      <c r="N266" s="437"/>
      <c r="P266" s="455" t="str" cm="1">
        <f t="array" aca="1" ref="P266" ca="1">IF(AND($Q$12,B290&lt;=$C$17,C290&lt;&gt;""),TRANSPOSE(INDEX(GetCDS(C290,$C$6,$C$29,F290,D290,$C$13,$C$14,$C$15,$C$8,,,TRUE,TRUE,FALSE,$C$29:$C$31,$C$33),{1;2;3;4;5})),"")</f>
        <v/>
      </c>
      <c r="Q266" s="456"/>
      <c r="R266" s="456"/>
      <c r="S266" s="457"/>
      <c r="T266" s="458"/>
      <c r="U266" s="459" t="str">
        <f t="shared" ca="1" si="15"/>
        <v/>
      </c>
      <c r="V266" s="460" t="str">
        <f t="shared" ca="1" si="16"/>
        <v/>
      </c>
      <c r="W266" s="459" t="str">
        <f t="shared" ca="1" si="17"/>
        <v/>
      </c>
      <c r="X266" s="461" t="str">
        <f t="shared" ca="1" si="18"/>
        <v/>
      </c>
      <c r="Y266" s="460" t="str">
        <f t="shared" ca="1" si="19"/>
        <v/>
      </c>
      <c r="Z266" s="79"/>
    </row>
    <row r="267" spans="1:26" customFormat="1" ht="15">
      <c r="A267" s="232"/>
      <c r="B267" s="295">
        <v>229</v>
      </c>
      <c r="C267" s="265"/>
      <c r="D267" s="266"/>
      <c r="E267" s="256"/>
      <c r="F267" s="239"/>
      <c r="G267" s="246"/>
      <c r="H267" s="405">
        <v>253</v>
      </c>
      <c r="I267" s="424"/>
      <c r="J267" s="424"/>
      <c r="K267" s="436"/>
      <c r="L267" s="436"/>
      <c r="M267" s="436"/>
      <c r="N267" s="437"/>
      <c r="P267" s="455" t="str" cm="1">
        <f t="array" aca="1" ref="P267" ca="1">IF(AND($Q$12,B291&lt;=$C$17,C291&lt;&gt;""),TRANSPOSE(INDEX(GetCDS(C291,$C$6,$C$29,F291,D291,$C$13,$C$14,$C$15,$C$8,,,TRUE,TRUE,FALSE,$C$29:$C$31,$C$33),{1;2;3;4;5})),"")</f>
        <v/>
      </c>
      <c r="Q267" s="456"/>
      <c r="R267" s="456"/>
      <c r="S267" s="457"/>
      <c r="T267" s="458"/>
      <c r="U267" s="459" t="str">
        <f t="shared" ca="1" si="15"/>
        <v/>
      </c>
      <c r="V267" s="460" t="str">
        <f t="shared" ca="1" si="16"/>
        <v/>
      </c>
      <c r="W267" s="459" t="str">
        <f t="shared" ca="1" si="17"/>
        <v/>
      </c>
      <c r="X267" s="461" t="str">
        <f t="shared" ca="1" si="18"/>
        <v/>
      </c>
      <c r="Y267" s="460" t="str">
        <f t="shared" ca="1" si="19"/>
        <v/>
      </c>
      <c r="Z267" s="79"/>
    </row>
    <row r="268" spans="1:26" customFormat="1" ht="15">
      <c r="A268" s="232"/>
      <c r="B268" s="295">
        <v>230</v>
      </c>
      <c r="C268" s="265"/>
      <c r="D268" s="266"/>
      <c r="E268" s="256"/>
      <c r="F268" s="239"/>
      <c r="G268" s="246"/>
      <c r="H268" s="405">
        <v>254</v>
      </c>
      <c r="I268" s="424"/>
      <c r="J268" s="424"/>
      <c r="K268" s="436"/>
      <c r="L268" s="436"/>
      <c r="M268" s="436"/>
      <c r="N268" s="437"/>
      <c r="P268" s="455" t="str" cm="1">
        <f t="array" aca="1" ref="P268" ca="1">IF(AND($Q$12,B292&lt;=$C$17,C292&lt;&gt;""),TRANSPOSE(INDEX(GetCDS(C292,$C$6,$C$29,F292,D292,$C$13,$C$14,$C$15,$C$8,,,TRUE,TRUE,FALSE,$C$29:$C$31,$C$33),{1;2;3;4;5})),"")</f>
        <v/>
      </c>
      <c r="Q268" s="456"/>
      <c r="R268" s="456"/>
      <c r="S268" s="457"/>
      <c r="T268" s="458"/>
      <c r="U268" s="459" t="str">
        <f t="shared" ca="1" si="15"/>
        <v/>
      </c>
      <c r="V268" s="460" t="str">
        <f t="shared" ca="1" si="16"/>
        <v/>
      </c>
      <c r="W268" s="459" t="str">
        <f t="shared" ca="1" si="17"/>
        <v/>
      </c>
      <c r="X268" s="461" t="str">
        <f t="shared" ca="1" si="18"/>
        <v/>
      </c>
      <c r="Y268" s="460" t="str">
        <f t="shared" ca="1" si="19"/>
        <v/>
      </c>
      <c r="Z268" s="79"/>
    </row>
    <row r="269" spans="1:26" customFormat="1" ht="15">
      <c r="A269" s="232"/>
      <c r="B269" s="295">
        <v>231</v>
      </c>
      <c r="C269" s="265"/>
      <c r="D269" s="266"/>
      <c r="E269" s="256"/>
      <c r="F269" s="239"/>
      <c r="G269" s="246"/>
      <c r="H269" s="405">
        <v>255</v>
      </c>
      <c r="I269" s="424"/>
      <c r="J269" s="424"/>
      <c r="K269" s="436"/>
      <c r="L269" s="436"/>
      <c r="M269" s="436"/>
      <c r="N269" s="437"/>
      <c r="P269" s="455" t="str" cm="1">
        <f t="array" aca="1" ref="P269" ca="1">IF(AND($Q$12,B293&lt;=$C$17,C293&lt;&gt;""),TRANSPOSE(INDEX(GetCDS(C293,$C$6,$C$29,F293,D293,$C$13,$C$14,$C$15,$C$8,,,TRUE,TRUE,FALSE,$C$29:$C$31,$C$33),{1;2;3;4;5})),"")</f>
        <v/>
      </c>
      <c r="Q269" s="456"/>
      <c r="R269" s="456"/>
      <c r="S269" s="457"/>
      <c r="T269" s="458"/>
      <c r="U269" s="459" t="str">
        <f t="shared" ca="1" si="15"/>
        <v/>
      </c>
      <c r="V269" s="460" t="str">
        <f t="shared" ca="1" si="16"/>
        <v/>
      </c>
      <c r="W269" s="459" t="str">
        <f t="shared" ca="1" si="17"/>
        <v/>
      </c>
      <c r="X269" s="461" t="str">
        <f t="shared" ca="1" si="18"/>
        <v/>
      </c>
      <c r="Y269" s="460" t="str">
        <f t="shared" ca="1" si="19"/>
        <v/>
      </c>
      <c r="Z269" s="79"/>
    </row>
    <row r="270" spans="1:26" customFormat="1" ht="15">
      <c r="A270" s="232"/>
      <c r="B270" s="295">
        <v>232</v>
      </c>
      <c r="C270" s="265"/>
      <c r="D270" s="266"/>
      <c r="E270" s="256"/>
      <c r="F270" s="239"/>
      <c r="G270" s="246"/>
      <c r="H270" s="405">
        <v>256</v>
      </c>
      <c r="I270" s="424"/>
      <c r="J270" s="424"/>
      <c r="K270" s="436"/>
      <c r="L270" s="436"/>
      <c r="M270" s="436"/>
      <c r="N270" s="437"/>
      <c r="P270" s="455" t="str" cm="1">
        <f t="array" aca="1" ref="P270" ca="1">IF(AND($Q$12,B294&lt;=$C$17,C294&lt;&gt;""),TRANSPOSE(INDEX(GetCDS(C294,$C$6,$C$29,F294,D294,$C$13,$C$14,$C$15,$C$8,,,TRUE,TRUE,FALSE,$C$29:$C$31,$C$33),{1;2;3;4;5})),"")</f>
        <v/>
      </c>
      <c r="Q270" s="456"/>
      <c r="R270" s="456"/>
      <c r="S270" s="457"/>
      <c r="T270" s="458"/>
      <c r="U270" s="459" t="str">
        <f t="shared" ca="1" si="15"/>
        <v/>
      </c>
      <c r="V270" s="460" t="str">
        <f t="shared" ca="1" si="16"/>
        <v/>
      </c>
      <c r="W270" s="459" t="str">
        <f t="shared" ca="1" si="17"/>
        <v/>
      </c>
      <c r="X270" s="461" t="str">
        <f t="shared" ca="1" si="18"/>
        <v/>
      </c>
      <c r="Y270" s="460" t="str">
        <f t="shared" ca="1" si="19"/>
        <v/>
      </c>
      <c r="Z270" s="79"/>
    </row>
    <row r="271" spans="1:26" customFormat="1" ht="15">
      <c r="A271" s="232"/>
      <c r="B271" s="295">
        <v>233</v>
      </c>
      <c r="C271" s="265"/>
      <c r="D271" s="266"/>
      <c r="E271" s="256"/>
      <c r="F271" s="239"/>
      <c r="G271" s="246"/>
      <c r="H271" s="405">
        <v>257</v>
      </c>
      <c r="I271" s="424"/>
      <c r="J271" s="424"/>
      <c r="K271" s="436"/>
      <c r="L271" s="436"/>
      <c r="M271" s="436"/>
      <c r="N271" s="437"/>
      <c r="P271" s="455" t="str" cm="1">
        <f t="array" aca="1" ref="P271" ca="1">IF(AND($Q$12,B295&lt;=$C$17,C295&lt;&gt;""),TRANSPOSE(INDEX(GetCDS(C295,$C$6,$C$29,F295,D295,$C$13,$C$14,$C$15,$C$8,,,TRUE,TRUE,FALSE,$C$29:$C$31,$C$33),{1;2;3;4;5})),"")</f>
        <v/>
      </c>
      <c r="Q271" s="456"/>
      <c r="R271" s="456"/>
      <c r="S271" s="457"/>
      <c r="T271" s="458"/>
      <c r="U271" s="459" t="str">
        <f t="shared" ca="1" si="15"/>
        <v/>
      </c>
      <c r="V271" s="460" t="str">
        <f t="shared" ca="1" si="16"/>
        <v/>
      </c>
      <c r="W271" s="459" t="str">
        <f t="shared" ca="1" si="17"/>
        <v/>
      </c>
      <c r="X271" s="461" t="str">
        <f t="shared" ca="1" si="18"/>
        <v/>
      </c>
      <c r="Y271" s="460" t="str">
        <f t="shared" ca="1" si="19"/>
        <v/>
      </c>
      <c r="Z271" s="79"/>
    </row>
    <row r="272" spans="1:26" customFormat="1" ht="15">
      <c r="A272" s="232"/>
      <c r="B272" s="295">
        <v>234</v>
      </c>
      <c r="C272" s="265"/>
      <c r="D272" s="266"/>
      <c r="E272" s="256"/>
      <c r="F272" s="239"/>
      <c r="G272" s="246"/>
      <c r="H272" s="405">
        <v>258</v>
      </c>
      <c r="I272" s="424"/>
      <c r="J272" s="424"/>
      <c r="K272" s="436"/>
      <c r="L272" s="436"/>
      <c r="M272" s="436"/>
      <c r="N272" s="437"/>
      <c r="P272" s="455" t="str" cm="1">
        <f t="array" aca="1" ref="P272" ca="1">IF(AND($Q$12,B296&lt;=$C$17,C296&lt;&gt;""),TRANSPOSE(INDEX(GetCDS(C296,$C$6,$C$29,F296,D296,$C$13,$C$14,$C$15,$C$8,,,TRUE,TRUE,FALSE,$C$29:$C$31,$C$33),{1;2;3;4;5})),"")</f>
        <v/>
      </c>
      <c r="Q272" s="456"/>
      <c r="R272" s="456"/>
      <c r="S272" s="457"/>
      <c r="T272" s="458"/>
      <c r="U272" s="459" t="str">
        <f t="shared" ref="U272:U314" ca="1" si="20">IF($Q$12,IF(P272="","",$Q$13*D296/$C$18),"")</f>
        <v/>
      </c>
      <c r="V272" s="460" t="str">
        <f t="shared" ref="V272:V314" ca="1" si="21">IF($Q$12,IF(U272="","",U272*($V$10-S272)*T272),"")</f>
        <v/>
      </c>
      <c r="W272" s="459" t="str">
        <f t="shared" ref="W272:W313" ca="1" si="22">IF($Q$12,IF(OR(P272="",L272=""),"",L272/($C$20-$C$19)),"")</f>
        <v/>
      </c>
      <c r="X272" s="461" t="str">
        <f t="shared" ref="X272:X313" ca="1" si="23">IF($Q$12,IF(S272="","",S272*$Y$10),"")</f>
        <v/>
      </c>
      <c r="Y272" s="460" t="str">
        <f t="shared" ref="Y272:Y313" ca="1" si="24">IF($Q$12,IF(W272="","",W272*(X272-S272)*T272),"")</f>
        <v/>
      </c>
      <c r="Z272" s="79"/>
    </row>
    <row r="273" spans="1:26" customFormat="1" ht="15">
      <c r="A273" s="232"/>
      <c r="B273" s="295">
        <v>235</v>
      </c>
      <c r="C273" s="265"/>
      <c r="D273" s="266"/>
      <c r="E273" s="256"/>
      <c r="F273" s="239"/>
      <c r="G273" s="246"/>
      <c r="H273" s="405">
        <v>259</v>
      </c>
      <c r="I273" s="424"/>
      <c r="J273" s="424"/>
      <c r="K273" s="436"/>
      <c r="L273" s="436"/>
      <c r="M273" s="436"/>
      <c r="N273" s="437"/>
      <c r="P273" s="455" t="str" cm="1">
        <f t="array" aca="1" ref="P273" ca="1">IF(AND($Q$12,B297&lt;=$C$17,C297&lt;&gt;""),TRANSPOSE(INDEX(GetCDS(C297,$C$6,$C$29,F297,D297,$C$13,$C$14,$C$15,$C$8,,,TRUE,TRUE,FALSE,$C$29:$C$31,$C$33),{1;2;3;4;5})),"")</f>
        <v/>
      </c>
      <c r="Q273" s="456"/>
      <c r="R273" s="456"/>
      <c r="S273" s="457"/>
      <c r="T273" s="458"/>
      <c r="U273" s="459" t="str">
        <f t="shared" ca="1" si="20"/>
        <v/>
      </c>
      <c r="V273" s="460" t="str">
        <f t="shared" ca="1" si="21"/>
        <v/>
      </c>
      <c r="W273" s="459" t="str">
        <f t="shared" ca="1" si="22"/>
        <v/>
      </c>
      <c r="X273" s="461" t="str">
        <f t="shared" ca="1" si="23"/>
        <v/>
      </c>
      <c r="Y273" s="460" t="str">
        <f t="shared" ca="1" si="24"/>
        <v/>
      </c>
      <c r="Z273" s="79"/>
    </row>
    <row r="274" spans="1:26" customFormat="1" ht="15">
      <c r="A274" s="232"/>
      <c r="B274" s="295">
        <v>236</v>
      </c>
      <c r="C274" s="265"/>
      <c r="D274" s="266"/>
      <c r="E274" s="256"/>
      <c r="F274" s="239"/>
      <c r="G274" s="246"/>
      <c r="H274" s="405">
        <v>260</v>
      </c>
      <c r="I274" s="424"/>
      <c r="J274" s="424"/>
      <c r="K274" s="436"/>
      <c r="L274" s="436"/>
      <c r="M274" s="436"/>
      <c r="N274" s="437"/>
      <c r="P274" s="455" t="str" cm="1">
        <f t="array" aca="1" ref="P274" ca="1">IF(AND($Q$12,B298&lt;=$C$17,C298&lt;&gt;""),TRANSPOSE(INDEX(GetCDS(C298,$C$6,$C$29,F298,D298,$C$13,$C$14,$C$15,$C$8,,,TRUE,TRUE,FALSE,$C$29:$C$31,$C$33),{1;2;3;4;5})),"")</f>
        <v/>
      </c>
      <c r="Q274" s="456"/>
      <c r="R274" s="456"/>
      <c r="S274" s="457"/>
      <c r="T274" s="458"/>
      <c r="U274" s="459" t="str">
        <f t="shared" ca="1" si="20"/>
        <v/>
      </c>
      <c r="V274" s="460" t="str">
        <f t="shared" ca="1" si="21"/>
        <v/>
      </c>
      <c r="W274" s="459" t="str">
        <f t="shared" ca="1" si="22"/>
        <v/>
      </c>
      <c r="X274" s="461" t="str">
        <f t="shared" ca="1" si="23"/>
        <v/>
      </c>
      <c r="Y274" s="460" t="str">
        <f t="shared" ca="1" si="24"/>
        <v/>
      </c>
      <c r="Z274" s="79"/>
    </row>
    <row r="275" spans="1:26" customFormat="1" ht="15">
      <c r="A275" s="232"/>
      <c r="B275" s="295">
        <v>237</v>
      </c>
      <c r="C275" s="265"/>
      <c r="D275" s="266"/>
      <c r="E275" s="256"/>
      <c r="F275" s="239"/>
      <c r="G275" s="246"/>
      <c r="H275" s="405">
        <v>261</v>
      </c>
      <c r="I275" s="424"/>
      <c r="J275" s="424"/>
      <c r="K275" s="436"/>
      <c r="L275" s="436"/>
      <c r="M275" s="436"/>
      <c r="N275" s="437"/>
      <c r="P275" s="455" t="str" cm="1">
        <f t="array" aca="1" ref="P275" ca="1">IF(AND($Q$12,B299&lt;=$C$17,C299&lt;&gt;""),TRANSPOSE(INDEX(GetCDS(C299,$C$6,$C$29,F299,D299,$C$13,$C$14,$C$15,$C$8,,,TRUE,TRUE,FALSE,$C$29:$C$31,$C$33),{1;2;3;4;5})),"")</f>
        <v/>
      </c>
      <c r="Q275" s="456"/>
      <c r="R275" s="456"/>
      <c r="S275" s="457"/>
      <c r="T275" s="458"/>
      <c r="U275" s="459" t="str">
        <f t="shared" ca="1" si="20"/>
        <v/>
      </c>
      <c r="V275" s="460" t="str">
        <f t="shared" ca="1" si="21"/>
        <v/>
      </c>
      <c r="W275" s="459" t="str">
        <f t="shared" ca="1" si="22"/>
        <v/>
      </c>
      <c r="X275" s="461" t="str">
        <f t="shared" ca="1" si="23"/>
        <v/>
      </c>
      <c r="Y275" s="460" t="str">
        <f t="shared" ca="1" si="24"/>
        <v/>
      </c>
      <c r="Z275" s="79"/>
    </row>
    <row r="276" spans="1:26" customFormat="1" ht="15">
      <c r="A276" s="232"/>
      <c r="B276" s="295">
        <v>238</v>
      </c>
      <c r="C276" s="265"/>
      <c r="D276" s="266"/>
      <c r="E276" s="256"/>
      <c r="F276" s="239"/>
      <c r="G276" s="246"/>
      <c r="H276" s="405">
        <v>262</v>
      </c>
      <c r="I276" s="424"/>
      <c r="J276" s="424"/>
      <c r="K276" s="436"/>
      <c r="L276" s="436"/>
      <c r="M276" s="436"/>
      <c r="N276" s="437"/>
      <c r="P276" s="455" t="str" cm="1">
        <f t="array" aca="1" ref="P276" ca="1">IF(AND($Q$12,B300&lt;=$C$17,C300&lt;&gt;""),TRANSPOSE(INDEX(GetCDS(C300,$C$6,$C$29,F300,D300,$C$13,$C$14,$C$15,$C$8,,,TRUE,TRUE,FALSE,$C$29:$C$31,$C$33),{1;2;3;4;5})),"")</f>
        <v/>
      </c>
      <c r="Q276" s="456"/>
      <c r="R276" s="456"/>
      <c r="S276" s="457"/>
      <c r="T276" s="458"/>
      <c r="U276" s="459" t="str">
        <f t="shared" ca="1" si="20"/>
        <v/>
      </c>
      <c r="V276" s="460" t="str">
        <f t="shared" ca="1" si="21"/>
        <v/>
      </c>
      <c r="W276" s="459" t="str">
        <f t="shared" ca="1" si="22"/>
        <v/>
      </c>
      <c r="X276" s="461" t="str">
        <f t="shared" ca="1" si="23"/>
        <v/>
      </c>
      <c r="Y276" s="460" t="str">
        <f t="shared" ca="1" si="24"/>
        <v/>
      </c>
      <c r="Z276" s="79"/>
    </row>
    <row r="277" spans="1:26" customFormat="1" ht="15">
      <c r="A277" s="232"/>
      <c r="B277" s="295">
        <v>239</v>
      </c>
      <c r="C277" s="265"/>
      <c r="D277" s="266"/>
      <c r="E277" s="256"/>
      <c r="F277" s="239"/>
      <c r="G277" s="246"/>
      <c r="H277" s="405">
        <v>263</v>
      </c>
      <c r="I277" s="424"/>
      <c r="J277" s="424"/>
      <c r="K277" s="436"/>
      <c r="L277" s="436"/>
      <c r="M277" s="436"/>
      <c r="N277" s="437"/>
      <c r="P277" s="455" t="str" cm="1">
        <f t="array" aca="1" ref="P277" ca="1">IF(AND($Q$12,B301&lt;=$C$17,C301&lt;&gt;""),TRANSPOSE(INDEX(GetCDS(C301,$C$6,$C$29,F301,D301,$C$13,$C$14,$C$15,$C$8,,,TRUE,TRUE,FALSE,$C$29:$C$31,$C$33),{1;2;3;4;5})),"")</f>
        <v/>
      </c>
      <c r="Q277" s="456"/>
      <c r="R277" s="456"/>
      <c r="S277" s="457"/>
      <c r="T277" s="458"/>
      <c r="U277" s="459" t="str">
        <f t="shared" ca="1" si="20"/>
        <v/>
      </c>
      <c r="V277" s="460" t="str">
        <f t="shared" ca="1" si="21"/>
        <v/>
      </c>
      <c r="W277" s="459" t="str">
        <f t="shared" ca="1" si="22"/>
        <v/>
      </c>
      <c r="X277" s="461" t="str">
        <f t="shared" ca="1" si="23"/>
        <v/>
      </c>
      <c r="Y277" s="460" t="str">
        <f t="shared" ca="1" si="24"/>
        <v/>
      </c>
      <c r="Z277" s="79"/>
    </row>
    <row r="278" spans="1:26" customFormat="1" ht="15">
      <c r="A278" s="232"/>
      <c r="B278" s="295">
        <v>240</v>
      </c>
      <c r="C278" s="265"/>
      <c r="D278" s="266"/>
      <c r="E278" s="256"/>
      <c r="F278" s="239"/>
      <c r="G278" s="246"/>
      <c r="H278" s="405">
        <v>264</v>
      </c>
      <c r="I278" s="424"/>
      <c r="J278" s="424"/>
      <c r="K278" s="436"/>
      <c r="L278" s="436"/>
      <c r="M278" s="436"/>
      <c r="N278" s="437"/>
      <c r="P278" s="455" t="str" cm="1">
        <f t="array" aca="1" ref="P278" ca="1">IF(AND($Q$12,B302&lt;=$C$17,C302&lt;&gt;""),TRANSPOSE(INDEX(GetCDS(C302,$C$6,$C$29,F302,D302,$C$13,$C$14,$C$15,$C$8,,,TRUE,TRUE,FALSE,$C$29:$C$31,$C$33),{1;2;3;4;5})),"")</f>
        <v/>
      </c>
      <c r="Q278" s="456"/>
      <c r="R278" s="456"/>
      <c r="S278" s="457"/>
      <c r="T278" s="458"/>
      <c r="U278" s="459" t="str">
        <f t="shared" ca="1" si="20"/>
        <v/>
      </c>
      <c r="V278" s="460" t="str">
        <f t="shared" ca="1" si="21"/>
        <v/>
      </c>
      <c r="W278" s="459" t="str">
        <f t="shared" ca="1" si="22"/>
        <v/>
      </c>
      <c r="X278" s="461" t="str">
        <f t="shared" ca="1" si="23"/>
        <v/>
      </c>
      <c r="Y278" s="460" t="str">
        <f t="shared" ca="1" si="24"/>
        <v/>
      </c>
      <c r="Z278" s="79"/>
    </row>
    <row r="279" spans="1:26" customFormat="1" ht="15">
      <c r="A279" s="232"/>
      <c r="B279" s="295">
        <v>241</v>
      </c>
      <c r="C279" s="265"/>
      <c r="D279" s="266"/>
      <c r="E279" s="256"/>
      <c r="F279" s="239"/>
      <c r="G279" s="246"/>
      <c r="H279" s="405">
        <v>265</v>
      </c>
      <c r="I279" s="424"/>
      <c r="J279" s="424"/>
      <c r="K279" s="436"/>
      <c r="L279" s="436"/>
      <c r="M279" s="436"/>
      <c r="N279" s="437"/>
      <c r="P279" s="455" t="str" cm="1">
        <f t="array" aca="1" ref="P279" ca="1">IF(AND($Q$12,B303&lt;=$C$17,C303&lt;&gt;""),TRANSPOSE(INDEX(GetCDS(C303,$C$6,$C$29,F303,D303,$C$13,$C$14,$C$15,$C$8,,,TRUE,TRUE,FALSE,$C$29:$C$31,$C$33),{1;2;3;4;5})),"")</f>
        <v/>
      </c>
      <c r="Q279" s="456"/>
      <c r="R279" s="456"/>
      <c r="S279" s="457"/>
      <c r="T279" s="458"/>
      <c r="U279" s="459" t="str">
        <f t="shared" ca="1" si="20"/>
        <v/>
      </c>
      <c r="V279" s="460" t="str">
        <f t="shared" ca="1" si="21"/>
        <v/>
      </c>
      <c r="W279" s="459" t="str">
        <f t="shared" ca="1" si="22"/>
        <v/>
      </c>
      <c r="X279" s="461" t="str">
        <f t="shared" ca="1" si="23"/>
        <v/>
      </c>
      <c r="Y279" s="460" t="str">
        <f t="shared" ca="1" si="24"/>
        <v/>
      </c>
      <c r="Z279" s="79"/>
    </row>
    <row r="280" spans="1:26" customFormat="1" ht="15">
      <c r="A280" s="232"/>
      <c r="B280" s="295">
        <v>242</v>
      </c>
      <c r="C280" s="265"/>
      <c r="D280" s="266"/>
      <c r="E280" s="256"/>
      <c r="F280" s="239"/>
      <c r="G280" s="246"/>
      <c r="H280" s="405">
        <v>266</v>
      </c>
      <c r="I280" s="424"/>
      <c r="J280" s="424"/>
      <c r="K280" s="436"/>
      <c r="L280" s="436"/>
      <c r="M280" s="436"/>
      <c r="N280" s="437"/>
      <c r="P280" s="455" t="str" cm="1">
        <f t="array" aca="1" ref="P280" ca="1">IF(AND($Q$12,B304&lt;=$C$17,C304&lt;&gt;""),TRANSPOSE(INDEX(GetCDS(C304,$C$6,$C$29,F304,D304,$C$13,$C$14,$C$15,$C$8,,,TRUE,TRUE,FALSE,$C$29:$C$31,$C$33),{1;2;3;4;5})),"")</f>
        <v/>
      </c>
      <c r="Q280" s="456"/>
      <c r="R280" s="456"/>
      <c r="S280" s="457"/>
      <c r="T280" s="458"/>
      <c r="U280" s="459" t="str">
        <f t="shared" ca="1" si="20"/>
        <v/>
      </c>
      <c r="V280" s="460" t="str">
        <f t="shared" ca="1" si="21"/>
        <v/>
      </c>
      <c r="W280" s="459" t="str">
        <f t="shared" ca="1" si="22"/>
        <v/>
      </c>
      <c r="X280" s="461" t="str">
        <f t="shared" ca="1" si="23"/>
        <v/>
      </c>
      <c r="Y280" s="460" t="str">
        <f t="shared" ca="1" si="24"/>
        <v/>
      </c>
      <c r="Z280" s="79"/>
    </row>
    <row r="281" spans="1:26" customFormat="1" ht="15">
      <c r="A281" s="232"/>
      <c r="B281" s="295">
        <v>243</v>
      </c>
      <c r="C281" s="265"/>
      <c r="D281" s="266"/>
      <c r="E281" s="256"/>
      <c r="F281" s="239"/>
      <c r="G281" s="246"/>
      <c r="H281" s="405">
        <v>267</v>
      </c>
      <c r="I281" s="424"/>
      <c r="J281" s="424"/>
      <c r="K281" s="436"/>
      <c r="L281" s="436"/>
      <c r="M281" s="436"/>
      <c r="N281" s="437"/>
      <c r="P281" s="455" t="str" cm="1">
        <f t="array" aca="1" ref="P281" ca="1">IF(AND($Q$12,B305&lt;=$C$17,C305&lt;&gt;""),TRANSPOSE(INDEX(GetCDS(C305,$C$6,$C$29,F305,D305,$C$13,$C$14,$C$15,$C$8,,,TRUE,TRUE,FALSE,$C$29:$C$31,$C$33),{1;2;3;4;5})),"")</f>
        <v/>
      </c>
      <c r="Q281" s="456"/>
      <c r="R281" s="456"/>
      <c r="S281" s="457"/>
      <c r="T281" s="458"/>
      <c r="U281" s="459" t="str">
        <f t="shared" ca="1" si="20"/>
        <v/>
      </c>
      <c r="V281" s="460" t="str">
        <f t="shared" ca="1" si="21"/>
        <v/>
      </c>
      <c r="W281" s="459" t="str">
        <f t="shared" ca="1" si="22"/>
        <v/>
      </c>
      <c r="X281" s="461" t="str">
        <f t="shared" ca="1" si="23"/>
        <v/>
      </c>
      <c r="Y281" s="460" t="str">
        <f t="shared" ca="1" si="24"/>
        <v/>
      </c>
      <c r="Z281" s="79"/>
    </row>
    <row r="282" spans="1:26" customFormat="1" ht="15">
      <c r="A282" s="232"/>
      <c r="B282" s="295">
        <v>244</v>
      </c>
      <c r="C282" s="265"/>
      <c r="D282" s="266"/>
      <c r="E282" s="256"/>
      <c r="F282" s="239"/>
      <c r="G282" s="246"/>
      <c r="H282" s="405">
        <v>268</v>
      </c>
      <c r="I282" s="424"/>
      <c r="J282" s="424"/>
      <c r="K282" s="436"/>
      <c r="L282" s="436"/>
      <c r="M282" s="436"/>
      <c r="N282" s="437"/>
      <c r="P282" s="455" t="str" cm="1">
        <f t="array" aca="1" ref="P282" ca="1">IF(AND($Q$12,B306&lt;=$C$17,C306&lt;&gt;""),TRANSPOSE(INDEX(GetCDS(C306,$C$6,$C$29,F306,D306,$C$13,$C$14,$C$15,$C$8,,,TRUE,TRUE,FALSE,$C$29:$C$31,$C$33),{1;2;3;4;5})),"")</f>
        <v/>
      </c>
      <c r="Q282" s="456"/>
      <c r="R282" s="456"/>
      <c r="S282" s="457"/>
      <c r="T282" s="458"/>
      <c r="U282" s="459" t="str">
        <f t="shared" ca="1" si="20"/>
        <v/>
      </c>
      <c r="V282" s="460" t="str">
        <f t="shared" ca="1" si="21"/>
        <v/>
      </c>
      <c r="W282" s="459" t="str">
        <f t="shared" ca="1" si="22"/>
        <v/>
      </c>
      <c r="X282" s="461" t="str">
        <f t="shared" ca="1" si="23"/>
        <v/>
      </c>
      <c r="Y282" s="460" t="str">
        <f t="shared" ca="1" si="24"/>
        <v/>
      </c>
      <c r="Z282" s="79"/>
    </row>
    <row r="283" spans="1:26" customFormat="1" ht="15">
      <c r="A283" s="232"/>
      <c r="B283" s="295">
        <v>245</v>
      </c>
      <c r="C283" s="265"/>
      <c r="D283" s="266"/>
      <c r="E283" s="256"/>
      <c r="F283" s="239"/>
      <c r="G283" s="246"/>
      <c r="H283" s="405">
        <v>269</v>
      </c>
      <c r="I283" s="424"/>
      <c r="J283" s="424"/>
      <c r="K283" s="436"/>
      <c r="L283" s="436"/>
      <c r="M283" s="436"/>
      <c r="N283" s="437"/>
      <c r="P283" s="455" t="str" cm="1">
        <f t="array" aca="1" ref="P283" ca="1">IF(AND($Q$12,B307&lt;=$C$17,C307&lt;&gt;""),TRANSPOSE(INDEX(GetCDS(C307,$C$6,$C$29,F307,D307,$C$13,$C$14,$C$15,$C$8,,,TRUE,TRUE,FALSE,$C$29:$C$31,$C$33),{1;2;3;4;5})),"")</f>
        <v/>
      </c>
      <c r="Q283" s="456"/>
      <c r="R283" s="456"/>
      <c r="S283" s="457"/>
      <c r="T283" s="458"/>
      <c r="U283" s="459" t="str">
        <f t="shared" ca="1" si="20"/>
        <v/>
      </c>
      <c r="V283" s="460" t="str">
        <f t="shared" ca="1" si="21"/>
        <v/>
      </c>
      <c r="W283" s="459" t="str">
        <f t="shared" ca="1" si="22"/>
        <v/>
      </c>
      <c r="X283" s="461" t="str">
        <f t="shared" ca="1" si="23"/>
        <v/>
      </c>
      <c r="Y283" s="460" t="str">
        <f t="shared" ca="1" si="24"/>
        <v/>
      </c>
      <c r="Z283" s="79"/>
    </row>
    <row r="284" spans="1:26" customFormat="1" ht="15">
      <c r="A284" s="232"/>
      <c r="B284" s="295">
        <v>246</v>
      </c>
      <c r="C284" s="265"/>
      <c r="D284" s="266"/>
      <c r="E284" s="256"/>
      <c r="F284" s="239"/>
      <c r="G284" s="246"/>
      <c r="H284" s="405">
        <v>270</v>
      </c>
      <c r="I284" s="424"/>
      <c r="J284" s="424"/>
      <c r="K284" s="436"/>
      <c r="L284" s="436"/>
      <c r="M284" s="436"/>
      <c r="N284" s="437"/>
      <c r="P284" s="455" t="str" cm="1">
        <f t="array" aca="1" ref="P284" ca="1">IF(AND($Q$12,B308&lt;=$C$17,C308&lt;&gt;""),TRANSPOSE(INDEX(GetCDS(C308,$C$6,$C$29,F308,D308,$C$13,$C$14,$C$15,$C$8,,,TRUE,TRUE,FALSE,$C$29:$C$31,$C$33),{1;2;3;4;5})),"")</f>
        <v/>
      </c>
      <c r="Q284" s="456"/>
      <c r="R284" s="456"/>
      <c r="S284" s="457"/>
      <c r="T284" s="458"/>
      <c r="U284" s="459" t="str">
        <f t="shared" ca="1" si="20"/>
        <v/>
      </c>
      <c r="V284" s="460" t="str">
        <f t="shared" ca="1" si="21"/>
        <v/>
      </c>
      <c r="W284" s="459" t="str">
        <f t="shared" ca="1" si="22"/>
        <v/>
      </c>
      <c r="X284" s="461" t="str">
        <f t="shared" ca="1" si="23"/>
        <v/>
      </c>
      <c r="Y284" s="460" t="str">
        <f t="shared" ca="1" si="24"/>
        <v/>
      </c>
      <c r="Z284" s="79"/>
    </row>
    <row r="285" spans="1:26" customFormat="1" ht="15">
      <c r="A285" s="232"/>
      <c r="B285" s="295">
        <v>247</v>
      </c>
      <c r="C285" s="265"/>
      <c r="D285" s="266"/>
      <c r="E285" s="256"/>
      <c r="F285" s="239"/>
      <c r="G285" s="246"/>
      <c r="H285" s="405">
        <v>271</v>
      </c>
      <c r="I285" s="424"/>
      <c r="J285" s="424"/>
      <c r="K285" s="436"/>
      <c r="L285" s="436"/>
      <c r="M285" s="436"/>
      <c r="N285" s="437"/>
      <c r="P285" s="455" t="str" cm="1">
        <f t="array" aca="1" ref="P285" ca="1">IF(AND($Q$12,B309&lt;=$C$17,C309&lt;&gt;""),TRANSPOSE(INDEX(GetCDS(C309,$C$6,$C$29,F309,D309,$C$13,$C$14,$C$15,$C$8,,,TRUE,TRUE,FALSE,$C$29:$C$31,$C$33),{1;2;3;4;5})),"")</f>
        <v/>
      </c>
      <c r="Q285" s="456"/>
      <c r="R285" s="456"/>
      <c r="S285" s="457"/>
      <c r="T285" s="458"/>
      <c r="U285" s="459" t="str">
        <f t="shared" ca="1" si="20"/>
        <v/>
      </c>
      <c r="V285" s="460" t="str">
        <f t="shared" ca="1" si="21"/>
        <v/>
      </c>
      <c r="W285" s="459" t="str">
        <f t="shared" ca="1" si="22"/>
        <v/>
      </c>
      <c r="X285" s="461" t="str">
        <f t="shared" ca="1" si="23"/>
        <v/>
      </c>
      <c r="Y285" s="460" t="str">
        <f t="shared" ca="1" si="24"/>
        <v/>
      </c>
      <c r="Z285" s="79"/>
    </row>
    <row r="286" spans="1:26" customFormat="1" ht="15">
      <c r="A286" s="232"/>
      <c r="B286" s="295">
        <v>248</v>
      </c>
      <c r="C286" s="265"/>
      <c r="D286" s="266"/>
      <c r="E286" s="256"/>
      <c r="F286" s="239"/>
      <c r="G286" s="246"/>
      <c r="H286" s="405">
        <v>272</v>
      </c>
      <c r="I286" s="424"/>
      <c r="J286" s="424"/>
      <c r="K286" s="436"/>
      <c r="L286" s="436"/>
      <c r="M286" s="436"/>
      <c r="N286" s="437"/>
      <c r="P286" s="455" t="str" cm="1">
        <f t="array" aca="1" ref="P286" ca="1">IF(AND($Q$12,B310&lt;=$C$17,C310&lt;&gt;""),TRANSPOSE(INDEX(GetCDS(C310,$C$6,$C$29,F310,D310,$C$13,$C$14,$C$15,$C$8,,,TRUE,TRUE,FALSE,$C$29:$C$31,$C$33),{1;2;3;4;5})),"")</f>
        <v/>
      </c>
      <c r="Q286" s="456"/>
      <c r="R286" s="456"/>
      <c r="S286" s="457"/>
      <c r="T286" s="458"/>
      <c r="U286" s="459" t="str">
        <f t="shared" ca="1" si="20"/>
        <v/>
      </c>
      <c r="V286" s="460" t="str">
        <f t="shared" ca="1" si="21"/>
        <v/>
      </c>
      <c r="W286" s="459" t="str">
        <f t="shared" ca="1" si="22"/>
        <v/>
      </c>
      <c r="X286" s="461" t="str">
        <f t="shared" ca="1" si="23"/>
        <v/>
      </c>
      <c r="Y286" s="460" t="str">
        <f t="shared" ca="1" si="24"/>
        <v/>
      </c>
      <c r="Z286" s="79"/>
    </row>
    <row r="287" spans="1:26" customFormat="1" ht="15">
      <c r="A287" s="232"/>
      <c r="B287" s="295">
        <v>249</v>
      </c>
      <c r="C287" s="265"/>
      <c r="D287" s="266"/>
      <c r="E287" s="256"/>
      <c r="F287" s="239"/>
      <c r="G287" s="246"/>
      <c r="H287" s="405">
        <v>273</v>
      </c>
      <c r="I287" s="424"/>
      <c r="J287" s="424"/>
      <c r="K287" s="436"/>
      <c r="L287" s="436"/>
      <c r="M287" s="436"/>
      <c r="N287" s="437"/>
      <c r="P287" s="455" t="str" cm="1">
        <f t="array" aca="1" ref="P287" ca="1">IF(AND($Q$12,B311&lt;=$C$17,C311&lt;&gt;""),TRANSPOSE(INDEX(GetCDS(C311,$C$6,$C$29,F311,D311,$C$13,$C$14,$C$15,$C$8,,,TRUE,TRUE,FALSE,$C$29:$C$31,$C$33),{1;2;3;4;5})),"")</f>
        <v/>
      </c>
      <c r="Q287" s="456"/>
      <c r="R287" s="456"/>
      <c r="S287" s="457"/>
      <c r="T287" s="458"/>
      <c r="U287" s="459" t="str">
        <f t="shared" ca="1" si="20"/>
        <v/>
      </c>
      <c r="V287" s="460" t="str">
        <f t="shared" ca="1" si="21"/>
        <v/>
      </c>
      <c r="W287" s="459" t="str">
        <f t="shared" ca="1" si="22"/>
        <v/>
      </c>
      <c r="X287" s="461" t="str">
        <f t="shared" ca="1" si="23"/>
        <v/>
      </c>
      <c r="Y287" s="460" t="str">
        <f t="shared" ca="1" si="24"/>
        <v/>
      </c>
      <c r="Z287" s="79"/>
    </row>
    <row r="288" spans="1:26" customFormat="1" ht="15">
      <c r="A288" s="232"/>
      <c r="B288" s="295">
        <v>250</v>
      </c>
      <c r="C288" s="265"/>
      <c r="D288" s="266"/>
      <c r="E288" s="256"/>
      <c r="F288" s="239"/>
      <c r="G288" s="246"/>
      <c r="H288" s="405">
        <v>274</v>
      </c>
      <c r="I288" s="424"/>
      <c r="J288" s="424"/>
      <c r="K288" s="436"/>
      <c r="L288" s="436"/>
      <c r="M288" s="436"/>
      <c r="N288" s="437"/>
      <c r="P288" s="455" t="str" cm="1">
        <f t="array" aca="1" ref="P288" ca="1">IF(AND($Q$12,B312&lt;=$C$17,C312&lt;&gt;""),TRANSPOSE(INDEX(GetCDS(C312,$C$6,$C$29,F312,D312,$C$13,$C$14,$C$15,$C$8,,,TRUE,TRUE,FALSE,$C$29:$C$31,$C$33),{1;2;3;4;5})),"")</f>
        <v/>
      </c>
      <c r="Q288" s="456"/>
      <c r="R288" s="456"/>
      <c r="S288" s="457"/>
      <c r="T288" s="458"/>
      <c r="U288" s="459" t="str">
        <f t="shared" ca="1" si="20"/>
        <v/>
      </c>
      <c r="V288" s="460" t="str">
        <f t="shared" ca="1" si="21"/>
        <v/>
      </c>
      <c r="W288" s="459" t="str">
        <f t="shared" ca="1" si="22"/>
        <v/>
      </c>
      <c r="X288" s="461" t="str">
        <f t="shared" ca="1" si="23"/>
        <v/>
      </c>
      <c r="Y288" s="460" t="str">
        <f t="shared" ca="1" si="24"/>
        <v/>
      </c>
      <c r="Z288" s="79"/>
    </row>
    <row r="289" spans="1:26" customFormat="1" ht="15">
      <c r="A289" s="232"/>
      <c r="B289" s="295">
        <v>251</v>
      </c>
      <c r="C289" s="265"/>
      <c r="D289" s="266"/>
      <c r="E289" s="256"/>
      <c r="F289" s="239"/>
      <c r="G289" s="246"/>
      <c r="H289" s="405">
        <v>275</v>
      </c>
      <c r="I289" s="424"/>
      <c r="J289" s="424"/>
      <c r="K289" s="436"/>
      <c r="L289" s="436"/>
      <c r="M289" s="436"/>
      <c r="N289" s="437"/>
      <c r="P289" s="455" t="str" cm="1">
        <f t="array" aca="1" ref="P289" ca="1">IF(AND($Q$12,B313&lt;=$C$17,C313&lt;&gt;""),TRANSPOSE(INDEX(GetCDS(C313,$C$6,$C$29,F313,D313,$C$13,$C$14,$C$15,$C$8,,,TRUE,TRUE,FALSE,$C$29:$C$31,$C$33),{1;2;3;4;5})),"")</f>
        <v/>
      </c>
      <c r="Q289" s="456"/>
      <c r="R289" s="456"/>
      <c r="S289" s="457"/>
      <c r="T289" s="458"/>
      <c r="U289" s="459" t="str">
        <f t="shared" ca="1" si="20"/>
        <v/>
      </c>
      <c r="V289" s="460" t="str">
        <f t="shared" ca="1" si="21"/>
        <v/>
      </c>
      <c r="W289" s="459" t="str">
        <f t="shared" ca="1" si="22"/>
        <v/>
      </c>
      <c r="X289" s="461" t="str">
        <f t="shared" ca="1" si="23"/>
        <v/>
      </c>
      <c r="Y289" s="460" t="str">
        <f t="shared" ca="1" si="24"/>
        <v/>
      </c>
      <c r="Z289" s="79"/>
    </row>
    <row r="290" spans="1:26" customFormat="1" ht="15">
      <c r="A290" s="232"/>
      <c r="B290" s="295">
        <v>252</v>
      </c>
      <c r="C290" s="265"/>
      <c r="D290" s="266"/>
      <c r="E290" s="256"/>
      <c r="F290" s="239"/>
      <c r="G290" s="246"/>
      <c r="H290" s="405">
        <v>276</v>
      </c>
      <c r="I290" s="424"/>
      <c r="J290" s="424"/>
      <c r="K290" s="436"/>
      <c r="L290" s="436"/>
      <c r="M290" s="436"/>
      <c r="N290" s="437"/>
      <c r="P290" s="455" t="str" cm="1">
        <f t="array" aca="1" ref="P290" ca="1">IF(AND($Q$12,B314&lt;=$C$17,C314&lt;&gt;""),TRANSPOSE(INDEX(GetCDS(C314,$C$6,$C$29,F314,D314,$C$13,$C$14,$C$15,$C$8,,,TRUE,TRUE,FALSE,$C$29:$C$31,$C$33),{1;2;3;4;5})),"")</f>
        <v/>
      </c>
      <c r="Q290" s="456"/>
      <c r="R290" s="456"/>
      <c r="S290" s="457"/>
      <c r="T290" s="458"/>
      <c r="U290" s="459" t="str">
        <f t="shared" ca="1" si="20"/>
        <v/>
      </c>
      <c r="V290" s="460" t="str">
        <f t="shared" ca="1" si="21"/>
        <v/>
      </c>
      <c r="W290" s="459" t="str">
        <f t="shared" ca="1" si="22"/>
        <v/>
      </c>
      <c r="X290" s="461" t="str">
        <f t="shared" ca="1" si="23"/>
        <v/>
      </c>
      <c r="Y290" s="460" t="str">
        <f t="shared" ca="1" si="24"/>
        <v/>
      </c>
      <c r="Z290" s="79"/>
    </row>
    <row r="291" spans="1:26" customFormat="1" ht="15">
      <c r="A291" s="232"/>
      <c r="B291" s="295">
        <v>253</v>
      </c>
      <c r="C291" s="265"/>
      <c r="D291" s="266"/>
      <c r="E291" s="256"/>
      <c r="F291" s="239"/>
      <c r="G291" s="246"/>
      <c r="H291" s="405">
        <v>277</v>
      </c>
      <c r="I291" s="424"/>
      <c r="J291" s="424"/>
      <c r="K291" s="436"/>
      <c r="L291" s="436"/>
      <c r="M291" s="436"/>
      <c r="N291" s="437"/>
      <c r="P291" s="455" t="str" cm="1">
        <f t="array" aca="1" ref="P291" ca="1">IF(AND($Q$12,B315&lt;=$C$17,C315&lt;&gt;""),TRANSPOSE(INDEX(GetCDS(C315,$C$6,$C$29,F315,D315,$C$13,$C$14,$C$15,$C$8,,,TRUE,TRUE,FALSE,$C$29:$C$31,$C$33),{1;2;3;4;5})),"")</f>
        <v/>
      </c>
      <c r="Q291" s="456"/>
      <c r="R291" s="456"/>
      <c r="S291" s="457"/>
      <c r="T291" s="458"/>
      <c r="U291" s="459" t="str">
        <f t="shared" ca="1" si="20"/>
        <v/>
      </c>
      <c r="V291" s="460" t="str">
        <f t="shared" ca="1" si="21"/>
        <v/>
      </c>
      <c r="W291" s="459" t="str">
        <f t="shared" ca="1" si="22"/>
        <v/>
      </c>
      <c r="X291" s="461" t="str">
        <f t="shared" ca="1" si="23"/>
        <v/>
      </c>
      <c r="Y291" s="460" t="str">
        <f t="shared" ca="1" si="24"/>
        <v/>
      </c>
      <c r="Z291" s="79"/>
    </row>
    <row r="292" spans="1:26" customFormat="1" ht="15">
      <c r="A292" s="232"/>
      <c r="B292" s="295">
        <v>254</v>
      </c>
      <c r="C292" s="265"/>
      <c r="D292" s="266"/>
      <c r="E292" s="256"/>
      <c r="F292" s="239"/>
      <c r="G292" s="246"/>
      <c r="H292" s="405">
        <v>278</v>
      </c>
      <c r="I292" s="424"/>
      <c r="J292" s="424"/>
      <c r="K292" s="436"/>
      <c r="L292" s="436"/>
      <c r="M292" s="436"/>
      <c r="N292" s="437"/>
      <c r="P292" s="455" t="str" cm="1">
        <f t="array" aca="1" ref="P292" ca="1">IF(AND($Q$12,B316&lt;=$C$17,C316&lt;&gt;""),TRANSPOSE(INDEX(GetCDS(C316,$C$6,$C$29,F316,D316,$C$13,$C$14,$C$15,$C$8,,,TRUE,TRUE,FALSE,$C$29:$C$31,$C$33),{1;2;3;4;5})),"")</f>
        <v/>
      </c>
      <c r="Q292" s="456"/>
      <c r="R292" s="456"/>
      <c r="S292" s="457"/>
      <c r="T292" s="458"/>
      <c r="U292" s="459" t="str">
        <f t="shared" ca="1" si="20"/>
        <v/>
      </c>
      <c r="V292" s="460" t="str">
        <f t="shared" ca="1" si="21"/>
        <v/>
      </c>
      <c r="W292" s="459" t="str">
        <f t="shared" ca="1" si="22"/>
        <v/>
      </c>
      <c r="X292" s="461" t="str">
        <f t="shared" ca="1" si="23"/>
        <v/>
      </c>
      <c r="Y292" s="460" t="str">
        <f t="shared" ca="1" si="24"/>
        <v/>
      </c>
      <c r="Z292" s="79"/>
    </row>
    <row r="293" spans="1:26" customFormat="1" ht="15">
      <c r="A293" s="232"/>
      <c r="B293" s="295">
        <v>255</v>
      </c>
      <c r="C293" s="265"/>
      <c r="D293" s="266"/>
      <c r="E293" s="256"/>
      <c r="F293" s="239"/>
      <c r="G293" s="246"/>
      <c r="H293" s="405">
        <v>279</v>
      </c>
      <c r="I293" s="424"/>
      <c r="J293" s="424"/>
      <c r="K293" s="436"/>
      <c r="L293" s="436"/>
      <c r="M293" s="436"/>
      <c r="N293" s="437"/>
      <c r="P293" s="455" t="str" cm="1">
        <f t="array" aca="1" ref="P293" ca="1">IF(AND($Q$12,B317&lt;=$C$17,C317&lt;&gt;""),TRANSPOSE(INDEX(GetCDS(C317,$C$6,$C$29,F317,D317,$C$13,$C$14,$C$15,$C$8,,,TRUE,TRUE,FALSE,$C$29:$C$31,$C$33),{1;2;3;4;5})),"")</f>
        <v/>
      </c>
      <c r="Q293" s="456"/>
      <c r="R293" s="456"/>
      <c r="S293" s="457"/>
      <c r="T293" s="458"/>
      <c r="U293" s="459" t="str">
        <f t="shared" ca="1" si="20"/>
        <v/>
      </c>
      <c r="V293" s="460" t="str">
        <f t="shared" ca="1" si="21"/>
        <v/>
      </c>
      <c r="W293" s="459" t="str">
        <f t="shared" ca="1" si="22"/>
        <v/>
      </c>
      <c r="X293" s="461" t="str">
        <f t="shared" ca="1" si="23"/>
        <v/>
      </c>
      <c r="Y293" s="460" t="str">
        <f t="shared" ca="1" si="24"/>
        <v/>
      </c>
      <c r="Z293" s="79"/>
    </row>
    <row r="294" spans="1:26" customFormat="1" ht="15">
      <c r="A294" s="232"/>
      <c r="B294" s="295">
        <v>256</v>
      </c>
      <c r="C294" s="265"/>
      <c r="D294" s="266"/>
      <c r="E294" s="256"/>
      <c r="F294" s="239"/>
      <c r="G294" s="246"/>
      <c r="H294" s="405">
        <v>280</v>
      </c>
      <c r="I294" s="424"/>
      <c r="J294" s="424"/>
      <c r="K294" s="436"/>
      <c r="L294" s="436"/>
      <c r="M294" s="436"/>
      <c r="N294" s="437"/>
      <c r="P294" s="455" t="str" cm="1">
        <f t="array" aca="1" ref="P294" ca="1">IF(AND($Q$12,B318&lt;=$C$17,C318&lt;&gt;""),TRANSPOSE(INDEX(GetCDS(C318,$C$6,$C$29,F318,D318,$C$13,$C$14,$C$15,$C$8,,,TRUE,TRUE,FALSE,$C$29:$C$31,$C$33),{1;2;3;4;5})),"")</f>
        <v/>
      </c>
      <c r="Q294" s="456"/>
      <c r="R294" s="456"/>
      <c r="S294" s="457"/>
      <c r="T294" s="458"/>
      <c r="U294" s="459" t="str">
        <f t="shared" ca="1" si="20"/>
        <v/>
      </c>
      <c r="V294" s="460" t="str">
        <f t="shared" ca="1" si="21"/>
        <v/>
      </c>
      <c r="W294" s="459" t="str">
        <f t="shared" ca="1" si="22"/>
        <v/>
      </c>
      <c r="X294" s="461" t="str">
        <f t="shared" ca="1" si="23"/>
        <v/>
      </c>
      <c r="Y294" s="460" t="str">
        <f t="shared" ca="1" si="24"/>
        <v/>
      </c>
      <c r="Z294" s="79"/>
    </row>
    <row r="295" spans="1:26" customFormat="1" ht="15">
      <c r="A295" s="232"/>
      <c r="B295" s="295">
        <v>257</v>
      </c>
      <c r="C295" s="265"/>
      <c r="D295" s="266"/>
      <c r="E295" s="256"/>
      <c r="F295" s="239"/>
      <c r="G295" s="246"/>
      <c r="H295" s="405">
        <v>281</v>
      </c>
      <c r="I295" s="424"/>
      <c r="J295" s="424"/>
      <c r="K295" s="436"/>
      <c r="L295" s="436"/>
      <c r="M295" s="436"/>
      <c r="N295" s="437"/>
      <c r="P295" s="455" t="str" cm="1">
        <f t="array" aca="1" ref="P295" ca="1">IF(AND($Q$12,B319&lt;=$C$17,C319&lt;&gt;""),TRANSPOSE(INDEX(GetCDS(C319,$C$6,$C$29,F319,D319,$C$13,$C$14,$C$15,$C$8,,,TRUE,TRUE,FALSE,$C$29:$C$31,$C$33),{1;2;3;4;5})),"")</f>
        <v/>
      </c>
      <c r="Q295" s="456"/>
      <c r="R295" s="456"/>
      <c r="S295" s="457"/>
      <c r="T295" s="458"/>
      <c r="U295" s="459" t="str">
        <f t="shared" ca="1" si="20"/>
        <v/>
      </c>
      <c r="V295" s="460" t="str">
        <f t="shared" ca="1" si="21"/>
        <v/>
      </c>
      <c r="W295" s="459" t="str">
        <f t="shared" ca="1" si="22"/>
        <v/>
      </c>
      <c r="X295" s="461" t="str">
        <f t="shared" ca="1" si="23"/>
        <v/>
      </c>
      <c r="Y295" s="460" t="str">
        <f t="shared" ca="1" si="24"/>
        <v/>
      </c>
      <c r="Z295" s="79"/>
    </row>
    <row r="296" spans="1:26" customFormat="1" ht="15">
      <c r="A296" s="232"/>
      <c r="B296" s="295">
        <v>258</v>
      </c>
      <c r="C296" s="265"/>
      <c r="D296" s="266"/>
      <c r="E296" s="256"/>
      <c r="F296" s="239"/>
      <c r="G296" s="246"/>
      <c r="H296" s="405">
        <v>282</v>
      </c>
      <c r="I296" s="424"/>
      <c r="J296" s="424"/>
      <c r="K296" s="436"/>
      <c r="L296" s="436"/>
      <c r="M296" s="436"/>
      <c r="N296" s="437"/>
      <c r="P296" s="455" t="str" cm="1">
        <f t="array" aca="1" ref="P296" ca="1">IF(AND($Q$12,B320&lt;=$C$17,C320&lt;&gt;""),TRANSPOSE(INDEX(GetCDS(C320,$C$6,$C$29,F320,D320,$C$13,$C$14,$C$15,$C$8,,,TRUE,TRUE,FALSE,$C$29:$C$31,$C$33),{1;2;3;4;5})),"")</f>
        <v/>
      </c>
      <c r="Q296" s="456"/>
      <c r="R296" s="456"/>
      <c r="S296" s="457"/>
      <c r="T296" s="458"/>
      <c r="U296" s="459" t="str">
        <f t="shared" ca="1" si="20"/>
        <v/>
      </c>
      <c r="V296" s="460" t="str">
        <f t="shared" ca="1" si="21"/>
        <v/>
      </c>
      <c r="W296" s="459" t="str">
        <f t="shared" ca="1" si="22"/>
        <v/>
      </c>
      <c r="X296" s="461" t="str">
        <f t="shared" ca="1" si="23"/>
        <v/>
      </c>
      <c r="Y296" s="460" t="str">
        <f t="shared" ca="1" si="24"/>
        <v/>
      </c>
      <c r="Z296" s="79"/>
    </row>
    <row r="297" spans="1:26" customFormat="1" ht="15">
      <c r="A297" s="232"/>
      <c r="B297" s="295">
        <v>259</v>
      </c>
      <c r="C297" s="265"/>
      <c r="D297" s="266"/>
      <c r="E297" s="256"/>
      <c r="F297" s="239"/>
      <c r="G297" s="246"/>
      <c r="H297" s="405">
        <v>283</v>
      </c>
      <c r="I297" s="424"/>
      <c r="J297" s="424"/>
      <c r="K297" s="436"/>
      <c r="L297" s="436"/>
      <c r="M297" s="436"/>
      <c r="N297" s="437"/>
      <c r="P297" s="455" t="str" cm="1">
        <f t="array" aca="1" ref="P297" ca="1">IF(AND($Q$12,B321&lt;=$C$17,C321&lt;&gt;""),TRANSPOSE(INDEX(GetCDS(C321,$C$6,$C$29,F321,D321,$C$13,$C$14,$C$15,$C$8,,,TRUE,TRUE,FALSE,$C$29:$C$31,$C$33),{1;2;3;4;5})),"")</f>
        <v/>
      </c>
      <c r="Q297" s="456"/>
      <c r="R297" s="456"/>
      <c r="S297" s="457"/>
      <c r="T297" s="458"/>
      <c r="U297" s="459" t="str">
        <f t="shared" ca="1" si="20"/>
        <v/>
      </c>
      <c r="V297" s="460" t="str">
        <f t="shared" ca="1" si="21"/>
        <v/>
      </c>
      <c r="W297" s="459" t="str">
        <f t="shared" ca="1" si="22"/>
        <v/>
      </c>
      <c r="X297" s="461" t="str">
        <f t="shared" ca="1" si="23"/>
        <v/>
      </c>
      <c r="Y297" s="460" t="str">
        <f t="shared" ca="1" si="24"/>
        <v/>
      </c>
      <c r="Z297" s="79"/>
    </row>
    <row r="298" spans="1:26" customFormat="1" ht="15">
      <c r="A298" s="232"/>
      <c r="B298" s="295">
        <v>260</v>
      </c>
      <c r="C298" s="265"/>
      <c r="D298" s="266"/>
      <c r="E298" s="256"/>
      <c r="F298" s="239"/>
      <c r="G298" s="246"/>
      <c r="H298" s="405">
        <v>284</v>
      </c>
      <c r="I298" s="424"/>
      <c r="J298" s="424"/>
      <c r="K298" s="436"/>
      <c r="L298" s="436"/>
      <c r="M298" s="436"/>
      <c r="N298" s="437"/>
      <c r="P298" s="455" t="str" cm="1">
        <f t="array" aca="1" ref="P298" ca="1">IF(AND($Q$12,B322&lt;=$C$17,C322&lt;&gt;""),TRANSPOSE(INDEX(GetCDS(C322,$C$6,$C$29,F322,D322,$C$13,$C$14,$C$15,$C$8,,,TRUE,TRUE,FALSE,$C$29:$C$31,$C$33),{1;2;3;4;5})),"")</f>
        <v/>
      </c>
      <c r="Q298" s="456"/>
      <c r="R298" s="456"/>
      <c r="S298" s="457"/>
      <c r="T298" s="458"/>
      <c r="U298" s="459" t="str">
        <f t="shared" ca="1" si="20"/>
        <v/>
      </c>
      <c r="V298" s="460" t="str">
        <f t="shared" ca="1" si="21"/>
        <v/>
      </c>
      <c r="W298" s="459" t="str">
        <f t="shared" ca="1" si="22"/>
        <v/>
      </c>
      <c r="X298" s="461" t="str">
        <f t="shared" ca="1" si="23"/>
        <v/>
      </c>
      <c r="Y298" s="460" t="str">
        <f t="shared" ca="1" si="24"/>
        <v/>
      </c>
      <c r="Z298" s="79"/>
    </row>
    <row r="299" spans="1:26" customFormat="1" ht="15">
      <c r="A299" s="232"/>
      <c r="B299" s="295">
        <v>261</v>
      </c>
      <c r="C299" s="265"/>
      <c r="D299" s="266"/>
      <c r="E299" s="256"/>
      <c r="F299" s="239"/>
      <c r="G299" s="246"/>
      <c r="H299" s="405">
        <v>285</v>
      </c>
      <c r="I299" s="424"/>
      <c r="J299" s="424"/>
      <c r="K299" s="436"/>
      <c r="L299" s="436"/>
      <c r="M299" s="436"/>
      <c r="N299" s="437"/>
      <c r="P299" s="455" t="str" cm="1">
        <f t="array" aca="1" ref="P299" ca="1">IF(AND($Q$12,B323&lt;=$C$17,C323&lt;&gt;""),TRANSPOSE(INDEX(GetCDS(C323,$C$6,$C$29,F323,D323,$C$13,$C$14,$C$15,$C$8,,,TRUE,TRUE,FALSE,$C$29:$C$31,$C$33),{1;2;3;4;5})),"")</f>
        <v/>
      </c>
      <c r="Q299" s="456"/>
      <c r="R299" s="456"/>
      <c r="S299" s="457"/>
      <c r="T299" s="458"/>
      <c r="U299" s="459" t="str">
        <f t="shared" ca="1" si="20"/>
        <v/>
      </c>
      <c r="V299" s="460" t="str">
        <f t="shared" ca="1" si="21"/>
        <v/>
      </c>
      <c r="W299" s="459" t="str">
        <f t="shared" ca="1" si="22"/>
        <v/>
      </c>
      <c r="X299" s="461" t="str">
        <f t="shared" ca="1" si="23"/>
        <v/>
      </c>
      <c r="Y299" s="460" t="str">
        <f t="shared" ca="1" si="24"/>
        <v/>
      </c>
      <c r="Z299" s="79"/>
    </row>
    <row r="300" spans="1:26" customFormat="1" ht="15">
      <c r="A300" s="232"/>
      <c r="B300" s="295">
        <v>262</v>
      </c>
      <c r="C300" s="265"/>
      <c r="D300" s="266"/>
      <c r="E300" s="256"/>
      <c r="F300" s="239"/>
      <c r="G300" s="246"/>
      <c r="H300" s="405">
        <v>286</v>
      </c>
      <c r="I300" s="424"/>
      <c r="J300" s="424"/>
      <c r="K300" s="436"/>
      <c r="L300" s="436"/>
      <c r="M300" s="436"/>
      <c r="N300" s="437"/>
      <c r="P300" s="455" t="str" cm="1">
        <f t="array" aca="1" ref="P300" ca="1">IF(AND($Q$12,B324&lt;=$C$17,C324&lt;&gt;""),TRANSPOSE(INDEX(GetCDS(C324,$C$6,$C$29,F324,D324,$C$13,$C$14,$C$15,$C$8,,,TRUE,TRUE,FALSE,$C$29:$C$31,$C$33),{1;2;3;4;5})),"")</f>
        <v/>
      </c>
      <c r="Q300" s="456"/>
      <c r="R300" s="456"/>
      <c r="S300" s="457"/>
      <c r="T300" s="458"/>
      <c r="U300" s="459" t="str">
        <f t="shared" ca="1" si="20"/>
        <v/>
      </c>
      <c r="V300" s="460" t="str">
        <f t="shared" ca="1" si="21"/>
        <v/>
      </c>
      <c r="W300" s="459" t="str">
        <f t="shared" ca="1" si="22"/>
        <v/>
      </c>
      <c r="X300" s="461" t="str">
        <f t="shared" ca="1" si="23"/>
        <v/>
      </c>
      <c r="Y300" s="460" t="str">
        <f t="shared" ca="1" si="24"/>
        <v/>
      </c>
      <c r="Z300" s="79"/>
    </row>
    <row r="301" spans="1:26" customFormat="1" ht="15">
      <c r="A301" s="232"/>
      <c r="B301" s="295">
        <v>263</v>
      </c>
      <c r="C301" s="265"/>
      <c r="D301" s="266"/>
      <c r="E301" s="256"/>
      <c r="F301" s="239"/>
      <c r="G301" s="246"/>
      <c r="H301" s="405">
        <v>287</v>
      </c>
      <c r="I301" s="424"/>
      <c r="J301" s="424"/>
      <c r="K301" s="436"/>
      <c r="L301" s="436"/>
      <c r="M301" s="436"/>
      <c r="N301" s="437"/>
      <c r="P301" s="455" t="str" cm="1">
        <f t="array" aca="1" ref="P301" ca="1">IF(AND($Q$12,B325&lt;=$C$17,C325&lt;&gt;""),TRANSPOSE(INDEX(GetCDS(C325,$C$6,$C$29,F325,D325,$C$13,$C$14,$C$15,$C$8,,,TRUE,TRUE,FALSE,$C$29:$C$31,$C$33),{1;2;3;4;5})),"")</f>
        <v/>
      </c>
      <c r="Q301" s="456"/>
      <c r="R301" s="456"/>
      <c r="S301" s="457"/>
      <c r="T301" s="458"/>
      <c r="U301" s="459" t="str">
        <f t="shared" ca="1" si="20"/>
        <v/>
      </c>
      <c r="V301" s="460" t="str">
        <f t="shared" ca="1" si="21"/>
        <v/>
      </c>
      <c r="W301" s="459" t="str">
        <f t="shared" ca="1" si="22"/>
        <v/>
      </c>
      <c r="X301" s="461" t="str">
        <f t="shared" ca="1" si="23"/>
        <v/>
      </c>
      <c r="Y301" s="460" t="str">
        <f t="shared" ca="1" si="24"/>
        <v/>
      </c>
      <c r="Z301" s="79"/>
    </row>
    <row r="302" spans="1:26" customFormat="1" ht="15">
      <c r="A302" s="232"/>
      <c r="B302" s="295">
        <v>264</v>
      </c>
      <c r="C302" s="265"/>
      <c r="D302" s="266"/>
      <c r="E302" s="256"/>
      <c r="F302" s="239"/>
      <c r="G302" s="246"/>
      <c r="H302" s="405">
        <v>288</v>
      </c>
      <c r="I302" s="424"/>
      <c r="J302" s="424"/>
      <c r="K302" s="436"/>
      <c r="L302" s="436"/>
      <c r="M302" s="436"/>
      <c r="N302" s="437"/>
      <c r="P302" s="455" t="str" cm="1">
        <f t="array" aca="1" ref="P302" ca="1">IF(AND($Q$12,B326&lt;=$C$17,C326&lt;&gt;""),TRANSPOSE(INDEX(GetCDS(C326,$C$6,$C$29,F326,D326,$C$13,$C$14,$C$15,$C$8,,,TRUE,TRUE,FALSE,$C$29:$C$31,$C$33),{1;2;3;4;5})),"")</f>
        <v/>
      </c>
      <c r="Q302" s="456"/>
      <c r="R302" s="456"/>
      <c r="S302" s="457"/>
      <c r="T302" s="458"/>
      <c r="U302" s="459" t="str">
        <f t="shared" ca="1" si="20"/>
        <v/>
      </c>
      <c r="V302" s="460" t="str">
        <f t="shared" ca="1" si="21"/>
        <v/>
      </c>
      <c r="W302" s="459" t="str">
        <f t="shared" ca="1" si="22"/>
        <v/>
      </c>
      <c r="X302" s="461" t="str">
        <f t="shared" ca="1" si="23"/>
        <v/>
      </c>
      <c r="Y302" s="460" t="str">
        <f t="shared" ca="1" si="24"/>
        <v/>
      </c>
      <c r="Z302" s="79"/>
    </row>
    <row r="303" spans="1:26" customFormat="1" ht="15">
      <c r="A303" s="232"/>
      <c r="B303" s="295">
        <v>265</v>
      </c>
      <c r="C303" s="265"/>
      <c r="D303" s="266"/>
      <c r="E303" s="256"/>
      <c r="F303" s="239"/>
      <c r="G303" s="246"/>
      <c r="H303" s="405">
        <v>289</v>
      </c>
      <c r="I303" s="424"/>
      <c r="J303" s="424"/>
      <c r="K303" s="436"/>
      <c r="L303" s="436"/>
      <c r="M303" s="436"/>
      <c r="N303" s="437"/>
      <c r="P303" s="455" t="str" cm="1">
        <f t="array" aca="1" ref="P303" ca="1">IF(AND($Q$12,B327&lt;=$C$17,C327&lt;&gt;""),TRANSPOSE(INDEX(GetCDS(C327,$C$6,$C$29,F327,D327,$C$13,$C$14,$C$15,$C$8,,,TRUE,TRUE,FALSE,$C$29:$C$31,$C$33),{1;2;3;4;5})),"")</f>
        <v/>
      </c>
      <c r="Q303" s="456"/>
      <c r="R303" s="456"/>
      <c r="S303" s="457"/>
      <c r="T303" s="458"/>
      <c r="U303" s="459" t="str">
        <f t="shared" ca="1" si="20"/>
        <v/>
      </c>
      <c r="V303" s="460" t="str">
        <f t="shared" ca="1" si="21"/>
        <v/>
      </c>
      <c r="W303" s="459" t="str">
        <f t="shared" ca="1" si="22"/>
        <v/>
      </c>
      <c r="X303" s="461" t="str">
        <f t="shared" ca="1" si="23"/>
        <v/>
      </c>
      <c r="Y303" s="460" t="str">
        <f t="shared" ca="1" si="24"/>
        <v/>
      </c>
      <c r="Z303" s="79"/>
    </row>
    <row r="304" spans="1:26" customFormat="1" ht="15">
      <c r="A304" s="232"/>
      <c r="B304" s="295">
        <v>266</v>
      </c>
      <c r="C304" s="265"/>
      <c r="D304" s="266"/>
      <c r="E304" s="256"/>
      <c r="F304" s="239"/>
      <c r="G304" s="246"/>
      <c r="H304" s="405">
        <v>290</v>
      </c>
      <c r="I304" s="424"/>
      <c r="J304" s="424"/>
      <c r="K304" s="436"/>
      <c r="L304" s="436"/>
      <c r="M304" s="436"/>
      <c r="N304" s="437"/>
      <c r="P304" s="455" t="str" cm="1">
        <f t="array" aca="1" ref="P304" ca="1">IF(AND($Q$12,B328&lt;=$C$17,C328&lt;&gt;""),TRANSPOSE(INDEX(GetCDS(C328,$C$6,$C$29,F328,D328,$C$13,$C$14,$C$15,$C$8,,,TRUE,TRUE,FALSE,$C$29:$C$31,$C$33),{1;2;3;4;5})),"")</f>
        <v/>
      </c>
      <c r="Q304" s="456"/>
      <c r="R304" s="456"/>
      <c r="S304" s="457"/>
      <c r="T304" s="458"/>
      <c r="U304" s="459" t="str">
        <f t="shared" ca="1" si="20"/>
        <v/>
      </c>
      <c r="V304" s="460" t="str">
        <f t="shared" ca="1" si="21"/>
        <v/>
      </c>
      <c r="W304" s="459" t="str">
        <f t="shared" ca="1" si="22"/>
        <v/>
      </c>
      <c r="X304" s="461" t="str">
        <f t="shared" ca="1" si="23"/>
        <v/>
      </c>
      <c r="Y304" s="460" t="str">
        <f t="shared" ca="1" si="24"/>
        <v/>
      </c>
      <c r="Z304" s="79"/>
    </row>
    <row r="305" spans="1:26" customFormat="1" ht="15">
      <c r="A305" s="232"/>
      <c r="B305" s="295">
        <v>267</v>
      </c>
      <c r="C305" s="265"/>
      <c r="D305" s="266"/>
      <c r="E305" s="256"/>
      <c r="F305" s="239"/>
      <c r="G305" s="246"/>
      <c r="H305" s="405">
        <v>291</v>
      </c>
      <c r="I305" s="424"/>
      <c r="J305" s="424"/>
      <c r="K305" s="436"/>
      <c r="L305" s="436"/>
      <c r="M305" s="436"/>
      <c r="N305" s="437"/>
      <c r="P305" s="455" t="str" cm="1">
        <f t="array" aca="1" ref="P305" ca="1">IF(AND($Q$12,B329&lt;=$C$17,C329&lt;&gt;""),TRANSPOSE(INDEX(GetCDS(C329,$C$6,$C$29,F329,D329,$C$13,$C$14,$C$15,$C$8,,,TRUE,TRUE,FALSE,$C$29:$C$31,$C$33),{1;2;3;4;5})),"")</f>
        <v/>
      </c>
      <c r="Q305" s="456"/>
      <c r="R305" s="456"/>
      <c r="S305" s="457"/>
      <c r="T305" s="458"/>
      <c r="U305" s="459" t="str">
        <f t="shared" ca="1" si="20"/>
        <v/>
      </c>
      <c r="V305" s="460" t="str">
        <f t="shared" ca="1" si="21"/>
        <v/>
      </c>
      <c r="W305" s="459" t="str">
        <f t="shared" ca="1" si="22"/>
        <v/>
      </c>
      <c r="X305" s="461" t="str">
        <f t="shared" ca="1" si="23"/>
        <v/>
      </c>
      <c r="Y305" s="460" t="str">
        <f t="shared" ca="1" si="24"/>
        <v/>
      </c>
      <c r="Z305" s="79"/>
    </row>
    <row r="306" spans="1:26" customFormat="1" ht="15">
      <c r="A306" s="232"/>
      <c r="B306" s="295">
        <v>268</v>
      </c>
      <c r="C306" s="265"/>
      <c r="D306" s="266"/>
      <c r="E306" s="256"/>
      <c r="F306" s="239"/>
      <c r="G306" s="246"/>
      <c r="H306" s="405">
        <v>292</v>
      </c>
      <c r="I306" s="424"/>
      <c r="J306" s="424"/>
      <c r="K306" s="436"/>
      <c r="L306" s="436"/>
      <c r="M306" s="436"/>
      <c r="N306" s="437"/>
      <c r="P306" s="455" t="str" cm="1">
        <f t="array" aca="1" ref="P306" ca="1">IF(AND($Q$12,B330&lt;=$C$17,C330&lt;&gt;""),TRANSPOSE(INDEX(GetCDS(C330,$C$6,$C$29,F330,D330,$C$13,$C$14,$C$15,$C$8,,,TRUE,TRUE,FALSE,$C$29:$C$31,$C$33),{1;2;3;4;5})),"")</f>
        <v/>
      </c>
      <c r="Q306" s="456"/>
      <c r="R306" s="456"/>
      <c r="S306" s="457"/>
      <c r="T306" s="458"/>
      <c r="U306" s="459" t="str">
        <f t="shared" ca="1" si="20"/>
        <v/>
      </c>
      <c r="V306" s="460" t="str">
        <f t="shared" ca="1" si="21"/>
        <v/>
      </c>
      <c r="W306" s="459" t="str">
        <f t="shared" ca="1" si="22"/>
        <v/>
      </c>
      <c r="X306" s="461" t="str">
        <f t="shared" ca="1" si="23"/>
        <v/>
      </c>
      <c r="Y306" s="460" t="str">
        <f t="shared" ca="1" si="24"/>
        <v/>
      </c>
      <c r="Z306" s="79"/>
    </row>
    <row r="307" spans="1:26" customFormat="1" ht="15">
      <c r="A307" s="232"/>
      <c r="B307" s="295">
        <v>269</v>
      </c>
      <c r="C307" s="265"/>
      <c r="D307" s="266"/>
      <c r="E307" s="256"/>
      <c r="F307" s="239"/>
      <c r="G307" s="246"/>
      <c r="H307" s="405">
        <v>293</v>
      </c>
      <c r="I307" s="424"/>
      <c r="J307" s="424"/>
      <c r="K307" s="436"/>
      <c r="L307" s="436"/>
      <c r="M307" s="436"/>
      <c r="N307" s="437"/>
      <c r="P307" s="455" t="str" cm="1">
        <f t="array" aca="1" ref="P307" ca="1">IF(AND($Q$12,B331&lt;=$C$17,C331&lt;&gt;""),TRANSPOSE(INDEX(GetCDS(C331,$C$6,$C$29,F331,D331,$C$13,$C$14,$C$15,$C$8,,,TRUE,TRUE,FALSE,$C$29:$C$31,$C$33),{1;2;3;4;5})),"")</f>
        <v/>
      </c>
      <c r="Q307" s="456"/>
      <c r="R307" s="456"/>
      <c r="S307" s="457"/>
      <c r="T307" s="458"/>
      <c r="U307" s="459" t="str">
        <f t="shared" ca="1" si="20"/>
        <v/>
      </c>
      <c r="V307" s="460" t="str">
        <f t="shared" ca="1" si="21"/>
        <v/>
      </c>
      <c r="W307" s="459" t="str">
        <f t="shared" ca="1" si="22"/>
        <v/>
      </c>
      <c r="X307" s="461" t="str">
        <f t="shared" ca="1" si="23"/>
        <v/>
      </c>
      <c r="Y307" s="460" t="str">
        <f t="shared" ca="1" si="24"/>
        <v/>
      </c>
      <c r="Z307" s="79"/>
    </row>
    <row r="308" spans="1:26" customFormat="1" ht="15">
      <c r="A308" s="232"/>
      <c r="B308" s="295">
        <v>270</v>
      </c>
      <c r="C308" s="265"/>
      <c r="D308" s="266"/>
      <c r="E308" s="256"/>
      <c r="F308" s="239"/>
      <c r="G308" s="246"/>
      <c r="H308" s="405">
        <v>294</v>
      </c>
      <c r="I308" s="424"/>
      <c r="J308" s="424"/>
      <c r="K308" s="436"/>
      <c r="L308" s="436"/>
      <c r="M308" s="436"/>
      <c r="N308" s="437"/>
      <c r="P308" s="455" t="str" cm="1">
        <f t="array" aca="1" ref="P308" ca="1">IF(AND($Q$12,B332&lt;=$C$17,C332&lt;&gt;""),TRANSPOSE(INDEX(GetCDS(C332,$C$6,$C$29,F332,D332,$C$13,$C$14,$C$15,$C$8,,,TRUE,TRUE,FALSE,$C$29:$C$31,$C$33),{1;2;3;4;5})),"")</f>
        <v/>
      </c>
      <c r="Q308" s="456"/>
      <c r="R308" s="456"/>
      <c r="S308" s="457"/>
      <c r="T308" s="458"/>
      <c r="U308" s="459" t="str">
        <f t="shared" ca="1" si="20"/>
        <v/>
      </c>
      <c r="V308" s="460" t="str">
        <f t="shared" ca="1" si="21"/>
        <v/>
      </c>
      <c r="W308" s="459" t="str">
        <f t="shared" ca="1" si="22"/>
        <v/>
      </c>
      <c r="X308" s="461" t="str">
        <f t="shared" ca="1" si="23"/>
        <v/>
      </c>
      <c r="Y308" s="460" t="str">
        <f t="shared" ca="1" si="24"/>
        <v/>
      </c>
      <c r="Z308" s="79"/>
    </row>
    <row r="309" spans="1:26" customFormat="1" ht="15">
      <c r="A309" s="232"/>
      <c r="B309" s="295">
        <v>271</v>
      </c>
      <c r="C309" s="265"/>
      <c r="D309" s="266"/>
      <c r="E309" s="256"/>
      <c r="F309" s="239"/>
      <c r="G309" s="246"/>
      <c r="H309" s="405">
        <v>295</v>
      </c>
      <c r="I309" s="424"/>
      <c r="J309" s="424"/>
      <c r="K309" s="436"/>
      <c r="L309" s="436"/>
      <c r="M309" s="436"/>
      <c r="N309" s="437"/>
      <c r="P309" s="455" t="str" cm="1">
        <f t="array" aca="1" ref="P309" ca="1">IF(AND($Q$12,B333&lt;=$C$17,C333&lt;&gt;""),TRANSPOSE(INDEX(GetCDS(C333,$C$6,$C$29,F333,D333,$C$13,$C$14,$C$15,$C$8,,,TRUE,TRUE,FALSE,$C$29:$C$31,$C$33),{1;2;3;4;5})),"")</f>
        <v/>
      </c>
      <c r="Q309" s="456"/>
      <c r="R309" s="456"/>
      <c r="S309" s="457"/>
      <c r="T309" s="458"/>
      <c r="U309" s="459" t="str">
        <f t="shared" ca="1" si="20"/>
        <v/>
      </c>
      <c r="V309" s="460" t="str">
        <f t="shared" ca="1" si="21"/>
        <v/>
      </c>
      <c r="W309" s="459" t="str">
        <f t="shared" ca="1" si="22"/>
        <v/>
      </c>
      <c r="X309" s="461" t="str">
        <f t="shared" ca="1" si="23"/>
        <v/>
      </c>
      <c r="Y309" s="460" t="str">
        <f t="shared" ca="1" si="24"/>
        <v/>
      </c>
      <c r="Z309" s="79"/>
    </row>
    <row r="310" spans="1:26" customFormat="1" ht="15">
      <c r="A310" s="232"/>
      <c r="B310" s="295">
        <v>272</v>
      </c>
      <c r="C310" s="265"/>
      <c r="D310" s="266"/>
      <c r="E310" s="256"/>
      <c r="F310" s="239"/>
      <c r="G310" s="246"/>
      <c r="H310" s="405">
        <v>296</v>
      </c>
      <c r="I310" s="424"/>
      <c r="J310" s="424"/>
      <c r="K310" s="436"/>
      <c r="L310" s="436"/>
      <c r="M310" s="436"/>
      <c r="N310" s="437"/>
      <c r="P310" s="455" t="str" cm="1">
        <f t="array" aca="1" ref="P310" ca="1">IF(AND($Q$12,B334&lt;=$C$17,C334&lt;&gt;""),TRANSPOSE(INDEX(GetCDS(C334,$C$6,$C$29,F334,D334,$C$13,$C$14,$C$15,$C$8,,,TRUE,TRUE,FALSE,$C$29:$C$31,$C$33),{1;2;3;4;5})),"")</f>
        <v/>
      </c>
      <c r="Q310" s="456"/>
      <c r="R310" s="456"/>
      <c r="S310" s="457"/>
      <c r="T310" s="458"/>
      <c r="U310" s="459" t="str">
        <f t="shared" ca="1" si="20"/>
        <v/>
      </c>
      <c r="V310" s="460" t="str">
        <f t="shared" ca="1" si="21"/>
        <v/>
      </c>
      <c r="W310" s="459" t="str">
        <f t="shared" ca="1" si="22"/>
        <v/>
      </c>
      <c r="X310" s="461" t="str">
        <f t="shared" ca="1" si="23"/>
        <v/>
      </c>
      <c r="Y310" s="460" t="str">
        <f t="shared" ca="1" si="24"/>
        <v/>
      </c>
      <c r="Z310" s="79"/>
    </row>
    <row r="311" spans="1:26" customFormat="1" ht="15">
      <c r="A311" s="232"/>
      <c r="B311" s="295">
        <v>273</v>
      </c>
      <c r="C311" s="265"/>
      <c r="D311" s="266"/>
      <c r="E311" s="256"/>
      <c r="F311" s="239"/>
      <c r="G311" s="246"/>
      <c r="H311" s="405">
        <v>297</v>
      </c>
      <c r="I311" s="424"/>
      <c r="J311" s="424"/>
      <c r="K311" s="436"/>
      <c r="L311" s="436"/>
      <c r="M311" s="436"/>
      <c r="N311" s="437"/>
      <c r="P311" s="455" t="str" cm="1">
        <f t="array" aca="1" ref="P311" ca="1">IF(AND($Q$12,B335&lt;=$C$17,C335&lt;&gt;""),TRANSPOSE(INDEX(GetCDS(C335,$C$6,$C$29,F335,D335,$C$13,$C$14,$C$15,$C$8,,,TRUE,TRUE,FALSE,$C$29:$C$31,$C$33),{1;2;3;4;5})),"")</f>
        <v/>
      </c>
      <c r="Q311" s="456"/>
      <c r="R311" s="456"/>
      <c r="S311" s="457"/>
      <c r="T311" s="458"/>
      <c r="U311" s="459" t="str">
        <f t="shared" ca="1" si="20"/>
        <v/>
      </c>
      <c r="V311" s="460" t="str">
        <f t="shared" ca="1" si="21"/>
        <v/>
      </c>
      <c r="W311" s="459" t="str">
        <f t="shared" ca="1" si="22"/>
        <v/>
      </c>
      <c r="X311" s="461" t="str">
        <f t="shared" ca="1" si="23"/>
        <v/>
      </c>
      <c r="Y311" s="460" t="str">
        <f t="shared" ca="1" si="24"/>
        <v/>
      </c>
      <c r="Z311" s="79"/>
    </row>
    <row r="312" spans="1:26" customFormat="1" ht="15">
      <c r="A312" s="232"/>
      <c r="B312" s="295">
        <v>274</v>
      </c>
      <c r="C312" s="265"/>
      <c r="D312" s="266"/>
      <c r="E312" s="256"/>
      <c r="F312" s="239"/>
      <c r="G312" s="246"/>
      <c r="H312" s="405">
        <v>298</v>
      </c>
      <c r="I312" s="424"/>
      <c r="J312" s="424"/>
      <c r="K312" s="436"/>
      <c r="L312" s="436"/>
      <c r="M312" s="436"/>
      <c r="N312" s="437"/>
      <c r="P312" s="455" t="str" cm="1">
        <f t="array" aca="1" ref="P312" ca="1">IF(AND($Q$12,B336&lt;=$C$17,C336&lt;&gt;""),TRANSPOSE(INDEX(GetCDS(C336,$C$6,$C$29,F336,D336,$C$13,$C$14,$C$15,$C$8,,,TRUE,TRUE,FALSE,$C$29:$C$31,$C$33),{1;2;3;4;5})),"")</f>
        <v/>
      </c>
      <c r="Q312" s="456"/>
      <c r="R312" s="456"/>
      <c r="S312" s="457"/>
      <c r="T312" s="458"/>
      <c r="U312" s="459" t="str">
        <f t="shared" ca="1" si="20"/>
        <v/>
      </c>
      <c r="V312" s="460" t="str">
        <f t="shared" ca="1" si="21"/>
        <v/>
      </c>
      <c r="W312" s="459" t="str">
        <f t="shared" ca="1" si="22"/>
        <v/>
      </c>
      <c r="X312" s="461" t="str">
        <f t="shared" ca="1" si="23"/>
        <v/>
      </c>
      <c r="Y312" s="460" t="str">
        <f t="shared" ca="1" si="24"/>
        <v/>
      </c>
      <c r="Z312" s="79"/>
    </row>
    <row r="313" spans="1:26" customFormat="1" ht="15">
      <c r="A313" s="232"/>
      <c r="B313" s="295">
        <v>275</v>
      </c>
      <c r="C313" s="265"/>
      <c r="D313" s="266"/>
      <c r="E313" s="256"/>
      <c r="F313" s="239"/>
      <c r="G313" s="246"/>
      <c r="H313" s="405">
        <v>299</v>
      </c>
      <c r="I313" s="424"/>
      <c r="J313" s="424"/>
      <c r="K313" s="436"/>
      <c r="L313" s="436"/>
      <c r="M313" s="436"/>
      <c r="N313" s="437"/>
      <c r="P313" s="455" t="str" cm="1">
        <f t="array" aca="1" ref="P313" ca="1">IF(AND($Q$12,B337&lt;=$C$17,C337&lt;&gt;""),TRANSPOSE(INDEX(GetCDS(C337,$C$6,$C$29,F337,D337,$C$13,$C$14,$C$15,$C$8,,,TRUE,TRUE,FALSE,$C$29:$C$31,$C$33),{1;2;3;4;5})),"")</f>
        <v/>
      </c>
      <c r="Q313" s="456"/>
      <c r="R313" s="456"/>
      <c r="S313" s="457"/>
      <c r="T313" s="458"/>
      <c r="U313" s="459" t="str">
        <f t="shared" ca="1" si="20"/>
        <v/>
      </c>
      <c r="V313" s="460" t="str">
        <f t="shared" ca="1" si="21"/>
        <v/>
      </c>
      <c r="W313" s="459" t="str">
        <f t="shared" ca="1" si="22"/>
        <v/>
      </c>
      <c r="X313" s="461" t="str">
        <f t="shared" ca="1" si="23"/>
        <v/>
      </c>
      <c r="Y313" s="460" t="str">
        <f t="shared" ca="1" si="24"/>
        <v/>
      </c>
      <c r="Z313" s="79"/>
    </row>
    <row r="314" spans="1:26" customFormat="1" ht="15.75" thickBot="1">
      <c r="A314" s="232"/>
      <c r="B314" s="295">
        <v>276</v>
      </c>
      <c r="C314" s="265"/>
      <c r="D314" s="266"/>
      <c r="E314" s="256"/>
      <c r="F314" s="239"/>
      <c r="G314" s="246"/>
      <c r="H314" s="408">
        <v>300</v>
      </c>
      <c r="I314" s="439"/>
      <c r="J314" s="439"/>
      <c r="K314" s="440"/>
      <c r="L314" s="440"/>
      <c r="M314" s="440"/>
      <c r="N314" s="441"/>
      <c r="O314" s="460" t="str">
        <f t="shared" ref="O314" ca="1" si="25">IF($Q$12,IF(N314="","",N314*($V$10-L314)*M314),"")</f>
        <v/>
      </c>
      <c r="P314" s="455" t="str" cm="1">
        <f t="array" aca="1" ref="P314" ca="1">IF(AND($Q$12,B338&lt;=$C$17,C338&lt;&gt;""),TRANSPOSE(INDEX(GetCDS(C338,$C$6,$C$29,F338,D338,$C$13,$C$14,$C$15,$C$8,,,TRUE,TRUE,FALSE,$C$29:$C$31,$C$33),{1;2;3;4;5})),"")</f>
        <v/>
      </c>
      <c r="Q314" s="462"/>
      <c r="R314" s="462"/>
      <c r="S314" s="463"/>
      <c r="T314" s="464"/>
      <c r="U314" s="459" t="str">
        <f t="shared" ca="1" si="20"/>
        <v/>
      </c>
      <c r="V314" s="460" t="str">
        <f t="shared" ca="1" si="21"/>
        <v/>
      </c>
      <c r="W314" s="463"/>
      <c r="X314" s="463"/>
      <c r="Y314" s="441"/>
      <c r="Z314" s="79"/>
    </row>
    <row r="315" spans="1:26" customFormat="1" ht="15">
      <c r="A315" s="232"/>
      <c r="B315" s="295">
        <v>277</v>
      </c>
      <c r="C315" s="265"/>
      <c r="D315" s="266"/>
      <c r="E315" s="256"/>
      <c r="F315" s="239"/>
      <c r="G315" s="246"/>
      <c r="O315" s="79"/>
      <c r="P315" s="79"/>
      <c r="Q315" s="79"/>
      <c r="R315" s="79"/>
      <c r="S315" s="79"/>
      <c r="T315" s="79"/>
      <c r="U315" s="79"/>
      <c r="V315" s="79"/>
      <c r="W315" s="79"/>
      <c r="X315" s="79"/>
      <c r="Z315" s="79"/>
    </row>
    <row r="316" spans="1:26" customFormat="1" ht="15">
      <c r="A316" s="232"/>
      <c r="B316" s="295">
        <v>278</v>
      </c>
      <c r="C316" s="265"/>
      <c r="D316" s="266"/>
      <c r="E316" s="256"/>
      <c r="F316" s="239"/>
      <c r="G316" s="246"/>
      <c r="P316" s="79"/>
      <c r="Q316" s="79"/>
      <c r="R316" s="79"/>
      <c r="S316" s="79"/>
      <c r="T316" s="79"/>
      <c r="U316" s="79"/>
      <c r="V316" s="79"/>
      <c r="W316" s="79"/>
      <c r="X316" s="79"/>
      <c r="Y316" s="79"/>
      <c r="Z316" s="79"/>
    </row>
    <row r="317" spans="1:26" customFormat="1" ht="15">
      <c r="A317" s="232"/>
      <c r="B317" s="295">
        <v>279</v>
      </c>
      <c r="C317" s="265"/>
      <c r="D317" s="266"/>
      <c r="E317" s="256"/>
      <c r="F317" s="239"/>
      <c r="G317" s="246"/>
    </row>
    <row r="318" spans="1:26" customFormat="1" ht="15">
      <c r="A318" s="232"/>
      <c r="B318" s="295">
        <v>280</v>
      </c>
      <c r="C318" s="265"/>
      <c r="D318" s="266"/>
      <c r="E318" s="256"/>
      <c r="F318" s="239"/>
      <c r="G318" s="246"/>
    </row>
    <row r="319" spans="1:26" customFormat="1" ht="15">
      <c r="A319" s="232"/>
      <c r="B319" s="295">
        <v>281</v>
      </c>
      <c r="C319" s="265"/>
      <c r="D319" s="266"/>
      <c r="E319" s="256"/>
      <c r="F319" s="239"/>
      <c r="G319" s="246"/>
    </row>
    <row r="320" spans="1:26" customFormat="1" ht="15">
      <c r="A320" s="232"/>
      <c r="B320" s="295">
        <v>282</v>
      </c>
      <c r="C320" s="265"/>
      <c r="D320" s="266"/>
      <c r="E320" s="256"/>
      <c r="F320" s="239"/>
      <c r="G320" s="246"/>
    </row>
    <row r="321" spans="1:7" customFormat="1" ht="15">
      <c r="A321" s="232"/>
      <c r="B321" s="295">
        <v>283</v>
      </c>
      <c r="C321" s="265"/>
      <c r="D321" s="266"/>
      <c r="E321" s="256"/>
      <c r="F321" s="239"/>
      <c r="G321" s="246"/>
    </row>
    <row r="322" spans="1:7" customFormat="1" ht="15">
      <c r="A322" s="232"/>
      <c r="B322" s="295">
        <v>284</v>
      </c>
      <c r="C322" s="265"/>
      <c r="D322" s="266"/>
      <c r="E322" s="256"/>
      <c r="F322" s="239"/>
      <c r="G322" s="246"/>
    </row>
    <row r="323" spans="1:7" customFormat="1" ht="15">
      <c r="A323" s="232"/>
      <c r="B323" s="295">
        <v>285</v>
      </c>
      <c r="C323" s="265"/>
      <c r="D323" s="266"/>
      <c r="E323" s="256"/>
      <c r="F323" s="239"/>
      <c r="G323" s="246"/>
    </row>
    <row r="324" spans="1:7" customFormat="1" ht="15">
      <c r="A324" s="232"/>
      <c r="B324" s="295">
        <v>286</v>
      </c>
      <c r="C324" s="265"/>
      <c r="D324" s="266"/>
      <c r="E324" s="256"/>
      <c r="F324" s="239"/>
      <c r="G324" s="246"/>
    </row>
    <row r="325" spans="1:7" customFormat="1" ht="15">
      <c r="A325" s="232"/>
      <c r="B325" s="295">
        <v>287</v>
      </c>
      <c r="C325" s="265"/>
      <c r="D325" s="266"/>
      <c r="E325" s="256"/>
      <c r="F325" s="239"/>
      <c r="G325" s="246"/>
    </row>
    <row r="326" spans="1:7" customFormat="1" ht="15">
      <c r="A326" s="232"/>
      <c r="B326" s="295">
        <v>288</v>
      </c>
      <c r="C326" s="265"/>
      <c r="D326" s="266"/>
      <c r="E326" s="256"/>
      <c r="F326" s="239"/>
      <c r="G326" s="246"/>
    </row>
    <row r="327" spans="1:7" customFormat="1" ht="15">
      <c r="A327" s="232"/>
      <c r="B327" s="295">
        <v>289</v>
      </c>
      <c r="C327" s="265"/>
      <c r="D327" s="266"/>
      <c r="E327" s="256"/>
      <c r="F327" s="239"/>
      <c r="G327" s="246"/>
    </row>
    <row r="328" spans="1:7" customFormat="1" ht="15">
      <c r="A328" s="232"/>
      <c r="B328" s="295">
        <v>290</v>
      </c>
      <c r="C328" s="265"/>
      <c r="D328" s="266"/>
      <c r="E328" s="256"/>
      <c r="F328" s="239"/>
      <c r="G328" s="246"/>
    </row>
    <row r="329" spans="1:7" customFormat="1" ht="15">
      <c r="A329" s="232"/>
      <c r="B329" s="295">
        <v>291</v>
      </c>
      <c r="C329" s="265"/>
      <c r="D329" s="266"/>
      <c r="E329" s="256"/>
      <c r="F329" s="239"/>
      <c r="G329" s="246"/>
    </row>
    <row r="330" spans="1:7" customFormat="1" ht="15">
      <c r="A330" s="232"/>
      <c r="B330" s="295">
        <v>292</v>
      </c>
      <c r="C330" s="265"/>
      <c r="D330" s="266"/>
      <c r="E330" s="256"/>
      <c r="F330" s="239"/>
      <c r="G330" s="246"/>
    </row>
    <row r="331" spans="1:7" customFormat="1" ht="15">
      <c r="A331" s="232"/>
      <c r="B331" s="295">
        <v>293</v>
      </c>
      <c r="C331" s="265"/>
      <c r="D331" s="266"/>
      <c r="E331" s="256"/>
      <c r="F331" s="239"/>
      <c r="G331" s="246"/>
    </row>
    <row r="332" spans="1:7" customFormat="1" ht="15">
      <c r="A332" s="232"/>
      <c r="B332" s="295">
        <v>294</v>
      </c>
      <c r="C332" s="265"/>
      <c r="D332" s="266"/>
      <c r="E332" s="256"/>
      <c r="F332" s="239"/>
      <c r="G332" s="246"/>
    </row>
    <row r="333" spans="1:7" customFormat="1" ht="15">
      <c r="A333" s="232"/>
      <c r="B333" s="295">
        <v>295</v>
      </c>
      <c r="C333" s="265"/>
      <c r="D333" s="266"/>
      <c r="E333" s="256"/>
      <c r="F333" s="239"/>
      <c r="G333" s="246"/>
    </row>
    <row r="334" spans="1:7" customFormat="1" ht="15">
      <c r="A334" s="232"/>
      <c r="B334" s="295">
        <v>296</v>
      </c>
      <c r="C334" s="265"/>
      <c r="D334" s="266"/>
      <c r="E334" s="256"/>
      <c r="F334" s="239"/>
      <c r="G334" s="246"/>
    </row>
    <row r="335" spans="1:7" customFormat="1" ht="15">
      <c r="A335" s="232"/>
      <c r="B335" s="295">
        <v>297</v>
      </c>
      <c r="C335" s="265"/>
      <c r="D335" s="266"/>
      <c r="E335" s="256"/>
      <c r="F335" s="239"/>
      <c r="G335" s="246"/>
    </row>
    <row r="336" spans="1:7" customFormat="1" ht="15">
      <c r="A336" s="232"/>
      <c r="B336" s="295">
        <v>298</v>
      </c>
      <c r="C336" s="265"/>
      <c r="D336" s="266"/>
      <c r="E336" s="256"/>
      <c r="F336" s="239"/>
      <c r="G336" s="246"/>
    </row>
    <row r="337" spans="1:7" customFormat="1" ht="15">
      <c r="A337" s="232"/>
      <c r="B337" s="295">
        <v>299</v>
      </c>
      <c r="C337" s="265"/>
      <c r="D337" s="266"/>
      <c r="E337" s="256"/>
      <c r="F337" s="239"/>
      <c r="G337" s="246"/>
    </row>
    <row r="338" spans="1:7" customFormat="1" ht="15">
      <c r="A338" s="232"/>
      <c r="B338" s="295">
        <v>300</v>
      </c>
      <c r="C338" s="265"/>
      <c r="D338" s="266"/>
      <c r="E338" s="256"/>
      <c r="F338" s="239"/>
      <c r="G338" s="246"/>
    </row>
  </sheetData>
  <dataValidations count="5">
    <dataValidation type="list" allowBlank="1" showInputMessage="1" showErrorMessage="1" sqref="C33" xr:uid="{8E7644AA-F3D4-4B02-8068-4C491DA5D76E}">
      <formula1>"1m,3m"</formula1>
    </dataValidation>
    <dataValidation type="list" allowBlank="1" showInputMessage="1" showErrorMessage="1" sqref="C8" xr:uid="{1616E251-939B-4756-9DEF-D822C00DA5A7}">
      <formula1>"EUR,JPY,USD"</formula1>
    </dataValidation>
    <dataValidation type="list" allowBlank="1" showInputMessage="1" showErrorMessage="1" sqref="C13" xr:uid="{889B973C-4E03-40DA-B608-A7ABD28A72E5}">
      <formula1>"3m,6m,1y"</formula1>
    </dataValidation>
    <dataValidation type="list" allowBlank="1" showInputMessage="1" showErrorMessage="1" sqref="C14" xr:uid="{864E5B19-D78E-4E3C-AA90-D614A84EAF8C}">
      <formula1>"ShortFirst,LongFirst,ShortLast,LongLast"</formula1>
    </dataValidation>
    <dataValidation type="list" allowBlank="1" showInputMessage="1" showErrorMessage="1" sqref="C30:C31 Q12 C27 C24:C25" xr:uid="{12491586-1EE8-40FD-976F-5205D535BF76}">
      <formula1>TrueFalseList</formula1>
    </dataValidation>
  </dataValidations>
  <pageMargins left="0.78740157499999996" right="0.78740157499999996" top="0.984251969" bottom="0.984251969" header="0.5" footer="0.5"/>
  <pageSetup paperSize="9" scale="76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92" r:id="rId4" name="Button 28">
              <controlPr defaultSize="0" print="0" autoFill="0" autoPict="0" macro="[0]!pricingAxis">
                <anchor moveWithCells="1">
                  <from>
                    <xdr:col>4</xdr:col>
                    <xdr:colOff>0</xdr:colOff>
                    <xdr:row>8</xdr:row>
                    <xdr:rowOff>180975</xdr:rowOff>
                  </from>
                  <to>
                    <xdr:col>4</xdr:col>
                    <xdr:colOff>609600</xdr:colOff>
                    <xdr:row>10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C8C84E-3BB1-4C6E-8C23-8BDA4D07F7EB}">
  <sheetPr codeName="Feuil9"/>
  <dimension ref="A1"/>
  <sheetViews>
    <sheetView topLeftCell="A2" workbookViewId="0">
      <selection activeCell="G16" sqref="G16"/>
    </sheetView>
  </sheetViews>
  <sheetFormatPr defaultColWidth="11.42578125" defaultRowHeight="15"/>
  <sheetData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4279C7-4235-4ABD-8C51-BE5A87F9C38C}">
  <sheetPr codeName="Feuil7"/>
  <dimension ref="A1:HT808"/>
  <sheetViews>
    <sheetView topLeftCell="A4" workbookViewId="0">
      <selection activeCell="C5" sqref="C5"/>
    </sheetView>
  </sheetViews>
  <sheetFormatPr defaultColWidth="9.140625" defaultRowHeight="11.25"/>
  <cols>
    <col min="1" max="1" width="2.85546875" style="300" customWidth="1"/>
    <col min="2" max="2" width="17" style="300" bestFit="1" customWidth="1"/>
    <col min="3" max="3" width="26.5703125" style="300" bestFit="1" customWidth="1"/>
    <col min="4" max="4" width="10.5703125" style="301" customWidth="1"/>
    <col min="5" max="14" width="9.85546875" style="301" customWidth="1"/>
    <col min="15" max="31" width="9.140625" style="79"/>
    <col min="32" max="16384" width="9.140625" style="300"/>
  </cols>
  <sheetData>
    <row r="1" spans="1:228" customFormat="1" ht="29.25" customHeight="1">
      <c r="A1" s="297"/>
      <c r="B1" s="297"/>
      <c r="C1" s="297"/>
      <c r="D1" s="297"/>
      <c r="E1" s="297"/>
      <c r="F1" s="297"/>
      <c r="G1" s="297"/>
      <c r="H1" s="297"/>
      <c r="I1" s="297"/>
      <c r="J1" s="297"/>
      <c r="K1" s="297"/>
      <c r="L1" s="297"/>
      <c r="M1" s="297"/>
      <c r="N1" s="297"/>
      <c r="O1" s="297"/>
      <c r="P1" s="297"/>
      <c r="Q1" s="297"/>
      <c r="R1" s="297"/>
      <c r="S1" s="297"/>
      <c r="T1" s="297"/>
      <c r="U1" s="297"/>
      <c r="V1" s="297"/>
      <c r="W1" s="297"/>
      <c r="X1" s="297"/>
      <c r="Y1" s="297"/>
      <c r="Z1" s="297"/>
      <c r="AA1" s="297"/>
      <c r="AB1" s="297"/>
      <c r="AC1" s="297"/>
      <c r="AD1" s="297"/>
      <c r="AE1" s="297"/>
      <c r="AF1" s="297"/>
      <c r="AG1" s="297"/>
      <c r="AH1" s="297"/>
      <c r="AI1" s="297"/>
      <c r="AJ1" s="297"/>
      <c r="AK1" s="297"/>
      <c r="AL1" s="297"/>
      <c r="AM1" s="297"/>
      <c r="AN1" s="297"/>
      <c r="AO1" s="297"/>
      <c r="AP1" s="297"/>
      <c r="AQ1" s="297"/>
      <c r="AR1" s="297"/>
      <c r="AS1" s="297"/>
      <c r="AT1" s="297"/>
      <c r="AU1" s="297"/>
      <c r="AV1" s="297"/>
      <c r="AW1" s="297"/>
      <c r="AX1" s="297"/>
      <c r="AY1" s="297"/>
      <c r="AZ1" s="297"/>
      <c r="BA1" s="297"/>
      <c r="BB1" s="297"/>
      <c r="BC1" s="297"/>
      <c r="BD1" s="297"/>
      <c r="BE1" s="297"/>
      <c r="BF1" s="297"/>
      <c r="BG1" s="297"/>
      <c r="BH1" s="297"/>
      <c r="BI1" s="297"/>
      <c r="BJ1" s="297"/>
      <c r="BK1" s="297"/>
      <c r="BL1" s="297"/>
      <c r="BM1" s="297"/>
      <c r="BN1" s="297"/>
      <c r="BO1" s="297"/>
      <c r="BP1" s="297"/>
      <c r="BQ1" s="297"/>
      <c r="BR1" s="297"/>
      <c r="BS1" s="297"/>
      <c r="BT1" s="297"/>
      <c r="BU1" s="297"/>
      <c r="BV1" s="297"/>
      <c r="BW1" s="297"/>
      <c r="BX1" s="297"/>
      <c r="BY1" s="297"/>
      <c r="BZ1" s="297"/>
      <c r="CA1" s="297"/>
      <c r="CB1" s="297"/>
      <c r="CC1" s="297"/>
      <c r="CD1" s="297"/>
      <c r="CE1" s="297"/>
      <c r="CF1" s="297"/>
      <c r="CG1" s="297"/>
      <c r="CH1" s="297"/>
      <c r="CI1" s="297"/>
      <c r="CJ1" s="297"/>
      <c r="CK1" s="297"/>
      <c r="CL1" s="297"/>
      <c r="CM1" s="297"/>
      <c r="CN1" s="297"/>
      <c r="CO1" s="297"/>
      <c r="CP1" s="297"/>
      <c r="CQ1" s="297"/>
      <c r="CR1" s="297"/>
      <c r="CS1" s="297"/>
      <c r="CT1" s="297"/>
      <c r="CU1" s="297"/>
      <c r="CV1" s="297"/>
      <c r="CW1" s="297"/>
      <c r="CX1" s="297"/>
      <c r="CY1" s="297"/>
      <c r="CZ1" s="297"/>
      <c r="DA1" s="297"/>
      <c r="DB1" s="297"/>
      <c r="DC1" s="297"/>
      <c r="DD1" s="297"/>
      <c r="DE1" s="297"/>
      <c r="DF1" s="297"/>
      <c r="DG1" s="297"/>
      <c r="DH1" s="297"/>
      <c r="DI1" s="297"/>
      <c r="DJ1" s="297"/>
      <c r="DK1" s="297"/>
      <c r="DL1" s="297"/>
      <c r="DM1" s="297"/>
      <c r="DN1" s="297"/>
      <c r="DO1" s="297"/>
      <c r="DP1" s="297"/>
      <c r="DQ1" s="297"/>
      <c r="DR1" s="297"/>
      <c r="DS1" s="297"/>
      <c r="DT1" s="297"/>
      <c r="DU1" s="297"/>
      <c r="DV1" s="297"/>
      <c r="DW1" s="297"/>
      <c r="DX1" s="297"/>
      <c r="DY1" s="297"/>
      <c r="DZ1" s="297"/>
      <c r="EA1" s="297"/>
      <c r="EB1" s="297"/>
      <c r="EC1" s="297"/>
      <c r="ED1" s="297"/>
      <c r="EE1" s="297"/>
      <c r="EF1" s="297"/>
      <c r="EG1" s="297"/>
      <c r="EH1" s="297"/>
      <c r="EI1" s="297"/>
      <c r="EJ1" s="297"/>
      <c r="EK1" s="297"/>
      <c r="EL1" s="297"/>
      <c r="EM1" s="297"/>
      <c r="EN1" s="297"/>
      <c r="EO1" s="297"/>
      <c r="EP1" s="297"/>
      <c r="EQ1" s="297"/>
      <c r="ER1" s="297"/>
      <c r="ES1" s="297"/>
      <c r="ET1" s="297"/>
      <c r="EU1" s="297"/>
      <c r="EV1" s="297"/>
      <c r="EW1" s="297"/>
      <c r="EX1" s="297"/>
      <c r="EY1" s="297"/>
      <c r="EZ1" s="297"/>
      <c r="FA1" s="297"/>
      <c r="FB1" s="297"/>
      <c r="FC1" s="297"/>
      <c r="FD1" s="297"/>
      <c r="FE1" s="297"/>
      <c r="FF1" s="297"/>
      <c r="FG1" s="297"/>
      <c r="FH1" s="297"/>
      <c r="FI1" s="297"/>
      <c r="FJ1" s="297"/>
      <c r="FK1" s="297"/>
      <c r="FL1" s="297"/>
      <c r="FM1" s="297"/>
      <c r="FN1" s="297"/>
      <c r="FO1" s="297"/>
      <c r="FP1" s="297"/>
      <c r="FQ1" s="297"/>
      <c r="FR1" s="297"/>
      <c r="FS1" s="297"/>
      <c r="FT1" s="297"/>
      <c r="FU1" s="297"/>
      <c r="FV1" s="297"/>
      <c r="FW1" s="297"/>
      <c r="FX1" s="297"/>
      <c r="FY1" s="297"/>
      <c r="FZ1" s="297"/>
      <c r="GA1" s="297"/>
      <c r="GB1" s="297"/>
      <c r="GC1" s="297"/>
      <c r="GD1" s="297"/>
      <c r="GE1" s="297"/>
      <c r="GF1" s="297"/>
      <c r="GG1" s="297"/>
      <c r="GH1" s="297"/>
      <c r="GI1" s="297"/>
      <c r="GJ1" s="297"/>
      <c r="GK1" s="297"/>
      <c r="GL1" s="297"/>
      <c r="GM1" s="297"/>
      <c r="GN1" s="297"/>
      <c r="GO1" s="297"/>
      <c r="GP1" s="297"/>
      <c r="GQ1" s="297"/>
      <c r="GR1" s="297"/>
      <c r="GS1" s="297"/>
      <c r="GT1" s="297"/>
      <c r="GU1" s="297"/>
      <c r="GV1" s="297"/>
      <c r="GW1" s="297"/>
      <c r="GX1" s="297"/>
      <c r="GY1" s="297"/>
      <c r="GZ1" s="297"/>
      <c r="HA1" s="297"/>
      <c r="HB1" s="297"/>
      <c r="HC1" s="297"/>
      <c r="HD1" s="297"/>
      <c r="HE1" s="297"/>
      <c r="HF1" s="297"/>
      <c r="HG1" s="297"/>
      <c r="HH1" s="297"/>
      <c r="HI1" s="297"/>
      <c r="HJ1" s="297"/>
      <c r="HK1" s="297"/>
      <c r="HL1" s="297"/>
      <c r="HM1" s="297"/>
      <c r="HN1" s="297"/>
      <c r="HO1" s="297"/>
      <c r="HP1" s="297"/>
      <c r="HQ1" s="297"/>
      <c r="HR1" s="297"/>
      <c r="HS1" s="297"/>
      <c r="HT1" s="297"/>
    </row>
    <row r="2" spans="1:228" customFormat="1" ht="54.75" customHeight="1">
      <c r="A2" s="297"/>
      <c r="B2" s="297"/>
      <c r="C2" s="298"/>
      <c r="D2" s="297"/>
      <c r="E2" s="297"/>
      <c r="F2" s="297"/>
      <c r="G2" s="297"/>
      <c r="H2" s="297"/>
      <c r="I2" s="297"/>
      <c r="J2" s="297"/>
      <c r="K2" s="297"/>
      <c r="L2" s="297"/>
      <c r="M2" s="297"/>
      <c r="N2" s="297"/>
      <c r="O2" s="297"/>
      <c r="P2" s="297"/>
      <c r="Q2" s="297"/>
      <c r="R2" s="297"/>
      <c r="S2" s="297"/>
      <c r="T2" s="297"/>
      <c r="U2" s="297"/>
      <c r="V2" s="297"/>
      <c r="W2" s="297"/>
      <c r="X2" s="297"/>
      <c r="Y2" s="297"/>
      <c r="Z2" s="297"/>
      <c r="AA2" s="297"/>
      <c r="AB2" s="297"/>
      <c r="AC2" s="297"/>
      <c r="AD2" s="297"/>
      <c r="AE2" s="297"/>
      <c r="AF2" s="297"/>
      <c r="AG2" s="297"/>
      <c r="AH2" s="297"/>
      <c r="AI2" s="297"/>
      <c r="AJ2" s="297"/>
      <c r="AK2" s="297"/>
      <c r="AL2" s="297"/>
      <c r="AM2" s="297"/>
      <c r="AN2" s="297"/>
      <c r="AO2" s="297"/>
      <c r="AP2" s="297"/>
      <c r="AQ2" s="297"/>
      <c r="AR2" s="297"/>
      <c r="AS2" s="297"/>
      <c r="AT2" s="297"/>
      <c r="AU2" s="297"/>
      <c r="AV2" s="297"/>
      <c r="AW2" s="297"/>
      <c r="AX2" s="297"/>
      <c r="AY2" s="297"/>
      <c r="AZ2" s="297"/>
      <c r="BA2" s="297"/>
      <c r="BB2" s="297"/>
      <c r="BC2" s="297"/>
      <c r="BD2" s="297"/>
      <c r="BE2" s="297"/>
      <c r="BF2" s="297"/>
      <c r="BG2" s="297"/>
      <c r="BH2" s="297"/>
      <c r="BI2" s="297"/>
      <c r="BJ2" s="297"/>
      <c r="BK2" s="297"/>
      <c r="BL2" s="297"/>
      <c r="BM2" s="297"/>
      <c r="BN2" s="297"/>
      <c r="BO2" s="297"/>
      <c r="BP2" s="297"/>
      <c r="BQ2" s="297"/>
      <c r="BR2" s="297"/>
      <c r="BS2" s="297"/>
      <c r="BT2" s="297"/>
      <c r="BU2" s="297"/>
      <c r="BV2" s="297"/>
      <c r="BW2" s="297"/>
      <c r="BX2" s="297"/>
      <c r="BY2" s="297"/>
      <c r="BZ2" s="297"/>
      <c r="CA2" s="297"/>
      <c r="CB2" s="297"/>
      <c r="CC2" s="297"/>
      <c r="CD2" s="297"/>
      <c r="CE2" s="297"/>
      <c r="CF2" s="297"/>
      <c r="CG2" s="297"/>
      <c r="CH2" s="297"/>
      <c r="CI2" s="297"/>
      <c r="CJ2" s="297"/>
      <c r="CK2" s="297"/>
      <c r="CL2" s="297"/>
      <c r="CM2" s="297"/>
      <c r="CN2" s="297"/>
      <c r="CO2" s="297"/>
      <c r="CP2" s="297"/>
      <c r="CQ2" s="297"/>
      <c r="CR2" s="297"/>
      <c r="CS2" s="297"/>
      <c r="CT2" s="297"/>
      <c r="CU2" s="297"/>
      <c r="CV2" s="297"/>
      <c r="CW2" s="297"/>
      <c r="CX2" s="297"/>
      <c r="CY2" s="297"/>
      <c r="CZ2" s="297"/>
      <c r="DA2" s="297"/>
      <c r="DB2" s="297"/>
      <c r="DC2" s="297"/>
      <c r="DD2" s="297"/>
      <c r="DE2" s="297"/>
      <c r="DF2" s="297"/>
      <c r="DG2" s="297"/>
      <c r="DH2" s="297"/>
      <c r="DI2" s="297"/>
      <c r="DJ2" s="297"/>
      <c r="DK2" s="297"/>
      <c r="DL2" s="297"/>
      <c r="DM2" s="297"/>
      <c r="DN2" s="297"/>
      <c r="DO2" s="297"/>
      <c r="DP2" s="297"/>
      <c r="DQ2" s="297"/>
      <c r="DR2" s="297"/>
      <c r="DS2" s="297"/>
      <c r="DT2" s="297"/>
      <c r="DU2" s="297"/>
      <c r="DV2" s="297"/>
      <c r="DW2" s="297"/>
      <c r="DX2" s="297"/>
      <c r="DY2" s="297"/>
      <c r="DZ2" s="297"/>
      <c r="EA2" s="297"/>
      <c r="EB2" s="297"/>
      <c r="EC2" s="297"/>
      <c r="ED2" s="297"/>
      <c r="EE2" s="297"/>
      <c r="EF2" s="297"/>
      <c r="EG2" s="297"/>
      <c r="EH2" s="297"/>
      <c r="EI2" s="297"/>
      <c r="EJ2" s="297"/>
      <c r="EK2" s="297"/>
      <c r="EL2" s="297"/>
      <c r="EM2" s="297"/>
      <c r="EN2" s="297"/>
      <c r="EO2" s="297"/>
      <c r="EP2" s="297"/>
      <c r="EQ2" s="297"/>
      <c r="ER2" s="297"/>
      <c r="ES2" s="297"/>
      <c r="ET2" s="297"/>
      <c r="EU2" s="297"/>
      <c r="EV2" s="297"/>
      <c r="EW2" s="297"/>
      <c r="EX2" s="297"/>
      <c r="EY2" s="297"/>
      <c r="EZ2" s="297"/>
      <c r="FA2" s="297"/>
      <c r="FB2" s="297"/>
      <c r="FC2" s="297"/>
      <c r="FD2" s="297"/>
      <c r="FE2" s="297"/>
      <c r="FF2" s="297"/>
      <c r="FG2" s="297"/>
      <c r="FH2" s="297"/>
      <c r="FI2" s="297"/>
      <c r="FJ2" s="297"/>
      <c r="FK2" s="297"/>
      <c r="FL2" s="297"/>
      <c r="FM2" s="297"/>
      <c r="FN2" s="297"/>
      <c r="FO2" s="297"/>
      <c r="FP2" s="297"/>
      <c r="FQ2" s="297"/>
      <c r="FR2" s="297"/>
      <c r="FS2" s="297"/>
      <c r="FT2" s="297"/>
      <c r="FU2" s="297"/>
      <c r="FV2" s="297"/>
      <c r="FW2" s="297"/>
      <c r="FX2" s="297"/>
      <c r="FY2" s="297"/>
      <c r="FZ2" s="297"/>
      <c r="GA2" s="297"/>
      <c r="GB2" s="297"/>
      <c r="GC2" s="297"/>
      <c r="GD2" s="297"/>
      <c r="GE2" s="297"/>
      <c r="GF2" s="297"/>
      <c r="GG2" s="297"/>
      <c r="GH2" s="297"/>
      <c r="GI2" s="297"/>
      <c r="GJ2" s="297"/>
      <c r="GK2" s="297"/>
      <c r="GL2" s="297"/>
      <c r="GM2" s="297"/>
      <c r="GN2" s="297"/>
      <c r="GO2" s="297"/>
      <c r="GP2" s="297"/>
      <c r="GQ2" s="297"/>
      <c r="GR2" s="297"/>
      <c r="GS2" s="297"/>
      <c r="GT2" s="297"/>
      <c r="GU2" s="297"/>
      <c r="GV2" s="297"/>
      <c r="GW2" s="297"/>
      <c r="GX2" s="297"/>
      <c r="GY2" s="297"/>
      <c r="GZ2" s="297"/>
      <c r="HA2" s="297"/>
      <c r="HB2" s="297"/>
      <c r="HC2" s="297"/>
      <c r="HD2" s="297"/>
      <c r="HE2" s="297"/>
      <c r="HF2" s="297"/>
      <c r="HG2" s="297"/>
      <c r="HH2" s="297"/>
      <c r="HI2" s="297"/>
      <c r="HJ2" s="297"/>
      <c r="HK2" s="297"/>
      <c r="HL2" s="297"/>
      <c r="HM2" s="297"/>
      <c r="HN2" s="297"/>
      <c r="HO2" s="297"/>
      <c r="HP2" s="297"/>
      <c r="HQ2" s="297"/>
      <c r="HR2" s="297"/>
      <c r="HS2" s="297"/>
      <c r="HT2" s="297"/>
    </row>
    <row r="3" spans="1:228" customFormat="1" ht="36.75" customHeight="1">
      <c r="A3" s="297"/>
      <c r="B3" s="297"/>
      <c r="C3" s="297"/>
      <c r="D3" s="297"/>
      <c r="E3" s="297"/>
      <c r="F3" s="297"/>
      <c r="G3" s="297"/>
      <c r="H3" s="297"/>
      <c r="I3" s="299"/>
      <c r="J3" s="299"/>
      <c r="K3" s="299"/>
      <c r="L3" s="299"/>
      <c r="M3" s="299"/>
      <c r="N3" s="299"/>
      <c r="O3" s="299"/>
      <c r="P3" s="299"/>
      <c r="Q3" s="297"/>
      <c r="R3" s="297"/>
      <c r="S3" s="297"/>
      <c r="T3" s="297"/>
      <c r="U3" s="297"/>
      <c r="V3" s="297"/>
      <c r="W3" s="297"/>
      <c r="X3" s="297"/>
      <c r="Y3" s="297"/>
      <c r="Z3" s="297"/>
      <c r="AA3" s="297"/>
      <c r="AB3" s="299"/>
      <c r="AC3" s="297"/>
      <c r="AD3" s="297"/>
      <c r="AE3" s="297"/>
      <c r="AF3" s="297"/>
      <c r="AG3" s="297"/>
      <c r="AH3" s="297"/>
      <c r="AI3" s="297"/>
      <c r="AJ3" s="297"/>
      <c r="AK3" s="297"/>
      <c r="AL3" s="297"/>
      <c r="AM3" s="297"/>
      <c r="AN3" s="297"/>
      <c r="AO3" s="297"/>
      <c r="AP3" s="297"/>
      <c r="AQ3" s="297"/>
      <c r="AR3" s="297"/>
      <c r="AS3" s="297"/>
      <c r="AT3" s="297"/>
      <c r="AU3" s="297"/>
      <c r="AV3" s="297"/>
      <c r="AW3" s="297"/>
      <c r="AX3" s="297"/>
      <c r="AY3" s="297"/>
      <c r="AZ3" s="297"/>
      <c r="BA3" s="297"/>
      <c r="BB3" s="297"/>
      <c r="BC3" s="297"/>
      <c r="BD3" s="297"/>
      <c r="BE3" s="297"/>
      <c r="BF3" s="297"/>
      <c r="BG3" s="297"/>
      <c r="BH3" s="297"/>
      <c r="BI3" s="297"/>
      <c r="BJ3" s="297"/>
      <c r="BK3" s="297"/>
      <c r="BL3" s="297"/>
      <c r="BM3" s="297"/>
      <c r="BN3" s="297"/>
      <c r="BO3" s="297"/>
      <c r="BP3" s="297"/>
      <c r="BQ3" s="297"/>
      <c r="BR3" s="297"/>
      <c r="BS3" s="297"/>
      <c r="BT3" s="297"/>
      <c r="BU3" s="297"/>
      <c r="BV3" s="297"/>
      <c r="BW3" s="297"/>
      <c r="BX3" s="297"/>
      <c r="BY3" s="297"/>
      <c r="BZ3" s="297"/>
      <c r="CA3" s="297"/>
      <c r="CB3" s="297"/>
      <c r="CC3" s="297"/>
      <c r="CD3" s="297"/>
      <c r="CE3" s="297"/>
      <c r="CF3" s="297"/>
      <c r="CG3" s="297"/>
      <c r="CH3" s="297"/>
      <c r="CI3" s="297"/>
      <c r="CJ3" s="297"/>
      <c r="CK3" s="297"/>
      <c r="CL3" s="297"/>
      <c r="CM3" s="297"/>
      <c r="CN3" s="297"/>
      <c r="CO3" s="297"/>
      <c r="CP3" s="297"/>
      <c r="CQ3" s="297"/>
      <c r="CR3" s="297"/>
      <c r="CS3" s="297"/>
      <c r="CT3" s="297"/>
      <c r="CU3" s="297"/>
      <c r="CV3" s="297"/>
      <c r="CW3" s="297"/>
      <c r="CX3" s="297"/>
      <c r="CY3" s="297"/>
      <c r="CZ3" s="297"/>
      <c r="DA3" s="297"/>
      <c r="DB3" s="297"/>
      <c r="DC3" s="297"/>
      <c r="DD3" s="297"/>
      <c r="DE3" s="297"/>
      <c r="DF3" s="297"/>
      <c r="DG3" s="297"/>
      <c r="DH3" s="297"/>
      <c r="DI3" s="297"/>
      <c r="DJ3" s="297"/>
      <c r="DK3" s="297"/>
      <c r="DL3" s="297"/>
      <c r="DM3" s="297"/>
      <c r="DN3" s="297"/>
      <c r="DO3" s="297"/>
      <c r="DP3" s="297"/>
      <c r="DQ3" s="297"/>
      <c r="DR3" s="297"/>
      <c r="DS3" s="297"/>
      <c r="DT3" s="297"/>
      <c r="DU3" s="297"/>
      <c r="DV3" s="297"/>
      <c r="DW3" s="297"/>
      <c r="DX3" s="297"/>
      <c r="DY3" s="297"/>
      <c r="DZ3" s="297"/>
      <c r="EA3" s="297"/>
      <c r="EB3" s="297"/>
      <c r="EC3" s="297"/>
      <c r="ED3" s="297"/>
      <c r="EE3" s="297"/>
      <c r="EF3" s="297"/>
      <c r="EG3" s="297"/>
      <c r="EH3" s="297"/>
      <c r="EI3" s="297"/>
      <c r="EJ3" s="297"/>
      <c r="EK3" s="297"/>
      <c r="EL3" s="297"/>
      <c r="EM3" s="297"/>
      <c r="EN3" s="297"/>
      <c r="EO3" s="297"/>
      <c r="EP3" s="297"/>
      <c r="EQ3" s="297"/>
      <c r="ER3" s="297"/>
      <c r="ES3" s="297"/>
      <c r="ET3" s="297"/>
      <c r="EU3" s="297"/>
      <c r="EV3" s="297"/>
      <c r="EW3" s="297"/>
      <c r="EX3" s="297"/>
      <c r="EY3" s="297"/>
      <c r="EZ3" s="297"/>
      <c r="FA3" s="297"/>
      <c r="FB3" s="297"/>
      <c r="FC3" s="297"/>
      <c r="FD3" s="297"/>
      <c r="FE3" s="297"/>
      <c r="FF3" s="297"/>
      <c r="FG3" s="297"/>
      <c r="FH3" s="297"/>
      <c r="FI3" s="297"/>
      <c r="FJ3" s="297"/>
      <c r="FK3" s="297"/>
      <c r="FL3" s="297"/>
      <c r="FM3" s="297"/>
      <c r="FN3" s="297"/>
      <c r="FO3" s="297"/>
      <c r="FP3" s="297"/>
      <c r="FQ3" s="297"/>
      <c r="FR3" s="297"/>
      <c r="FS3" s="297"/>
      <c r="FT3" s="297"/>
      <c r="FU3" s="297"/>
      <c r="FV3" s="297"/>
      <c r="FW3" s="297"/>
      <c r="FX3" s="297"/>
      <c r="FY3" s="297"/>
      <c r="FZ3" s="297"/>
      <c r="GA3" s="297"/>
      <c r="GB3" s="297"/>
      <c r="GC3" s="297"/>
      <c r="GD3" s="297"/>
      <c r="GE3" s="297"/>
      <c r="GF3" s="297"/>
      <c r="GG3" s="297"/>
      <c r="GH3" s="297"/>
      <c r="GI3" s="297"/>
      <c r="GJ3" s="297"/>
      <c r="GK3" s="297"/>
      <c r="GL3" s="297"/>
      <c r="GM3" s="297"/>
      <c r="GN3" s="297"/>
      <c r="GO3" s="297"/>
      <c r="GP3" s="297"/>
      <c r="GQ3" s="297"/>
      <c r="GR3" s="297"/>
      <c r="GS3" s="297"/>
      <c r="GT3" s="297"/>
      <c r="GU3" s="297"/>
      <c r="GV3" s="297"/>
      <c r="GW3" s="297"/>
      <c r="GX3" s="297"/>
      <c r="GY3" s="297"/>
      <c r="GZ3" s="297"/>
      <c r="HA3" s="297"/>
      <c r="HB3" s="297"/>
      <c r="HC3" s="297"/>
      <c r="HD3" s="297"/>
      <c r="HE3" s="297"/>
      <c r="HF3" s="297"/>
      <c r="HG3" s="297"/>
      <c r="HH3" s="297"/>
      <c r="HI3" s="297"/>
      <c r="HJ3" s="297"/>
      <c r="HK3" s="297"/>
      <c r="HL3" s="297"/>
      <c r="HM3" s="297"/>
      <c r="HN3" s="297"/>
      <c r="HO3" s="297"/>
      <c r="HP3" s="297"/>
      <c r="HQ3" s="297"/>
      <c r="HR3" s="297"/>
      <c r="HS3" s="297"/>
      <c r="HT3" s="297"/>
    </row>
    <row r="4" spans="1:228" ht="12" thickBot="1">
      <c r="O4" s="300"/>
      <c r="P4" s="300"/>
      <c r="Q4" s="300"/>
      <c r="R4" s="300"/>
      <c r="S4" s="300"/>
      <c r="T4" s="300"/>
      <c r="U4" s="300"/>
      <c r="V4" s="300"/>
      <c r="W4" s="300"/>
      <c r="X4" s="300"/>
      <c r="Y4" s="300"/>
      <c r="Z4" s="300"/>
      <c r="AA4" s="300"/>
      <c r="AB4" s="300"/>
      <c r="AC4" s="300"/>
      <c r="AD4" s="300"/>
      <c r="AE4" s="300"/>
    </row>
    <row r="5" spans="1:228">
      <c r="B5" s="302" t="s">
        <v>432</v>
      </c>
      <c r="C5" s="303">
        <v>46828</v>
      </c>
      <c r="O5" s="300"/>
      <c r="P5" s="300"/>
      <c r="Q5" s="300"/>
      <c r="R5" s="300"/>
      <c r="S5" s="300"/>
      <c r="T5" s="300"/>
      <c r="U5" s="300"/>
      <c r="V5" s="300"/>
      <c r="W5" s="300"/>
      <c r="X5" s="300"/>
      <c r="Y5" s="300"/>
      <c r="Z5" s="300"/>
      <c r="AA5" s="300"/>
      <c r="AB5" s="300"/>
      <c r="AC5" s="300"/>
      <c r="AD5" s="300"/>
      <c r="AE5" s="300"/>
    </row>
    <row r="6" spans="1:228">
      <c r="B6" s="304" t="s">
        <v>475</v>
      </c>
      <c r="C6" s="305">
        <v>5000</v>
      </c>
      <c r="D6" s="300"/>
      <c r="E6" s="511"/>
      <c r="F6" s="511"/>
      <c r="G6" s="511"/>
      <c r="H6" s="511"/>
      <c r="I6" s="511"/>
      <c r="J6" s="511"/>
      <c r="K6" s="511"/>
      <c r="L6" s="511"/>
      <c r="M6" s="511"/>
      <c r="N6" s="511"/>
      <c r="O6" s="300"/>
      <c r="P6" s="300"/>
      <c r="Q6" s="300"/>
      <c r="R6" s="300"/>
      <c r="S6" s="300"/>
      <c r="T6" s="300"/>
      <c r="U6" s="300"/>
      <c r="V6" s="300"/>
      <c r="W6" s="300"/>
      <c r="X6" s="300"/>
      <c r="Y6" s="300"/>
      <c r="Z6" s="300"/>
      <c r="AA6" s="300"/>
      <c r="AB6" s="300"/>
      <c r="AC6" s="300"/>
      <c r="AD6" s="300"/>
      <c r="AE6" s="300"/>
    </row>
    <row r="7" spans="1:228" ht="12" thickBot="1">
      <c r="B7" s="306" t="s">
        <v>476</v>
      </c>
      <c r="C7" s="307" t="b">
        <v>0</v>
      </c>
      <c r="D7" s="300"/>
      <c r="E7" s="300"/>
      <c r="H7" s="308"/>
      <c r="O7" s="511"/>
      <c r="P7" s="511"/>
      <c r="Q7" s="511"/>
      <c r="R7" s="511"/>
      <c r="S7" s="511"/>
      <c r="T7" s="511"/>
      <c r="U7" s="511"/>
      <c r="V7" s="511"/>
      <c r="W7" s="511"/>
      <c r="X7" s="511"/>
      <c r="Y7" s="300"/>
      <c r="Z7" s="300"/>
      <c r="AA7" s="300"/>
      <c r="AB7" s="300"/>
      <c r="AC7" s="300"/>
      <c r="AD7" s="300"/>
      <c r="AE7" s="300"/>
    </row>
    <row r="8" spans="1:228" ht="12" thickBot="1">
      <c r="B8" s="306" t="s">
        <v>477</v>
      </c>
      <c r="C8" s="309">
        <v>0.3</v>
      </c>
      <c r="D8" s="310"/>
      <c r="E8" s="300"/>
      <c r="H8" s="308"/>
      <c r="O8" s="300"/>
      <c r="P8" s="300"/>
      <c r="Q8" s="300"/>
      <c r="R8" s="300"/>
      <c r="S8" s="300"/>
      <c r="T8" s="300"/>
      <c r="U8" s="300"/>
      <c r="V8" s="300"/>
      <c r="W8" s="300"/>
      <c r="X8" s="300"/>
      <c r="Y8" s="300"/>
      <c r="Z8" s="300"/>
      <c r="AA8" s="300"/>
      <c r="AB8" s="300"/>
      <c r="AC8" s="300"/>
      <c r="AD8" s="300"/>
      <c r="AE8" s="300"/>
    </row>
    <row r="9" spans="1:228" ht="12" thickBot="1">
      <c r="B9" s="306" t="s">
        <v>478</v>
      </c>
      <c r="C9" s="311">
        <v>125</v>
      </c>
      <c r="D9" s="310"/>
      <c r="E9" s="300"/>
      <c r="H9" s="308"/>
      <c r="O9" s="300"/>
      <c r="P9" s="300"/>
      <c r="Q9" s="300"/>
      <c r="R9" s="300"/>
      <c r="S9" s="300"/>
      <c r="T9" s="300"/>
      <c r="U9" s="300"/>
      <c r="V9" s="300"/>
      <c r="W9" s="300"/>
      <c r="X9" s="300"/>
      <c r="Y9" s="300"/>
      <c r="Z9" s="300"/>
      <c r="AA9" s="300"/>
      <c r="AB9" s="300"/>
      <c r="AC9" s="300"/>
      <c r="AD9" s="300"/>
      <c r="AE9" s="300"/>
    </row>
    <row r="10" spans="1:228" ht="12" thickBot="1">
      <c r="B10" s="312"/>
      <c r="C10" s="313"/>
      <c r="D10" s="310"/>
      <c r="E10" s="300"/>
      <c r="H10" s="308"/>
      <c r="O10" s="300"/>
      <c r="P10" s="300"/>
      <c r="Q10" s="300"/>
      <c r="R10" s="300"/>
      <c r="S10" s="300"/>
      <c r="T10" s="300"/>
      <c r="U10" s="300"/>
      <c r="V10" s="300"/>
      <c r="W10" s="300"/>
      <c r="X10" s="300"/>
      <c r="Y10" s="300"/>
      <c r="Z10" s="300"/>
      <c r="AA10" s="300"/>
      <c r="AB10" s="300"/>
      <c r="AC10" s="300"/>
      <c r="AD10" s="300"/>
      <c r="AE10" s="300"/>
    </row>
    <row r="11" spans="1:228">
      <c r="B11" s="314" t="s">
        <v>82</v>
      </c>
      <c r="C11" s="315" t="s">
        <v>67</v>
      </c>
      <c r="D11" s="300"/>
      <c r="E11" s="300"/>
      <c r="H11" s="308"/>
      <c r="O11" s="300"/>
      <c r="P11" s="300"/>
      <c r="Q11" s="300"/>
      <c r="R11" s="300"/>
      <c r="S11" s="300"/>
      <c r="T11" s="300"/>
      <c r="U11" s="300"/>
      <c r="V11" s="300"/>
      <c r="W11" s="300"/>
      <c r="X11" s="300"/>
      <c r="Y11" s="300"/>
      <c r="Z11" s="300"/>
      <c r="AA11" s="300"/>
      <c r="AB11" s="300"/>
      <c r="AC11" s="300"/>
      <c r="AD11" s="300"/>
      <c r="AE11" s="300"/>
    </row>
    <row r="12" spans="1:228">
      <c r="B12" s="316" t="s">
        <v>437</v>
      </c>
      <c r="C12" s="317">
        <v>-0.1</v>
      </c>
      <c r="D12" s="310"/>
      <c r="E12" s="300"/>
      <c r="H12" s="308"/>
      <c r="O12" s="300"/>
      <c r="P12" s="300"/>
      <c r="Q12" s="300"/>
      <c r="R12" s="300"/>
      <c r="S12" s="300"/>
      <c r="T12" s="300"/>
      <c r="U12" s="300"/>
      <c r="V12" s="300"/>
      <c r="W12" s="300"/>
      <c r="X12" s="300"/>
      <c r="Y12" s="300"/>
      <c r="Z12" s="300"/>
      <c r="AA12" s="300"/>
      <c r="AB12" s="300"/>
      <c r="AC12" s="300"/>
      <c r="AD12" s="300"/>
      <c r="AE12" s="300"/>
    </row>
    <row r="13" spans="1:228" ht="12" thickBot="1">
      <c r="B13" s="318" t="s">
        <v>439</v>
      </c>
      <c r="C13" s="240">
        <v>0.1</v>
      </c>
      <c r="E13" s="319"/>
      <c r="H13" s="308"/>
      <c r="O13" s="300"/>
      <c r="P13" s="300"/>
      <c r="Q13" s="300"/>
      <c r="R13" s="300"/>
      <c r="S13" s="300"/>
      <c r="T13" s="300"/>
      <c r="U13" s="300"/>
      <c r="V13" s="300"/>
      <c r="W13" s="300"/>
      <c r="X13" s="300"/>
      <c r="Y13" s="300"/>
      <c r="Z13" s="300"/>
      <c r="AA13" s="300"/>
      <c r="AB13" s="300"/>
      <c r="AC13" s="300"/>
      <c r="AD13" s="300"/>
      <c r="AE13" s="300"/>
    </row>
    <row r="14" spans="1:228" ht="12" thickBot="1">
      <c r="B14" s="320"/>
      <c r="C14" s="321"/>
      <c r="E14" s="319"/>
      <c r="H14" s="308"/>
      <c r="O14" s="300"/>
      <c r="P14" s="300"/>
      <c r="Q14" s="300"/>
      <c r="R14" s="300"/>
      <c r="S14" s="300"/>
      <c r="T14" s="300"/>
      <c r="U14" s="300"/>
      <c r="V14" s="300"/>
      <c r="W14" s="300"/>
      <c r="X14" s="300"/>
      <c r="Y14" s="300"/>
      <c r="Z14" s="300"/>
      <c r="AA14" s="300"/>
      <c r="AB14" s="300"/>
      <c r="AC14" s="300"/>
      <c r="AD14" s="300"/>
      <c r="AE14" s="300"/>
    </row>
    <row r="15" spans="1:228">
      <c r="B15" s="302" t="s">
        <v>458</v>
      </c>
      <c r="C15" s="322" t="s">
        <v>459</v>
      </c>
      <c r="E15" s="319"/>
      <c r="H15" s="308"/>
      <c r="O15" s="300"/>
      <c r="P15" s="300"/>
      <c r="Q15" s="300"/>
      <c r="R15" s="300"/>
      <c r="S15" s="300"/>
      <c r="T15" s="300"/>
      <c r="U15" s="300"/>
      <c r="V15" s="300"/>
      <c r="W15" s="300"/>
      <c r="X15" s="300"/>
      <c r="Y15" s="300"/>
      <c r="Z15" s="300"/>
      <c r="AA15" s="300"/>
      <c r="AB15" s="300"/>
      <c r="AC15" s="300"/>
      <c r="AD15" s="300"/>
      <c r="AE15" s="300"/>
    </row>
    <row r="16" spans="1:228">
      <c r="B16" s="304" t="s">
        <v>461</v>
      </c>
      <c r="C16" s="323" t="s">
        <v>479</v>
      </c>
      <c r="E16" s="319"/>
      <c r="H16" s="308"/>
      <c r="O16" s="300"/>
      <c r="P16" s="300"/>
      <c r="Q16" s="300"/>
      <c r="R16" s="300"/>
      <c r="S16" s="300"/>
      <c r="T16" s="300"/>
      <c r="U16" s="300"/>
      <c r="V16" s="300"/>
      <c r="W16" s="300"/>
      <c r="X16" s="300"/>
      <c r="Y16" s="300"/>
      <c r="Z16" s="300"/>
      <c r="AA16" s="300"/>
      <c r="AB16" s="300"/>
      <c r="AC16" s="300"/>
      <c r="AD16" s="300"/>
      <c r="AE16" s="300"/>
    </row>
    <row r="17" spans="2:31" ht="12" thickBot="1">
      <c r="B17" s="306" t="s">
        <v>462</v>
      </c>
      <c r="C17" s="324"/>
      <c r="E17" s="319"/>
      <c r="H17" s="308"/>
      <c r="O17" s="300"/>
      <c r="P17" s="300"/>
      <c r="Q17" s="300"/>
      <c r="R17" s="300"/>
      <c r="S17" s="300"/>
      <c r="T17" s="300"/>
      <c r="U17" s="300"/>
      <c r="V17" s="300"/>
      <c r="W17" s="300"/>
      <c r="X17" s="300"/>
      <c r="Y17" s="300"/>
      <c r="Z17" s="300"/>
      <c r="AA17" s="300"/>
      <c r="AB17" s="300"/>
      <c r="AC17" s="300"/>
      <c r="AD17" s="300"/>
      <c r="AE17" s="300"/>
    </row>
    <row r="18" spans="2:31" ht="12" thickBot="1">
      <c r="B18" s="312"/>
      <c r="C18" s="325"/>
      <c r="E18" s="319"/>
      <c r="H18" s="308"/>
      <c r="O18" s="300"/>
      <c r="P18" s="300"/>
      <c r="Q18" s="300"/>
      <c r="R18" s="300"/>
      <c r="S18" s="300"/>
      <c r="T18" s="300"/>
      <c r="U18" s="300"/>
      <c r="V18" s="300"/>
      <c r="W18" s="300"/>
      <c r="X18" s="300"/>
      <c r="Y18" s="300"/>
      <c r="Z18" s="300"/>
      <c r="AA18" s="300"/>
      <c r="AB18" s="300"/>
      <c r="AC18" s="300"/>
      <c r="AD18" s="300"/>
      <c r="AE18" s="300"/>
    </row>
    <row r="19" spans="2:31" ht="12" thickBot="1">
      <c r="B19" s="314" t="s">
        <v>480</v>
      </c>
      <c r="C19" s="326"/>
      <c r="D19" s="327"/>
      <c r="E19" s="512" t="s">
        <v>481</v>
      </c>
      <c r="F19" s="512"/>
      <c r="G19" s="512"/>
      <c r="H19" s="512"/>
      <c r="I19" s="512"/>
      <c r="J19" s="512"/>
      <c r="K19" s="512"/>
      <c r="L19" s="512"/>
      <c r="M19" s="512"/>
      <c r="N19" s="513"/>
      <c r="O19" s="300"/>
      <c r="P19" s="300"/>
      <c r="Q19" s="300"/>
      <c r="R19" s="300"/>
      <c r="S19" s="300"/>
      <c r="T19" s="300"/>
      <c r="U19" s="300"/>
      <c r="V19" s="300"/>
      <c r="W19" s="300"/>
      <c r="X19" s="300"/>
      <c r="Y19" s="300"/>
      <c r="Z19" s="300"/>
      <c r="AA19" s="300"/>
      <c r="AB19" s="300"/>
      <c r="AC19" s="300"/>
      <c r="AD19" s="300"/>
      <c r="AE19" s="300"/>
    </row>
    <row r="20" spans="2:31" ht="12" thickBot="1">
      <c r="B20" s="329"/>
      <c r="C20" s="330"/>
      <c r="D20" s="331" t="s">
        <v>482</v>
      </c>
      <c r="E20" s="332">
        <v>1</v>
      </c>
      <c r="F20" s="333">
        <v>2</v>
      </c>
      <c r="G20" s="332">
        <v>3</v>
      </c>
      <c r="H20" s="334">
        <v>4</v>
      </c>
      <c r="I20" s="334">
        <v>5</v>
      </c>
      <c r="J20" s="334">
        <v>6</v>
      </c>
      <c r="K20" s="334">
        <v>7</v>
      </c>
      <c r="L20" s="333">
        <v>8</v>
      </c>
      <c r="M20" s="334">
        <v>9</v>
      </c>
      <c r="N20" s="335">
        <v>10</v>
      </c>
      <c r="O20" s="300"/>
      <c r="P20" s="300"/>
      <c r="Q20" s="300"/>
      <c r="R20" s="300"/>
      <c r="S20" s="300"/>
      <c r="T20" s="300"/>
      <c r="U20" s="300"/>
      <c r="V20" s="300"/>
      <c r="W20" s="312"/>
      <c r="X20" s="300"/>
      <c r="Y20" s="300"/>
      <c r="Z20" s="300"/>
      <c r="AA20" s="300"/>
      <c r="AB20" s="300"/>
      <c r="AC20" s="300"/>
      <c r="AD20" s="300"/>
      <c r="AE20" s="300"/>
    </row>
    <row r="21" spans="2:31">
      <c r="B21" s="302" t="s">
        <v>465</v>
      </c>
      <c r="C21" s="336">
        <v>0.54</v>
      </c>
      <c r="D21" s="337" t="s">
        <v>465</v>
      </c>
      <c r="E21" s="338">
        <v>6.0999999999999999E-2</v>
      </c>
      <c r="F21" s="338">
        <v>6.0999999999999999E-2</v>
      </c>
      <c r="G21" s="338">
        <v>6.0999999999999999E-2</v>
      </c>
      <c r="H21" s="338">
        <v>6.0999999999999999E-2</v>
      </c>
      <c r="I21" s="339">
        <v>0.06</v>
      </c>
      <c r="J21" s="339">
        <v>0.06</v>
      </c>
      <c r="K21" s="340"/>
      <c r="L21" s="341"/>
      <c r="M21" s="340"/>
      <c r="N21" s="342"/>
      <c r="O21" s="300"/>
      <c r="P21" s="300"/>
      <c r="Q21" s="300"/>
      <c r="R21" s="300"/>
      <c r="S21" s="300"/>
      <c r="T21" s="300"/>
      <c r="U21" s="300"/>
      <c r="V21" s="300"/>
      <c r="W21" s="300"/>
      <c r="X21" s="300"/>
      <c r="Y21" s="300"/>
      <c r="Z21" s="300"/>
      <c r="AA21" s="300"/>
      <c r="AB21" s="300"/>
      <c r="AC21" s="300"/>
      <c r="AD21" s="300"/>
      <c r="AE21" s="300"/>
    </row>
    <row r="22" spans="2:31" ht="12" thickBot="1">
      <c r="B22" s="306" t="s">
        <v>466</v>
      </c>
      <c r="C22" s="343">
        <v>0.84</v>
      </c>
      <c r="D22" s="337" t="s">
        <v>483</v>
      </c>
      <c r="E22" s="344">
        <v>0.111</v>
      </c>
      <c r="F22" s="344">
        <v>0.111</v>
      </c>
      <c r="G22" s="344">
        <v>0.111</v>
      </c>
      <c r="H22" s="344">
        <v>0.111</v>
      </c>
      <c r="I22" s="345">
        <v>0.11</v>
      </c>
      <c r="J22" s="345">
        <v>0.11</v>
      </c>
      <c r="K22" s="346"/>
      <c r="L22" s="347"/>
      <c r="M22" s="346"/>
      <c r="N22" s="348"/>
      <c r="O22" s="300"/>
      <c r="P22" s="300"/>
      <c r="Q22" s="349"/>
      <c r="R22" s="300"/>
      <c r="S22" s="300"/>
      <c r="T22" s="300"/>
      <c r="U22" s="300"/>
      <c r="V22" s="300"/>
      <c r="W22" s="300"/>
      <c r="X22" s="300"/>
      <c r="Y22" s="300"/>
      <c r="Z22" s="300"/>
      <c r="AA22" s="300"/>
      <c r="AB22" s="300"/>
      <c r="AC22" s="300"/>
      <c r="AD22" s="300"/>
      <c r="AE22" s="300"/>
    </row>
    <row r="23" spans="2:31" ht="12" thickBot="1">
      <c r="B23" s="350"/>
      <c r="C23" s="351"/>
      <c r="D23" s="352" t="s">
        <v>484</v>
      </c>
      <c r="E23" s="353">
        <f t="shared" ref="E23:J23" si="0">0.166666666666667%*100</f>
        <v>0.16666666666666699</v>
      </c>
      <c r="F23" s="353">
        <f t="shared" si="0"/>
        <v>0.16666666666666699</v>
      </c>
      <c r="G23" s="353">
        <f t="shared" si="0"/>
        <v>0.16666666666666699</v>
      </c>
      <c r="H23" s="353">
        <f t="shared" si="0"/>
        <v>0.16666666666666699</v>
      </c>
      <c r="I23" s="353">
        <f t="shared" si="0"/>
        <v>0.16666666666666699</v>
      </c>
      <c r="J23" s="353">
        <f t="shared" si="0"/>
        <v>0.16666666666666699</v>
      </c>
      <c r="K23" s="346"/>
      <c r="L23" s="347"/>
      <c r="M23" s="346"/>
      <c r="N23" s="348"/>
      <c r="O23" s="300"/>
      <c r="P23" s="300"/>
      <c r="Q23" s="300"/>
      <c r="R23" s="300"/>
      <c r="S23" s="300"/>
      <c r="T23" s="300"/>
      <c r="U23" s="300"/>
      <c r="V23" s="300"/>
      <c r="W23" s="300"/>
      <c r="X23" s="300"/>
      <c r="Y23" s="300"/>
      <c r="Z23" s="300"/>
      <c r="AA23" s="300"/>
      <c r="AB23" s="300"/>
      <c r="AC23" s="300"/>
      <c r="AD23" s="300"/>
      <c r="AE23" s="300"/>
    </row>
    <row r="24" spans="2:31" ht="12" thickBot="1">
      <c r="B24" s="350"/>
      <c r="C24" s="351"/>
      <c r="D24" s="354"/>
      <c r="E24" s="355"/>
      <c r="F24" s="356"/>
      <c r="G24" s="356"/>
      <c r="H24" s="356"/>
      <c r="I24" s="356"/>
      <c r="J24" s="356"/>
      <c r="K24" s="356"/>
      <c r="L24" s="356"/>
      <c r="M24" s="356"/>
      <c r="N24" s="126"/>
      <c r="O24" s="300"/>
      <c r="P24" s="300"/>
      <c r="Q24" s="300"/>
      <c r="R24" s="300"/>
      <c r="S24" s="300"/>
      <c r="T24" s="300"/>
      <c r="U24" s="300"/>
      <c r="V24" s="300"/>
      <c r="W24" s="300"/>
      <c r="X24" s="300"/>
      <c r="Y24" s="300"/>
      <c r="Z24" s="300"/>
      <c r="AA24" s="300"/>
      <c r="AB24" s="300"/>
      <c r="AC24" s="300"/>
      <c r="AD24" s="300"/>
      <c r="AE24" s="300"/>
    </row>
    <row r="25" spans="2:31" ht="12" thickBot="1">
      <c r="B25" s="302" t="s">
        <v>485</v>
      </c>
      <c r="C25" s="357">
        <v>8.3836702003960026E-2</v>
      </c>
      <c r="D25" s="358"/>
      <c r="E25" s="510" t="s">
        <v>486</v>
      </c>
      <c r="F25" s="510"/>
      <c r="G25" s="510"/>
      <c r="H25" s="510"/>
      <c r="I25" s="510"/>
      <c r="J25" s="510"/>
      <c r="K25" s="510"/>
      <c r="L25" s="510"/>
      <c r="M25" s="510"/>
      <c r="N25" s="509"/>
      <c r="O25" s="300"/>
      <c r="P25" s="300"/>
      <c r="Q25" s="300"/>
      <c r="R25" s="300"/>
      <c r="S25" s="300"/>
      <c r="T25" s="300"/>
      <c r="U25" s="300"/>
      <c r="V25" s="300"/>
      <c r="W25" s="300"/>
      <c r="X25" s="300"/>
      <c r="Y25" s="300"/>
      <c r="Z25" s="300"/>
      <c r="AA25" s="300"/>
      <c r="AB25" s="300"/>
      <c r="AC25" s="300"/>
      <c r="AD25" s="300"/>
      <c r="AE25" s="300"/>
    </row>
    <row r="26" spans="2:31" ht="12" thickBot="1">
      <c r="B26" s="306" t="s">
        <v>487</v>
      </c>
      <c r="C26" s="359" t="b">
        <v>1</v>
      </c>
      <c r="D26" s="331" t="s">
        <v>488</v>
      </c>
      <c r="E26" s="360">
        <v>1</v>
      </c>
      <c r="F26" s="59">
        <f t="shared" ref="F26:N26" si="1">E26+1</f>
        <v>2</v>
      </c>
      <c r="G26" s="361">
        <f t="shared" si="1"/>
        <v>3</v>
      </c>
      <c r="H26" s="362">
        <f t="shared" si="1"/>
        <v>4</v>
      </c>
      <c r="I26" s="362">
        <f t="shared" si="1"/>
        <v>5</v>
      </c>
      <c r="J26" s="362">
        <f t="shared" si="1"/>
        <v>6</v>
      </c>
      <c r="K26" s="362">
        <f t="shared" si="1"/>
        <v>7</v>
      </c>
      <c r="L26" s="59">
        <f t="shared" si="1"/>
        <v>8</v>
      </c>
      <c r="M26" s="362">
        <f t="shared" si="1"/>
        <v>9</v>
      </c>
      <c r="N26" s="363">
        <f t="shared" si="1"/>
        <v>10</v>
      </c>
      <c r="O26" s="300"/>
      <c r="P26" s="300"/>
      <c r="Q26" s="300"/>
      <c r="R26" s="300"/>
      <c r="S26" s="300"/>
      <c r="T26" s="300"/>
      <c r="U26" s="300"/>
      <c r="V26" s="300"/>
      <c r="W26" s="300"/>
      <c r="X26" s="300"/>
      <c r="Y26" s="300"/>
      <c r="Z26" s="300"/>
      <c r="AA26" s="300"/>
      <c r="AB26" s="300"/>
      <c r="AC26" s="300"/>
      <c r="AD26" s="300"/>
      <c r="AE26" s="300"/>
    </row>
    <row r="27" spans="2:31">
      <c r="B27" s="350"/>
      <c r="D27" s="364">
        <v>0</v>
      </c>
      <c r="E27" s="365">
        <v>1.9E-2</v>
      </c>
      <c r="F27" s="366">
        <v>2.1000000000000001E-2</v>
      </c>
      <c r="G27" s="367">
        <v>2.1999999999999999E-2</v>
      </c>
      <c r="H27" s="368">
        <v>2.1000000000000001E-2</v>
      </c>
      <c r="I27" s="367">
        <v>2.1999999999999999E-2</v>
      </c>
      <c r="J27" s="367">
        <v>2.1000000000000001E-2</v>
      </c>
      <c r="K27" s="341"/>
      <c r="L27" s="369"/>
      <c r="M27" s="341"/>
      <c r="N27" s="317"/>
      <c r="O27" s="300"/>
      <c r="P27" s="300"/>
      <c r="Q27" s="300"/>
      <c r="R27" s="300"/>
      <c r="S27" s="300"/>
      <c r="T27" s="300"/>
      <c r="U27" s="300"/>
      <c r="V27" s="300"/>
      <c r="W27" s="300"/>
      <c r="X27" s="300"/>
      <c r="Y27" s="300"/>
      <c r="Z27" s="300"/>
      <c r="AA27" s="300"/>
      <c r="AB27" s="300"/>
      <c r="AC27" s="300"/>
      <c r="AD27" s="300"/>
      <c r="AE27" s="300"/>
    </row>
    <row r="28" spans="2:31">
      <c r="B28" s="350"/>
      <c r="D28" s="370">
        <v>2.4E-2</v>
      </c>
      <c r="E28" s="365">
        <v>3.5999999999999997E-2</v>
      </c>
      <c r="F28" s="371">
        <v>0.04</v>
      </c>
      <c r="G28" s="372">
        <v>4.1000000000000002E-2</v>
      </c>
      <c r="H28" s="373">
        <v>0.04</v>
      </c>
      <c r="I28" s="373">
        <v>4.1000000000000002E-2</v>
      </c>
      <c r="J28" s="373">
        <v>0.04</v>
      </c>
      <c r="K28" s="374"/>
      <c r="L28" s="374"/>
      <c r="M28" s="374"/>
      <c r="N28" s="374"/>
      <c r="O28" s="300"/>
      <c r="P28" s="300"/>
      <c r="Q28" s="300"/>
      <c r="R28" s="300"/>
      <c r="S28" s="300"/>
      <c r="T28" s="300"/>
      <c r="U28" s="300"/>
      <c r="V28" s="300"/>
      <c r="W28" s="300"/>
      <c r="X28" s="300"/>
      <c r="Y28" s="300"/>
      <c r="Z28" s="300"/>
      <c r="AA28" s="300"/>
      <c r="AB28" s="300"/>
      <c r="AC28" s="300"/>
      <c r="AD28" s="300"/>
      <c r="AE28" s="300"/>
    </row>
    <row r="29" spans="2:31">
      <c r="B29" s="350"/>
      <c r="D29" s="370">
        <v>4.9000000000000002E-2</v>
      </c>
      <c r="E29" s="365">
        <v>6.3E-2</v>
      </c>
      <c r="F29" s="371">
        <v>6.9000000000000006E-2</v>
      </c>
      <c r="G29" s="372">
        <v>7.0999999999999994E-2</v>
      </c>
      <c r="H29" s="373">
        <v>6.9000000000000006E-2</v>
      </c>
      <c r="I29" s="373">
        <v>7.0999999999999994E-2</v>
      </c>
      <c r="J29" s="373">
        <v>6.9000000000000006E-2</v>
      </c>
      <c r="K29" s="374"/>
      <c r="L29" s="374"/>
      <c r="M29" s="374"/>
      <c r="N29" s="374"/>
      <c r="O29" s="300"/>
      <c r="P29" s="300"/>
      <c r="Q29" s="300"/>
      <c r="R29" s="300"/>
      <c r="S29" s="300"/>
      <c r="T29" s="300"/>
      <c r="U29" s="300"/>
      <c r="V29" s="300"/>
      <c r="W29" s="300"/>
      <c r="X29" s="300"/>
      <c r="Y29" s="300"/>
      <c r="Z29" s="300"/>
      <c r="AA29" s="300"/>
      <c r="AB29" s="300"/>
      <c r="AC29" s="300"/>
      <c r="AD29" s="300"/>
      <c r="AE29" s="300"/>
    </row>
    <row r="30" spans="2:31">
      <c r="B30" s="350"/>
      <c r="D30" s="370">
        <v>6.5000000000000002E-2</v>
      </c>
      <c r="E30" s="365">
        <v>9.2999999999999999E-2</v>
      </c>
      <c r="F30" s="371">
        <v>0.107</v>
      </c>
      <c r="G30" s="372">
        <v>0.111</v>
      </c>
      <c r="H30" s="373">
        <v>0.108</v>
      </c>
      <c r="I30" s="373">
        <v>0.112</v>
      </c>
      <c r="J30" s="373">
        <v>0.108</v>
      </c>
      <c r="K30" s="374"/>
      <c r="L30" s="374"/>
      <c r="M30" s="374"/>
      <c r="N30" s="374"/>
      <c r="O30" s="300"/>
      <c r="P30" s="300"/>
      <c r="Q30" s="300"/>
      <c r="R30" s="300"/>
      <c r="S30" s="300"/>
      <c r="T30" s="300"/>
      <c r="U30" s="300"/>
      <c r="V30" s="300"/>
      <c r="W30" s="300"/>
      <c r="X30" s="300"/>
      <c r="Y30" s="300"/>
      <c r="Z30" s="300"/>
      <c r="AA30" s="300"/>
      <c r="AB30" s="300"/>
      <c r="AC30" s="300"/>
      <c r="AD30" s="300"/>
      <c r="AE30" s="300"/>
    </row>
    <row r="31" spans="2:31">
      <c r="B31" s="350"/>
      <c r="D31" s="370">
        <v>8.1000000000000003E-2</v>
      </c>
      <c r="E31" s="365">
        <v>0.13300000000000001</v>
      </c>
      <c r="F31" s="371">
        <v>0.14899999999999999</v>
      </c>
      <c r="G31" s="372">
        <v>0.154</v>
      </c>
      <c r="H31" s="373">
        <v>0.151</v>
      </c>
      <c r="I31" s="373">
        <v>0.154</v>
      </c>
      <c r="J31" s="373">
        <v>0.14899999999999999</v>
      </c>
      <c r="K31" s="374"/>
      <c r="L31" s="374"/>
      <c r="M31" s="374"/>
      <c r="N31" s="374"/>
      <c r="O31" s="300"/>
      <c r="P31" s="300"/>
      <c r="Q31" s="300"/>
      <c r="R31" s="300"/>
      <c r="S31" s="300"/>
      <c r="T31" s="300"/>
      <c r="U31" s="300"/>
      <c r="V31" s="300"/>
      <c r="W31" s="300"/>
      <c r="X31" s="300"/>
      <c r="Y31" s="300"/>
      <c r="Z31" s="300"/>
      <c r="AA31" s="300"/>
      <c r="AB31" s="300"/>
      <c r="AC31" s="300"/>
      <c r="AD31" s="300"/>
      <c r="AE31" s="300"/>
    </row>
    <row r="32" spans="2:31">
      <c r="B32" s="350"/>
      <c r="D32" s="370">
        <v>9.8000000000000004E-2</v>
      </c>
      <c r="E32" s="365">
        <v>0.17399999999999999</v>
      </c>
      <c r="F32" s="371">
        <v>0.191</v>
      </c>
      <c r="G32" s="372">
        <v>0.19600000000000001</v>
      </c>
      <c r="H32" s="373">
        <v>0.19400000000000001</v>
      </c>
      <c r="I32" s="373">
        <v>0.19700000000000001</v>
      </c>
      <c r="J32" s="373">
        <v>0.191</v>
      </c>
      <c r="K32" s="374"/>
      <c r="L32" s="374"/>
      <c r="M32" s="374"/>
      <c r="N32" s="374"/>
      <c r="O32" s="300"/>
      <c r="P32" s="300"/>
      <c r="Q32" s="300"/>
      <c r="R32" s="300"/>
      <c r="S32" s="300"/>
      <c r="T32" s="300"/>
      <c r="U32" s="300"/>
      <c r="V32" s="300"/>
      <c r="W32" s="300"/>
      <c r="X32" s="300"/>
      <c r="Y32" s="300"/>
      <c r="Z32" s="300"/>
      <c r="AA32" s="300"/>
      <c r="AB32" s="300"/>
      <c r="AC32" s="300"/>
      <c r="AD32" s="300"/>
      <c r="AE32" s="300"/>
    </row>
    <row r="33" spans="1:31" ht="12" thickBot="1">
      <c r="B33" s="375"/>
      <c r="C33" s="376"/>
      <c r="D33" s="377">
        <v>0.114</v>
      </c>
      <c r="E33" s="378">
        <v>0.214</v>
      </c>
      <c r="F33" s="379">
        <v>0.23200000000000001</v>
      </c>
      <c r="G33" s="380">
        <v>0.23799999999999999</v>
      </c>
      <c r="H33" s="381">
        <v>0.23499999999999999</v>
      </c>
      <c r="I33" s="380">
        <v>0.23899999999999999</v>
      </c>
      <c r="J33" s="380">
        <v>0.23200000000000001</v>
      </c>
      <c r="K33" s="347"/>
      <c r="L33" s="382"/>
      <c r="M33" s="347"/>
      <c r="N33" s="343"/>
      <c r="O33" s="300"/>
      <c r="P33" s="300"/>
      <c r="Q33" s="300"/>
      <c r="R33" s="300"/>
      <c r="S33" s="300"/>
      <c r="T33" s="300"/>
      <c r="U33" s="300"/>
      <c r="V33" s="300"/>
      <c r="W33" s="300"/>
      <c r="X33" s="300"/>
      <c r="Y33" s="300"/>
      <c r="Z33" s="300"/>
      <c r="AA33" s="300"/>
      <c r="AB33" s="300"/>
      <c r="AC33" s="300"/>
      <c r="AD33" s="300"/>
      <c r="AE33" s="300"/>
    </row>
    <row r="34" spans="1:31" ht="12" thickBot="1">
      <c r="D34" s="300"/>
      <c r="E34" s="300"/>
      <c r="F34" s="300"/>
      <c r="G34" s="300"/>
      <c r="H34" s="300"/>
      <c r="I34" s="300"/>
      <c r="J34" s="300"/>
      <c r="K34" s="300"/>
      <c r="L34" s="300"/>
      <c r="M34" s="300"/>
      <c r="N34" s="300"/>
      <c r="O34" s="300"/>
      <c r="P34" s="300"/>
      <c r="Q34" s="300"/>
      <c r="R34" s="300"/>
      <c r="S34" s="300"/>
      <c r="T34" s="300"/>
      <c r="U34" s="300"/>
      <c r="V34" s="300"/>
      <c r="W34" s="300"/>
      <c r="X34" s="300"/>
      <c r="Y34" s="300"/>
      <c r="Z34" s="300"/>
      <c r="AA34" s="300"/>
      <c r="AB34" s="300"/>
      <c r="AC34" s="300"/>
      <c r="AD34" s="300"/>
      <c r="AE34" s="300"/>
    </row>
    <row r="35" spans="1:31" ht="12" thickBot="1">
      <c r="D35" s="383" t="s">
        <v>423</v>
      </c>
      <c r="E35" s="384" t="b">
        <v>1</v>
      </c>
      <c r="F35" s="300"/>
      <c r="G35" s="300"/>
      <c r="H35" s="300"/>
      <c r="I35" s="300"/>
      <c r="J35" s="300"/>
      <c r="K35" s="300"/>
      <c r="L35" s="300"/>
      <c r="M35" s="300"/>
      <c r="N35" s="300"/>
      <c r="O35" s="300"/>
      <c r="P35" s="300"/>
      <c r="Q35" s="300"/>
      <c r="R35" s="300"/>
      <c r="S35" s="300"/>
      <c r="T35" s="300"/>
      <c r="U35" s="300"/>
      <c r="V35" s="300"/>
      <c r="W35" s="300"/>
      <c r="X35" s="300"/>
      <c r="Y35" s="300"/>
      <c r="Z35" s="300"/>
      <c r="AA35" s="300"/>
      <c r="AB35" s="300"/>
      <c r="AC35" s="300"/>
      <c r="AD35" s="300"/>
      <c r="AE35" s="300"/>
    </row>
    <row r="36" spans="1:31" ht="12" thickBot="1">
      <c r="B36" s="385"/>
      <c r="C36" s="79"/>
      <c r="D36" s="300"/>
      <c r="E36" s="300"/>
      <c r="F36" s="300"/>
      <c r="G36" s="300"/>
      <c r="H36" s="300"/>
      <c r="I36" s="300"/>
      <c r="J36" s="300"/>
      <c r="K36" s="300"/>
      <c r="L36" s="300"/>
      <c r="M36" s="300"/>
      <c r="N36" s="300"/>
      <c r="O36" s="300"/>
      <c r="P36" s="300"/>
      <c r="Q36" s="300"/>
      <c r="R36" s="300"/>
      <c r="S36" s="300"/>
      <c r="T36" s="300"/>
      <c r="U36" s="300"/>
      <c r="V36" s="300"/>
      <c r="W36" s="300"/>
      <c r="X36" s="300"/>
      <c r="Y36" s="300"/>
      <c r="Z36" s="300"/>
      <c r="AA36" s="300"/>
      <c r="AB36" s="300"/>
      <c r="AC36" s="300"/>
      <c r="AD36" s="300"/>
      <c r="AE36" s="300"/>
    </row>
    <row r="37" spans="1:31" ht="13.5" customHeight="1" thickBot="1">
      <c r="B37" s="385"/>
      <c r="C37" s="508" t="s">
        <v>480</v>
      </c>
      <c r="D37" s="509"/>
      <c r="E37" s="510" t="s">
        <v>489</v>
      </c>
      <c r="F37" s="510"/>
      <c r="G37" s="510"/>
      <c r="H37" s="510"/>
      <c r="I37" s="510"/>
      <c r="J37" s="510"/>
      <c r="K37" s="510"/>
      <c r="L37" s="510"/>
      <c r="M37" s="510"/>
      <c r="N37" s="509"/>
      <c r="O37" s="300"/>
      <c r="P37" s="300"/>
      <c r="Q37" s="300"/>
      <c r="R37" s="300"/>
      <c r="S37" s="300"/>
      <c r="T37" s="300"/>
      <c r="U37" s="300"/>
      <c r="V37" s="300"/>
      <c r="W37" s="300"/>
      <c r="X37" s="300"/>
      <c r="Y37" s="300"/>
      <c r="Z37" s="300"/>
      <c r="AA37" s="300"/>
      <c r="AB37" s="300"/>
      <c r="AC37" s="300"/>
      <c r="AD37" s="300"/>
      <c r="AE37" s="300"/>
    </row>
    <row r="38" spans="1:31" ht="12" thickBot="1">
      <c r="B38" s="312"/>
      <c r="C38" s="386" t="s">
        <v>434</v>
      </c>
      <c r="D38" s="387" t="s">
        <v>490</v>
      </c>
      <c r="E38" s="301">
        <v>1</v>
      </c>
      <c r="F38" s="301">
        <f t="shared" ref="F38:N38" si="2">E38+1</f>
        <v>2</v>
      </c>
      <c r="G38" s="301">
        <f t="shared" si="2"/>
        <v>3</v>
      </c>
      <c r="H38" s="301">
        <f t="shared" si="2"/>
        <v>4</v>
      </c>
      <c r="I38" s="301">
        <f t="shared" si="2"/>
        <v>5</v>
      </c>
      <c r="J38" s="301">
        <f t="shared" si="2"/>
        <v>6</v>
      </c>
      <c r="K38" s="301">
        <f t="shared" si="2"/>
        <v>7</v>
      </c>
      <c r="L38" s="301">
        <f t="shared" si="2"/>
        <v>8</v>
      </c>
      <c r="M38" s="301">
        <f t="shared" si="2"/>
        <v>9</v>
      </c>
      <c r="N38" s="388">
        <f t="shared" si="2"/>
        <v>10</v>
      </c>
      <c r="O38" s="300"/>
      <c r="P38" s="300"/>
      <c r="Q38" s="300"/>
      <c r="R38" s="300"/>
      <c r="S38" s="300"/>
      <c r="T38" s="300"/>
      <c r="U38" s="300"/>
      <c r="V38" s="300"/>
      <c r="W38" s="300"/>
      <c r="X38" s="300"/>
      <c r="Y38" s="300"/>
      <c r="Z38" s="300"/>
      <c r="AA38" s="300"/>
      <c r="AB38" s="300"/>
      <c r="AC38" s="300"/>
      <c r="AD38" s="300"/>
      <c r="AE38" s="300"/>
    </row>
    <row r="39" spans="1:31" ht="12" thickBot="1">
      <c r="A39" s="79"/>
      <c r="B39" s="386" t="s">
        <v>491</v>
      </c>
      <c r="C39" s="389" t="str">
        <f t="array" aca="1" ref="C39:N40" ca="1">IF(NOT($E$35),"",EuropeanCDO2(E21:N23, C21, C22, C26,D46:N345, Expected_Recovery, Parameter_Date, C5,CDSRollDate,StrippedDefaultProb,SpreadCurveMaturities,C11,Currency, C13,C12,C15,C16,C17,C6,  D27:N33,  C25, C7))</f>
        <v/>
      </c>
      <c r="D39" s="390" t="str">
        <f ca="1"/>
        <v/>
      </c>
      <c r="E39" s="391" t="str">
        <f ca="1"/>
        <v/>
      </c>
      <c r="F39" s="391" t="str">
        <f ca="1"/>
        <v/>
      </c>
      <c r="G39" s="391" t="str">
        <f ca="1"/>
        <v/>
      </c>
      <c r="H39" s="391" t="str">
        <f ca="1"/>
        <v/>
      </c>
      <c r="I39" s="391" t="str">
        <f ca="1"/>
        <v/>
      </c>
      <c r="J39" s="391" t="str">
        <f ca="1"/>
        <v/>
      </c>
      <c r="K39" s="391" t="str">
        <f ca="1"/>
        <v/>
      </c>
      <c r="L39" s="391" t="str">
        <f ca="1"/>
        <v/>
      </c>
      <c r="M39" s="391" t="str">
        <f ca="1"/>
        <v/>
      </c>
      <c r="N39" s="392" t="str">
        <f ca="1"/>
        <v/>
      </c>
      <c r="O39" s="300"/>
      <c r="P39" s="300"/>
      <c r="Q39" s="300"/>
      <c r="R39" s="300"/>
      <c r="S39" s="300"/>
      <c r="T39" s="300"/>
      <c r="U39" s="300"/>
      <c r="V39" s="300"/>
      <c r="W39" s="300"/>
      <c r="X39" s="300"/>
      <c r="Y39" s="300"/>
      <c r="Z39" s="300"/>
      <c r="AA39" s="300"/>
      <c r="AB39" s="300"/>
      <c r="AC39" s="300"/>
      <c r="AD39" s="300"/>
      <c r="AE39" s="300"/>
    </row>
    <row r="40" spans="1:31" ht="12" thickBot="1">
      <c r="B40" s="386" t="s">
        <v>492</v>
      </c>
      <c r="C40" s="393" t="str">
        <f ca="1"/>
        <v/>
      </c>
      <c r="D40" s="394" t="str">
        <f ca="1"/>
        <v/>
      </c>
      <c r="E40" s="395" t="str">
        <f ca="1"/>
        <v/>
      </c>
      <c r="F40" s="395" t="str">
        <f ca="1"/>
        <v/>
      </c>
      <c r="G40" s="395" t="str">
        <f ca="1"/>
        <v/>
      </c>
      <c r="H40" s="395" t="str">
        <f ca="1"/>
        <v/>
      </c>
      <c r="I40" s="395" t="str">
        <f ca="1"/>
        <v/>
      </c>
      <c r="J40" s="395" t="str">
        <f ca="1"/>
        <v/>
      </c>
      <c r="K40" s="395" t="str">
        <f ca="1"/>
        <v/>
      </c>
      <c r="L40" s="395" t="str">
        <f ca="1"/>
        <v/>
      </c>
      <c r="M40" s="395" t="str">
        <f ca="1"/>
        <v/>
      </c>
      <c r="N40" s="396" t="str">
        <f ca="1"/>
        <v/>
      </c>
      <c r="O40" s="300"/>
      <c r="P40" s="300"/>
      <c r="Q40" s="300"/>
      <c r="R40" s="300"/>
      <c r="S40" s="300"/>
      <c r="T40" s="300"/>
      <c r="U40" s="300"/>
      <c r="V40" s="300"/>
      <c r="W40" s="300"/>
      <c r="X40" s="300"/>
      <c r="Y40" s="300"/>
      <c r="Z40" s="300"/>
      <c r="AA40" s="300"/>
      <c r="AB40" s="300"/>
      <c r="AC40" s="300"/>
      <c r="AD40" s="300"/>
      <c r="AE40" s="300"/>
    </row>
    <row r="41" spans="1:31">
      <c r="C41" s="397"/>
      <c r="D41" s="398" t="e" cm="1">
        <f t="array" aca="1" ref="D41" ca="1">GetTest2(E21:N23)</f>
        <v>#VALUE!</v>
      </c>
      <c r="E41" s="398"/>
      <c r="F41" s="399"/>
      <c r="G41" s="398"/>
      <c r="H41" s="399"/>
      <c r="I41" s="397"/>
      <c r="J41" s="399"/>
      <c r="K41" s="397"/>
      <c r="L41" s="399"/>
      <c r="M41" s="397"/>
      <c r="N41" s="397"/>
      <c r="O41" s="300"/>
      <c r="P41" s="511"/>
      <c r="Q41" s="511"/>
      <c r="R41" s="511"/>
      <c r="S41" s="300"/>
      <c r="T41" s="300"/>
      <c r="U41" s="300"/>
      <c r="V41" s="300"/>
      <c r="W41" s="300"/>
      <c r="X41" s="300"/>
      <c r="Y41" s="300"/>
      <c r="Z41" s="300"/>
      <c r="AA41" s="300"/>
      <c r="AB41" s="300"/>
      <c r="AC41" s="300"/>
      <c r="AD41" s="300"/>
      <c r="AE41" s="300"/>
    </row>
    <row r="42" spans="1:31">
      <c r="B42" s="300" t="str" cm="1">
        <f t="array" aca="1" ref="B42" ca="1">GetTest2(E21:N23,C21,C22,C26,D46:N345,Parameter_Date,C5,C11)</f>
        <v>6 , 5, 0, 0,02</v>
      </c>
      <c r="D42" s="398"/>
      <c r="E42" s="398"/>
      <c r="F42" s="399"/>
      <c r="G42" s="398"/>
      <c r="H42" s="399"/>
      <c r="I42" s="397"/>
      <c r="J42" s="399"/>
      <c r="K42" s="397"/>
      <c r="L42" s="399"/>
      <c r="M42" s="397"/>
      <c r="N42" s="397"/>
      <c r="O42" s="300"/>
      <c r="P42" s="300"/>
      <c r="Q42" s="300"/>
      <c r="R42" s="300"/>
      <c r="S42" s="300"/>
      <c r="T42" s="300"/>
      <c r="U42" s="300"/>
      <c r="V42" s="300"/>
      <c r="W42" s="300"/>
      <c r="X42" s="300"/>
      <c r="Y42" s="300"/>
      <c r="Z42" s="300"/>
      <c r="AA42" s="300"/>
      <c r="AB42" s="300"/>
      <c r="AC42" s="300"/>
      <c r="AD42" s="300"/>
      <c r="AE42" s="300"/>
    </row>
    <row r="43" spans="1:31" ht="12" thickBot="1">
      <c r="D43" s="300"/>
      <c r="E43" s="400"/>
      <c r="O43" s="300"/>
      <c r="P43" s="300"/>
      <c r="Q43" s="300"/>
      <c r="R43" s="300"/>
      <c r="S43" s="300"/>
      <c r="T43" s="300"/>
      <c r="U43" s="300"/>
      <c r="V43" s="300"/>
      <c r="W43" s="300"/>
      <c r="X43" s="300"/>
      <c r="Y43" s="300"/>
      <c r="Z43" s="300"/>
      <c r="AA43" s="300"/>
      <c r="AB43" s="300"/>
      <c r="AC43" s="300"/>
      <c r="AD43" s="300"/>
      <c r="AE43" s="300"/>
    </row>
    <row r="44" spans="1:31" ht="12" thickBot="1">
      <c r="C44" s="351"/>
      <c r="D44" s="401"/>
      <c r="E44" s="508" t="s">
        <v>493</v>
      </c>
      <c r="F44" s="510"/>
      <c r="G44" s="510"/>
      <c r="H44" s="510"/>
      <c r="I44" s="510"/>
      <c r="J44" s="510"/>
      <c r="K44" s="510"/>
      <c r="L44" s="510"/>
      <c r="M44" s="510"/>
      <c r="N44" s="509"/>
      <c r="O44" s="300"/>
      <c r="P44" s="300"/>
      <c r="Q44" s="300"/>
      <c r="R44" s="300"/>
      <c r="S44" s="300"/>
      <c r="T44" s="300"/>
      <c r="U44" s="300"/>
      <c r="V44" s="300"/>
      <c r="W44" s="300"/>
      <c r="X44" s="300"/>
      <c r="Y44" s="300"/>
      <c r="Z44" s="300"/>
      <c r="AA44" s="300"/>
      <c r="AB44" s="300"/>
      <c r="AC44" s="300"/>
      <c r="AD44" s="300"/>
      <c r="AE44" s="300"/>
    </row>
    <row r="45" spans="1:31" ht="12" thickBot="1">
      <c r="B45" s="331" t="s">
        <v>494</v>
      </c>
      <c r="C45" s="328" t="s">
        <v>495</v>
      </c>
      <c r="D45" s="386" t="s">
        <v>474</v>
      </c>
      <c r="E45" s="402">
        <v>1</v>
      </c>
      <c r="F45" s="403">
        <f t="shared" ref="F45:N45" si="3">E45+1</f>
        <v>2</v>
      </c>
      <c r="G45" s="403">
        <f t="shared" si="3"/>
        <v>3</v>
      </c>
      <c r="H45" s="403">
        <f t="shared" si="3"/>
        <v>4</v>
      </c>
      <c r="I45" s="403">
        <f t="shared" si="3"/>
        <v>5</v>
      </c>
      <c r="J45" s="403">
        <f t="shared" si="3"/>
        <v>6</v>
      </c>
      <c r="K45" s="403">
        <f t="shared" si="3"/>
        <v>7</v>
      </c>
      <c r="L45" s="403">
        <f t="shared" si="3"/>
        <v>8</v>
      </c>
      <c r="M45" s="403">
        <f t="shared" si="3"/>
        <v>9</v>
      </c>
      <c r="N45" s="404">
        <f t="shared" si="3"/>
        <v>10</v>
      </c>
      <c r="O45" s="300"/>
      <c r="P45" s="300"/>
      <c r="Q45" s="300"/>
      <c r="R45" s="300"/>
      <c r="S45" s="300"/>
      <c r="T45" s="300"/>
      <c r="U45" s="300"/>
      <c r="V45" s="300"/>
      <c r="W45" s="300"/>
      <c r="X45" s="300"/>
      <c r="Y45" s="300"/>
      <c r="Z45" s="300"/>
      <c r="AA45" s="300"/>
      <c r="AB45" s="300"/>
      <c r="AC45" s="300"/>
      <c r="AD45" s="300"/>
      <c r="AE45" s="300"/>
    </row>
    <row r="46" spans="1:31" ht="15">
      <c r="B46" s="405">
        <v>1</v>
      </c>
      <c r="C46" s="413" t="str" cm="1">
        <f t="array" aca="1" ref="C46" ca="1">IF(B46&lt;=$C$9,GetGetCDSName(B46),"")</f>
        <v>ABNAMRO_MMR.EUR.SU</v>
      </c>
      <c r="D46" s="373">
        <v>0</v>
      </c>
      <c r="E46" s="406">
        <v>0</v>
      </c>
      <c r="F46" s="325">
        <v>0</v>
      </c>
      <c r="G46" s="325">
        <v>1</v>
      </c>
      <c r="H46" s="325">
        <v>0</v>
      </c>
      <c r="I46" s="325">
        <v>0</v>
      </c>
      <c r="J46" s="325">
        <v>0</v>
      </c>
      <c r="K46" s="325"/>
      <c r="L46" s="325"/>
      <c r="M46" s="325"/>
      <c r="N46" s="407"/>
      <c r="O46" s="300"/>
      <c r="P46" s="300"/>
      <c r="Q46" s="300"/>
      <c r="R46" s="300"/>
      <c r="S46" s="300"/>
      <c r="T46" s="300"/>
      <c r="U46" s="300"/>
      <c r="V46" s="300"/>
      <c r="W46" s="300"/>
      <c r="X46" s="300"/>
      <c r="Y46" s="300"/>
      <c r="Z46" s="300"/>
      <c r="AA46" s="300"/>
      <c r="AB46" s="300"/>
      <c r="AC46" s="300"/>
      <c r="AD46" s="300"/>
      <c r="AE46" s="300"/>
    </row>
    <row r="47" spans="1:31" ht="15">
      <c r="B47" s="405">
        <f t="shared" ref="B47:B110" si="4">B46+1</f>
        <v>2</v>
      </c>
      <c r="C47" s="413" t="str" cm="1">
        <f t="array" aca="1" ref="C47" ca="1">IF(B47&lt;=$C$9,GetGetCDSName(B47),"")</f>
        <v>ACCOR_MMR.EUR.SU</v>
      </c>
      <c r="D47" s="373">
        <v>0</v>
      </c>
      <c r="E47" s="406">
        <v>0</v>
      </c>
      <c r="F47" s="325">
        <v>0</v>
      </c>
      <c r="G47" s="325">
        <v>0</v>
      </c>
      <c r="H47" s="325">
        <v>0</v>
      </c>
      <c r="I47" s="325">
        <v>1</v>
      </c>
      <c r="J47" s="325">
        <v>1</v>
      </c>
      <c r="K47" s="325"/>
      <c r="L47" s="325"/>
      <c r="M47" s="325"/>
      <c r="N47" s="407"/>
      <c r="O47" s="300"/>
      <c r="P47" s="300"/>
      <c r="Q47" s="300"/>
      <c r="R47" s="300"/>
      <c r="S47" s="300"/>
      <c r="T47" s="300"/>
      <c r="U47" s="300"/>
      <c r="V47" s="300"/>
      <c r="W47" s="300"/>
      <c r="X47" s="300"/>
      <c r="Y47" s="300"/>
      <c r="Z47" s="300"/>
      <c r="AA47" s="300"/>
      <c r="AB47" s="300"/>
      <c r="AC47" s="300"/>
      <c r="AD47" s="300"/>
      <c r="AE47" s="300"/>
    </row>
    <row r="48" spans="1:31" ht="15">
      <c r="B48" s="405">
        <f t="shared" si="4"/>
        <v>3</v>
      </c>
      <c r="C48" s="413" t="str" cm="1">
        <f t="array" aca="1" ref="C48" ca="1">IF(B48&lt;=$C$9,GetGetCDSName(B48),"")</f>
        <v>ADECCO_MMR.EUR.SU</v>
      </c>
      <c r="D48" s="373">
        <v>0</v>
      </c>
      <c r="E48" s="406">
        <v>0</v>
      </c>
      <c r="F48" s="325">
        <v>0</v>
      </c>
      <c r="G48" s="325">
        <v>1</v>
      </c>
      <c r="H48" s="325">
        <v>0</v>
      </c>
      <c r="I48" s="325">
        <v>1</v>
      </c>
      <c r="J48" s="325">
        <v>0</v>
      </c>
      <c r="K48" s="325"/>
      <c r="L48" s="325"/>
      <c r="M48" s="325"/>
      <c r="N48" s="407"/>
      <c r="O48" s="300"/>
      <c r="P48" s="300"/>
      <c r="Q48" s="300"/>
      <c r="R48" s="300"/>
      <c r="S48" s="300"/>
      <c r="T48" s="300"/>
      <c r="U48" s="300"/>
      <c r="V48" s="300"/>
      <c r="W48" s="300"/>
      <c r="X48" s="300"/>
      <c r="Y48" s="300"/>
      <c r="Z48" s="300"/>
      <c r="AA48" s="300"/>
      <c r="AB48" s="300"/>
      <c r="AC48" s="300"/>
      <c r="AD48" s="300"/>
      <c r="AE48" s="300"/>
    </row>
    <row r="49" spans="2:31" ht="15">
      <c r="B49" s="405">
        <f t="shared" si="4"/>
        <v>4</v>
      </c>
      <c r="C49" s="413" t="str" cm="1">
        <f t="array" aca="1" ref="C49" ca="1">IF(B49&lt;=$C$9,GetGetCDSName(B49),"")</f>
        <v>AEGON_MMR.EUR.SU</v>
      </c>
      <c r="D49" s="373">
        <v>0</v>
      </c>
      <c r="E49" s="406">
        <v>0</v>
      </c>
      <c r="F49" s="325">
        <v>0</v>
      </c>
      <c r="G49" s="325">
        <v>0</v>
      </c>
      <c r="H49" s="325">
        <v>0</v>
      </c>
      <c r="I49" s="325">
        <v>0</v>
      </c>
      <c r="J49" s="325">
        <v>1</v>
      </c>
      <c r="K49" s="325"/>
      <c r="L49" s="325"/>
      <c r="M49" s="325"/>
      <c r="N49" s="407"/>
      <c r="O49" s="300"/>
      <c r="P49" s="300"/>
      <c r="Q49" s="300"/>
      <c r="R49" s="300"/>
      <c r="S49" s="300"/>
      <c r="T49" s="300"/>
      <c r="U49" s="300"/>
      <c r="V49" s="300"/>
      <c r="W49" s="300"/>
      <c r="X49" s="300"/>
      <c r="Y49" s="300"/>
      <c r="Z49" s="300"/>
      <c r="AA49" s="300"/>
      <c r="AB49" s="300"/>
      <c r="AC49" s="300"/>
      <c r="AD49" s="300"/>
      <c r="AE49" s="300"/>
    </row>
    <row r="50" spans="2:31" ht="15">
      <c r="B50" s="405">
        <f t="shared" si="4"/>
        <v>5</v>
      </c>
      <c r="C50" s="413" t="str" cm="1">
        <f t="array" aca="1" ref="C50" ca="1">IF(B50&lt;=$C$9,GetGetCDSName(B50),"")</f>
        <v>AKZONOBEL_MMR.EUR.SU</v>
      </c>
      <c r="D50" s="373">
        <v>0</v>
      </c>
      <c r="E50" s="406">
        <v>0</v>
      </c>
      <c r="F50" s="325">
        <v>0</v>
      </c>
      <c r="G50" s="325">
        <v>0</v>
      </c>
      <c r="H50" s="325">
        <v>1</v>
      </c>
      <c r="I50" s="325">
        <v>0</v>
      </c>
      <c r="J50" s="325">
        <v>0</v>
      </c>
      <c r="K50" s="325"/>
      <c r="L50" s="325"/>
      <c r="M50" s="325"/>
      <c r="N50" s="407"/>
      <c r="O50" s="300"/>
      <c r="P50" s="300"/>
      <c r="Q50" s="300"/>
      <c r="R50" s="300"/>
      <c r="S50" s="300"/>
      <c r="T50" s="300"/>
      <c r="U50" s="300"/>
      <c r="V50" s="300"/>
      <c r="W50" s="300"/>
      <c r="X50" s="300"/>
      <c r="Y50" s="300"/>
      <c r="Z50" s="300"/>
      <c r="AA50" s="300"/>
      <c r="AB50" s="300"/>
      <c r="AC50" s="300"/>
      <c r="AD50" s="300"/>
      <c r="AE50" s="300"/>
    </row>
    <row r="51" spans="2:31" ht="15">
      <c r="B51" s="405">
        <f t="shared" si="4"/>
        <v>6</v>
      </c>
      <c r="C51" s="413" t="str" cm="1">
        <f t="array" aca="1" ref="C51" ca="1">IF(B51&lt;=$C$9,GetGetCDSName(B51),"")</f>
        <v>ALLIANZ_MMR.EUR.SU</v>
      </c>
      <c r="D51" s="373">
        <v>0</v>
      </c>
      <c r="E51" s="406">
        <v>1</v>
      </c>
      <c r="F51" s="325">
        <v>1</v>
      </c>
      <c r="G51" s="325">
        <v>0</v>
      </c>
      <c r="H51" s="325">
        <v>0</v>
      </c>
      <c r="I51" s="325">
        <v>0</v>
      </c>
      <c r="J51" s="325">
        <v>1</v>
      </c>
      <c r="K51" s="325"/>
      <c r="L51" s="325"/>
      <c r="M51" s="325"/>
      <c r="N51" s="407"/>
      <c r="O51" s="300"/>
      <c r="P51" s="300"/>
      <c r="Q51" s="300"/>
      <c r="R51" s="300"/>
      <c r="S51" s="300"/>
      <c r="T51" s="300"/>
      <c r="U51" s="300"/>
      <c r="V51" s="300"/>
      <c r="W51" s="300"/>
      <c r="X51" s="300"/>
      <c r="Y51" s="300"/>
      <c r="Z51" s="300"/>
      <c r="AA51" s="300"/>
      <c r="AB51" s="300"/>
      <c r="AC51" s="300"/>
      <c r="AD51" s="300"/>
      <c r="AE51" s="300"/>
    </row>
    <row r="52" spans="2:31" ht="15">
      <c r="B52" s="405">
        <f t="shared" si="4"/>
        <v>7</v>
      </c>
      <c r="C52" s="413" t="str" cm="1">
        <f t="array" aca="1" ref="C52" ca="1">IF(B52&lt;=$C$9,GetGetCDSName(B52),"")</f>
        <v>ALTADIS_MMR.EUR.SU</v>
      </c>
      <c r="D52" s="373">
        <v>0</v>
      </c>
      <c r="E52" s="406">
        <v>0</v>
      </c>
      <c r="F52" s="325">
        <v>0</v>
      </c>
      <c r="G52" s="325">
        <v>1</v>
      </c>
      <c r="H52" s="325">
        <v>1</v>
      </c>
      <c r="I52" s="325">
        <v>1</v>
      </c>
      <c r="J52" s="325">
        <v>0</v>
      </c>
      <c r="K52" s="325"/>
      <c r="L52" s="325"/>
      <c r="M52" s="325"/>
      <c r="N52" s="407"/>
      <c r="O52" s="300"/>
      <c r="P52" s="300"/>
      <c r="Q52" s="300"/>
      <c r="R52" s="300"/>
      <c r="S52" s="300"/>
      <c r="T52" s="300"/>
      <c r="U52" s="300"/>
      <c r="V52" s="300"/>
      <c r="W52" s="300"/>
      <c r="X52" s="300"/>
      <c r="Y52" s="300"/>
      <c r="Z52" s="300"/>
      <c r="AA52" s="300"/>
      <c r="AB52" s="300"/>
      <c r="AC52" s="300"/>
      <c r="AD52" s="300"/>
      <c r="AE52" s="300"/>
    </row>
    <row r="53" spans="2:31" ht="15">
      <c r="B53" s="405">
        <f t="shared" si="4"/>
        <v>8</v>
      </c>
      <c r="C53" s="413" t="str" cm="1">
        <f t="array" aca="1" ref="C53" ca="1">IF(B53&lt;=$C$9,GetGetCDSName(B53),"")</f>
        <v>ARCELORFINANCESCA_MMR.EUR.SU</v>
      </c>
      <c r="D53" s="373">
        <v>0</v>
      </c>
      <c r="E53" s="406">
        <v>1</v>
      </c>
      <c r="F53" s="325">
        <v>1</v>
      </c>
      <c r="G53" s="325">
        <v>0</v>
      </c>
      <c r="H53" s="325">
        <v>0</v>
      </c>
      <c r="I53" s="325">
        <v>1</v>
      </c>
      <c r="J53" s="325">
        <v>0</v>
      </c>
      <c r="K53" s="325"/>
      <c r="L53" s="325"/>
      <c r="M53" s="325"/>
      <c r="N53" s="407"/>
      <c r="O53" s="300"/>
      <c r="P53" s="300"/>
      <c r="Q53" s="300"/>
      <c r="R53" s="300"/>
      <c r="S53" s="300"/>
      <c r="T53" s="300"/>
      <c r="U53" s="300"/>
      <c r="V53" s="300"/>
      <c r="W53" s="300"/>
      <c r="X53" s="300"/>
      <c r="Y53" s="300"/>
      <c r="Z53" s="300"/>
      <c r="AA53" s="300"/>
      <c r="AB53" s="300"/>
      <c r="AC53" s="300"/>
      <c r="AD53" s="300"/>
      <c r="AE53" s="300"/>
    </row>
    <row r="54" spans="2:31" ht="15">
      <c r="B54" s="405">
        <f t="shared" si="4"/>
        <v>9</v>
      </c>
      <c r="C54" s="413" t="str" cm="1">
        <f t="array" aca="1" ref="C54" ca="1">IF(B54&lt;=$C$9,GetGetCDSName(B54),"")</f>
        <v>AUCHAN_MMR.EUR.SU</v>
      </c>
      <c r="D54" s="373">
        <v>0</v>
      </c>
      <c r="E54" s="406">
        <v>0</v>
      </c>
      <c r="F54" s="325">
        <v>0</v>
      </c>
      <c r="G54" s="325">
        <v>0</v>
      </c>
      <c r="H54" s="325">
        <v>0</v>
      </c>
      <c r="I54" s="325">
        <v>0</v>
      </c>
      <c r="J54" s="325">
        <v>1</v>
      </c>
      <c r="K54" s="325"/>
      <c r="L54" s="325"/>
      <c r="M54" s="325"/>
      <c r="N54" s="407"/>
      <c r="O54" s="300"/>
      <c r="P54" s="300"/>
      <c r="Q54" s="300"/>
      <c r="R54" s="300"/>
      <c r="S54" s="300"/>
      <c r="T54" s="300"/>
      <c r="U54" s="300"/>
      <c r="V54" s="300"/>
      <c r="W54" s="300"/>
      <c r="X54" s="300"/>
      <c r="Y54" s="300"/>
      <c r="Z54" s="300"/>
      <c r="AA54" s="300"/>
      <c r="AB54" s="300"/>
      <c r="AC54" s="300"/>
      <c r="AD54" s="300"/>
      <c r="AE54" s="300"/>
    </row>
    <row r="55" spans="2:31" ht="15">
      <c r="B55" s="405">
        <f t="shared" si="4"/>
        <v>10</v>
      </c>
      <c r="C55" s="413" t="str" cm="1">
        <f t="array" aca="1" ref="C55" ca="1">IF(B55&lt;=$C$9,GetGetCDSName(B55),"")</f>
        <v>AVIVA_MMR.EUR.SU</v>
      </c>
      <c r="D55" s="373">
        <v>0</v>
      </c>
      <c r="E55" s="406">
        <v>0</v>
      </c>
      <c r="F55" s="325">
        <v>0</v>
      </c>
      <c r="G55" s="325">
        <v>1</v>
      </c>
      <c r="H55" s="325">
        <v>1</v>
      </c>
      <c r="I55" s="325">
        <v>0</v>
      </c>
      <c r="J55" s="325">
        <v>0</v>
      </c>
      <c r="K55" s="325"/>
      <c r="L55" s="325"/>
      <c r="M55" s="325"/>
      <c r="N55" s="407"/>
      <c r="O55" s="300"/>
      <c r="P55" s="300"/>
      <c r="Q55" s="300"/>
      <c r="R55" s="300"/>
      <c r="S55" s="300"/>
      <c r="T55" s="300"/>
      <c r="U55" s="300"/>
      <c r="V55" s="300"/>
      <c r="W55" s="300"/>
      <c r="X55" s="300"/>
      <c r="Y55" s="300"/>
      <c r="Z55" s="300"/>
      <c r="AA55" s="300"/>
      <c r="AB55" s="300"/>
      <c r="AC55" s="300"/>
      <c r="AD55" s="300"/>
      <c r="AE55" s="300"/>
    </row>
    <row r="56" spans="2:31" ht="15">
      <c r="B56" s="405">
        <f t="shared" si="4"/>
        <v>11</v>
      </c>
      <c r="C56" s="413" t="str" cm="1">
        <f t="array" aca="1" ref="C56" ca="1">IF(B56&lt;=$C$9,GetGetCDSName(B56),"")</f>
        <v>AXA_MMR.EUR.SU</v>
      </c>
      <c r="D56" s="373">
        <v>0</v>
      </c>
      <c r="E56" s="406">
        <v>1</v>
      </c>
      <c r="F56" s="325">
        <v>0</v>
      </c>
      <c r="G56" s="325">
        <v>0</v>
      </c>
      <c r="H56" s="325">
        <v>0</v>
      </c>
      <c r="I56" s="325">
        <v>0</v>
      </c>
      <c r="J56" s="325">
        <v>0</v>
      </c>
      <c r="K56" s="325"/>
      <c r="L56" s="325"/>
      <c r="M56" s="325"/>
      <c r="N56" s="407"/>
      <c r="O56" s="300"/>
      <c r="P56" s="300"/>
      <c r="Q56" s="300"/>
      <c r="R56" s="300"/>
      <c r="S56" s="300"/>
      <c r="T56" s="300"/>
      <c r="U56" s="300"/>
      <c r="V56" s="300"/>
      <c r="W56" s="300"/>
      <c r="X56" s="300"/>
      <c r="Y56" s="300"/>
      <c r="Z56" s="300"/>
      <c r="AA56" s="300"/>
      <c r="AB56" s="300"/>
      <c r="AC56" s="300"/>
      <c r="AD56" s="300"/>
      <c r="AE56" s="300"/>
    </row>
    <row r="57" spans="2:31" ht="15">
      <c r="B57" s="405">
        <f t="shared" si="4"/>
        <v>12</v>
      </c>
      <c r="C57" s="413" t="str" cm="1">
        <f t="array" aca="1" ref="C57" ca="1">IF(B57&lt;=$C$9,GetGetCDSName(B57),"")</f>
        <v>BANCOESPIRITOSANTO_MMR.EUR.SU</v>
      </c>
      <c r="D57" s="373">
        <v>0</v>
      </c>
      <c r="E57" s="406">
        <v>0</v>
      </c>
      <c r="F57" s="325">
        <v>1</v>
      </c>
      <c r="G57" s="325">
        <v>0</v>
      </c>
      <c r="H57" s="325">
        <v>0</v>
      </c>
      <c r="I57" s="325">
        <v>0</v>
      </c>
      <c r="J57" s="325">
        <v>0</v>
      </c>
      <c r="K57" s="325"/>
      <c r="L57" s="325"/>
      <c r="M57" s="325"/>
      <c r="N57" s="407"/>
      <c r="O57" s="300"/>
      <c r="P57" s="300"/>
      <c r="Q57" s="300"/>
      <c r="R57" s="300"/>
      <c r="S57" s="300"/>
      <c r="T57" s="300"/>
      <c r="U57" s="300"/>
      <c r="V57" s="300"/>
      <c r="W57" s="300"/>
      <c r="X57" s="300"/>
      <c r="Y57" s="300"/>
      <c r="Z57" s="300"/>
      <c r="AA57" s="300"/>
      <c r="AB57" s="300"/>
      <c r="AC57" s="300"/>
      <c r="AD57" s="300"/>
      <c r="AE57" s="300"/>
    </row>
    <row r="58" spans="2:31" ht="15">
      <c r="B58" s="405">
        <f t="shared" si="4"/>
        <v>13</v>
      </c>
      <c r="C58" s="413" t="str" cm="1">
        <f t="array" aca="1" ref="C58" ca="1">IF(B58&lt;=$C$9,GetGetCDSName(B58),"")</f>
        <v>BARCLAYS_MMR.EUR.SU</v>
      </c>
      <c r="D58" s="373">
        <v>0</v>
      </c>
      <c r="E58" s="406">
        <v>0</v>
      </c>
      <c r="F58" s="325">
        <v>0</v>
      </c>
      <c r="G58" s="325">
        <v>0</v>
      </c>
      <c r="H58" s="325">
        <v>1</v>
      </c>
      <c r="I58" s="325">
        <v>0</v>
      </c>
      <c r="J58" s="325">
        <v>0</v>
      </c>
      <c r="K58" s="325"/>
      <c r="L58" s="325"/>
      <c r="M58" s="325"/>
      <c r="N58" s="407"/>
      <c r="O58" s="300"/>
      <c r="P58" s="300"/>
      <c r="Q58" s="300"/>
      <c r="R58" s="300"/>
      <c r="S58" s="300"/>
      <c r="T58" s="300"/>
      <c r="U58" s="300"/>
      <c r="V58" s="300"/>
      <c r="W58" s="300"/>
      <c r="X58" s="300"/>
      <c r="Y58" s="300"/>
      <c r="Z58" s="300"/>
      <c r="AA58" s="300"/>
      <c r="AB58" s="300"/>
      <c r="AC58" s="300"/>
      <c r="AD58" s="300"/>
      <c r="AE58" s="300"/>
    </row>
    <row r="59" spans="2:31" ht="15">
      <c r="B59" s="405">
        <f t="shared" si="4"/>
        <v>14</v>
      </c>
      <c r="C59" s="413" t="str" cm="1">
        <f t="array" aca="1" ref="C59" ca="1">IF(B59&lt;=$C$9,GetGetCDSName(B59),"")</f>
        <v>BASF_MMR.EUR.SU</v>
      </c>
      <c r="D59" s="373">
        <v>0</v>
      </c>
      <c r="E59" s="406">
        <v>0</v>
      </c>
      <c r="F59" s="325">
        <v>0</v>
      </c>
      <c r="G59" s="325">
        <v>0</v>
      </c>
      <c r="H59" s="325">
        <v>1</v>
      </c>
      <c r="I59" s="325">
        <v>1</v>
      </c>
      <c r="J59" s="325">
        <v>0</v>
      </c>
      <c r="K59" s="325"/>
      <c r="L59" s="325"/>
      <c r="M59" s="325"/>
      <c r="N59" s="407"/>
      <c r="O59" s="300"/>
      <c r="P59" s="300"/>
      <c r="Q59" s="300"/>
      <c r="R59" s="300"/>
      <c r="S59" s="300"/>
      <c r="T59" s="300"/>
      <c r="U59" s="300"/>
      <c r="V59" s="300"/>
      <c r="W59" s="300"/>
      <c r="X59" s="300"/>
      <c r="Y59" s="300"/>
      <c r="Z59" s="300"/>
      <c r="AA59" s="300"/>
      <c r="AB59" s="300"/>
      <c r="AC59" s="300"/>
      <c r="AD59" s="300"/>
      <c r="AE59" s="300"/>
    </row>
    <row r="60" spans="2:31" ht="15">
      <c r="B60" s="405">
        <f t="shared" si="4"/>
        <v>15</v>
      </c>
      <c r="C60" s="413" t="str" cm="1">
        <f t="array" aca="1" ref="C60" ca="1">IF(B60&lt;=$C$9,GetGetCDSName(B60),"")</f>
        <v>BAT_MMR.EUR.SU</v>
      </c>
      <c r="D60" s="373">
        <v>0</v>
      </c>
      <c r="E60" s="406">
        <v>1</v>
      </c>
      <c r="F60" s="325">
        <v>0</v>
      </c>
      <c r="G60" s="325">
        <v>0</v>
      </c>
      <c r="H60" s="325">
        <v>1</v>
      </c>
      <c r="I60" s="325">
        <v>1</v>
      </c>
      <c r="J60" s="325">
        <v>0</v>
      </c>
      <c r="K60" s="325"/>
      <c r="L60" s="325"/>
      <c r="M60" s="325"/>
      <c r="N60" s="407"/>
      <c r="O60" s="300"/>
      <c r="P60" s="300"/>
      <c r="Q60" s="300"/>
      <c r="R60" s="300"/>
      <c r="S60" s="300"/>
      <c r="T60" s="300"/>
      <c r="U60" s="300"/>
      <c r="V60" s="300"/>
      <c r="W60" s="300"/>
      <c r="X60" s="300"/>
      <c r="Y60" s="300"/>
      <c r="Z60" s="300"/>
      <c r="AA60" s="300"/>
      <c r="AB60" s="300"/>
      <c r="AC60" s="300"/>
      <c r="AD60" s="300"/>
      <c r="AE60" s="300"/>
    </row>
    <row r="61" spans="2:31" ht="15">
      <c r="B61" s="405">
        <f t="shared" si="4"/>
        <v>16</v>
      </c>
      <c r="C61" s="413" t="str" cm="1">
        <f t="array" aca="1" ref="C61" ca="1">IF(B61&lt;=$C$9,GetGetCDSName(B61),"")</f>
        <v>BAYER_MMR.EUR.SU</v>
      </c>
      <c r="D61" s="373">
        <v>0</v>
      </c>
      <c r="E61" s="406">
        <v>0</v>
      </c>
      <c r="F61" s="325">
        <v>0</v>
      </c>
      <c r="G61" s="325">
        <v>0</v>
      </c>
      <c r="H61" s="325">
        <v>0</v>
      </c>
      <c r="I61" s="325">
        <v>1</v>
      </c>
      <c r="J61" s="325">
        <v>0</v>
      </c>
      <c r="K61" s="325"/>
      <c r="L61" s="325"/>
      <c r="M61" s="325"/>
      <c r="N61" s="407"/>
      <c r="O61" s="300"/>
      <c r="P61" s="300"/>
      <c r="Q61" s="300"/>
      <c r="R61" s="300"/>
      <c r="S61" s="300"/>
      <c r="T61" s="300"/>
      <c r="U61" s="300"/>
      <c r="V61" s="300"/>
      <c r="W61" s="300"/>
      <c r="X61" s="300"/>
      <c r="Y61" s="300"/>
      <c r="Z61" s="300"/>
      <c r="AA61" s="300"/>
      <c r="AB61" s="300"/>
      <c r="AC61" s="300"/>
      <c r="AD61" s="300"/>
      <c r="AE61" s="300"/>
    </row>
    <row r="62" spans="2:31" ht="15">
      <c r="B62" s="405">
        <f t="shared" si="4"/>
        <v>17</v>
      </c>
      <c r="C62" s="413" t="str" cm="1">
        <f t="array" aca="1" ref="C62" ca="1">IF(B62&lt;=$C$9,GetGetCDSName(B62),"")</f>
        <v>BBVA_MMR.EUR.SU</v>
      </c>
      <c r="D62" s="373">
        <v>0</v>
      </c>
      <c r="E62" s="406">
        <v>1</v>
      </c>
      <c r="F62" s="325">
        <v>0</v>
      </c>
      <c r="G62" s="325">
        <v>0</v>
      </c>
      <c r="H62" s="325">
        <v>0</v>
      </c>
      <c r="I62" s="325">
        <v>0</v>
      </c>
      <c r="J62" s="325">
        <v>0</v>
      </c>
      <c r="K62" s="325"/>
      <c r="L62" s="325"/>
      <c r="M62" s="325"/>
      <c r="N62" s="407"/>
      <c r="O62" s="300"/>
      <c r="P62" s="300"/>
      <c r="Q62" s="300"/>
      <c r="R62" s="300"/>
      <c r="S62" s="300"/>
      <c r="T62" s="300"/>
      <c r="U62" s="300"/>
      <c r="V62" s="300"/>
      <c r="W62" s="300"/>
      <c r="X62" s="300"/>
      <c r="Y62" s="300"/>
      <c r="Z62" s="300"/>
      <c r="AA62" s="300"/>
      <c r="AB62" s="300"/>
      <c r="AC62" s="300"/>
      <c r="AD62" s="300"/>
      <c r="AE62" s="300"/>
    </row>
    <row r="63" spans="2:31" ht="15">
      <c r="B63" s="405">
        <f t="shared" si="4"/>
        <v>18</v>
      </c>
      <c r="C63" s="413" t="str" cm="1">
        <f t="array" aca="1" ref="C63" ca="1">IF(B63&lt;=$C$9,GetGetCDSName(B63),"")</f>
        <v>BERTELSMANNAG_MMR.EUR.SU</v>
      </c>
      <c r="D63" s="373">
        <v>0</v>
      </c>
      <c r="E63" s="406">
        <v>0</v>
      </c>
      <c r="F63" s="325">
        <v>1</v>
      </c>
      <c r="G63" s="325">
        <v>0</v>
      </c>
      <c r="H63" s="325">
        <v>0</v>
      </c>
      <c r="I63" s="325">
        <v>0</v>
      </c>
      <c r="J63" s="325">
        <v>0</v>
      </c>
      <c r="K63" s="325"/>
      <c r="L63" s="325"/>
      <c r="M63" s="325"/>
      <c r="N63" s="407"/>
      <c r="O63" s="300"/>
      <c r="P63" s="300"/>
      <c r="Q63" s="300"/>
      <c r="R63" s="300"/>
      <c r="S63" s="300"/>
      <c r="T63" s="300"/>
      <c r="U63" s="300"/>
      <c r="V63" s="300"/>
      <c r="W63" s="300"/>
      <c r="X63" s="300"/>
      <c r="Y63" s="300"/>
      <c r="Z63" s="300"/>
      <c r="AA63" s="300"/>
      <c r="AB63" s="300"/>
      <c r="AC63" s="300"/>
      <c r="AD63" s="300"/>
      <c r="AE63" s="300"/>
    </row>
    <row r="64" spans="2:31" ht="15">
      <c r="B64" s="405">
        <f t="shared" si="4"/>
        <v>19</v>
      </c>
      <c r="C64" s="413" t="str" cm="1">
        <f t="array" aca="1" ref="C64" ca="1">IF(B64&lt;=$C$9,GetGetCDSName(B64),"")</f>
        <v>BMW_MMR.EUR.SU</v>
      </c>
      <c r="D64" s="373">
        <v>0</v>
      </c>
      <c r="E64" s="406">
        <v>0</v>
      </c>
      <c r="F64" s="325">
        <v>0</v>
      </c>
      <c r="G64" s="325">
        <v>1</v>
      </c>
      <c r="H64" s="325">
        <v>0</v>
      </c>
      <c r="I64" s="325">
        <v>0</v>
      </c>
      <c r="J64" s="325">
        <v>0</v>
      </c>
      <c r="K64" s="325"/>
      <c r="L64" s="325"/>
      <c r="M64" s="325"/>
      <c r="N64" s="407"/>
      <c r="O64" s="300"/>
      <c r="P64" s="300"/>
      <c r="Q64" s="300"/>
      <c r="R64" s="300"/>
      <c r="S64" s="300"/>
      <c r="T64" s="300"/>
      <c r="U64" s="300"/>
      <c r="V64" s="300"/>
      <c r="W64" s="300"/>
      <c r="X64" s="300"/>
      <c r="Y64" s="300"/>
      <c r="Z64" s="300"/>
      <c r="AA64" s="300"/>
      <c r="AB64" s="300"/>
      <c r="AC64" s="300"/>
      <c r="AD64" s="300"/>
      <c r="AE64" s="300"/>
    </row>
    <row r="65" spans="2:31" ht="15">
      <c r="B65" s="405">
        <f t="shared" si="4"/>
        <v>20</v>
      </c>
      <c r="C65" s="413" t="str" cm="1">
        <f t="array" aca="1" ref="C65" ca="1">IF(B65&lt;=$C$9,GetGetCDSName(B65),"")</f>
        <v>BNPPARIBAS_MMR.EUR.SU</v>
      </c>
      <c r="D65" s="373">
        <v>0</v>
      </c>
      <c r="E65" s="406">
        <v>1</v>
      </c>
      <c r="F65" s="325">
        <v>0</v>
      </c>
      <c r="G65" s="325">
        <v>1</v>
      </c>
      <c r="H65" s="325">
        <v>1</v>
      </c>
      <c r="I65" s="325">
        <v>0</v>
      </c>
      <c r="J65" s="325">
        <v>0</v>
      </c>
      <c r="K65" s="325"/>
      <c r="L65" s="325"/>
      <c r="M65" s="325"/>
      <c r="N65" s="407"/>
      <c r="O65" s="300"/>
      <c r="P65" s="300"/>
      <c r="Q65" s="300"/>
      <c r="R65" s="300"/>
      <c r="S65" s="300"/>
      <c r="T65" s="300"/>
      <c r="U65" s="300"/>
      <c r="V65" s="300"/>
      <c r="W65" s="300"/>
      <c r="X65" s="300"/>
      <c r="Y65" s="300"/>
      <c r="Z65" s="300"/>
      <c r="AA65" s="300"/>
      <c r="AB65" s="300"/>
      <c r="AC65" s="300"/>
      <c r="AD65" s="300"/>
      <c r="AE65" s="300"/>
    </row>
    <row r="66" spans="2:31" ht="15">
      <c r="B66" s="405">
        <f t="shared" si="4"/>
        <v>21</v>
      </c>
      <c r="C66" s="413" t="str" cm="1">
        <f t="array" aca="1" ref="C66" ca="1">IF(B66&lt;=$C$9,GetGetCDSName(B66),"")</f>
        <v>BRITISHTELECOM_MMR.EUR.SU</v>
      </c>
      <c r="D66" s="373">
        <v>0</v>
      </c>
      <c r="E66" s="406">
        <v>0</v>
      </c>
      <c r="F66" s="325">
        <v>1</v>
      </c>
      <c r="G66" s="325">
        <v>1</v>
      </c>
      <c r="H66" s="325">
        <v>0</v>
      </c>
      <c r="I66" s="325">
        <v>0</v>
      </c>
      <c r="J66" s="325">
        <v>1</v>
      </c>
      <c r="K66" s="325"/>
      <c r="L66" s="325"/>
      <c r="M66" s="325"/>
      <c r="N66" s="407"/>
      <c r="O66" s="300"/>
      <c r="P66" s="300"/>
      <c r="Q66" s="300"/>
      <c r="R66" s="300"/>
      <c r="S66" s="300"/>
      <c r="T66" s="300"/>
      <c r="U66" s="300"/>
      <c r="V66" s="300"/>
      <c r="W66" s="300"/>
      <c r="X66" s="300"/>
      <c r="Y66" s="300"/>
      <c r="Z66" s="300"/>
      <c r="AA66" s="300"/>
      <c r="AB66" s="300"/>
      <c r="AC66" s="300"/>
      <c r="AD66" s="300"/>
      <c r="AE66" s="300"/>
    </row>
    <row r="67" spans="2:31" ht="15">
      <c r="B67" s="405">
        <f t="shared" si="4"/>
        <v>22</v>
      </c>
      <c r="C67" s="413" t="str" cm="1">
        <f t="array" aca="1" ref="C67" ca="1">IF(B67&lt;=$C$9,GetGetCDSName(B67),"")</f>
        <v>BSCH_MMR.EUR.SU</v>
      </c>
      <c r="D67" s="373">
        <v>0</v>
      </c>
      <c r="E67" s="406">
        <v>0</v>
      </c>
      <c r="F67" s="325">
        <v>0</v>
      </c>
      <c r="G67" s="325">
        <v>1</v>
      </c>
      <c r="H67" s="325">
        <v>0</v>
      </c>
      <c r="I67" s="325">
        <v>0</v>
      </c>
      <c r="J67" s="325">
        <v>1</v>
      </c>
      <c r="K67" s="325"/>
      <c r="L67" s="325"/>
      <c r="M67" s="325"/>
      <c r="N67" s="407"/>
      <c r="O67" s="300"/>
      <c r="P67" s="300"/>
      <c r="Q67" s="300"/>
      <c r="R67" s="300"/>
      <c r="S67" s="300"/>
      <c r="T67" s="300"/>
      <c r="U67" s="300"/>
      <c r="V67" s="300"/>
      <c r="W67" s="300"/>
      <c r="X67" s="300"/>
      <c r="Y67" s="300"/>
      <c r="Z67" s="300"/>
      <c r="AA67" s="300"/>
      <c r="AB67" s="300"/>
      <c r="AC67" s="300"/>
      <c r="AD67" s="300"/>
      <c r="AE67" s="300"/>
    </row>
    <row r="68" spans="2:31" ht="15">
      <c r="B68" s="405">
        <f t="shared" si="4"/>
        <v>23</v>
      </c>
      <c r="C68" s="413" t="str" cm="1">
        <f t="array" aca="1" ref="C68" ca="1">IF(B68&lt;=$C$9,GetGetCDSName(B68),"")</f>
        <v>CADBURYSCHWEPPES_MMR.EUR.SU</v>
      </c>
      <c r="D68" s="373">
        <v>0</v>
      </c>
      <c r="E68" s="406">
        <v>0</v>
      </c>
      <c r="F68" s="325">
        <v>0</v>
      </c>
      <c r="G68" s="325">
        <v>0</v>
      </c>
      <c r="H68" s="325">
        <v>0</v>
      </c>
      <c r="I68" s="325">
        <v>0</v>
      </c>
      <c r="J68" s="325">
        <v>1</v>
      </c>
      <c r="K68" s="325"/>
      <c r="L68" s="325"/>
      <c r="M68" s="325"/>
      <c r="N68" s="407"/>
      <c r="O68" s="300"/>
      <c r="P68" s="300"/>
      <c r="Q68" s="300"/>
      <c r="R68" s="300"/>
      <c r="S68" s="300"/>
      <c r="T68" s="300"/>
      <c r="U68" s="300"/>
      <c r="V68" s="300"/>
      <c r="W68" s="300"/>
      <c r="X68" s="300"/>
      <c r="Y68" s="300"/>
      <c r="Z68" s="300"/>
      <c r="AA68" s="300"/>
      <c r="AB68" s="300"/>
      <c r="AC68" s="300"/>
      <c r="AD68" s="300"/>
      <c r="AE68" s="300"/>
    </row>
    <row r="69" spans="2:31" ht="15">
      <c r="B69" s="405">
        <f t="shared" si="4"/>
        <v>24</v>
      </c>
      <c r="C69" s="413" t="str" cm="1">
        <f t="array" aca="1" ref="C69" ca="1">IF(B69&lt;=$C$9,GetGetCDSName(B69),"")</f>
        <v>CAPITALIA_MMR.EUR.SU</v>
      </c>
      <c r="D69" s="373">
        <v>0</v>
      </c>
      <c r="E69" s="406">
        <v>0</v>
      </c>
      <c r="F69" s="325">
        <v>1</v>
      </c>
      <c r="G69" s="325">
        <v>1</v>
      </c>
      <c r="H69" s="325">
        <v>0</v>
      </c>
      <c r="I69" s="325">
        <v>0</v>
      </c>
      <c r="J69" s="325">
        <v>0</v>
      </c>
      <c r="K69" s="325"/>
      <c r="L69" s="325"/>
      <c r="M69" s="325"/>
      <c r="N69" s="407"/>
      <c r="O69" s="300"/>
      <c r="P69" s="300"/>
      <c r="Q69" s="300"/>
      <c r="R69" s="300"/>
      <c r="S69" s="300"/>
      <c r="T69" s="300"/>
      <c r="U69" s="300"/>
      <c r="V69" s="300"/>
      <c r="W69" s="300"/>
      <c r="X69" s="300"/>
      <c r="Y69" s="300"/>
      <c r="Z69" s="300"/>
      <c r="AA69" s="300"/>
      <c r="AB69" s="300"/>
      <c r="AC69" s="300"/>
      <c r="AD69" s="300"/>
      <c r="AE69" s="300"/>
    </row>
    <row r="70" spans="2:31" ht="15">
      <c r="B70" s="405">
        <f t="shared" si="4"/>
        <v>25</v>
      </c>
      <c r="C70" s="413" t="str" cm="1">
        <f t="array" aca="1" ref="C70" ca="1">IF(B70&lt;=$C$9,GetGetCDSName(B70),"")</f>
        <v>CARREFOUR_MMR.EUR.SU</v>
      </c>
      <c r="D70" s="373">
        <v>0</v>
      </c>
      <c r="E70" s="406">
        <v>0</v>
      </c>
      <c r="F70" s="325">
        <v>0</v>
      </c>
      <c r="G70" s="325">
        <v>0</v>
      </c>
      <c r="H70" s="325">
        <v>0</v>
      </c>
      <c r="I70" s="325">
        <v>1</v>
      </c>
      <c r="J70" s="325">
        <v>0</v>
      </c>
      <c r="K70" s="325"/>
      <c r="L70" s="325"/>
      <c r="M70" s="325"/>
      <c r="N70" s="407"/>
      <c r="O70" s="300"/>
      <c r="P70" s="300"/>
      <c r="Q70" s="300"/>
      <c r="R70" s="300"/>
      <c r="S70" s="300"/>
      <c r="T70" s="300"/>
      <c r="U70" s="300"/>
      <c r="V70" s="300"/>
      <c r="W70" s="300"/>
      <c r="X70" s="300"/>
      <c r="Y70" s="300"/>
      <c r="Z70" s="300"/>
      <c r="AA70" s="300"/>
      <c r="AB70" s="300"/>
      <c r="AC70" s="300"/>
      <c r="AD70" s="300"/>
      <c r="AE70" s="300"/>
    </row>
    <row r="71" spans="2:31" ht="15">
      <c r="B71" s="405">
        <f t="shared" si="4"/>
        <v>26</v>
      </c>
      <c r="C71" s="413" t="str" cm="1">
        <f t="array" aca="1" ref="C71" ca="1">IF(B71&lt;=$C$9,GetGetCDSName(B71),"")</f>
        <v>CASINOGUICHARD_MMR.EUR.SU</v>
      </c>
      <c r="D71" s="373">
        <v>0</v>
      </c>
      <c r="E71" s="406">
        <v>1</v>
      </c>
      <c r="F71" s="325">
        <v>0</v>
      </c>
      <c r="G71" s="325">
        <v>0</v>
      </c>
      <c r="H71" s="325">
        <v>0</v>
      </c>
      <c r="I71" s="325">
        <v>1</v>
      </c>
      <c r="J71" s="325">
        <v>1</v>
      </c>
      <c r="K71" s="325"/>
      <c r="L71" s="325"/>
      <c r="M71" s="325"/>
      <c r="N71" s="407"/>
      <c r="O71" s="300"/>
      <c r="P71" s="300"/>
      <c r="Q71" s="300"/>
      <c r="R71" s="300"/>
      <c r="S71" s="300"/>
      <c r="T71" s="300"/>
      <c r="U71" s="300"/>
      <c r="V71" s="300"/>
      <c r="W71" s="300"/>
      <c r="X71" s="300"/>
      <c r="Y71" s="300"/>
      <c r="Z71" s="300"/>
      <c r="AA71" s="300"/>
      <c r="AB71" s="300"/>
      <c r="AC71" s="300"/>
      <c r="AD71" s="300"/>
      <c r="AE71" s="300"/>
    </row>
    <row r="72" spans="2:31" ht="15">
      <c r="B72" s="405">
        <f t="shared" si="4"/>
        <v>27</v>
      </c>
      <c r="C72" s="413" t="str" cm="1">
        <f t="array" aca="1" ref="C72" ca="1">IF(B72&lt;=$C$9,GetGetCDSName(B72),"")</f>
        <v>CENTRICA_MMR.EUR.SU</v>
      </c>
      <c r="D72" s="373">
        <v>0</v>
      </c>
      <c r="E72" s="406">
        <v>0</v>
      </c>
      <c r="F72" s="325">
        <v>1</v>
      </c>
      <c r="G72" s="325">
        <v>0</v>
      </c>
      <c r="H72" s="325">
        <v>1</v>
      </c>
      <c r="I72" s="325">
        <v>0</v>
      </c>
      <c r="J72" s="325">
        <v>0</v>
      </c>
      <c r="K72" s="325"/>
      <c r="L72" s="325"/>
      <c r="M72" s="325"/>
      <c r="N72" s="407"/>
      <c r="O72" s="300"/>
      <c r="P72" s="300"/>
      <c r="Q72" s="300"/>
      <c r="R72" s="300"/>
      <c r="S72" s="300"/>
      <c r="T72" s="300"/>
      <c r="U72" s="300"/>
      <c r="V72" s="300"/>
      <c r="W72" s="300"/>
      <c r="X72" s="300"/>
      <c r="Y72" s="300"/>
      <c r="Z72" s="300"/>
      <c r="AA72" s="300"/>
      <c r="AB72" s="300"/>
      <c r="AC72" s="300"/>
      <c r="AD72" s="300"/>
      <c r="AE72" s="300"/>
    </row>
    <row r="73" spans="2:31" ht="15">
      <c r="B73" s="405">
        <f t="shared" si="4"/>
        <v>28</v>
      </c>
      <c r="C73" s="413" t="str" cm="1">
        <f t="array" aca="1" ref="C73" ca="1">IF(B73&lt;=$C$9,GetGetCDSName(B73),"")</f>
        <v>CIBASC_MMR.EUR.SU</v>
      </c>
      <c r="D73" s="373">
        <v>0</v>
      </c>
      <c r="E73" s="406">
        <v>1</v>
      </c>
      <c r="F73" s="325">
        <v>0</v>
      </c>
      <c r="G73" s="325">
        <v>0</v>
      </c>
      <c r="H73" s="325">
        <v>0</v>
      </c>
      <c r="I73" s="325">
        <v>0</v>
      </c>
      <c r="J73" s="325">
        <v>1</v>
      </c>
      <c r="K73" s="325"/>
      <c r="L73" s="325"/>
      <c r="M73" s="325"/>
      <c r="N73" s="407"/>
      <c r="O73" s="300"/>
      <c r="P73" s="300"/>
      <c r="Q73" s="300"/>
      <c r="R73" s="300"/>
      <c r="S73" s="300"/>
      <c r="T73" s="300"/>
      <c r="U73" s="300"/>
      <c r="V73" s="300"/>
      <c r="W73" s="300"/>
      <c r="X73" s="300"/>
      <c r="Y73" s="300"/>
      <c r="Z73" s="300"/>
      <c r="AA73" s="300"/>
      <c r="AB73" s="300"/>
      <c r="AC73" s="300"/>
      <c r="AD73" s="300"/>
      <c r="AE73" s="300"/>
    </row>
    <row r="74" spans="2:31" ht="15">
      <c r="B74" s="405">
        <f t="shared" si="4"/>
        <v>29</v>
      </c>
      <c r="C74" s="413" t="str" cm="1">
        <f t="array" aca="1" ref="C74" ca="1">IF(B74&lt;=$C$9,GetGetCDSName(B74),"")</f>
        <v>COMMERZBANK_MMR.EUR.SU</v>
      </c>
      <c r="D74" s="373">
        <v>0</v>
      </c>
      <c r="E74" s="406">
        <v>1</v>
      </c>
      <c r="F74" s="325">
        <v>0</v>
      </c>
      <c r="G74" s="325">
        <v>0</v>
      </c>
      <c r="H74" s="325">
        <v>0</v>
      </c>
      <c r="I74" s="325">
        <v>0</v>
      </c>
      <c r="J74" s="325">
        <v>0</v>
      </c>
      <c r="K74" s="325"/>
      <c r="L74" s="325"/>
      <c r="M74" s="325"/>
      <c r="N74" s="407"/>
      <c r="O74" s="300"/>
      <c r="P74" s="300"/>
      <c r="Q74" s="300"/>
      <c r="R74" s="300"/>
      <c r="S74" s="300"/>
      <c r="T74" s="300"/>
      <c r="U74" s="300"/>
      <c r="V74" s="300"/>
      <c r="W74" s="300"/>
      <c r="X74" s="300"/>
      <c r="Y74" s="300"/>
      <c r="Z74" s="300"/>
      <c r="AA74" s="300"/>
      <c r="AB74" s="300"/>
      <c r="AC74" s="300"/>
      <c r="AD74" s="300"/>
      <c r="AE74" s="300"/>
    </row>
    <row r="75" spans="2:31" ht="15">
      <c r="B75" s="405">
        <f t="shared" si="4"/>
        <v>30</v>
      </c>
      <c r="C75" s="413" t="str" cm="1">
        <f t="array" aca="1" ref="C75" ca="1">IF(B75&lt;=$C$9,GetGetCDSName(B75),"")</f>
        <v>COMPASS_MMR.EUR.SU</v>
      </c>
      <c r="D75" s="373">
        <v>0</v>
      </c>
      <c r="E75" s="406">
        <v>0</v>
      </c>
      <c r="F75" s="325">
        <v>1</v>
      </c>
      <c r="G75" s="325">
        <v>0</v>
      </c>
      <c r="H75" s="325">
        <v>0</v>
      </c>
      <c r="I75" s="325">
        <v>1</v>
      </c>
      <c r="J75" s="325">
        <v>1</v>
      </c>
      <c r="K75" s="325"/>
      <c r="L75" s="325"/>
      <c r="M75" s="325"/>
      <c r="N75" s="407"/>
      <c r="O75" s="300"/>
      <c r="P75" s="300"/>
      <c r="Q75" s="300"/>
      <c r="R75" s="300"/>
      <c r="S75" s="300"/>
      <c r="T75" s="300"/>
      <c r="U75" s="300"/>
      <c r="V75" s="300"/>
      <c r="W75" s="300"/>
      <c r="X75" s="300"/>
      <c r="Y75" s="300"/>
      <c r="Z75" s="300"/>
      <c r="AA75" s="300"/>
      <c r="AB75" s="300"/>
      <c r="AC75" s="300"/>
      <c r="AD75" s="300"/>
      <c r="AE75" s="300"/>
    </row>
    <row r="76" spans="2:31" ht="15">
      <c r="B76" s="405">
        <f t="shared" si="4"/>
        <v>31</v>
      </c>
      <c r="C76" s="413" t="str" cm="1">
        <f t="array" aca="1" ref="C76" ca="1">IF(B76&lt;=$C$9,GetGetCDSName(B76),"")</f>
        <v>CONTINENTAL_MMR.EUR.SU</v>
      </c>
      <c r="D76" s="373">
        <v>0</v>
      </c>
      <c r="E76" s="406">
        <v>0</v>
      </c>
      <c r="F76" s="325">
        <v>0</v>
      </c>
      <c r="G76" s="325">
        <v>1</v>
      </c>
      <c r="H76" s="325">
        <v>1</v>
      </c>
      <c r="I76" s="325">
        <v>0</v>
      </c>
      <c r="J76" s="325">
        <v>1</v>
      </c>
      <c r="K76" s="325"/>
      <c r="L76" s="325"/>
      <c r="M76" s="325"/>
      <c r="N76" s="407"/>
      <c r="O76" s="300"/>
      <c r="P76" s="300"/>
      <c r="Q76" s="300"/>
      <c r="R76" s="300"/>
      <c r="S76" s="300"/>
      <c r="T76" s="300"/>
      <c r="U76" s="300"/>
      <c r="V76" s="300"/>
      <c r="W76" s="300"/>
      <c r="X76" s="300"/>
      <c r="Y76" s="300"/>
      <c r="Z76" s="300"/>
      <c r="AA76" s="300"/>
      <c r="AB76" s="300"/>
      <c r="AC76" s="300"/>
      <c r="AD76" s="300"/>
      <c r="AE76" s="300"/>
    </row>
    <row r="77" spans="2:31" ht="15">
      <c r="B77" s="405">
        <f t="shared" si="4"/>
        <v>32</v>
      </c>
      <c r="C77" s="413" t="str" cm="1">
        <f t="array" aca="1" ref="C77" ca="1">IF(B77&lt;=$C$9,GetGetCDSName(B77),"")</f>
        <v>CREDITAGRICOLE_MMR.EUR.SU</v>
      </c>
      <c r="D77" s="373">
        <v>0</v>
      </c>
      <c r="E77" s="406">
        <v>0</v>
      </c>
      <c r="F77" s="325">
        <v>0</v>
      </c>
      <c r="G77" s="325">
        <v>1</v>
      </c>
      <c r="H77" s="325">
        <v>0</v>
      </c>
      <c r="I77" s="325">
        <v>0</v>
      </c>
      <c r="J77" s="325">
        <v>1</v>
      </c>
      <c r="K77" s="325"/>
      <c r="L77" s="325"/>
      <c r="M77" s="325"/>
      <c r="N77" s="407"/>
      <c r="O77" s="300"/>
      <c r="P77" s="300"/>
      <c r="Q77" s="300"/>
      <c r="R77" s="300"/>
      <c r="S77" s="300"/>
      <c r="T77" s="300"/>
      <c r="U77" s="300"/>
      <c r="V77" s="300"/>
      <c r="W77" s="300"/>
      <c r="X77" s="300"/>
      <c r="Y77" s="300"/>
      <c r="Z77" s="300"/>
      <c r="AA77" s="300"/>
      <c r="AB77" s="300"/>
      <c r="AC77" s="300"/>
      <c r="AD77" s="300"/>
      <c r="AE77" s="300"/>
    </row>
    <row r="78" spans="2:31" ht="15">
      <c r="B78" s="405">
        <f t="shared" si="4"/>
        <v>33</v>
      </c>
      <c r="C78" s="413" t="str" cm="1">
        <f t="array" aca="1" ref="C78" ca="1">IF(B78&lt;=$C$9,GetGetCDSName(B78),"")</f>
        <v>CREDITSUISSEGROUP_MMR.EUR.SU</v>
      </c>
      <c r="D78" s="373">
        <v>0</v>
      </c>
      <c r="E78" s="406">
        <v>1</v>
      </c>
      <c r="F78" s="325">
        <v>0</v>
      </c>
      <c r="G78" s="325">
        <v>0</v>
      </c>
      <c r="H78" s="325">
        <v>1</v>
      </c>
      <c r="I78" s="325">
        <v>0</v>
      </c>
      <c r="J78" s="325">
        <v>0</v>
      </c>
      <c r="K78" s="325"/>
      <c r="L78" s="325"/>
      <c r="M78" s="325"/>
      <c r="N78" s="407"/>
      <c r="O78" s="300"/>
      <c r="P78" s="300"/>
      <c r="Q78" s="300"/>
      <c r="R78" s="300"/>
      <c r="S78" s="300"/>
      <c r="T78" s="300"/>
      <c r="U78" s="300"/>
      <c r="V78" s="300"/>
      <c r="W78" s="300"/>
      <c r="X78" s="300"/>
      <c r="Y78" s="300"/>
      <c r="Z78" s="300"/>
      <c r="AA78" s="300"/>
      <c r="AB78" s="300"/>
      <c r="AC78" s="300"/>
      <c r="AD78" s="300"/>
      <c r="AE78" s="300"/>
    </row>
    <row r="79" spans="2:31" ht="15">
      <c r="B79" s="405">
        <f t="shared" si="4"/>
        <v>34</v>
      </c>
      <c r="C79" s="413" t="str" cm="1">
        <f t="array" aca="1" ref="C79" ca="1">IF(B79&lt;=$C$9,GetGetCDSName(B79),"")</f>
        <v>DAIMLERCHRYSLER_MMR.EUR.SU</v>
      </c>
      <c r="D79" s="373">
        <v>0</v>
      </c>
      <c r="E79" s="406">
        <v>1</v>
      </c>
      <c r="F79" s="325">
        <v>0</v>
      </c>
      <c r="G79" s="325">
        <v>1</v>
      </c>
      <c r="H79" s="325">
        <v>0</v>
      </c>
      <c r="I79" s="325">
        <v>0</v>
      </c>
      <c r="J79" s="325">
        <v>1</v>
      </c>
      <c r="K79" s="325"/>
      <c r="L79" s="325"/>
      <c r="M79" s="325"/>
      <c r="N79" s="407"/>
      <c r="O79" s="300"/>
      <c r="P79" s="300"/>
      <c r="Q79" s="300"/>
      <c r="R79" s="300"/>
      <c r="S79" s="300"/>
      <c r="T79" s="300"/>
      <c r="U79" s="300"/>
      <c r="V79" s="300"/>
      <c r="W79" s="300"/>
      <c r="X79" s="300"/>
      <c r="Y79" s="300"/>
      <c r="Z79" s="300"/>
      <c r="AA79" s="300"/>
      <c r="AB79" s="300"/>
      <c r="AC79" s="300"/>
      <c r="AD79" s="300"/>
      <c r="AE79" s="300"/>
    </row>
    <row r="80" spans="2:31" ht="15">
      <c r="B80" s="405">
        <f t="shared" si="4"/>
        <v>35</v>
      </c>
      <c r="C80" s="413" t="str" cm="1">
        <f t="array" aca="1" ref="C80" ca="1">IF(B80&lt;=$C$9,GetGetCDSName(B80),"")</f>
        <v>DANONE_MMR.EUR.SU</v>
      </c>
      <c r="D80" s="373">
        <v>0</v>
      </c>
      <c r="E80" s="406">
        <v>0</v>
      </c>
      <c r="F80" s="325">
        <v>1</v>
      </c>
      <c r="G80" s="325">
        <v>1</v>
      </c>
      <c r="H80" s="325">
        <v>1</v>
      </c>
      <c r="I80" s="325">
        <v>0</v>
      </c>
      <c r="J80" s="325">
        <v>0</v>
      </c>
      <c r="K80" s="325"/>
      <c r="L80" s="325"/>
      <c r="M80" s="325"/>
      <c r="N80" s="407"/>
      <c r="O80" s="300"/>
      <c r="P80" s="300"/>
      <c r="Q80" s="300"/>
      <c r="R80" s="300"/>
      <c r="S80" s="300"/>
      <c r="T80" s="300"/>
      <c r="U80" s="300"/>
      <c r="V80" s="300"/>
      <c r="W80" s="300"/>
      <c r="X80" s="300"/>
      <c r="Y80" s="300"/>
      <c r="Z80" s="300"/>
      <c r="AA80" s="300"/>
      <c r="AB80" s="300"/>
      <c r="AC80" s="300"/>
      <c r="AD80" s="300"/>
      <c r="AE80" s="300"/>
    </row>
    <row r="81" spans="2:31" ht="15">
      <c r="B81" s="405">
        <f t="shared" si="4"/>
        <v>36</v>
      </c>
      <c r="C81" s="413" t="str" cm="1">
        <f t="array" aca="1" ref="C81" ca="1">IF(B81&lt;=$C$9,GetGetCDSName(B81),"")</f>
        <v>DEUTSCHEBANK_MMR.EUR.SU</v>
      </c>
      <c r="D81" s="373">
        <v>0</v>
      </c>
      <c r="E81" s="406">
        <v>0</v>
      </c>
      <c r="F81" s="325">
        <v>1</v>
      </c>
      <c r="G81" s="325">
        <v>0</v>
      </c>
      <c r="H81" s="325">
        <v>0</v>
      </c>
      <c r="I81" s="325">
        <v>1</v>
      </c>
      <c r="J81" s="325">
        <v>0</v>
      </c>
      <c r="K81" s="325"/>
      <c r="L81" s="325"/>
      <c r="M81" s="325"/>
      <c r="N81" s="407"/>
      <c r="O81" s="300"/>
      <c r="P81" s="300"/>
      <c r="Q81" s="300"/>
      <c r="R81" s="300"/>
      <c r="S81" s="300"/>
      <c r="T81" s="300"/>
      <c r="U81" s="300"/>
      <c r="V81" s="300"/>
      <c r="W81" s="300"/>
      <c r="X81" s="300"/>
      <c r="Y81" s="300"/>
      <c r="Z81" s="300"/>
      <c r="AA81" s="300"/>
      <c r="AB81" s="300"/>
      <c r="AC81" s="300"/>
      <c r="AD81" s="300"/>
      <c r="AE81" s="300"/>
    </row>
    <row r="82" spans="2:31" ht="15">
      <c r="B82" s="405">
        <f t="shared" si="4"/>
        <v>37</v>
      </c>
      <c r="C82" s="413" t="str" cm="1">
        <f t="array" aca="1" ref="C82" ca="1">IF(B82&lt;=$C$9,GetGetCDSName(B82),"")</f>
        <v>DEUTSCHEPOSTAG_MMR.EUR.SU</v>
      </c>
      <c r="D82" s="373">
        <v>0</v>
      </c>
      <c r="E82" s="406">
        <v>0</v>
      </c>
      <c r="F82" s="325">
        <v>0</v>
      </c>
      <c r="G82" s="325">
        <v>1</v>
      </c>
      <c r="H82" s="325">
        <v>0</v>
      </c>
      <c r="I82" s="325">
        <v>1</v>
      </c>
      <c r="J82" s="325">
        <v>0</v>
      </c>
      <c r="K82" s="325"/>
      <c r="L82" s="325"/>
      <c r="M82" s="325"/>
      <c r="N82" s="407"/>
      <c r="O82" s="300"/>
      <c r="P82" s="300"/>
      <c r="Q82" s="300"/>
      <c r="R82" s="300"/>
      <c r="S82" s="300"/>
      <c r="T82" s="300"/>
      <c r="U82" s="300"/>
      <c r="V82" s="300"/>
      <c r="W82" s="300"/>
      <c r="X82" s="300"/>
      <c r="Y82" s="300"/>
      <c r="Z82" s="300"/>
      <c r="AA82" s="300"/>
      <c r="AB82" s="300"/>
      <c r="AC82" s="300"/>
      <c r="AD82" s="300"/>
      <c r="AE82" s="300"/>
    </row>
    <row r="83" spans="2:31" ht="15">
      <c r="B83" s="405">
        <f t="shared" si="4"/>
        <v>38</v>
      </c>
      <c r="C83" s="413" t="str" cm="1">
        <f t="array" aca="1" ref="C83" ca="1">IF(B83&lt;=$C$9,GetGetCDSName(B83),"")</f>
        <v>DEUTSCHETELEKOM_MMR.EUR.SU</v>
      </c>
      <c r="D83" s="373">
        <v>0</v>
      </c>
      <c r="E83" s="406">
        <v>0</v>
      </c>
      <c r="F83" s="325">
        <v>1</v>
      </c>
      <c r="G83" s="325">
        <v>0</v>
      </c>
      <c r="H83" s="325">
        <v>0</v>
      </c>
      <c r="I83" s="325">
        <v>0</v>
      </c>
      <c r="J83" s="325">
        <v>1</v>
      </c>
      <c r="K83" s="325"/>
      <c r="L83" s="325"/>
      <c r="M83" s="325"/>
      <c r="N83" s="407"/>
      <c r="O83" s="300"/>
      <c r="P83" s="300"/>
      <c r="Q83" s="300"/>
      <c r="R83" s="300"/>
      <c r="S83" s="300"/>
      <c r="T83" s="300"/>
      <c r="U83" s="300"/>
      <c r="V83" s="300"/>
      <c r="W83" s="300"/>
      <c r="X83" s="300"/>
      <c r="Y83" s="300"/>
      <c r="Z83" s="300"/>
      <c r="AA83" s="300"/>
      <c r="AB83" s="300"/>
      <c r="AC83" s="300"/>
      <c r="AD83" s="300"/>
      <c r="AE83" s="300"/>
    </row>
    <row r="84" spans="2:31" ht="15">
      <c r="B84" s="405">
        <f t="shared" si="4"/>
        <v>39</v>
      </c>
      <c r="C84" s="413" t="str" cm="1">
        <f t="array" aca="1" ref="C84" ca="1">IF(B84&lt;=$C$9,GetGetCDSName(B84),"")</f>
        <v>DIAGEO_MMR.EUR.SU</v>
      </c>
      <c r="D84" s="373">
        <v>0</v>
      </c>
      <c r="E84" s="406">
        <v>1</v>
      </c>
      <c r="F84" s="325">
        <v>0</v>
      </c>
      <c r="G84" s="325">
        <v>0</v>
      </c>
      <c r="H84" s="325">
        <v>0</v>
      </c>
      <c r="I84" s="325">
        <v>1</v>
      </c>
      <c r="J84" s="325">
        <v>0</v>
      </c>
      <c r="K84" s="325"/>
      <c r="L84" s="325"/>
      <c r="M84" s="325"/>
      <c r="N84" s="407"/>
      <c r="O84" s="300"/>
      <c r="P84" s="300"/>
      <c r="Q84" s="300"/>
      <c r="R84" s="300"/>
      <c r="S84" s="300"/>
      <c r="T84" s="300"/>
      <c r="U84" s="300"/>
      <c r="V84" s="300"/>
      <c r="W84" s="300"/>
      <c r="X84" s="300"/>
      <c r="Y84" s="300"/>
      <c r="Z84" s="300"/>
      <c r="AA84" s="300"/>
      <c r="AB84" s="300"/>
      <c r="AC84" s="300"/>
      <c r="AD84" s="300"/>
      <c r="AE84" s="300"/>
    </row>
    <row r="85" spans="2:31" ht="15">
      <c r="B85" s="405">
        <f t="shared" si="4"/>
        <v>40</v>
      </c>
      <c r="C85" s="413" t="str" cm="1">
        <f t="array" aca="1" ref="C85" ca="1">IF(B85&lt;=$C$9,GetGetCDSName(B85),"")</f>
        <v>DIXONSGROUPPLC_MMR.EUR.SU</v>
      </c>
      <c r="D85" s="373">
        <v>0</v>
      </c>
      <c r="E85" s="406">
        <v>0</v>
      </c>
      <c r="F85" s="325">
        <v>0</v>
      </c>
      <c r="G85" s="325">
        <v>0</v>
      </c>
      <c r="H85" s="325">
        <v>1</v>
      </c>
      <c r="I85" s="325">
        <v>1</v>
      </c>
      <c r="J85" s="325">
        <v>1</v>
      </c>
      <c r="K85" s="325"/>
      <c r="L85" s="325"/>
      <c r="M85" s="325"/>
      <c r="N85" s="407"/>
      <c r="O85" s="300"/>
      <c r="P85" s="300"/>
      <c r="Q85" s="300"/>
      <c r="R85" s="300"/>
      <c r="S85" s="300"/>
      <c r="T85" s="300"/>
      <c r="U85" s="300"/>
      <c r="V85" s="300"/>
      <c r="W85" s="300"/>
      <c r="X85" s="300"/>
      <c r="Y85" s="300"/>
      <c r="Z85" s="300"/>
      <c r="AA85" s="300"/>
      <c r="AB85" s="300"/>
      <c r="AC85" s="300"/>
      <c r="AD85" s="300"/>
      <c r="AE85" s="300"/>
    </row>
    <row r="86" spans="2:31" ht="15">
      <c r="B86" s="405">
        <f t="shared" si="4"/>
        <v>41</v>
      </c>
      <c r="C86" s="413" t="str" cm="1">
        <f t="array" aca="1" ref="C86" ca="1">IF(B86&lt;=$C$9,GetGetCDSName(B86),"")</f>
        <v>DSM_MMR.EUR.SU</v>
      </c>
      <c r="D86" s="373">
        <v>0</v>
      </c>
      <c r="E86" s="406">
        <v>0</v>
      </c>
      <c r="F86" s="325">
        <v>0</v>
      </c>
      <c r="G86" s="325">
        <v>0</v>
      </c>
      <c r="H86" s="325">
        <v>1</v>
      </c>
      <c r="I86" s="325">
        <v>0</v>
      </c>
      <c r="J86" s="325">
        <v>1</v>
      </c>
      <c r="K86" s="325"/>
      <c r="L86" s="325"/>
      <c r="M86" s="325"/>
      <c r="N86" s="407"/>
      <c r="O86" s="300"/>
      <c r="P86" s="300"/>
      <c r="Q86" s="300"/>
      <c r="R86" s="300"/>
      <c r="S86" s="300"/>
      <c r="T86" s="300"/>
      <c r="U86" s="300"/>
      <c r="V86" s="300"/>
      <c r="W86" s="300"/>
      <c r="X86" s="300"/>
      <c r="Y86" s="300"/>
      <c r="Z86" s="300"/>
      <c r="AA86" s="300"/>
      <c r="AB86" s="300"/>
      <c r="AC86" s="300"/>
      <c r="AD86" s="300"/>
      <c r="AE86" s="300"/>
    </row>
    <row r="87" spans="2:31" ht="15">
      <c r="B87" s="405">
        <f t="shared" si="4"/>
        <v>42</v>
      </c>
      <c r="C87" s="413" t="str" cm="1">
        <f t="array" aca="1" ref="C87" ca="1">IF(B87&lt;=$C$9,GetGetCDSName(B87),"")</f>
        <v>EADS_MMR.EUR.SU</v>
      </c>
      <c r="D87" s="373">
        <v>0</v>
      </c>
      <c r="E87" s="406">
        <v>1</v>
      </c>
      <c r="F87" s="325">
        <v>0</v>
      </c>
      <c r="G87" s="325">
        <v>1</v>
      </c>
      <c r="H87" s="325">
        <v>0</v>
      </c>
      <c r="I87" s="325">
        <v>0</v>
      </c>
      <c r="J87" s="325">
        <v>0</v>
      </c>
      <c r="K87" s="325"/>
      <c r="L87" s="325"/>
      <c r="M87" s="325"/>
      <c r="N87" s="407"/>
      <c r="O87" s="300"/>
      <c r="P87" s="300"/>
      <c r="Q87" s="300"/>
      <c r="R87" s="300"/>
      <c r="S87" s="300"/>
      <c r="T87" s="300"/>
      <c r="U87" s="300"/>
      <c r="V87" s="300"/>
      <c r="W87" s="300"/>
      <c r="X87" s="300"/>
      <c r="Y87" s="300"/>
      <c r="Z87" s="300"/>
      <c r="AA87" s="300"/>
      <c r="AB87" s="300"/>
      <c r="AC87" s="300"/>
      <c r="AD87" s="300"/>
      <c r="AE87" s="300"/>
    </row>
    <row r="88" spans="2:31" ht="15">
      <c r="B88" s="405">
        <f t="shared" si="4"/>
        <v>43</v>
      </c>
      <c r="C88" s="413" t="str" cm="1">
        <f t="array" aca="1" ref="C88" ca="1">IF(B88&lt;=$C$9,GetGetCDSName(B88),"")</f>
        <v>EDF_MMR.EUR.SU</v>
      </c>
      <c r="D88" s="373">
        <v>0</v>
      </c>
      <c r="E88" s="406">
        <v>0</v>
      </c>
      <c r="F88" s="325">
        <v>1</v>
      </c>
      <c r="G88" s="325">
        <v>0</v>
      </c>
      <c r="H88" s="325">
        <v>0</v>
      </c>
      <c r="I88" s="325">
        <v>0</v>
      </c>
      <c r="J88" s="325">
        <v>0</v>
      </c>
      <c r="K88" s="325"/>
      <c r="L88" s="325"/>
      <c r="M88" s="325"/>
      <c r="N88" s="407"/>
      <c r="O88" s="300"/>
      <c r="P88" s="300"/>
      <c r="Q88" s="300"/>
      <c r="R88" s="300"/>
      <c r="S88" s="300"/>
      <c r="T88" s="300"/>
      <c r="U88" s="300"/>
      <c r="V88" s="300"/>
      <c r="W88" s="300"/>
      <c r="X88" s="300"/>
      <c r="Y88" s="300"/>
      <c r="Z88" s="300"/>
      <c r="AA88" s="300"/>
      <c r="AB88" s="300"/>
      <c r="AC88" s="300"/>
      <c r="AD88" s="300"/>
      <c r="AE88" s="300"/>
    </row>
    <row r="89" spans="2:31" ht="15">
      <c r="B89" s="405">
        <f t="shared" si="4"/>
        <v>44</v>
      </c>
      <c r="C89" s="413" t="str" cm="1">
        <f t="array" aca="1" ref="C89" ca="1">IF(B89&lt;=$C$9,GetGetCDSName(B89),"")</f>
        <v>EDISON_MMR.EUR.SU</v>
      </c>
      <c r="D89" s="373">
        <v>0</v>
      </c>
      <c r="E89" s="406">
        <v>1</v>
      </c>
      <c r="F89" s="325">
        <v>0</v>
      </c>
      <c r="G89" s="325">
        <v>0</v>
      </c>
      <c r="H89" s="325">
        <v>0</v>
      </c>
      <c r="I89" s="325">
        <v>0</v>
      </c>
      <c r="J89" s="325">
        <v>0</v>
      </c>
      <c r="K89" s="325"/>
      <c r="L89" s="325"/>
      <c r="M89" s="325"/>
      <c r="N89" s="407"/>
      <c r="O89" s="300"/>
      <c r="P89" s="300"/>
      <c r="Q89" s="300"/>
      <c r="R89" s="300"/>
      <c r="S89" s="300"/>
      <c r="T89" s="300"/>
      <c r="U89" s="300"/>
      <c r="V89" s="300"/>
      <c r="W89" s="300"/>
      <c r="X89" s="300"/>
      <c r="Y89" s="300"/>
      <c r="Z89" s="300"/>
      <c r="AA89" s="300"/>
      <c r="AB89" s="300"/>
      <c r="AC89" s="300"/>
      <c r="AD89" s="300"/>
      <c r="AE89" s="300"/>
    </row>
    <row r="90" spans="2:31" ht="15">
      <c r="B90" s="405">
        <f t="shared" si="4"/>
        <v>45</v>
      </c>
      <c r="C90" s="413" t="str" cm="1">
        <f t="array" aca="1" ref="C90" ca="1">IF(B90&lt;=$C$9,GetGetCDSName(B90),"")</f>
        <v>ELECTRICITEDEPORTUGAL_MMR.EUR.SU</v>
      </c>
      <c r="D90" s="373">
        <v>0</v>
      </c>
      <c r="E90" s="406">
        <v>0</v>
      </c>
      <c r="F90" s="325">
        <v>0</v>
      </c>
      <c r="G90" s="325">
        <v>1</v>
      </c>
      <c r="H90" s="325">
        <v>0</v>
      </c>
      <c r="I90" s="325">
        <v>0</v>
      </c>
      <c r="J90" s="325">
        <v>0</v>
      </c>
      <c r="K90" s="325"/>
      <c r="L90" s="325"/>
      <c r="M90" s="325"/>
      <c r="N90" s="407"/>
      <c r="O90" s="300"/>
      <c r="P90" s="300"/>
      <c r="Q90" s="300"/>
      <c r="R90" s="300"/>
      <c r="S90" s="300"/>
      <c r="T90" s="300"/>
      <c r="U90" s="300"/>
      <c r="V90" s="300"/>
      <c r="W90" s="300"/>
      <c r="X90" s="300"/>
      <c r="Y90" s="300"/>
      <c r="Z90" s="300"/>
      <c r="AA90" s="300"/>
      <c r="AB90" s="300"/>
      <c r="AC90" s="300"/>
      <c r="AD90" s="300"/>
      <c r="AE90" s="300"/>
    </row>
    <row r="91" spans="2:31" ht="15">
      <c r="B91" s="405">
        <f t="shared" si="4"/>
        <v>46</v>
      </c>
      <c r="C91" s="413" t="str" cm="1">
        <f t="array" aca="1" ref="C91" ca="1">IF(B91&lt;=$C$9,GetGetCDSName(B91),"")</f>
        <v>ELECTROLUX_MMR.EUR.SU</v>
      </c>
      <c r="D91" s="373">
        <v>0</v>
      </c>
      <c r="E91" s="406">
        <v>1</v>
      </c>
      <c r="F91" s="325">
        <v>1</v>
      </c>
      <c r="G91" s="325">
        <v>1</v>
      </c>
      <c r="H91" s="325">
        <v>0</v>
      </c>
      <c r="I91" s="325">
        <v>0</v>
      </c>
      <c r="J91" s="325">
        <v>0</v>
      </c>
      <c r="K91" s="325"/>
      <c r="L91" s="325"/>
      <c r="M91" s="325"/>
      <c r="N91" s="407"/>
      <c r="O91" s="300"/>
      <c r="P91" s="300"/>
      <c r="Q91" s="300"/>
      <c r="R91" s="300"/>
      <c r="S91" s="300"/>
      <c r="T91" s="300"/>
      <c r="U91" s="300"/>
      <c r="V91" s="300"/>
      <c r="W91" s="300"/>
      <c r="X91" s="300"/>
      <c r="Y91" s="300"/>
      <c r="Z91" s="300"/>
      <c r="AA91" s="300"/>
      <c r="AB91" s="300"/>
      <c r="AC91" s="300"/>
      <c r="AD91" s="300"/>
      <c r="AE91" s="300"/>
    </row>
    <row r="92" spans="2:31" ht="15">
      <c r="B92" s="405">
        <f t="shared" si="4"/>
        <v>47</v>
      </c>
      <c r="C92" s="413" t="str" cm="1">
        <f t="array" aca="1" ref="C92" ca="1">IF(B92&lt;=$C$9,GetGetCDSName(B92),"")</f>
        <v>ENDESA_MMR.EUR.SU</v>
      </c>
      <c r="D92" s="373">
        <v>0</v>
      </c>
      <c r="E92" s="406">
        <v>0</v>
      </c>
      <c r="F92" s="325">
        <v>1</v>
      </c>
      <c r="G92" s="325">
        <v>0</v>
      </c>
      <c r="H92" s="325">
        <v>1</v>
      </c>
      <c r="I92" s="325">
        <v>1</v>
      </c>
      <c r="J92" s="325">
        <v>0</v>
      </c>
      <c r="K92" s="325"/>
      <c r="L92" s="325"/>
      <c r="M92" s="325"/>
      <c r="N92" s="407"/>
      <c r="O92" s="300"/>
      <c r="P92" s="300"/>
      <c r="Q92" s="300"/>
      <c r="R92" s="300"/>
      <c r="S92" s="300"/>
      <c r="T92" s="300"/>
      <c r="U92" s="300"/>
      <c r="V92" s="300"/>
      <c r="W92" s="300"/>
      <c r="X92" s="300"/>
      <c r="Y92" s="300"/>
      <c r="Z92" s="300"/>
      <c r="AA92" s="300"/>
      <c r="AB92" s="300"/>
      <c r="AC92" s="300"/>
      <c r="AD92" s="300"/>
      <c r="AE92" s="300"/>
    </row>
    <row r="93" spans="2:31" ht="15">
      <c r="B93" s="405">
        <f t="shared" si="4"/>
        <v>48</v>
      </c>
      <c r="C93" s="413" t="str" cm="1">
        <f t="array" aca="1" ref="C93" ca="1">IF(B93&lt;=$C$9,GetGetCDSName(B93),"")</f>
        <v>ENEL_MMR.EUR.SU</v>
      </c>
      <c r="D93" s="373">
        <v>0</v>
      </c>
      <c r="E93" s="406">
        <v>1</v>
      </c>
      <c r="F93" s="325">
        <v>1</v>
      </c>
      <c r="G93" s="325">
        <v>1</v>
      </c>
      <c r="H93" s="325">
        <v>0</v>
      </c>
      <c r="I93" s="325">
        <v>0</v>
      </c>
      <c r="J93" s="325">
        <v>0</v>
      </c>
      <c r="K93" s="325"/>
      <c r="L93" s="325"/>
      <c r="M93" s="325"/>
      <c r="N93" s="407"/>
      <c r="O93" s="300"/>
      <c r="P93" s="300"/>
      <c r="Q93" s="300"/>
      <c r="R93" s="300"/>
      <c r="S93" s="300"/>
      <c r="T93" s="300"/>
      <c r="U93" s="300"/>
      <c r="V93" s="300"/>
      <c r="W93" s="300"/>
      <c r="X93" s="300"/>
      <c r="Y93" s="300"/>
      <c r="Z93" s="300"/>
      <c r="AA93" s="300"/>
      <c r="AB93" s="300"/>
      <c r="AC93" s="300"/>
      <c r="AD93" s="300"/>
      <c r="AE93" s="300"/>
    </row>
    <row r="94" spans="2:31" ht="15">
      <c r="B94" s="405">
        <f t="shared" si="4"/>
        <v>49</v>
      </c>
      <c r="C94" s="413" t="str" cm="1">
        <f t="array" aca="1" ref="C94" ca="1">IF(B94&lt;=$C$9,GetGetCDSName(B94),"")</f>
        <v>ENERGIEBADENWUERTTEMBERG_MMR.EUR.SU</v>
      </c>
      <c r="D94" s="373">
        <v>0</v>
      </c>
      <c r="E94" s="406">
        <v>0</v>
      </c>
      <c r="F94" s="325">
        <v>1</v>
      </c>
      <c r="G94" s="325">
        <v>0</v>
      </c>
      <c r="H94" s="325">
        <v>0</v>
      </c>
      <c r="I94" s="325">
        <v>0</v>
      </c>
      <c r="J94" s="325">
        <v>1</v>
      </c>
      <c r="K94" s="325"/>
      <c r="L94" s="325"/>
      <c r="M94" s="325"/>
      <c r="N94" s="407"/>
      <c r="O94" s="300"/>
      <c r="P94" s="300"/>
      <c r="Q94" s="300"/>
      <c r="R94" s="300"/>
      <c r="S94" s="300"/>
      <c r="T94" s="300"/>
      <c r="U94" s="300"/>
      <c r="V94" s="300"/>
      <c r="W94" s="300"/>
      <c r="X94" s="300"/>
      <c r="Y94" s="300"/>
      <c r="Z94" s="300"/>
      <c r="AA94" s="300"/>
      <c r="AB94" s="300"/>
      <c r="AC94" s="300"/>
      <c r="AD94" s="300"/>
      <c r="AE94" s="300"/>
    </row>
    <row r="95" spans="2:31" ht="15">
      <c r="B95" s="405">
        <f t="shared" si="4"/>
        <v>50</v>
      </c>
      <c r="C95" s="413" t="str" cm="1">
        <f t="array" aca="1" ref="C95" ca="1">IF(B95&lt;=$C$9,GetGetCDSName(B95),"")</f>
        <v>EON_MMR.EUR.SU</v>
      </c>
      <c r="D95" s="373">
        <v>0</v>
      </c>
      <c r="E95" s="406">
        <v>0</v>
      </c>
      <c r="F95" s="325">
        <v>0</v>
      </c>
      <c r="G95" s="325">
        <v>1</v>
      </c>
      <c r="H95" s="325">
        <v>0</v>
      </c>
      <c r="I95" s="325">
        <v>0</v>
      </c>
      <c r="J95" s="325">
        <v>0</v>
      </c>
      <c r="K95" s="325"/>
      <c r="L95" s="325"/>
      <c r="M95" s="325"/>
      <c r="N95" s="407"/>
      <c r="O95" s="300"/>
      <c r="P95" s="300"/>
      <c r="Q95" s="300"/>
      <c r="R95" s="300"/>
      <c r="S95" s="300"/>
      <c r="T95" s="300"/>
      <c r="U95" s="300"/>
      <c r="V95" s="300"/>
      <c r="W95" s="300"/>
      <c r="X95" s="300"/>
      <c r="Y95" s="300"/>
      <c r="Z95" s="300"/>
      <c r="AA95" s="300"/>
      <c r="AB95" s="300"/>
      <c r="AC95" s="300"/>
      <c r="AD95" s="300"/>
      <c r="AE95" s="300"/>
    </row>
    <row r="96" spans="2:31" ht="15">
      <c r="B96" s="405">
        <f t="shared" si="4"/>
        <v>51</v>
      </c>
      <c r="C96" s="413" t="str" cm="1">
        <f t="array" aca="1" ref="C96" ca="1">IF(B96&lt;=$C$9,GetGetCDSName(B96),"")</f>
        <v>FORTUMOYJ_MMR.EUR.SU</v>
      </c>
      <c r="D96" s="373">
        <v>0</v>
      </c>
      <c r="E96" s="406">
        <v>0</v>
      </c>
      <c r="F96" s="325">
        <v>0</v>
      </c>
      <c r="G96" s="325">
        <v>0</v>
      </c>
      <c r="H96" s="325">
        <v>0</v>
      </c>
      <c r="I96" s="325">
        <v>1</v>
      </c>
      <c r="J96" s="325">
        <v>0</v>
      </c>
      <c r="K96" s="325"/>
      <c r="L96" s="325"/>
      <c r="M96" s="325"/>
      <c r="N96" s="407"/>
      <c r="O96" s="300"/>
      <c r="P96" s="300"/>
      <c r="Q96" s="300"/>
      <c r="R96" s="300"/>
      <c r="S96" s="300"/>
      <c r="T96" s="300"/>
      <c r="U96" s="300"/>
      <c r="V96" s="300"/>
      <c r="W96" s="300"/>
      <c r="X96" s="300"/>
      <c r="Y96" s="300"/>
      <c r="Z96" s="300"/>
      <c r="AA96" s="300"/>
      <c r="AB96" s="300"/>
      <c r="AC96" s="300"/>
      <c r="AD96" s="300"/>
      <c r="AE96" s="300"/>
    </row>
    <row r="97" spans="2:31" ht="15">
      <c r="B97" s="405">
        <f t="shared" si="4"/>
        <v>52</v>
      </c>
      <c r="C97" s="413" t="str" cm="1">
        <f t="array" aca="1" ref="C97" ca="1">IF(B97&lt;=$C$9,GetGetCDSName(B97),"")</f>
        <v>FRANCETELECOM_MMR.EUR.SU</v>
      </c>
      <c r="D97" s="373">
        <v>0</v>
      </c>
      <c r="E97" s="406">
        <v>1</v>
      </c>
      <c r="F97" s="325">
        <v>0</v>
      </c>
      <c r="G97" s="325">
        <v>0</v>
      </c>
      <c r="H97" s="325">
        <v>1</v>
      </c>
      <c r="I97" s="325">
        <v>0</v>
      </c>
      <c r="J97" s="325">
        <v>1</v>
      </c>
      <c r="K97" s="325"/>
      <c r="L97" s="325"/>
      <c r="M97" s="325"/>
      <c r="N97" s="407"/>
      <c r="O97" s="300"/>
      <c r="P97" s="300"/>
      <c r="Q97" s="300"/>
      <c r="R97" s="300"/>
      <c r="S97" s="300"/>
      <c r="T97" s="300"/>
      <c r="U97" s="300"/>
      <c r="V97" s="300"/>
      <c r="W97" s="300"/>
      <c r="X97" s="300"/>
      <c r="Y97" s="300"/>
      <c r="Z97" s="300"/>
      <c r="AA97" s="300"/>
      <c r="AB97" s="300"/>
      <c r="AC97" s="300"/>
      <c r="AD97" s="300"/>
      <c r="AE97" s="300"/>
    </row>
    <row r="98" spans="2:31" ht="15">
      <c r="B98" s="405">
        <f t="shared" si="4"/>
        <v>53</v>
      </c>
      <c r="C98" s="413" t="str" cm="1">
        <f t="array" aca="1" ref="C98" ca="1">IF(B98&lt;=$C$9,GetGetCDSName(B98),"")</f>
        <v>GALLAHERGROUPPLC_MMR.EUR.SU</v>
      </c>
      <c r="D98" s="373">
        <v>0</v>
      </c>
      <c r="E98" s="406">
        <v>0</v>
      </c>
      <c r="F98" s="325">
        <v>0</v>
      </c>
      <c r="G98" s="325">
        <v>0</v>
      </c>
      <c r="H98" s="325">
        <v>1</v>
      </c>
      <c r="I98" s="325">
        <v>1</v>
      </c>
      <c r="J98" s="325">
        <v>1</v>
      </c>
      <c r="K98" s="325"/>
      <c r="L98" s="325"/>
      <c r="M98" s="325"/>
      <c r="N98" s="407"/>
      <c r="O98" s="300"/>
      <c r="P98" s="300"/>
      <c r="Q98" s="300"/>
      <c r="R98" s="300"/>
      <c r="S98" s="300"/>
      <c r="T98" s="300"/>
      <c r="U98" s="300"/>
      <c r="V98" s="300"/>
      <c r="W98" s="300"/>
      <c r="X98" s="300"/>
      <c r="Y98" s="300"/>
      <c r="Z98" s="300"/>
      <c r="AA98" s="300"/>
      <c r="AB98" s="300"/>
      <c r="AC98" s="300"/>
      <c r="AD98" s="300"/>
      <c r="AE98" s="300"/>
    </row>
    <row r="99" spans="2:31" ht="15">
      <c r="B99" s="405">
        <f t="shared" si="4"/>
        <v>54</v>
      </c>
      <c r="C99" s="413" t="str" cm="1">
        <f t="array" aca="1" ref="C99" ca="1">IF(B99&lt;=$C$9,GetGetCDSName(B99),"")</f>
        <v>GASNATURALSDGSA_MMR.EUR.SU</v>
      </c>
      <c r="D99" s="373">
        <v>0</v>
      </c>
      <c r="E99" s="406">
        <v>1</v>
      </c>
      <c r="F99" s="325">
        <v>0</v>
      </c>
      <c r="G99" s="325">
        <v>0</v>
      </c>
      <c r="H99" s="325">
        <v>1</v>
      </c>
      <c r="I99" s="325">
        <v>0</v>
      </c>
      <c r="J99" s="325">
        <v>0</v>
      </c>
      <c r="K99" s="325"/>
      <c r="L99" s="325"/>
      <c r="M99" s="325"/>
      <c r="N99" s="407"/>
      <c r="O99" s="300"/>
      <c r="P99" s="300"/>
      <c r="Q99" s="300"/>
      <c r="R99" s="300"/>
      <c r="S99" s="300"/>
      <c r="T99" s="300"/>
      <c r="U99" s="300"/>
      <c r="V99" s="300"/>
      <c r="W99" s="300"/>
      <c r="X99" s="300"/>
      <c r="Y99" s="300"/>
      <c r="Z99" s="300"/>
      <c r="AA99" s="300"/>
      <c r="AB99" s="300"/>
      <c r="AC99" s="300"/>
      <c r="AD99" s="300"/>
      <c r="AE99" s="300"/>
    </row>
    <row r="100" spans="2:31" ht="15">
      <c r="B100" s="405">
        <f t="shared" si="4"/>
        <v>55</v>
      </c>
      <c r="C100" s="413" t="str" cm="1">
        <f t="array" aca="1" ref="C100" ca="1">IF(B100&lt;=$C$9,GetGetCDSName(B100),"")</f>
        <v>GAZDEFRANCE_MMR.EUR.SU</v>
      </c>
      <c r="D100" s="373">
        <v>0</v>
      </c>
      <c r="E100" s="406">
        <v>0</v>
      </c>
      <c r="F100" s="325">
        <v>0</v>
      </c>
      <c r="G100" s="325">
        <v>0</v>
      </c>
      <c r="H100" s="325">
        <v>0</v>
      </c>
      <c r="I100" s="325">
        <v>1</v>
      </c>
      <c r="J100" s="325">
        <v>0</v>
      </c>
      <c r="K100" s="325"/>
      <c r="L100" s="325"/>
      <c r="M100" s="325"/>
      <c r="N100" s="407"/>
      <c r="O100" s="300"/>
      <c r="P100" s="300"/>
      <c r="Q100" s="300"/>
      <c r="R100" s="300"/>
      <c r="S100" s="300"/>
      <c r="T100" s="300"/>
      <c r="U100" s="300"/>
      <c r="V100" s="300"/>
      <c r="W100" s="300"/>
      <c r="X100" s="300"/>
      <c r="Y100" s="300"/>
      <c r="Z100" s="300"/>
      <c r="AA100" s="300"/>
      <c r="AB100" s="300"/>
      <c r="AC100" s="300"/>
      <c r="AD100" s="300"/>
      <c r="AE100" s="300"/>
    </row>
    <row r="101" spans="2:31" ht="15">
      <c r="B101" s="405">
        <f t="shared" si="4"/>
        <v>56</v>
      </c>
      <c r="C101" s="413" t="str" cm="1">
        <f t="array" aca="1" ref="C101" ca="1">IF(B101&lt;=$C$9,GetGetCDSName(B101),"")</f>
        <v>GENERALI_MMR.EUR.SU</v>
      </c>
      <c r="D101" s="373">
        <v>0</v>
      </c>
      <c r="E101" s="406">
        <v>0</v>
      </c>
      <c r="F101" s="325">
        <v>0</v>
      </c>
      <c r="G101" s="325">
        <v>0</v>
      </c>
      <c r="H101" s="325">
        <v>1</v>
      </c>
      <c r="I101" s="325">
        <v>0</v>
      </c>
      <c r="J101" s="325">
        <v>0</v>
      </c>
      <c r="K101" s="325"/>
      <c r="L101" s="325"/>
      <c r="M101" s="325"/>
      <c r="N101" s="407"/>
      <c r="O101" s="300"/>
      <c r="P101" s="300"/>
      <c r="Q101" s="300"/>
      <c r="R101" s="300"/>
      <c r="S101" s="300"/>
      <c r="T101" s="300"/>
      <c r="U101" s="300"/>
      <c r="V101" s="300"/>
      <c r="W101" s="300"/>
      <c r="X101" s="300"/>
      <c r="Y101" s="300"/>
      <c r="Z101" s="300"/>
      <c r="AA101" s="300"/>
      <c r="AB101" s="300"/>
      <c r="AC101" s="300"/>
      <c r="AD101" s="300"/>
      <c r="AE101" s="300"/>
    </row>
    <row r="102" spans="2:31" ht="15">
      <c r="B102" s="405">
        <f t="shared" si="4"/>
        <v>57</v>
      </c>
      <c r="C102" s="413" t="str" cm="1">
        <f t="array" aca="1" ref="C102" ca="1">IF(B102&lt;=$C$9,GetGetCDSName(B102),"")</f>
        <v>GKN HOLDINGS  PLC_MMR.EUR.SU</v>
      </c>
      <c r="D102" s="373">
        <v>0</v>
      </c>
      <c r="E102" s="406">
        <v>0</v>
      </c>
      <c r="F102" s="325">
        <v>0</v>
      </c>
      <c r="G102" s="325">
        <v>0</v>
      </c>
      <c r="H102" s="325">
        <v>0</v>
      </c>
      <c r="I102" s="325">
        <v>0</v>
      </c>
      <c r="J102" s="325">
        <v>1</v>
      </c>
      <c r="K102" s="325"/>
      <c r="L102" s="325"/>
      <c r="M102" s="325"/>
      <c r="N102" s="407"/>
      <c r="O102" s="300"/>
      <c r="P102" s="300"/>
      <c r="Q102" s="300"/>
      <c r="R102" s="300"/>
      <c r="S102" s="300"/>
      <c r="T102" s="300"/>
      <c r="U102" s="300"/>
      <c r="V102" s="300"/>
      <c r="W102" s="300"/>
      <c r="X102" s="300"/>
      <c r="Y102" s="300"/>
      <c r="Z102" s="300"/>
      <c r="AA102" s="300"/>
      <c r="AB102" s="300"/>
      <c r="AC102" s="300"/>
      <c r="AD102" s="300"/>
      <c r="AE102" s="300"/>
    </row>
    <row r="103" spans="2:31" ht="15">
      <c r="B103" s="405">
        <f t="shared" si="4"/>
        <v>58</v>
      </c>
      <c r="C103" s="413" t="str" cm="1">
        <f t="array" aca="1" ref="C103" ca="1">IF(B103&lt;=$C$9,GetGetCDSName(B103),"")</f>
        <v>GLENCOREINTAG_MMR.EUR.SU</v>
      </c>
      <c r="D103" s="373">
        <v>0</v>
      </c>
      <c r="E103" s="406">
        <v>0</v>
      </c>
      <c r="F103" s="325">
        <v>0</v>
      </c>
      <c r="G103" s="325">
        <v>0</v>
      </c>
      <c r="H103" s="325">
        <v>1</v>
      </c>
      <c r="I103" s="325">
        <v>0</v>
      </c>
      <c r="J103" s="325">
        <v>0</v>
      </c>
      <c r="K103" s="325"/>
      <c r="L103" s="325"/>
      <c r="M103" s="325"/>
      <c r="N103" s="407"/>
      <c r="O103" s="300"/>
      <c r="P103" s="300"/>
      <c r="Q103" s="300"/>
      <c r="R103" s="300"/>
      <c r="S103" s="300"/>
      <c r="T103" s="300"/>
      <c r="U103" s="300"/>
      <c r="V103" s="300"/>
      <c r="W103" s="300"/>
      <c r="X103" s="300"/>
      <c r="Y103" s="300"/>
      <c r="Z103" s="300"/>
      <c r="AA103" s="300"/>
      <c r="AB103" s="300"/>
      <c r="AC103" s="300"/>
      <c r="AD103" s="300"/>
      <c r="AE103" s="300"/>
    </row>
    <row r="104" spans="2:31" ht="15">
      <c r="B104" s="405">
        <f t="shared" si="4"/>
        <v>59</v>
      </c>
      <c r="C104" s="413" t="str" cm="1">
        <f t="array" aca="1" ref="C104" ca="1">IF(B104&lt;=$C$9,GetGetCDSName(B104),"")</f>
        <v>GREATUNIVERSALSTORES_MMR.EUR.SU</v>
      </c>
      <c r="D104" s="373">
        <v>0</v>
      </c>
      <c r="E104" s="406">
        <v>0</v>
      </c>
      <c r="F104" s="325">
        <v>1</v>
      </c>
      <c r="G104" s="325">
        <v>1</v>
      </c>
      <c r="H104" s="325">
        <v>0</v>
      </c>
      <c r="I104" s="325">
        <v>1</v>
      </c>
      <c r="J104" s="325">
        <v>0</v>
      </c>
      <c r="K104" s="325"/>
      <c r="L104" s="325"/>
      <c r="M104" s="325"/>
      <c r="N104" s="407"/>
      <c r="O104" s="300"/>
      <c r="P104" s="300"/>
      <c r="Q104" s="300"/>
      <c r="R104" s="300"/>
      <c r="S104" s="300"/>
      <c r="T104" s="300"/>
      <c r="U104" s="300"/>
      <c r="V104" s="300"/>
      <c r="W104" s="300"/>
      <c r="X104" s="300"/>
      <c r="Y104" s="300"/>
      <c r="Z104" s="300"/>
      <c r="AA104" s="300"/>
      <c r="AB104" s="300"/>
      <c r="AC104" s="300"/>
      <c r="AD104" s="300"/>
      <c r="AE104" s="300"/>
    </row>
    <row r="105" spans="2:31" ht="15">
      <c r="B105" s="405">
        <f t="shared" si="4"/>
        <v>60</v>
      </c>
      <c r="C105" s="413" t="str" cm="1">
        <f t="array" aca="1" ref="C105" ca="1">IF(B105&lt;=$C$9,GetGetCDSName(B105),"")</f>
        <v>HANNOVERRUECK_MMR.EUR.SU</v>
      </c>
      <c r="D105" s="373">
        <v>0</v>
      </c>
      <c r="E105" s="406">
        <v>0</v>
      </c>
      <c r="F105" s="325">
        <v>1</v>
      </c>
      <c r="G105" s="325">
        <v>0</v>
      </c>
      <c r="H105" s="325">
        <v>0</v>
      </c>
      <c r="I105" s="325">
        <v>0</v>
      </c>
      <c r="J105" s="325">
        <v>1</v>
      </c>
      <c r="K105" s="325"/>
      <c r="L105" s="325"/>
      <c r="M105" s="325"/>
      <c r="N105" s="407"/>
      <c r="O105" s="300"/>
      <c r="P105" s="300"/>
      <c r="Q105" s="300"/>
      <c r="R105" s="300"/>
      <c r="S105" s="300"/>
      <c r="T105" s="300"/>
      <c r="U105" s="300"/>
      <c r="V105" s="300"/>
      <c r="W105" s="300"/>
      <c r="X105" s="300"/>
      <c r="Y105" s="300"/>
      <c r="Z105" s="300"/>
      <c r="AA105" s="300"/>
      <c r="AB105" s="300"/>
      <c r="AC105" s="300"/>
      <c r="AD105" s="300"/>
      <c r="AE105" s="300"/>
    </row>
    <row r="106" spans="2:31" ht="15">
      <c r="B106" s="405">
        <f t="shared" si="4"/>
        <v>61</v>
      </c>
      <c r="C106" s="413" t="str" cm="1">
        <f t="array" aca="1" ref="C106" ca="1">IF(B106&lt;=$C$9,GetGetCDSName(B106),"")</f>
        <v>HELLENIC TELCOM_MMR.EUR.SU</v>
      </c>
      <c r="D106" s="373">
        <v>0</v>
      </c>
      <c r="E106" s="406">
        <v>0</v>
      </c>
      <c r="F106" s="325">
        <v>1</v>
      </c>
      <c r="G106" s="325">
        <v>0</v>
      </c>
      <c r="H106" s="325">
        <v>1</v>
      </c>
      <c r="I106" s="325">
        <v>0</v>
      </c>
      <c r="J106" s="325">
        <v>0</v>
      </c>
      <c r="K106" s="325"/>
      <c r="L106" s="325"/>
      <c r="M106" s="325"/>
      <c r="N106" s="407"/>
      <c r="O106" s="300"/>
      <c r="P106" s="300"/>
      <c r="Q106" s="300"/>
      <c r="R106" s="300"/>
      <c r="S106" s="300"/>
      <c r="T106" s="300"/>
      <c r="U106" s="300"/>
      <c r="V106" s="300"/>
      <c r="W106" s="300"/>
      <c r="X106" s="300"/>
      <c r="Y106" s="300"/>
      <c r="Z106" s="300"/>
      <c r="AA106" s="300"/>
      <c r="AB106" s="300"/>
      <c r="AC106" s="300"/>
      <c r="AD106" s="300"/>
      <c r="AE106" s="300"/>
    </row>
    <row r="107" spans="2:31" ht="15">
      <c r="B107" s="405">
        <f t="shared" si="4"/>
        <v>62</v>
      </c>
      <c r="C107" s="413" t="str" cm="1">
        <f t="array" aca="1" ref="C107" ca="1">IF(B107&lt;=$C$9,GetGetCDSName(B107),"")</f>
        <v>HENKELKG_MMR.EUR.SU</v>
      </c>
      <c r="D107" s="373">
        <v>0</v>
      </c>
      <c r="E107" s="406">
        <v>1</v>
      </c>
      <c r="F107" s="325">
        <v>0</v>
      </c>
      <c r="G107" s="325">
        <v>0</v>
      </c>
      <c r="H107" s="325">
        <v>0</v>
      </c>
      <c r="I107" s="325">
        <v>0</v>
      </c>
      <c r="J107" s="325">
        <v>1</v>
      </c>
      <c r="K107" s="325"/>
      <c r="L107" s="325"/>
      <c r="M107" s="325"/>
      <c r="N107" s="407"/>
      <c r="O107" s="300"/>
      <c r="P107" s="300"/>
      <c r="Q107" s="300"/>
      <c r="R107" s="300"/>
      <c r="S107" s="300"/>
      <c r="T107" s="300"/>
      <c r="U107" s="300"/>
      <c r="V107" s="300"/>
      <c r="W107" s="300"/>
      <c r="X107" s="300"/>
      <c r="Y107" s="300"/>
      <c r="Z107" s="300"/>
      <c r="AA107" s="300"/>
      <c r="AB107" s="300"/>
      <c r="AC107" s="300"/>
      <c r="AD107" s="300"/>
      <c r="AE107" s="300"/>
    </row>
    <row r="108" spans="2:31" ht="15">
      <c r="B108" s="405">
        <f t="shared" si="4"/>
        <v>63</v>
      </c>
      <c r="C108" s="413" t="str" cm="1">
        <f t="array" aca="1" ref="C108" ca="1">IF(B108&lt;=$C$9,GetGetCDSName(B108),"")</f>
        <v>IBERDROLA_MMR.EUR.SU</v>
      </c>
      <c r="D108" s="373">
        <v>0</v>
      </c>
      <c r="E108" s="406">
        <v>1</v>
      </c>
      <c r="F108" s="325">
        <v>1</v>
      </c>
      <c r="G108" s="325">
        <v>0</v>
      </c>
      <c r="H108" s="325">
        <v>1</v>
      </c>
      <c r="I108" s="325">
        <v>0</v>
      </c>
      <c r="J108" s="325">
        <v>0</v>
      </c>
      <c r="K108" s="325"/>
      <c r="L108" s="325"/>
      <c r="M108" s="325"/>
      <c r="N108" s="407"/>
      <c r="O108" s="300"/>
      <c r="P108" s="300"/>
      <c r="Q108" s="300"/>
      <c r="R108" s="300"/>
      <c r="S108" s="300"/>
      <c r="T108" s="300"/>
      <c r="U108" s="300"/>
      <c r="V108" s="300"/>
      <c r="W108" s="300"/>
      <c r="X108" s="300"/>
      <c r="Y108" s="300"/>
      <c r="Z108" s="300"/>
      <c r="AA108" s="300"/>
      <c r="AB108" s="300"/>
      <c r="AC108" s="300"/>
      <c r="AD108" s="300"/>
      <c r="AE108" s="300"/>
    </row>
    <row r="109" spans="2:31" ht="15">
      <c r="B109" s="405">
        <f t="shared" si="4"/>
        <v>64</v>
      </c>
      <c r="C109" s="413" t="str" cm="1">
        <f t="array" aca="1" ref="C109" ca="1">IF(B109&lt;=$C$9,GetGetCDSName(B109),"")</f>
        <v>ICI_MMR.EUR.SU</v>
      </c>
      <c r="D109" s="373">
        <v>0</v>
      </c>
      <c r="E109" s="406">
        <v>1</v>
      </c>
      <c r="F109" s="325">
        <v>0</v>
      </c>
      <c r="G109" s="325">
        <v>0</v>
      </c>
      <c r="H109" s="325">
        <v>1</v>
      </c>
      <c r="I109" s="325">
        <v>0</v>
      </c>
      <c r="J109" s="325">
        <v>1</v>
      </c>
      <c r="K109" s="325"/>
      <c r="L109" s="325"/>
      <c r="M109" s="325"/>
      <c r="N109" s="407"/>
      <c r="O109" s="300"/>
      <c r="P109" s="300"/>
      <c r="Q109" s="300"/>
      <c r="R109" s="300"/>
      <c r="S109" s="300"/>
      <c r="T109" s="300"/>
      <c r="U109" s="300"/>
      <c r="V109" s="300"/>
      <c r="W109" s="300"/>
      <c r="X109" s="300"/>
      <c r="Y109" s="300"/>
      <c r="Z109" s="300"/>
      <c r="AA109" s="300"/>
      <c r="AB109" s="300"/>
      <c r="AC109" s="300"/>
      <c r="AD109" s="300"/>
      <c r="AE109" s="300"/>
    </row>
    <row r="110" spans="2:31" ht="15">
      <c r="B110" s="405">
        <f t="shared" si="4"/>
        <v>65</v>
      </c>
      <c r="C110" s="413" t="str" cm="1">
        <f t="array" aca="1" ref="C110" ca="1">IF(B110&lt;=$C$9,GetGetCDSName(B110),"")</f>
        <v>INTESA_MMR.EUR.SU</v>
      </c>
      <c r="D110" s="373">
        <v>0</v>
      </c>
      <c r="E110" s="406">
        <v>0</v>
      </c>
      <c r="F110" s="325">
        <v>1</v>
      </c>
      <c r="G110" s="325">
        <v>1</v>
      </c>
      <c r="H110" s="325">
        <v>0</v>
      </c>
      <c r="I110" s="325">
        <v>1</v>
      </c>
      <c r="J110" s="325">
        <v>0</v>
      </c>
      <c r="K110" s="325"/>
      <c r="L110" s="325"/>
      <c r="M110" s="325"/>
      <c r="N110" s="407"/>
      <c r="O110" s="300"/>
      <c r="P110" s="300"/>
      <c r="Q110" s="300"/>
      <c r="R110" s="300"/>
      <c r="S110" s="300"/>
      <c r="T110" s="300"/>
      <c r="U110" s="300"/>
      <c r="V110" s="300"/>
      <c r="W110" s="300"/>
      <c r="X110" s="300"/>
      <c r="Y110" s="300"/>
      <c r="Z110" s="300"/>
      <c r="AA110" s="300"/>
      <c r="AB110" s="300"/>
      <c r="AC110" s="300"/>
      <c r="AD110" s="300"/>
      <c r="AE110" s="300"/>
    </row>
    <row r="111" spans="2:31" ht="15">
      <c r="B111" s="405">
        <f t="shared" ref="B111:B174" si="5">B110+1</f>
        <v>66</v>
      </c>
      <c r="C111" s="413" t="str" cm="1">
        <f t="array" aca="1" ref="C111" ca="1">IF(B111&lt;=$C$9,GetGetCDSName(B111),"")</f>
        <v>KINGFISHER_MMR.EUR.SU</v>
      </c>
      <c r="D111" s="373">
        <v>0</v>
      </c>
      <c r="E111" s="406">
        <v>1</v>
      </c>
      <c r="F111" s="325">
        <v>0</v>
      </c>
      <c r="G111" s="325">
        <v>1</v>
      </c>
      <c r="H111" s="325">
        <v>0</v>
      </c>
      <c r="I111" s="325">
        <v>1</v>
      </c>
      <c r="J111" s="325">
        <v>0</v>
      </c>
      <c r="K111" s="325"/>
      <c r="L111" s="325"/>
      <c r="M111" s="325"/>
      <c r="N111" s="407"/>
      <c r="O111" s="300"/>
      <c r="P111" s="300"/>
      <c r="Q111" s="300"/>
      <c r="R111" s="300"/>
      <c r="S111" s="300"/>
      <c r="T111" s="300"/>
      <c r="U111" s="300"/>
      <c r="V111" s="300"/>
      <c r="W111" s="300"/>
      <c r="X111" s="300"/>
      <c r="Y111" s="300"/>
      <c r="Z111" s="300"/>
      <c r="AA111" s="300"/>
      <c r="AB111" s="300"/>
      <c r="AC111" s="300"/>
      <c r="AD111" s="300"/>
      <c r="AE111" s="300"/>
    </row>
    <row r="112" spans="2:31" ht="15">
      <c r="B112" s="405">
        <f t="shared" si="5"/>
        <v>67</v>
      </c>
      <c r="C112" s="413" t="str" cm="1">
        <f t="array" aca="1" ref="C112" ca="1">IF(B112&lt;=$C$9,GetGetCDSName(B112),"")</f>
        <v>KPN_MMR.EUR.SU</v>
      </c>
      <c r="D112" s="373">
        <v>0</v>
      </c>
      <c r="E112" s="406">
        <v>1</v>
      </c>
      <c r="F112" s="325">
        <v>0</v>
      </c>
      <c r="G112" s="325">
        <v>0</v>
      </c>
      <c r="H112" s="325">
        <v>1</v>
      </c>
      <c r="I112" s="325">
        <v>0</v>
      </c>
      <c r="J112" s="325">
        <v>1</v>
      </c>
      <c r="K112" s="325"/>
      <c r="L112" s="325"/>
      <c r="M112" s="325"/>
      <c r="N112" s="407"/>
      <c r="O112" s="300"/>
      <c r="P112" s="300"/>
      <c r="Q112" s="300"/>
      <c r="R112" s="300"/>
      <c r="S112" s="300"/>
      <c r="T112" s="300"/>
      <c r="U112" s="300"/>
      <c r="V112" s="300"/>
      <c r="W112" s="300"/>
      <c r="X112" s="300"/>
      <c r="Y112" s="300"/>
      <c r="Z112" s="300"/>
      <c r="AA112" s="300"/>
      <c r="AB112" s="300"/>
      <c r="AC112" s="300"/>
      <c r="AD112" s="300"/>
      <c r="AE112" s="300"/>
    </row>
    <row r="113" spans="2:31" ht="15">
      <c r="B113" s="405">
        <f t="shared" si="5"/>
        <v>68</v>
      </c>
      <c r="C113" s="413" t="str" cm="1">
        <f t="array" aca="1" ref="C113" ca="1">IF(B113&lt;=$C$9,GetGetCDSName(B113),"")</f>
        <v>LAFARGE_MMR.EUR.SU</v>
      </c>
      <c r="D113" s="373">
        <v>0</v>
      </c>
      <c r="E113" s="406">
        <v>0</v>
      </c>
      <c r="F113" s="325">
        <v>1</v>
      </c>
      <c r="G113" s="325">
        <v>0</v>
      </c>
      <c r="H113" s="325">
        <v>1</v>
      </c>
      <c r="I113" s="325">
        <v>0</v>
      </c>
      <c r="J113" s="325">
        <v>1</v>
      </c>
      <c r="K113" s="325"/>
      <c r="L113" s="325"/>
      <c r="M113" s="325"/>
      <c r="N113" s="407"/>
      <c r="O113" s="300"/>
      <c r="P113" s="300"/>
      <c r="Q113" s="300"/>
      <c r="R113" s="300"/>
      <c r="S113" s="300"/>
      <c r="T113" s="300"/>
      <c r="U113" s="300"/>
      <c r="V113" s="300"/>
      <c r="W113" s="300"/>
      <c r="X113" s="300"/>
      <c r="Y113" s="300"/>
      <c r="Z113" s="300"/>
      <c r="AA113" s="300"/>
      <c r="AB113" s="300"/>
      <c r="AC113" s="300"/>
      <c r="AD113" s="300"/>
      <c r="AE113" s="300"/>
    </row>
    <row r="114" spans="2:31" ht="15">
      <c r="B114" s="405">
        <f t="shared" si="5"/>
        <v>69</v>
      </c>
      <c r="C114" s="413" t="str" cm="1">
        <f t="array" aca="1" ref="C114" ca="1">IF(B114&lt;=$C$9,GetGetCDSName(B114),"")</f>
        <v>LINDE_MMR.EUR.SU</v>
      </c>
      <c r="D114" s="373">
        <v>0</v>
      </c>
      <c r="E114" s="406">
        <v>0</v>
      </c>
      <c r="F114" s="325">
        <v>0</v>
      </c>
      <c r="G114" s="325">
        <v>1</v>
      </c>
      <c r="H114" s="325">
        <v>0</v>
      </c>
      <c r="I114" s="325">
        <v>1</v>
      </c>
      <c r="J114" s="325">
        <v>1</v>
      </c>
      <c r="K114" s="325"/>
      <c r="L114" s="325"/>
      <c r="M114" s="325"/>
      <c r="N114" s="407"/>
      <c r="O114" s="300"/>
      <c r="P114" s="300"/>
      <c r="Q114" s="300"/>
      <c r="R114" s="300"/>
      <c r="S114" s="300"/>
      <c r="T114" s="300"/>
      <c r="U114" s="300"/>
      <c r="V114" s="300"/>
      <c r="W114" s="300"/>
      <c r="X114" s="300"/>
      <c r="Y114" s="300"/>
      <c r="Z114" s="300"/>
      <c r="AA114" s="300"/>
      <c r="AB114" s="300"/>
      <c r="AC114" s="300"/>
      <c r="AD114" s="300"/>
      <c r="AE114" s="300"/>
    </row>
    <row r="115" spans="2:31" ht="15">
      <c r="B115" s="405">
        <f t="shared" si="5"/>
        <v>70</v>
      </c>
      <c r="C115" s="413" t="str" cm="1">
        <f t="array" aca="1" ref="C115" ca="1">IF(B115&lt;=$C$9,GetGetCDSName(B115),"")</f>
        <v>LUFTHANSA_MMR.EUR.SU</v>
      </c>
      <c r="D115" s="373">
        <v>0</v>
      </c>
      <c r="E115" s="406">
        <v>1</v>
      </c>
      <c r="F115" s="325">
        <v>0</v>
      </c>
      <c r="G115" s="325">
        <v>0</v>
      </c>
      <c r="H115" s="325">
        <v>0</v>
      </c>
      <c r="I115" s="325">
        <v>1</v>
      </c>
      <c r="J115" s="325">
        <v>1</v>
      </c>
      <c r="K115" s="325"/>
      <c r="L115" s="325"/>
      <c r="M115" s="325"/>
      <c r="N115" s="407"/>
      <c r="O115" s="300"/>
      <c r="P115" s="300"/>
      <c r="Q115" s="300"/>
      <c r="R115" s="300"/>
      <c r="S115" s="300"/>
      <c r="T115" s="300"/>
      <c r="U115" s="300"/>
      <c r="V115" s="300"/>
      <c r="W115" s="300"/>
      <c r="X115" s="300"/>
      <c r="Y115" s="300"/>
      <c r="Z115" s="300"/>
      <c r="AA115" s="300"/>
      <c r="AB115" s="300"/>
      <c r="AC115" s="300"/>
      <c r="AD115" s="300"/>
      <c r="AE115" s="300"/>
    </row>
    <row r="116" spans="2:31" ht="15">
      <c r="B116" s="405">
        <f t="shared" si="5"/>
        <v>71</v>
      </c>
      <c r="C116" s="413" t="str" cm="1">
        <f t="array" aca="1" ref="C116" ca="1">IF(B116&lt;=$C$9,GetGetCDSName(B116),"")</f>
        <v>LVMH_MMR.EUR.SU</v>
      </c>
      <c r="D116" s="373">
        <v>0</v>
      </c>
      <c r="E116" s="406">
        <v>1</v>
      </c>
      <c r="F116" s="325">
        <v>1</v>
      </c>
      <c r="G116" s="325">
        <v>0</v>
      </c>
      <c r="H116" s="325">
        <v>0</v>
      </c>
      <c r="I116" s="325">
        <v>0</v>
      </c>
      <c r="J116" s="325">
        <v>1</v>
      </c>
      <c r="K116" s="325"/>
      <c r="L116" s="325"/>
      <c r="M116" s="325"/>
      <c r="N116" s="407"/>
      <c r="O116" s="300"/>
      <c r="P116" s="300"/>
      <c r="Q116" s="300"/>
      <c r="R116" s="300"/>
      <c r="S116" s="300"/>
      <c r="T116" s="300"/>
      <c r="U116" s="300"/>
      <c r="V116" s="300"/>
      <c r="W116" s="300"/>
      <c r="X116" s="300"/>
      <c r="Y116" s="300"/>
      <c r="Z116" s="300"/>
      <c r="AA116" s="300"/>
      <c r="AB116" s="300"/>
      <c r="AC116" s="300"/>
      <c r="AD116" s="300"/>
      <c r="AE116" s="300"/>
    </row>
    <row r="117" spans="2:31" ht="15">
      <c r="B117" s="405">
        <f t="shared" si="5"/>
        <v>72</v>
      </c>
      <c r="C117" s="413" t="str" cm="1">
        <f t="array" aca="1" ref="C117" ca="1">IF(B117&lt;=$C$9,GetGetCDSName(B117),"")</f>
        <v>MARKSANDSPENCERPLC_MMR.EUR.SU</v>
      </c>
      <c r="D117" s="373">
        <v>0</v>
      </c>
      <c r="E117" s="406">
        <v>1</v>
      </c>
      <c r="F117" s="325">
        <v>1</v>
      </c>
      <c r="G117" s="325">
        <v>0</v>
      </c>
      <c r="H117" s="325">
        <v>0</v>
      </c>
      <c r="I117" s="325">
        <v>0</v>
      </c>
      <c r="J117" s="325">
        <v>0</v>
      </c>
      <c r="K117" s="325"/>
      <c r="L117" s="325"/>
      <c r="M117" s="325"/>
      <c r="N117" s="407"/>
      <c r="O117" s="300"/>
      <c r="P117" s="300"/>
      <c r="Q117" s="300"/>
      <c r="R117" s="300"/>
      <c r="S117" s="300"/>
      <c r="T117" s="300"/>
      <c r="U117" s="300"/>
      <c r="V117" s="300"/>
      <c r="W117" s="300"/>
      <c r="X117" s="300"/>
      <c r="Y117" s="300"/>
      <c r="Z117" s="300"/>
      <c r="AA117" s="300"/>
      <c r="AB117" s="300"/>
      <c r="AC117" s="300"/>
      <c r="AD117" s="300"/>
      <c r="AE117" s="300"/>
    </row>
    <row r="118" spans="2:31" ht="15">
      <c r="B118" s="405">
        <f t="shared" si="5"/>
        <v>73</v>
      </c>
      <c r="C118" s="413" t="str" cm="1">
        <f t="array" aca="1" ref="C118" ca="1">IF(B118&lt;=$C$9,GetGetCDSName(B118),"")</f>
        <v>METRO_MMR.EUR.SU</v>
      </c>
      <c r="D118" s="373">
        <v>0</v>
      </c>
      <c r="E118" s="406">
        <v>0</v>
      </c>
      <c r="F118" s="325">
        <v>1</v>
      </c>
      <c r="G118" s="325">
        <v>0</v>
      </c>
      <c r="H118" s="325">
        <v>1</v>
      </c>
      <c r="I118" s="325">
        <v>0</v>
      </c>
      <c r="J118" s="325">
        <v>1</v>
      </c>
      <c r="K118" s="325"/>
      <c r="L118" s="325"/>
      <c r="M118" s="325"/>
      <c r="N118" s="407"/>
      <c r="O118" s="300"/>
      <c r="P118" s="300"/>
      <c r="Q118" s="300"/>
      <c r="R118" s="300"/>
      <c r="S118" s="300"/>
      <c r="T118" s="300"/>
      <c r="U118" s="300"/>
      <c r="V118" s="300"/>
      <c r="W118" s="300"/>
      <c r="X118" s="300"/>
      <c r="Y118" s="300"/>
      <c r="Z118" s="300"/>
      <c r="AA118" s="300"/>
      <c r="AB118" s="300"/>
      <c r="AC118" s="300"/>
      <c r="AD118" s="300"/>
      <c r="AE118" s="300"/>
    </row>
    <row r="119" spans="2:31" ht="15">
      <c r="B119" s="405">
        <f t="shared" si="5"/>
        <v>74</v>
      </c>
      <c r="C119" s="413" t="str" cm="1">
        <f t="array" aca="1" ref="C119" ca="1">IF(B119&lt;=$C$9,GetGetCDSName(B119),"")</f>
        <v>MICHELIN_MMR.EUR.SU</v>
      </c>
      <c r="D119" s="373">
        <v>0</v>
      </c>
      <c r="E119" s="406">
        <v>1</v>
      </c>
      <c r="F119" s="325">
        <v>1</v>
      </c>
      <c r="G119" s="325">
        <v>0</v>
      </c>
      <c r="H119" s="325">
        <v>1</v>
      </c>
      <c r="I119" s="325">
        <v>0</v>
      </c>
      <c r="J119" s="325">
        <v>0</v>
      </c>
      <c r="K119" s="325"/>
      <c r="L119" s="325"/>
      <c r="M119" s="325"/>
      <c r="N119" s="407"/>
      <c r="O119" s="300"/>
      <c r="P119" s="300"/>
      <c r="Q119" s="300"/>
      <c r="R119" s="300"/>
      <c r="S119" s="300"/>
      <c r="T119" s="300"/>
      <c r="U119" s="300"/>
      <c r="V119" s="300"/>
      <c r="W119" s="300"/>
      <c r="X119" s="300"/>
      <c r="Y119" s="300"/>
      <c r="Z119" s="300"/>
      <c r="AA119" s="300"/>
      <c r="AB119" s="300"/>
      <c r="AC119" s="300"/>
      <c r="AD119" s="300"/>
      <c r="AE119" s="300"/>
    </row>
    <row r="120" spans="2:31" ht="15">
      <c r="B120" s="405">
        <f t="shared" si="5"/>
        <v>75</v>
      </c>
      <c r="C120" s="413" t="str" cm="1">
        <f t="array" aca="1" ref="C120" ca="1">IF(B120&lt;=$C$9,GetGetCDSName(B120),"")</f>
        <v>MONTEDEIPASCHI_MMR.EUR.SU</v>
      </c>
      <c r="D120" s="373">
        <v>0</v>
      </c>
      <c r="E120" s="406">
        <v>0</v>
      </c>
      <c r="F120" s="325">
        <v>0</v>
      </c>
      <c r="G120" s="325">
        <v>0</v>
      </c>
      <c r="H120" s="325">
        <v>1</v>
      </c>
      <c r="I120" s="325">
        <v>0</v>
      </c>
      <c r="J120" s="325">
        <v>1</v>
      </c>
      <c r="K120" s="325"/>
      <c r="L120" s="325"/>
      <c r="M120" s="325"/>
      <c r="N120" s="407"/>
      <c r="O120" s="300"/>
      <c r="P120" s="300"/>
      <c r="Q120" s="300"/>
      <c r="R120" s="300"/>
      <c r="S120" s="300"/>
      <c r="T120" s="300"/>
      <c r="U120" s="300"/>
      <c r="V120" s="300"/>
      <c r="W120" s="300"/>
      <c r="X120" s="300"/>
      <c r="Y120" s="300"/>
      <c r="Z120" s="300"/>
      <c r="AA120" s="300"/>
      <c r="AB120" s="300"/>
      <c r="AC120" s="300"/>
      <c r="AD120" s="300"/>
      <c r="AE120" s="300"/>
    </row>
    <row r="121" spans="2:31" ht="15">
      <c r="B121" s="405">
        <f t="shared" si="5"/>
        <v>76</v>
      </c>
      <c r="C121" s="413" t="str" cm="1">
        <f t="array" aca="1" ref="C121" ca="1">IF(B121&lt;=$C$9,GetGetCDSName(B121),"")</f>
        <v>MUNICHRE_MMR.EUR.SU</v>
      </c>
      <c r="D121" s="373">
        <v>0</v>
      </c>
      <c r="E121" s="406">
        <v>0</v>
      </c>
      <c r="F121" s="325">
        <v>0</v>
      </c>
      <c r="G121" s="325">
        <v>1</v>
      </c>
      <c r="H121" s="325">
        <v>1</v>
      </c>
      <c r="I121" s="325">
        <v>0</v>
      </c>
      <c r="J121" s="325">
        <v>1</v>
      </c>
      <c r="K121" s="325"/>
      <c r="L121" s="325"/>
      <c r="M121" s="325"/>
      <c r="N121" s="407"/>
      <c r="O121" s="300"/>
      <c r="P121" s="300"/>
      <c r="Q121" s="300"/>
      <c r="R121" s="300"/>
      <c r="S121" s="300"/>
      <c r="T121" s="300"/>
      <c r="U121" s="300"/>
      <c r="V121" s="300"/>
      <c r="W121" s="300"/>
      <c r="X121" s="300"/>
      <c r="Y121" s="300"/>
      <c r="Z121" s="300"/>
      <c r="AA121" s="300"/>
      <c r="AB121" s="300"/>
      <c r="AC121" s="300"/>
      <c r="AD121" s="300"/>
      <c r="AE121" s="300"/>
    </row>
    <row r="122" spans="2:31" ht="15">
      <c r="B122" s="405">
        <f t="shared" si="5"/>
        <v>77</v>
      </c>
      <c r="C122" s="413" t="str" cm="1">
        <f t="array" aca="1" ref="C122" ca="1">IF(B122&lt;=$C$9,GetGetCDSName(B122),"")</f>
        <v>NATIONALGRIDTRANSCOPLC_MMR.EUR.SU</v>
      </c>
      <c r="D122" s="373">
        <v>0</v>
      </c>
      <c r="E122" s="406">
        <v>1</v>
      </c>
      <c r="F122" s="325">
        <v>0</v>
      </c>
      <c r="G122" s="325">
        <v>1</v>
      </c>
      <c r="H122" s="325">
        <v>0</v>
      </c>
      <c r="I122" s="325">
        <v>1</v>
      </c>
      <c r="J122" s="325">
        <v>0</v>
      </c>
      <c r="K122" s="325"/>
      <c r="L122" s="325"/>
      <c r="M122" s="325"/>
      <c r="N122" s="407"/>
      <c r="O122" s="300"/>
      <c r="P122" s="300"/>
      <c r="Q122" s="300"/>
      <c r="R122" s="300"/>
      <c r="S122" s="300"/>
      <c r="T122" s="300"/>
      <c r="U122" s="300"/>
      <c r="V122" s="300"/>
      <c r="W122" s="300"/>
      <c r="X122" s="300"/>
      <c r="Y122" s="300"/>
      <c r="Z122" s="300"/>
      <c r="AA122" s="300"/>
      <c r="AB122" s="300"/>
      <c r="AC122" s="300"/>
      <c r="AD122" s="300"/>
      <c r="AE122" s="300"/>
    </row>
    <row r="123" spans="2:31" ht="15">
      <c r="B123" s="405">
        <f t="shared" si="5"/>
        <v>78</v>
      </c>
      <c r="C123" s="413" t="str" cm="1">
        <f t="array" aca="1" ref="C123" ca="1">IF(B123&lt;=$C$9,GetGetCDSName(B123),"")</f>
        <v>NEXTPLC_MMR.EUR.SU</v>
      </c>
      <c r="D123" s="373">
        <v>0</v>
      </c>
      <c r="E123" s="406">
        <v>0</v>
      </c>
      <c r="F123" s="325">
        <v>0</v>
      </c>
      <c r="G123" s="325">
        <v>0</v>
      </c>
      <c r="H123" s="325">
        <v>0</v>
      </c>
      <c r="I123" s="325">
        <v>1</v>
      </c>
      <c r="J123" s="325">
        <v>1</v>
      </c>
      <c r="K123" s="325"/>
      <c r="L123" s="325"/>
      <c r="M123" s="325"/>
      <c r="N123" s="407"/>
      <c r="O123" s="300"/>
      <c r="P123" s="300"/>
      <c r="Q123" s="300"/>
      <c r="R123" s="300"/>
      <c r="S123" s="300"/>
      <c r="T123" s="300"/>
      <c r="U123" s="300"/>
      <c r="V123" s="300"/>
      <c r="W123" s="300"/>
      <c r="X123" s="300"/>
      <c r="Y123" s="300"/>
      <c r="Z123" s="300"/>
      <c r="AA123" s="300"/>
      <c r="AB123" s="300"/>
      <c r="AC123" s="300"/>
      <c r="AD123" s="300"/>
      <c r="AE123" s="300"/>
    </row>
    <row r="124" spans="2:31" ht="15">
      <c r="B124" s="405">
        <f t="shared" si="5"/>
        <v>79</v>
      </c>
      <c r="C124" s="413" t="str" cm="1">
        <f t="array" aca="1" ref="C124" ca="1">IF(B124&lt;=$C$9,GetGetCDSName(B124),"")</f>
        <v>PEARSON_MMR.EUR.SU</v>
      </c>
      <c r="D124" s="373">
        <v>0</v>
      </c>
      <c r="E124" s="406">
        <v>0</v>
      </c>
      <c r="F124" s="325">
        <v>0</v>
      </c>
      <c r="G124" s="325">
        <v>1</v>
      </c>
      <c r="H124" s="325">
        <v>0</v>
      </c>
      <c r="I124" s="325">
        <v>0</v>
      </c>
      <c r="J124" s="325">
        <v>1</v>
      </c>
      <c r="K124" s="325"/>
      <c r="L124" s="325"/>
      <c r="M124" s="325"/>
      <c r="N124" s="407"/>
      <c r="O124" s="300"/>
      <c r="P124" s="300"/>
      <c r="Q124" s="300"/>
      <c r="R124" s="300"/>
      <c r="S124" s="300"/>
      <c r="T124" s="300"/>
      <c r="U124" s="300"/>
      <c r="V124" s="300"/>
      <c r="W124" s="300"/>
      <c r="X124" s="300"/>
      <c r="Y124" s="300"/>
      <c r="Z124" s="300"/>
      <c r="AA124" s="300"/>
      <c r="AB124" s="300"/>
      <c r="AC124" s="300"/>
      <c r="AD124" s="300"/>
      <c r="AE124" s="300"/>
    </row>
    <row r="125" spans="2:31" ht="15">
      <c r="B125" s="405">
        <f t="shared" si="5"/>
        <v>80</v>
      </c>
      <c r="C125" s="413" t="str" cm="1">
        <f t="array" aca="1" ref="C125" ca="1">IF(B125&lt;=$C$9,GetGetCDSName(B125),"")</f>
        <v>PEUGEOT_MMR.EUR.SU</v>
      </c>
      <c r="D125" s="373">
        <v>0</v>
      </c>
      <c r="E125" s="406">
        <v>1</v>
      </c>
      <c r="F125" s="325">
        <v>1</v>
      </c>
      <c r="G125" s="325">
        <v>0</v>
      </c>
      <c r="H125" s="325">
        <v>0</v>
      </c>
      <c r="I125" s="325">
        <v>0</v>
      </c>
      <c r="J125" s="325">
        <v>0</v>
      </c>
      <c r="K125" s="325"/>
      <c r="L125" s="325"/>
      <c r="M125" s="325"/>
      <c r="N125" s="407"/>
      <c r="O125" s="300"/>
      <c r="P125" s="300"/>
      <c r="Q125" s="300"/>
      <c r="R125" s="300"/>
      <c r="S125" s="300"/>
      <c r="T125" s="300"/>
      <c r="U125" s="300"/>
      <c r="V125" s="300"/>
      <c r="W125" s="300"/>
      <c r="X125" s="300"/>
      <c r="Y125" s="300"/>
      <c r="Z125" s="300"/>
      <c r="AA125" s="300"/>
      <c r="AB125" s="300"/>
      <c r="AC125" s="300"/>
      <c r="AD125" s="300"/>
      <c r="AE125" s="300"/>
    </row>
    <row r="126" spans="2:31" ht="15">
      <c r="B126" s="405">
        <f t="shared" si="5"/>
        <v>81</v>
      </c>
      <c r="C126" s="413" t="str" cm="1">
        <f t="array" aca="1" ref="C126" ca="1">IF(B126&lt;=$C$9,GetGetCDSName(B126),"")</f>
        <v>PHILIPSELEC_MMR.EUR.SU</v>
      </c>
      <c r="D126" s="373">
        <v>0</v>
      </c>
      <c r="E126" s="406">
        <v>0</v>
      </c>
      <c r="F126" s="325">
        <v>0</v>
      </c>
      <c r="G126" s="325">
        <v>0</v>
      </c>
      <c r="H126" s="325">
        <v>1</v>
      </c>
      <c r="I126" s="325">
        <v>0</v>
      </c>
      <c r="J126" s="325">
        <v>1</v>
      </c>
      <c r="K126" s="325"/>
      <c r="L126" s="325"/>
      <c r="M126" s="325"/>
      <c r="N126" s="407"/>
      <c r="O126" s="300"/>
      <c r="P126" s="300"/>
      <c r="Q126" s="300"/>
      <c r="R126" s="300"/>
      <c r="S126" s="300"/>
      <c r="T126" s="300"/>
      <c r="U126" s="300"/>
      <c r="V126" s="300"/>
      <c r="W126" s="300"/>
      <c r="X126" s="300"/>
      <c r="Y126" s="300"/>
      <c r="Z126" s="300"/>
      <c r="AA126" s="300"/>
      <c r="AB126" s="300"/>
      <c r="AC126" s="300"/>
      <c r="AD126" s="300"/>
      <c r="AE126" s="300"/>
    </row>
    <row r="127" spans="2:31" ht="15">
      <c r="B127" s="405">
        <f t="shared" si="5"/>
        <v>82</v>
      </c>
      <c r="C127" s="413" t="str" cm="1">
        <f t="array" aca="1" ref="C127" ca="1">IF(B127&lt;=$C$9,GetGetCDSName(B127),"")</f>
        <v>PINAULTPRINTEMPS_MMR.EUR.SU</v>
      </c>
      <c r="D127" s="373">
        <v>0</v>
      </c>
      <c r="E127" s="406">
        <v>0</v>
      </c>
      <c r="F127" s="325">
        <v>0</v>
      </c>
      <c r="G127" s="325">
        <v>1</v>
      </c>
      <c r="H127" s="325">
        <v>1</v>
      </c>
      <c r="I127" s="325">
        <v>0</v>
      </c>
      <c r="J127" s="325">
        <v>0</v>
      </c>
      <c r="K127" s="325"/>
      <c r="L127" s="325"/>
      <c r="M127" s="325"/>
      <c r="N127" s="407"/>
      <c r="O127" s="300"/>
      <c r="P127" s="300"/>
      <c r="Q127" s="300"/>
      <c r="R127" s="300"/>
      <c r="S127" s="300"/>
      <c r="T127" s="300"/>
      <c r="U127" s="300"/>
      <c r="V127" s="300"/>
      <c r="W127" s="300"/>
      <c r="X127" s="300"/>
      <c r="Y127" s="300"/>
      <c r="Z127" s="300"/>
      <c r="AA127" s="300"/>
      <c r="AB127" s="300"/>
      <c r="AC127" s="300"/>
      <c r="AD127" s="300"/>
      <c r="AE127" s="300"/>
    </row>
    <row r="128" spans="2:31" ht="15">
      <c r="B128" s="405">
        <f t="shared" si="5"/>
        <v>83</v>
      </c>
      <c r="C128" s="413" t="str" cm="1">
        <f t="array" aca="1" ref="C128" ca="1">IF(B128&lt;=$C$9,GetGetCDSName(B128),"")</f>
        <v>PORTUGALTELECOM_MMR.EUR.SU</v>
      </c>
      <c r="D128" s="373">
        <v>0</v>
      </c>
      <c r="E128" s="406">
        <v>0</v>
      </c>
      <c r="F128" s="325">
        <v>0</v>
      </c>
      <c r="G128" s="325">
        <v>1</v>
      </c>
      <c r="H128" s="325">
        <v>0</v>
      </c>
      <c r="I128" s="325">
        <v>1</v>
      </c>
      <c r="J128" s="325">
        <v>1</v>
      </c>
      <c r="K128" s="325"/>
      <c r="L128" s="325"/>
      <c r="M128" s="325"/>
      <c r="N128" s="407"/>
      <c r="O128" s="300"/>
      <c r="P128" s="300"/>
      <c r="Q128" s="300"/>
      <c r="R128" s="300"/>
      <c r="S128" s="300"/>
      <c r="T128" s="300"/>
      <c r="U128" s="300"/>
      <c r="V128" s="300"/>
      <c r="W128" s="300"/>
      <c r="X128" s="300"/>
      <c r="Y128" s="300"/>
      <c r="Z128" s="300"/>
      <c r="AA128" s="300"/>
      <c r="AB128" s="300"/>
      <c r="AC128" s="300"/>
      <c r="AD128" s="300"/>
      <c r="AE128" s="300"/>
    </row>
    <row r="129" spans="2:31" ht="15">
      <c r="B129" s="405">
        <f t="shared" si="5"/>
        <v>84</v>
      </c>
      <c r="C129" s="413" t="str" cm="1">
        <f t="array" aca="1" ref="C129" ca="1">IF(B129&lt;=$C$9,GetGetCDSName(B129),"")</f>
        <v>REEDELSEVIER_MMR.EUR.SU</v>
      </c>
      <c r="D129" s="373">
        <v>0</v>
      </c>
      <c r="E129" s="406">
        <v>1</v>
      </c>
      <c r="F129" s="325">
        <v>0</v>
      </c>
      <c r="G129" s="325">
        <v>1</v>
      </c>
      <c r="H129" s="325">
        <v>1</v>
      </c>
      <c r="I129" s="325">
        <v>0</v>
      </c>
      <c r="J129" s="325">
        <v>0</v>
      </c>
      <c r="K129" s="325"/>
      <c r="L129" s="325"/>
      <c r="M129" s="325"/>
      <c r="N129" s="407"/>
      <c r="O129" s="300"/>
      <c r="P129" s="300"/>
      <c r="Q129" s="300"/>
      <c r="R129" s="300"/>
      <c r="S129" s="300"/>
      <c r="T129" s="300"/>
      <c r="U129" s="300"/>
      <c r="V129" s="300"/>
      <c r="W129" s="300"/>
      <c r="X129" s="300"/>
      <c r="Y129" s="300"/>
      <c r="Z129" s="300"/>
      <c r="AA129" s="300"/>
      <c r="AB129" s="300"/>
      <c r="AC129" s="300"/>
      <c r="AD129" s="300"/>
      <c r="AE129" s="300"/>
    </row>
    <row r="130" spans="2:31" ht="15">
      <c r="B130" s="405">
        <f t="shared" si="5"/>
        <v>85</v>
      </c>
      <c r="C130" s="413" t="str" cm="1">
        <f t="array" aca="1" ref="C130" ca="1">IF(B130&lt;=$C$9,GetGetCDSName(B130),"")</f>
        <v>RENAULT_MMR.EUR.SU</v>
      </c>
      <c r="D130" s="373">
        <v>0</v>
      </c>
      <c r="E130" s="406">
        <v>0</v>
      </c>
      <c r="F130" s="325">
        <v>1</v>
      </c>
      <c r="G130" s="325">
        <v>0</v>
      </c>
      <c r="H130" s="325">
        <v>0</v>
      </c>
      <c r="I130" s="325">
        <v>1</v>
      </c>
      <c r="J130" s="325">
        <v>0</v>
      </c>
      <c r="K130" s="325"/>
      <c r="L130" s="325"/>
      <c r="M130" s="325"/>
      <c r="N130" s="407"/>
      <c r="O130" s="300"/>
      <c r="P130" s="300"/>
      <c r="Q130" s="300"/>
      <c r="R130" s="300"/>
      <c r="S130" s="300"/>
      <c r="T130" s="300"/>
      <c r="U130" s="300"/>
      <c r="V130" s="300"/>
      <c r="W130" s="300"/>
      <c r="X130" s="300"/>
      <c r="Y130" s="300"/>
      <c r="Z130" s="300"/>
      <c r="AA130" s="300"/>
      <c r="AB130" s="300"/>
      <c r="AC130" s="300"/>
      <c r="AD130" s="300"/>
      <c r="AE130" s="300"/>
    </row>
    <row r="131" spans="2:31" ht="15">
      <c r="B131" s="405">
        <f t="shared" si="5"/>
        <v>86</v>
      </c>
      <c r="C131" s="413" t="str" cm="1">
        <f t="array" aca="1" ref="C131" ca="1">IF(B131&lt;=$C$9,GetGetCDSName(B131),"")</f>
        <v>REPSOL_MMR.EUR.SU</v>
      </c>
      <c r="D131" s="373">
        <v>0</v>
      </c>
      <c r="E131" s="406">
        <v>1</v>
      </c>
      <c r="F131" s="325">
        <v>0</v>
      </c>
      <c r="G131" s="325">
        <v>1</v>
      </c>
      <c r="H131" s="325">
        <v>0</v>
      </c>
      <c r="I131" s="325">
        <v>0</v>
      </c>
      <c r="J131" s="325">
        <v>0</v>
      </c>
      <c r="K131" s="325"/>
      <c r="L131" s="325"/>
      <c r="M131" s="325"/>
      <c r="N131" s="407"/>
      <c r="O131" s="300"/>
      <c r="P131" s="300"/>
      <c r="Q131" s="300"/>
      <c r="R131" s="300"/>
      <c r="S131" s="300"/>
      <c r="T131" s="300"/>
      <c r="U131" s="300"/>
      <c r="V131" s="300"/>
      <c r="W131" s="300"/>
      <c r="X131" s="300"/>
      <c r="Y131" s="300"/>
      <c r="Z131" s="300"/>
      <c r="AA131" s="300"/>
      <c r="AB131" s="300"/>
      <c r="AC131" s="300"/>
      <c r="AD131" s="300"/>
      <c r="AE131" s="300"/>
    </row>
    <row r="132" spans="2:31" ht="15">
      <c r="B132" s="405">
        <f t="shared" si="5"/>
        <v>87</v>
      </c>
      <c r="C132" s="413" t="str" cm="1">
        <f t="array" aca="1" ref="C132" ca="1">IF(B132&lt;=$C$9,GetGetCDSName(B132),"")</f>
        <v>REUTERS_MMR.EUR.SU</v>
      </c>
      <c r="D132" s="373">
        <v>0</v>
      </c>
      <c r="E132" s="406">
        <v>1</v>
      </c>
      <c r="F132" s="325">
        <v>0</v>
      </c>
      <c r="G132" s="325">
        <v>0</v>
      </c>
      <c r="H132" s="325">
        <v>1</v>
      </c>
      <c r="I132" s="325">
        <v>0</v>
      </c>
      <c r="J132" s="325">
        <v>0</v>
      </c>
      <c r="K132" s="325"/>
      <c r="L132" s="325"/>
      <c r="M132" s="325"/>
      <c r="N132" s="407"/>
      <c r="O132" s="300"/>
      <c r="P132" s="300"/>
      <c r="Q132" s="300"/>
      <c r="R132" s="300"/>
      <c r="S132" s="300"/>
      <c r="T132" s="300"/>
      <c r="U132" s="300"/>
      <c r="V132" s="300"/>
      <c r="W132" s="300"/>
      <c r="X132" s="300"/>
      <c r="Y132" s="300"/>
      <c r="Z132" s="300"/>
      <c r="AA132" s="300"/>
      <c r="AB132" s="300"/>
      <c r="AC132" s="300"/>
      <c r="AD132" s="300"/>
      <c r="AE132" s="300"/>
    </row>
    <row r="133" spans="2:31" ht="15">
      <c r="B133" s="405">
        <f t="shared" si="5"/>
        <v>88</v>
      </c>
      <c r="C133" s="413" t="str" cm="1">
        <f t="array" aca="1" ref="C133" ca="1">IF(B133&lt;=$C$9,GetGetCDSName(B133),"")</f>
        <v>ROYALBANKSCOTLAND_MMR.EUR.SU</v>
      </c>
      <c r="D133" s="373">
        <v>0</v>
      </c>
      <c r="E133" s="406">
        <v>0</v>
      </c>
      <c r="F133" s="325">
        <v>0</v>
      </c>
      <c r="G133" s="325">
        <v>1</v>
      </c>
      <c r="H133" s="325">
        <v>1</v>
      </c>
      <c r="I133" s="325">
        <v>1</v>
      </c>
      <c r="J133" s="325">
        <v>0</v>
      </c>
      <c r="K133" s="325"/>
      <c r="L133" s="325"/>
      <c r="M133" s="325"/>
      <c r="N133" s="407"/>
      <c r="O133" s="300"/>
      <c r="P133" s="300"/>
      <c r="Q133" s="300"/>
      <c r="R133" s="300"/>
      <c r="S133" s="300"/>
      <c r="T133" s="300"/>
      <c r="U133" s="300"/>
      <c r="V133" s="300"/>
      <c r="W133" s="300"/>
      <c r="X133" s="300"/>
      <c r="Y133" s="300"/>
      <c r="Z133" s="300"/>
      <c r="AA133" s="300"/>
      <c r="AB133" s="300"/>
      <c r="AC133" s="300"/>
      <c r="AD133" s="300"/>
      <c r="AE133" s="300"/>
    </row>
    <row r="134" spans="2:31" ht="15">
      <c r="B134" s="405">
        <f t="shared" si="5"/>
        <v>89</v>
      </c>
      <c r="C134" s="413" t="str" cm="1">
        <f t="array" aca="1" ref="C134" ca="1">IF(B134&lt;=$C$9,GetGetCDSName(B134),"")</f>
        <v>RWE_MMR.EUR.SU</v>
      </c>
      <c r="D134" s="373">
        <v>0</v>
      </c>
      <c r="E134" s="406">
        <v>0</v>
      </c>
      <c r="F134" s="325">
        <v>0</v>
      </c>
      <c r="G134" s="325">
        <v>0</v>
      </c>
      <c r="H134" s="325">
        <v>1</v>
      </c>
      <c r="I134" s="325">
        <v>1</v>
      </c>
      <c r="J134" s="325">
        <v>0</v>
      </c>
      <c r="K134" s="325"/>
      <c r="L134" s="325"/>
      <c r="M134" s="325"/>
      <c r="N134" s="407"/>
      <c r="O134" s="300"/>
      <c r="P134" s="300"/>
      <c r="Q134" s="300"/>
      <c r="R134" s="300"/>
      <c r="S134" s="300"/>
      <c r="T134" s="300"/>
      <c r="U134" s="300"/>
      <c r="V134" s="300"/>
      <c r="W134" s="300"/>
      <c r="X134" s="300"/>
      <c r="Y134" s="300"/>
      <c r="Z134" s="300"/>
      <c r="AA134" s="300"/>
      <c r="AB134" s="300"/>
      <c r="AC134" s="300"/>
      <c r="AD134" s="300"/>
      <c r="AE134" s="300"/>
    </row>
    <row r="135" spans="2:31" ht="15">
      <c r="B135" s="405">
        <f t="shared" si="5"/>
        <v>90</v>
      </c>
      <c r="C135" s="413" t="str" cm="1">
        <f t="array" aca="1" ref="C135" ca="1">IF(B135&lt;=$C$9,GetGetCDSName(B135),"")</f>
        <v>SAFEWAYPLC_MMR.EUR.SU</v>
      </c>
      <c r="D135" s="373">
        <v>0</v>
      </c>
      <c r="E135" s="406">
        <v>0</v>
      </c>
      <c r="F135" s="325">
        <v>1</v>
      </c>
      <c r="G135" s="325">
        <v>0</v>
      </c>
      <c r="H135" s="325">
        <v>1</v>
      </c>
      <c r="I135" s="325">
        <v>0</v>
      </c>
      <c r="J135" s="325">
        <v>0</v>
      </c>
      <c r="K135" s="325"/>
      <c r="L135" s="325"/>
      <c r="M135" s="325"/>
      <c r="N135" s="407"/>
      <c r="O135" s="300"/>
      <c r="P135" s="300"/>
      <c r="Q135" s="300"/>
      <c r="R135" s="300"/>
      <c r="S135" s="300"/>
      <c r="T135" s="300"/>
      <c r="U135" s="300"/>
      <c r="V135" s="300"/>
      <c r="W135" s="300"/>
      <c r="X135" s="300"/>
      <c r="Y135" s="300"/>
      <c r="Z135" s="300"/>
      <c r="AA135" s="300"/>
      <c r="AB135" s="300"/>
      <c r="AC135" s="300"/>
      <c r="AD135" s="300"/>
      <c r="AE135" s="300"/>
    </row>
    <row r="136" spans="2:31" ht="15">
      <c r="B136" s="405">
        <f t="shared" si="5"/>
        <v>91</v>
      </c>
      <c r="C136" s="413" t="str" cm="1">
        <f t="array" aca="1" ref="C136" ca="1">IF(B136&lt;=$C$9,GetGetCDSName(B136),"")</f>
        <v>SANOFIAVENTIS_MMR.EUR.SU</v>
      </c>
      <c r="D136" s="373">
        <v>0</v>
      </c>
      <c r="E136" s="406">
        <v>0</v>
      </c>
      <c r="F136" s="325">
        <v>1</v>
      </c>
      <c r="G136" s="325">
        <v>1</v>
      </c>
      <c r="H136" s="325">
        <v>0</v>
      </c>
      <c r="I136" s="325">
        <v>0</v>
      </c>
      <c r="J136" s="325">
        <v>1</v>
      </c>
      <c r="K136" s="325"/>
      <c r="L136" s="325"/>
      <c r="M136" s="325"/>
      <c r="N136" s="407"/>
      <c r="O136" s="300"/>
      <c r="P136" s="300"/>
      <c r="Q136" s="300"/>
      <c r="R136" s="300"/>
      <c r="S136" s="300"/>
      <c r="T136" s="300"/>
      <c r="U136" s="300"/>
      <c r="V136" s="300"/>
      <c r="W136" s="300"/>
      <c r="X136" s="300"/>
      <c r="Y136" s="300"/>
      <c r="Z136" s="300"/>
      <c r="AA136" s="300"/>
      <c r="AB136" s="300"/>
      <c r="AC136" s="300"/>
      <c r="AD136" s="300"/>
      <c r="AE136" s="300"/>
    </row>
    <row r="137" spans="2:31" ht="15">
      <c r="B137" s="405">
        <f t="shared" si="5"/>
        <v>92</v>
      </c>
      <c r="C137" s="413" t="str" cm="1">
        <f t="array" aca="1" ref="C137" ca="1">IF(B137&lt;=$C$9,GetGetCDSName(B137),"")</f>
        <v>SIEMENS_MMR.EUR.SU</v>
      </c>
      <c r="D137" s="373">
        <v>0</v>
      </c>
      <c r="E137" s="406">
        <v>0</v>
      </c>
      <c r="F137" s="325">
        <v>1</v>
      </c>
      <c r="G137" s="325">
        <v>0</v>
      </c>
      <c r="H137" s="325">
        <v>0</v>
      </c>
      <c r="I137" s="325">
        <v>1</v>
      </c>
      <c r="J137" s="325">
        <v>1</v>
      </c>
      <c r="K137" s="325"/>
      <c r="L137" s="325"/>
      <c r="M137" s="325"/>
      <c r="N137" s="407"/>
      <c r="O137" s="300"/>
      <c r="P137" s="300"/>
      <c r="Q137" s="300"/>
      <c r="R137" s="300"/>
      <c r="S137" s="300"/>
      <c r="T137" s="300"/>
      <c r="U137" s="300"/>
      <c r="V137" s="300"/>
      <c r="W137" s="300"/>
      <c r="X137" s="300"/>
      <c r="Y137" s="300"/>
      <c r="Z137" s="300"/>
      <c r="AA137" s="300"/>
      <c r="AB137" s="300"/>
      <c r="AC137" s="300"/>
      <c r="AD137" s="300"/>
      <c r="AE137" s="300"/>
    </row>
    <row r="138" spans="2:31" ht="15">
      <c r="B138" s="405">
        <f t="shared" si="5"/>
        <v>93</v>
      </c>
      <c r="C138" s="413" t="str" cm="1">
        <f t="array" aca="1" ref="C138" ca="1">IF(B138&lt;=$C$9,GetGetCDSName(B138),"")</f>
        <v>SODEXHOALLIANCE_MMR.EUR.SU</v>
      </c>
      <c r="D138" s="373">
        <v>0</v>
      </c>
      <c r="E138" s="406">
        <v>1</v>
      </c>
      <c r="F138" s="325">
        <v>1</v>
      </c>
      <c r="G138" s="325">
        <v>0</v>
      </c>
      <c r="H138" s="325">
        <v>0</v>
      </c>
      <c r="I138" s="325">
        <v>1</v>
      </c>
      <c r="J138" s="325">
        <v>0</v>
      </c>
      <c r="K138" s="325"/>
      <c r="L138" s="325"/>
      <c r="M138" s="325"/>
      <c r="N138" s="407"/>
      <c r="O138" s="300"/>
      <c r="P138" s="300"/>
      <c r="Q138" s="300"/>
      <c r="R138" s="300"/>
      <c r="S138" s="300"/>
      <c r="T138" s="300"/>
      <c r="U138" s="300"/>
      <c r="V138" s="300"/>
      <c r="W138" s="300"/>
      <c r="X138" s="300"/>
      <c r="Y138" s="300"/>
      <c r="Z138" s="300"/>
      <c r="AA138" s="300"/>
      <c r="AB138" s="300"/>
      <c r="AC138" s="300"/>
      <c r="AD138" s="300"/>
      <c r="AE138" s="300"/>
    </row>
    <row r="139" spans="2:31" ht="15">
      <c r="B139" s="405">
        <f t="shared" si="5"/>
        <v>94</v>
      </c>
      <c r="C139" s="413" t="str" cm="1">
        <f t="array" aca="1" ref="C139" ca="1">IF(B139&lt;=$C$9,GetGetCDSName(B139),"")</f>
        <v>SOLVAY_MMR.EUR.SU</v>
      </c>
      <c r="D139" s="373">
        <v>0</v>
      </c>
      <c r="E139" s="406">
        <v>1</v>
      </c>
      <c r="F139" s="325">
        <v>0</v>
      </c>
      <c r="G139" s="325">
        <v>0</v>
      </c>
      <c r="H139" s="325">
        <v>0</v>
      </c>
      <c r="I139" s="325">
        <v>1</v>
      </c>
      <c r="J139" s="325">
        <v>0</v>
      </c>
      <c r="K139" s="325"/>
      <c r="L139" s="325"/>
      <c r="M139" s="325"/>
      <c r="N139" s="407"/>
      <c r="O139" s="300"/>
      <c r="P139" s="300"/>
      <c r="Q139" s="300"/>
      <c r="R139" s="300"/>
      <c r="S139" s="300"/>
      <c r="T139" s="300"/>
      <c r="U139" s="300"/>
      <c r="V139" s="300"/>
      <c r="W139" s="300"/>
      <c r="X139" s="300"/>
      <c r="Y139" s="300"/>
      <c r="Z139" s="300"/>
      <c r="AA139" s="300"/>
      <c r="AB139" s="300"/>
      <c r="AC139" s="300"/>
      <c r="AD139" s="300"/>
      <c r="AE139" s="300"/>
    </row>
    <row r="140" spans="2:31" ht="15">
      <c r="B140" s="405">
        <f t="shared" si="5"/>
        <v>95</v>
      </c>
      <c r="C140" s="413" t="str" cm="1">
        <f t="array" aca="1" ref="C140" ca="1">IF(B140&lt;=$C$9,GetGetCDSName(B140),"")</f>
        <v>STGOBAIN_MMR.EUR.SU</v>
      </c>
      <c r="D140" s="373">
        <v>0</v>
      </c>
      <c r="E140" s="406">
        <v>1</v>
      </c>
      <c r="F140" s="325">
        <v>1</v>
      </c>
      <c r="G140" s="325">
        <v>0</v>
      </c>
      <c r="H140" s="325">
        <v>0</v>
      </c>
      <c r="I140" s="325">
        <v>1</v>
      </c>
      <c r="J140" s="325">
        <v>0</v>
      </c>
      <c r="K140" s="325"/>
      <c r="L140" s="325"/>
      <c r="M140" s="325"/>
      <c r="N140" s="407"/>
      <c r="O140" s="300"/>
      <c r="P140" s="300"/>
      <c r="Q140" s="300"/>
      <c r="R140" s="300"/>
      <c r="S140" s="300"/>
      <c r="T140" s="300"/>
      <c r="U140" s="300"/>
      <c r="V140" s="300"/>
      <c r="W140" s="300"/>
      <c r="X140" s="300"/>
      <c r="Y140" s="300"/>
      <c r="Z140" s="300"/>
      <c r="AA140" s="300"/>
      <c r="AB140" s="300"/>
      <c r="AC140" s="300"/>
      <c r="AD140" s="300"/>
      <c r="AE140" s="300"/>
    </row>
    <row r="141" spans="2:31" ht="15">
      <c r="B141" s="405">
        <f t="shared" si="5"/>
        <v>96</v>
      </c>
      <c r="C141" s="413" t="str" cm="1">
        <f t="array" aca="1" ref="C141" ca="1">IF(B141&lt;=$C$9,GetGetCDSName(B141),"")</f>
        <v>STMICRO_MMR.EUR.SU</v>
      </c>
      <c r="D141" s="373">
        <v>0</v>
      </c>
      <c r="E141" s="406">
        <v>0</v>
      </c>
      <c r="F141" s="325">
        <v>0</v>
      </c>
      <c r="G141" s="325">
        <v>0</v>
      </c>
      <c r="H141" s="325">
        <v>0</v>
      </c>
      <c r="I141" s="325">
        <v>0</v>
      </c>
      <c r="J141" s="325">
        <v>1</v>
      </c>
      <c r="K141" s="325"/>
      <c r="L141" s="325"/>
      <c r="M141" s="325"/>
      <c r="N141" s="407"/>
      <c r="O141" s="300"/>
      <c r="P141" s="300"/>
      <c r="Q141" s="300"/>
      <c r="R141" s="300"/>
      <c r="S141" s="300"/>
      <c r="T141" s="300"/>
      <c r="U141" s="300"/>
      <c r="V141" s="300"/>
      <c r="W141" s="300"/>
      <c r="X141" s="300"/>
      <c r="Y141" s="300"/>
      <c r="Z141" s="300"/>
      <c r="AA141" s="300"/>
      <c r="AB141" s="300"/>
      <c r="AC141" s="300"/>
      <c r="AD141" s="300"/>
      <c r="AE141" s="300"/>
    </row>
    <row r="142" spans="2:31" ht="15">
      <c r="B142" s="405">
        <f t="shared" si="5"/>
        <v>97</v>
      </c>
      <c r="C142" s="413" t="str" cm="1">
        <f t="array" aca="1" ref="C142" ca="1">IF(B142&lt;=$C$9,GetGetCDSName(B142),"")</f>
        <v>SUEDZUCKERAG_MMR.EUR.SU</v>
      </c>
      <c r="D142" s="373">
        <v>0</v>
      </c>
      <c r="E142" s="406">
        <v>1</v>
      </c>
      <c r="F142" s="325">
        <v>0</v>
      </c>
      <c r="G142" s="325">
        <v>0</v>
      </c>
      <c r="H142" s="325">
        <v>0</v>
      </c>
      <c r="I142" s="325">
        <v>0</v>
      </c>
      <c r="J142" s="325">
        <v>0</v>
      </c>
      <c r="K142" s="325"/>
      <c r="L142" s="325"/>
      <c r="M142" s="325"/>
      <c r="N142" s="407"/>
      <c r="O142" s="300"/>
      <c r="P142" s="300"/>
      <c r="Q142" s="300"/>
      <c r="R142" s="300"/>
      <c r="S142" s="300"/>
      <c r="T142" s="300"/>
      <c r="U142" s="300"/>
      <c r="V142" s="300"/>
      <c r="W142" s="300"/>
      <c r="X142" s="300"/>
      <c r="Y142" s="300"/>
      <c r="Z142" s="300"/>
      <c r="AA142" s="300"/>
      <c r="AB142" s="300"/>
      <c r="AC142" s="300"/>
      <c r="AD142" s="300"/>
      <c r="AE142" s="300"/>
    </row>
    <row r="143" spans="2:31" ht="15">
      <c r="B143" s="405">
        <f t="shared" si="5"/>
        <v>98</v>
      </c>
      <c r="C143" s="413" t="str" cm="1">
        <f t="array" aca="1" ref="C143" ca="1">IF(B143&lt;=$C$9,GetGetCDSName(B143),"")</f>
        <v>SUEZLYONNAISE_MMR.EUR.SU</v>
      </c>
      <c r="D143" s="373">
        <v>0</v>
      </c>
      <c r="E143" s="406">
        <v>0</v>
      </c>
      <c r="F143" s="325">
        <v>0</v>
      </c>
      <c r="G143" s="325">
        <v>1</v>
      </c>
      <c r="H143" s="325">
        <v>0</v>
      </c>
      <c r="I143" s="325">
        <v>0</v>
      </c>
      <c r="J143" s="325">
        <v>0</v>
      </c>
      <c r="K143" s="325"/>
      <c r="L143" s="325"/>
      <c r="M143" s="325"/>
      <c r="N143" s="407"/>
      <c r="O143" s="300"/>
      <c r="P143" s="300"/>
      <c r="Q143" s="300"/>
      <c r="R143" s="300"/>
      <c r="S143" s="300"/>
      <c r="T143" s="300"/>
      <c r="U143" s="300"/>
      <c r="V143" s="300"/>
      <c r="W143" s="300"/>
      <c r="X143" s="300"/>
      <c r="Y143" s="300"/>
      <c r="Z143" s="300"/>
      <c r="AA143" s="300"/>
      <c r="AB143" s="300"/>
      <c r="AC143" s="300"/>
      <c r="AD143" s="300"/>
      <c r="AE143" s="300"/>
    </row>
    <row r="144" spans="2:31" ht="15">
      <c r="B144" s="405">
        <f t="shared" si="5"/>
        <v>99</v>
      </c>
      <c r="C144" s="413" t="str" cm="1">
        <f t="array" aca="1" ref="C144" ca="1">IF(B144&lt;=$C$9,GetGetCDSName(B144),"")</f>
        <v>SVENSKACELLULOSAAB_MMR.EUR.SU</v>
      </c>
      <c r="D144" s="373">
        <v>0</v>
      </c>
      <c r="E144" s="406">
        <v>0</v>
      </c>
      <c r="F144" s="325">
        <v>0</v>
      </c>
      <c r="G144" s="325">
        <v>0</v>
      </c>
      <c r="H144" s="325">
        <v>0</v>
      </c>
      <c r="I144" s="325">
        <v>1</v>
      </c>
      <c r="J144" s="325">
        <v>0</v>
      </c>
      <c r="K144" s="325"/>
      <c r="L144" s="325"/>
      <c r="M144" s="325"/>
      <c r="N144" s="407"/>
      <c r="O144" s="300"/>
      <c r="P144" s="300"/>
      <c r="Q144" s="300"/>
      <c r="R144" s="300"/>
      <c r="S144" s="300"/>
      <c r="T144" s="300"/>
      <c r="U144" s="300"/>
      <c r="V144" s="300"/>
      <c r="W144" s="300"/>
      <c r="X144" s="300"/>
      <c r="Y144" s="300"/>
      <c r="Z144" s="300"/>
      <c r="AA144" s="300"/>
      <c r="AB144" s="300"/>
      <c r="AC144" s="300"/>
      <c r="AD144" s="300"/>
      <c r="AE144" s="300"/>
    </row>
    <row r="145" spans="2:31" ht="15">
      <c r="B145" s="405">
        <f t="shared" si="5"/>
        <v>100</v>
      </c>
      <c r="C145" s="413" t="str" cm="1">
        <f t="array" aca="1" ref="C145" ca="1">IF(B145&lt;=$C$9,GetGetCDSName(B145),"")</f>
        <v>SWISSRE_MMR.EUR.SU</v>
      </c>
      <c r="D145" s="373">
        <v>0</v>
      </c>
      <c r="E145" s="406">
        <v>0</v>
      </c>
      <c r="F145" s="325">
        <v>0</v>
      </c>
      <c r="G145" s="325">
        <v>1</v>
      </c>
      <c r="H145" s="325">
        <v>0</v>
      </c>
      <c r="I145" s="325">
        <v>1</v>
      </c>
      <c r="J145" s="325">
        <v>1</v>
      </c>
      <c r="K145" s="325"/>
      <c r="L145" s="325"/>
      <c r="M145" s="325"/>
      <c r="N145" s="407"/>
      <c r="O145" s="300"/>
      <c r="P145" s="300"/>
      <c r="Q145" s="300"/>
      <c r="R145" s="300"/>
      <c r="S145" s="300"/>
      <c r="T145" s="300"/>
      <c r="U145" s="300"/>
      <c r="V145" s="300"/>
      <c r="W145" s="300"/>
      <c r="X145" s="300"/>
      <c r="Y145" s="300"/>
      <c r="Z145" s="300"/>
      <c r="AA145" s="300"/>
      <c r="AB145" s="300"/>
      <c r="AC145" s="300"/>
      <c r="AD145" s="300"/>
      <c r="AE145" s="300"/>
    </row>
    <row r="146" spans="2:31" ht="15">
      <c r="B146" s="405">
        <f t="shared" si="5"/>
        <v>101</v>
      </c>
      <c r="C146" s="413" t="str" cm="1">
        <f t="array" aca="1" ref="C146" ca="1">IF(B146&lt;=$C$9,GetGetCDSName(B146),"")</f>
        <v>TATE&amp;LYLE_MMR.EUR.SU</v>
      </c>
      <c r="D146" s="373">
        <v>0</v>
      </c>
      <c r="E146" s="406">
        <v>0</v>
      </c>
      <c r="F146" s="325">
        <v>1</v>
      </c>
      <c r="G146" s="325">
        <v>1</v>
      </c>
      <c r="H146" s="325">
        <v>0</v>
      </c>
      <c r="I146" s="325">
        <v>0</v>
      </c>
      <c r="J146" s="325">
        <v>0</v>
      </c>
      <c r="K146" s="325"/>
      <c r="L146" s="325"/>
      <c r="M146" s="325"/>
      <c r="N146" s="407"/>
      <c r="O146" s="300"/>
      <c r="P146" s="300"/>
      <c r="Q146" s="300"/>
      <c r="R146" s="300"/>
      <c r="S146" s="300"/>
      <c r="T146" s="300"/>
      <c r="U146" s="300"/>
      <c r="V146" s="300"/>
      <c r="W146" s="300"/>
      <c r="X146" s="300"/>
      <c r="Y146" s="300"/>
      <c r="Z146" s="300"/>
      <c r="AA146" s="300"/>
      <c r="AB146" s="300"/>
      <c r="AC146" s="300"/>
      <c r="AD146" s="300"/>
      <c r="AE146" s="300"/>
    </row>
    <row r="147" spans="2:31" ht="15">
      <c r="B147" s="405">
        <f t="shared" si="5"/>
        <v>102</v>
      </c>
      <c r="C147" s="413" t="str" cm="1">
        <f t="array" aca="1" ref="C147" ca="1">IF(B147&lt;=$C$9,GetGetCDSName(B147),"")</f>
        <v>TELECOMITALIA_MMR.EUR.SU</v>
      </c>
      <c r="D147" s="373">
        <v>0</v>
      </c>
      <c r="E147" s="406">
        <v>1</v>
      </c>
      <c r="F147" s="325">
        <v>1</v>
      </c>
      <c r="G147" s="325">
        <v>0</v>
      </c>
      <c r="H147" s="325">
        <v>0</v>
      </c>
      <c r="I147" s="325">
        <v>0</v>
      </c>
      <c r="J147" s="325">
        <v>0</v>
      </c>
      <c r="K147" s="325"/>
      <c r="L147" s="325"/>
      <c r="M147" s="325"/>
      <c r="N147" s="407"/>
      <c r="O147" s="300"/>
      <c r="P147" s="300"/>
      <c r="Q147" s="300"/>
      <c r="R147" s="300"/>
      <c r="S147" s="300"/>
      <c r="T147" s="300"/>
      <c r="U147" s="300"/>
      <c r="V147" s="300"/>
      <c r="W147" s="300"/>
      <c r="X147" s="300"/>
      <c r="Y147" s="300"/>
      <c r="Z147" s="300"/>
      <c r="AA147" s="300"/>
      <c r="AB147" s="300"/>
      <c r="AC147" s="300"/>
      <c r="AD147" s="300"/>
      <c r="AE147" s="300"/>
    </row>
    <row r="148" spans="2:31" ht="15">
      <c r="B148" s="405">
        <f t="shared" si="5"/>
        <v>103</v>
      </c>
      <c r="C148" s="413" t="str" cm="1">
        <f t="array" aca="1" ref="C148" ca="1">IF(B148&lt;=$C$9,GetGetCDSName(B148),"")</f>
        <v>TELEFONICA_MMR.EUR.SU</v>
      </c>
      <c r="D148" s="373">
        <v>0</v>
      </c>
      <c r="E148" s="406">
        <v>0</v>
      </c>
      <c r="F148" s="325">
        <v>0</v>
      </c>
      <c r="G148" s="325">
        <v>0</v>
      </c>
      <c r="H148" s="325">
        <v>1</v>
      </c>
      <c r="I148" s="325">
        <v>0</v>
      </c>
      <c r="J148" s="325">
        <v>0</v>
      </c>
      <c r="K148" s="325"/>
      <c r="L148" s="325"/>
      <c r="M148" s="325"/>
      <c r="N148" s="407"/>
      <c r="O148" s="300"/>
      <c r="P148" s="300"/>
      <c r="Q148" s="300"/>
      <c r="R148" s="300"/>
      <c r="S148" s="300"/>
      <c r="T148" s="300"/>
      <c r="U148" s="300"/>
      <c r="V148" s="300"/>
      <c r="W148" s="300"/>
      <c r="X148" s="300"/>
      <c r="Y148" s="300"/>
      <c r="Z148" s="300"/>
      <c r="AA148" s="300"/>
      <c r="AB148" s="300"/>
      <c r="AC148" s="300"/>
      <c r="AD148" s="300"/>
      <c r="AE148" s="300"/>
    </row>
    <row r="149" spans="2:31" ht="15">
      <c r="B149" s="405">
        <f t="shared" si="5"/>
        <v>104</v>
      </c>
      <c r="C149" s="413" t="str" cm="1">
        <f t="array" aca="1" ref="C149" ca="1">IF(B149&lt;=$C$9,GetGetCDSName(B149),"")</f>
        <v>TELEKOMAUSTRIA_MMR.EUR.SU</v>
      </c>
      <c r="D149" s="373">
        <v>0</v>
      </c>
      <c r="E149" s="406">
        <v>0</v>
      </c>
      <c r="F149" s="325">
        <v>0</v>
      </c>
      <c r="G149" s="325">
        <v>0</v>
      </c>
      <c r="H149" s="325">
        <v>0</v>
      </c>
      <c r="I149" s="325">
        <v>0</v>
      </c>
      <c r="J149" s="325">
        <v>1</v>
      </c>
      <c r="K149" s="325"/>
      <c r="L149" s="325"/>
      <c r="M149" s="325"/>
      <c r="N149" s="407"/>
      <c r="O149" s="300"/>
      <c r="P149" s="300"/>
      <c r="Q149" s="300"/>
      <c r="R149" s="300"/>
      <c r="S149" s="300"/>
      <c r="T149" s="300"/>
      <c r="U149" s="300"/>
      <c r="V149" s="300"/>
      <c r="W149" s="300"/>
      <c r="X149" s="300"/>
      <c r="Y149" s="300"/>
      <c r="Z149" s="300"/>
      <c r="AA149" s="300"/>
      <c r="AB149" s="300"/>
      <c r="AC149" s="300"/>
      <c r="AD149" s="300"/>
      <c r="AE149" s="300"/>
    </row>
    <row r="150" spans="2:31" ht="15">
      <c r="B150" s="405">
        <f t="shared" si="5"/>
        <v>105</v>
      </c>
      <c r="C150" s="413" t="str" cm="1">
        <f t="array" aca="1" ref="C150" ca="1">IF(B150&lt;=$C$9,GetGetCDSName(B150),"")</f>
        <v>TELENOR_MMR.EUR.SU</v>
      </c>
      <c r="D150" s="373">
        <v>0</v>
      </c>
      <c r="E150" s="406">
        <v>0</v>
      </c>
      <c r="F150" s="325">
        <v>1</v>
      </c>
      <c r="G150" s="325">
        <v>0</v>
      </c>
      <c r="H150" s="325">
        <v>1</v>
      </c>
      <c r="I150" s="325">
        <v>1</v>
      </c>
      <c r="J150" s="325">
        <v>0</v>
      </c>
      <c r="K150" s="325"/>
      <c r="L150" s="325"/>
      <c r="M150" s="325"/>
      <c r="N150" s="407"/>
      <c r="O150" s="300"/>
      <c r="P150" s="300"/>
      <c r="Q150" s="300"/>
      <c r="R150" s="300"/>
      <c r="S150" s="300"/>
      <c r="T150" s="300"/>
      <c r="U150" s="300"/>
      <c r="V150" s="300"/>
      <c r="W150" s="300"/>
      <c r="X150" s="300"/>
      <c r="Y150" s="300"/>
      <c r="Z150" s="300"/>
      <c r="AA150" s="300"/>
      <c r="AB150" s="300"/>
      <c r="AC150" s="300"/>
      <c r="AD150" s="300"/>
      <c r="AE150" s="300"/>
    </row>
    <row r="151" spans="2:31" ht="15">
      <c r="B151" s="405">
        <f t="shared" si="5"/>
        <v>106</v>
      </c>
      <c r="C151" s="413" t="str" cm="1">
        <f t="array" aca="1" ref="C151" ca="1">IF(B151&lt;=$C$9,GetGetCDSName(B151),"")</f>
        <v>TELIA_MMR.EUR.SU</v>
      </c>
      <c r="D151" s="373">
        <v>0</v>
      </c>
      <c r="E151" s="406">
        <v>0</v>
      </c>
      <c r="F151" s="325">
        <v>0</v>
      </c>
      <c r="G151" s="325">
        <v>0</v>
      </c>
      <c r="H151" s="325">
        <v>0</v>
      </c>
      <c r="I151" s="325">
        <v>1</v>
      </c>
      <c r="J151" s="325">
        <v>0</v>
      </c>
      <c r="K151" s="325"/>
      <c r="L151" s="325"/>
      <c r="M151" s="325"/>
      <c r="N151" s="407"/>
      <c r="O151" s="300"/>
      <c r="P151" s="300"/>
      <c r="Q151" s="300"/>
      <c r="R151" s="300"/>
      <c r="S151" s="300"/>
      <c r="T151" s="300"/>
      <c r="U151" s="300"/>
      <c r="V151" s="300"/>
      <c r="W151" s="300"/>
      <c r="X151" s="300"/>
      <c r="Y151" s="300"/>
      <c r="Z151" s="300"/>
      <c r="AA151" s="300"/>
      <c r="AB151" s="300"/>
      <c r="AC151" s="300"/>
      <c r="AD151" s="300"/>
      <c r="AE151" s="300"/>
    </row>
    <row r="152" spans="2:31" ht="15">
      <c r="B152" s="405">
        <f t="shared" si="5"/>
        <v>107</v>
      </c>
      <c r="C152" s="413" t="str" cm="1">
        <f t="array" aca="1" ref="C152" ca="1">IF(B152&lt;=$C$9,GetGetCDSName(B152),"")</f>
        <v>TESCO_MMR.EUR.SU</v>
      </c>
      <c r="D152" s="373">
        <v>0</v>
      </c>
      <c r="E152" s="406">
        <v>0</v>
      </c>
      <c r="F152" s="325">
        <v>0</v>
      </c>
      <c r="G152" s="325">
        <v>1</v>
      </c>
      <c r="H152" s="325">
        <v>0</v>
      </c>
      <c r="I152" s="325">
        <v>0</v>
      </c>
      <c r="J152" s="325">
        <v>0</v>
      </c>
      <c r="K152" s="325"/>
      <c r="L152" s="325"/>
      <c r="M152" s="325"/>
      <c r="N152" s="407"/>
      <c r="O152" s="300"/>
      <c r="P152" s="300"/>
      <c r="Q152" s="300"/>
      <c r="R152" s="300"/>
      <c r="S152" s="300"/>
      <c r="T152" s="300"/>
      <c r="U152" s="300"/>
      <c r="V152" s="300"/>
      <c r="W152" s="300"/>
      <c r="X152" s="300"/>
      <c r="Y152" s="300"/>
      <c r="Z152" s="300"/>
      <c r="AA152" s="300"/>
      <c r="AB152" s="300"/>
      <c r="AC152" s="300"/>
      <c r="AD152" s="300"/>
      <c r="AE152" s="300"/>
    </row>
    <row r="153" spans="2:31" ht="15">
      <c r="B153" s="405">
        <f t="shared" si="5"/>
        <v>108</v>
      </c>
      <c r="C153" s="413" t="str" cm="1">
        <f t="array" aca="1" ref="C153" ca="1">IF(B153&lt;=$C$9,GetGetCDSName(B153),"")</f>
        <v>THYSSENKRUPPAG_MMR.EUR.SU</v>
      </c>
      <c r="D153" s="373">
        <v>0</v>
      </c>
      <c r="E153" s="406">
        <v>0</v>
      </c>
      <c r="F153" s="325">
        <v>0</v>
      </c>
      <c r="G153" s="325">
        <v>0</v>
      </c>
      <c r="H153" s="325">
        <v>1</v>
      </c>
      <c r="I153" s="325">
        <v>1</v>
      </c>
      <c r="J153" s="325">
        <v>1</v>
      </c>
      <c r="K153" s="325"/>
      <c r="L153" s="325"/>
      <c r="M153" s="325"/>
      <c r="N153" s="407"/>
      <c r="O153" s="300"/>
      <c r="P153" s="300"/>
      <c r="Q153" s="300"/>
      <c r="R153" s="300"/>
      <c r="S153" s="300"/>
      <c r="T153" s="300"/>
      <c r="U153" s="300"/>
      <c r="V153" s="300"/>
      <c r="W153" s="300"/>
      <c r="X153" s="300"/>
      <c r="Y153" s="300"/>
      <c r="Z153" s="300"/>
      <c r="AA153" s="300"/>
      <c r="AB153" s="300"/>
      <c r="AC153" s="300"/>
      <c r="AD153" s="300"/>
      <c r="AE153" s="300"/>
    </row>
    <row r="154" spans="2:31" ht="15">
      <c r="B154" s="405">
        <f t="shared" si="5"/>
        <v>109</v>
      </c>
      <c r="C154" s="413" t="str" cm="1">
        <f t="array" aca="1" ref="C154" ca="1">IF(B154&lt;=$C$9,GetGetCDSName(B154),"")</f>
        <v>UBS_MMR.EUR.SU</v>
      </c>
      <c r="D154" s="373">
        <v>0</v>
      </c>
      <c r="E154" s="406">
        <v>1</v>
      </c>
      <c r="F154" s="325">
        <v>0</v>
      </c>
      <c r="G154" s="325">
        <v>0</v>
      </c>
      <c r="H154" s="325">
        <v>0</v>
      </c>
      <c r="I154" s="325">
        <v>0</v>
      </c>
      <c r="J154" s="325">
        <v>0</v>
      </c>
      <c r="K154" s="325"/>
      <c r="L154" s="325"/>
      <c r="M154" s="325"/>
      <c r="N154" s="407"/>
      <c r="O154" s="300"/>
      <c r="P154" s="300"/>
      <c r="Q154" s="300"/>
      <c r="R154" s="300"/>
      <c r="S154" s="300"/>
      <c r="T154" s="300"/>
      <c r="U154" s="300"/>
      <c r="V154" s="300"/>
      <c r="W154" s="300"/>
      <c r="X154" s="300"/>
      <c r="Y154" s="300"/>
      <c r="Z154" s="300"/>
      <c r="AA154" s="300"/>
      <c r="AB154" s="300"/>
      <c r="AC154" s="300"/>
      <c r="AD154" s="300"/>
      <c r="AE154" s="300"/>
    </row>
    <row r="155" spans="2:31" ht="15">
      <c r="B155" s="405">
        <f t="shared" si="5"/>
        <v>110</v>
      </c>
      <c r="C155" s="413" t="str" cm="1">
        <f t="array" aca="1" ref="C155" ca="1">IF(B155&lt;=$C$9,GetGetCDSName(B155),"")</f>
        <v>UNICREDITOITALIANO_MMR.EUR.SU</v>
      </c>
      <c r="D155" s="373">
        <v>0</v>
      </c>
      <c r="E155" s="406">
        <v>1</v>
      </c>
      <c r="F155" s="325">
        <v>0</v>
      </c>
      <c r="G155" s="325">
        <v>0</v>
      </c>
      <c r="H155" s="325">
        <v>1</v>
      </c>
      <c r="I155" s="325">
        <v>1</v>
      </c>
      <c r="J155" s="325">
        <v>0</v>
      </c>
      <c r="K155" s="325"/>
      <c r="L155" s="325"/>
      <c r="M155" s="325"/>
      <c r="N155" s="407"/>
      <c r="O155" s="300"/>
      <c r="P155" s="300"/>
      <c r="Q155" s="300"/>
      <c r="R155" s="300"/>
      <c r="S155" s="300"/>
      <c r="T155" s="300"/>
      <c r="U155" s="300"/>
      <c r="V155" s="300"/>
      <c r="W155" s="300"/>
      <c r="X155" s="300"/>
      <c r="Y155" s="300"/>
      <c r="Z155" s="300"/>
      <c r="AA155" s="300"/>
      <c r="AB155" s="300"/>
      <c r="AC155" s="300"/>
      <c r="AD155" s="300"/>
      <c r="AE155" s="300"/>
    </row>
    <row r="156" spans="2:31" ht="15">
      <c r="B156" s="405">
        <f t="shared" si="5"/>
        <v>111</v>
      </c>
      <c r="C156" s="413" t="str" cm="1">
        <f t="array" aca="1" ref="C156" ca="1">IF(B156&lt;=$C$9,GetGetCDSName(B156),"")</f>
        <v>UNILEVER_MMR.EUR.SU</v>
      </c>
      <c r="D156" s="373">
        <v>0</v>
      </c>
      <c r="E156" s="406">
        <v>0</v>
      </c>
      <c r="F156" s="325">
        <v>0</v>
      </c>
      <c r="G156" s="325">
        <v>0</v>
      </c>
      <c r="H156" s="325">
        <v>0</v>
      </c>
      <c r="I156" s="325">
        <v>1</v>
      </c>
      <c r="J156" s="325">
        <v>1</v>
      </c>
      <c r="K156" s="325"/>
      <c r="L156" s="325"/>
      <c r="M156" s="325"/>
      <c r="N156" s="407"/>
      <c r="O156" s="300"/>
      <c r="P156" s="300"/>
      <c r="Q156" s="300"/>
      <c r="R156" s="300"/>
      <c r="S156" s="300"/>
      <c r="T156" s="300"/>
      <c r="U156" s="300"/>
      <c r="V156" s="300"/>
      <c r="W156" s="300"/>
      <c r="X156" s="300"/>
      <c r="Y156" s="300"/>
      <c r="Z156" s="300"/>
      <c r="AA156" s="300"/>
      <c r="AB156" s="300"/>
      <c r="AC156" s="300"/>
      <c r="AD156" s="300"/>
      <c r="AE156" s="300"/>
    </row>
    <row r="157" spans="2:31" ht="15">
      <c r="B157" s="405">
        <f t="shared" si="5"/>
        <v>112</v>
      </c>
      <c r="C157" s="413" t="str" cm="1">
        <f t="array" aca="1" ref="C157" ca="1">IF(B157&lt;=$C$9,GetGetCDSName(B157),"")</f>
        <v>UNIONFENOSA_MMR.EUR.SU</v>
      </c>
      <c r="D157" s="373">
        <v>0</v>
      </c>
      <c r="E157" s="406">
        <v>0</v>
      </c>
      <c r="F157" s="325">
        <v>0</v>
      </c>
      <c r="G157" s="325">
        <v>1</v>
      </c>
      <c r="H157" s="325">
        <v>1</v>
      </c>
      <c r="I157" s="325">
        <v>0</v>
      </c>
      <c r="J157" s="325">
        <v>0</v>
      </c>
      <c r="K157" s="325"/>
      <c r="L157" s="325"/>
      <c r="M157" s="325"/>
      <c r="N157" s="407"/>
      <c r="O157" s="300"/>
      <c r="P157" s="300"/>
      <c r="Q157" s="300"/>
      <c r="R157" s="300"/>
      <c r="S157" s="300"/>
      <c r="T157" s="300"/>
      <c r="U157" s="300"/>
      <c r="V157" s="300"/>
      <c r="W157" s="300"/>
      <c r="X157" s="300"/>
      <c r="Y157" s="300"/>
      <c r="Z157" s="300"/>
      <c r="AA157" s="300"/>
      <c r="AB157" s="300"/>
      <c r="AC157" s="300"/>
      <c r="AD157" s="300"/>
      <c r="AE157" s="300"/>
    </row>
    <row r="158" spans="2:31" ht="15">
      <c r="B158" s="405">
        <f t="shared" si="5"/>
        <v>113</v>
      </c>
      <c r="C158" s="413" t="str" cm="1">
        <f t="array" aca="1" ref="C158" ca="1">IF(B158&lt;=$C$9,GetGetCDSName(B158),"")</f>
        <v>UNITEDUTILITIES_MMR.EUR.SU</v>
      </c>
      <c r="D158" s="373">
        <v>0</v>
      </c>
      <c r="E158" s="406">
        <v>0</v>
      </c>
      <c r="F158" s="325">
        <v>0</v>
      </c>
      <c r="G158" s="325">
        <v>0</v>
      </c>
      <c r="H158" s="325">
        <v>0</v>
      </c>
      <c r="I158" s="325">
        <v>0</v>
      </c>
      <c r="J158" s="325">
        <v>1</v>
      </c>
      <c r="K158" s="325"/>
      <c r="L158" s="325"/>
      <c r="M158" s="325"/>
      <c r="N158" s="407"/>
      <c r="O158" s="300"/>
      <c r="P158" s="300"/>
      <c r="Q158" s="300"/>
      <c r="R158" s="300"/>
      <c r="S158" s="300"/>
      <c r="T158" s="300"/>
      <c r="U158" s="300"/>
      <c r="V158" s="300"/>
      <c r="W158" s="300"/>
      <c r="X158" s="300"/>
      <c r="Y158" s="300"/>
      <c r="Z158" s="300"/>
      <c r="AA158" s="300"/>
      <c r="AB158" s="300"/>
      <c r="AC158" s="300"/>
      <c r="AD158" s="300"/>
      <c r="AE158" s="300"/>
    </row>
    <row r="159" spans="2:31" ht="15">
      <c r="B159" s="405">
        <f t="shared" si="5"/>
        <v>114</v>
      </c>
      <c r="C159" s="413" t="str" cm="1">
        <f t="array" aca="1" ref="C159" ca="1">IF(B159&lt;=$C$9,GetGetCDSName(B159),"")</f>
        <v>UPMKYMMENE_MMR.EUR.SU</v>
      </c>
      <c r="D159" s="373">
        <v>0</v>
      </c>
      <c r="E159" s="406">
        <v>0</v>
      </c>
      <c r="F159" s="325">
        <v>1</v>
      </c>
      <c r="G159" s="325">
        <v>0</v>
      </c>
      <c r="H159" s="325">
        <v>0</v>
      </c>
      <c r="I159" s="325">
        <v>0</v>
      </c>
      <c r="J159" s="325">
        <v>0</v>
      </c>
      <c r="K159" s="325"/>
      <c r="L159" s="325"/>
      <c r="M159" s="325"/>
      <c r="N159" s="407"/>
      <c r="O159" s="300"/>
      <c r="P159" s="300"/>
      <c r="Q159" s="300"/>
      <c r="R159" s="300"/>
      <c r="S159" s="300"/>
      <c r="T159" s="300"/>
      <c r="U159" s="300"/>
      <c r="V159" s="300"/>
      <c r="W159" s="300"/>
      <c r="X159" s="300"/>
      <c r="Y159" s="300"/>
      <c r="Z159" s="300"/>
      <c r="AA159" s="300"/>
      <c r="AB159" s="300"/>
      <c r="AC159" s="300"/>
      <c r="AD159" s="300"/>
      <c r="AE159" s="300"/>
    </row>
    <row r="160" spans="2:31" ht="15">
      <c r="B160" s="405">
        <f t="shared" si="5"/>
        <v>115</v>
      </c>
      <c r="C160" s="413" t="str" cm="1">
        <f t="array" aca="1" ref="C160" ca="1">IF(B160&lt;=$C$9,GetGetCDSName(B160),"")</f>
        <v>VALEO_MMR.EUR.SU</v>
      </c>
      <c r="D160" s="373">
        <v>0</v>
      </c>
      <c r="E160" s="406">
        <v>0</v>
      </c>
      <c r="F160" s="325">
        <v>0</v>
      </c>
      <c r="G160" s="325">
        <v>1</v>
      </c>
      <c r="H160" s="325">
        <v>0</v>
      </c>
      <c r="I160" s="325">
        <v>0</v>
      </c>
      <c r="J160" s="325">
        <v>1</v>
      </c>
      <c r="K160" s="325"/>
      <c r="L160" s="325"/>
      <c r="M160" s="325"/>
      <c r="N160" s="407"/>
      <c r="O160" s="300"/>
      <c r="P160" s="300"/>
      <c r="Q160" s="300"/>
      <c r="R160" s="300"/>
      <c r="S160" s="300"/>
      <c r="T160" s="300"/>
      <c r="U160" s="300"/>
      <c r="V160" s="300"/>
      <c r="W160" s="300"/>
      <c r="X160" s="300"/>
      <c r="Y160" s="300"/>
      <c r="Z160" s="300"/>
      <c r="AA160" s="300"/>
      <c r="AB160" s="300"/>
      <c r="AC160" s="300"/>
      <c r="AD160" s="300"/>
      <c r="AE160" s="300"/>
    </row>
    <row r="161" spans="2:31" ht="15">
      <c r="B161" s="405">
        <f t="shared" si="5"/>
        <v>116</v>
      </c>
      <c r="C161" s="413" t="str" cm="1">
        <f t="array" aca="1" ref="C161" ca="1">IF(B161&lt;=$C$9,GetGetCDSName(B161),"")</f>
        <v>VATTENFALLAB_MMR.EUR.SU</v>
      </c>
      <c r="D161" s="373">
        <v>0</v>
      </c>
      <c r="E161" s="406">
        <v>0</v>
      </c>
      <c r="F161" s="325">
        <v>0</v>
      </c>
      <c r="G161" s="325">
        <v>0</v>
      </c>
      <c r="H161" s="325">
        <v>0</v>
      </c>
      <c r="I161" s="325">
        <v>0</v>
      </c>
      <c r="J161" s="325">
        <v>1</v>
      </c>
      <c r="K161" s="325"/>
      <c r="L161" s="325"/>
      <c r="M161" s="325"/>
      <c r="N161" s="407"/>
      <c r="O161" s="300"/>
      <c r="P161" s="300"/>
      <c r="Q161" s="300"/>
      <c r="R161" s="300"/>
      <c r="S161" s="300"/>
      <c r="T161" s="300"/>
      <c r="U161" s="300"/>
      <c r="V161" s="300"/>
      <c r="W161" s="300"/>
      <c r="X161" s="300"/>
      <c r="Y161" s="300"/>
      <c r="Z161" s="300"/>
      <c r="AA161" s="300"/>
      <c r="AB161" s="300"/>
      <c r="AC161" s="300"/>
      <c r="AD161" s="300"/>
      <c r="AE161" s="300"/>
    </row>
    <row r="162" spans="2:31" ht="15">
      <c r="B162" s="405">
        <f t="shared" si="5"/>
        <v>117</v>
      </c>
      <c r="C162" s="413" t="str" cm="1">
        <f t="array" aca="1" ref="C162" ca="1">IF(B162&lt;=$C$9,GetGetCDSName(B162),"")</f>
        <v>VEOLIAENVIRONNEMENT_MMR.EUR.SU</v>
      </c>
      <c r="D162" s="373">
        <v>0</v>
      </c>
      <c r="E162" s="406">
        <v>0</v>
      </c>
      <c r="F162" s="325">
        <v>0</v>
      </c>
      <c r="G162" s="325">
        <v>1</v>
      </c>
      <c r="H162" s="325">
        <v>0</v>
      </c>
      <c r="I162" s="325">
        <v>1</v>
      </c>
      <c r="J162" s="325">
        <v>0</v>
      </c>
      <c r="K162" s="325"/>
      <c r="L162" s="325"/>
      <c r="M162" s="325"/>
      <c r="N162" s="407"/>
      <c r="O162" s="300"/>
      <c r="P162" s="300"/>
      <c r="Q162" s="300"/>
      <c r="R162" s="300"/>
      <c r="S162" s="300"/>
      <c r="T162" s="300"/>
      <c r="U162" s="300"/>
      <c r="V162" s="300"/>
      <c r="W162" s="300"/>
      <c r="X162" s="300"/>
      <c r="Y162" s="300"/>
      <c r="Z162" s="300"/>
      <c r="AA162" s="300"/>
      <c r="AB162" s="300"/>
      <c r="AC162" s="300"/>
      <c r="AD162" s="300"/>
      <c r="AE162" s="300"/>
    </row>
    <row r="163" spans="2:31" ht="15">
      <c r="B163" s="405">
        <f t="shared" si="5"/>
        <v>118</v>
      </c>
      <c r="C163" s="413" t="str" cm="1">
        <f t="array" aca="1" ref="C163" ca="1">IF(B163&lt;=$C$9,GetGetCDSName(B163),"")</f>
        <v>VINCI_MMR.EUR.SU</v>
      </c>
      <c r="D163" s="373">
        <v>0</v>
      </c>
      <c r="E163" s="406">
        <v>0</v>
      </c>
      <c r="F163" s="325">
        <v>1</v>
      </c>
      <c r="G163" s="325">
        <v>0</v>
      </c>
      <c r="H163" s="325">
        <v>0</v>
      </c>
      <c r="I163" s="325">
        <v>0</v>
      </c>
      <c r="J163" s="325">
        <v>0</v>
      </c>
      <c r="K163" s="325"/>
      <c r="L163" s="325"/>
      <c r="M163" s="325"/>
      <c r="N163" s="407"/>
      <c r="O163" s="300"/>
      <c r="P163" s="300"/>
      <c r="Q163" s="300"/>
      <c r="R163" s="300"/>
      <c r="S163" s="300"/>
      <c r="T163" s="300"/>
      <c r="U163" s="300"/>
      <c r="V163" s="300"/>
      <c r="W163" s="300"/>
      <c r="X163" s="300"/>
      <c r="Y163" s="300"/>
      <c r="Z163" s="300"/>
      <c r="AA163" s="300"/>
      <c r="AB163" s="300"/>
      <c r="AC163" s="300"/>
      <c r="AD163" s="300"/>
      <c r="AE163" s="300"/>
    </row>
    <row r="164" spans="2:31" ht="15">
      <c r="B164" s="405">
        <f t="shared" si="5"/>
        <v>119</v>
      </c>
      <c r="C164" s="413" t="str" cm="1">
        <f t="array" aca="1" ref="C164" ca="1">IF(B164&lt;=$C$9,GetGetCDSName(B164),"")</f>
        <v>VIVENDI_MMR.EUR.SU</v>
      </c>
      <c r="D164" s="373">
        <v>0</v>
      </c>
      <c r="E164" s="406">
        <v>0</v>
      </c>
      <c r="F164" s="325">
        <v>0</v>
      </c>
      <c r="G164" s="325">
        <v>1</v>
      </c>
      <c r="H164" s="325">
        <v>0</v>
      </c>
      <c r="I164" s="325">
        <v>0</v>
      </c>
      <c r="J164" s="325">
        <v>0</v>
      </c>
      <c r="K164" s="325"/>
      <c r="L164" s="325"/>
      <c r="M164" s="325"/>
      <c r="N164" s="407"/>
      <c r="O164" s="300"/>
      <c r="P164" s="300"/>
      <c r="Q164" s="300"/>
      <c r="R164" s="300"/>
      <c r="S164" s="300"/>
      <c r="T164" s="300"/>
      <c r="U164" s="300"/>
      <c r="V164" s="300"/>
      <c r="W164" s="300"/>
      <c r="X164" s="300"/>
      <c r="Y164" s="300"/>
      <c r="Z164" s="300"/>
      <c r="AA164" s="300"/>
      <c r="AB164" s="300"/>
      <c r="AC164" s="300"/>
      <c r="AD164" s="300"/>
      <c r="AE164" s="300"/>
    </row>
    <row r="165" spans="2:31" ht="15">
      <c r="B165" s="405">
        <f t="shared" si="5"/>
        <v>120</v>
      </c>
      <c r="C165" s="413" t="str" cm="1">
        <f t="array" aca="1" ref="C165" ca="1">IF(B165&lt;=$C$9,GetGetCDSName(B165),"")</f>
        <v>VODAFONE_MMR.EUR.SU</v>
      </c>
      <c r="D165" s="373">
        <v>0</v>
      </c>
      <c r="E165" s="406">
        <v>1</v>
      </c>
      <c r="F165" s="325">
        <v>0</v>
      </c>
      <c r="G165" s="325">
        <v>0</v>
      </c>
      <c r="H165" s="325">
        <v>0</v>
      </c>
      <c r="I165" s="325">
        <v>0</v>
      </c>
      <c r="J165" s="325">
        <v>0</v>
      </c>
      <c r="K165" s="325"/>
      <c r="L165" s="325"/>
      <c r="M165" s="325"/>
      <c r="N165" s="407"/>
      <c r="O165" s="300"/>
      <c r="P165" s="300"/>
      <c r="Q165" s="300"/>
      <c r="R165" s="300"/>
      <c r="S165" s="300"/>
      <c r="T165" s="300"/>
      <c r="U165" s="300"/>
      <c r="V165" s="300"/>
      <c r="W165" s="300"/>
      <c r="X165" s="300"/>
      <c r="Y165" s="300"/>
      <c r="Z165" s="300"/>
      <c r="AA165" s="300"/>
      <c r="AB165" s="300"/>
      <c r="AC165" s="300"/>
      <c r="AD165" s="300"/>
      <c r="AE165" s="300"/>
    </row>
    <row r="166" spans="2:31" ht="15">
      <c r="B166" s="405">
        <f t="shared" si="5"/>
        <v>121</v>
      </c>
      <c r="C166" s="413" t="str" cm="1">
        <f t="array" aca="1" ref="C166" ca="1">IF(B166&lt;=$C$9,GetGetCDSName(B166),"")</f>
        <v>VOLVO_MMR.EUR.SU</v>
      </c>
      <c r="D166" s="373">
        <v>0</v>
      </c>
      <c r="E166" s="406">
        <v>0</v>
      </c>
      <c r="F166" s="325">
        <v>0</v>
      </c>
      <c r="G166" s="325">
        <v>0</v>
      </c>
      <c r="H166" s="325">
        <v>1</v>
      </c>
      <c r="I166" s="325">
        <v>0</v>
      </c>
      <c r="J166" s="325">
        <v>1</v>
      </c>
      <c r="K166" s="325"/>
      <c r="L166" s="325"/>
      <c r="M166" s="325"/>
      <c r="N166" s="407"/>
      <c r="O166" s="300"/>
      <c r="P166" s="300"/>
      <c r="Q166" s="300"/>
      <c r="R166" s="300"/>
      <c r="S166" s="300"/>
      <c r="T166" s="300"/>
      <c r="U166" s="300"/>
      <c r="V166" s="300"/>
      <c r="W166" s="300"/>
      <c r="X166" s="300"/>
      <c r="Y166" s="300"/>
      <c r="Z166" s="300"/>
      <c r="AA166" s="300"/>
      <c r="AB166" s="300"/>
      <c r="AC166" s="300"/>
      <c r="AD166" s="300"/>
      <c r="AE166" s="300"/>
    </row>
    <row r="167" spans="2:31" ht="15">
      <c r="B167" s="405">
        <f t="shared" si="5"/>
        <v>122</v>
      </c>
      <c r="C167" s="413" t="str" cm="1">
        <f t="array" aca="1" ref="C167" ca="1">IF(B167&lt;=$C$9,GetGetCDSName(B167),"")</f>
        <v>VW_MMR.EUR.SU</v>
      </c>
      <c r="D167" s="373">
        <v>0</v>
      </c>
      <c r="E167" s="406">
        <v>1</v>
      </c>
      <c r="F167" s="325">
        <v>0</v>
      </c>
      <c r="G167" s="325">
        <v>0</v>
      </c>
      <c r="H167" s="325">
        <v>0</v>
      </c>
      <c r="I167" s="325">
        <v>0</v>
      </c>
      <c r="J167" s="325">
        <v>0</v>
      </c>
      <c r="K167" s="325"/>
      <c r="L167" s="325"/>
      <c r="M167" s="325"/>
      <c r="N167" s="407"/>
      <c r="O167" s="300"/>
      <c r="P167" s="300"/>
      <c r="Q167" s="300"/>
      <c r="R167" s="300"/>
      <c r="S167" s="300"/>
      <c r="T167" s="300"/>
      <c r="U167" s="300"/>
      <c r="V167" s="300"/>
      <c r="W167" s="300"/>
      <c r="X167" s="300"/>
      <c r="Y167" s="300"/>
      <c r="Z167" s="300"/>
      <c r="AA167" s="300"/>
      <c r="AB167" s="300"/>
      <c r="AC167" s="300"/>
      <c r="AD167" s="300"/>
      <c r="AE167" s="300"/>
    </row>
    <row r="168" spans="2:31" ht="15">
      <c r="B168" s="405">
        <f t="shared" si="5"/>
        <v>123</v>
      </c>
      <c r="C168" s="413" t="str" cm="1">
        <f t="array" aca="1" ref="C168" ca="1">IF(B168&lt;=$C$9,GetGetCDSName(B168),"")</f>
        <v>WOLTERSKLUWERCVA_MMR.EUR.SU</v>
      </c>
      <c r="D168" s="373">
        <v>0</v>
      </c>
      <c r="E168" s="406">
        <v>0</v>
      </c>
      <c r="F168" s="325">
        <v>1</v>
      </c>
      <c r="G168" s="325">
        <v>0</v>
      </c>
      <c r="H168" s="325">
        <v>0</v>
      </c>
      <c r="I168" s="325">
        <v>0</v>
      </c>
      <c r="J168" s="325">
        <v>0</v>
      </c>
      <c r="K168" s="325"/>
      <c r="L168" s="325"/>
      <c r="M168" s="325"/>
      <c r="N168" s="407"/>
      <c r="O168" s="300"/>
      <c r="P168" s="300"/>
      <c r="Q168" s="300"/>
      <c r="R168" s="300"/>
      <c r="S168" s="300"/>
      <c r="T168" s="300"/>
      <c r="U168" s="300"/>
      <c r="V168" s="300"/>
      <c r="W168" s="300"/>
      <c r="X168" s="300"/>
      <c r="Y168" s="300"/>
      <c r="Z168" s="300"/>
      <c r="AA168" s="300"/>
      <c r="AB168" s="300"/>
      <c r="AC168" s="300"/>
      <c r="AD168" s="300"/>
      <c r="AE168" s="300"/>
    </row>
    <row r="169" spans="2:31" ht="15">
      <c r="B169" s="405">
        <f t="shared" si="5"/>
        <v>124</v>
      </c>
      <c r="C169" s="413" t="str" cm="1">
        <f t="array" aca="1" ref="C169" ca="1">IF(B169&lt;=$C$9,GetGetCDSName(B169),"")</f>
        <v>WPPGROUP_MMR.EUR.SU</v>
      </c>
      <c r="D169" s="373">
        <v>0</v>
      </c>
      <c r="E169" s="406">
        <v>1</v>
      </c>
      <c r="F169" s="325">
        <v>0</v>
      </c>
      <c r="G169" s="325">
        <v>1</v>
      </c>
      <c r="H169" s="325">
        <v>0</v>
      </c>
      <c r="I169" s="325">
        <v>1</v>
      </c>
      <c r="J169" s="325">
        <v>0</v>
      </c>
      <c r="K169" s="325"/>
      <c r="L169" s="325"/>
      <c r="M169" s="325"/>
      <c r="N169" s="407"/>
      <c r="O169" s="300"/>
      <c r="P169" s="300"/>
      <c r="Q169" s="300"/>
      <c r="R169" s="300"/>
      <c r="S169" s="300"/>
      <c r="T169" s="300"/>
      <c r="U169" s="300"/>
      <c r="V169" s="300"/>
      <c r="W169" s="300"/>
      <c r="X169" s="300"/>
      <c r="Y169" s="300"/>
      <c r="Z169" s="300"/>
      <c r="AA169" s="300"/>
      <c r="AB169" s="300"/>
      <c r="AC169" s="300"/>
      <c r="AD169" s="300"/>
      <c r="AE169" s="300"/>
    </row>
    <row r="170" spans="2:31" ht="15">
      <c r="B170" s="405">
        <f t="shared" si="5"/>
        <v>125</v>
      </c>
      <c r="C170" s="413" t="str" cm="1">
        <f t="array" aca="1" ref="C170" ca="1">IF(B170&lt;=$C$9,GetGetCDSName(B170),"")</f>
        <v>ZURICHINSURANCE_MMR.EUR.SU</v>
      </c>
      <c r="D170" s="373">
        <v>0</v>
      </c>
      <c r="E170" s="406">
        <v>0</v>
      </c>
      <c r="F170" s="325">
        <v>0</v>
      </c>
      <c r="G170" s="325">
        <v>0</v>
      </c>
      <c r="H170" s="325">
        <v>1</v>
      </c>
      <c r="I170" s="325">
        <v>0</v>
      </c>
      <c r="J170" s="325">
        <v>0</v>
      </c>
      <c r="K170" s="325"/>
      <c r="L170" s="325"/>
      <c r="M170" s="325"/>
      <c r="N170" s="407"/>
      <c r="O170" s="300"/>
      <c r="P170" s="300"/>
      <c r="Q170" s="300"/>
      <c r="R170" s="300"/>
      <c r="S170" s="300"/>
      <c r="T170" s="300"/>
      <c r="U170" s="300"/>
      <c r="V170" s="300"/>
      <c r="W170" s="300"/>
      <c r="X170" s="300"/>
      <c r="Y170" s="300"/>
      <c r="Z170" s="300"/>
      <c r="AA170" s="300"/>
      <c r="AB170" s="300"/>
      <c r="AC170" s="300"/>
      <c r="AD170" s="300"/>
      <c r="AE170" s="300"/>
    </row>
    <row r="171" spans="2:31" ht="15">
      <c r="B171" s="405">
        <f t="shared" si="5"/>
        <v>126</v>
      </c>
      <c r="C171" s="413" t="str" cm="1">
        <f t="array" aca="1" ref="C171" ca="1">IF(B171&lt;=$C$9,GetGetCDSName(B171),"")</f>
        <v/>
      </c>
      <c r="D171" s="373"/>
      <c r="E171" s="406"/>
      <c r="F171" s="325"/>
      <c r="G171" s="325"/>
      <c r="H171" s="325"/>
      <c r="I171" s="325"/>
      <c r="J171" s="325"/>
      <c r="K171" s="325"/>
      <c r="L171" s="325"/>
      <c r="M171" s="325"/>
      <c r="N171" s="407"/>
      <c r="O171" s="300"/>
      <c r="P171" s="300"/>
      <c r="Q171" s="300"/>
      <c r="R171" s="300"/>
      <c r="S171" s="300"/>
      <c r="T171" s="300"/>
      <c r="U171" s="300"/>
      <c r="V171" s="300"/>
      <c r="W171" s="300"/>
      <c r="X171" s="300"/>
      <c r="Y171" s="300"/>
      <c r="Z171" s="300"/>
      <c r="AA171" s="300"/>
      <c r="AB171" s="300"/>
      <c r="AC171" s="300"/>
      <c r="AD171" s="300"/>
      <c r="AE171" s="300"/>
    </row>
    <row r="172" spans="2:31" ht="15">
      <c r="B172" s="405">
        <f t="shared" si="5"/>
        <v>127</v>
      </c>
      <c r="C172" s="413" t="str" cm="1">
        <f t="array" aca="1" ref="C172" ca="1">IF(B172&lt;=$C$9,GetGetCDSName(B172),"")</f>
        <v/>
      </c>
      <c r="D172" s="373"/>
      <c r="E172" s="406"/>
      <c r="F172" s="325"/>
      <c r="G172" s="325"/>
      <c r="H172" s="325"/>
      <c r="I172" s="325"/>
      <c r="J172" s="325"/>
      <c r="K172" s="325"/>
      <c r="L172" s="325"/>
      <c r="M172" s="325"/>
      <c r="N172" s="407"/>
      <c r="O172" s="300"/>
      <c r="P172" s="300"/>
      <c r="Q172" s="300"/>
      <c r="R172" s="300"/>
      <c r="S172" s="300"/>
      <c r="T172" s="300"/>
      <c r="U172" s="300"/>
      <c r="V172" s="300"/>
      <c r="W172" s="300"/>
      <c r="X172" s="300"/>
      <c r="Y172" s="300"/>
      <c r="Z172" s="300"/>
      <c r="AA172" s="300"/>
      <c r="AB172" s="300"/>
      <c r="AC172" s="300"/>
      <c r="AD172" s="300"/>
      <c r="AE172" s="300"/>
    </row>
    <row r="173" spans="2:31" ht="15">
      <c r="B173" s="405">
        <f t="shared" si="5"/>
        <v>128</v>
      </c>
      <c r="C173" s="413" t="str" cm="1">
        <f t="array" aca="1" ref="C173" ca="1">IF(B173&lt;=$C$9,GetGetCDSName(B173),"")</f>
        <v/>
      </c>
      <c r="D173" s="373"/>
      <c r="E173" s="406"/>
      <c r="F173" s="325"/>
      <c r="G173" s="325"/>
      <c r="H173" s="325"/>
      <c r="I173" s="325"/>
      <c r="J173" s="325"/>
      <c r="K173" s="325"/>
      <c r="L173" s="325"/>
      <c r="M173" s="325"/>
      <c r="N173" s="407"/>
      <c r="O173" s="300"/>
      <c r="P173" s="300"/>
      <c r="Q173" s="300"/>
      <c r="R173" s="300"/>
      <c r="S173" s="300"/>
      <c r="T173" s="300"/>
      <c r="U173" s="300"/>
      <c r="V173" s="300"/>
      <c r="W173" s="300"/>
      <c r="X173" s="300"/>
      <c r="Y173" s="300"/>
      <c r="Z173" s="300"/>
      <c r="AA173" s="300"/>
      <c r="AB173" s="300"/>
      <c r="AC173" s="300"/>
      <c r="AD173" s="300"/>
      <c r="AE173" s="300"/>
    </row>
    <row r="174" spans="2:31" ht="15">
      <c r="B174" s="405">
        <f t="shared" si="5"/>
        <v>129</v>
      </c>
      <c r="C174" s="413" t="str" cm="1">
        <f t="array" aca="1" ref="C174" ca="1">IF(B174&lt;=$C$9,GetGetCDSName(B174),"")</f>
        <v/>
      </c>
      <c r="D174" s="373"/>
      <c r="E174" s="406"/>
      <c r="F174" s="325"/>
      <c r="G174" s="325"/>
      <c r="H174" s="325"/>
      <c r="I174" s="325"/>
      <c r="J174" s="325"/>
      <c r="K174" s="325"/>
      <c r="L174" s="325"/>
      <c r="M174" s="325"/>
      <c r="N174" s="407"/>
      <c r="O174" s="300"/>
      <c r="P174" s="300"/>
      <c r="Q174" s="300"/>
      <c r="R174" s="300"/>
      <c r="S174" s="300"/>
      <c r="T174" s="300"/>
      <c r="U174" s="300"/>
      <c r="V174" s="300"/>
      <c r="W174" s="300"/>
      <c r="X174" s="300"/>
      <c r="Y174" s="300"/>
      <c r="Z174" s="300"/>
      <c r="AA174" s="300"/>
      <c r="AB174" s="300"/>
      <c r="AC174" s="300"/>
      <c r="AD174" s="300"/>
      <c r="AE174" s="300"/>
    </row>
    <row r="175" spans="2:31" ht="15">
      <c r="B175" s="405">
        <f t="shared" ref="B175:B238" si="6">B174+1</f>
        <v>130</v>
      </c>
      <c r="C175" s="413" t="str" cm="1">
        <f t="array" aca="1" ref="C175" ca="1">IF(B175&lt;=$C$9,GetGetCDSName(B175),"")</f>
        <v/>
      </c>
      <c r="D175" s="373"/>
      <c r="E175" s="406"/>
      <c r="F175" s="325"/>
      <c r="G175" s="325"/>
      <c r="H175" s="325"/>
      <c r="I175" s="325"/>
      <c r="J175" s="325"/>
      <c r="K175" s="325"/>
      <c r="L175" s="325"/>
      <c r="M175" s="325"/>
      <c r="N175" s="407"/>
      <c r="O175" s="300"/>
      <c r="P175" s="300"/>
      <c r="Q175" s="300"/>
      <c r="R175" s="300"/>
      <c r="S175" s="300"/>
      <c r="T175" s="300"/>
      <c r="U175" s="300"/>
      <c r="V175" s="300"/>
      <c r="W175" s="300"/>
      <c r="X175" s="300"/>
      <c r="Y175" s="300"/>
      <c r="Z175" s="300"/>
      <c r="AA175" s="300"/>
      <c r="AB175" s="300"/>
      <c r="AC175" s="300"/>
      <c r="AD175" s="300"/>
      <c r="AE175" s="300"/>
    </row>
    <row r="176" spans="2:31" ht="15">
      <c r="B176" s="405">
        <f t="shared" si="6"/>
        <v>131</v>
      </c>
      <c r="C176" s="413" t="str" cm="1">
        <f t="array" aca="1" ref="C176" ca="1">IF(B176&lt;=$C$9,GetGetCDSName(B176),"")</f>
        <v/>
      </c>
      <c r="D176" s="373"/>
      <c r="E176" s="406"/>
      <c r="F176" s="325"/>
      <c r="G176" s="325"/>
      <c r="H176" s="325"/>
      <c r="I176" s="325"/>
      <c r="J176" s="325"/>
      <c r="K176" s="325"/>
      <c r="L176" s="325"/>
      <c r="M176" s="325"/>
      <c r="N176" s="407"/>
      <c r="O176" s="300"/>
      <c r="P176" s="300"/>
      <c r="Q176" s="300"/>
      <c r="R176" s="300"/>
      <c r="S176" s="300"/>
      <c r="T176" s="300"/>
      <c r="U176" s="300"/>
      <c r="V176" s="300"/>
      <c r="W176" s="300"/>
      <c r="X176" s="300"/>
      <c r="Y176" s="300"/>
      <c r="Z176" s="300"/>
      <c r="AA176" s="300"/>
      <c r="AB176" s="300"/>
      <c r="AC176" s="300"/>
      <c r="AD176" s="300"/>
      <c r="AE176" s="300"/>
    </row>
    <row r="177" spans="2:31" ht="15">
      <c r="B177" s="405">
        <f t="shared" si="6"/>
        <v>132</v>
      </c>
      <c r="C177" s="413" t="str" cm="1">
        <f t="array" aca="1" ref="C177" ca="1">IF(B177&lt;=$C$9,GetGetCDSName(B177),"")</f>
        <v/>
      </c>
      <c r="D177" s="373"/>
      <c r="E177" s="406"/>
      <c r="F177" s="325"/>
      <c r="G177" s="325"/>
      <c r="H177" s="325"/>
      <c r="I177" s="325"/>
      <c r="J177" s="325"/>
      <c r="K177" s="325"/>
      <c r="L177" s="325"/>
      <c r="M177" s="325"/>
      <c r="N177" s="407"/>
      <c r="O177" s="300"/>
      <c r="P177" s="300"/>
      <c r="Q177" s="300"/>
      <c r="R177" s="300"/>
      <c r="S177" s="300"/>
      <c r="T177" s="300"/>
      <c r="U177" s="300"/>
      <c r="V177" s="300"/>
      <c r="W177" s="300"/>
      <c r="X177" s="300"/>
      <c r="Y177" s="300"/>
      <c r="Z177" s="300"/>
      <c r="AA177" s="300"/>
      <c r="AB177" s="300"/>
      <c r="AC177" s="300"/>
      <c r="AD177" s="300"/>
      <c r="AE177" s="300"/>
    </row>
    <row r="178" spans="2:31" ht="15">
      <c r="B178" s="405">
        <f t="shared" si="6"/>
        <v>133</v>
      </c>
      <c r="C178" s="413" t="str" cm="1">
        <f t="array" aca="1" ref="C178" ca="1">IF(B178&lt;=$C$9,GetGetCDSName(B178),"")</f>
        <v/>
      </c>
      <c r="D178" s="373"/>
      <c r="E178" s="406"/>
      <c r="F178" s="325"/>
      <c r="G178" s="325"/>
      <c r="H178" s="325"/>
      <c r="I178" s="325"/>
      <c r="J178" s="325"/>
      <c r="K178" s="325"/>
      <c r="L178" s="325"/>
      <c r="M178" s="325"/>
      <c r="N178" s="407"/>
      <c r="O178" s="300"/>
      <c r="P178" s="300"/>
      <c r="Q178" s="300"/>
      <c r="R178" s="300"/>
      <c r="S178" s="300"/>
      <c r="T178" s="300"/>
      <c r="U178" s="300"/>
      <c r="V178" s="300"/>
      <c r="W178" s="300"/>
      <c r="X178" s="300"/>
      <c r="Y178" s="300"/>
      <c r="Z178" s="300"/>
      <c r="AA178" s="300"/>
      <c r="AB178" s="300"/>
      <c r="AC178" s="300"/>
      <c r="AD178" s="300"/>
      <c r="AE178" s="300"/>
    </row>
    <row r="179" spans="2:31" ht="15">
      <c r="B179" s="405">
        <f t="shared" si="6"/>
        <v>134</v>
      </c>
      <c r="C179" s="413" t="str" cm="1">
        <f t="array" aca="1" ref="C179" ca="1">IF(B179&lt;=$C$9,GetGetCDSName(B179),"")</f>
        <v/>
      </c>
      <c r="D179" s="373"/>
      <c r="E179" s="406"/>
      <c r="F179" s="325"/>
      <c r="G179" s="325"/>
      <c r="H179" s="325"/>
      <c r="I179" s="325"/>
      <c r="J179" s="325"/>
      <c r="K179" s="325"/>
      <c r="L179" s="325"/>
      <c r="M179" s="325"/>
      <c r="N179" s="407"/>
      <c r="O179" s="300"/>
      <c r="P179" s="300"/>
      <c r="Q179" s="300"/>
      <c r="R179" s="300"/>
      <c r="S179" s="300"/>
      <c r="T179" s="300"/>
      <c r="U179" s="300"/>
      <c r="V179" s="300"/>
      <c r="W179" s="300"/>
      <c r="X179" s="300"/>
      <c r="Y179" s="300"/>
      <c r="Z179" s="300"/>
      <c r="AA179" s="300"/>
      <c r="AB179" s="300"/>
      <c r="AC179" s="300"/>
      <c r="AD179" s="300"/>
      <c r="AE179" s="300"/>
    </row>
    <row r="180" spans="2:31" ht="15">
      <c r="B180" s="405">
        <f t="shared" si="6"/>
        <v>135</v>
      </c>
      <c r="C180" s="413" t="str" cm="1">
        <f t="array" aca="1" ref="C180" ca="1">IF(B180&lt;=$C$9,GetGetCDSName(B180),"")</f>
        <v/>
      </c>
      <c r="D180" s="373"/>
      <c r="E180" s="406"/>
      <c r="F180" s="325"/>
      <c r="G180" s="325"/>
      <c r="H180" s="325"/>
      <c r="I180" s="325"/>
      <c r="J180" s="325"/>
      <c r="K180" s="325"/>
      <c r="L180" s="325"/>
      <c r="M180" s="325"/>
      <c r="N180" s="407"/>
      <c r="O180" s="300"/>
      <c r="P180" s="300"/>
      <c r="Q180" s="300"/>
      <c r="R180" s="300"/>
      <c r="S180" s="300"/>
      <c r="T180" s="300"/>
      <c r="U180" s="300"/>
      <c r="V180" s="300"/>
      <c r="W180" s="300"/>
      <c r="X180" s="300"/>
      <c r="Y180" s="300"/>
      <c r="Z180" s="300"/>
      <c r="AA180" s="300"/>
      <c r="AB180" s="300"/>
      <c r="AC180" s="300"/>
      <c r="AD180" s="300"/>
      <c r="AE180" s="300"/>
    </row>
    <row r="181" spans="2:31" ht="15">
      <c r="B181" s="405">
        <f t="shared" si="6"/>
        <v>136</v>
      </c>
      <c r="C181" s="413" t="str" cm="1">
        <f t="array" aca="1" ref="C181" ca="1">IF(B181&lt;=$C$9,GetGetCDSName(B181),"")</f>
        <v/>
      </c>
      <c r="D181" s="373"/>
      <c r="E181" s="406"/>
      <c r="F181" s="325"/>
      <c r="G181" s="325"/>
      <c r="H181" s="325"/>
      <c r="I181" s="325"/>
      <c r="J181" s="325"/>
      <c r="K181" s="325"/>
      <c r="L181" s="325"/>
      <c r="M181" s="325"/>
      <c r="N181" s="407"/>
      <c r="O181" s="300"/>
      <c r="P181" s="300"/>
      <c r="Q181" s="300"/>
      <c r="R181" s="300"/>
      <c r="S181" s="300"/>
      <c r="T181" s="300"/>
      <c r="U181" s="300"/>
      <c r="V181" s="300"/>
      <c r="W181" s="300"/>
      <c r="X181" s="300"/>
      <c r="Y181" s="300"/>
      <c r="Z181" s="300"/>
      <c r="AA181" s="300"/>
      <c r="AB181" s="300"/>
      <c r="AC181" s="300"/>
      <c r="AD181" s="300"/>
      <c r="AE181" s="300"/>
    </row>
    <row r="182" spans="2:31" ht="15">
      <c r="B182" s="405">
        <f t="shared" si="6"/>
        <v>137</v>
      </c>
      <c r="C182" s="413" t="str" cm="1">
        <f t="array" aca="1" ref="C182" ca="1">IF(B182&lt;=$C$9,GetGetCDSName(B182),"")</f>
        <v/>
      </c>
      <c r="D182" s="373"/>
      <c r="E182" s="406"/>
      <c r="F182" s="325"/>
      <c r="G182" s="325"/>
      <c r="H182" s="325"/>
      <c r="I182" s="325"/>
      <c r="J182" s="325"/>
      <c r="K182" s="325"/>
      <c r="L182" s="325"/>
      <c r="M182" s="325"/>
      <c r="N182" s="407"/>
      <c r="O182" s="300"/>
      <c r="P182" s="300"/>
      <c r="Q182" s="300"/>
      <c r="R182" s="300"/>
      <c r="S182" s="300"/>
      <c r="T182" s="300"/>
      <c r="U182" s="300"/>
      <c r="V182" s="300"/>
      <c r="W182" s="300"/>
      <c r="X182" s="300"/>
      <c r="Y182" s="300"/>
      <c r="Z182" s="300"/>
      <c r="AA182" s="300"/>
      <c r="AB182" s="300"/>
      <c r="AC182" s="300"/>
      <c r="AD182" s="300"/>
      <c r="AE182" s="300"/>
    </row>
    <row r="183" spans="2:31" ht="15">
      <c r="B183" s="405">
        <f t="shared" si="6"/>
        <v>138</v>
      </c>
      <c r="C183" s="413" t="str" cm="1">
        <f t="array" aca="1" ref="C183" ca="1">IF(B183&lt;=$C$9,GetGetCDSName(B183),"")</f>
        <v/>
      </c>
      <c r="D183" s="373"/>
      <c r="E183" s="406"/>
      <c r="F183" s="325"/>
      <c r="G183" s="325"/>
      <c r="H183" s="325"/>
      <c r="I183" s="325"/>
      <c r="J183" s="325"/>
      <c r="K183" s="325"/>
      <c r="L183" s="325"/>
      <c r="M183" s="325"/>
      <c r="N183" s="407"/>
      <c r="O183" s="300"/>
      <c r="P183" s="300"/>
      <c r="Q183" s="300"/>
      <c r="R183" s="300"/>
      <c r="S183" s="300"/>
      <c r="T183" s="300"/>
      <c r="U183" s="300"/>
      <c r="V183" s="300"/>
      <c r="W183" s="300"/>
      <c r="X183" s="300"/>
      <c r="Y183" s="300"/>
      <c r="Z183" s="300"/>
      <c r="AA183" s="300"/>
      <c r="AB183" s="300"/>
      <c r="AC183" s="300"/>
      <c r="AD183" s="300"/>
      <c r="AE183" s="300"/>
    </row>
    <row r="184" spans="2:31" ht="15">
      <c r="B184" s="405">
        <f t="shared" si="6"/>
        <v>139</v>
      </c>
      <c r="C184" s="413" t="str" cm="1">
        <f t="array" aca="1" ref="C184" ca="1">IF(B184&lt;=$C$9,GetGetCDSName(B184),"")</f>
        <v/>
      </c>
      <c r="D184" s="373"/>
      <c r="E184" s="406"/>
      <c r="F184" s="325"/>
      <c r="G184" s="325"/>
      <c r="H184" s="325"/>
      <c r="I184" s="325"/>
      <c r="J184" s="325"/>
      <c r="K184" s="325"/>
      <c r="L184" s="325"/>
      <c r="M184" s="325"/>
      <c r="N184" s="407"/>
      <c r="O184" s="300"/>
      <c r="P184" s="300"/>
      <c r="Q184" s="300"/>
      <c r="R184" s="300"/>
      <c r="S184" s="300"/>
      <c r="T184" s="300"/>
      <c r="U184" s="300"/>
      <c r="V184" s="300"/>
      <c r="W184" s="300"/>
      <c r="X184" s="300"/>
      <c r="Y184" s="300"/>
      <c r="Z184" s="300"/>
      <c r="AA184" s="300"/>
      <c r="AB184" s="300"/>
      <c r="AC184" s="300"/>
      <c r="AD184" s="300"/>
      <c r="AE184" s="300"/>
    </row>
    <row r="185" spans="2:31" ht="15">
      <c r="B185" s="405">
        <f t="shared" si="6"/>
        <v>140</v>
      </c>
      <c r="C185" s="413" t="str" cm="1">
        <f t="array" aca="1" ref="C185" ca="1">IF(B185&lt;=$C$9,GetGetCDSName(B185),"")</f>
        <v/>
      </c>
      <c r="D185" s="373"/>
      <c r="E185" s="406"/>
      <c r="F185" s="325"/>
      <c r="G185" s="325"/>
      <c r="H185" s="325"/>
      <c r="I185" s="325"/>
      <c r="J185" s="325"/>
      <c r="K185" s="325"/>
      <c r="L185" s="325"/>
      <c r="M185" s="325"/>
      <c r="N185" s="407"/>
      <c r="O185" s="300"/>
      <c r="P185" s="300"/>
      <c r="Q185" s="300"/>
      <c r="R185" s="300"/>
      <c r="S185" s="300"/>
      <c r="T185" s="300"/>
      <c r="U185" s="300"/>
      <c r="V185" s="300"/>
      <c r="W185" s="300"/>
      <c r="X185" s="300"/>
      <c r="Y185" s="300"/>
      <c r="Z185" s="300"/>
      <c r="AA185" s="300"/>
      <c r="AB185" s="300"/>
      <c r="AC185" s="300"/>
      <c r="AD185" s="300"/>
      <c r="AE185" s="300"/>
    </row>
    <row r="186" spans="2:31" ht="15">
      <c r="B186" s="405">
        <f t="shared" si="6"/>
        <v>141</v>
      </c>
      <c r="C186" s="413" t="str" cm="1">
        <f t="array" aca="1" ref="C186" ca="1">IF(B186&lt;=$C$9,GetGetCDSName(B186),"")</f>
        <v/>
      </c>
      <c r="D186" s="373"/>
      <c r="E186" s="406"/>
      <c r="F186" s="325"/>
      <c r="G186" s="325"/>
      <c r="H186" s="325"/>
      <c r="I186" s="325"/>
      <c r="J186" s="325"/>
      <c r="K186" s="325"/>
      <c r="L186" s="325"/>
      <c r="M186" s="325"/>
      <c r="N186" s="407"/>
      <c r="O186" s="300"/>
      <c r="P186" s="300"/>
      <c r="Q186" s="300"/>
      <c r="R186" s="300"/>
      <c r="S186" s="300"/>
      <c r="T186" s="300"/>
      <c r="U186" s="300"/>
      <c r="V186" s="300"/>
      <c r="W186" s="300"/>
      <c r="X186" s="300"/>
      <c r="Y186" s="300"/>
      <c r="Z186" s="300"/>
      <c r="AA186" s="300"/>
      <c r="AB186" s="300"/>
      <c r="AC186" s="300"/>
      <c r="AD186" s="300"/>
      <c r="AE186" s="300"/>
    </row>
    <row r="187" spans="2:31" ht="15">
      <c r="B187" s="405">
        <f t="shared" si="6"/>
        <v>142</v>
      </c>
      <c r="C187" s="413" t="str" cm="1">
        <f t="array" aca="1" ref="C187" ca="1">IF(B187&lt;=$C$9,GetGetCDSName(B187),"")</f>
        <v/>
      </c>
      <c r="D187" s="373"/>
      <c r="E187" s="406"/>
      <c r="F187" s="325"/>
      <c r="G187" s="325"/>
      <c r="H187" s="325"/>
      <c r="I187" s="325"/>
      <c r="J187" s="325"/>
      <c r="K187" s="325"/>
      <c r="L187" s="325"/>
      <c r="M187" s="325"/>
      <c r="N187" s="407"/>
      <c r="O187" s="300"/>
      <c r="P187" s="300"/>
      <c r="Q187" s="300"/>
      <c r="R187" s="300"/>
      <c r="S187" s="300"/>
      <c r="T187" s="300"/>
      <c r="U187" s="300"/>
      <c r="V187" s="300"/>
      <c r="W187" s="300"/>
      <c r="X187" s="300"/>
      <c r="Y187" s="300"/>
      <c r="Z187" s="300"/>
      <c r="AA187" s="300"/>
      <c r="AB187" s="300"/>
      <c r="AC187" s="300"/>
      <c r="AD187" s="300"/>
      <c r="AE187" s="300"/>
    </row>
    <row r="188" spans="2:31" ht="15">
      <c r="B188" s="405">
        <f t="shared" si="6"/>
        <v>143</v>
      </c>
      <c r="C188" s="413" t="str" cm="1">
        <f t="array" aca="1" ref="C188" ca="1">IF(B188&lt;=$C$9,GetGetCDSName(B188),"")</f>
        <v/>
      </c>
      <c r="D188" s="373"/>
      <c r="E188" s="406"/>
      <c r="F188" s="325"/>
      <c r="G188" s="325"/>
      <c r="H188" s="325"/>
      <c r="I188" s="325"/>
      <c r="J188" s="325"/>
      <c r="K188" s="325"/>
      <c r="L188" s="325"/>
      <c r="M188" s="325"/>
      <c r="N188" s="407"/>
      <c r="O188" s="300"/>
      <c r="P188" s="300"/>
      <c r="Q188" s="300"/>
      <c r="R188" s="300"/>
      <c r="S188" s="300"/>
      <c r="T188" s="300"/>
      <c r="U188" s="300"/>
      <c r="V188" s="300"/>
      <c r="W188" s="300"/>
      <c r="X188" s="300"/>
      <c r="Y188" s="300"/>
      <c r="Z188" s="300"/>
      <c r="AA188" s="300"/>
      <c r="AB188" s="300"/>
      <c r="AC188" s="300"/>
      <c r="AD188" s="300"/>
      <c r="AE188" s="300"/>
    </row>
    <row r="189" spans="2:31" ht="15">
      <c r="B189" s="405">
        <f t="shared" si="6"/>
        <v>144</v>
      </c>
      <c r="C189" s="413" t="str" cm="1">
        <f t="array" aca="1" ref="C189" ca="1">IF(B189&lt;=$C$9,GetGetCDSName(B189),"")</f>
        <v/>
      </c>
      <c r="D189" s="373"/>
      <c r="E189" s="406"/>
      <c r="F189" s="325"/>
      <c r="G189" s="325"/>
      <c r="H189" s="325"/>
      <c r="I189" s="325"/>
      <c r="J189" s="325"/>
      <c r="K189" s="325"/>
      <c r="L189" s="325"/>
      <c r="M189" s="325"/>
      <c r="N189" s="407"/>
      <c r="O189" s="300"/>
      <c r="P189" s="300"/>
      <c r="Q189" s="300"/>
      <c r="R189" s="300"/>
      <c r="S189" s="300"/>
      <c r="T189" s="300"/>
      <c r="U189" s="300"/>
      <c r="V189" s="300"/>
      <c r="W189" s="300"/>
      <c r="X189" s="300"/>
      <c r="Y189" s="300"/>
      <c r="Z189" s="300"/>
      <c r="AA189" s="300"/>
      <c r="AB189" s="300"/>
      <c r="AC189" s="300"/>
      <c r="AD189" s="300"/>
      <c r="AE189" s="300"/>
    </row>
    <row r="190" spans="2:31" ht="15">
      <c r="B190" s="405">
        <f t="shared" si="6"/>
        <v>145</v>
      </c>
      <c r="C190" s="413" t="str" cm="1">
        <f t="array" aca="1" ref="C190" ca="1">IF(B190&lt;=$C$9,GetGetCDSName(B190),"")</f>
        <v/>
      </c>
      <c r="D190" s="373"/>
      <c r="E190" s="406"/>
      <c r="F190" s="325"/>
      <c r="G190" s="325"/>
      <c r="H190" s="325"/>
      <c r="I190" s="325"/>
      <c r="J190" s="325"/>
      <c r="K190" s="325"/>
      <c r="L190" s="325"/>
      <c r="M190" s="325"/>
      <c r="N190" s="407"/>
      <c r="O190" s="300"/>
      <c r="P190" s="300"/>
      <c r="Q190" s="300"/>
      <c r="R190" s="300"/>
      <c r="S190" s="300"/>
      <c r="T190" s="300"/>
      <c r="U190" s="300"/>
      <c r="V190" s="300"/>
      <c r="W190" s="300"/>
      <c r="X190" s="300"/>
      <c r="Y190" s="300"/>
      <c r="Z190" s="300"/>
      <c r="AA190" s="300"/>
      <c r="AB190" s="300"/>
      <c r="AC190" s="300"/>
      <c r="AD190" s="300"/>
      <c r="AE190" s="300"/>
    </row>
    <row r="191" spans="2:31" ht="15">
      <c r="B191" s="405">
        <f t="shared" si="6"/>
        <v>146</v>
      </c>
      <c r="C191" s="413" t="str" cm="1">
        <f t="array" aca="1" ref="C191" ca="1">IF(B191&lt;=$C$9,GetGetCDSName(B191),"")</f>
        <v/>
      </c>
      <c r="D191" s="373"/>
      <c r="E191" s="406"/>
      <c r="F191" s="325"/>
      <c r="G191" s="325"/>
      <c r="H191" s="325"/>
      <c r="I191" s="325"/>
      <c r="J191" s="325"/>
      <c r="K191" s="325"/>
      <c r="L191" s="325"/>
      <c r="M191" s="325"/>
      <c r="N191" s="407"/>
      <c r="O191" s="300"/>
      <c r="P191" s="300"/>
      <c r="Q191" s="300"/>
      <c r="R191" s="300"/>
      <c r="S191" s="300"/>
      <c r="T191" s="300"/>
      <c r="U191" s="300"/>
      <c r="V191" s="300"/>
      <c r="W191" s="300"/>
      <c r="X191" s="300"/>
      <c r="Y191" s="300"/>
      <c r="Z191" s="300"/>
      <c r="AA191" s="300"/>
      <c r="AB191" s="300"/>
      <c r="AC191" s="300"/>
      <c r="AD191" s="300"/>
      <c r="AE191" s="300"/>
    </row>
    <row r="192" spans="2:31" ht="15">
      <c r="B192" s="405">
        <f t="shared" si="6"/>
        <v>147</v>
      </c>
      <c r="C192" s="413" t="str" cm="1">
        <f t="array" aca="1" ref="C192" ca="1">IF(B192&lt;=$C$9,GetGetCDSName(B192),"")</f>
        <v/>
      </c>
      <c r="D192" s="373"/>
      <c r="E192" s="406"/>
      <c r="F192" s="325"/>
      <c r="G192" s="325"/>
      <c r="H192" s="325"/>
      <c r="I192" s="325"/>
      <c r="J192" s="325"/>
      <c r="K192" s="325"/>
      <c r="L192" s="325"/>
      <c r="M192" s="325"/>
      <c r="N192" s="407"/>
      <c r="O192" s="300"/>
      <c r="P192" s="300"/>
      <c r="Q192" s="300"/>
      <c r="R192" s="300"/>
      <c r="S192" s="300"/>
      <c r="T192" s="300"/>
      <c r="U192" s="300"/>
      <c r="V192" s="300"/>
      <c r="W192" s="300"/>
      <c r="X192" s="300"/>
      <c r="Y192" s="300"/>
      <c r="Z192" s="300"/>
      <c r="AA192" s="300"/>
      <c r="AB192" s="300"/>
      <c r="AC192" s="300"/>
      <c r="AD192" s="300"/>
      <c r="AE192" s="300"/>
    </row>
    <row r="193" spans="2:31" ht="15">
      <c r="B193" s="405">
        <f t="shared" si="6"/>
        <v>148</v>
      </c>
      <c r="C193" s="413" t="str" cm="1">
        <f t="array" aca="1" ref="C193" ca="1">IF(B193&lt;=$C$9,GetGetCDSName(B193),"")</f>
        <v/>
      </c>
      <c r="D193" s="373"/>
      <c r="E193" s="406"/>
      <c r="F193" s="325"/>
      <c r="G193" s="325"/>
      <c r="H193" s="325"/>
      <c r="I193" s="325"/>
      <c r="J193" s="325"/>
      <c r="K193" s="325"/>
      <c r="L193" s="325"/>
      <c r="M193" s="325"/>
      <c r="N193" s="407"/>
      <c r="O193" s="300"/>
      <c r="P193" s="300"/>
      <c r="Q193" s="300"/>
      <c r="R193" s="300"/>
      <c r="S193" s="300"/>
      <c r="T193" s="300"/>
      <c r="U193" s="300"/>
      <c r="V193" s="300"/>
      <c r="W193" s="300"/>
      <c r="X193" s="300"/>
      <c r="Y193" s="300"/>
      <c r="Z193" s="300"/>
      <c r="AA193" s="300"/>
      <c r="AB193" s="300"/>
      <c r="AC193" s="300"/>
      <c r="AD193" s="300"/>
      <c r="AE193" s="300"/>
    </row>
    <row r="194" spans="2:31" ht="15">
      <c r="B194" s="405">
        <f t="shared" si="6"/>
        <v>149</v>
      </c>
      <c r="C194" s="413" t="str" cm="1">
        <f t="array" aca="1" ref="C194" ca="1">IF(B194&lt;=$C$9,GetGetCDSName(B194),"")</f>
        <v/>
      </c>
      <c r="D194" s="373"/>
      <c r="E194" s="406"/>
      <c r="F194" s="325"/>
      <c r="G194" s="325"/>
      <c r="H194" s="325"/>
      <c r="I194" s="325"/>
      <c r="J194" s="325"/>
      <c r="K194" s="325"/>
      <c r="L194" s="325"/>
      <c r="M194" s="325"/>
      <c r="N194" s="407"/>
      <c r="O194" s="300"/>
      <c r="P194" s="300"/>
      <c r="Q194" s="300"/>
      <c r="R194" s="300"/>
      <c r="S194" s="300"/>
      <c r="T194" s="300"/>
      <c r="U194" s="300"/>
      <c r="V194" s="300"/>
      <c r="W194" s="300"/>
      <c r="X194" s="300"/>
      <c r="Y194" s="300"/>
      <c r="Z194" s="300"/>
      <c r="AA194" s="300"/>
      <c r="AB194" s="300"/>
      <c r="AC194" s="300"/>
      <c r="AD194" s="300"/>
      <c r="AE194" s="300"/>
    </row>
    <row r="195" spans="2:31" ht="15">
      <c r="B195" s="405">
        <f t="shared" si="6"/>
        <v>150</v>
      </c>
      <c r="C195" s="413" t="str" cm="1">
        <f t="array" aca="1" ref="C195" ca="1">IF(B195&lt;=$C$9,GetGetCDSName(B195),"")</f>
        <v/>
      </c>
      <c r="D195" s="373"/>
      <c r="E195" s="406"/>
      <c r="F195" s="325"/>
      <c r="G195" s="325"/>
      <c r="H195" s="325"/>
      <c r="I195" s="325"/>
      <c r="J195" s="325"/>
      <c r="K195" s="325"/>
      <c r="L195" s="325"/>
      <c r="M195" s="325"/>
      <c r="N195" s="407"/>
      <c r="O195" s="300"/>
      <c r="P195" s="300"/>
      <c r="Q195" s="300"/>
      <c r="R195" s="300"/>
      <c r="S195" s="300"/>
      <c r="T195" s="300"/>
      <c r="U195" s="300"/>
      <c r="V195" s="300"/>
      <c r="W195" s="300"/>
      <c r="X195" s="300"/>
      <c r="Y195" s="300"/>
      <c r="Z195" s="300"/>
      <c r="AA195" s="300"/>
      <c r="AB195" s="300"/>
      <c r="AC195" s="300"/>
      <c r="AD195" s="300"/>
      <c r="AE195" s="300"/>
    </row>
    <row r="196" spans="2:31" ht="15">
      <c r="B196" s="405">
        <f t="shared" si="6"/>
        <v>151</v>
      </c>
      <c r="C196" s="413" t="str" cm="1">
        <f t="array" aca="1" ref="C196" ca="1">IF(B196&lt;=$C$9,GetGetCDSName(B196),"")</f>
        <v/>
      </c>
      <c r="D196" s="373"/>
      <c r="E196" s="406"/>
      <c r="F196" s="325"/>
      <c r="G196" s="325"/>
      <c r="H196" s="325"/>
      <c r="I196" s="325"/>
      <c r="J196" s="325"/>
      <c r="K196" s="325"/>
      <c r="L196" s="325"/>
      <c r="M196" s="325"/>
      <c r="N196" s="407"/>
      <c r="O196" s="300"/>
      <c r="P196" s="300"/>
      <c r="Q196" s="300"/>
      <c r="R196" s="300"/>
      <c r="S196" s="300"/>
      <c r="T196" s="300"/>
      <c r="U196" s="300"/>
      <c r="V196" s="300"/>
      <c r="W196" s="300"/>
      <c r="X196" s="300"/>
      <c r="Y196" s="300"/>
      <c r="Z196" s="300"/>
      <c r="AA196" s="300"/>
      <c r="AB196" s="300"/>
      <c r="AC196" s="300"/>
      <c r="AD196" s="300"/>
      <c r="AE196" s="300"/>
    </row>
    <row r="197" spans="2:31" ht="15">
      <c r="B197" s="405">
        <f t="shared" si="6"/>
        <v>152</v>
      </c>
      <c r="C197" s="413" t="str" cm="1">
        <f t="array" aca="1" ref="C197" ca="1">IF(B197&lt;=$C$9,GetGetCDSName(B197),"")</f>
        <v/>
      </c>
      <c r="D197" s="373"/>
      <c r="E197" s="406"/>
      <c r="F197" s="325"/>
      <c r="G197" s="325"/>
      <c r="H197" s="325"/>
      <c r="I197" s="325"/>
      <c r="J197" s="325"/>
      <c r="K197" s="325"/>
      <c r="L197" s="325"/>
      <c r="M197" s="325"/>
      <c r="N197" s="407"/>
      <c r="O197" s="300"/>
      <c r="P197" s="300"/>
      <c r="Q197" s="300"/>
      <c r="R197" s="300"/>
      <c r="S197" s="300"/>
      <c r="T197" s="300"/>
      <c r="U197" s="300"/>
      <c r="V197" s="300"/>
      <c r="W197" s="300"/>
      <c r="X197" s="300"/>
      <c r="Y197" s="300"/>
      <c r="Z197" s="300"/>
      <c r="AA197" s="300"/>
      <c r="AB197" s="300"/>
      <c r="AC197" s="300"/>
      <c r="AD197" s="300"/>
      <c r="AE197" s="300"/>
    </row>
    <row r="198" spans="2:31" ht="15">
      <c r="B198" s="405">
        <f t="shared" si="6"/>
        <v>153</v>
      </c>
      <c r="C198" s="413" t="str" cm="1">
        <f t="array" aca="1" ref="C198" ca="1">IF(B198&lt;=$C$9,GetGetCDSName(B198),"")</f>
        <v/>
      </c>
      <c r="D198" s="373"/>
      <c r="E198" s="406"/>
      <c r="F198" s="325"/>
      <c r="G198" s="325"/>
      <c r="H198" s="325"/>
      <c r="I198" s="325"/>
      <c r="J198" s="325"/>
      <c r="K198" s="325"/>
      <c r="L198" s="325"/>
      <c r="M198" s="325"/>
      <c r="N198" s="407"/>
      <c r="O198" s="300"/>
      <c r="P198" s="300"/>
      <c r="Q198" s="300"/>
      <c r="R198" s="300"/>
      <c r="S198" s="300"/>
      <c r="T198" s="300"/>
      <c r="U198" s="300"/>
      <c r="V198" s="300"/>
      <c r="W198" s="300"/>
      <c r="X198" s="300"/>
      <c r="Y198" s="300"/>
      <c r="Z198" s="300"/>
      <c r="AA198" s="300"/>
      <c r="AB198" s="300"/>
      <c r="AC198" s="300"/>
      <c r="AD198" s="300"/>
      <c r="AE198" s="300"/>
    </row>
    <row r="199" spans="2:31" ht="15">
      <c r="B199" s="405">
        <f t="shared" si="6"/>
        <v>154</v>
      </c>
      <c r="C199" s="413" t="str" cm="1">
        <f t="array" aca="1" ref="C199" ca="1">IF(B199&lt;=$C$9,GetGetCDSName(B199),"")</f>
        <v/>
      </c>
      <c r="D199" s="373"/>
      <c r="E199" s="406"/>
      <c r="F199" s="325"/>
      <c r="G199" s="325"/>
      <c r="H199" s="325"/>
      <c r="I199" s="325"/>
      <c r="J199" s="325"/>
      <c r="K199" s="325"/>
      <c r="L199" s="325"/>
      <c r="M199" s="325"/>
      <c r="N199" s="407"/>
      <c r="O199" s="300"/>
      <c r="P199" s="300"/>
      <c r="Q199" s="300"/>
      <c r="R199" s="300"/>
      <c r="S199" s="300"/>
      <c r="T199" s="300"/>
      <c r="U199" s="300"/>
      <c r="V199" s="300"/>
      <c r="W199" s="300"/>
      <c r="X199" s="300"/>
      <c r="Y199" s="300"/>
      <c r="Z199" s="300"/>
      <c r="AA199" s="300"/>
      <c r="AB199" s="300"/>
      <c r="AC199" s="300"/>
      <c r="AD199" s="300"/>
      <c r="AE199" s="300"/>
    </row>
    <row r="200" spans="2:31" ht="15">
      <c r="B200" s="405">
        <f t="shared" si="6"/>
        <v>155</v>
      </c>
      <c r="C200" s="413" t="str" cm="1">
        <f t="array" aca="1" ref="C200" ca="1">IF(B200&lt;=$C$9,GetGetCDSName(B200),"")</f>
        <v/>
      </c>
      <c r="D200" s="373"/>
      <c r="E200" s="406"/>
      <c r="F200" s="325"/>
      <c r="G200" s="325"/>
      <c r="H200" s="325"/>
      <c r="I200" s="325"/>
      <c r="J200" s="325"/>
      <c r="K200" s="325"/>
      <c r="L200" s="325"/>
      <c r="M200" s="325"/>
      <c r="N200" s="407"/>
      <c r="O200" s="300"/>
      <c r="P200" s="300"/>
      <c r="Q200" s="300"/>
      <c r="R200" s="300"/>
      <c r="S200" s="300"/>
      <c r="T200" s="300"/>
      <c r="U200" s="300"/>
      <c r="V200" s="300"/>
      <c r="W200" s="300"/>
      <c r="X200" s="300"/>
      <c r="Y200" s="300"/>
      <c r="Z200" s="300"/>
      <c r="AA200" s="300"/>
      <c r="AB200" s="300"/>
      <c r="AC200" s="300"/>
      <c r="AD200" s="300"/>
      <c r="AE200" s="300"/>
    </row>
    <row r="201" spans="2:31" ht="15">
      <c r="B201" s="405">
        <f t="shared" si="6"/>
        <v>156</v>
      </c>
      <c r="C201" s="413" t="str" cm="1">
        <f t="array" aca="1" ref="C201" ca="1">IF(B201&lt;=$C$9,GetGetCDSName(B201),"")</f>
        <v/>
      </c>
      <c r="D201" s="373"/>
      <c r="E201" s="406"/>
      <c r="F201" s="325"/>
      <c r="G201" s="325"/>
      <c r="H201" s="325"/>
      <c r="I201" s="325"/>
      <c r="J201" s="325"/>
      <c r="K201" s="325"/>
      <c r="L201" s="325"/>
      <c r="M201" s="325"/>
      <c r="N201" s="407"/>
      <c r="O201" s="300"/>
      <c r="P201" s="300"/>
      <c r="Q201" s="300"/>
      <c r="R201" s="300"/>
      <c r="S201" s="300"/>
      <c r="T201" s="300"/>
      <c r="U201" s="300"/>
      <c r="V201" s="300"/>
      <c r="W201" s="300"/>
      <c r="X201" s="300"/>
      <c r="Y201" s="300"/>
      <c r="Z201" s="300"/>
      <c r="AA201" s="300"/>
      <c r="AB201" s="300"/>
      <c r="AC201" s="300"/>
      <c r="AD201" s="300"/>
      <c r="AE201" s="300"/>
    </row>
    <row r="202" spans="2:31" ht="15">
      <c r="B202" s="405">
        <f t="shared" si="6"/>
        <v>157</v>
      </c>
      <c r="C202" s="413" t="str" cm="1">
        <f t="array" aca="1" ref="C202" ca="1">IF(B202&lt;=$C$9,GetGetCDSName(B202),"")</f>
        <v/>
      </c>
      <c r="D202" s="373"/>
      <c r="E202" s="406"/>
      <c r="F202" s="325"/>
      <c r="G202" s="325"/>
      <c r="H202" s="325"/>
      <c r="I202" s="325"/>
      <c r="J202" s="325"/>
      <c r="K202" s="325"/>
      <c r="L202" s="325"/>
      <c r="M202" s="325"/>
      <c r="N202" s="407"/>
      <c r="O202" s="300"/>
      <c r="P202" s="300"/>
      <c r="Q202" s="300"/>
      <c r="R202" s="300"/>
      <c r="S202" s="300"/>
      <c r="T202" s="300"/>
      <c r="U202" s="300"/>
      <c r="V202" s="300"/>
      <c r="W202" s="300"/>
      <c r="X202" s="300"/>
      <c r="Y202" s="300"/>
      <c r="Z202" s="300"/>
      <c r="AA202" s="300"/>
      <c r="AB202" s="300"/>
      <c r="AC202" s="300"/>
      <c r="AD202" s="300"/>
      <c r="AE202" s="300"/>
    </row>
    <row r="203" spans="2:31" ht="15">
      <c r="B203" s="405">
        <f t="shared" si="6"/>
        <v>158</v>
      </c>
      <c r="C203" s="413" t="str" cm="1">
        <f t="array" aca="1" ref="C203" ca="1">IF(B203&lt;=$C$9,GetGetCDSName(B203),"")</f>
        <v/>
      </c>
      <c r="D203" s="373"/>
      <c r="E203" s="406"/>
      <c r="F203" s="325"/>
      <c r="G203" s="325"/>
      <c r="H203" s="325"/>
      <c r="I203" s="325"/>
      <c r="J203" s="325"/>
      <c r="K203" s="325"/>
      <c r="L203" s="325"/>
      <c r="M203" s="325"/>
      <c r="N203" s="407"/>
      <c r="O203" s="300"/>
      <c r="P203" s="300"/>
      <c r="Q203" s="300"/>
      <c r="R203" s="300"/>
      <c r="S203" s="300"/>
      <c r="T203" s="300"/>
      <c r="U203" s="300"/>
      <c r="V203" s="300"/>
      <c r="W203" s="300"/>
      <c r="X203" s="300"/>
      <c r="Y203" s="300"/>
      <c r="Z203" s="300"/>
      <c r="AA203" s="300"/>
      <c r="AB203" s="300"/>
      <c r="AC203" s="300"/>
      <c r="AD203" s="300"/>
      <c r="AE203" s="300"/>
    </row>
    <row r="204" spans="2:31" ht="15">
      <c r="B204" s="405">
        <f t="shared" si="6"/>
        <v>159</v>
      </c>
      <c r="C204" s="413" t="str" cm="1">
        <f t="array" aca="1" ref="C204" ca="1">IF(B204&lt;=$C$9,GetGetCDSName(B204),"")</f>
        <v/>
      </c>
      <c r="D204" s="373"/>
      <c r="E204" s="406"/>
      <c r="F204" s="325"/>
      <c r="G204" s="325"/>
      <c r="H204" s="325"/>
      <c r="I204" s="325"/>
      <c r="J204" s="325"/>
      <c r="K204" s="325"/>
      <c r="L204" s="325"/>
      <c r="M204" s="325"/>
      <c r="N204" s="407"/>
      <c r="O204" s="300"/>
      <c r="P204" s="300"/>
      <c r="Q204" s="300"/>
      <c r="R204" s="300"/>
      <c r="S204" s="300"/>
      <c r="T204" s="300"/>
      <c r="U204" s="300"/>
      <c r="V204" s="300"/>
      <c r="W204" s="300"/>
      <c r="X204" s="300"/>
      <c r="Y204" s="300"/>
      <c r="Z204" s="300"/>
      <c r="AA204" s="300"/>
      <c r="AB204" s="300"/>
      <c r="AC204" s="300"/>
      <c r="AD204" s="300"/>
      <c r="AE204" s="300"/>
    </row>
    <row r="205" spans="2:31" ht="15">
      <c r="B205" s="405">
        <f t="shared" si="6"/>
        <v>160</v>
      </c>
      <c r="C205" s="413" t="str" cm="1">
        <f t="array" aca="1" ref="C205" ca="1">IF(B205&lt;=$C$9,GetGetCDSName(B205),"")</f>
        <v/>
      </c>
      <c r="D205" s="373"/>
      <c r="E205" s="406"/>
      <c r="F205" s="325"/>
      <c r="G205" s="325"/>
      <c r="H205" s="325"/>
      <c r="I205" s="325"/>
      <c r="J205" s="325"/>
      <c r="K205" s="325"/>
      <c r="L205" s="325"/>
      <c r="M205" s="325"/>
      <c r="N205" s="407"/>
      <c r="O205" s="300"/>
      <c r="P205" s="300"/>
      <c r="Q205" s="300"/>
      <c r="R205" s="300"/>
      <c r="S205" s="300"/>
      <c r="T205" s="300"/>
      <c r="U205" s="300"/>
      <c r="V205" s="300"/>
      <c r="W205" s="300"/>
      <c r="X205" s="300"/>
      <c r="Y205" s="300"/>
      <c r="Z205" s="300"/>
      <c r="AA205" s="300"/>
      <c r="AB205" s="300"/>
      <c r="AC205" s="300"/>
      <c r="AD205" s="300"/>
      <c r="AE205" s="300"/>
    </row>
    <row r="206" spans="2:31" ht="15">
      <c r="B206" s="405">
        <f t="shared" si="6"/>
        <v>161</v>
      </c>
      <c r="C206" s="413" t="str" cm="1">
        <f t="array" aca="1" ref="C206" ca="1">IF(B206&lt;=$C$9,GetGetCDSName(B206),"")</f>
        <v/>
      </c>
      <c r="D206" s="373"/>
      <c r="E206" s="406"/>
      <c r="F206" s="325"/>
      <c r="G206" s="325"/>
      <c r="H206" s="325"/>
      <c r="I206" s="325"/>
      <c r="J206" s="325"/>
      <c r="K206" s="325"/>
      <c r="L206" s="325"/>
      <c r="M206" s="325"/>
      <c r="N206" s="407"/>
      <c r="O206" s="300"/>
      <c r="P206" s="300"/>
      <c r="Q206" s="300"/>
      <c r="R206" s="300"/>
      <c r="S206" s="300"/>
      <c r="T206" s="300"/>
      <c r="U206" s="300"/>
      <c r="V206" s="300"/>
      <c r="W206" s="300"/>
      <c r="X206" s="300"/>
      <c r="Y206" s="300"/>
      <c r="Z206" s="300"/>
      <c r="AA206" s="300"/>
      <c r="AB206" s="300"/>
      <c r="AC206" s="300"/>
      <c r="AD206" s="300"/>
      <c r="AE206" s="300"/>
    </row>
    <row r="207" spans="2:31" ht="15">
      <c r="B207" s="405">
        <f t="shared" si="6"/>
        <v>162</v>
      </c>
      <c r="C207" s="413" t="str" cm="1">
        <f t="array" aca="1" ref="C207" ca="1">IF(B207&lt;=$C$9,GetGetCDSName(B207),"")</f>
        <v/>
      </c>
      <c r="D207" s="373"/>
      <c r="E207" s="406"/>
      <c r="F207" s="325"/>
      <c r="G207" s="325"/>
      <c r="H207" s="325"/>
      <c r="I207" s="325"/>
      <c r="J207" s="325"/>
      <c r="K207" s="325"/>
      <c r="L207" s="325"/>
      <c r="M207" s="325"/>
      <c r="N207" s="407"/>
      <c r="O207" s="300"/>
      <c r="P207" s="300"/>
      <c r="Q207" s="300"/>
      <c r="R207" s="300"/>
      <c r="S207" s="300"/>
      <c r="T207" s="300"/>
      <c r="U207" s="300"/>
      <c r="V207" s="300"/>
      <c r="W207" s="300"/>
      <c r="X207" s="300"/>
      <c r="Y207" s="300"/>
      <c r="Z207" s="300"/>
      <c r="AA207" s="300"/>
      <c r="AB207" s="300"/>
      <c r="AC207" s="300"/>
      <c r="AD207" s="300"/>
      <c r="AE207" s="300"/>
    </row>
    <row r="208" spans="2:31" ht="15">
      <c r="B208" s="405">
        <f t="shared" si="6"/>
        <v>163</v>
      </c>
      <c r="C208" s="413" t="str" cm="1">
        <f t="array" aca="1" ref="C208" ca="1">IF(B208&lt;=$C$9,GetGetCDSName(B208),"")</f>
        <v/>
      </c>
      <c r="D208" s="373"/>
      <c r="E208" s="406"/>
      <c r="F208" s="325"/>
      <c r="G208" s="325"/>
      <c r="H208" s="325"/>
      <c r="I208" s="325"/>
      <c r="J208" s="325"/>
      <c r="K208" s="325"/>
      <c r="L208" s="325"/>
      <c r="M208" s="325"/>
      <c r="N208" s="407"/>
      <c r="O208" s="300"/>
      <c r="P208" s="300"/>
      <c r="Q208" s="300"/>
      <c r="R208" s="300"/>
      <c r="S208" s="300"/>
      <c r="T208" s="300"/>
      <c r="U208" s="300"/>
      <c r="V208" s="300"/>
      <c r="W208" s="300"/>
      <c r="X208" s="300"/>
      <c r="Y208" s="300"/>
      <c r="Z208" s="300"/>
      <c r="AA208" s="300"/>
      <c r="AB208" s="300"/>
      <c r="AC208" s="300"/>
      <c r="AD208" s="300"/>
      <c r="AE208" s="300"/>
    </row>
    <row r="209" spans="2:31" ht="15">
      <c r="B209" s="405">
        <f t="shared" si="6"/>
        <v>164</v>
      </c>
      <c r="C209" s="413" t="str" cm="1">
        <f t="array" aca="1" ref="C209" ca="1">IF(B209&lt;=$C$9,GetGetCDSName(B209),"")</f>
        <v/>
      </c>
      <c r="D209" s="373"/>
      <c r="E209" s="406"/>
      <c r="F209" s="325"/>
      <c r="G209" s="325"/>
      <c r="H209" s="325"/>
      <c r="I209" s="325"/>
      <c r="J209" s="325"/>
      <c r="K209" s="325"/>
      <c r="L209" s="325"/>
      <c r="M209" s="325"/>
      <c r="N209" s="407"/>
      <c r="O209" s="300"/>
      <c r="P209" s="300"/>
      <c r="Q209" s="300"/>
      <c r="R209" s="300"/>
      <c r="S209" s="300"/>
      <c r="T209" s="300"/>
      <c r="U209" s="300"/>
      <c r="V209" s="300"/>
      <c r="W209" s="300"/>
      <c r="X209" s="300"/>
      <c r="Y209" s="300"/>
      <c r="Z209" s="300"/>
      <c r="AA209" s="300"/>
      <c r="AB209" s="300"/>
      <c r="AC209" s="300"/>
      <c r="AD209" s="300"/>
      <c r="AE209" s="300"/>
    </row>
    <row r="210" spans="2:31" ht="15">
      <c r="B210" s="405">
        <f t="shared" si="6"/>
        <v>165</v>
      </c>
      <c r="C210" s="413" t="str" cm="1">
        <f t="array" aca="1" ref="C210" ca="1">IF(B210&lt;=$C$9,GetGetCDSName(B210),"")</f>
        <v/>
      </c>
      <c r="D210" s="373"/>
      <c r="E210" s="406"/>
      <c r="F210" s="325"/>
      <c r="G210" s="325"/>
      <c r="H210" s="325"/>
      <c r="I210" s="325"/>
      <c r="J210" s="325"/>
      <c r="K210" s="325"/>
      <c r="L210" s="325"/>
      <c r="M210" s="325"/>
      <c r="N210" s="407"/>
      <c r="O210" s="300"/>
      <c r="P210" s="300"/>
      <c r="Q210" s="300"/>
      <c r="R210" s="300"/>
      <c r="S210" s="300"/>
      <c r="T210" s="300"/>
      <c r="U210" s="300"/>
      <c r="V210" s="300"/>
      <c r="W210" s="300"/>
      <c r="X210" s="300"/>
      <c r="Y210" s="300"/>
      <c r="Z210" s="300"/>
      <c r="AA210" s="300"/>
      <c r="AB210" s="300"/>
      <c r="AC210" s="300"/>
      <c r="AD210" s="300"/>
      <c r="AE210" s="300"/>
    </row>
    <row r="211" spans="2:31" ht="15">
      <c r="B211" s="405">
        <f t="shared" si="6"/>
        <v>166</v>
      </c>
      <c r="C211" s="413" t="str" cm="1">
        <f t="array" aca="1" ref="C211" ca="1">IF(B211&lt;=$C$9,GetGetCDSName(B211),"")</f>
        <v/>
      </c>
      <c r="D211" s="373"/>
      <c r="E211" s="406"/>
      <c r="F211" s="325"/>
      <c r="G211" s="325"/>
      <c r="H211" s="325"/>
      <c r="I211" s="325"/>
      <c r="J211" s="325"/>
      <c r="K211" s="325"/>
      <c r="L211" s="325"/>
      <c r="M211" s="325"/>
      <c r="N211" s="407"/>
      <c r="O211" s="300"/>
      <c r="P211" s="300"/>
      <c r="Q211" s="300"/>
      <c r="R211" s="300"/>
      <c r="S211" s="300"/>
      <c r="T211" s="300"/>
      <c r="U211" s="300"/>
      <c r="V211" s="300"/>
      <c r="W211" s="300"/>
      <c r="X211" s="300"/>
      <c r="Y211" s="300"/>
      <c r="Z211" s="300"/>
      <c r="AA211" s="300"/>
      <c r="AB211" s="300"/>
      <c r="AC211" s="300"/>
      <c r="AD211" s="300"/>
      <c r="AE211" s="300"/>
    </row>
    <row r="212" spans="2:31" ht="15">
      <c r="B212" s="405">
        <f t="shared" si="6"/>
        <v>167</v>
      </c>
      <c r="C212" s="413" t="str" cm="1">
        <f t="array" aca="1" ref="C212" ca="1">IF(B212&lt;=$C$9,GetGetCDSName(B212),"")</f>
        <v/>
      </c>
      <c r="D212" s="373"/>
      <c r="E212" s="406"/>
      <c r="F212" s="325"/>
      <c r="G212" s="325"/>
      <c r="H212" s="325"/>
      <c r="I212" s="325"/>
      <c r="J212" s="325"/>
      <c r="K212" s="325"/>
      <c r="L212" s="325"/>
      <c r="M212" s="325"/>
      <c r="N212" s="407"/>
      <c r="O212" s="300"/>
      <c r="P212" s="300"/>
      <c r="Q212" s="300"/>
      <c r="R212" s="300"/>
      <c r="S212" s="300"/>
      <c r="T212" s="300"/>
      <c r="U212" s="300"/>
      <c r="V212" s="300"/>
      <c r="W212" s="300"/>
      <c r="X212" s="300"/>
      <c r="Y212" s="300"/>
      <c r="Z212" s="300"/>
      <c r="AA212" s="300"/>
      <c r="AB212" s="300"/>
      <c r="AC212" s="300"/>
      <c r="AD212" s="300"/>
      <c r="AE212" s="300"/>
    </row>
    <row r="213" spans="2:31" ht="15">
      <c r="B213" s="405">
        <f t="shared" si="6"/>
        <v>168</v>
      </c>
      <c r="C213" s="413" t="str" cm="1">
        <f t="array" aca="1" ref="C213" ca="1">IF(B213&lt;=$C$9,GetGetCDSName(B213),"")</f>
        <v/>
      </c>
      <c r="D213" s="373"/>
      <c r="E213" s="406"/>
      <c r="F213" s="325"/>
      <c r="G213" s="325"/>
      <c r="H213" s="325"/>
      <c r="I213" s="325"/>
      <c r="J213" s="325"/>
      <c r="K213" s="325"/>
      <c r="L213" s="325"/>
      <c r="M213" s="325"/>
      <c r="N213" s="407"/>
      <c r="O213" s="300"/>
      <c r="P213" s="300"/>
      <c r="Q213" s="300"/>
      <c r="R213" s="300"/>
      <c r="S213" s="300"/>
      <c r="T213" s="300"/>
      <c r="U213" s="300"/>
      <c r="V213" s="300"/>
      <c r="W213" s="300"/>
      <c r="X213" s="300"/>
      <c r="Y213" s="300"/>
      <c r="Z213" s="300"/>
      <c r="AA213" s="300"/>
      <c r="AB213" s="300"/>
      <c r="AC213" s="300"/>
      <c r="AD213" s="300"/>
      <c r="AE213" s="300"/>
    </row>
    <row r="214" spans="2:31" ht="15">
      <c r="B214" s="405">
        <f t="shared" si="6"/>
        <v>169</v>
      </c>
      <c r="C214" s="413" t="str" cm="1">
        <f t="array" aca="1" ref="C214" ca="1">IF(B214&lt;=$C$9,GetGetCDSName(B214),"")</f>
        <v/>
      </c>
      <c r="D214" s="373"/>
      <c r="E214" s="406"/>
      <c r="F214" s="325"/>
      <c r="G214" s="325"/>
      <c r="H214" s="325"/>
      <c r="I214" s="325"/>
      <c r="J214" s="325"/>
      <c r="K214" s="325"/>
      <c r="L214" s="325"/>
      <c r="M214" s="325"/>
      <c r="N214" s="407"/>
      <c r="O214" s="300"/>
      <c r="P214" s="300"/>
      <c r="Q214" s="300"/>
      <c r="R214" s="300"/>
      <c r="S214" s="300"/>
      <c r="T214" s="300"/>
      <c r="U214" s="300"/>
      <c r="V214" s="300"/>
      <c r="W214" s="300"/>
      <c r="X214" s="300"/>
      <c r="Y214" s="300"/>
      <c r="Z214" s="300"/>
      <c r="AA214" s="300"/>
      <c r="AB214" s="300"/>
      <c r="AC214" s="300"/>
      <c r="AD214" s="300"/>
      <c r="AE214" s="300"/>
    </row>
    <row r="215" spans="2:31" ht="15">
      <c r="B215" s="405">
        <f t="shared" si="6"/>
        <v>170</v>
      </c>
      <c r="C215" s="413" t="str" cm="1">
        <f t="array" aca="1" ref="C215" ca="1">IF(B215&lt;=$C$9,GetGetCDSName(B215),"")</f>
        <v/>
      </c>
      <c r="D215" s="373"/>
      <c r="E215" s="406"/>
      <c r="F215" s="325"/>
      <c r="G215" s="325"/>
      <c r="H215" s="325"/>
      <c r="I215" s="325"/>
      <c r="J215" s="325"/>
      <c r="K215" s="325"/>
      <c r="L215" s="325"/>
      <c r="M215" s="325"/>
      <c r="N215" s="407"/>
      <c r="O215" s="300"/>
      <c r="P215" s="300"/>
      <c r="Q215" s="300"/>
      <c r="R215" s="300"/>
      <c r="S215" s="300"/>
      <c r="T215" s="300"/>
      <c r="U215" s="300"/>
      <c r="V215" s="300"/>
      <c r="W215" s="300"/>
      <c r="X215" s="300"/>
      <c r="Y215" s="300"/>
      <c r="Z215" s="300"/>
      <c r="AA215" s="300"/>
      <c r="AB215" s="300"/>
      <c r="AC215" s="300"/>
      <c r="AD215" s="300"/>
      <c r="AE215" s="300"/>
    </row>
    <row r="216" spans="2:31" ht="15">
      <c r="B216" s="405">
        <f t="shared" si="6"/>
        <v>171</v>
      </c>
      <c r="C216" s="413" t="str" cm="1">
        <f t="array" aca="1" ref="C216" ca="1">IF(B216&lt;=$C$9,GetGetCDSName(B216),"")</f>
        <v/>
      </c>
      <c r="D216" s="373"/>
      <c r="E216" s="406"/>
      <c r="F216" s="325"/>
      <c r="G216" s="325"/>
      <c r="H216" s="325"/>
      <c r="I216" s="325"/>
      <c r="J216" s="325"/>
      <c r="K216" s="325"/>
      <c r="L216" s="325"/>
      <c r="M216" s="325"/>
      <c r="N216" s="407"/>
      <c r="O216" s="300"/>
      <c r="P216" s="300"/>
      <c r="Q216" s="300"/>
      <c r="R216" s="300"/>
      <c r="S216" s="300"/>
      <c r="T216" s="300"/>
      <c r="U216" s="300"/>
      <c r="V216" s="300"/>
      <c r="W216" s="300"/>
      <c r="X216" s="300"/>
      <c r="Y216" s="300"/>
      <c r="Z216" s="300"/>
      <c r="AA216" s="300"/>
      <c r="AB216" s="300"/>
      <c r="AC216" s="300"/>
      <c r="AD216" s="300"/>
      <c r="AE216" s="300"/>
    </row>
    <row r="217" spans="2:31" ht="15">
      <c r="B217" s="405">
        <f t="shared" si="6"/>
        <v>172</v>
      </c>
      <c r="C217" s="413" t="str" cm="1">
        <f t="array" aca="1" ref="C217" ca="1">IF(B217&lt;=$C$9,GetGetCDSName(B217),"")</f>
        <v/>
      </c>
      <c r="D217" s="373"/>
      <c r="E217" s="406"/>
      <c r="F217" s="325"/>
      <c r="G217" s="325"/>
      <c r="H217" s="325"/>
      <c r="I217" s="325"/>
      <c r="J217" s="325"/>
      <c r="K217" s="325"/>
      <c r="L217" s="325"/>
      <c r="M217" s="325"/>
      <c r="N217" s="407"/>
      <c r="O217" s="300"/>
      <c r="P217" s="300"/>
      <c r="Q217" s="300"/>
      <c r="R217" s="300"/>
      <c r="S217" s="300"/>
      <c r="T217" s="300"/>
      <c r="U217" s="300"/>
      <c r="V217" s="300"/>
      <c r="W217" s="300"/>
      <c r="X217" s="300"/>
      <c r="Y217" s="300"/>
      <c r="Z217" s="300"/>
      <c r="AA217" s="300"/>
      <c r="AB217" s="300"/>
      <c r="AC217" s="300"/>
      <c r="AD217" s="300"/>
      <c r="AE217" s="300"/>
    </row>
    <row r="218" spans="2:31" ht="15">
      <c r="B218" s="405">
        <f t="shared" si="6"/>
        <v>173</v>
      </c>
      <c r="C218" s="413" t="str" cm="1">
        <f t="array" aca="1" ref="C218" ca="1">IF(B218&lt;=$C$9,GetGetCDSName(B218),"")</f>
        <v/>
      </c>
      <c r="D218" s="373"/>
      <c r="E218" s="406"/>
      <c r="F218" s="325"/>
      <c r="G218" s="325"/>
      <c r="H218" s="325"/>
      <c r="I218" s="325"/>
      <c r="J218" s="325"/>
      <c r="K218" s="325"/>
      <c r="L218" s="325"/>
      <c r="M218" s="325"/>
      <c r="N218" s="407"/>
      <c r="O218" s="300"/>
      <c r="P218" s="300"/>
      <c r="Q218" s="300"/>
      <c r="R218" s="300"/>
      <c r="S218" s="300"/>
      <c r="T218" s="300"/>
      <c r="U218" s="300"/>
      <c r="V218" s="300"/>
      <c r="W218" s="300"/>
      <c r="X218" s="300"/>
      <c r="Y218" s="300"/>
      <c r="Z218" s="300"/>
      <c r="AA218" s="300"/>
      <c r="AB218" s="300"/>
      <c r="AC218" s="300"/>
      <c r="AD218" s="300"/>
      <c r="AE218" s="300"/>
    </row>
    <row r="219" spans="2:31" ht="15">
      <c r="B219" s="405">
        <f t="shared" si="6"/>
        <v>174</v>
      </c>
      <c r="C219" s="413" t="str" cm="1">
        <f t="array" aca="1" ref="C219" ca="1">IF(B219&lt;=$C$9,GetGetCDSName(B219),"")</f>
        <v/>
      </c>
      <c r="D219" s="373"/>
      <c r="E219" s="406"/>
      <c r="F219" s="325"/>
      <c r="G219" s="325"/>
      <c r="H219" s="325"/>
      <c r="I219" s="325"/>
      <c r="J219" s="325"/>
      <c r="K219" s="325"/>
      <c r="L219" s="325"/>
      <c r="M219" s="325"/>
      <c r="N219" s="407"/>
      <c r="O219" s="300"/>
      <c r="P219" s="300"/>
      <c r="Q219" s="300"/>
      <c r="R219" s="300"/>
      <c r="S219" s="300"/>
      <c r="T219" s="300"/>
      <c r="U219" s="300"/>
      <c r="V219" s="300"/>
      <c r="W219" s="300"/>
      <c r="X219" s="300"/>
      <c r="Y219" s="300"/>
      <c r="Z219" s="300"/>
      <c r="AA219" s="300"/>
      <c r="AB219" s="300"/>
      <c r="AC219" s="300"/>
      <c r="AD219" s="300"/>
      <c r="AE219" s="300"/>
    </row>
    <row r="220" spans="2:31" ht="15">
      <c r="B220" s="405">
        <f t="shared" si="6"/>
        <v>175</v>
      </c>
      <c r="C220" s="413" t="str" cm="1">
        <f t="array" aca="1" ref="C220" ca="1">IF(B220&lt;=$C$9,GetGetCDSName(B220),"")</f>
        <v/>
      </c>
      <c r="D220" s="373"/>
      <c r="E220" s="406"/>
      <c r="F220" s="325"/>
      <c r="G220" s="325"/>
      <c r="H220" s="325"/>
      <c r="I220" s="325"/>
      <c r="J220" s="325"/>
      <c r="K220" s="325"/>
      <c r="L220" s="325"/>
      <c r="M220" s="325"/>
      <c r="N220" s="407"/>
      <c r="O220" s="300"/>
      <c r="P220" s="300"/>
      <c r="Q220" s="300"/>
      <c r="R220" s="300"/>
      <c r="S220" s="300"/>
      <c r="T220" s="300"/>
      <c r="U220" s="300"/>
      <c r="V220" s="300"/>
      <c r="W220" s="300"/>
      <c r="X220" s="300"/>
      <c r="Y220" s="300"/>
      <c r="Z220" s="300"/>
      <c r="AA220" s="300"/>
      <c r="AB220" s="300"/>
      <c r="AC220" s="300"/>
      <c r="AD220" s="300"/>
      <c r="AE220" s="300"/>
    </row>
    <row r="221" spans="2:31" ht="15">
      <c r="B221" s="405">
        <f t="shared" si="6"/>
        <v>176</v>
      </c>
      <c r="C221" s="413" t="str" cm="1">
        <f t="array" aca="1" ref="C221" ca="1">IF(B221&lt;=$C$9,GetGetCDSName(B221),"")</f>
        <v/>
      </c>
      <c r="D221" s="373"/>
      <c r="E221" s="406"/>
      <c r="F221" s="325"/>
      <c r="G221" s="325"/>
      <c r="H221" s="325"/>
      <c r="I221" s="325"/>
      <c r="J221" s="325"/>
      <c r="K221" s="325"/>
      <c r="L221" s="325"/>
      <c r="M221" s="325"/>
      <c r="N221" s="407"/>
      <c r="O221" s="300"/>
      <c r="P221" s="300"/>
      <c r="Q221" s="300"/>
      <c r="R221" s="300"/>
      <c r="S221" s="300"/>
      <c r="T221" s="300"/>
      <c r="U221" s="300"/>
      <c r="V221" s="300"/>
      <c r="W221" s="300"/>
      <c r="X221" s="300"/>
      <c r="Y221" s="300"/>
      <c r="Z221" s="300"/>
      <c r="AA221" s="300"/>
      <c r="AB221" s="300"/>
      <c r="AC221" s="300"/>
      <c r="AD221" s="300"/>
      <c r="AE221" s="300"/>
    </row>
    <row r="222" spans="2:31" ht="15">
      <c r="B222" s="405">
        <f t="shared" si="6"/>
        <v>177</v>
      </c>
      <c r="C222" s="413" t="str" cm="1">
        <f t="array" aca="1" ref="C222" ca="1">IF(B222&lt;=$C$9,GetGetCDSName(B222),"")</f>
        <v/>
      </c>
      <c r="D222" s="373"/>
      <c r="E222" s="406"/>
      <c r="F222" s="325"/>
      <c r="G222" s="325"/>
      <c r="H222" s="325"/>
      <c r="I222" s="325"/>
      <c r="J222" s="325"/>
      <c r="K222" s="325"/>
      <c r="L222" s="325"/>
      <c r="M222" s="325"/>
      <c r="N222" s="407"/>
      <c r="O222" s="300"/>
      <c r="P222" s="300"/>
      <c r="Q222" s="300"/>
      <c r="R222" s="300"/>
      <c r="S222" s="300"/>
      <c r="T222" s="300"/>
      <c r="U222" s="300"/>
      <c r="V222" s="300"/>
      <c r="W222" s="300"/>
      <c r="X222" s="300"/>
      <c r="Y222" s="300"/>
      <c r="Z222" s="300"/>
      <c r="AA222" s="300"/>
      <c r="AB222" s="300"/>
      <c r="AC222" s="300"/>
      <c r="AD222" s="300"/>
      <c r="AE222" s="300"/>
    </row>
    <row r="223" spans="2:31" ht="15">
      <c r="B223" s="405">
        <f t="shared" si="6"/>
        <v>178</v>
      </c>
      <c r="C223" s="413" t="str" cm="1">
        <f t="array" aca="1" ref="C223" ca="1">IF(B223&lt;=$C$9,GetGetCDSName(B223),"")</f>
        <v/>
      </c>
      <c r="D223" s="373"/>
      <c r="E223" s="406"/>
      <c r="F223" s="325"/>
      <c r="G223" s="325"/>
      <c r="H223" s="325"/>
      <c r="I223" s="325"/>
      <c r="J223" s="325"/>
      <c r="K223" s="325"/>
      <c r="L223" s="325"/>
      <c r="M223" s="325"/>
      <c r="N223" s="407"/>
      <c r="O223" s="300"/>
      <c r="P223" s="300"/>
      <c r="Q223" s="300"/>
      <c r="R223" s="300"/>
      <c r="S223" s="300"/>
      <c r="T223" s="300"/>
      <c r="U223" s="300"/>
      <c r="V223" s="300"/>
      <c r="W223" s="300"/>
      <c r="X223" s="300"/>
      <c r="Y223" s="300"/>
      <c r="Z223" s="300"/>
      <c r="AA223" s="300"/>
      <c r="AB223" s="300"/>
      <c r="AC223" s="300"/>
      <c r="AD223" s="300"/>
      <c r="AE223" s="300"/>
    </row>
    <row r="224" spans="2:31" ht="15">
      <c r="B224" s="405">
        <f t="shared" si="6"/>
        <v>179</v>
      </c>
      <c r="C224" s="413" t="str" cm="1">
        <f t="array" aca="1" ref="C224" ca="1">IF(B224&lt;=$C$9,GetGetCDSName(B224),"")</f>
        <v/>
      </c>
      <c r="D224" s="373"/>
      <c r="E224" s="406"/>
      <c r="F224" s="325"/>
      <c r="G224" s="325"/>
      <c r="H224" s="325"/>
      <c r="I224" s="325"/>
      <c r="J224" s="325"/>
      <c r="K224" s="325"/>
      <c r="L224" s="325"/>
      <c r="M224" s="325"/>
      <c r="N224" s="407"/>
      <c r="O224" s="300"/>
      <c r="P224" s="300"/>
      <c r="Q224" s="300"/>
      <c r="R224" s="300"/>
      <c r="S224" s="300"/>
      <c r="T224" s="300"/>
      <c r="U224" s="300"/>
      <c r="V224" s="300"/>
      <c r="W224" s="300"/>
      <c r="X224" s="300"/>
      <c r="Y224" s="300"/>
      <c r="Z224" s="300"/>
      <c r="AA224" s="300"/>
      <c r="AB224" s="300"/>
      <c r="AC224" s="300"/>
      <c r="AD224" s="300"/>
      <c r="AE224" s="300"/>
    </row>
    <row r="225" spans="2:31" ht="15">
      <c r="B225" s="405">
        <f t="shared" si="6"/>
        <v>180</v>
      </c>
      <c r="C225" s="413" t="str" cm="1">
        <f t="array" aca="1" ref="C225" ca="1">IF(B225&lt;=$C$9,GetGetCDSName(B225),"")</f>
        <v/>
      </c>
      <c r="D225" s="373"/>
      <c r="E225" s="406"/>
      <c r="F225" s="325"/>
      <c r="G225" s="325"/>
      <c r="H225" s="325"/>
      <c r="I225" s="325"/>
      <c r="J225" s="325"/>
      <c r="K225" s="325"/>
      <c r="L225" s="325"/>
      <c r="M225" s="325"/>
      <c r="N225" s="407"/>
      <c r="O225" s="300"/>
      <c r="P225" s="300"/>
      <c r="Q225" s="300"/>
      <c r="R225" s="300"/>
      <c r="S225" s="300"/>
      <c r="T225" s="300"/>
      <c r="U225" s="300"/>
      <c r="V225" s="300"/>
      <c r="W225" s="300"/>
      <c r="X225" s="300"/>
      <c r="Y225" s="300"/>
      <c r="Z225" s="300"/>
      <c r="AA225" s="300"/>
      <c r="AB225" s="300"/>
      <c r="AC225" s="300"/>
      <c r="AD225" s="300"/>
      <c r="AE225" s="300"/>
    </row>
    <row r="226" spans="2:31" ht="15">
      <c r="B226" s="405">
        <f t="shared" si="6"/>
        <v>181</v>
      </c>
      <c r="C226" s="413" t="str" cm="1">
        <f t="array" aca="1" ref="C226" ca="1">IF(B226&lt;=$C$9,GetGetCDSName(B226),"")</f>
        <v/>
      </c>
      <c r="D226" s="373"/>
      <c r="E226" s="406"/>
      <c r="F226" s="325"/>
      <c r="G226" s="325"/>
      <c r="H226" s="325"/>
      <c r="I226" s="325"/>
      <c r="J226" s="325"/>
      <c r="K226" s="325"/>
      <c r="L226" s="325"/>
      <c r="M226" s="325"/>
      <c r="N226" s="407"/>
      <c r="O226" s="300"/>
      <c r="P226" s="300"/>
      <c r="Q226" s="300"/>
      <c r="R226" s="300"/>
      <c r="S226" s="300"/>
      <c r="T226" s="300"/>
      <c r="U226" s="300"/>
      <c r="V226" s="300"/>
      <c r="W226" s="300"/>
      <c r="X226" s="300"/>
      <c r="Y226" s="300"/>
      <c r="Z226" s="300"/>
      <c r="AA226" s="300"/>
      <c r="AB226" s="300"/>
      <c r="AC226" s="300"/>
      <c r="AD226" s="300"/>
      <c r="AE226" s="300"/>
    </row>
    <row r="227" spans="2:31" ht="15">
      <c r="B227" s="405">
        <f t="shared" si="6"/>
        <v>182</v>
      </c>
      <c r="C227" s="413" t="str" cm="1">
        <f t="array" aca="1" ref="C227" ca="1">IF(B227&lt;=$C$9,GetGetCDSName(B227),"")</f>
        <v/>
      </c>
      <c r="D227" s="373"/>
      <c r="E227" s="406"/>
      <c r="F227" s="325"/>
      <c r="G227" s="325"/>
      <c r="H227" s="325"/>
      <c r="I227" s="325"/>
      <c r="J227" s="325"/>
      <c r="K227" s="325"/>
      <c r="L227" s="325"/>
      <c r="M227" s="325"/>
      <c r="N227" s="407"/>
      <c r="O227" s="300"/>
      <c r="P227" s="300"/>
      <c r="Q227" s="300"/>
      <c r="R227" s="300"/>
      <c r="S227" s="300"/>
      <c r="T227" s="300"/>
      <c r="U227" s="300"/>
      <c r="V227" s="300"/>
      <c r="W227" s="300"/>
      <c r="X227" s="300"/>
      <c r="Y227" s="300"/>
      <c r="Z227" s="300"/>
      <c r="AA227" s="300"/>
      <c r="AB227" s="300"/>
      <c r="AC227" s="300"/>
      <c r="AD227" s="300"/>
      <c r="AE227" s="300"/>
    </row>
    <row r="228" spans="2:31" ht="15">
      <c r="B228" s="405">
        <f t="shared" si="6"/>
        <v>183</v>
      </c>
      <c r="C228" s="413" t="str" cm="1">
        <f t="array" aca="1" ref="C228" ca="1">IF(B228&lt;=$C$9,GetGetCDSName(B228),"")</f>
        <v/>
      </c>
      <c r="D228" s="373"/>
      <c r="E228" s="406"/>
      <c r="F228" s="325"/>
      <c r="G228" s="325"/>
      <c r="H228" s="325"/>
      <c r="I228" s="325"/>
      <c r="J228" s="325"/>
      <c r="K228" s="325"/>
      <c r="L228" s="325"/>
      <c r="M228" s="325"/>
      <c r="N228" s="407"/>
      <c r="O228" s="300"/>
      <c r="P228" s="300"/>
      <c r="Q228" s="300"/>
      <c r="R228" s="300"/>
      <c r="S228" s="300"/>
      <c r="T228" s="300"/>
      <c r="U228" s="300"/>
      <c r="V228" s="300"/>
      <c r="W228" s="300"/>
      <c r="X228" s="300"/>
      <c r="Y228" s="300"/>
      <c r="Z228" s="300"/>
      <c r="AA228" s="300"/>
      <c r="AB228" s="300"/>
      <c r="AC228" s="300"/>
      <c r="AD228" s="300"/>
      <c r="AE228" s="300"/>
    </row>
    <row r="229" spans="2:31" ht="15">
      <c r="B229" s="405">
        <f t="shared" si="6"/>
        <v>184</v>
      </c>
      <c r="C229" s="413" t="str" cm="1">
        <f t="array" aca="1" ref="C229" ca="1">IF(B229&lt;=$C$9,GetGetCDSName(B229),"")</f>
        <v/>
      </c>
      <c r="D229" s="373"/>
      <c r="E229" s="406"/>
      <c r="F229" s="325"/>
      <c r="G229" s="325"/>
      <c r="H229" s="325"/>
      <c r="I229" s="325"/>
      <c r="J229" s="325"/>
      <c r="K229" s="325"/>
      <c r="L229" s="325"/>
      <c r="M229" s="325"/>
      <c r="N229" s="407"/>
      <c r="O229" s="300"/>
      <c r="P229" s="300"/>
      <c r="Q229" s="300"/>
      <c r="R229" s="300"/>
      <c r="S229" s="300"/>
      <c r="T229" s="300"/>
      <c r="U229" s="300"/>
      <c r="V229" s="300"/>
      <c r="W229" s="300"/>
      <c r="X229" s="300"/>
      <c r="Y229" s="300"/>
      <c r="Z229" s="300"/>
      <c r="AA229" s="300"/>
      <c r="AB229" s="300"/>
      <c r="AC229" s="300"/>
      <c r="AD229" s="300"/>
      <c r="AE229" s="300"/>
    </row>
    <row r="230" spans="2:31" ht="15">
      <c r="B230" s="405">
        <f t="shared" si="6"/>
        <v>185</v>
      </c>
      <c r="C230" s="413" t="str" cm="1">
        <f t="array" aca="1" ref="C230" ca="1">IF(B230&lt;=$C$9,GetGetCDSName(B230),"")</f>
        <v/>
      </c>
      <c r="D230" s="373"/>
      <c r="E230" s="406"/>
      <c r="F230" s="325"/>
      <c r="G230" s="325"/>
      <c r="H230" s="325"/>
      <c r="I230" s="325"/>
      <c r="J230" s="325"/>
      <c r="K230" s="325"/>
      <c r="L230" s="325"/>
      <c r="M230" s="325"/>
      <c r="N230" s="407"/>
      <c r="O230" s="300"/>
      <c r="P230" s="300"/>
      <c r="Q230" s="300"/>
      <c r="R230" s="300"/>
      <c r="S230" s="300"/>
      <c r="T230" s="300"/>
      <c r="U230" s="300"/>
      <c r="V230" s="300"/>
      <c r="W230" s="300"/>
      <c r="X230" s="300"/>
      <c r="Y230" s="300"/>
      <c r="Z230" s="300"/>
      <c r="AA230" s="300"/>
      <c r="AB230" s="300"/>
      <c r="AC230" s="300"/>
      <c r="AD230" s="300"/>
      <c r="AE230" s="300"/>
    </row>
    <row r="231" spans="2:31" ht="15">
      <c r="B231" s="405">
        <f t="shared" si="6"/>
        <v>186</v>
      </c>
      <c r="C231" s="413" t="str" cm="1">
        <f t="array" aca="1" ref="C231" ca="1">IF(B231&lt;=$C$9,GetGetCDSName(B231),"")</f>
        <v/>
      </c>
      <c r="D231" s="373"/>
      <c r="E231" s="406"/>
      <c r="F231" s="325"/>
      <c r="G231" s="325"/>
      <c r="H231" s="325"/>
      <c r="I231" s="325"/>
      <c r="J231" s="325"/>
      <c r="K231" s="325"/>
      <c r="L231" s="325"/>
      <c r="M231" s="325"/>
      <c r="N231" s="407"/>
      <c r="O231" s="300"/>
      <c r="P231" s="300"/>
      <c r="Q231" s="300"/>
      <c r="R231" s="300"/>
      <c r="S231" s="300"/>
      <c r="T231" s="300"/>
      <c r="U231" s="300"/>
      <c r="V231" s="300"/>
      <c r="W231" s="300"/>
      <c r="X231" s="300"/>
      <c r="Y231" s="300"/>
      <c r="Z231" s="300"/>
      <c r="AA231" s="300"/>
      <c r="AB231" s="300"/>
      <c r="AC231" s="300"/>
      <c r="AD231" s="300"/>
      <c r="AE231" s="300"/>
    </row>
    <row r="232" spans="2:31" ht="15">
      <c r="B232" s="405">
        <f t="shared" si="6"/>
        <v>187</v>
      </c>
      <c r="C232" s="413" t="str" cm="1">
        <f t="array" aca="1" ref="C232" ca="1">IF(B232&lt;=$C$9,GetGetCDSName(B232),"")</f>
        <v/>
      </c>
      <c r="D232" s="373"/>
      <c r="E232" s="406"/>
      <c r="F232" s="325"/>
      <c r="G232" s="325"/>
      <c r="H232" s="325"/>
      <c r="I232" s="325"/>
      <c r="J232" s="325"/>
      <c r="K232" s="325"/>
      <c r="L232" s="325"/>
      <c r="M232" s="325"/>
      <c r="N232" s="407"/>
      <c r="O232" s="300"/>
      <c r="P232" s="300"/>
      <c r="Q232" s="300"/>
      <c r="R232" s="300"/>
      <c r="S232" s="300"/>
      <c r="T232" s="300"/>
      <c r="U232" s="300"/>
      <c r="V232" s="300"/>
      <c r="W232" s="300"/>
      <c r="X232" s="300"/>
      <c r="Y232" s="300"/>
      <c r="Z232" s="300"/>
      <c r="AA232" s="300"/>
      <c r="AB232" s="300"/>
      <c r="AC232" s="300"/>
      <c r="AD232" s="300"/>
      <c r="AE232" s="300"/>
    </row>
    <row r="233" spans="2:31" ht="15">
      <c r="B233" s="405">
        <f t="shared" si="6"/>
        <v>188</v>
      </c>
      <c r="C233" s="413" t="str" cm="1">
        <f t="array" aca="1" ref="C233" ca="1">IF(B233&lt;=$C$9,GetGetCDSName(B233),"")</f>
        <v/>
      </c>
      <c r="D233" s="373"/>
      <c r="E233" s="406"/>
      <c r="F233" s="325"/>
      <c r="G233" s="325"/>
      <c r="H233" s="325"/>
      <c r="I233" s="325"/>
      <c r="J233" s="325"/>
      <c r="K233" s="325"/>
      <c r="L233" s="325"/>
      <c r="M233" s="325"/>
      <c r="N233" s="407"/>
      <c r="O233" s="300"/>
      <c r="P233" s="300"/>
      <c r="Q233" s="300"/>
      <c r="R233" s="300"/>
      <c r="S233" s="300"/>
      <c r="T233" s="300"/>
      <c r="U233" s="300"/>
      <c r="V233" s="300"/>
      <c r="W233" s="300"/>
      <c r="X233" s="300"/>
      <c r="Y233" s="300"/>
      <c r="Z233" s="300"/>
      <c r="AA233" s="300"/>
      <c r="AB233" s="300"/>
      <c r="AC233" s="300"/>
      <c r="AD233" s="300"/>
      <c r="AE233" s="300"/>
    </row>
    <row r="234" spans="2:31" ht="15">
      <c r="B234" s="405">
        <f t="shared" si="6"/>
        <v>189</v>
      </c>
      <c r="C234" s="413" t="str" cm="1">
        <f t="array" aca="1" ref="C234" ca="1">IF(B234&lt;=$C$9,GetGetCDSName(B234),"")</f>
        <v/>
      </c>
      <c r="D234" s="373"/>
      <c r="E234" s="406"/>
      <c r="F234" s="325"/>
      <c r="G234" s="325"/>
      <c r="H234" s="325"/>
      <c r="I234" s="325"/>
      <c r="J234" s="325"/>
      <c r="K234" s="325"/>
      <c r="L234" s="325"/>
      <c r="M234" s="325"/>
      <c r="N234" s="407"/>
      <c r="O234" s="300"/>
      <c r="P234" s="300"/>
      <c r="Q234" s="300"/>
      <c r="R234" s="300"/>
      <c r="S234" s="300"/>
      <c r="T234" s="300"/>
      <c r="U234" s="300"/>
      <c r="V234" s="300"/>
      <c r="W234" s="300"/>
      <c r="X234" s="300"/>
      <c r="Y234" s="300"/>
      <c r="Z234" s="300"/>
      <c r="AA234" s="300"/>
      <c r="AB234" s="300"/>
      <c r="AC234" s="300"/>
      <c r="AD234" s="300"/>
      <c r="AE234" s="300"/>
    </row>
    <row r="235" spans="2:31" ht="15">
      <c r="B235" s="405">
        <f t="shared" si="6"/>
        <v>190</v>
      </c>
      <c r="C235" s="413" t="str" cm="1">
        <f t="array" aca="1" ref="C235" ca="1">IF(B235&lt;=$C$9,GetGetCDSName(B235),"")</f>
        <v/>
      </c>
      <c r="D235" s="373"/>
      <c r="E235" s="406"/>
      <c r="F235" s="325"/>
      <c r="G235" s="325"/>
      <c r="H235" s="325"/>
      <c r="I235" s="325"/>
      <c r="J235" s="325"/>
      <c r="K235" s="325"/>
      <c r="L235" s="325"/>
      <c r="M235" s="325"/>
      <c r="N235" s="407"/>
      <c r="O235" s="300"/>
      <c r="P235" s="300"/>
      <c r="Q235" s="300"/>
      <c r="R235" s="300"/>
      <c r="S235" s="300"/>
      <c r="T235" s="300"/>
      <c r="U235" s="300"/>
      <c r="V235" s="300"/>
      <c r="W235" s="300"/>
      <c r="X235" s="300"/>
      <c r="Y235" s="300"/>
      <c r="Z235" s="300"/>
      <c r="AA235" s="300"/>
      <c r="AB235" s="300"/>
      <c r="AC235" s="300"/>
      <c r="AD235" s="300"/>
      <c r="AE235" s="300"/>
    </row>
    <row r="236" spans="2:31" ht="15">
      <c r="B236" s="405">
        <f t="shared" si="6"/>
        <v>191</v>
      </c>
      <c r="C236" s="413" t="str" cm="1">
        <f t="array" aca="1" ref="C236" ca="1">IF(B236&lt;=$C$9,GetGetCDSName(B236),"")</f>
        <v/>
      </c>
      <c r="D236" s="373"/>
      <c r="E236" s="406"/>
      <c r="F236" s="325"/>
      <c r="G236" s="325"/>
      <c r="H236" s="325"/>
      <c r="I236" s="325"/>
      <c r="J236" s="325"/>
      <c r="K236" s="325"/>
      <c r="L236" s="325"/>
      <c r="M236" s="325"/>
      <c r="N236" s="407"/>
      <c r="O236" s="300"/>
      <c r="P236" s="300"/>
      <c r="Q236" s="300"/>
      <c r="R236" s="300"/>
      <c r="S236" s="300"/>
      <c r="T236" s="300"/>
      <c r="U236" s="300"/>
      <c r="V236" s="300"/>
      <c r="W236" s="300"/>
      <c r="X236" s="300"/>
      <c r="Y236" s="300"/>
      <c r="Z236" s="300"/>
      <c r="AA236" s="300"/>
      <c r="AB236" s="300"/>
      <c r="AC236" s="300"/>
      <c r="AD236" s="300"/>
      <c r="AE236" s="300"/>
    </row>
    <row r="237" spans="2:31" ht="15">
      <c r="B237" s="405">
        <f t="shared" si="6"/>
        <v>192</v>
      </c>
      <c r="C237" s="413" t="str" cm="1">
        <f t="array" aca="1" ref="C237" ca="1">IF(B237&lt;=$C$9,GetGetCDSName(B237),"")</f>
        <v/>
      </c>
      <c r="D237" s="373"/>
      <c r="E237" s="406"/>
      <c r="F237" s="325"/>
      <c r="G237" s="325"/>
      <c r="H237" s="325"/>
      <c r="I237" s="325"/>
      <c r="J237" s="325"/>
      <c r="K237" s="325"/>
      <c r="L237" s="325"/>
      <c r="M237" s="325"/>
      <c r="N237" s="407"/>
      <c r="O237" s="300"/>
      <c r="P237" s="300"/>
      <c r="Q237" s="300"/>
      <c r="R237" s="300"/>
      <c r="S237" s="300"/>
      <c r="T237" s="300"/>
      <c r="U237" s="300"/>
      <c r="V237" s="300"/>
      <c r="W237" s="300"/>
      <c r="X237" s="300"/>
      <c r="Y237" s="300"/>
      <c r="Z237" s="300"/>
      <c r="AA237" s="300"/>
      <c r="AB237" s="300"/>
      <c r="AC237" s="300"/>
      <c r="AD237" s="300"/>
      <c r="AE237" s="300"/>
    </row>
    <row r="238" spans="2:31" ht="15">
      <c r="B238" s="405">
        <f t="shared" si="6"/>
        <v>193</v>
      </c>
      <c r="C238" s="413" t="str" cm="1">
        <f t="array" aca="1" ref="C238" ca="1">IF(B238&lt;=$C$9,GetGetCDSName(B238),"")</f>
        <v/>
      </c>
      <c r="D238" s="373"/>
      <c r="E238" s="406"/>
      <c r="F238" s="325"/>
      <c r="G238" s="325"/>
      <c r="H238" s="325"/>
      <c r="I238" s="325"/>
      <c r="J238" s="325"/>
      <c r="K238" s="325"/>
      <c r="L238" s="325"/>
      <c r="M238" s="325"/>
      <c r="N238" s="407"/>
      <c r="O238" s="300"/>
      <c r="P238" s="300"/>
      <c r="Q238" s="300"/>
      <c r="R238" s="300"/>
      <c r="S238" s="300"/>
      <c r="T238" s="300"/>
      <c r="U238" s="300"/>
      <c r="V238" s="300"/>
      <c r="W238" s="300"/>
      <c r="X238" s="300"/>
      <c r="Y238" s="300"/>
      <c r="Z238" s="300"/>
      <c r="AA238" s="300"/>
      <c r="AB238" s="300"/>
      <c r="AC238" s="300"/>
      <c r="AD238" s="300"/>
      <c r="AE238" s="300"/>
    </row>
    <row r="239" spans="2:31" ht="15">
      <c r="B239" s="405">
        <f t="shared" ref="B239:B302" si="7">B238+1</f>
        <v>194</v>
      </c>
      <c r="C239" s="413" t="str" cm="1">
        <f t="array" aca="1" ref="C239" ca="1">IF(B239&lt;=$C$9,GetGetCDSName(B239),"")</f>
        <v/>
      </c>
      <c r="D239" s="373"/>
      <c r="E239" s="406"/>
      <c r="F239" s="325"/>
      <c r="G239" s="325"/>
      <c r="H239" s="325"/>
      <c r="I239" s="325"/>
      <c r="J239" s="325"/>
      <c r="K239" s="325"/>
      <c r="L239" s="325"/>
      <c r="M239" s="325"/>
      <c r="N239" s="407"/>
      <c r="O239" s="300"/>
      <c r="P239" s="300"/>
      <c r="Q239" s="300"/>
      <c r="R239" s="300"/>
      <c r="S239" s="300"/>
      <c r="T239" s="300"/>
      <c r="U239" s="300"/>
      <c r="V239" s="300"/>
      <c r="W239" s="300"/>
      <c r="X239" s="300"/>
      <c r="Y239" s="300"/>
      <c r="Z239" s="300"/>
      <c r="AA239" s="300"/>
      <c r="AB239" s="300"/>
      <c r="AC239" s="300"/>
      <c r="AD239" s="300"/>
      <c r="AE239" s="300"/>
    </row>
    <row r="240" spans="2:31" ht="15">
      <c r="B240" s="405">
        <f t="shared" si="7"/>
        <v>195</v>
      </c>
      <c r="C240" s="413" t="str" cm="1">
        <f t="array" aca="1" ref="C240" ca="1">IF(B240&lt;=$C$9,GetGetCDSName(B240),"")</f>
        <v/>
      </c>
      <c r="D240" s="373"/>
      <c r="E240" s="406"/>
      <c r="F240" s="325"/>
      <c r="G240" s="325"/>
      <c r="H240" s="325"/>
      <c r="I240" s="325"/>
      <c r="J240" s="325"/>
      <c r="K240" s="325"/>
      <c r="L240" s="325"/>
      <c r="M240" s="325"/>
      <c r="N240" s="407"/>
      <c r="O240" s="300"/>
      <c r="P240" s="300"/>
      <c r="Q240" s="300"/>
      <c r="R240" s="300"/>
      <c r="S240" s="300"/>
      <c r="T240" s="300"/>
      <c r="U240" s="300"/>
      <c r="V240" s="300"/>
      <c r="W240" s="300"/>
      <c r="X240" s="300"/>
      <c r="Y240" s="300"/>
      <c r="Z240" s="300"/>
      <c r="AA240" s="300"/>
      <c r="AB240" s="300"/>
      <c r="AC240" s="300"/>
      <c r="AD240" s="300"/>
      <c r="AE240" s="300"/>
    </row>
    <row r="241" spans="2:31" ht="15">
      <c r="B241" s="405">
        <f t="shared" si="7"/>
        <v>196</v>
      </c>
      <c r="C241" s="413" t="str" cm="1">
        <f t="array" aca="1" ref="C241" ca="1">IF(B241&lt;=$C$9,GetGetCDSName(B241),"")</f>
        <v/>
      </c>
      <c r="D241" s="373"/>
      <c r="E241" s="406"/>
      <c r="F241" s="325"/>
      <c r="G241" s="325"/>
      <c r="H241" s="325"/>
      <c r="I241" s="325"/>
      <c r="J241" s="325"/>
      <c r="K241" s="325"/>
      <c r="L241" s="325"/>
      <c r="M241" s="325"/>
      <c r="N241" s="407"/>
      <c r="O241" s="300"/>
      <c r="P241" s="300"/>
      <c r="Q241" s="300"/>
      <c r="R241" s="300"/>
      <c r="S241" s="300"/>
      <c r="T241" s="300"/>
      <c r="U241" s="300"/>
      <c r="V241" s="300"/>
      <c r="W241" s="300"/>
      <c r="X241" s="300"/>
      <c r="Y241" s="300"/>
      <c r="Z241" s="300"/>
      <c r="AA241" s="300"/>
      <c r="AB241" s="300"/>
      <c r="AC241" s="300"/>
      <c r="AD241" s="300"/>
      <c r="AE241" s="300"/>
    </row>
    <row r="242" spans="2:31" ht="15">
      <c r="B242" s="405">
        <f t="shared" si="7"/>
        <v>197</v>
      </c>
      <c r="C242" s="413" t="str" cm="1">
        <f t="array" aca="1" ref="C242" ca="1">IF(B242&lt;=$C$9,GetGetCDSName(B242),"")</f>
        <v/>
      </c>
      <c r="D242" s="373"/>
      <c r="E242" s="406"/>
      <c r="F242" s="325"/>
      <c r="G242" s="325"/>
      <c r="H242" s="325"/>
      <c r="I242" s="325"/>
      <c r="J242" s="325"/>
      <c r="K242" s="325"/>
      <c r="L242" s="325"/>
      <c r="M242" s="325"/>
      <c r="N242" s="407"/>
      <c r="O242" s="300"/>
      <c r="P242" s="300"/>
      <c r="Q242" s="300"/>
      <c r="R242" s="300"/>
      <c r="S242" s="300"/>
      <c r="T242" s="300"/>
      <c r="U242" s="300"/>
      <c r="V242" s="300"/>
      <c r="W242" s="300"/>
      <c r="X242" s="300"/>
      <c r="Y242" s="300"/>
      <c r="Z242" s="300"/>
      <c r="AA242" s="300"/>
      <c r="AB242" s="300"/>
      <c r="AC242" s="300"/>
      <c r="AD242" s="300"/>
      <c r="AE242" s="300"/>
    </row>
    <row r="243" spans="2:31" ht="15">
      <c r="B243" s="405">
        <f t="shared" si="7"/>
        <v>198</v>
      </c>
      <c r="C243" s="413" t="str" cm="1">
        <f t="array" aca="1" ref="C243" ca="1">IF(B243&lt;=$C$9,GetGetCDSName(B243),"")</f>
        <v/>
      </c>
      <c r="D243" s="373"/>
      <c r="E243" s="406"/>
      <c r="F243" s="325"/>
      <c r="G243" s="325"/>
      <c r="H243" s="325"/>
      <c r="I243" s="325"/>
      <c r="J243" s="325"/>
      <c r="K243" s="325"/>
      <c r="L243" s="325"/>
      <c r="M243" s="325"/>
      <c r="N243" s="407"/>
      <c r="O243" s="300"/>
      <c r="P243" s="300"/>
      <c r="Q243" s="300"/>
      <c r="R243" s="300"/>
      <c r="S243" s="300"/>
      <c r="T243" s="300"/>
      <c r="U243" s="300"/>
      <c r="V243" s="300"/>
      <c r="W243" s="300"/>
      <c r="X243" s="300"/>
      <c r="Y243" s="300"/>
      <c r="Z243" s="300"/>
      <c r="AA243" s="300"/>
      <c r="AB243" s="300"/>
      <c r="AC243" s="300"/>
      <c r="AD243" s="300"/>
      <c r="AE243" s="300"/>
    </row>
    <row r="244" spans="2:31" ht="15">
      <c r="B244" s="405">
        <f t="shared" si="7"/>
        <v>199</v>
      </c>
      <c r="C244" s="413" t="str" cm="1">
        <f t="array" aca="1" ref="C244" ca="1">IF(B244&lt;=$C$9,GetGetCDSName(B244),"")</f>
        <v/>
      </c>
      <c r="D244" s="373"/>
      <c r="E244" s="406"/>
      <c r="F244" s="325"/>
      <c r="G244" s="325"/>
      <c r="H244" s="325"/>
      <c r="I244" s="325"/>
      <c r="J244" s="325"/>
      <c r="K244" s="325"/>
      <c r="L244" s="325"/>
      <c r="M244" s="325"/>
      <c r="N244" s="407"/>
      <c r="O244" s="300"/>
      <c r="P244" s="300"/>
      <c r="Q244" s="300"/>
      <c r="R244" s="300"/>
      <c r="S244" s="300"/>
      <c r="T244" s="300"/>
      <c r="U244" s="300"/>
      <c r="V244" s="300"/>
      <c r="W244" s="300"/>
      <c r="X244" s="300"/>
      <c r="Y244" s="300"/>
      <c r="Z244" s="300"/>
      <c r="AA244" s="300"/>
      <c r="AB244" s="300"/>
      <c r="AC244" s="300"/>
      <c r="AD244" s="300"/>
      <c r="AE244" s="300"/>
    </row>
    <row r="245" spans="2:31" ht="15">
      <c r="B245" s="405">
        <f t="shared" si="7"/>
        <v>200</v>
      </c>
      <c r="C245" s="413" t="str" cm="1">
        <f t="array" aca="1" ref="C245" ca="1">IF(B245&lt;=$C$9,GetGetCDSName(B245),"")</f>
        <v/>
      </c>
      <c r="D245" s="373"/>
      <c r="E245" s="406"/>
      <c r="F245" s="325"/>
      <c r="G245" s="325"/>
      <c r="H245" s="325"/>
      <c r="I245" s="325"/>
      <c r="J245" s="325"/>
      <c r="K245" s="325"/>
      <c r="L245" s="325"/>
      <c r="M245" s="325"/>
      <c r="N245" s="407"/>
      <c r="O245" s="300"/>
      <c r="P245" s="300"/>
      <c r="Q245" s="300"/>
      <c r="R245" s="300"/>
      <c r="S245" s="300"/>
      <c r="T245" s="300"/>
      <c r="U245" s="300"/>
      <c r="V245" s="300"/>
      <c r="W245" s="300"/>
      <c r="X245" s="300"/>
      <c r="Y245" s="300"/>
      <c r="Z245" s="300"/>
      <c r="AA245" s="300"/>
      <c r="AB245" s="300"/>
      <c r="AC245" s="300"/>
      <c r="AD245" s="300"/>
      <c r="AE245" s="300"/>
    </row>
    <row r="246" spans="2:31" ht="15">
      <c r="B246" s="405">
        <f t="shared" si="7"/>
        <v>201</v>
      </c>
      <c r="C246" s="413" t="str" cm="1">
        <f t="array" aca="1" ref="C246" ca="1">IF(B246&lt;=$C$9,GetGetCDSName(B246),"")</f>
        <v/>
      </c>
      <c r="D246" s="373"/>
      <c r="E246" s="406"/>
      <c r="F246" s="325"/>
      <c r="G246" s="325"/>
      <c r="H246" s="325"/>
      <c r="I246" s="325"/>
      <c r="J246" s="325"/>
      <c r="K246" s="325"/>
      <c r="L246" s="325"/>
      <c r="M246" s="325"/>
      <c r="N246" s="407"/>
      <c r="O246" s="300"/>
      <c r="P246" s="300"/>
      <c r="Q246" s="300"/>
      <c r="R246" s="300"/>
      <c r="S246" s="300"/>
      <c r="T246" s="300"/>
      <c r="U246" s="300"/>
      <c r="V246" s="300"/>
      <c r="W246" s="300"/>
      <c r="X246" s="300"/>
      <c r="Y246" s="300"/>
      <c r="Z246" s="300"/>
      <c r="AA246" s="300"/>
      <c r="AB246" s="300"/>
      <c r="AC246" s="300"/>
      <c r="AD246" s="300"/>
      <c r="AE246" s="300"/>
    </row>
    <row r="247" spans="2:31" ht="15">
      <c r="B247" s="405">
        <f t="shared" si="7"/>
        <v>202</v>
      </c>
      <c r="C247" s="413" t="str" cm="1">
        <f t="array" aca="1" ref="C247" ca="1">IF(B247&lt;=$C$9,GetGetCDSName(B247),"")</f>
        <v/>
      </c>
      <c r="D247" s="373"/>
      <c r="E247" s="406"/>
      <c r="F247" s="325"/>
      <c r="G247" s="325"/>
      <c r="H247" s="325"/>
      <c r="I247" s="325"/>
      <c r="J247" s="325"/>
      <c r="K247" s="325"/>
      <c r="L247" s="325"/>
      <c r="M247" s="325"/>
      <c r="N247" s="407"/>
      <c r="O247" s="300"/>
      <c r="P247" s="300"/>
      <c r="Q247" s="300"/>
      <c r="R247" s="300"/>
      <c r="S247" s="300"/>
      <c r="T247" s="300"/>
      <c r="U247" s="300"/>
      <c r="V247" s="300"/>
      <c r="W247" s="300"/>
      <c r="X247" s="300"/>
      <c r="Y247" s="300"/>
      <c r="Z247" s="300"/>
      <c r="AA247" s="300"/>
      <c r="AB247" s="300"/>
      <c r="AC247" s="300"/>
      <c r="AD247" s="300"/>
      <c r="AE247" s="300"/>
    </row>
    <row r="248" spans="2:31" ht="15">
      <c r="B248" s="405">
        <f t="shared" si="7"/>
        <v>203</v>
      </c>
      <c r="C248" s="413" t="str" cm="1">
        <f t="array" aca="1" ref="C248" ca="1">IF(B248&lt;=$C$9,GetGetCDSName(B248),"")</f>
        <v/>
      </c>
      <c r="D248" s="373"/>
      <c r="E248" s="406"/>
      <c r="F248" s="325"/>
      <c r="G248" s="325"/>
      <c r="H248" s="325"/>
      <c r="I248" s="325"/>
      <c r="J248" s="325"/>
      <c r="K248" s="325"/>
      <c r="L248" s="325"/>
      <c r="M248" s="325"/>
      <c r="N248" s="407"/>
      <c r="O248" s="300"/>
      <c r="P248" s="300"/>
      <c r="Q248" s="300"/>
      <c r="R248" s="300"/>
      <c r="S248" s="300"/>
      <c r="T248" s="300"/>
      <c r="U248" s="300"/>
      <c r="V248" s="300"/>
      <c r="W248" s="300"/>
      <c r="X248" s="300"/>
      <c r="Y248" s="300"/>
      <c r="Z248" s="300"/>
      <c r="AA248" s="300"/>
      <c r="AB248" s="300"/>
      <c r="AC248" s="300"/>
      <c r="AD248" s="300"/>
      <c r="AE248" s="300"/>
    </row>
    <row r="249" spans="2:31" ht="15">
      <c r="B249" s="405">
        <f t="shared" si="7"/>
        <v>204</v>
      </c>
      <c r="C249" s="413" t="str" cm="1">
        <f t="array" aca="1" ref="C249" ca="1">IF(B249&lt;=$C$9,GetGetCDSName(B249),"")</f>
        <v/>
      </c>
      <c r="D249" s="373"/>
      <c r="E249" s="406"/>
      <c r="F249" s="325"/>
      <c r="G249" s="325"/>
      <c r="H249" s="325"/>
      <c r="I249" s="325"/>
      <c r="J249" s="325"/>
      <c r="K249" s="325"/>
      <c r="L249" s="325"/>
      <c r="M249" s="325"/>
      <c r="N249" s="407"/>
      <c r="O249" s="300"/>
      <c r="P249" s="300"/>
      <c r="Q249" s="300"/>
      <c r="R249" s="300"/>
      <c r="S249" s="300"/>
      <c r="T249" s="300"/>
      <c r="U249" s="300"/>
      <c r="V249" s="300"/>
      <c r="W249" s="300"/>
      <c r="X249" s="300"/>
      <c r="Y249" s="300"/>
      <c r="Z249" s="300"/>
      <c r="AA249" s="300"/>
      <c r="AB249" s="300"/>
      <c r="AC249" s="300"/>
      <c r="AD249" s="300"/>
      <c r="AE249" s="300"/>
    </row>
    <row r="250" spans="2:31" ht="15">
      <c r="B250" s="405">
        <f t="shared" si="7"/>
        <v>205</v>
      </c>
      <c r="C250" s="413" t="str" cm="1">
        <f t="array" aca="1" ref="C250" ca="1">IF(B250&lt;=$C$9,GetGetCDSName(B250),"")</f>
        <v/>
      </c>
      <c r="D250" s="373"/>
      <c r="E250" s="406"/>
      <c r="F250" s="325"/>
      <c r="G250" s="325"/>
      <c r="H250" s="325"/>
      <c r="I250" s="325"/>
      <c r="J250" s="325"/>
      <c r="K250" s="325"/>
      <c r="L250" s="325"/>
      <c r="M250" s="325"/>
      <c r="N250" s="407"/>
      <c r="O250" s="300"/>
      <c r="P250" s="300"/>
      <c r="Q250" s="300"/>
      <c r="R250" s="300"/>
      <c r="S250" s="300"/>
      <c r="T250" s="300"/>
      <c r="U250" s="300"/>
      <c r="V250" s="300"/>
      <c r="W250" s="300"/>
      <c r="X250" s="300"/>
      <c r="Y250" s="300"/>
      <c r="Z250" s="300"/>
      <c r="AA250" s="300"/>
      <c r="AB250" s="300"/>
      <c r="AC250" s="300"/>
      <c r="AD250" s="300"/>
      <c r="AE250" s="300"/>
    </row>
    <row r="251" spans="2:31" ht="15">
      <c r="B251" s="405">
        <f t="shared" si="7"/>
        <v>206</v>
      </c>
      <c r="C251" s="413" t="str" cm="1">
        <f t="array" aca="1" ref="C251" ca="1">IF(B251&lt;=$C$9,GetGetCDSName(B251),"")</f>
        <v/>
      </c>
      <c r="D251" s="373"/>
      <c r="E251" s="406"/>
      <c r="F251" s="325"/>
      <c r="G251" s="325"/>
      <c r="H251" s="325"/>
      <c r="I251" s="325"/>
      <c r="J251" s="325"/>
      <c r="K251" s="325"/>
      <c r="L251" s="325"/>
      <c r="M251" s="325"/>
      <c r="N251" s="407"/>
      <c r="O251" s="300"/>
      <c r="P251" s="300"/>
      <c r="Q251" s="300"/>
      <c r="R251" s="300"/>
      <c r="S251" s="300"/>
      <c r="T251" s="300"/>
      <c r="U251" s="300"/>
      <c r="V251" s="300"/>
      <c r="W251" s="300"/>
      <c r="X251" s="300"/>
      <c r="Y251" s="300"/>
      <c r="Z251" s="300"/>
      <c r="AA251" s="300"/>
      <c r="AB251" s="300"/>
      <c r="AC251" s="300"/>
      <c r="AD251" s="300"/>
      <c r="AE251" s="300"/>
    </row>
    <row r="252" spans="2:31" ht="15">
      <c r="B252" s="405">
        <f t="shared" si="7"/>
        <v>207</v>
      </c>
      <c r="C252" s="413" t="str" cm="1">
        <f t="array" aca="1" ref="C252" ca="1">IF(B252&lt;=$C$9,GetGetCDSName(B252),"")</f>
        <v/>
      </c>
      <c r="D252" s="373"/>
      <c r="E252" s="406"/>
      <c r="F252" s="325"/>
      <c r="G252" s="325"/>
      <c r="H252" s="325"/>
      <c r="I252" s="325"/>
      <c r="J252" s="325"/>
      <c r="K252" s="325"/>
      <c r="L252" s="325"/>
      <c r="M252" s="325"/>
      <c r="N252" s="407"/>
      <c r="O252" s="300"/>
      <c r="P252" s="300"/>
      <c r="Q252" s="300"/>
      <c r="R252" s="300"/>
      <c r="S252" s="300"/>
      <c r="T252" s="300"/>
      <c r="U252" s="300"/>
      <c r="V252" s="300"/>
      <c r="W252" s="300"/>
      <c r="X252" s="300"/>
      <c r="Y252" s="300"/>
      <c r="Z252" s="300"/>
      <c r="AA252" s="300"/>
      <c r="AB252" s="300"/>
      <c r="AC252" s="300"/>
      <c r="AD252" s="300"/>
      <c r="AE252" s="300"/>
    </row>
    <row r="253" spans="2:31" ht="15">
      <c r="B253" s="405">
        <f t="shared" si="7"/>
        <v>208</v>
      </c>
      <c r="C253" s="413" t="str" cm="1">
        <f t="array" aca="1" ref="C253" ca="1">IF(B253&lt;=$C$9,GetGetCDSName(B253),"")</f>
        <v/>
      </c>
      <c r="D253" s="373"/>
      <c r="E253" s="406"/>
      <c r="F253" s="325"/>
      <c r="G253" s="325"/>
      <c r="H253" s="325"/>
      <c r="I253" s="325"/>
      <c r="J253" s="325"/>
      <c r="K253" s="325"/>
      <c r="L253" s="325"/>
      <c r="M253" s="325"/>
      <c r="N253" s="407"/>
      <c r="O253" s="300"/>
      <c r="P253" s="300"/>
      <c r="Q253" s="300"/>
      <c r="R253" s="300"/>
      <c r="S253" s="300"/>
      <c r="T253" s="300"/>
      <c r="U253" s="300"/>
      <c r="V253" s="300"/>
      <c r="W253" s="300"/>
      <c r="X253" s="300"/>
      <c r="Y253" s="300"/>
      <c r="Z253" s="300"/>
      <c r="AA253" s="300"/>
      <c r="AB253" s="300"/>
      <c r="AC253" s="300"/>
      <c r="AD253" s="300"/>
      <c r="AE253" s="300"/>
    </row>
    <row r="254" spans="2:31" ht="15">
      <c r="B254" s="405">
        <f t="shared" si="7"/>
        <v>209</v>
      </c>
      <c r="C254" s="413" t="str" cm="1">
        <f t="array" aca="1" ref="C254" ca="1">IF(B254&lt;=$C$9,GetGetCDSName(B254),"")</f>
        <v/>
      </c>
      <c r="D254" s="373"/>
      <c r="E254" s="406"/>
      <c r="F254" s="325"/>
      <c r="G254" s="325"/>
      <c r="H254" s="325"/>
      <c r="I254" s="325"/>
      <c r="J254" s="325"/>
      <c r="K254" s="325"/>
      <c r="L254" s="325"/>
      <c r="M254" s="325"/>
      <c r="N254" s="407"/>
      <c r="O254" s="300"/>
      <c r="P254" s="300"/>
      <c r="Q254" s="300"/>
      <c r="R254" s="300"/>
      <c r="S254" s="300"/>
      <c r="T254" s="300"/>
      <c r="U254" s="300"/>
      <c r="V254" s="300"/>
      <c r="W254" s="300"/>
      <c r="X254" s="300"/>
      <c r="Y254" s="300"/>
      <c r="Z254" s="300"/>
      <c r="AA254" s="300"/>
      <c r="AB254" s="300"/>
      <c r="AC254" s="300"/>
      <c r="AD254" s="300"/>
      <c r="AE254" s="300"/>
    </row>
    <row r="255" spans="2:31" ht="15">
      <c r="B255" s="405">
        <f t="shared" si="7"/>
        <v>210</v>
      </c>
      <c r="C255" s="413" t="str" cm="1">
        <f t="array" aca="1" ref="C255" ca="1">IF(B255&lt;=$C$9,GetGetCDSName(B255),"")</f>
        <v/>
      </c>
      <c r="D255" s="373"/>
      <c r="E255" s="406"/>
      <c r="F255" s="325"/>
      <c r="G255" s="325"/>
      <c r="H255" s="325"/>
      <c r="I255" s="325"/>
      <c r="J255" s="325"/>
      <c r="K255" s="325"/>
      <c r="L255" s="325"/>
      <c r="M255" s="325"/>
      <c r="N255" s="407"/>
      <c r="O255" s="300"/>
      <c r="P255" s="300"/>
      <c r="Q255" s="300"/>
      <c r="R255" s="300"/>
      <c r="S255" s="300"/>
      <c r="T255" s="300"/>
      <c r="U255" s="300"/>
      <c r="V255" s="300"/>
      <c r="W255" s="300"/>
      <c r="X255" s="300"/>
      <c r="Y255" s="300"/>
      <c r="Z255" s="300"/>
      <c r="AA255" s="300"/>
      <c r="AB255" s="300"/>
      <c r="AC255" s="300"/>
      <c r="AD255" s="300"/>
      <c r="AE255" s="300"/>
    </row>
    <row r="256" spans="2:31" ht="15">
      <c r="B256" s="405">
        <f t="shared" si="7"/>
        <v>211</v>
      </c>
      <c r="C256" s="413" t="str" cm="1">
        <f t="array" aca="1" ref="C256" ca="1">IF(B256&lt;=$C$9,GetGetCDSName(B256),"")</f>
        <v/>
      </c>
      <c r="D256" s="373"/>
      <c r="E256" s="406"/>
      <c r="F256" s="325"/>
      <c r="G256" s="325"/>
      <c r="H256" s="325"/>
      <c r="I256" s="325"/>
      <c r="J256" s="325"/>
      <c r="K256" s="325"/>
      <c r="L256" s="325"/>
      <c r="M256" s="325"/>
      <c r="N256" s="407"/>
      <c r="O256" s="300"/>
      <c r="P256" s="300"/>
      <c r="Q256" s="300"/>
      <c r="R256" s="300"/>
      <c r="S256" s="300"/>
      <c r="T256" s="300"/>
      <c r="U256" s="300"/>
      <c r="V256" s="300"/>
      <c r="W256" s="300"/>
      <c r="X256" s="300"/>
      <c r="Y256" s="300"/>
      <c r="Z256" s="300"/>
      <c r="AA256" s="300"/>
      <c r="AB256" s="300"/>
      <c r="AC256" s="300"/>
      <c r="AD256" s="300"/>
      <c r="AE256" s="300"/>
    </row>
    <row r="257" spans="2:31" ht="15">
      <c r="B257" s="405">
        <f t="shared" si="7"/>
        <v>212</v>
      </c>
      <c r="C257" s="413" t="str" cm="1">
        <f t="array" aca="1" ref="C257" ca="1">IF(B257&lt;=$C$9,GetGetCDSName(B257),"")</f>
        <v/>
      </c>
      <c r="D257" s="373"/>
      <c r="E257" s="406"/>
      <c r="F257" s="325"/>
      <c r="G257" s="325"/>
      <c r="H257" s="325"/>
      <c r="I257" s="325"/>
      <c r="J257" s="325"/>
      <c r="K257" s="325"/>
      <c r="L257" s="325"/>
      <c r="M257" s="325"/>
      <c r="N257" s="407"/>
      <c r="O257" s="300"/>
      <c r="P257" s="300"/>
      <c r="Q257" s="300"/>
      <c r="R257" s="300"/>
      <c r="S257" s="300"/>
      <c r="T257" s="300"/>
      <c r="U257" s="300"/>
      <c r="V257" s="300"/>
      <c r="W257" s="300"/>
      <c r="X257" s="300"/>
      <c r="Y257" s="300"/>
      <c r="Z257" s="300"/>
      <c r="AA257" s="300"/>
      <c r="AB257" s="300"/>
      <c r="AC257" s="300"/>
      <c r="AD257" s="300"/>
      <c r="AE257" s="300"/>
    </row>
    <row r="258" spans="2:31" ht="15">
      <c r="B258" s="405">
        <f t="shared" si="7"/>
        <v>213</v>
      </c>
      <c r="C258" s="413" t="str" cm="1">
        <f t="array" aca="1" ref="C258" ca="1">IF(B258&lt;=$C$9,GetGetCDSName(B258),"")</f>
        <v/>
      </c>
      <c r="D258" s="373"/>
      <c r="E258" s="406"/>
      <c r="F258" s="325"/>
      <c r="G258" s="325"/>
      <c r="H258" s="325"/>
      <c r="I258" s="325"/>
      <c r="J258" s="325"/>
      <c r="K258" s="325"/>
      <c r="L258" s="325"/>
      <c r="M258" s="325"/>
      <c r="N258" s="407"/>
      <c r="O258" s="300"/>
      <c r="P258" s="300"/>
      <c r="Q258" s="300"/>
      <c r="R258" s="300"/>
      <c r="S258" s="300"/>
      <c r="T258" s="300"/>
      <c r="U258" s="300"/>
      <c r="V258" s="300"/>
      <c r="W258" s="300"/>
      <c r="X258" s="300"/>
      <c r="Y258" s="300"/>
      <c r="Z258" s="300"/>
      <c r="AA258" s="300"/>
      <c r="AB258" s="300"/>
      <c r="AC258" s="300"/>
      <c r="AD258" s="300"/>
      <c r="AE258" s="300"/>
    </row>
    <row r="259" spans="2:31" ht="15">
      <c r="B259" s="405">
        <f t="shared" si="7"/>
        <v>214</v>
      </c>
      <c r="C259" s="413" t="str" cm="1">
        <f t="array" aca="1" ref="C259" ca="1">IF(B259&lt;=$C$9,GetGetCDSName(B259),"")</f>
        <v/>
      </c>
      <c r="D259" s="373"/>
      <c r="E259" s="406"/>
      <c r="F259" s="325"/>
      <c r="G259" s="325"/>
      <c r="H259" s="325"/>
      <c r="I259" s="325"/>
      <c r="J259" s="325"/>
      <c r="K259" s="325"/>
      <c r="L259" s="325"/>
      <c r="M259" s="325"/>
      <c r="N259" s="407"/>
      <c r="O259" s="300"/>
      <c r="P259" s="300"/>
      <c r="Q259" s="300"/>
      <c r="R259" s="300"/>
      <c r="S259" s="300"/>
      <c r="T259" s="300"/>
      <c r="U259" s="300"/>
      <c r="V259" s="300"/>
      <c r="W259" s="300"/>
      <c r="X259" s="300"/>
      <c r="Y259" s="300"/>
      <c r="Z259" s="300"/>
      <c r="AA259" s="300"/>
      <c r="AB259" s="300"/>
      <c r="AC259" s="300"/>
      <c r="AD259" s="300"/>
      <c r="AE259" s="300"/>
    </row>
    <row r="260" spans="2:31" ht="15">
      <c r="B260" s="405">
        <f t="shared" si="7"/>
        <v>215</v>
      </c>
      <c r="C260" s="413" t="str" cm="1">
        <f t="array" aca="1" ref="C260" ca="1">IF(B260&lt;=$C$9,GetGetCDSName(B260),"")</f>
        <v/>
      </c>
      <c r="D260" s="373"/>
      <c r="E260" s="406"/>
      <c r="F260" s="325"/>
      <c r="G260" s="325"/>
      <c r="H260" s="325"/>
      <c r="I260" s="325"/>
      <c r="J260" s="325"/>
      <c r="K260" s="325"/>
      <c r="L260" s="325"/>
      <c r="M260" s="325"/>
      <c r="N260" s="407"/>
      <c r="O260" s="300"/>
      <c r="P260" s="300"/>
      <c r="Q260" s="300"/>
      <c r="R260" s="300"/>
      <c r="S260" s="300"/>
      <c r="T260" s="300"/>
      <c r="U260" s="300"/>
      <c r="V260" s="300"/>
      <c r="W260" s="300"/>
      <c r="X260" s="300"/>
      <c r="Y260" s="300"/>
      <c r="Z260" s="300"/>
      <c r="AA260" s="300"/>
      <c r="AB260" s="300"/>
      <c r="AC260" s="300"/>
      <c r="AD260" s="300"/>
      <c r="AE260" s="300"/>
    </row>
    <row r="261" spans="2:31" ht="15">
      <c r="B261" s="405">
        <f t="shared" si="7"/>
        <v>216</v>
      </c>
      <c r="C261" s="413" t="str" cm="1">
        <f t="array" aca="1" ref="C261" ca="1">IF(B261&lt;=$C$9,GetGetCDSName(B261),"")</f>
        <v/>
      </c>
      <c r="D261" s="373"/>
      <c r="E261" s="406"/>
      <c r="F261" s="325"/>
      <c r="G261" s="325"/>
      <c r="H261" s="325"/>
      <c r="I261" s="325"/>
      <c r="J261" s="325"/>
      <c r="K261" s="325"/>
      <c r="L261" s="325"/>
      <c r="M261" s="325"/>
      <c r="N261" s="407"/>
      <c r="O261" s="300"/>
      <c r="P261" s="300"/>
      <c r="Q261" s="300"/>
      <c r="R261" s="300"/>
      <c r="S261" s="300"/>
      <c r="T261" s="300"/>
      <c r="U261" s="300"/>
      <c r="V261" s="300"/>
      <c r="W261" s="300"/>
      <c r="X261" s="300"/>
      <c r="Y261" s="300"/>
      <c r="Z261" s="300"/>
      <c r="AA261" s="300"/>
      <c r="AB261" s="300"/>
      <c r="AC261" s="300"/>
      <c r="AD261" s="300"/>
      <c r="AE261" s="300"/>
    </row>
    <row r="262" spans="2:31" ht="15">
      <c r="B262" s="405">
        <f t="shared" si="7"/>
        <v>217</v>
      </c>
      <c r="C262" s="413" t="str" cm="1">
        <f t="array" aca="1" ref="C262" ca="1">IF(B262&lt;=$C$9,GetGetCDSName(B262),"")</f>
        <v/>
      </c>
      <c r="D262" s="373"/>
      <c r="E262" s="406"/>
      <c r="F262" s="325"/>
      <c r="G262" s="325"/>
      <c r="H262" s="325"/>
      <c r="I262" s="325"/>
      <c r="J262" s="325"/>
      <c r="K262" s="325"/>
      <c r="L262" s="325"/>
      <c r="M262" s="325"/>
      <c r="N262" s="407"/>
      <c r="O262" s="300"/>
      <c r="P262" s="300"/>
      <c r="Q262" s="300"/>
      <c r="R262" s="300"/>
      <c r="S262" s="300"/>
      <c r="T262" s="300"/>
      <c r="U262" s="300"/>
      <c r="V262" s="300"/>
      <c r="W262" s="300"/>
      <c r="X262" s="300"/>
      <c r="Y262" s="300"/>
      <c r="Z262" s="300"/>
      <c r="AA262" s="300"/>
      <c r="AB262" s="300"/>
      <c r="AC262" s="300"/>
      <c r="AD262" s="300"/>
      <c r="AE262" s="300"/>
    </row>
    <row r="263" spans="2:31" ht="15">
      <c r="B263" s="405">
        <f t="shared" si="7"/>
        <v>218</v>
      </c>
      <c r="C263" s="413" t="str" cm="1">
        <f t="array" aca="1" ref="C263" ca="1">IF(B263&lt;=$C$9,GetGetCDSName(B263),"")</f>
        <v/>
      </c>
      <c r="D263" s="373"/>
      <c r="E263" s="406"/>
      <c r="F263" s="325"/>
      <c r="G263" s="325"/>
      <c r="H263" s="325"/>
      <c r="I263" s="325"/>
      <c r="J263" s="325"/>
      <c r="K263" s="325"/>
      <c r="L263" s="325"/>
      <c r="M263" s="325"/>
      <c r="N263" s="407"/>
      <c r="O263" s="300"/>
      <c r="P263" s="300"/>
      <c r="Q263" s="300"/>
      <c r="R263" s="300"/>
      <c r="S263" s="300"/>
      <c r="T263" s="300"/>
      <c r="U263" s="300"/>
      <c r="V263" s="300"/>
      <c r="W263" s="300"/>
      <c r="X263" s="300"/>
      <c r="Y263" s="300"/>
      <c r="Z263" s="300"/>
      <c r="AA263" s="300"/>
      <c r="AB263" s="300"/>
      <c r="AC263" s="300"/>
      <c r="AD263" s="300"/>
      <c r="AE263" s="300"/>
    </row>
    <row r="264" spans="2:31" ht="15">
      <c r="B264" s="405">
        <f t="shared" si="7"/>
        <v>219</v>
      </c>
      <c r="C264" s="413" t="str" cm="1">
        <f t="array" aca="1" ref="C264" ca="1">IF(B264&lt;=$C$9,GetGetCDSName(B264),"")</f>
        <v/>
      </c>
      <c r="D264" s="373"/>
      <c r="E264" s="406"/>
      <c r="F264" s="325"/>
      <c r="G264" s="325"/>
      <c r="H264" s="325"/>
      <c r="I264" s="325"/>
      <c r="J264" s="325"/>
      <c r="K264" s="325"/>
      <c r="L264" s="325"/>
      <c r="M264" s="325"/>
      <c r="N264" s="407"/>
      <c r="O264" s="300"/>
      <c r="P264" s="300"/>
      <c r="Q264" s="300"/>
      <c r="R264" s="300"/>
      <c r="S264" s="300"/>
      <c r="T264" s="300"/>
      <c r="U264" s="300"/>
      <c r="V264" s="300"/>
      <c r="W264" s="300"/>
      <c r="X264" s="300"/>
      <c r="Y264" s="300"/>
      <c r="Z264" s="300"/>
      <c r="AA264" s="300"/>
      <c r="AB264" s="300"/>
      <c r="AC264" s="300"/>
      <c r="AD264" s="300"/>
      <c r="AE264" s="300"/>
    </row>
    <row r="265" spans="2:31" ht="15">
      <c r="B265" s="405">
        <f t="shared" si="7"/>
        <v>220</v>
      </c>
      <c r="C265" s="413" t="str" cm="1">
        <f t="array" aca="1" ref="C265" ca="1">IF(B265&lt;=$C$9,GetGetCDSName(B265),"")</f>
        <v/>
      </c>
      <c r="D265" s="373"/>
      <c r="E265" s="406"/>
      <c r="F265" s="325"/>
      <c r="G265" s="325"/>
      <c r="H265" s="325"/>
      <c r="I265" s="325"/>
      <c r="J265" s="325"/>
      <c r="K265" s="325"/>
      <c r="L265" s="325"/>
      <c r="M265" s="325"/>
      <c r="N265" s="407"/>
      <c r="O265" s="300"/>
      <c r="P265" s="300"/>
      <c r="Q265" s="300"/>
      <c r="R265" s="300"/>
      <c r="S265" s="300"/>
      <c r="T265" s="300"/>
      <c r="U265" s="300"/>
      <c r="V265" s="300"/>
      <c r="W265" s="300"/>
      <c r="X265" s="300"/>
      <c r="Y265" s="300"/>
      <c r="Z265" s="300"/>
      <c r="AA265" s="300"/>
      <c r="AB265" s="300"/>
      <c r="AC265" s="300"/>
      <c r="AD265" s="300"/>
      <c r="AE265" s="300"/>
    </row>
    <row r="266" spans="2:31" ht="15">
      <c r="B266" s="405">
        <f t="shared" si="7"/>
        <v>221</v>
      </c>
      <c r="C266" s="413" t="str" cm="1">
        <f t="array" aca="1" ref="C266" ca="1">IF(B266&lt;=$C$9,GetGetCDSName(B266),"")</f>
        <v/>
      </c>
      <c r="D266" s="373"/>
      <c r="E266" s="406"/>
      <c r="F266" s="325"/>
      <c r="G266" s="325"/>
      <c r="H266" s="325"/>
      <c r="I266" s="325"/>
      <c r="J266" s="325"/>
      <c r="K266" s="325"/>
      <c r="L266" s="325"/>
      <c r="M266" s="325"/>
      <c r="N266" s="407"/>
      <c r="O266" s="300"/>
      <c r="P266" s="300"/>
      <c r="Q266" s="300"/>
      <c r="R266" s="300"/>
      <c r="S266" s="300"/>
      <c r="T266" s="300"/>
      <c r="U266" s="300"/>
      <c r="V266" s="300"/>
      <c r="W266" s="300"/>
      <c r="X266" s="300"/>
      <c r="Y266" s="300"/>
      <c r="Z266" s="300"/>
      <c r="AA266" s="300"/>
      <c r="AB266" s="300"/>
      <c r="AC266" s="300"/>
      <c r="AD266" s="300"/>
      <c r="AE266" s="300"/>
    </row>
    <row r="267" spans="2:31" ht="15">
      <c r="B267" s="405">
        <f t="shared" si="7"/>
        <v>222</v>
      </c>
      <c r="C267" s="413" t="str" cm="1">
        <f t="array" aca="1" ref="C267" ca="1">IF(B267&lt;=$C$9,GetGetCDSName(B267),"")</f>
        <v/>
      </c>
      <c r="D267" s="373"/>
      <c r="E267" s="406"/>
      <c r="F267" s="325"/>
      <c r="G267" s="325"/>
      <c r="H267" s="325"/>
      <c r="I267" s="325"/>
      <c r="J267" s="325"/>
      <c r="K267" s="325"/>
      <c r="L267" s="325"/>
      <c r="M267" s="325"/>
      <c r="N267" s="407"/>
      <c r="O267" s="300"/>
      <c r="P267" s="300"/>
      <c r="Q267" s="300"/>
      <c r="R267" s="300"/>
      <c r="S267" s="300"/>
      <c r="T267" s="300"/>
      <c r="U267" s="300"/>
      <c r="V267" s="300"/>
      <c r="W267" s="300"/>
      <c r="X267" s="300"/>
      <c r="Y267" s="300"/>
      <c r="Z267" s="300"/>
      <c r="AA267" s="300"/>
      <c r="AB267" s="300"/>
      <c r="AC267" s="300"/>
      <c r="AD267" s="300"/>
      <c r="AE267" s="300"/>
    </row>
    <row r="268" spans="2:31" ht="15">
      <c r="B268" s="405">
        <f t="shared" si="7"/>
        <v>223</v>
      </c>
      <c r="C268" s="413" t="str" cm="1">
        <f t="array" aca="1" ref="C268" ca="1">IF(B268&lt;=$C$9,GetGetCDSName(B268),"")</f>
        <v/>
      </c>
      <c r="D268" s="373"/>
      <c r="E268" s="406"/>
      <c r="F268" s="325"/>
      <c r="G268" s="325"/>
      <c r="H268" s="325"/>
      <c r="I268" s="325"/>
      <c r="J268" s="325"/>
      <c r="K268" s="325"/>
      <c r="L268" s="325"/>
      <c r="M268" s="325"/>
      <c r="N268" s="407"/>
      <c r="O268" s="300"/>
      <c r="P268" s="300"/>
      <c r="Q268" s="300"/>
      <c r="R268" s="300"/>
      <c r="S268" s="300"/>
      <c r="T268" s="300"/>
      <c r="U268" s="300"/>
      <c r="V268" s="300"/>
      <c r="W268" s="300"/>
      <c r="X268" s="300"/>
      <c r="Y268" s="300"/>
      <c r="Z268" s="300"/>
      <c r="AA268" s="300"/>
      <c r="AB268" s="300"/>
      <c r="AC268" s="300"/>
      <c r="AD268" s="300"/>
      <c r="AE268" s="300"/>
    </row>
    <row r="269" spans="2:31" ht="15">
      <c r="B269" s="405">
        <f t="shared" si="7"/>
        <v>224</v>
      </c>
      <c r="C269" s="413" t="str" cm="1">
        <f t="array" aca="1" ref="C269" ca="1">IF(B269&lt;=$C$9,GetGetCDSName(B269),"")</f>
        <v/>
      </c>
      <c r="D269" s="373"/>
      <c r="E269" s="406"/>
      <c r="F269" s="325"/>
      <c r="G269" s="325"/>
      <c r="H269" s="325"/>
      <c r="I269" s="325"/>
      <c r="J269" s="325"/>
      <c r="K269" s="325"/>
      <c r="L269" s="325"/>
      <c r="M269" s="325"/>
      <c r="N269" s="407"/>
      <c r="O269" s="300"/>
      <c r="P269" s="300"/>
      <c r="Q269" s="300"/>
      <c r="R269" s="300"/>
      <c r="S269" s="300"/>
      <c r="T269" s="300"/>
      <c r="U269" s="300"/>
      <c r="V269" s="300"/>
      <c r="W269" s="300"/>
      <c r="X269" s="300"/>
      <c r="Y269" s="300"/>
      <c r="Z269" s="300"/>
      <c r="AA269" s="300"/>
      <c r="AB269" s="300"/>
      <c r="AC269" s="300"/>
      <c r="AD269" s="300"/>
      <c r="AE269" s="300"/>
    </row>
    <row r="270" spans="2:31" ht="15">
      <c r="B270" s="405">
        <f t="shared" si="7"/>
        <v>225</v>
      </c>
      <c r="C270" s="413" t="str" cm="1">
        <f t="array" aca="1" ref="C270" ca="1">IF(B270&lt;=$C$9,GetGetCDSName(B270),"")</f>
        <v/>
      </c>
      <c r="D270" s="373"/>
      <c r="E270" s="406"/>
      <c r="F270" s="325"/>
      <c r="G270" s="325"/>
      <c r="H270" s="325"/>
      <c r="I270" s="325"/>
      <c r="J270" s="325"/>
      <c r="K270" s="325"/>
      <c r="L270" s="325"/>
      <c r="M270" s="325"/>
      <c r="N270" s="407"/>
      <c r="O270" s="300"/>
      <c r="P270" s="300"/>
      <c r="Q270" s="300"/>
      <c r="R270" s="300"/>
      <c r="S270" s="300"/>
      <c r="T270" s="300"/>
      <c r="U270" s="300"/>
      <c r="V270" s="300"/>
      <c r="W270" s="300"/>
      <c r="X270" s="300"/>
      <c r="Y270" s="300"/>
      <c r="Z270" s="300"/>
      <c r="AA270" s="300"/>
      <c r="AB270" s="300"/>
      <c r="AC270" s="300"/>
      <c r="AD270" s="300"/>
      <c r="AE270" s="300"/>
    </row>
    <row r="271" spans="2:31" ht="15">
      <c r="B271" s="405">
        <f t="shared" si="7"/>
        <v>226</v>
      </c>
      <c r="C271" s="413" t="str" cm="1">
        <f t="array" aca="1" ref="C271" ca="1">IF(B271&lt;=$C$9,GetGetCDSName(B271),"")</f>
        <v/>
      </c>
      <c r="D271" s="373"/>
      <c r="E271" s="406"/>
      <c r="F271" s="325"/>
      <c r="G271" s="325"/>
      <c r="H271" s="325"/>
      <c r="I271" s="325"/>
      <c r="J271" s="325"/>
      <c r="K271" s="325"/>
      <c r="L271" s="325"/>
      <c r="M271" s="325"/>
      <c r="N271" s="407"/>
      <c r="O271" s="300"/>
      <c r="P271" s="300"/>
      <c r="Q271" s="300"/>
      <c r="R271" s="300"/>
      <c r="S271" s="300"/>
      <c r="T271" s="300"/>
      <c r="U271" s="300"/>
      <c r="V271" s="300"/>
      <c r="W271" s="300"/>
      <c r="X271" s="300"/>
      <c r="Y271" s="300"/>
      <c r="Z271" s="300"/>
      <c r="AA271" s="300"/>
      <c r="AB271" s="300"/>
      <c r="AC271" s="300"/>
      <c r="AD271" s="300"/>
      <c r="AE271" s="300"/>
    </row>
    <row r="272" spans="2:31" ht="15">
      <c r="B272" s="405">
        <f t="shared" si="7"/>
        <v>227</v>
      </c>
      <c r="C272" s="413" t="str" cm="1">
        <f t="array" aca="1" ref="C272" ca="1">IF(B272&lt;=$C$9,GetGetCDSName(B272),"")</f>
        <v/>
      </c>
      <c r="D272" s="373"/>
      <c r="E272" s="406"/>
      <c r="F272" s="325"/>
      <c r="G272" s="325"/>
      <c r="H272" s="325"/>
      <c r="I272" s="325"/>
      <c r="J272" s="325"/>
      <c r="K272" s="325"/>
      <c r="L272" s="325"/>
      <c r="M272" s="325"/>
      <c r="N272" s="407"/>
      <c r="O272" s="300"/>
      <c r="P272" s="300"/>
      <c r="Q272" s="300"/>
      <c r="R272" s="300"/>
      <c r="S272" s="300"/>
      <c r="T272" s="300"/>
      <c r="U272" s="300"/>
      <c r="V272" s="300"/>
      <c r="W272" s="300"/>
      <c r="X272" s="300"/>
      <c r="Y272" s="300"/>
      <c r="Z272" s="300"/>
      <c r="AA272" s="300"/>
      <c r="AB272" s="300"/>
      <c r="AC272" s="300"/>
      <c r="AD272" s="300"/>
      <c r="AE272" s="300"/>
    </row>
    <row r="273" spans="2:31" ht="15">
      <c r="B273" s="405">
        <f t="shared" si="7"/>
        <v>228</v>
      </c>
      <c r="C273" s="413" t="str" cm="1">
        <f t="array" aca="1" ref="C273" ca="1">IF(B273&lt;=$C$9,GetGetCDSName(B273),"")</f>
        <v/>
      </c>
      <c r="D273" s="373"/>
      <c r="E273" s="406"/>
      <c r="F273" s="325"/>
      <c r="G273" s="325"/>
      <c r="H273" s="325"/>
      <c r="I273" s="325"/>
      <c r="J273" s="325"/>
      <c r="K273" s="325"/>
      <c r="L273" s="325"/>
      <c r="M273" s="325"/>
      <c r="N273" s="407"/>
      <c r="O273" s="300"/>
      <c r="P273" s="300"/>
      <c r="Q273" s="300"/>
      <c r="R273" s="300"/>
      <c r="S273" s="300"/>
      <c r="T273" s="300"/>
      <c r="U273" s="300"/>
      <c r="V273" s="300"/>
      <c r="W273" s="300"/>
      <c r="X273" s="300"/>
      <c r="Y273" s="300"/>
      <c r="Z273" s="300"/>
      <c r="AA273" s="300"/>
      <c r="AB273" s="300"/>
      <c r="AC273" s="300"/>
      <c r="AD273" s="300"/>
      <c r="AE273" s="300"/>
    </row>
    <row r="274" spans="2:31" ht="15">
      <c r="B274" s="405">
        <f t="shared" si="7"/>
        <v>229</v>
      </c>
      <c r="C274" s="413" t="str" cm="1">
        <f t="array" aca="1" ref="C274" ca="1">IF(B274&lt;=$C$9,GetGetCDSName(B274),"")</f>
        <v/>
      </c>
      <c r="D274" s="373"/>
      <c r="E274" s="406"/>
      <c r="F274" s="325"/>
      <c r="G274" s="325"/>
      <c r="H274" s="325"/>
      <c r="I274" s="325"/>
      <c r="J274" s="325"/>
      <c r="K274" s="325"/>
      <c r="L274" s="325"/>
      <c r="M274" s="325"/>
      <c r="N274" s="407"/>
      <c r="O274" s="300"/>
      <c r="P274" s="300"/>
      <c r="Q274" s="300"/>
      <c r="R274" s="300"/>
      <c r="S274" s="300"/>
      <c r="T274" s="300"/>
      <c r="U274" s="300"/>
      <c r="V274" s="300"/>
      <c r="W274" s="300"/>
      <c r="X274" s="300"/>
      <c r="Y274" s="300"/>
      <c r="Z274" s="300"/>
      <c r="AA274" s="300"/>
      <c r="AB274" s="300"/>
      <c r="AC274" s="300"/>
      <c r="AD274" s="300"/>
      <c r="AE274" s="300"/>
    </row>
    <row r="275" spans="2:31" ht="15">
      <c r="B275" s="405">
        <f t="shared" si="7"/>
        <v>230</v>
      </c>
      <c r="C275" s="413" t="str" cm="1">
        <f t="array" aca="1" ref="C275" ca="1">IF(B275&lt;=$C$9,GetGetCDSName(B275),"")</f>
        <v/>
      </c>
      <c r="D275" s="373"/>
      <c r="E275" s="406"/>
      <c r="F275" s="325"/>
      <c r="G275" s="325"/>
      <c r="H275" s="325"/>
      <c r="I275" s="325"/>
      <c r="J275" s="325"/>
      <c r="K275" s="325"/>
      <c r="L275" s="325"/>
      <c r="M275" s="325"/>
      <c r="N275" s="407"/>
      <c r="O275" s="300"/>
      <c r="P275" s="300"/>
      <c r="Q275" s="300"/>
      <c r="R275" s="300"/>
      <c r="S275" s="300"/>
      <c r="T275" s="300"/>
      <c r="U275" s="300"/>
      <c r="V275" s="300"/>
      <c r="W275" s="300"/>
      <c r="X275" s="300"/>
      <c r="Y275" s="300"/>
      <c r="Z275" s="300"/>
      <c r="AA275" s="300"/>
      <c r="AB275" s="300"/>
      <c r="AC275" s="300"/>
      <c r="AD275" s="300"/>
      <c r="AE275" s="300"/>
    </row>
    <row r="276" spans="2:31" ht="15">
      <c r="B276" s="405">
        <f t="shared" si="7"/>
        <v>231</v>
      </c>
      <c r="C276" s="413" t="str" cm="1">
        <f t="array" aca="1" ref="C276" ca="1">IF(B276&lt;=$C$9,GetGetCDSName(B276),"")</f>
        <v/>
      </c>
      <c r="D276" s="373"/>
      <c r="E276" s="406"/>
      <c r="F276" s="325"/>
      <c r="G276" s="325"/>
      <c r="H276" s="325"/>
      <c r="I276" s="325"/>
      <c r="J276" s="325"/>
      <c r="K276" s="325"/>
      <c r="L276" s="325"/>
      <c r="M276" s="325"/>
      <c r="N276" s="407"/>
      <c r="O276" s="300"/>
      <c r="P276" s="300"/>
      <c r="Q276" s="300"/>
      <c r="R276" s="300"/>
      <c r="S276" s="300"/>
      <c r="T276" s="300"/>
      <c r="U276" s="300"/>
      <c r="V276" s="300"/>
      <c r="W276" s="300"/>
      <c r="X276" s="300"/>
      <c r="Y276" s="300"/>
      <c r="Z276" s="300"/>
      <c r="AA276" s="300"/>
      <c r="AB276" s="300"/>
      <c r="AC276" s="300"/>
      <c r="AD276" s="300"/>
      <c r="AE276" s="300"/>
    </row>
    <row r="277" spans="2:31" ht="15">
      <c r="B277" s="405">
        <f t="shared" si="7"/>
        <v>232</v>
      </c>
      <c r="C277" s="413" t="str" cm="1">
        <f t="array" aca="1" ref="C277" ca="1">IF(B277&lt;=$C$9,GetGetCDSName(B277),"")</f>
        <v/>
      </c>
      <c r="D277" s="373"/>
      <c r="E277" s="406"/>
      <c r="F277" s="325"/>
      <c r="G277" s="325"/>
      <c r="H277" s="325"/>
      <c r="I277" s="325"/>
      <c r="J277" s="325"/>
      <c r="K277" s="325"/>
      <c r="L277" s="325"/>
      <c r="M277" s="325"/>
      <c r="N277" s="407"/>
      <c r="O277" s="300"/>
      <c r="P277" s="300"/>
      <c r="Q277" s="300"/>
      <c r="R277" s="300"/>
      <c r="S277" s="300"/>
      <c r="T277" s="300"/>
      <c r="U277" s="300"/>
      <c r="V277" s="300"/>
      <c r="W277" s="300"/>
      <c r="X277" s="300"/>
      <c r="Y277" s="300"/>
      <c r="Z277" s="300"/>
      <c r="AA277" s="300"/>
      <c r="AB277" s="300"/>
      <c r="AC277" s="300"/>
      <c r="AD277" s="300"/>
      <c r="AE277" s="300"/>
    </row>
    <row r="278" spans="2:31" ht="15">
      <c r="B278" s="405">
        <f t="shared" si="7"/>
        <v>233</v>
      </c>
      <c r="C278" s="413" t="str" cm="1">
        <f t="array" aca="1" ref="C278" ca="1">IF(B278&lt;=$C$9,GetGetCDSName(B278),"")</f>
        <v/>
      </c>
      <c r="D278" s="373"/>
      <c r="E278" s="406"/>
      <c r="F278" s="325"/>
      <c r="G278" s="325"/>
      <c r="H278" s="325"/>
      <c r="I278" s="325"/>
      <c r="J278" s="325"/>
      <c r="K278" s="325"/>
      <c r="L278" s="325"/>
      <c r="M278" s="325"/>
      <c r="N278" s="407"/>
      <c r="O278" s="300"/>
      <c r="P278" s="300"/>
      <c r="Q278" s="300"/>
      <c r="R278" s="300"/>
      <c r="S278" s="300"/>
      <c r="T278" s="300"/>
      <c r="U278" s="300"/>
      <c r="V278" s="300"/>
      <c r="W278" s="300"/>
      <c r="X278" s="300"/>
      <c r="Y278" s="300"/>
      <c r="Z278" s="300"/>
      <c r="AA278" s="300"/>
      <c r="AB278" s="300"/>
      <c r="AC278" s="300"/>
      <c r="AD278" s="300"/>
      <c r="AE278" s="300"/>
    </row>
    <row r="279" spans="2:31" ht="15">
      <c r="B279" s="405">
        <f t="shared" si="7"/>
        <v>234</v>
      </c>
      <c r="C279" s="413" t="str" cm="1">
        <f t="array" aca="1" ref="C279" ca="1">IF(B279&lt;=$C$9,GetGetCDSName(B279),"")</f>
        <v/>
      </c>
      <c r="D279" s="373"/>
      <c r="E279" s="406"/>
      <c r="F279" s="325"/>
      <c r="G279" s="325"/>
      <c r="H279" s="325"/>
      <c r="I279" s="325"/>
      <c r="J279" s="325"/>
      <c r="K279" s="325"/>
      <c r="L279" s="325"/>
      <c r="M279" s="325"/>
      <c r="N279" s="407"/>
      <c r="O279" s="300"/>
      <c r="P279" s="300"/>
      <c r="Q279" s="300"/>
      <c r="R279" s="300"/>
      <c r="S279" s="300"/>
      <c r="T279" s="300"/>
      <c r="U279" s="300"/>
      <c r="V279" s="300"/>
      <c r="W279" s="300"/>
      <c r="X279" s="300"/>
      <c r="Y279" s="300"/>
      <c r="Z279" s="300"/>
      <c r="AA279" s="300"/>
      <c r="AB279" s="300"/>
      <c r="AC279" s="300"/>
      <c r="AD279" s="300"/>
      <c r="AE279" s="300"/>
    </row>
    <row r="280" spans="2:31" ht="15">
      <c r="B280" s="405">
        <f t="shared" si="7"/>
        <v>235</v>
      </c>
      <c r="C280" s="413" t="str" cm="1">
        <f t="array" aca="1" ref="C280" ca="1">IF(B280&lt;=$C$9,GetGetCDSName(B280),"")</f>
        <v/>
      </c>
      <c r="D280" s="373"/>
      <c r="E280" s="406"/>
      <c r="F280" s="325"/>
      <c r="G280" s="325"/>
      <c r="H280" s="325"/>
      <c r="I280" s="325"/>
      <c r="J280" s="325"/>
      <c r="K280" s="325"/>
      <c r="L280" s="325"/>
      <c r="M280" s="325"/>
      <c r="N280" s="407"/>
      <c r="O280" s="300"/>
      <c r="P280" s="300"/>
      <c r="Q280" s="300"/>
      <c r="R280" s="300"/>
      <c r="S280" s="300"/>
      <c r="T280" s="300"/>
      <c r="U280" s="300"/>
      <c r="V280" s="300"/>
      <c r="W280" s="300"/>
      <c r="X280" s="300"/>
      <c r="Y280" s="300"/>
      <c r="Z280" s="300"/>
      <c r="AA280" s="300"/>
      <c r="AB280" s="300"/>
      <c r="AC280" s="300"/>
      <c r="AD280" s="300"/>
      <c r="AE280" s="300"/>
    </row>
    <row r="281" spans="2:31" ht="15">
      <c r="B281" s="405">
        <f t="shared" si="7"/>
        <v>236</v>
      </c>
      <c r="C281" s="413" t="str" cm="1">
        <f t="array" aca="1" ref="C281" ca="1">IF(B281&lt;=$C$9,GetGetCDSName(B281),"")</f>
        <v/>
      </c>
      <c r="D281" s="373"/>
      <c r="E281" s="406"/>
      <c r="F281" s="325"/>
      <c r="G281" s="325"/>
      <c r="H281" s="325"/>
      <c r="I281" s="325"/>
      <c r="J281" s="325"/>
      <c r="K281" s="325"/>
      <c r="L281" s="325"/>
      <c r="M281" s="325"/>
      <c r="N281" s="407"/>
      <c r="O281" s="300"/>
      <c r="P281" s="300"/>
      <c r="Q281" s="300"/>
      <c r="R281" s="300"/>
      <c r="S281" s="300"/>
      <c r="T281" s="300"/>
      <c r="U281" s="300"/>
      <c r="V281" s="300"/>
      <c r="W281" s="300"/>
      <c r="X281" s="300"/>
      <c r="Y281" s="300"/>
      <c r="Z281" s="300"/>
      <c r="AA281" s="300"/>
      <c r="AB281" s="300"/>
      <c r="AC281" s="300"/>
      <c r="AD281" s="300"/>
      <c r="AE281" s="300"/>
    </row>
    <row r="282" spans="2:31" ht="15">
      <c r="B282" s="405">
        <f t="shared" si="7"/>
        <v>237</v>
      </c>
      <c r="C282" s="413" t="str" cm="1">
        <f t="array" aca="1" ref="C282" ca="1">IF(B282&lt;=$C$9,GetGetCDSName(B282),"")</f>
        <v/>
      </c>
      <c r="D282" s="373"/>
      <c r="E282" s="406"/>
      <c r="F282" s="325"/>
      <c r="G282" s="325"/>
      <c r="H282" s="325"/>
      <c r="I282" s="325"/>
      <c r="J282" s="325"/>
      <c r="K282" s="325"/>
      <c r="L282" s="325"/>
      <c r="M282" s="325"/>
      <c r="N282" s="407"/>
      <c r="O282" s="300"/>
      <c r="P282" s="300"/>
      <c r="Q282" s="300"/>
      <c r="R282" s="300"/>
      <c r="S282" s="300"/>
      <c r="T282" s="300"/>
      <c r="U282" s="300"/>
      <c r="V282" s="300"/>
      <c r="W282" s="300"/>
      <c r="X282" s="300"/>
      <c r="Y282" s="300"/>
      <c r="Z282" s="300"/>
      <c r="AA282" s="300"/>
      <c r="AB282" s="300"/>
      <c r="AC282" s="300"/>
      <c r="AD282" s="300"/>
      <c r="AE282" s="300"/>
    </row>
    <row r="283" spans="2:31" ht="15">
      <c r="B283" s="405">
        <f t="shared" si="7"/>
        <v>238</v>
      </c>
      <c r="C283" s="413" t="str" cm="1">
        <f t="array" aca="1" ref="C283" ca="1">IF(B283&lt;=$C$9,GetGetCDSName(B283),"")</f>
        <v/>
      </c>
      <c r="D283" s="373"/>
      <c r="E283" s="406"/>
      <c r="F283" s="325"/>
      <c r="G283" s="325"/>
      <c r="H283" s="325"/>
      <c r="I283" s="325"/>
      <c r="J283" s="325"/>
      <c r="K283" s="325"/>
      <c r="L283" s="325"/>
      <c r="M283" s="325"/>
      <c r="N283" s="407"/>
      <c r="O283" s="300"/>
      <c r="P283" s="300"/>
      <c r="Q283" s="300"/>
      <c r="R283" s="300"/>
      <c r="S283" s="300"/>
      <c r="T283" s="300"/>
      <c r="U283" s="300"/>
      <c r="V283" s="300"/>
      <c r="W283" s="300"/>
      <c r="X283" s="300"/>
      <c r="Y283" s="300"/>
      <c r="Z283" s="300"/>
      <c r="AA283" s="300"/>
      <c r="AB283" s="300"/>
      <c r="AC283" s="300"/>
      <c r="AD283" s="300"/>
      <c r="AE283" s="300"/>
    </row>
    <row r="284" spans="2:31" ht="15">
      <c r="B284" s="405">
        <f t="shared" si="7"/>
        <v>239</v>
      </c>
      <c r="C284" s="413" t="str" cm="1">
        <f t="array" aca="1" ref="C284" ca="1">IF(B284&lt;=$C$9,GetGetCDSName(B284),"")</f>
        <v/>
      </c>
      <c r="D284" s="373"/>
      <c r="E284" s="406"/>
      <c r="F284" s="325"/>
      <c r="G284" s="325"/>
      <c r="H284" s="325"/>
      <c r="I284" s="325"/>
      <c r="J284" s="325"/>
      <c r="K284" s="325"/>
      <c r="L284" s="325"/>
      <c r="M284" s="325"/>
      <c r="N284" s="407"/>
      <c r="O284" s="300"/>
      <c r="P284" s="300"/>
      <c r="Q284" s="300"/>
      <c r="R284" s="300"/>
      <c r="S284" s="300"/>
      <c r="T284" s="300"/>
      <c r="U284" s="300"/>
      <c r="V284" s="300"/>
      <c r="W284" s="300"/>
      <c r="X284" s="300"/>
      <c r="Y284" s="300"/>
      <c r="Z284" s="300"/>
      <c r="AA284" s="300"/>
      <c r="AB284" s="300"/>
      <c r="AC284" s="300"/>
      <c r="AD284" s="300"/>
      <c r="AE284" s="300"/>
    </row>
    <row r="285" spans="2:31" ht="15">
      <c r="B285" s="405">
        <f t="shared" si="7"/>
        <v>240</v>
      </c>
      <c r="C285" s="413" t="str" cm="1">
        <f t="array" aca="1" ref="C285" ca="1">IF(B285&lt;=$C$9,GetGetCDSName(B285),"")</f>
        <v/>
      </c>
      <c r="D285" s="373"/>
      <c r="E285" s="406"/>
      <c r="F285" s="325"/>
      <c r="G285" s="325"/>
      <c r="H285" s="325"/>
      <c r="I285" s="325"/>
      <c r="J285" s="325"/>
      <c r="K285" s="325"/>
      <c r="L285" s="325"/>
      <c r="M285" s="325"/>
      <c r="N285" s="407"/>
      <c r="O285" s="300"/>
      <c r="P285" s="300"/>
      <c r="Q285" s="300"/>
      <c r="R285" s="300"/>
      <c r="S285" s="300"/>
      <c r="T285" s="300"/>
      <c r="U285" s="300"/>
      <c r="V285" s="300"/>
      <c r="W285" s="300"/>
      <c r="X285" s="300"/>
      <c r="Y285" s="300"/>
      <c r="Z285" s="300"/>
      <c r="AA285" s="300"/>
      <c r="AB285" s="300"/>
      <c r="AC285" s="300"/>
      <c r="AD285" s="300"/>
      <c r="AE285" s="300"/>
    </row>
    <row r="286" spans="2:31" ht="15">
      <c r="B286" s="405">
        <f t="shared" si="7"/>
        <v>241</v>
      </c>
      <c r="C286" s="413" t="str" cm="1">
        <f t="array" aca="1" ref="C286" ca="1">IF(B286&lt;=$C$9,GetGetCDSName(B286),"")</f>
        <v/>
      </c>
      <c r="D286" s="373"/>
      <c r="E286" s="406"/>
      <c r="F286" s="325"/>
      <c r="G286" s="325"/>
      <c r="H286" s="325"/>
      <c r="I286" s="325"/>
      <c r="J286" s="325"/>
      <c r="K286" s="325"/>
      <c r="L286" s="325"/>
      <c r="M286" s="325"/>
      <c r="N286" s="407"/>
      <c r="O286" s="300"/>
      <c r="P286" s="300"/>
      <c r="Q286" s="300"/>
      <c r="R286" s="300"/>
      <c r="S286" s="300"/>
      <c r="T286" s="300"/>
      <c r="U286" s="300"/>
      <c r="V286" s="300"/>
      <c r="W286" s="300"/>
      <c r="X286" s="300"/>
      <c r="Y286" s="300"/>
      <c r="Z286" s="300"/>
      <c r="AA286" s="300"/>
      <c r="AB286" s="300"/>
      <c r="AC286" s="300"/>
      <c r="AD286" s="300"/>
      <c r="AE286" s="300"/>
    </row>
    <row r="287" spans="2:31" ht="15">
      <c r="B287" s="405">
        <f t="shared" si="7"/>
        <v>242</v>
      </c>
      <c r="C287" s="413" t="str" cm="1">
        <f t="array" aca="1" ref="C287" ca="1">IF(B287&lt;=$C$9,GetGetCDSName(B287),"")</f>
        <v/>
      </c>
      <c r="D287" s="373"/>
      <c r="E287" s="406"/>
      <c r="F287" s="325"/>
      <c r="G287" s="325"/>
      <c r="H287" s="325"/>
      <c r="I287" s="325"/>
      <c r="J287" s="325"/>
      <c r="K287" s="325"/>
      <c r="L287" s="325"/>
      <c r="M287" s="325"/>
      <c r="N287" s="407"/>
      <c r="O287" s="300"/>
      <c r="P287" s="300"/>
      <c r="Q287" s="300"/>
      <c r="R287" s="300"/>
      <c r="S287" s="300"/>
      <c r="T287" s="300"/>
      <c r="U287" s="300"/>
      <c r="V287" s="300"/>
      <c r="W287" s="300"/>
      <c r="X287" s="300"/>
      <c r="Y287" s="300"/>
      <c r="Z287" s="300"/>
      <c r="AA287" s="300"/>
      <c r="AB287" s="300"/>
      <c r="AC287" s="300"/>
      <c r="AD287" s="300"/>
      <c r="AE287" s="300"/>
    </row>
    <row r="288" spans="2:31" ht="15">
      <c r="B288" s="405">
        <f t="shared" si="7"/>
        <v>243</v>
      </c>
      <c r="C288" s="413" t="str" cm="1">
        <f t="array" aca="1" ref="C288" ca="1">IF(B288&lt;=$C$9,GetGetCDSName(B288),"")</f>
        <v/>
      </c>
      <c r="D288" s="373"/>
      <c r="E288" s="406"/>
      <c r="F288" s="325"/>
      <c r="G288" s="325"/>
      <c r="H288" s="325"/>
      <c r="I288" s="325"/>
      <c r="J288" s="325"/>
      <c r="K288" s="325"/>
      <c r="L288" s="325"/>
      <c r="M288" s="325"/>
      <c r="N288" s="407"/>
      <c r="O288" s="300"/>
      <c r="P288" s="300"/>
      <c r="Q288" s="300"/>
      <c r="R288" s="300"/>
      <c r="S288" s="300"/>
      <c r="T288" s="300"/>
      <c r="U288" s="300"/>
      <c r="V288" s="300"/>
      <c r="W288" s="300"/>
      <c r="X288" s="300"/>
      <c r="Y288" s="300"/>
      <c r="Z288" s="300"/>
      <c r="AA288" s="300"/>
      <c r="AB288" s="300"/>
      <c r="AC288" s="300"/>
      <c r="AD288" s="300"/>
      <c r="AE288" s="300"/>
    </row>
    <row r="289" spans="2:31" ht="15">
      <c r="B289" s="405">
        <f t="shared" si="7"/>
        <v>244</v>
      </c>
      <c r="C289" s="413" t="str" cm="1">
        <f t="array" aca="1" ref="C289" ca="1">IF(B289&lt;=$C$9,GetGetCDSName(B289),"")</f>
        <v/>
      </c>
      <c r="D289" s="373"/>
      <c r="E289" s="406"/>
      <c r="F289" s="325"/>
      <c r="G289" s="325"/>
      <c r="H289" s="325"/>
      <c r="I289" s="325"/>
      <c r="J289" s="325"/>
      <c r="K289" s="325"/>
      <c r="L289" s="325"/>
      <c r="M289" s="325"/>
      <c r="N289" s="407"/>
      <c r="O289" s="300"/>
      <c r="P289" s="300"/>
      <c r="Q289" s="300"/>
      <c r="R289" s="300"/>
      <c r="S289" s="300"/>
      <c r="T289" s="300"/>
      <c r="U289" s="300"/>
      <c r="V289" s="300"/>
      <c r="W289" s="300"/>
      <c r="X289" s="300"/>
      <c r="Y289" s="300"/>
      <c r="Z289" s="300"/>
      <c r="AA289" s="300"/>
      <c r="AB289" s="300"/>
      <c r="AC289" s="300"/>
      <c r="AD289" s="300"/>
      <c r="AE289" s="300"/>
    </row>
    <row r="290" spans="2:31" ht="15">
      <c r="B290" s="405">
        <f t="shared" si="7"/>
        <v>245</v>
      </c>
      <c r="C290" s="413" t="str" cm="1">
        <f t="array" aca="1" ref="C290" ca="1">IF(B290&lt;=$C$9,GetGetCDSName(B290),"")</f>
        <v/>
      </c>
      <c r="D290" s="373"/>
      <c r="E290" s="406"/>
      <c r="F290" s="325"/>
      <c r="G290" s="325"/>
      <c r="H290" s="325"/>
      <c r="I290" s="325"/>
      <c r="J290" s="325"/>
      <c r="K290" s="325"/>
      <c r="L290" s="325"/>
      <c r="M290" s="325"/>
      <c r="N290" s="407"/>
      <c r="O290" s="300"/>
      <c r="P290" s="300"/>
      <c r="Q290" s="300"/>
      <c r="R290" s="300"/>
      <c r="S290" s="300"/>
      <c r="T290" s="300"/>
      <c r="U290" s="300"/>
      <c r="V290" s="300"/>
      <c r="W290" s="300"/>
      <c r="X290" s="300"/>
      <c r="Y290" s="300"/>
      <c r="Z290" s="300"/>
      <c r="AA290" s="300"/>
      <c r="AB290" s="300"/>
      <c r="AC290" s="300"/>
      <c r="AD290" s="300"/>
      <c r="AE290" s="300"/>
    </row>
    <row r="291" spans="2:31" ht="15">
      <c r="B291" s="405">
        <f t="shared" si="7"/>
        <v>246</v>
      </c>
      <c r="C291" s="413" t="str" cm="1">
        <f t="array" aca="1" ref="C291" ca="1">IF(B291&lt;=$C$9,GetGetCDSName(B291),"")</f>
        <v/>
      </c>
      <c r="D291" s="373"/>
      <c r="E291" s="406"/>
      <c r="F291" s="325"/>
      <c r="G291" s="325"/>
      <c r="H291" s="325"/>
      <c r="I291" s="325"/>
      <c r="J291" s="325"/>
      <c r="K291" s="325"/>
      <c r="L291" s="325"/>
      <c r="M291" s="325"/>
      <c r="N291" s="407"/>
      <c r="O291" s="300"/>
      <c r="P291" s="300"/>
      <c r="Q291" s="300"/>
      <c r="R291" s="300"/>
      <c r="S291" s="300"/>
      <c r="T291" s="300"/>
      <c r="U291" s="300"/>
      <c r="V291" s="300"/>
      <c r="W291" s="300"/>
      <c r="X291" s="300"/>
      <c r="Y291" s="300"/>
      <c r="Z291" s="300"/>
      <c r="AA291" s="300"/>
      <c r="AB291" s="300"/>
      <c r="AC291" s="300"/>
      <c r="AD291" s="300"/>
      <c r="AE291" s="300"/>
    </row>
    <row r="292" spans="2:31" ht="15">
      <c r="B292" s="405">
        <f t="shared" si="7"/>
        <v>247</v>
      </c>
      <c r="C292" s="413" t="str" cm="1">
        <f t="array" aca="1" ref="C292" ca="1">IF(B292&lt;=$C$9,GetGetCDSName(B292),"")</f>
        <v/>
      </c>
      <c r="D292" s="373"/>
      <c r="E292" s="406"/>
      <c r="F292" s="325"/>
      <c r="G292" s="325"/>
      <c r="H292" s="325"/>
      <c r="I292" s="325"/>
      <c r="J292" s="325"/>
      <c r="K292" s="325"/>
      <c r="L292" s="325"/>
      <c r="M292" s="325"/>
      <c r="N292" s="407"/>
      <c r="O292" s="300"/>
      <c r="P292" s="300"/>
      <c r="Q292" s="300"/>
      <c r="R292" s="300"/>
      <c r="S292" s="300"/>
      <c r="T292" s="300"/>
      <c r="U292" s="300"/>
      <c r="V292" s="300"/>
      <c r="W292" s="300"/>
      <c r="X292" s="300"/>
      <c r="Y292" s="300"/>
      <c r="Z292" s="300"/>
      <c r="AA292" s="300"/>
      <c r="AB292" s="300"/>
      <c r="AC292" s="300"/>
      <c r="AD292" s="300"/>
      <c r="AE292" s="300"/>
    </row>
    <row r="293" spans="2:31" ht="15">
      <c r="B293" s="405">
        <f t="shared" si="7"/>
        <v>248</v>
      </c>
      <c r="C293" s="413" t="str" cm="1">
        <f t="array" aca="1" ref="C293" ca="1">IF(B293&lt;=$C$9,GetGetCDSName(B293),"")</f>
        <v/>
      </c>
      <c r="D293" s="373"/>
      <c r="E293" s="406"/>
      <c r="F293" s="325"/>
      <c r="G293" s="325"/>
      <c r="H293" s="325"/>
      <c r="I293" s="325"/>
      <c r="J293" s="325"/>
      <c r="K293" s="325"/>
      <c r="L293" s="325"/>
      <c r="M293" s="325"/>
      <c r="N293" s="407"/>
      <c r="O293" s="300"/>
      <c r="P293" s="300"/>
      <c r="Q293" s="300"/>
      <c r="R293" s="300"/>
      <c r="S293" s="300"/>
      <c r="T293" s="300"/>
      <c r="U293" s="300"/>
      <c r="V293" s="300"/>
      <c r="W293" s="300"/>
      <c r="X293" s="300"/>
      <c r="Y293" s="300"/>
      <c r="Z293" s="300"/>
      <c r="AA293" s="300"/>
      <c r="AB293" s="300"/>
      <c r="AC293" s="300"/>
      <c r="AD293" s="300"/>
      <c r="AE293" s="300"/>
    </row>
    <row r="294" spans="2:31" ht="15">
      <c r="B294" s="405">
        <f t="shared" si="7"/>
        <v>249</v>
      </c>
      <c r="C294" s="413" t="str" cm="1">
        <f t="array" aca="1" ref="C294" ca="1">IF(B294&lt;=$C$9,GetGetCDSName(B294),"")</f>
        <v/>
      </c>
      <c r="D294" s="373"/>
      <c r="E294" s="406"/>
      <c r="F294" s="325"/>
      <c r="G294" s="325"/>
      <c r="H294" s="325"/>
      <c r="I294" s="325"/>
      <c r="J294" s="325"/>
      <c r="K294" s="325"/>
      <c r="L294" s="325"/>
      <c r="M294" s="325"/>
      <c r="N294" s="407"/>
      <c r="O294" s="300"/>
      <c r="P294" s="300"/>
      <c r="Q294" s="300"/>
      <c r="R294" s="300"/>
      <c r="S294" s="300"/>
      <c r="T294" s="300"/>
      <c r="U294" s="300"/>
      <c r="V294" s="300"/>
      <c r="W294" s="300"/>
      <c r="X294" s="300"/>
      <c r="Y294" s="300"/>
      <c r="Z294" s="300"/>
      <c r="AA294" s="300"/>
      <c r="AB294" s="300"/>
      <c r="AC294" s="300"/>
      <c r="AD294" s="300"/>
      <c r="AE294" s="300"/>
    </row>
    <row r="295" spans="2:31" ht="15">
      <c r="B295" s="405">
        <f t="shared" si="7"/>
        <v>250</v>
      </c>
      <c r="C295" s="413" t="str" cm="1">
        <f t="array" aca="1" ref="C295" ca="1">IF(B295&lt;=$C$9,GetGetCDSName(B295),"")</f>
        <v/>
      </c>
      <c r="D295" s="373"/>
      <c r="E295" s="406"/>
      <c r="F295" s="325"/>
      <c r="G295" s="325"/>
      <c r="H295" s="325"/>
      <c r="I295" s="325"/>
      <c r="J295" s="325"/>
      <c r="K295" s="325"/>
      <c r="L295" s="325"/>
      <c r="M295" s="325"/>
      <c r="N295" s="407"/>
      <c r="O295" s="300"/>
      <c r="P295" s="300"/>
      <c r="Q295" s="300"/>
      <c r="R295" s="300"/>
      <c r="S295" s="300"/>
      <c r="T295" s="300"/>
      <c r="U295" s="300"/>
      <c r="V295" s="300"/>
      <c r="W295" s="300"/>
      <c r="X295" s="300"/>
      <c r="Y295" s="300"/>
      <c r="Z295" s="300"/>
      <c r="AA295" s="300"/>
      <c r="AB295" s="300"/>
      <c r="AC295" s="300"/>
      <c r="AD295" s="300"/>
      <c r="AE295" s="300"/>
    </row>
    <row r="296" spans="2:31" ht="15">
      <c r="B296" s="405">
        <f t="shared" si="7"/>
        <v>251</v>
      </c>
      <c r="C296" s="413" t="str" cm="1">
        <f t="array" aca="1" ref="C296" ca="1">IF(B296&lt;=$C$9,GetGetCDSName(B296),"")</f>
        <v/>
      </c>
      <c r="D296" s="373"/>
      <c r="E296" s="406"/>
      <c r="F296" s="325"/>
      <c r="G296" s="325"/>
      <c r="H296" s="325"/>
      <c r="I296" s="325"/>
      <c r="J296" s="325"/>
      <c r="K296" s="325"/>
      <c r="L296" s="325"/>
      <c r="M296" s="325"/>
      <c r="N296" s="407"/>
      <c r="O296" s="300"/>
      <c r="P296" s="300"/>
      <c r="Q296" s="300"/>
      <c r="R296" s="300"/>
      <c r="S296" s="300"/>
      <c r="T296" s="300"/>
      <c r="U296" s="300"/>
      <c r="V296" s="300"/>
      <c r="W296" s="300"/>
      <c r="X296" s="300"/>
      <c r="Y296" s="300"/>
      <c r="Z296" s="300"/>
      <c r="AA296" s="300"/>
      <c r="AB296" s="300"/>
      <c r="AC296" s="300"/>
      <c r="AD296" s="300"/>
      <c r="AE296" s="300"/>
    </row>
    <row r="297" spans="2:31" ht="15">
      <c r="B297" s="405">
        <f t="shared" si="7"/>
        <v>252</v>
      </c>
      <c r="C297" s="413" t="str" cm="1">
        <f t="array" aca="1" ref="C297" ca="1">IF(B297&lt;=$C$9,GetGetCDSName(B297),"")</f>
        <v/>
      </c>
      <c r="D297" s="373"/>
      <c r="E297" s="406"/>
      <c r="F297" s="325"/>
      <c r="G297" s="325"/>
      <c r="H297" s="325"/>
      <c r="I297" s="325"/>
      <c r="J297" s="325"/>
      <c r="K297" s="325"/>
      <c r="L297" s="325"/>
      <c r="M297" s="325"/>
      <c r="N297" s="407"/>
      <c r="O297" s="300"/>
      <c r="P297" s="300"/>
      <c r="Q297" s="300"/>
      <c r="R297" s="300"/>
      <c r="S297" s="300"/>
      <c r="T297" s="300"/>
      <c r="U297" s="300"/>
      <c r="V297" s="300"/>
      <c r="W297" s="300"/>
      <c r="X297" s="300"/>
      <c r="Y297" s="300"/>
      <c r="Z297" s="300"/>
      <c r="AA297" s="300"/>
      <c r="AB297" s="300"/>
      <c r="AC297" s="300"/>
      <c r="AD297" s="300"/>
      <c r="AE297" s="300"/>
    </row>
    <row r="298" spans="2:31" ht="15">
      <c r="B298" s="405">
        <f t="shared" si="7"/>
        <v>253</v>
      </c>
      <c r="C298" s="413" t="str" cm="1">
        <f t="array" aca="1" ref="C298" ca="1">IF(B298&lt;=$C$9,GetGetCDSName(B298),"")</f>
        <v/>
      </c>
      <c r="D298" s="373"/>
      <c r="E298" s="406"/>
      <c r="F298" s="325"/>
      <c r="G298" s="325"/>
      <c r="H298" s="325"/>
      <c r="I298" s="325"/>
      <c r="J298" s="325"/>
      <c r="K298" s="325"/>
      <c r="L298" s="325"/>
      <c r="M298" s="325"/>
      <c r="N298" s="407"/>
      <c r="O298" s="300"/>
      <c r="P298" s="300"/>
      <c r="Q298" s="300"/>
      <c r="R298" s="300"/>
      <c r="S298" s="300"/>
      <c r="T298" s="300"/>
      <c r="U298" s="300"/>
      <c r="V298" s="300"/>
      <c r="W298" s="300"/>
      <c r="X298" s="300"/>
      <c r="Y298" s="300"/>
      <c r="Z298" s="300"/>
      <c r="AA298" s="300"/>
      <c r="AB298" s="300"/>
      <c r="AC298" s="300"/>
      <c r="AD298" s="300"/>
      <c r="AE298" s="300"/>
    </row>
    <row r="299" spans="2:31" ht="15">
      <c r="B299" s="405">
        <f t="shared" si="7"/>
        <v>254</v>
      </c>
      <c r="C299" s="413" t="str" cm="1">
        <f t="array" aca="1" ref="C299" ca="1">IF(B299&lt;=$C$9,GetGetCDSName(B299),"")</f>
        <v/>
      </c>
      <c r="D299" s="373"/>
      <c r="E299" s="406"/>
      <c r="F299" s="325"/>
      <c r="G299" s="325"/>
      <c r="H299" s="325"/>
      <c r="I299" s="325"/>
      <c r="J299" s="325"/>
      <c r="K299" s="325"/>
      <c r="L299" s="325"/>
      <c r="M299" s="325"/>
      <c r="N299" s="407"/>
      <c r="O299" s="300"/>
      <c r="P299" s="300"/>
      <c r="Q299" s="300"/>
      <c r="R299" s="300"/>
      <c r="S299" s="300"/>
      <c r="T299" s="300"/>
      <c r="U299" s="300"/>
      <c r="V299" s="300"/>
      <c r="W299" s="300"/>
      <c r="X299" s="300"/>
      <c r="Y299" s="300"/>
      <c r="Z299" s="300"/>
      <c r="AA299" s="300"/>
      <c r="AB299" s="300"/>
      <c r="AC299" s="300"/>
      <c r="AD299" s="300"/>
      <c r="AE299" s="300"/>
    </row>
    <row r="300" spans="2:31" ht="15">
      <c r="B300" s="405">
        <f t="shared" si="7"/>
        <v>255</v>
      </c>
      <c r="C300" s="413" t="str" cm="1">
        <f t="array" aca="1" ref="C300" ca="1">IF(B300&lt;=$C$9,GetGetCDSName(B300),"")</f>
        <v/>
      </c>
      <c r="D300" s="373"/>
      <c r="E300" s="406"/>
      <c r="F300" s="325"/>
      <c r="G300" s="325"/>
      <c r="H300" s="325"/>
      <c r="I300" s="325"/>
      <c r="J300" s="325"/>
      <c r="K300" s="325"/>
      <c r="L300" s="325"/>
      <c r="M300" s="325"/>
      <c r="N300" s="407"/>
      <c r="O300" s="300"/>
      <c r="P300" s="300"/>
      <c r="Q300" s="300"/>
      <c r="R300" s="300"/>
      <c r="S300" s="300"/>
      <c r="T300" s="300"/>
      <c r="U300" s="300"/>
      <c r="V300" s="300"/>
      <c r="W300" s="300"/>
      <c r="X300" s="300"/>
      <c r="Y300" s="300"/>
      <c r="Z300" s="300"/>
      <c r="AA300" s="300"/>
      <c r="AB300" s="300"/>
      <c r="AC300" s="300"/>
      <c r="AD300" s="300"/>
      <c r="AE300" s="300"/>
    </row>
    <row r="301" spans="2:31" ht="15">
      <c r="B301" s="405">
        <f t="shared" si="7"/>
        <v>256</v>
      </c>
      <c r="C301" s="413" t="str" cm="1">
        <f t="array" aca="1" ref="C301" ca="1">IF(B301&lt;=$C$9,GetGetCDSName(B301),"")</f>
        <v/>
      </c>
      <c r="D301" s="373"/>
      <c r="E301" s="406"/>
      <c r="F301" s="325"/>
      <c r="G301" s="325"/>
      <c r="H301" s="325"/>
      <c r="I301" s="325"/>
      <c r="J301" s="325"/>
      <c r="K301" s="325"/>
      <c r="L301" s="325"/>
      <c r="M301" s="325"/>
      <c r="N301" s="407"/>
      <c r="O301" s="300"/>
      <c r="P301" s="300"/>
      <c r="Q301" s="300"/>
      <c r="R301" s="300"/>
      <c r="S301" s="300"/>
      <c r="T301" s="300"/>
      <c r="U301" s="300"/>
      <c r="V301" s="300"/>
      <c r="W301" s="300"/>
      <c r="X301" s="300"/>
      <c r="Y301" s="300"/>
      <c r="Z301" s="300"/>
      <c r="AA301" s="300"/>
      <c r="AB301" s="300"/>
      <c r="AC301" s="300"/>
      <c r="AD301" s="300"/>
      <c r="AE301" s="300"/>
    </row>
    <row r="302" spans="2:31" ht="15">
      <c r="B302" s="405">
        <f t="shared" si="7"/>
        <v>257</v>
      </c>
      <c r="C302" s="413" t="str" cm="1">
        <f t="array" aca="1" ref="C302" ca="1">IF(B302&lt;=$C$9,GetGetCDSName(B302),"")</f>
        <v/>
      </c>
      <c r="D302" s="373"/>
      <c r="E302" s="406"/>
      <c r="F302" s="325"/>
      <c r="G302" s="325"/>
      <c r="H302" s="325"/>
      <c r="I302" s="325"/>
      <c r="J302" s="325"/>
      <c r="K302" s="325"/>
      <c r="L302" s="325"/>
      <c r="M302" s="325"/>
      <c r="N302" s="407"/>
      <c r="O302" s="300"/>
      <c r="P302" s="300"/>
      <c r="Q302" s="300"/>
      <c r="R302" s="300"/>
      <c r="S302" s="300"/>
      <c r="T302" s="300"/>
      <c r="U302" s="300"/>
      <c r="V302" s="300"/>
      <c r="W302" s="300"/>
      <c r="X302" s="300"/>
      <c r="Y302" s="300"/>
      <c r="Z302" s="300"/>
      <c r="AA302" s="300"/>
      <c r="AB302" s="300"/>
      <c r="AC302" s="300"/>
      <c r="AD302" s="300"/>
      <c r="AE302" s="300"/>
    </row>
    <row r="303" spans="2:31" ht="15">
      <c r="B303" s="405">
        <f t="shared" ref="B303:B345" si="8">B302+1</f>
        <v>258</v>
      </c>
      <c r="C303" s="413" t="str" cm="1">
        <f t="array" aca="1" ref="C303" ca="1">IF(B303&lt;=$C$9,GetGetCDSName(B303),"")</f>
        <v/>
      </c>
      <c r="D303" s="373"/>
      <c r="E303" s="406"/>
      <c r="F303" s="325"/>
      <c r="G303" s="325"/>
      <c r="H303" s="325"/>
      <c r="I303" s="325"/>
      <c r="J303" s="325"/>
      <c r="K303" s="325"/>
      <c r="L303" s="325"/>
      <c r="M303" s="325"/>
      <c r="N303" s="407"/>
      <c r="O303" s="300"/>
      <c r="P303" s="300"/>
      <c r="Q303" s="300"/>
      <c r="R303" s="300"/>
      <c r="S303" s="300"/>
      <c r="T303" s="300"/>
      <c r="U303" s="300"/>
      <c r="V303" s="300"/>
      <c r="W303" s="300"/>
      <c r="X303" s="300"/>
      <c r="Y303" s="300"/>
      <c r="Z303" s="300"/>
      <c r="AA303" s="300"/>
      <c r="AB303" s="300"/>
      <c r="AC303" s="300"/>
      <c r="AD303" s="300"/>
      <c r="AE303" s="300"/>
    </row>
    <row r="304" spans="2:31" ht="15">
      <c r="B304" s="405">
        <f t="shared" si="8"/>
        <v>259</v>
      </c>
      <c r="C304" s="413" t="str" cm="1">
        <f t="array" aca="1" ref="C304" ca="1">IF(B304&lt;=$C$9,GetGetCDSName(B304),"")</f>
        <v/>
      </c>
      <c r="D304" s="373"/>
      <c r="E304" s="406"/>
      <c r="F304" s="325"/>
      <c r="G304" s="325"/>
      <c r="H304" s="325"/>
      <c r="I304" s="325"/>
      <c r="J304" s="325"/>
      <c r="K304" s="325"/>
      <c r="L304" s="325"/>
      <c r="M304" s="325"/>
      <c r="N304" s="407"/>
      <c r="O304" s="300"/>
      <c r="P304" s="300"/>
      <c r="Q304" s="300"/>
      <c r="R304" s="300"/>
      <c r="S304" s="300"/>
      <c r="T304" s="300"/>
      <c r="U304" s="300"/>
      <c r="V304" s="300"/>
      <c r="W304" s="300"/>
      <c r="X304" s="300"/>
      <c r="Y304" s="300"/>
      <c r="Z304" s="300"/>
      <c r="AA304" s="300"/>
      <c r="AB304" s="300"/>
      <c r="AC304" s="300"/>
      <c r="AD304" s="300"/>
      <c r="AE304" s="300"/>
    </row>
    <row r="305" spans="2:31" ht="15">
      <c r="B305" s="405">
        <f t="shared" si="8"/>
        <v>260</v>
      </c>
      <c r="C305" s="413" t="str" cm="1">
        <f t="array" aca="1" ref="C305" ca="1">IF(B305&lt;=$C$9,GetGetCDSName(B305),"")</f>
        <v/>
      </c>
      <c r="D305" s="373"/>
      <c r="E305" s="406"/>
      <c r="F305" s="325"/>
      <c r="G305" s="325"/>
      <c r="H305" s="325"/>
      <c r="I305" s="325"/>
      <c r="J305" s="325"/>
      <c r="K305" s="325"/>
      <c r="L305" s="325"/>
      <c r="M305" s="325"/>
      <c r="N305" s="407"/>
      <c r="O305" s="300"/>
      <c r="P305" s="300"/>
      <c r="Q305" s="300"/>
      <c r="R305" s="300"/>
      <c r="S305" s="300"/>
      <c r="T305" s="300"/>
      <c r="U305" s="300"/>
      <c r="V305" s="300"/>
      <c r="W305" s="300"/>
      <c r="X305" s="300"/>
      <c r="Y305" s="300"/>
      <c r="Z305" s="300"/>
      <c r="AA305" s="300"/>
      <c r="AB305" s="300"/>
      <c r="AC305" s="300"/>
      <c r="AD305" s="300"/>
      <c r="AE305" s="300"/>
    </row>
    <row r="306" spans="2:31" ht="15">
      <c r="B306" s="405">
        <f t="shared" si="8"/>
        <v>261</v>
      </c>
      <c r="C306" s="413" t="str" cm="1">
        <f t="array" aca="1" ref="C306" ca="1">IF(B306&lt;=$C$9,GetGetCDSName(B306),"")</f>
        <v/>
      </c>
      <c r="D306" s="373"/>
      <c r="E306" s="406"/>
      <c r="F306" s="325"/>
      <c r="G306" s="325"/>
      <c r="H306" s="325"/>
      <c r="I306" s="325"/>
      <c r="J306" s="325"/>
      <c r="K306" s="325"/>
      <c r="L306" s="325"/>
      <c r="M306" s="325"/>
      <c r="N306" s="407"/>
      <c r="O306" s="300"/>
      <c r="P306" s="300"/>
      <c r="Q306" s="300"/>
      <c r="R306" s="300"/>
      <c r="S306" s="300"/>
      <c r="T306" s="300"/>
      <c r="U306" s="300"/>
      <c r="V306" s="300"/>
      <c r="W306" s="300"/>
      <c r="X306" s="300"/>
      <c r="Y306" s="300"/>
      <c r="Z306" s="300"/>
      <c r="AA306" s="300"/>
      <c r="AB306" s="300"/>
      <c r="AC306" s="300"/>
      <c r="AD306" s="300"/>
      <c r="AE306" s="300"/>
    </row>
    <row r="307" spans="2:31" ht="15">
      <c r="B307" s="405">
        <f t="shared" si="8"/>
        <v>262</v>
      </c>
      <c r="C307" s="413" t="str" cm="1">
        <f t="array" aca="1" ref="C307" ca="1">IF(B307&lt;=$C$9,GetGetCDSName(B307),"")</f>
        <v/>
      </c>
      <c r="D307" s="373"/>
      <c r="E307" s="406"/>
      <c r="F307" s="325"/>
      <c r="G307" s="325"/>
      <c r="H307" s="325"/>
      <c r="I307" s="325"/>
      <c r="J307" s="325"/>
      <c r="K307" s="325"/>
      <c r="L307" s="325"/>
      <c r="M307" s="325"/>
      <c r="N307" s="407"/>
      <c r="O307" s="300"/>
      <c r="P307" s="300"/>
      <c r="Q307" s="300"/>
      <c r="R307" s="300"/>
      <c r="S307" s="300"/>
      <c r="T307" s="300"/>
      <c r="U307" s="300"/>
      <c r="V307" s="300"/>
      <c r="W307" s="300"/>
      <c r="X307" s="300"/>
      <c r="Y307" s="300"/>
      <c r="Z307" s="300"/>
      <c r="AA307" s="300"/>
      <c r="AB307" s="300"/>
      <c r="AC307" s="300"/>
      <c r="AD307" s="300"/>
      <c r="AE307" s="300"/>
    </row>
    <row r="308" spans="2:31" ht="15">
      <c r="B308" s="405">
        <f t="shared" si="8"/>
        <v>263</v>
      </c>
      <c r="C308" s="413" t="str" cm="1">
        <f t="array" aca="1" ref="C308" ca="1">IF(B308&lt;=$C$9,GetGetCDSName(B308),"")</f>
        <v/>
      </c>
      <c r="D308" s="373"/>
      <c r="E308" s="406"/>
      <c r="F308" s="325"/>
      <c r="G308" s="325"/>
      <c r="H308" s="325"/>
      <c r="I308" s="325"/>
      <c r="J308" s="325"/>
      <c r="K308" s="325"/>
      <c r="L308" s="325"/>
      <c r="M308" s="325"/>
      <c r="N308" s="407"/>
      <c r="O308" s="300"/>
      <c r="P308" s="300"/>
      <c r="Q308" s="300"/>
      <c r="R308" s="300"/>
      <c r="S308" s="300"/>
      <c r="T308" s="300"/>
      <c r="U308" s="300"/>
      <c r="V308" s="300"/>
      <c r="W308" s="300"/>
      <c r="X308" s="300"/>
      <c r="Y308" s="300"/>
      <c r="Z308" s="300"/>
      <c r="AA308" s="300"/>
      <c r="AB308" s="300"/>
      <c r="AC308" s="300"/>
      <c r="AD308" s="300"/>
      <c r="AE308" s="300"/>
    </row>
    <row r="309" spans="2:31" ht="15">
      <c r="B309" s="405">
        <f t="shared" si="8"/>
        <v>264</v>
      </c>
      <c r="C309" s="413" t="str" cm="1">
        <f t="array" aca="1" ref="C309" ca="1">IF(B309&lt;=$C$9,GetGetCDSName(B309),"")</f>
        <v/>
      </c>
      <c r="D309" s="373"/>
      <c r="E309" s="406"/>
      <c r="F309" s="325"/>
      <c r="G309" s="325"/>
      <c r="H309" s="325"/>
      <c r="I309" s="325"/>
      <c r="J309" s="325"/>
      <c r="K309" s="325"/>
      <c r="L309" s="325"/>
      <c r="M309" s="325"/>
      <c r="N309" s="407"/>
      <c r="O309" s="300"/>
      <c r="P309" s="300"/>
      <c r="Q309" s="300"/>
      <c r="R309" s="300"/>
      <c r="S309" s="300"/>
      <c r="T309" s="300"/>
      <c r="U309" s="300"/>
      <c r="V309" s="300"/>
      <c r="W309" s="300"/>
      <c r="X309" s="300"/>
      <c r="Y309" s="300"/>
      <c r="Z309" s="300"/>
      <c r="AA309" s="300"/>
      <c r="AB309" s="300"/>
      <c r="AC309" s="300"/>
      <c r="AD309" s="300"/>
      <c r="AE309" s="300"/>
    </row>
    <row r="310" spans="2:31" ht="15">
      <c r="B310" s="405">
        <f t="shared" si="8"/>
        <v>265</v>
      </c>
      <c r="C310" s="413" t="str" cm="1">
        <f t="array" aca="1" ref="C310" ca="1">IF(B310&lt;=$C$9,GetGetCDSName(B310),"")</f>
        <v/>
      </c>
      <c r="D310" s="373"/>
      <c r="E310" s="406"/>
      <c r="F310" s="325"/>
      <c r="G310" s="325"/>
      <c r="H310" s="325"/>
      <c r="I310" s="325"/>
      <c r="J310" s="325"/>
      <c r="K310" s="325"/>
      <c r="L310" s="325"/>
      <c r="M310" s="325"/>
      <c r="N310" s="407"/>
      <c r="O310" s="300"/>
      <c r="P310" s="300"/>
      <c r="Q310" s="300"/>
      <c r="R310" s="300"/>
      <c r="S310" s="300"/>
      <c r="T310" s="300"/>
      <c r="U310" s="300"/>
      <c r="V310" s="300"/>
      <c r="W310" s="300"/>
      <c r="X310" s="300"/>
      <c r="Y310" s="300"/>
      <c r="Z310" s="300"/>
      <c r="AA310" s="300"/>
      <c r="AB310" s="300"/>
      <c r="AC310" s="300"/>
      <c r="AD310" s="300"/>
      <c r="AE310" s="300"/>
    </row>
    <row r="311" spans="2:31" ht="15">
      <c r="B311" s="405">
        <f t="shared" si="8"/>
        <v>266</v>
      </c>
      <c r="C311" s="413" t="str" cm="1">
        <f t="array" aca="1" ref="C311" ca="1">IF(B311&lt;=$C$9,GetGetCDSName(B311),"")</f>
        <v/>
      </c>
      <c r="D311" s="373"/>
      <c r="E311" s="406"/>
      <c r="F311" s="325"/>
      <c r="G311" s="325"/>
      <c r="H311" s="325"/>
      <c r="I311" s="325"/>
      <c r="J311" s="325"/>
      <c r="K311" s="325"/>
      <c r="L311" s="325"/>
      <c r="M311" s="325"/>
      <c r="N311" s="407"/>
      <c r="O311" s="300"/>
      <c r="P311" s="300"/>
      <c r="Q311" s="300"/>
      <c r="R311" s="300"/>
      <c r="S311" s="300"/>
      <c r="T311" s="300"/>
      <c r="U311" s="300"/>
      <c r="V311" s="300"/>
      <c r="W311" s="300"/>
      <c r="X311" s="300"/>
      <c r="Y311" s="300"/>
      <c r="Z311" s="300"/>
      <c r="AA311" s="300"/>
      <c r="AB311" s="300"/>
      <c r="AC311" s="300"/>
      <c r="AD311" s="300"/>
      <c r="AE311" s="300"/>
    </row>
    <row r="312" spans="2:31" ht="15">
      <c r="B312" s="405">
        <f t="shared" si="8"/>
        <v>267</v>
      </c>
      <c r="C312" s="413" t="str" cm="1">
        <f t="array" aca="1" ref="C312" ca="1">IF(B312&lt;=$C$9,GetGetCDSName(B312),"")</f>
        <v/>
      </c>
      <c r="D312" s="373"/>
      <c r="E312" s="406"/>
      <c r="F312" s="325"/>
      <c r="G312" s="325"/>
      <c r="H312" s="325"/>
      <c r="I312" s="325"/>
      <c r="J312" s="325"/>
      <c r="K312" s="325"/>
      <c r="L312" s="325"/>
      <c r="M312" s="325"/>
      <c r="N312" s="407"/>
      <c r="O312" s="300"/>
      <c r="P312" s="300"/>
      <c r="Q312" s="300"/>
      <c r="R312" s="300"/>
      <c r="S312" s="300"/>
      <c r="T312" s="300"/>
      <c r="U312" s="300"/>
      <c r="V312" s="300"/>
      <c r="W312" s="300"/>
      <c r="X312" s="300"/>
      <c r="Y312" s="300"/>
      <c r="Z312" s="300"/>
      <c r="AA312" s="300"/>
      <c r="AB312" s="300"/>
      <c r="AC312" s="300"/>
      <c r="AD312" s="300"/>
      <c r="AE312" s="300"/>
    </row>
    <row r="313" spans="2:31" ht="15">
      <c r="B313" s="405">
        <f t="shared" si="8"/>
        <v>268</v>
      </c>
      <c r="C313" s="413" t="str" cm="1">
        <f t="array" aca="1" ref="C313" ca="1">IF(B313&lt;=$C$9,GetGetCDSName(B313),"")</f>
        <v/>
      </c>
      <c r="D313" s="373"/>
      <c r="E313" s="406"/>
      <c r="F313" s="325"/>
      <c r="G313" s="325"/>
      <c r="H313" s="325"/>
      <c r="I313" s="325"/>
      <c r="J313" s="325"/>
      <c r="K313" s="325"/>
      <c r="L313" s="325"/>
      <c r="M313" s="325"/>
      <c r="N313" s="407"/>
      <c r="O313" s="300"/>
      <c r="P313" s="300"/>
      <c r="Q313" s="300"/>
      <c r="R313" s="300"/>
      <c r="S313" s="300"/>
      <c r="T313" s="300"/>
      <c r="U313" s="300"/>
      <c r="V313" s="300"/>
      <c r="W313" s="300"/>
      <c r="X313" s="300"/>
      <c r="Y313" s="300"/>
      <c r="Z313" s="300"/>
      <c r="AA313" s="300"/>
      <c r="AB313" s="300"/>
      <c r="AC313" s="300"/>
      <c r="AD313" s="300"/>
      <c r="AE313" s="300"/>
    </row>
    <row r="314" spans="2:31" ht="15">
      <c r="B314" s="405">
        <f t="shared" si="8"/>
        <v>269</v>
      </c>
      <c r="C314" s="413" t="str" cm="1">
        <f t="array" aca="1" ref="C314" ca="1">IF(B314&lt;=$C$9,GetGetCDSName(B314),"")</f>
        <v/>
      </c>
      <c r="D314" s="373"/>
      <c r="E314" s="406"/>
      <c r="F314" s="325"/>
      <c r="G314" s="325"/>
      <c r="H314" s="325"/>
      <c r="I314" s="325"/>
      <c r="J314" s="325"/>
      <c r="K314" s="325"/>
      <c r="L314" s="325"/>
      <c r="M314" s="325"/>
      <c r="N314" s="407"/>
      <c r="O314" s="300"/>
      <c r="P314" s="300"/>
      <c r="Q314" s="300"/>
      <c r="R314" s="300"/>
      <c r="S314" s="300"/>
      <c r="T314" s="300"/>
      <c r="U314" s="300"/>
      <c r="V314" s="300"/>
      <c r="W314" s="300"/>
      <c r="X314" s="300"/>
      <c r="Y314" s="300"/>
      <c r="Z314" s="300"/>
      <c r="AA314" s="300"/>
      <c r="AB314" s="300"/>
      <c r="AC314" s="300"/>
      <c r="AD314" s="300"/>
      <c r="AE314" s="300"/>
    </row>
    <row r="315" spans="2:31" ht="15">
      <c r="B315" s="405">
        <f t="shared" si="8"/>
        <v>270</v>
      </c>
      <c r="C315" s="413" t="str" cm="1">
        <f t="array" aca="1" ref="C315" ca="1">IF(B315&lt;=$C$9,GetGetCDSName(B315),"")</f>
        <v/>
      </c>
      <c r="D315" s="373"/>
      <c r="E315" s="406"/>
      <c r="F315" s="325"/>
      <c r="G315" s="325"/>
      <c r="H315" s="325"/>
      <c r="I315" s="325"/>
      <c r="J315" s="325"/>
      <c r="K315" s="325"/>
      <c r="L315" s="325"/>
      <c r="M315" s="325"/>
      <c r="N315" s="407"/>
      <c r="O315" s="300"/>
      <c r="P315" s="300"/>
      <c r="Q315" s="300"/>
      <c r="R315" s="300"/>
      <c r="S315" s="300"/>
      <c r="T315" s="300"/>
      <c r="U315" s="300"/>
      <c r="V315" s="300"/>
      <c r="W315" s="300"/>
      <c r="X315" s="300"/>
      <c r="Y315" s="300"/>
      <c r="Z315" s="300"/>
      <c r="AA315" s="300"/>
      <c r="AB315" s="300"/>
      <c r="AC315" s="300"/>
      <c r="AD315" s="300"/>
      <c r="AE315" s="300"/>
    </row>
    <row r="316" spans="2:31" ht="15">
      <c r="B316" s="405">
        <f t="shared" si="8"/>
        <v>271</v>
      </c>
      <c r="C316" s="413" t="str" cm="1">
        <f t="array" aca="1" ref="C316" ca="1">IF(B316&lt;=$C$9,GetGetCDSName(B316),"")</f>
        <v/>
      </c>
      <c r="D316" s="373"/>
      <c r="E316" s="406"/>
      <c r="F316" s="325"/>
      <c r="G316" s="325"/>
      <c r="H316" s="325"/>
      <c r="I316" s="325"/>
      <c r="J316" s="325"/>
      <c r="K316" s="325"/>
      <c r="L316" s="325"/>
      <c r="M316" s="325"/>
      <c r="N316" s="407"/>
      <c r="O316" s="300"/>
      <c r="P316" s="300"/>
      <c r="Q316" s="300"/>
      <c r="R316" s="300"/>
      <c r="S316" s="300"/>
      <c r="T316" s="300"/>
      <c r="U316" s="300"/>
      <c r="V316" s="300"/>
      <c r="W316" s="300"/>
      <c r="X316" s="300"/>
      <c r="Y316" s="300"/>
      <c r="Z316" s="300"/>
      <c r="AA316" s="300"/>
      <c r="AB316" s="300"/>
      <c r="AC316" s="300"/>
      <c r="AD316" s="300"/>
      <c r="AE316" s="300"/>
    </row>
    <row r="317" spans="2:31" ht="15">
      <c r="B317" s="405">
        <f t="shared" si="8"/>
        <v>272</v>
      </c>
      <c r="C317" s="413" t="str" cm="1">
        <f t="array" aca="1" ref="C317" ca="1">IF(B317&lt;=$C$9,GetGetCDSName(B317),"")</f>
        <v/>
      </c>
      <c r="D317" s="373"/>
      <c r="E317" s="406"/>
      <c r="F317" s="325"/>
      <c r="G317" s="325"/>
      <c r="H317" s="325"/>
      <c r="I317" s="325"/>
      <c r="J317" s="325"/>
      <c r="K317" s="325"/>
      <c r="L317" s="325"/>
      <c r="M317" s="325"/>
      <c r="N317" s="407"/>
      <c r="O317" s="300"/>
      <c r="P317" s="300"/>
      <c r="Q317" s="300"/>
      <c r="R317" s="300"/>
      <c r="S317" s="300"/>
      <c r="T317" s="300"/>
      <c r="U317" s="300"/>
      <c r="V317" s="300"/>
      <c r="W317" s="300"/>
      <c r="X317" s="300"/>
      <c r="Y317" s="300"/>
      <c r="Z317" s="300"/>
      <c r="AA317" s="300"/>
      <c r="AB317" s="300"/>
      <c r="AC317" s="300"/>
      <c r="AD317" s="300"/>
      <c r="AE317" s="300"/>
    </row>
    <row r="318" spans="2:31" ht="15">
      <c r="B318" s="405">
        <f t="shared" si="8"/>
        <v>273</v>
      </c>
      <c r="C318" s="413" t="str" cm="1">
        <f t="array" aca="1" ref="C318" ca="1">IF(B318&lt;=$C$9,GetGetCDSName(B318),"")</f>
        <v/>
      </c>
      <c r="D318" s="373"/>
      <c r="E318" s="406"/>
      <c r="F318" s="325"/>
      <c r="G318" s="325"/>
      <c r="H318" s="325"/>
      <c r="I318" s="325"/>
      <c r="J318" s="325"/>
      <c r="K318" s="325"/>
      <c r="L318" s="325"/>
      <c r="M318" s="325"/>
      <c r="N318" s="407"/>
      <c r="O318" s="300"/>
      <c r="P318" s="300"/>
      <c r="Q318" s="300"/>
      <c r="R318" s="300"/>
      <c r="S318" s="300"/>
      <c r="T318" s="300"/>
      <c r="U318" s="300"/>
      <c r="V318" s="300"/>
      <c r="W318" s="300"/>
      <c r="X318" s="300"/>
      <c r="Y318" s="300"/>
      <c r="Z318" s="300"/>
      <c r="AA318" s="300"/>
      <c r="AB318" s="300"/>
      <c r="AC318" s="300"/>
      <c r="AD318" s="300"/>
      <c r="AE318" s="300"/>
    </row>
    <row r="319" spans="2:31" ht="15">
      <c r="B319" s="405">
        <f t="shared" si="8"/>
        <v>274</v>
      </c>
      <c r="C319" s="413" t="str" cm="1">
        <f t="array" aca="1" ref="C319" ca="1">IF(B319&lt;=$C$9,GetGetCDSName(B319),"")</f>
        <v/>
      </c>
      <c r="D319" s="373"/>
      <c r="E319" s="406"/>
      <c r="F319" s="325"/>
      <c r="G319" s="325"/>
      <c r="H319" s="325"/>
      <c r="I319" s="325"/>
      <c r="J319" s="325"/>
      <c r="K319" s="325"/>
      <c r="L319" s="325"/>
      <c r="M319" s="325"/>
      <c r="N319" s="407"/>
      <c r="O319" s="300"/>
      <c r="P319" s="300"/>
      <c r="Q319" s="300"/>
      <c r="R319" s="300"/>
      <c r="S319" s="300"/>
      <c r="T319" s="300"/>
      <c r="U319" s="300"/>
      <c r="V319" s="300"/>
      <c r="W319" s="300"/>
      <c r="X319" s="300"/>
      <c r="Y319" s="300"/>
      <c r="Z319" s="300"/>
      <c r="AA319" s="300"/>
      <c r="AB319" s="300"/>
      <c r="AC319" s="300"/>
      <c r="AD319" s="300"/>
      <c r="AE319" s="300"/>
    </row>
    <row r="320" spans="2:31" ht="15">
      <c r="B320" s="405">
        <f t="shared" si="8"/>
        <v>275</v>
      </c>
      <c r="C320" s="413" t="str" cm="1">
        <f t="array" aca="1" ref="C320" ca="1">IF(B320&lt;=$C$9,GetGetCDSName(B320),"")</f>
        <v/>
      </c>
      <c r="D320" s="373"/>
      <c r="E320" s="406"/>
      <c r="F320" s="325"/>
      <c r="G320" s="325"/>
      <c r="H320" s="325"/>
      <c r="I320" s="325"/>
      <c r="J320" s="325"/>
      <c r="K320" s="325"/>
      <c r="L320" s="325"/>
      <c r="M320" s="325"/>
      <c r="N320" s="407"/>
      <c r="O320" s="300"/>
      <c r="P320" s="300"/>
      <c r="Q320" s="300"/>
      <c r="R320" s="300"/>
      <c r="S320" s="300"/>
      <c r="T320" s="300"/>
      <c r="U320" s="300"/>
      <c r="V320" s="300"/>
      <c r="W320" s="300"/>
      <c r="X320" s="300"/>
      <c r="Y320" s="300"/>
      <c r="Z320" s="300"/>
      <c r="AA320" s="300"/>
      <c r="AB320" s="300"/>
      <c r="AC320" s="300"/>
      <c r="AD320" s="300"/>
      <c r="AE320" s="300"/>
    </row>
    <row r="321" spans="2:31" ht="15">
      <c r="B321" s="405">
        <f t="shared" si="8"/>
        <v>276</v>
      </c>
      <c r="C321" s="413" t="str" cm="1">
        <f t="array" aca="1" ref="C321" ca="1">IF(B321&lt;=$C$9,GetGetCDSName(B321),"")</f>
        <v/>
      </c>
      <c r="D321" s="373"/>
      <c r="E321" s="406"/>
      <c r="F321" s="325"/>
      <c r="G321" s="325"/>
      <c r="H321" s="325"/>
      <c r="I321" s="325"/>
      <c r="J321" s="325"/>
      <c r="K321" s="325"/>
      <c r="L321" s="325"/>
      <c r="M321" s="325"/>
      <c r="N321" s="407"/>
      <c r="O321" s="300"/>
      <c r="P321" s="300"/>
      <c r="Q321" s="300"/>
      <c r="R321" s="300"/>
      <c r="S321" s="300"/>
      <c r="T321" s="300"/>
      <c r="U321" s="300"/>
      <c r="V321" s="300"/>
      <c r="W321" s="300"/>
      <c r="X321" s="300"/>
      <c r="Y321" s="300"/>
      <c r="Z321" s="300"/>
      <c r="AA321" s="300"/>
      <c r="AB321" s="300"/>
      <c r="AC321" s="300"/>
      <c r="AD321" s="300"/>
      <c r="AE321" s="300"/>
    </row>
    <row r="322" spans="2:31" ht="15">
      <c r="B322" s="405">
        <f t="shared" si="8"/>
        <v>277</v>
      </c>
      <c r="C322" s="413" t="str" cm="1">
        <f t="array" aca="1" ref="C322" ca="1">IF(B322&lt;=$C$9,GetGetCDSName(B322),"")</f>
        <v/>
      </c>
      <c r="D322" s="373"/>
      <c r="E322" s="406"/>
      <c r="F322" s="325"/>
      <c r="G322" s="325"/>
      <c r="H322" s="325"/>
      <c r="I322" s="325"/>
      <c r="J322" s="325"/>
      <c r="K322" s="325"/>
      <c r="L322" s="325"/>
      <c r="M322" s="325"/>
      <c r="N322" s="407"/>
      <c r="O322" s="300"/>
      <c r="P322" s="300"/>
      <c r="Q322" s="300"/>
      <c r="R322" s="300"/>
      <c r="S322" s="300"/>
      <c r="T322" s="300"/>
      <c r="U322" s="300"/>
      <c r="V322" s="300"/>
      <c r="W322" s="300"/>
      <c r="X322" s="300"/>
      <c r="Y322" s="300"/>
      <c r="Z322" s="300"/>
      <c r="AA322" s="300"/>
      <c r="AB322" s="300"/>
      <c r="AC322" s="300"/>
      <c r="AD322" s="300"/>
      <c r="AE322" s="300"/>
    </row>
    <row r="323" spans="2:31" ht="15">
      <c r="B323" s="405">
        <f t="shared" si="8"/>
        <v>278</v>
      </c>
      <c r="C323" s="413" t="str" cm="1">
        <f t="array" aca="1" ref="C323" ca="1">IF(B323&lt;=$C$9,GetGetCDSName(B323),"")</f>
        <v/>
      </c>
      <c r="D323" s="373"/>
      <c r="E323" s="406"/>
      <c r="F323" s="325"/>
      <c r="G323" s="325"/>
      <c r="H323" s="325"/>
      <c r="I323" s="325"/>
      <c r="J323" s="325"/>
      <c r="K323" s="325"/>
      <c r="L323" s="325"/>
      <c r="M323" s="325"/>
      <c r="N323" s="407"/>
      <c r="O323" s="300"/>
      <c r="P323" s="300"/>
      <c r="Q323" s="300"/>
      <c r="R323" s="300"/>
      <c r="S323" s="300"/>
      <c r="T323" s="300"/>
      <c r="U323" s="300"/>
      <c r="V323" s="300"/>
      <c r="W323" s="300"/>
      <c r="X323" s="300"/>
      <c r="Y323" s="300"/>
      <c r="Z323" s="300"/>
      <c r="AA323" s="300"/>
      <c r="AB323" s="300"/>
      <c r="AC323" s="300"/>
      <c r="AD323" s="300"/>
      <c r="AE323" s="300"/>
    </row>
    <row r="324" spans="2:31" ht="15">
      <c r="B324" s="405">
        <f t="shared" si="8"/>
        <v>279</v>
      </c>
      <c r="C324" s="413" t="str" cm="1">
        <f t="array" aca="1" ref="C324" ca="1">IF(B324&lt;=$C$9,GetGetCDSName(B324),"")</f>
        <v/>
      </c>
      <c r="D324" s="373"/>
      <c r="E324" s="406"/>
      <c r="F324" s="325"/>
      <c r="G324" s="325"/>
      <c r="H324" s="325"/>
      <c r="I324" s="325"/>
      <c r="J324" s="325"/>
      <c r="K324" s="325"/>
      <c r="L324" s="325"/>
      <c r="M324" s="325"/>
      <c r="N324" s="407"/>
      <c r="O324" s="300"/>
      <c r="P324" s="300"/>
      <c r="Q324" s="300"/>
      <c r="R324" s="300"/>
      <c r="S324" s="300"/>
      <c r="T324" s="300"/>
      <c r="U324" s="300"/>
      <c r="V324" s="300"/>
      <c r="W324" s="300"/>
      <c r="X324" s="300"/>
      <c r="Y324" s="300"/>
      <c r="Z324" s="300"/>
      <c r="AA324" s="300"/>
      <c r="AB324" s="300"/>
      <c r="AC324" s="300"/>
      <c r="AD324" s="300"/>
      <c r="AE324" s="300"/>
    </row>
    <row r="325" spans="2:31" ht="15">
      <c r="B325" s="405">
        <f t="shared" si="8"/>
        <v>280</v>
      </c>
      <c r="C325" s="413" t="str" cm="1">
        <f t="array" aca="1" ref="C325" ca="1">IF(B325&lt;=$C$9,GetGetCDSName(B325),"")</f>
        <v/>
      </c>
      <c r="D325" s="373"/>
      <c r="E325" s="406"/>
      <c r="F325" s="325"/>
      <c r="G325" s="325"/>
      <c r="H325" s="325"/>
      <c r="I325" s="325"/>
      <c r="J325" s="325"/>
      <c r="K325" s="325"/>
      <c r="L325" s="325"/>
      <c r="M325" s="325"/>
      <c r="N325" s="407"/>
      <c r="O325" s="300"/>
      <c r="P325" s="300"/>
      <c r="Q325" s="300"/>
      <c r="R325" s="300"/>
      <c r="S325" s="300"/>
      <c r="T325" s="300"/>
      <c r="U325" s="300"/>
      <c r="V325" s="300"/>
      <c r="W325" s="300"/>
      <c r="X325" s="300"/>
      <c r="Y325" s="300"/>
      <c r="Z325" s="300"/>
      <c r="AA325" s="300"/>
      <c r="AB325" s="300"/>
      <c r="AC325" s="300"/>
      <c r="AD325" s="300"/>
      <c r="AE325" s="300"/>
    </row>
    <row r="326" spans="2:31" ht="15">
      <c r="B326" s="405">
        <f t="shared" si="8"/>
        <v>281</v>
      </c>
      <c r="C326" s="413" t="str" cm="1">
        <f t="array" aca="1" ref="C326" ca="1">IF(B326&lt;=$C$9,GetGetCDSName(B326),"")</f>
        <v/>
      </c>
      <c r="D326" s="373"/>
      <c r="E326" s="406"/>
      <c r="F326" s="325"/>
      <c r="G326" s="325"/>
      <c r="H326" s="325"/>
      <c r="I326" s="325"/>
      <c r="J326" s="325"/>
      <c r="K326" s="325"/>
      <c r="L326" s="325"/>
      <c r="M326" s="325"/>
      <c r="N326" s="407"/>
      <c r="O326" s="300"/>
      <c r="P326" s="300"/>
      <c r="Q326" s="300"/>
      <c r="R326" s="300"/>
      <c r="S326" s="300"/>
      <c r="T326" s="300"/>
      <c r="U326" s="300"/>
      <c r="V326" s="300"/>
      <c r="W326" s="300"/>
      <c r="X326" s="300"/>
      <c r="Y326" s="300"/>
      <c r="Z326" s="300"/>
      <c r="AA326" s="300"/>
      <c r="AB326" s="300"/>
      <c r="AC326" s="300"/>
      <c r="AD326" s="300"/>
      <c r="AE326" s="300"/>
    </row>
    <row r="327" spans="2:31" ht="15">
      <c r="B327" s="405">
        <f t="shared" si="8"/>
        <v>282</v>
      </c>
      <c r="C327" s="413" t="str" cm="1">
        <f t="array" aca="1" ref="C327" ca="1">IF(B327&lt;=$C$9,GetGetCDSName(B327),"")</f>
        <v/>
      </c>
      <c r="D327" s="373"/>
      <c r="E327" s="406"/>
      <c r="F327" s="325"/>
      <c r="G327" s="325"/>
      <c r="H327" s="325"/>
      <c r="I327" s="325"/>
      <c r="J327" s="325"/>
      <c r="K327" s="325"/>
      <c r="L327" s="325"/>
      <c r="M327" s="325"/>
      <c r="N327" s="407"/>
      <c r="O327" s="300"/>
      <c r="P327" s="300"/>
      <c r="Q327" s="300"/>
      <c r="R327" s="300"/>
      <c r="S327" s="300"/>
      <c r="T327" s="300"/>
      <c r="U327" s="300"/>
      <c r="V327" s="300"/>
      <c r="W327" s="300"/>
      <c r="X327" s="300"/>
      <c r="Y327" s="300"/>
      <c r="Z327" s="300"/>
      <c r="AA327" s="300"/>
      <c r="AB327" s="300"/>
      <c r="AC327" s="300"/>
      <c r="AD327" s="300"/>
      <c r="AE327" s="300"/>
    </row>
    <row r="328" spans="2:31" ht="15">
      <c r="B328" s="405">
        <f t="shared" si="8"/>
        <v>283</v>
      </c>
      <c r="C328" s="413" t="str" cm="1">
        <f t="array" aca="1" ref="C328" ca="1">IF(B328&lt;=$C$9,GetGetCDSName(B328),"")</f>
        <v/>
      </c>
      <c r="D328" s="373"/>
      <c r="E328" s="406"/>
      <c r="F328" s="325"/>
      <c r="G328" s="325"/>
      <c r="H328" s="325"/>
      <c r="I328" s="325"/>
      <c r="J328" s="325"/>
      <c r="K328" s="325"/>
      <c r="L328" s="325"/>
      <c r="M328" s="325"/>
      <c r="N328" s="407"/>
      <c r="O328" s="300"/>
      <c r="P328" s="300"/>
      <c r="Q328" s="300"/>
      <c r="R328" s="300"/>
      <c r="S328" s="300"/>
      <c r="T328" s="300"/>
      <c r="U328" s="300"/>
      <c r="V328" s="300"/>
      <c r="W328" s="300"/>
      <c r="X328" s="300"/>
      <c r="Y328" s="300"/>
      <c r="Z328" s="300"/>
      <c r="AA328" s="300"/>
      <c r="AB328" s="300"/>
      <c r="AC328" s="300"/>
      <c r="AD328" s="300"/>
      <c r="AE328" s="300"/>
    </row>
    <row r="329" spans="2:31" ht="15">
      <c r="B329" s="405">
        <f t="shared" si="8"/>
        <v>284</v>
      </c>
      <c r="C329" s="413" t="str" cm="1">
        <f t="array" aca="1" ref="C329" ca="1">IF(B329&lt;=$C$9,GetGetCDSName(B329),"")</f>
        <v/>
      </c>
      <c r="D329" s="373"/>
      <c r="E329" s="406"/>
      <c r="F329" s="325"/>
      <c r="G329" s="325"/>
      <c r="H329" s="325"/>
      <c r="I329" s="325"/>
      <c r="J329" s="325"/>
      <c r="K329" s="325"/>
      <c r="L329" s="325"/>
      <c r="M329" s="325"/>
      <c r="N329" s="407"/>
      <c r="O329" s="300"/>
      <c r="P329" s="300"/>
      <c r="Q329" s="300"/>
      <c r="R329" s="300"/>
      <c r="S329" s="300"/>
      <c r="T329" s="300"/>
      <c r="U329" s="300"/>
      <c r="V329" s="300"/>
      <c r="W329" s="300"/>
      <c r="X329" s="300"/>
      <c r="Y329" s="300"/>
      <c r="Z329" s="300"/>
      <c r="AA329" s="300"/>
      <c r="AB329" s="300"/>
      <c r="AC329" s="300"/>
      <c r="AD329" s="300"/>
      <c r="AE329" s="300"/>
    </row>
    <row r="330" spans="2:31" ht="15">
      <c r="B330" s="405">
        <f t="shared" si="8"/>
        <v>285</v>
      </c>
      <c r="C330" s="413" t="str" cm="1">
        <f t="array" aca="1" ref="C330" ca="1">IF(B330&lt;=$C$9,GetGetCDSName(B330),"")</f>
        <v/>
      </c>
      <c r="D330" s="373"/>
      <c r="E330" s="406"/>
      <c r="F330" s="325"/>
      <c r="G330" s="325"/>
      <c r="H330" s="325"/>
      <c r="I330" s="325"/>
      <c r="J330" s="325"/>
      <c r="K330" s="325"/>
      <c r="L330" s="325"/>
      <c r="M330" s="325"/>
      <c r="N330" s="407"/>
      <c r="O330" s="300"/>
      <c r="P330" s="300"/>
      <c r="Q330" s="300"/>
      <c r="R330" s="300"/>
      <c r="S330" s="300"/>
      <c r="T330" s="300"/>
      <c r="U330" s="300"/>
      <c r="V330" s="300"/>
      <c r="W330" s="300"/>
      <c r="X330" s="300"/>
      <c r="Y330" s="300"/>
      <c r="Z330" s="300"/>
      <c r="AA330" s="300"/>
      <c r="AB330" s="300"/>
      <c r="AC330" s="300"/>
      <c r="AD330" s="300"/>
      <c r="AE330" s="300"/>
    </row>
    <row r="331" spans="2:31" ht="15">
      <c r="B331" s="405">
        <f t="shared" si="8"/>
        <v>286</v>
      </c>
      <c r="C331" s="413" t="str" cm="1">
        <f t="array" aca="1" ref="C331" ca="1">IF(B331&lt;=$C$9,GetGetCDSName(B331),"")</f>
        <v/>
      </c>
      <c r="D331" s="373"/>
      <c r="E331" s="406"/>
      <c r="F331" s="325"/>
      <c r="G331" s="325"/>
      <c r="H331" s="325"/>
      <c r="I331" s="325"/>
      <c r="J331" s="325"/>
      <c r="K331" s="325"/>
      <c r="L331" s="325"/>
      <c r="M331" s="325"/>
      <c r="N331" s="407"/>
      <c r="O331" s="300"/>
      <c r="P331" s="300"/>
      <c r="Q331" s="300"/>
      <c r="R331" s="300"/>
      <c r="S331" s="300"/>
      <c r="T331" s="300"/>
      <c r="U331" s="300"/>
      <c r="V331" s="300"/>
      <c r="W331" s="300"/>
      <c r="X331" s="300"/>
      <c r="Y331" s="300"/>
      <c r="Z331" s="300"/>
      <c r="AA331" s="300"/>
      <c r="AB331" s="300"/>
      <c r="AC331" s="300"/>
      <c r="AD331" s="300"/>
      <c r="AE331" s="300"/>
    </row>
    <row r="332" spans="2:31" ht="15">
      <c r="B332" s="405">
        <f t="shared" si="8"/>
        <v>287</v>
      </c>
      <c r="C332" s="413" t="str" cm="1">
        <f t="array" aca="1" ref="C332" ca="1">IF(B332&lt;=$C$9,GetGetCDSName(B332),"")</f>
        <v/>
      </c>
      <c r="D332" s="373"/>
      <c r="E332" s="406"/>
      <c r="F332" s="325"/>
      <c r="G332" s="325"/>
      <c r="H332" s="325"/>
      <c r="I332" s="325"/>
      <c r="J332" s="325"/>
      <c r="K332" s="325"/>
      <c r="L332" s="325"/>
      <c r="M332" s="325"/>
      <c r="N332" s="407"/>
      <c r="O332" s="300"/>
      <c r="P332" s="300"/>
      <c r="Q332" s="300"/>
      <c r="R332" s="300"/>
      <c r="S332" s="300"/>
      <c r="T332" s="300"/>
      <c r="U332" s="300"/>
      <c r="V332" s="300"/>
      <c r="W332" s="300"/>
      <c r="X332" s="300"/>
      <c r="Y332" s="300"/>
      <c r="Z332" s="300"/>
      <c r="AA332" s="300"/>
      <c r="AB332" s="300"/>
      <c r="AC332" s="300"/>
      <c r="AD332" s="300"/>
      <c r="AE332" s="300"/>
    </row>
    <row r="333" spans="2:31" ht="15">
      <c r="B333" s="405">
        <f t="shared" si="8"/>
        <v>288</v>
      </c>
      <c r="C333" s="413" t="str" cm="1">
        <f t="array" aca="1" ref="C333" ca="1">IF(B333&lt;=$C$9,GetGetCDSName(B333),"")</f>
        <v/>
      </c>
      <c r="D333" s="373"/>
      <c r="E333" s="406"/>
      <c r="F333" s="325"/>
      <c r="G333" s="325"/>
      <c r="H333" s="325"/>
      <c r="I333" s="325"/>
      <c r="J333" s="325"/>
      <c r="K333" s="325"/>
      <c r="L333" s="325"/>
      <c r="M333" s="325"/>
      <c r="N333" s="407"/>
      <c r="O333" s="300"/>
      <c r="P333" s="300"/>
      <c r="Q333" s="300"/>
      <c r="R333" s="300"/>
      <c r="S333" s="300"/>
      <c r="T333" s="300"/>
      <c r="U333" s="300"/>
      <c r="V333" s="300"/>
      <c r="W333" s="300"/>
      <c r="X333" s="300"/>
      <c r="Y333" s="300"/>
      <c r="Z333" s="300"/>
      <c r="AA333" s="300"/>
      <c r="AB333" s="300"/>
      <c r="AC333" s="300"/>
      <c r="AD333" s="300"/>
      <c r="AE333" s="300"/>
    </row>
    <row r="334" spans="2:31" ht="15">
      <c r="B334" s="405">
        <f t="shared" si="8"/>
        <v>289</v>
      </c>
      <c r="C334" s="413" t="str" cm="1">
        <f t="array" aca="1" ref="C334" ca="1">IF(B334&lt;=$C$9,GetGetCDSName(B334),"")</f>
        <v/>
      </c>
      <c r="D334" s="373"/>
      <c r="E334" s="406"/>
      <c r="F334" s="325"/>
      <c r="G334" s="325"/>
      <c r="H334" s="325"/>
      <c r="I334" s="325"/>
      <c r="J334" s="325"/>
      <c r="K334" s="325"/>
      <c r="L334" s="325"/>
      <c r="M334" s="325"/>
      <c r="N334" s="407"/>
      <c r="O334" s="300"/>
      <c r="P334" s="300"/>
      <c r="Q334" s="300"/>
      <c r="R334" s="300"/>
      <c r="S334" s="300"/>
      <c r="T334" s="300"/>
      <c r="U334" s="300"/>
      <c r="V334" s="300"/>
      <c r="W334" s="300"/>
      <c r="X334" s="300"/>
      <c r="Y334" s="300"/>
      <c r="Z334" s="300"/>
      <c r="AA334" s="300"/>
      <c r="AB334" s="300"/>
      <c r="AC334" s="300"/>
      <c r="AD334" s="300"/>
      <c r="AE334" s="300"/>
    </row>
    <row r="335" spans="2:31" ht="15">
      <c r="B335" s="405">
        <f t="shared" si="8"/>
        <v>290</v>
      </c>
      <c r="C335" s="413" t="str" cm="1">
        <f t="array" aca="1" ref="C335" ca="1">IF(B335&lt;=$C$9,GetGetCDSName(B335),"")</f>
        <v/>
      </c>
      <c r="D335" s="373"/>
      <c r="E335" s="406"/>
      <c r="F335" s="325"/>
      <c r="G335" s="325"/>
      <c r="H335" s="325"/>
      <c r="I335" s="325"/>
      <c r="J335" s="325"/>
      <c r="K335" s="325"/>
      <c r="L335" s="325"/>
      <c r="M335" s="325"/>
      <c r="N335" s="407"/>
      <c r="O335" s="300"/>
      <c r="P335" s="300"/>
      <c r="Q335" s="300"/>
      <c r="R335" s="300"/>
      <c r="S335" s="300"/>
      <c r="T335" s="300"/>
      <c r="U335" s="300"/>
      <c r="V335" s="300"/>
      <c r="W335" s="300"/>
      <c r="X335" s="300"/>
      <c r="Y335" s="300"/>
      <c r="Z335" s="300"/>
      <c r="AA335" s="300"/>
      <c r="AB335" s="300"/>
      <c r="AC335" s="300"/>
      <c r="AD335" s="300"/>
      <c r="AE335" s="300"/>
    </row>
    <row r="336" spans="2:31" ht="15">
      <c r="B336" s="405">
        <f t="shared" si="8"/>
        <v>291</v>
      </c>
      <c r="C336" s="413" t="str" cm="1">
        <f t="array" aca="1" ref="C336" ca="1">IF(B336&lt;=$C$9,GetGetCDSName(B336),"")</f>
        <v/>
      </c>
      <c r="D336" s="373"/>
      <c r="E336" s="406"/>
      <c r="F336" s="325"/>
      <c r="G336" s="325"/>
      <c r="H336" s="325"/>
      <c r="I336" s="325"/>
      <c r="J336" s="325"/>
      <c r="K336" s="325"/>
      <c r="L336" s="325"/>
      <c r="M336" s="325"/>
      <c r="N336" s="407"/>
      <c r="O336" s="300"/>
      <c r="P336" s="300"/>
      <c r="Q336" s="300"/>
      <c r="R336" s="300"/>
      <c r="S336" s="300"/>
      <c r="T336" s="300"/>
      <c r="U336" s="300"/>
      <c r="V336" s="300"/>
      <c r="W336" s="300"/>
      <c r="X336" s="300"/>
      <c r="Y336" s="300"/>
      <c r="Z336" s="300"/>
      <c r="AA336" s="300"/>
      <c r="AB336" s="300"/>
      <c r="AC336" s="300"/>
      <c r="AD336" s="300"/>
      <c r="AE336" s="300"/>
    </row>
    <row r="337" spans="2:31" ht="15">
      <c r="B337" s="405">
        <f t="shared" si="8"/>
        <v>292</v>
      </c>
      <c r="C337" s="413" t="str" cm="1">
        <f t="array" aca="1" ref="C337" ca="1">IF(B337&lt;=$C$9,GetGetCDSName(B337),"")</f>
        <v/>
      </c>
      <c r="D337" s="373"/>
      <c r="E337" s="406"/>
      <c r="F337" s="325"/>
      <c r="G337" s="325"/>
      <c r="H337" s="325"/>
      <c r="I337" s="325"/>
      <c r="J337" s="325"/>
      <c r="K337" s="325"/>
      <c r="L337" s="325"/>
      <c r="M337" s="325"/>
      <c r="N337" s="407"/>
      <c r="O337" s="300"/>
      <c r="P337" s="300"/>
      <c r="Q337" s="300"/>
      <c r="R337" s="300"/>
      <c r="S337" s="300"/>
      <c r="T337" s="300"/>
      <c r="U337" s="300"/>
      <c r="V337" s="300"/>
      <c r="W337" s="300"/>
      <c r="X337" s="300"/>
      <c r="Y337" s="300"/>
      <c r="Z337" s="300"/>
      <c r="AA337" s="300"/>
      <c r="AB337" s="300"/>
      <c r="AC337" s="300"/>
      <c r="AD337" s="300"/>
      <c r="AE337" s="300"/>
    </row>
    <row r="338" spans="2:31" ht="15">
      <c r="B338" s="405">
        <f t="shared" si="8"/>
        <v>293</v>
      </c>
      <c r="C338" s="413" t="str" cm="1">
        <f t="array" aca="1" ref="C338" ca="1">IF(B338&lt;=$C$9,GetGetCDSName(B338),"")</f>
        <v/>
      </c>
      <c r="D338" s="373"/>
      <c r="E338" s="406"/>
      <c r="F338" s="325"/>
      <c r="G338" s="325"/>
      <c r="H338" s="325"/>
      <c r="I338" s="325"/>
      <c r="J338" s="325"/>
      <c r="K338" s="325"/>
      <c r="L338" s="325"/>
      <c r="M338" s="325"/>
      <c r="N338" s="407"/>
      <c r="O338" s="300"/>
      <c r="P338" s="300"/>
      <c r="Q338" s="300"/>
      <c r="R338" s="300"/>
      <c r="S338" s="300"/>
      <c r="T338" s="300"/>
      <c r="U338" s="300"/>
      <c r="V338" s="300"/>
      <c r="W338" s="300"/>
      <c r="X338" s="300"/>
      <c r="Y338" s="300"/>
      <c r="Z338" s="300"/>
      <c r="AA338" s="300"/>
      <c r="AB338" s="300"/>
      <c r="AC338" s="300"/>
      <c r="AD338" s="300"/>
      <c r="AE338" s="300"/>
    </row>
    <row r="339" spans="2:31" ht="15">
      <c r="B339" s="405">
        <f t="shared" si="8"/>
        <v>294</v>
      </c>
      <c r="C339" s="413" t="str" cm="1">
        <f t="array" aca="1" ref="C339" ca="1">IF(B339&lt;=$C$9,GetGetCDSName(B339),"")</f>
        <v/>
      </c>
      <c r="D339" s="373"/>
      <c r="E339" s="406"/>
      <c r="F339" s="325"/>
      <c r="G339" s="325"/>
      <c r="H339" s="325"/>
      <c r="I339" s="325"/>
      <c r="J339" s="325"/>
      <c r="K339" s="325"/>
      <c r="L339" s="325"/>
      <c r="M339" s="325"/>
      <c r="N339" s="407"/>
      <c r="O339" s="300"/>
      <c r="P339" s="300"/>
      <c r="Q339" s="300"/>
      <c r="R339" s="300"/>
      <c r="S339" s="300"/>
      <c r="T339" s="300"/>
      <c r="U339" s="300"/>
      <c r="V339" s="300"/>
      <c r="W339" s="300"/>
      <c r="X339" s="300"/>
      <c r="Y339" s="300"/>
      <c r="Z339" s="300"/>
      <c r="AA339" s="300"/>
      <c r="AB339" s="300"/>
      <c r="AC339" s="300"/>
      <c r="AD339" s="300"/>
      <c r="AE339" s="300"/>
    </row>
    <row r="340" spans="2:31" ht="15">
      <c r="B340" s="405">
        <f t="shared" si="8"/>
        <v>295</v>
      </c>
      <c r="C340" s="413" t="str" cm="1">
        <f t="array" aca="1" ref="C340" ca="1">IF(B340&lt;=$C$9,GetGetCDSName(B340),"")</f>
        <v/>
      </c>
      <c r="D340" s="373"/>
      <c r="E340" s="406"/>
      <c r="F340" s="325"/>
      <c r="G340" s="325"/>
      <c r="H340" s="325"/>
      <c r="I340" s="325"/>
      <c r="J340" s="325"/>
      <c r="K340" s="325"/>
      <c r="L340" s="325"/>
      <c r="M340" s="325"/>
      <c r="N340" s="407"/>
      <c r="O340" s="300"/>
      <c r="P340" s="300"/>
      <c r="Q340" s="300"/>
      <c r="R340" s="300"/>
      <c r="S340" s="300"/>
      <c r="T340" s="300"/>
      <c r="U340" s="300"/>
      <c r="V340" s="300"/>
      <c r="W340" s="300"/>
      <c r="X340" s="300"/>
      <c r="Y340" s="300"/>
      <c r="Z340" s="300"/>
      <c r="AA340" s="300"/>
      <c r="AB340" s="300"/>
      <c r="AC340" s="300"/>
      <c r="AD340" s="300"/>
      <c r="AE340" s="300"/>
    </row>
    <row r="341" spans="2:31" ht="15">
      <c r="B341" s="405">
        <f t="shared" si="8"/>
        <v>296</v>
      </c>
      <c r="C341" s="413" t="str" cm="1">
        <f t="array" aca="1" ref="C341" ca="1">IF(B341&lt;=$C$9,GetGetCDSName(B341),"")</f>
        <v/>
      </c>
      <c r="D341" s="373"/>
      <c r="E341" s="406"/>
      <c r="F341" s="325"/>
      <c r="G341" s="325"/>
      <c r="H341" s="325"/>
      <c r="I341" s="325"/>
      <c r="J341" s="325"/>
      <c r="K341" s="325"/>
      <c r="L341" s="325"/>
      <c r="M341" s="325"/>
      <c r="N341" s="407"/>
      <c r="O341" s="300"/>
      <c r="P341" s="300"/>
      <c r="Q341" s="300"/>
      <c r="R341" s="300"/>
      <c r="S341" s="300"/>
      <c r="T341" s="300"/>
      <c r="U341" s="300"/>
      <c r="V341" s="300"/>
      <c r="W341" s="300"/>
      <c r="X341" s="300"/>
      <c r="Y341" s="300"/>
      <c r="Z341" s="300"/>
      <c r="AA341" s="300"/>
      <c r="AB341" s="300"/>
      <c r="AC341" s="300"/>
      <c r="AD341" s="300"/>
      <c r="AE341" s="300"/>
    </row>
    <row r="342" spans="2:31" ht="15">
      <c r="B342" s="405">
        <f t="shared" si="8"/>
        <v>297</v>
      </c>
      <c r="C342" s="413" t="str" cm="1">
        <f t="array" aca="1" ref="C342" ca="1">IF(B342&lt;=$C$9,GetGetCDSName(B342),"")</f>
        <v/>
      </c>
      <c r="D342" s="373"/>
      <c r="E342" s="406"/>
      <c r="F342" s="325"/>
      <c r="G342" s="325"/>
      <c r="H342" s="325"/>
      <c r="I342" s="325"/>
      <c r="J342" s="325"/>
      <c r="K342" s="325"/>
      <c r="L342" s="325"/>
      <c r="M342" s="325"/>
      <c r="N342" s="407"/>
      <c r="O342" s="300"/>
      <c r="P342" s="300"/>
      <c r="Q342" s="300"/>
      <c r="R342" s="300"/>
      <c r="S342" s="300"/>
      <c r="T342" s="300"/>
      <c r="U342" s="300"/>
      <c r="V342" s="300"/>
      <c r="W342" s="300"/>
      <c r="X342" s="300"/>
      <c r="Y342" s="300"/>
      <c r="Z342" s="300"/>
      <c r="AA342" s="300"/>
      <c r="AB342" s="300"/>
      <c r="AC342" s="300"/>
      <c r="AD342" s="300"/>
      <c r="AE342" s="300"/>
    </row>
    <row r="343" spans="2:31" ht="15">
      <c r="B343" s="405">
        <f t="shared" si="8"/>
        <v>298</v>
      </c>
      <c r="C343" s="413" t="str" cm="1">
        <f t="array" aca="1" ref="C343" ca="1">IF(B343&lt;=$C$9,GetGetCDSName(B343),"")</f>
        <v/>
      </c>
      <c r="D343" s="373"/>
      <c r="E343" s="406"/>
      <c r="F343" s="325"/>
      <c r="G343" s="325"/>
      <c r="H343" s="325"/>
      <c r="I343" s="325"/>
      <c r="J343" s="325"/>
      <c r="K343" s="325"/>
      <c r="L343" s="325"/>
      <c r="M343" s="325"/>
      <c r="N343" s="407"/>
      <c r="O343" s="300"/>
      <c r="P343" s="300"/>
      <c r="Q343" s="300"/>
      <c r="R343" s="300"/>
      <c r="S343" s="300"/>
      <c r="T343" s="300"/>
      <c r="U343" s="300"/>
      <c r="V343" s="300"/>
      <c r="W343" s="300"/>
      <c r="X343" s="300"/>
      <c r="Y343" s="300"/>
      <c r="Z343" s="300"/>
      <c r="AA343" s="300"/>
      <c r="AB343" s="300"/>
      <c r="AC343" s="300"/>
      <c r="AD343" s="300"/>
      <c r="AE343" s="300"/>
    </row>
    <row r="344" spans="2:31" ht="15">
      <c r="B344" s="405">
        <f t="shared" si="8"/>
        <v>299</v>
      </c>
      <c r="C344" s="413" t="str" cm="1">
        <f t="array" aca="1" ref="C344" ca="1">IF(B344&lt;=$C$9,GetGetCDSName(B344),"")</f>
        <v/>
      </c>
      <c r="D344" s="373"/>
      <c r="E344" s="406"/>
      <c r="F344" s="325"/>
      <c r="G344" s="325"/>
      <c r="H344" s="325"/>
      <c r="I344" s="325"/>
      <c r="J344" s="325"/>
      <c r="K344" s="325"/>
      <c r="L344" s="325"/>
      <c r="M344" s="325"/>
      <c r="N344" s="407"/>
      <c r="O344" s="300"/>
      <c r="P344" s="300"/>
      <c r="Q344" s="300"/>
      <c r="R344" s="300"/>
      <c r="S344" s="300"/>
      <c r="T344" s="300"/>
      <c r="U344" s="300"/>
      <c r="V344" s="300"/>
      <c r="W344" s="300"/>
      <c r="X344" s="300"/>
      <c r="Y344" s="300"/>
      <c r="Z344" s="300"/>
      <c r="AA344" s="300"/>
      <c r="AB344" s="300"/>
      <c r="AC344" s="300"/>
      <c r="AD344" s="300"/>
      <c r="AE344" s="300"/>
    </row>
    <row r="345" spans="2:31" ht="15.75" thickBot="1">
      <c r="B345" s="408">
        <f t="shared" si="8"/>
        <v>300</v>
      </c>
      <c r="C345" s="413" t="str" cm="1">
        <f t="array" aca="1" ref="C345" ca="1">IF(B345&lt;=$C$9,GetGetCDSName(B345),"")</f>
        <v/>
      </c>
      <c r="D345" s="409"/>
      <c r="E345" s="410"/>
      <c r="F345" s="411"/>
      <c r="G345" s="411"/>
      <c r="H345" s="411"/>
      <c r="I345" s="411"/>
      <c r="J345" s="411"/>
      <c r="K345" s="411"/>
      <c r="L345" s="411"/>
      <c r="M345" s="411"/>
      <c r="N345" s="412"/>
      <c r="O345" s="300"/>
      <c r="P345" s="300"/>
      <c r="Q345" s="300"/>
      <c r="R345" s="300"/>
      <c r="S345" s="300"/>
      <c r="T345" s="300"/>
      <c r="U345" s="300"/>
      <c r="V345" s="300"/>
      <c r="W345" s="300"/>
      <c r="X345" s="300"/>
      <c r="Y345" s="300"/>
      <c r="Z345" s="300"/>
      <c r="AA345" s="300"/>
      <c r="AB345" s="300"/>
      <c r="AC345" s="300"/>
      <c r="AD345" s="300"/>
      <c r="AE345" s="300"/>
    </row>
    <row r="346" spans="2:31">
      <c r="O346" s="300"/>
      <c r="P346" s="300"/>
      <c r="Q346" s="300"/>
      <c r="R346" s="300"/>
      <c r="S346" s="300"/>
      <c r="T346" s="300"/>
      <c r="U346" s="300"/>
      <c r="V346" s="300"/>
      <c r="W346" s="300"/>
      <c r="X346" s="300"/>
      <c r="Y346" s="300"/>
      <c r="Z346" s="300"/>
      <c r="AA346" s="300"/>
      <c r="AB346" s="300"/>
      <c r="AC346" s="300"/>
      <c r="AD346" s="300"/>
      <c r="AE346" s="300"/>
    </row>
    <row r="347" spans="2:31">
      <c r="O347" s="300"/>
      <c r="P347" s="300"/>
      <c r="Q347" s="300"/>
      <c r="R347" s="300"/>
      <c r="S347" s="300"/>
      <c r="T347" s="300"/>
      <c r="U347" s="300"/>
      <c r="V347" s="300"/>
      <c r="W347" s="300"/>
      <c r="X347" s="300"/>
      <c r="Y347" s="300"/>
      <c r="Z347" s="300"/>
      <c r="AA347" s="300"/>
      <c r="AB347" s="300"/>
      <c r="AC347" s="300"/>
      <c r="AD347" s="300"/>
      <c r="AE347" s="300"/>
    </row>
    <row r="348" spans="2:31">
      <c r="O348" s="300"/>
      <c r="P348" s="300"/>
      <c r="Q348" s="300"/>
      <c r="R348" s="300"/>
      <c r="S348" s="300"/>
      <c r="T348" s="300"/>
      <c r="U348" s="300"/>
      <c r="V348" s="300"/>
      <c r="W348" s="300"/>
      <c r="X348" s="300"/>
      <c r="Y348" s="300"/>
      <c r="Z348" s="300"/>
      <c r="AA348" s="300"/>
      <c r="AB348" s="300"/>
      <c r="AC348" s="300"/>
      <c r="AD348" s="300"/>
      <c r="AE348" s="300"/>
    </row>
    <row r="349" spans="2:31">
      <c r="O349" s="300"/>
      <c r="P349" s="300"/>
      <c r="Q349" s="300"/>
      <c r="R349" s="300"/>
      <c r="S349" s="300"/>
      <c r="T349" s="300"/>
      <c r="U349" s="300"/>
      <c r="V349" s="300"/>
      <c r="W349" s="300"/>
      <c r="X349" s="300"/>
      <c r="Y349" s="300"/>
      <c r="Z349" s="300"/>
      <c r="AA349" s="300"/>
      <c r="AB349" s="300"/>
      <c r="AC349" s="300"/>
      <c r="AD349" s="300"/>
      <c r="AE349" s="300"/>
    </row>
    <row r="350" spans="2:31">
      <c r="O350" s="300"/>
      <c r="P350" s="300"/>
      <c r="Q350" s="300"/>
      <c r="R350" s="300"/>
      <c r="S350" s="300"/>
      <c r="T350" s="300"/>
      <c r="U350" s="300"/>
      <c r="V350" s="300"/>
      <c r="W350" s="300"/>
      <c r="X350" s="300"/>
      <c r="Y350" s="300"/>
      <c r="Z350" s="300"/>
      <c r="AA350" s="300"/>
      <c r="AB350" s="300"/>
      <c r="AC350" s="300"/>
      <c r="AD350" s="300"/>
      <c r="AE350" s="300"/>
    </row>
    <row r="351" spans="2:31">
      <c r="O351" s="300"/>
      <c r="P351" s="300"/>
      <c r="Q351" s="300"/>
      <c r="R351" s="300"/>
      <c r="S351" s="300"/>
      <c r="T351" s="300"/>
      <c r="U351" s="300"/>
      <c r="V351" s="300"/>
      <c r="W351" s="300"/>
      <c r="X351" s="300"/>
      <c r="Y351" s="300"/>
      <c r="Z351" s="300"/>
      <c r="AA351" s="300"/>
      <c r="AB351" s="300"/>
      <c r="AC351" s="300"/>
      <c r="AD351" s="300"/>
      <c r="AE351" s="300"/>
    </row>
    <row r="352" spans="2:31">
      <c r="O352" s="300"/>
      <c r="P352" s="300"/>
      <c r="Q352" s="300"/>
      <c r="R352" s="300"/>
      <c r="S352" s="300"/>
      <c r="T352" s="300"/>
      <c r="U352" s="300"/>
      <c r="V352" s="300"/>
      <c r="W352" s="300"/>
      <c r="X352" s="300"/>
      <c r="Y352" s="300"/>
      <c r="Z352" s="300"/>
      <c r="AA352" s="300"/>
      <c r="AB352" s="300"/>
      <c r="AC352" s="300"/>
      <c r="AD352" s="300"/>
      <c r="AE352" s="300"/>
    </row>
    <row r="353" spans="15:31">
      <c r="O353" s="300"/>
      <c r="P353" s="300"/>
      <c r="Q353" s="300"/>
      <c r="R353" s="300"/>
      <c r="S353" s="300"/>
      <c r="T353" s="300"/>
      <c r="U353" s="300"/>
      <c r="V353" s="300"/>
      <c r="W353" s="300"/>
      <c r="X353" s="300"/>
      <c r="Y353" s="300"/>
      <c r="Z353" s="300"/>
      <c r="AA353" s="300"/>
      <c r="AB353" s="300"/>
      <c r="AC353" s="300"/>
      <c r="AD353" s="300"/>
      <c r="AE353" s="300"/>
    </row>
    <row r="354" spans="15:31">
      <c r="O354" s="300"/>
      <c r="P354" s="300"/>
      <c r="Q354" s="300"/>
      <c r="R354" s="300"/>
      <c r="S354" s="300"/>
      <c r="T354" s="300"/>
      <c r="U354" s="300"/>
      <c r="V354" s="300"/>
      <c r="W354" s="300"/>
      <c r="X354" s="300"/>
      <c r="Y354" s="300"/>
      <c r="Z354" s="300"/>
      <c r="AA354" s="300"/>
      <c r="AB354" s="300"/>
      <c r="AC354" s="300"/>
      <c r="AD354" s="300"/>
      <c r="AE354" s="300"/>
    </row>
    <row r="355" spans="15:31">
      <c r="O355" s="300"/>
      <c r="P355" s="300"/>
      <c r="Q355" s="300"/>
      <c r="R355" s="300"/>
      <c r="S355" s="300"/>
      <c r="T355" s="300"/>
      <c r="U355" s="300"/>
      <c r="V355" s="300"/>
      <c r="W355" s="300"/>
      <c r="X355" s="300"/>
      <c r="Y355" s="300"/>
      <c r="Z355" s="300"/>
      <c r="AA355" s="300"/>
      <c r="AB355" s="300"/>
      <c r="AC355" s="300"/>
      <c r="AD355" s="300"/>
      <c r="AE355" s="300"/>
    </row>
    <row r="356" spans="15:31">
      <c r="O356" s="300"/>
      <c r="P356" s="300"/>
      <c r="Q356" s="300"/>
      <c r="R356" s="300"/>
      <c r="S356" s="300"/>
      <c r="T356" s="300"/>
      <c r="U356" s="300"/>
      <c r="V356" s="300"/>
      <c r="W356" s="300"/>
      <c r="X356" s="300"/>
      <c r="Y356" s="300"/>
      <c r="Z356" s="300"/>
      <c r="AA356" s="300"/>
      <c r="AB356" s="300"/>
      <c r="AC356" s="300"/>
      <c r="AD356" s="300"/>
      <c r="AE356" s="300"/>
    </row>
    <row r="357" spans="15:31">
      <c r="O357" s="300"/>
      <c r="P357" s="300"/>
      <c r="Q357" s="300"/>
      <c r="R357" s="300"/>
      <c r="S357" s="300"/>
      <c r="T357" s="300"/>
      <c r="U357" s="300"/>
      <c r="V357" s="300"/>
      <c r="W357" s="300"/>
      <c r="X357" s="300"/>
      <c r="Y357" s="300"/>
      <c r="Z357" s="300"/>
      <c r="AA357" s="300"/>
      <c r="AB357" s="300"/>
      <c r="AC357" s="300"/>
      <c r="AD357" s="300"/>
      <c r="AE357" s="300"/>
    </row>
    <row r="358" spans="15:31">
      <c r="O358" s="300"/>
      <c r="P358" s="300"/>
      <c r="Q358" s="300"/>
      <c r="R358" s="300"/>
      <c r="S358" s="300"/>
      <c r="T358" s="300"/>
      <c r="U358" s="300"/>
      <c r="V358" s="300"/>
      <c r="W358" s="300"/>
      <c r="X358" s="300"/>
      <c r="Y358" s="300"/>
      <c r="Z358" s="300"/>
      <c r="AA358" s="300"/>
      <c r="AB358" s="300"/>
      <c r="AC358" s="300"/>
      <c r="AD358" s="300"/>
      <c r="AE358" s="300"/>
    </row>
    <row r="359" spans="15:31">
      <c r="O359" s="300"/>
      <c r="P359" s="300"/>
      <c r="Q359" s="300"/>
      <c r="R359" s="300"/>
      <c r="S359" s="300"/>
      <c r="T359" s="300"/>
      <c r="U359" s="300"/>
      <c r="V359" s="300"/>
      <c r="W359" s="300"/>
      <c r="X359" s="300"/>
      <c r="Y359" s="300"/>
      <c r="Z359" s="300"/>
      <c r="AA359" s="300"/>
      <c r="AB359" s="300"/>
      <c r="AC359" s="300"/>
      <c r="AD359" s="300"/>
      <c r="AE359" s="300"/>
    </row>
    <row r="360" spans="15:31">
      <c r="O360" s="300"/>
      <c r="P360" s="300"/>
      <c r="Q360" s="300"/>
      <c r="R360" s="300"/>
      <c r="S360" s="300"/>
      <c r="T360" s="300"/>
      <c r="U360" s="300"/>
      <c r="V360" s="300"/>
      <c r="W360" s="300"/>
      <c r="X360" s="300"/>
      <c r="Y360" s="300"/>
      <c r="Z360" s="300"/>
      <c r="AA360" s="300"/>
      <c r="AB360" s="300"/>
      <c r="AC360" s="300"/>
      <c r="AD360" s="300"/>
      <c r="AE360" s="300"/>
    </row>
    <row r="361" spans="15:31">
      <c r="O361" s="300"/>
      <c r="P361" s="300"/>
      <c r="Q361" s="300"/>
      <c r="R361" s="300"/>
      <c r="S361" s="300"/>
      <c r="T361" s="300"/>
      <c r="U361" s="300"/>
      <c r="V361" s="300"/>
      <c r="W361" s="300"/>
      <c r="X361" s="300"/>
      <c r="Y361" s="300"/>
      <c r="Z361" s="300"/>
      <c r="AA361" s="300"/>
      <c r="AB361" s="300"/>
      <c r="AC361" s="300"/>
      <c r="AD361" s="300"/>
      <c r="AE361" s="300"/>
    </row>
    <row r="362" spans="15:31">
      <c r="O362" s="300"/>
      <c r="P362" s="300"/>
      <c r="Q362" s="300"/>
      <c r="R362" s="300"/>
      <c r="S362" s="300"/>
      <c r="T362" s="300"/>
      <c r="U362" s="300"/>
      <c r="V362" s="300"/>
      <c r="W362" s="300"/>
      <c r="X362" s="300"/>
      <c r="Y362" s="300"/>
      <c r="Z362" s="300"/>
      <c r="AA362" s="300"/>
      <c r="AB362" s="300"/>
      <c r="AC362" s="300"/>
      <c r="AD362" s="300"/>
      <c r="AE362" s="300"/>
    </row>
    <row r="363" spans="15:31">
      <c r="O363" s="300"/>
      <c r="P363" s="300"/>
      <c r="Q363" s="300"/>
      <c r="R363" s="300"/>
      <c r="S363" s="300"/>
      <c r="T363" s="300"/>
      <c r="U363" s="300"/>
      <c r="V363" s="300"/>
      <c r="W363" s="300"/>
      <c r="X363" s="300"/>
      <c r="Y363" s="300"/>
      <c r="Z363" s="300"/>
      <c r="AA363" s="300"/>
      <c r="AB363" s="300"/>
      <c r="AC363" s="300"/>
      <c r="AD363" s="300"/>
      <c r="AE363" s="300"/>
    </row>
    <row r="364" spans="15:31">
      <c r="O364" s="300"/>
      <c r="P364" s="300"/>
      <c r="Q364" s="300"/>
      <c r="R364" s="300"/>
      <c r="S364" s="300"/>
      <c r="T364" s="300"/>
      <c r="U364" s="300"/>
      <c r="V364" s="300"/>
      <c r="W364" s="300"/>
      <c r="X364" s="300"/>
      <c r="Y364" s="300"/>
      <c r="Z364" s="300"/>
      <c r="AA364" s="300"/>
      <c r="AB364" s="300"/>
      <c r="AC364" s="300"/>
      <c r="AD364" s="300"/>
      <c r="AE364" s="300"/>
    </row>
    <row r="365" spans="15:31">
      <c r="O365" s="300"/>
      <c r="P365" s="300"/>
      <c r="Q365" s="300"/>
      <c r="R365" s="300"/>
      <c r="S365" s="300"/>
      <c r="T365" s="300"/>
      <c r="U365" s="300"/>
      <c r="V365" s="300"/>
      <c r="W365" s="300"/>
      <c r="X365" s="300"/>
      <c r="Y365" s="300"/>
      <c r="Z365" s="300"/>
      <c r="AA365" s="300"/>
      <c r="AB365" s="300"/>
      <c r="AC365" s="300"/>
      <c r="AD365" s="300"/>
      <c r="AE365" s="300"/>
    </row>
    <row r="366" spans="15:31">
      <c r="O366" s="300"/>
      <c r="P366" s="300"/>
      <c r="Q366" s="300"/>
      <c r="R366" s="300"/>
      <c r="S366" s="300"/>
      <c r="T366" s="300"/>
      <c r="U366" s="300"/>
      <c r="V366" s="300"/>
      <c r="W366" s="300"/>
      <c r="X366" s="300"/>
      <c r="Y366" s="300"/>
      <c r="Z366" s="300"/>
      <c r="AA366" s="300"/>
      <c r="AB366" s="300"/>
      <c r="AC366" s="300"/>
      <c r="AD366" s="300"/>
      <c r="AE366" s="300"/>
    </row>
    <row r="367" spans="15:31">
      <c r="O367" s="300"/>
      <c r="P367" s="300"/>
      <c r="Q367" s="300"/>
      <c r="R367" s="300"/>
      <c r="S367" s="300"/>
      <c r="T367" s="300"/>
      <c r="U367" s="300"/>
      <c r="V367" s="300"/>
      <c r="W367" s="300"/>
      <c r="X367" s="300"/>
      <c r="Y367" s="300"/>
      <c r="Z367" s="300"/>
      <c r="AA367" s="300"/>
      <c r="AB367" s="300"/>
      <c r="AC367" s="300"/>
      <c r="AD367" s="300"/>
      <c r="AE367" s="300"/>
    </row>
    <row r="368" spans="15:31">
      <c r="O368" s="300"/>
      <c r="P368" s="300"/>
      <c r="Q368" s="300"/>
      <c r="R368" s="300"/>
      <c r="S368" s="300"/>
      <c r="T368" s="300"/>
      <c r="U368" s="300"/>
      <c r="V368" s="300"/>
      <c r="W368" s="300"/>
      <c r="X368" s="300"/>
      <c r="Y368" s="300"/>
      <c r="Z368" s="300"/>
      <c r="AA368" s="300"/>
      <c r="AB368" s="300"/>
      <c r="AC368" s="300"/>
      <c r="AD368" s="300"/>
      <c r="AE368" s="300"/>
    </row>
    <row r="369" spans="15:31">
      <c r="O369" s="300"/>
      <c r="P369" s="300"/>
      <c r="Q369" s="300"/>
      <c r="R369" s="300"/>
      <c r="S369" s="300"/>
      <c r="T369" s="300"/>
      <c r="U369" s="300"/>
      <c r="V369" s="300"/>
      <c r="W369" s="300"/>
      <c r="X369" s="300"/>
      <c r="Y369" s="300"/>
      <c r="Z369" s="300"/>
      <c r="AA369" s="300"/>
      <c r="AB369" s="300"/>
      <c r="AC369" s="300"/>
      <c r="AD369" s="300"/>
      <c r="AE369" s="300"/>
    </row>
    <row r="370" spans="15:31">
      <c r="O370" s="300"/>
      <c r="P370" s="300"/>
      <c r="Q370" s="300"/>
      <c r="R370" s="300"/>
      <c r="S370" s="300"/>
      <c r="T370" s="300"/>
      <c r="U370" s="300"/>
      <c r="V370" s="300"/>
      <c r="W370" s="300"/>
      <c r="X370" s="300"/>
      <c r="Y370" s="300"/>
      <c r="Z370" s="300"/>
      <c r="AA370" s="300"/>
      <c r="AB370" s="300"/>
      <c r="AC370" s="300"/>
      <c r="AD370" s="300"/>
      <c r="AE370" s="300"/>
    </row>
    <row r="371" spans="15:31">
      <c r="O371" s="300"/>
      <c r="P371" s="300"/>
      <c r="Q371" s="300"/>
      <c r="R371" s="300"/>
      <c r="S371" s="300"/>
      <c r="T371" s="300"/>
      <c r="U371" s="300"/>
      <c r="V371" s="300"/>
      <c r="W371" s="300"/>
      <c r="X371" s="300"/>
      <c r="Y371" s="300"/>
      <c r="Z371" s="300"/>
      <c r="AA371" s="300"/>
      <c r="AB371" s="300"/>
      <c r="AC371" s="300"/>
      <c r="AD371" s="300"/>
      <c r="AE371" s="300"/>
    </row>
    <row r="372" spans="15:31">
      <c r="O372" s="300"/>
      <c r="P372" s="300"/>
      <c r="Q372" s="300"/>
      <c r="R372" s="300"/>
      <c r="S372" s="300"/>
      <c r="T372" s="300"/>
      <c r="U372" s="300"/>
      <c r="V372" s="300"/>
      <c r="W372" s="300"/>
      <c r="X372" s="300"/>
      <c r="Y372" s="300"/>
      <c r="Z372" s="300"/>
      <c r="AA372" s="300"/>
      <c r="AB372" s="300"/>
      <c r="AC372" s="300"/>
      <c r="AD372" s="300"/>
      <c r="AE372" s="300"/>
    </row>
    <row r="373" spans="15:31">
      <c r="O373" s="300"/>
      <c r="P373" s="300"/>
      <c r="Q373" s="300"/>
      <c r="R373" s="300"/>
      <c r="S373" s="300"/>
      <c r="T373" s="300"/>
      <c r="U373" s="300"/>
      <c r="V373" s="300"/>
      <c r="W373" s="300"/>
      <c r="X373" s="300"/>
      <c r="Y373" s="300"/>
      <c r="Z373" s="300"/>
      <c r="AA373" s="300"/>
      <c r="AB373" s="300"/>
      <c r="AC373" s="300"/>
      <c r="AD373" s="300"/>
      <c r="AE373" s="300"/>
    </row>
    <row r="374" spans="15:31">
      <c r="O374" s="300"/>
      <c r="P374" s="300"/>
      <c r="Q374" s="300"/>
      <c r="R374" s="300"/>
      <c r="S374" s="300"/>
      <c r="T374" s="300"/>
      <c r="U374" s="300"/>
      <c r="V374" s="300"/>
      <c r="W374" s="300"/>
      <c r="X374" s="300"/>
      <c r="Y374" s="300"/>
      <c r="Z374" s="300"/>
      <c r="AA374" s="300"/>
      <c r="AB374" s="300"/>
      <c r="AC374" s="300"/>
      <c r="AD374" s="300"/>
      <c r="AE374" s="300"/>
    </row>
    <row r="375" spans="15:31">
      <c r="O375" s="300"/>
      <c r="P375" s="300"/>
      <c r="Q375" s="300"/>
      <c r="R375" s="300"/>
      <c r="S375" s="300"/>
      <c r="T375" s="300"/>
      <c r="U375" s="300"/>
      <c r="V375" s="300"/>
      <c r="W375" s="300"/>
      <c r="X375" s="300"/>
      <c r="Y375" s="300"/>
      <c r="Z375" s="300"/>
      <c r="AA375" s="300"/>
      <c r="AB375" s="300"/>
      <c r="AC375" s="300"/>
      <c r="AD375" s="300"/>
      <c r="AE375" s="300"/>
    </row>
    <row r="376" spans="15:31">
      <c r="O376" s="300"/>
      <c r="P376" s="300"/>
      <c r="Q376" s="300"/>
      <c r="R376" s="300"/>
      <c r="S376" s="300"/>
      <c r="T376" s="300"/>
      <c r="U376" s="300"/>
      <c r="V376" s="300"/>
      <c r="W376" s="300"/>
      <c r="X376" s="300"/>
      <c r="Y376" s="300"/>
      <c r="Z376" s="300"/>
      <c r="AA376" s="300"/>
      <c r="AB376" s="300"/>
      <c r="AC376" s="300"/>
      <c r="AD376" s="300"/>
      <c r="AE376" s="300"/>
    </row>
    <row r="377" spans="15:31">
      <c r="O377" s="300"/>
      <c r="P377" s="300"/>
      <c r="Q377" s="300"/>
      <c r="R377" s="300"/>
      <c r="S377" s="300"/>
      <c r="T377" s="300"/>
      <c r="U377" s="300"/>
      <c r="V377" s="300"/>
      <c r="W377" s="300"/>
      <c r="X377" s="300"/>
      <c r="Y377" s="300"/>
      <c r="Z377" s="300"/>
      <c r="AA377" s="300"/>
      <c r="AB377" s="300"/>
      <c r="AC377" s="300"/>
      <c r="AD377" s="300"/>
      <c r="AE377" s="300"/>
    </row>
    <row r="378" spans="15:31">
      <c r="O378" s="300"/>
      <c r="P378" s="300"/>
      <c r="Q378" s="300"/>
      <c r="R378" s="300"/>
      <c r="S378" s="300"/>
      <c r="T378" s="300"/>
      <c r="U378" s="300"/>
      <c r="V378" s="300"/>
      <c r="W378" s="300"/>
      <c r="X378" s="300"/>
      <c r="Y378" s="300"/>
      <c r="Z378" s="300"/>
      <c r="AA378" s="300"/>
      <c r="AB378" s="300"/>
      <c r="AC378" s="300"/>
      <c r="AD378" s="300"/>
      <c r="AE378" s="300"/>
    </row>
    <row r="379" spans="15:31">
      <c r="O379" s="300"/>
      <c r="P379" s="300"/>
      <c r="Q379" s="300"/>
      <c r="R379" s="300"/>
      <c r="S379" s="300"/>
      <c r="T379" s="300"/>
      <c r="U379" s="300"/>
      <c r="V379" s="300"/>
      <c r="W379" s="300"/>
      <c r="X379" s="300"/>
      <c r="Y379" s="300"/>
      <c r="Z379" s="300"/>
      <c r="AA379" s="300"/>
      <c r="AB379" s="300"/>
      <c r="AC379" s="300"/>
      <c r="AD379" s="300"/>
      <c r="AE379" s="300"/>
    </row>
    <row r="380" spans="15:31">
      <c r="O380" s="300"/>
      <c r="P380" s="300"/>
      <c r="Q380" s="300"/>
      <c r="R380" s="300"/>
      <c r="S380" s="300"/>
      <c r="T380" s="300"/>
      <c r="U380" s="300"/>
      <c r="V380" s="300"/>
      <c r="W380" s="300"/>
      <c r="X380" s="300"/>
      <c r="Y380" s="300"/>
      <c r="Z380" s="300"/>
      <c r="AA380" s="300"/>
      <c r="AB380" s="300"/>
      <c r="AC380" s="300"/>
      <c r="AD380" s="300"/>
      <c r="AE380" s="300"/>
    </row>
    <row r="381" spans="15:31">
      <c r="O381" s="300"/>
      <c r="P381" s="300"/>
      <c r="Q381" s="300"/>
      <c r="R381" s="300"/>
      <c r="S381" s="300"/>
      <c r="T381" s="300"/>
      <c r="U381" s="300"/>
      <c r="V381" s="300"/>
      <c r="W381" s="300"/>
      <c r="X381" s="300"/>
      <c r="Y381" s="300"/>
      <c r="Z381" s="300"/>
      <c r="AA381" s="300"/>
      <c r="AB381" s="300"/>
      <c r="AC381" s="300"/>
      <c r="AD381" s="300"/>
      <c r="AE381" s="300"/>
    </row>
    <row r="382" spans="15:31">
      <c r="O382" s="300"/>
      <c r="P382" s="300"/>
      <c r="Q382" s="300"/>
      <c r="R382" s="300"/>
      <c r="S382" s="300"/>
      <c r="T382" s="300"/>
      <c r="U382" s="300"/>
      <c r="V382" s="300"/>
      <c r="W382" s="300"/>
      <c r="X382" s="300"/>
      <c r="Y382" s="300"/>
      <c r="Z382" s="300"/>
      <c r="AA382" s="300"/>
      <c r="AB382" s="300"/>
      <c r="AC382" s="300"/>
      <c r="AD382" s="300"/>
      <c r="AE382" s="300"/>
    </row>
    <row r="383" spans="15:31">
      <c r="O383" s="300"/>
      <c r="P383" s="300"/>
      <c r="Q383" s="300"/>
      <c r="R383" s="300"/>
      <c r="S383" s="300"/>
      <c r="T383" s="300"/>
      <c r="U383" s="300"/>
      <c r="V383" s="300"/>
      <c r="W383" s="300"/>
      <c r="X383" s="300"/>
      <c r="Y383" s="300"/>
      <c r="Z383" s="300"/>
      <c r="AA383" s="300"/>
      <c r="AB383" s="300"/>
      <c r="AC383" s="300"/>
      <c r="AD383" s="300"/>
      <c r="AE383" s="300"/>
    </row>
    <row r="384" spans="15:31">
      <c r="O384" s="300"/>
      <c r="P384" s="300"/>
      <c r="Q384" s="300"/>
      <c r="R384" s="300"/>
      <c r="S384" s="300"/>
      <c r="T384" s="300"/>
      <c r="U384" s="300"/>
      <c r="V384" s="300"/>
      <c r="W384" s="300"/>
      <c r="X384" s="300"/>
      <c r="Y384" s="300"/>
      <c r="Z384" s="300"/>
      <c r="AA384" s="300"/>
      <c r="AB384" s="300"/>
      <c r="AC384" s="300"/>
      <c r="AD384" s="300"/>
      <c r="AE384" s="300"/>
    </row>
    <row r="385" spans="15:31">
      <c r="O385" s="300"/>
      <c r="P385" s="300"/>
      <c r="Q385" s="300"/>
      <c r="R385" s="300"/>
      <c r="S385" s="300"/>
      <c r="T385" s="300"/>
      <c r="U385" s="300"/>
      <c r="V385" s="300"/>
      <c r="W385" s="300"/>
      <c r="X385" s="300"/>
      <c r="Y385" s="300"/>
      <c r="Z385" s="300"/>
      <c r="AA385" s="300"/>
      <c r="AB385" s="300"/>
      <c r="AC385" s="300"/>
      <c r="AD385" s="300"/>
      <c r="AE385" s="300"/>
    </row>
    <row r="386" spans="15:31">
      <c r="O386" s="300"/>
      <c r="P386" s="300"/>
      <c r="Q386" s="300"/>
      <c r="R386" s="300"/>
      <c r="S386" s="300"/>
      <c r="T386" s="300"/>
      <c r="U386" s="300"/>
      <c r="V386" s="300"/>
      <c r="W386" s="300"/>
      <c r="X386" s="300"/>
      <c r="Y386" s="300"/>
      <c r="Z386" s="300"/>
      <c r="AA386" s="300"/>
      <c r="AB386" s="300"/>
      <c r="AC386" s="300"/>
      <c r="AD386" s="300"/>
      <c r="AE386" s="300"/>
    </row>
    <row r="387" spans="15:31">
      <c r="O387" s="300"/>
      <c r="P387" s="300"/>
      <c r="Q387" s="300"/>
      <c r="R387" s="300"/>
      <c r="S387" s="300"/>
      <c r="T387" s="300"/>
      <c r="U387" s="300"/>
      <c r="V387" s="300"/>
      <c r="W387" s="300"/>
      <c r="X387" s="300"/>
      <c r="Y387" s="300"/>
      <c r="Z387" s="300"/>
      <c r="AA387" s="300"/>
      <c r="AB387" s="300"/>
      <c r="AC387" s="300"/>
      <c r="AD387" s="300"/>
      <c r="AE387" s="300"/>
    </row>
    <row r="388" spans="15:31">
      <c r="O388" s="300"/>
      <c r="P388" s="300"/>
      <c r="Q388" s="300"/>
      <c r="R388" s="300"/>
      <c r="S388" s="300"/>
      <c r="T388" s="300"/>
      <c r="U388" s="300"/>
      <c r="V388" s="300"/>
      <c r="W388" s="300"/>
      <c r="X388" s="300"/>
      <c r="Y388" s="300"/>
      <c r="Z388" s="300"/>
      <c r="AA388" s="300"/>
      <c r="AB388" s="300"/>
      <c r="AC388" s="300"/>
      <c r="AD388" s="300"/>
      <c r="AE388" s="300"/>
    </row>
    <row r="389" spans="15:31">
      <c r="O389" s="300"/>
      <c r="P389" s="300"/>
      <c r="Q389" s="300"/>
      <c r="R389" s="300"/>
      <c r="S389" s="300"/>
      <c r="T389" s="300"/>
      <c r="U389" s="300"/>
      <c r="V389" s="300"/>
      <c r="W389" s="300"/>
      <c r="X389" s="300"/>
      <c r="Y389" s="300"/>
      <c r="Z389" s="300"/>
      <c r="AA389" s="300"/>
      <c r="AB389" s="300"/>
      <c r="AC389" s="300"/>
      <c r="AD389" s="300"/>
      <c r="AE389" s="300"/>
    </row>
    <row r="390" spans="15:31">
      <c r="O390" s="300"/>
      <c r="P390" s="300"/>
      <c r="Q390" s="300"/>
      <c r="R390" s="300"/>
      <c r="S390" s="300"/>
      <c r="T390" s="300"/>
      <c r="U390" s="300"/>
      <c r="V390" s="300"/>
      <c r="W390" s="300"/>
      <c r="X390" s="300"/>
      <c r="Y390" s="300"/>
      <c r="Z390" s="300"/>
      <c r="AA390" s="300"/>
      <c r="AB390" s="300"/>
      <c r="AC390" s="300"/>
      <c r="AD390" s="300"/>
      <c r="AE390" s="300"/>
    </row>
    <row r="391" spans="15:31">
      <c r="O391" s="300"/>
      <c r="P391" s="300"/>
      <c r="Q391" s="300"/>
      <c r="R391" s="300"/>
      <c r="S391" s="300"/>
      <c r="T391" s="300"/>
      <c r="U391" s="300"/>
      <c r="V391" s="300"/>
      <c r="W391" s="300"/>
      <c r="X391" s="300"/>
      <c r="Y391" s="300"/>
      <c r="Z391" s="300"/>
      <c r="AA391" s="300"/>
      <c r="AB391" s="300"/>
      <c r="AC391" s="300"/>
      <c r="AD391" s="300"/>
      <c r="AE391" s="300"/>
    </row>
    <row r="392" spans="15:31">
      <c r="O392" s="300"/>
      <c r="P392" s="300"/>
      <c r="Q392" s="300"/>
      <c r="R392" s="300"/>
      <c r="S392" s="300"/>
      <c r="T392" s="300"/>
      <c r="U392" s="300"/>
      <c r="V392" s="300"/>
      <c r="W392" s="300"/>
      <c r="X392" s="300"/>
      <c r="Y392" s="300"/>
      <c r="Z392" s="300"/>
      <c r="AA392" s="300"/>
      <c r="AB392" s="300"/>
      <c r="AC392" s="300"/>
      <c r="AD392" s="300"/>
      <c r="AE392" s="300"/>
    </row>
    <row r="393" spans="15:31">
      <c r="O393" s="300"/>
      <c r="P393" s="300"/>
      <c r="Q393" s="300"/>
      <c r="R393" s="300"/>
      <c r="S393" s="300"/>
      <c r="T393" s="300"/>
      <c r="U393" s="300"/>
      <c r="V393" s="300"/>
      <c r="W393" s="300"/>
      <c r="X393" s="300"/>
      <c r="Y393" s="300"/>
      <c r="Z393" s="300"/>
      <c r="AA393" s="300"/>
      <c r="AB393" s="300"/>
      <c r="AC393" s="300"/>
      <c r="AD393" s="300"/>
      <c r="AE393" s="300"/>
    </row>
    <row r="394" spans="15:31">
      <c r="O394" s="300"/>
      <c r="P394" s="300"/>
      <c r="Q394" s="300"/>
      <c r="R394" s="300"/>
      <c r="S394" s="300"/>
      <c r="T394" s="300"/>
      <c r="U394" s="300"/>
      <c r="V394" s="300"/>
      <c r="W394" s="300"/>
      <c r="X394" s="300"/>
      <c r="Y394" s="300"/>
      <c r="Z394" s="300"/>
      <c r="AA394" s="300"/>
      <c r="AB394" s="300"/>
      <c r="AC394" s="300"/>
      <c r="AD394" s="300"/>
      <c r="AE394" s="300"/>
    </row>
    <row r="395" spans="15:31">
      <c r="O395" s="300"/>
      <c r="P395" s="300"/>
      <c r="Q395" s="300"/>
      <c r="R395" s="300"/>
      <c r="S395" s="300"/>
      <c r="T395" s="300"/>
      <c r="U395" s="300"/>
      <c r="V395" s="300"/>
      <c r="W395" s="300"/>
      <c r="X395" s="300"/>
      <c r="Y395" s="300"/>
      <c r="Z395" s="300"/>
      <c r="AA395" s="300"/>
      <c r="AB395" s="300"/>
      <c r="AC395" s="300"/>
      <c r="AD395" s="300"/>
      <c r="AE395" s="300"/>
    </row>
    <row r="396" spans="15:31">
      <c r="O396" s="300"/>
      <c r="P396" s="300"/>
      <c r="Q396" s="300"/>
      <c r="R396" s="300"/>
      <c r="S396" s="300"/>
      <c r="T396" s="300"/>
      <c r="U396" s="300"/>
      <c r="V396" s="300"/>
      <c r="W396" s="300"/>
      <c r="X396" s="300"/>
      <c r="Y396" s="300"/>
      <c r="Z396" s="300"/>
      <c r="AA396" s="300"/>
      <c r="AB396" s="300"/>
      <c r="AC396" s="300"/>
      <c r="AD396" s="300"/>
      <c r="AE396" s="300"/>
    </row>
    <row r="397" spans="15:31">
      <c r="O397" s="300"/>
      <c r="P397" s="300"/>
      <c r="Q397" s="300"/>
      <c r="R397" s="300"/>
      <c r="S397" s="300"/>
      <c r="T397" s="300"/>
      <c r="U397" s="300"/>
      <c r="V397" s="300"/>
      <c r="W397" s="300"/>
      <c r="X397" s="300"/>
      <c r="Y397" s="300"/>
      <c r="Z397" s="300"/>
      <c r="AA397" s="300"/>
      <c r="AB397" s="300"/>
      <c r="AC397" s="300"/>
      <c r="AD397" s="300"/>
      <c r="AE397" s="300"/>
    </row>
    <row r="398" spans="15:31">
      <c r="O398" s="300"/>
      <c r="P398" s="300"/>
      <c r="Q398" s="300"/>
      <c r="R398" s="300"/>
      <c r="S398" s="300"/>
      <c r="T398" s="300"/>
      <c r="U398" s="300"/>
      <c r="V398" s="300"/>
      <c r="W398" s="300"/>
      <c r="X398" s="300"/>
      <c r="Y398" s="300"/>
      <c r="Z398" s="300"/>
      <c r="AA398" s="300"/>
      <c r="AB398" s="300"/>
      <c r="AC398" s="300"/>
      <c r="AD398" s="300"/>
      <c r="AE398" s="300"/>
    </row>
    <row r="399" spans="15:31">
      <c r="O399" s="300"/>
      <c r="P399" s="300"/>
      <c r="Q399" s="300"/>
      <c r="R399" s="300"/>
      <c r="S399" s="300"/>
      <c r="T399" s="300"/>
      <c r="U399" s="300"/>
      <c r="V399" s="300"/>
      <c r="W399" s="300"/>
      <c r="X399" s="300"/>
      <c r="Y399" s="300"/>
      <c r="Z399" s="300"/>
      <c r="AA399" s="300"/>
      <c r="AB399" s="300"/>
      <c r="AC399" s="300"/>
      <c r="AD399" s="300"/>
      <c r="AE399" s="300"/>
    </row>
    <row r="400" spans="15:31">
      <c r="O400" s="300"/>
      <c r="P400" s="300"/>
      <c r="Q400" s="300"/>
      <c r="R400" s="300"/>
      <c r="S400" s="300"/>
      <c r="T400" s="300"/>
      <c r="U400" s="300"/>
      <c r="V400" s="300"/>
      <c r="W400" s="300"/>
      <c r="X400" s="300"/>
      <c r="Y400" s="300"/>
      <c r="Z400" s="300"/>
      <c r="AA400" s="300"/>
      <c r="AB400" s="300"/>
      <c r="AC400" s="300"/>
      <c r="AD400" s="300"/>
      <c r="AE400" s="300"/>
    </row>
    <row r="401" spans="15:31">
      <c r="O401" s="300"/>
      <c r="P401" s="300"/>
      <c r="Q401" s="300"/>
      <c r="R401" s="300"/>
      <c r="S401" s="300"/>
      <c r="T401" s="300"/>
      <c r="U401" s="300"/>
      <c r="V401" s="300"/>
      <c r="W401" s="300"/>
      <c r="X401" s="300"/>
      <c r="Y401" s="300"/>
      <c r="Z401" s="300"/>
      <c r="AA401" s="300"/>
      <c r="AB401" s="300"/>
      <c r="AC401" s="300"/>
      <c r="AD401" s="300"/>
      <c r="AE401" s="300"/>
    </row>
    <row r="402" spans="15:31">
      <c r="O402" s="300"/>
      <c r="P402" s="300"/>
      <c r="Q402" s="300"/>
      <c r="R402" s="300"/>
      <c r="S402" s="300"/>
      <c r="T402" s="300"/>
      <c r="U402" s="300"/>
      <c r="V402" s="300"/>
      <c r="W402" s="300"/>
      <c r="X402" s="300"/>
      <c r="Y402" s="300"/>
      <c r="Z402" s="300"/>
      <c r="AA402" s="300"/>
      <c r="AB402" s="300"/>
      <c r="AC402" s="300"/>
      <c r="AD402" s="300"/>
      <c r="AE402" s="300"/>
    </row>
    <row r="403" spans="15:31">
      <c r="O403" s="300"/>
      <c r="P403" s="300"/>
      <c r="Q403" s="300"/>
      <c r="R403" s="300"/>
      <c r="S403" s="300"/>
      <c r="T403" s="300"/>
      <c r="U403" s="300"/>
      <c r="V403" s="300"/>
      <c r="W403" s="300"/>
      <c r="X403" s="300"/>
      <c r="Y403" s="300"/>
      <c r="Z403" s="300"/>
      <c r="AA403" s="300"/>
      <c r="AB403" s="300"/>
      <c r="AC403" s="300"/>
      <c r="AD403" s="300"/>
      <c r="AE403" s="300"/>
    </row>
    <row r="404" spans="15:31">
      <c r="O404" s="300"/>
      <c r="P404" s="300"/>
      <c r="Q404" s="300"/>
      <c r="R404" s="300"/>
      <c r="S404" s="300"/>
      <c r="T404" s="300"/>
      <c r="U404" s="300"/>
      <c r="V404" s="300"/>
      <c r="W404" s="300"/>
      <c r="X404" s="300"/>
      <c r="Y404" s="300"/>
      <c r="Z404" s="300"/>
      <c r="AA404" s="300"/>
      <c r="AB404" s="300"/>
      <c r="AC404" s="300"/>
      <c r="AD404" s="300"/>
      <c r="AE404" s="300"/>
    </row>
    <row r="405" spans="15:31">
      <c r="O405" s="300"/>
      <c r="P405" s="300"/>
      <c r="Q405" s="300"/>
      <c r="R405" s="300"/>
      <c r="S405" s="300"/>
      <c r="T405" s="300"/>
      <c r="U405" s="300"/>
      <c r="V405" s="300"/>
      <c r="W405" s="300"/>
      <c r="X405" s="300"/>
      <c r="Y405" s="300"/>
      <c r="Z405" s="300"/>
      <c r="AA405" s="300"/>
      <c r="AB405" s="300"/>
      <c r="AC405" s="300"/>
      <c r="AD405" s="300"/>
      <c r="AE405" s="300"/>
    </row>
    <row r="406" spans="15:31">
      <c r="O406" s="300"/>
      <c r="P406" s="300"/>
      <c r="Q406" s="300"/>
      <c r="R406" s="300"/>
      <c r="S406" s="300"/>
      <c r="T406" s="300"/>
      <c r="U406" s="300"/>
      <c r="V406" s="300"/>
      <c r="W406" s="300"/>
      <c r="X406" s="300"/>
      <c r="Y406" s="300"/>
      <c r="Z406" s="300"/>
      <c r="AA406" s="300"/>
      <c r="AB406" s="300"/>
      <c r="AC406" s="300"/>
      <c r="AD406" s="300"/>
      <c r="AE406" s="300"/>
    </row>
    <row r="407" spans="15:31">
      <c r="O407" s="300"/>
      <c r="P407" s="300"/>
      <c r="Q407" s="300"/>
      <c r="R407" s="300"/>
      <c r="S407" s="300"/>
      <c r="T407" s="300"/>
      <c r="U407" s="300"/>
      <c r="V407" s="300"/>
      <c r="W407" s="300"/>
      <c r="X407" s="300"/>
      <c r="Y407" s="300"/>
      <c r="Z407" s="300"/>
      <c r="AA407" s="300"/>
      <c r="AB407" s="300"/>
      <c r="AC407" s="300"/>
      <c r="AD407" s="300"/>
      <c r="AE407" s="300"/>
    </row>
    <row r="408" spans="15:31">
      <c r="O408" s="300"/>
      <c r="P408" s="300"/>
      <c r="Q408" s="300"/>
      <c r="R408" s="300"/>
      <c r="S408" s="300"/>
      <c r="T408" s="300"/>
      <c r="U408" s="300"/>
      <c r="V408" s="300"/>
      <c r="W408" s="300"/>
      <c r="X408" s="300"/>
      <c r="Y408" s="300"/>
      <c r="Z408" s="300"/>
      <c r="AA408" s="300"/>
      <c r="AB408" s="300"/>
      <c r="AC408" s="300"/>
      <c r="AD408" s="300"/>
      <c r="AE408" s="300"/>
    </row>
    <row r="409" spans="15:31">
      <c r="O409" s="300"/>
      <c r="P409" s="300"/>
      <c r="Q409" s="300"/>
      <c r="R409" s="300"/>
      <c r="S409" s="300"/>
      <c r="T409" s="300"/>
      <c r="U409" s="300"/>
      <c r="V409" s="300"/>
      <c r="W409" s="300"/>
      <c r="X409" s="300"/>
      <c r="Y409" s="300"/>
      <c r="Z409" s="300"/>
      <c r="AA409" s="300"/>
      <c r="AB409" s="300"/>
      <c r="AC409" s="300"/>
      <c r="AD409" s="300"/>
      <c r="AE409" s="300"/>
    </row>
    <row r="410" spans="15:31">
      <c r="O410" s="300"/>
      <c r="P410" s="300"/>
      <c r="Q410" s="300"/>
      <c r="R410" s="300"/>
      <c r="S410" s="300"/>
      <c r="T410" s="300"/>
      <c r="U410" s="300"/>
      <c r="V410" s="300"/>
      <c r="W410" s="300"/>
      <c r="X410" s="300"/>
      <c r="Y410" s="300"/>
      <c r="Z410" s="300"/>
      <c r="AA410" s="300"/>
      <c r="AB410" s="300"/>
      <c r="AC410" s="300"/>
      <c r="AD410" s="300"/>
      <c r="AE410" s="300"/>
    </row>
    <row r="411" spans="15:31">
      <c r="O411" s="300"/>
      <c r="P411" s="300"/>
      <c r="Q411" s="300"/>
      <c r="R411" s="300"/>
      <c r="S411" s="300"/>
      <c r="T411" s="300"/>
      <c r="U411" s="300"/>
      <c r="V411" s="300"/>
      <c r="W411" s="300"/>
      <c r="X411" s="300"/>
      <c r="Y411" s="300"/>
      <c r="Z411" s="300"/>
      <c r="AA411" s="300"/>
      <c r="AB411" s="300"/>
      <c r="AC411" s="300"/>
      <c r="AD411" s="300"/>
      <c r="AE411" s="300"/>
    </row>
    <row r="412" spans="15:31">
      <c r="O412" s="300"/>
      <c r="P412" s="300"/>
      <c r="Q412" s="300"/>
      <c r="R412" s="300"/>
      <c r="S412" s="300"/>
      <c r="T412" s="300"/>
      <c r="U412" s="300"/>
      <c r="V412" s="300"/>
      <c r="W412" s="300"/>
      <c r="X412" s="300"/>
      <c r="Y412" s="300"/>
      <c r="Z412" s="300"/>
      <c r="AA412" s="300"/>
      <c r="AB412" s="300"/>
      <c r="AC412" s="300"/>
      <c r="AD412" s="300"/>
      <c r="AE412" s="300"/>
    </row>
    <row r="413" spans="15:31">
      <c r="O413" s="300"/>
      <c r="P413" s="300"/>
      <c r="Q413" s="300"/>
      <c r="R413" s="300"/>
      <c r="S413" s="300"/>
      <c r="T413" s="300"/>
      <c r="U413" s="300"/>
      <c r="V413" s="300"/>
      <c r="W413" s="300"/>
      <c r="X413" s="300"/>
      <c r="Y413" s="300"/>
      <c r="Z413" s="300"/>
      <c r="AA413" s="300"/>
      <c r="AB413" s="300"/>
      <c r="AC413" s="300"/>
      <c r="AD413" s="300"/>
      <c r="AE413" s="300"/>
    </row>
    <row r="414" spans="15:31">
      <c r="O414" s="300"/>
      <c r="P414" s="300"/>
      <c r="Q414" s="300"/>
      <c r="R414" s="300"/>
      <c r="S414" s="300"/>
      <c r="T414" s="300"/>
      <c r="U414" s="300"/>
      <c r="V414" s="300"/>
      <c r="W414" s="300"/>
      <c r="X414" s="300"/>
      <c r="Y414" s="300"/>
      <c r="Z414" s="300"/>
      <c r="AA414" s="300"/>
      <c r="AB414" s="300"/>
      <c r="AC414" s="300"/>
      <c r="AD414" s="300"/>
      <c r="AE414" s="300"/>
    </row>
    <row r="415" spans="15:31">
      <c r="O415" s="300"/>
      <c r="P415" s="300"/>
      <c r="Q415" s="300"/>
      <c r="R415" s="300"/>
      <c r="S415" s="300"/>
      <c r="T415" s="300"/>
      <c r="U415" s="300"/>
      <c r="V415" s="300"/>
      <c r="W415" s="300"/>
      <c r="X415" s="300"/>
      <c r="Y415" s="300"/>
      <c r="Z415" s="300"/>
      <c r="AA415" s="300"/>
      <c r="AB415" s="300"/>
      <c r="AC415" s="300"/>
      <c r="AD415" s="300"/>
      <c r="AE415" s="300"/>
    </row>
    <row r="416" spans="15:31">
      <c r="O416" s="300"/>
      <c r="P416" s="300"/>
      <c r="Q416" s="300"/>
      <c r="R416" s="300"/>
      <c r="S416" s="300"/>
      <c r="T416" s="300"/>
      <c r="U416" s="300"/>
      <c r="V416" s="300"/>
      <c r="W416" s="300"/>
      <c r="X416" s="300"/>
      <c r="Y416" s="300"/>
      <c r="Z416" s="300"/>
      <c r="AA416" s="300"/>
      <c r="AB416" s="300"/>
      <c r="AC416" s="300"/>
      <c r="AD416" s="300"/>
      <c r="AE416" s="300"/>
    </row>
    <row r="417" spans="15:31">
      <c r="O417" s="300"/>
      <c r="P417" s="300"/>
      <c r="Q417" s="300"/>
      <c r="R417" s="300"/>
      <c r="S417" s="300"/>
      <c r="T417" s="300"/>
      <c r="U417" s="300"/>
      <c r="V417" s="300"/>
      <c r="W417" s="300"/>
      <c r="X417" s="300"/>
      <c r="Y417" s="300"/>
      <c r="Z417" s="300"/>
      <c r="AA417" s="300"/>
      <c r="AB417" s="300"/>
      <c r="AC417" s="300"/>
      <c r="AD417" s="300"/>
      <c r="AE417" s="300"/>
    </row>
    <row r="418" spans="15:31">
      <c r="O418" s="300"/>
      <c r="P418" s="300"/>
      <c r="Q418" s="300"/>
      <c r="R418" s="300"/>
      <c r="S418" s="300"/>
      <c r="T418" s="300"/>
      <c r="U418" s="300"/>
      <c r="V418" s="300"/>
      <c r="W418" s="300"/>
      <c r="X418" s="300"/>
      <c r="Y418" s="300"/>
      <c r="Z418" s="300"/>
      <c r="AA418" s="300"/>
      <c r="AB418" s="300"/>
      <c r="AC418" s="300"/>
      <c r="AD418" s="300"/>
      <c r="AE418" s="300"/>
    </row>
    <row r="419" spans="15:31">
      <c r="O419" s="300"/>
      <c r="P419" s="300"/>
      <c r="Q419" s="300"/>
      <c r="R419" s="300"/>
      <c r="S419" s="300"/>
      <c r="T419" s="300"/>
      <c r="U419" s="300"/>
      <c r="V419" s="300"/>
      <c r="W419" s="300"/>
      <c r="X419" s="300"/>
      <c r="Y419" s="300"/>
      <c r="Z419" s="300"/>
      <c r="AA419" s="300"/>
      <c r="AB419" s="300"/>
      <c r="AC419" s="300"/>
      <c r="AD419" s="300"/>
      <c r="AE419" s="300"/>
    </row>
    <row r="420" spans="15:31">
      <c r="O420" s="300"/>
      <c r="P420" s="300"/>
      <c r="Q420" s="300"/>
      <c r="R420" s="300"/>
      <c r="S420" s="300"/>
      <c r="T420" s="300"/>
      <c r="U420" s="300"/>
      <c r="V420" s="300"/>
      <c r="W420" s="300"/>
      <c r="X420" s="300"/>
      <c r="Y420" s="300"/>
      <c r="Z420" s="300"/>
      <c r="AA420" s="300"/>
      <c r="AB420" s="300"/>
      <c r="AC420" s="300"/>
      <c r="AD420" s="300"/>
      <c r="AE420" s="300"/>
    </row>
    <row r="421" spans="15:31">
      <c r="O421" s="300"/>
      <c r="P421" s="300"/>
      <c r="Q421" s="300"/>
      <c r="R421" s="300"/>
      <c r="S421" s="300"/>
      <c r="T421" s="300"/>
      <c r="U421" s="300"/>
      <c r="V421" s="300"/>
      <c r="W421" s="300"/>
      <c r="X421" s="300"/>
      <c r="Y421" s="300"/>
      <c r="Z421" s="300"/>
      <c r="AA421" s="300"/>
      <c r="AB421" s="300"/>
      <c r="AC421" s="300"/>
      <c r="AD421" s="300"/>
      <c r="AE421" s="300"/>
    </row>
    <row r="422" spans="15:31">
      <c r="O422" s="300"/>
      <c r="P422" s="300"/>
      <c r="Q422" s="300"/>
      <c r="R422" s="300"/>
      <c r="S422" s="300"/>
      <c r="T422" s="300"/>
      <c r="U422" s="300"/>
      <c r="V422" s="300"/>
      <c r="W422" s="300"/>
      <c r="X422" s="300"/>
      <c r="Y422" s="300"/>
      <c r="Z422" s="300"/>
      <c r="AA422" s="300"/>
      <c r="AB422" s="300"/>
      <c r="AC422" s="300"/>
      <c r="AD422" s="300"/>
      <c r="AE422" s="300"/>
    </row>
    <row r="423" spans="15:31">
      <c r="O423" s="300"/>
      <c r="P423" s="300"/>
      <c r="Q423" s="300"/>
      <c r="R423" s="300"/>
      <c r="S423" s="300"/>
      <c r="T423" s="300"/>
      <c r="U423" s="300"/>
      <c r="V423" s="300"/>
      <c r="W423" s="300"/>
      <c r="X423" s="300"/>
      <c r="Y423" s="300"/>
      <c r="Z423" s="300"/>
      <c r="AA423" s="300"/>
      <c r="AB423" s="300"/>
      <c r="AC423" s="300"/>
      <c r="AD423" s="300"/>
      <c r="AE423" s="300"/>
    </row>
    <row r="424" spans="15:31">
      <c r="O424" s="300"/>
      <c r="P424" s="300"/>
      <c r="Q424" s="300"/>
      <c r="R424" s="300"/>
      <c r="S424" s="300"/>
      <c r="T424" s="300"/>
      <c r="U424" s="300"/>
      <c r="V424" s="300"/>
      <c r="W424" s="300"/>
      <c r="X424" s="300"/>
      <c r="Y424" s="300"/>
      <c r="Z424" s="300"/>
      <c r="AA424" s="300"/>
      <c r="AB424" s="300"/>
      <c r="AC424" s="300"/>
      <c r="AD424" s="300"/>
      <c r="AE424" s="300"/>
    </row>
    <row r="425" spans="15:31">
      <c r="O425" s="300"/>
      <c r="P425" s="300"/>
      <c r="Q425" s="300"/>
      <c r="R425" s="300"/>
      <c r="S425" s="300"/>
      <c r="T425" s="300"/>
      <c r="U425" s="300"/>
      <c r="V425" s="300"/>
      <c r="W425" s="300"/>
      <c r="X425" s="300"/>
      <c r="Y425" s="300"/>
      <c r="Z425" s="300"/>
      <c r="AA425" s="300"/>
      <c r="AB425" s="300"/>
      <c r="AC425" s="300"/>
      <c r="AD425" s="300"/>
      <c r="AE425" s="300"/>
    </row>
    <row r="426" spans="15:31">
      <c r="O426" s="300"/>
      <c r="P426" s="300"/>
      <c r="Q426" s="300"/>
      <c r="R426" s="300"/>
      <c r="S426" s="300"/>
      <c r="T426" s="300"/>
      <c r="U426" s="300"/>
      <c r="V426" s="300"/>
      <c r="W426" s="300"/>
      <c r="X426" s="300"/>
      <c r="Y426" s="300"/>
      <c r="Z426" s="300"/>
      <c r="AA426" s="300"/>
      <c r="AB426" s="300"/>
      <c r="AC426" s="300"/>
      <c r="AD426" s="300"/>
      <c r="AE426" s="300"/>
    </row>
    <row r="427" spans="15:31">
      <c r="O427" s="300"/>
      <c r="P427" s="300"/>
      <c r="Q427" s="300"/>
      <c r="R427" s="300"/>
      <c r="S427" s="300"/>
      <c r="T427" s="300"/>
      <c r="U427" s="300"/>
      <c r="V427" s="300"/>
      <c r="W427" s="300"/>
      <c r="X427" s="300"/>
      <c r="Y427" s="300"/>
      <c r="Z427" s="300"/>
      <c r="AA427" s="300"/>
      <c r="AB427" s="300"/>
      <c r="AC427" s="300"/>
      <c r="AD427" s="300"/>
      <c r="AE427" s="300"/>
    </row>
    <row r="428" spans="15:31">
      <c r="O428" s="300"/>
      <c r="P428" s="300"/>
      <c r="Q428" s="300"/>
      <c r="R428" s="300"/>
      <c r="S428" s="300"/>
      <c r="T428" s="300"/>
      <c r="U428" s="300"/>
      <c r="V428" s="300"/>
      <c r="W428" s="300"/>
      <c r="X428" s="300"/>
      <c r="Y428" s="300"/>
      <c r="Z428" s="300"/>
      <c r="AA428" s="300"/>
      <c r="AB428" s="300"/>
      <c r="AC428" s="300"/>
      <c r="AD428" s="300"/>
      <c r="AE428" s="300"/>
    </row>
    <row r="429" spans="15:31">
      <c r="O429" s="300"/>
      <c r="P429" s="300"/>
      <c r="Q429" s="300"/>
      <c r="R429" s="300"/>
      <c r="S429" s="300"/>
      <c r="T429" s="300"/>
      <c r="U429" s="300"/>
      <c r="V429" s="300"/>
      <c r="W429" s="300"/>
      <c r="X429" s="300"/>
      <c r="Y429" s="300"/>
      <c r="Z429" s="300"/>
      <c r="AA429" s="300"/>
      <c r="AB429" s="300"/>
      <c r="AC429" s="300"/>
      <c r="AD429" s="300"/>
      <c r="AE429" s="300"/>
    </row>
    <row r="430" spans="15:31">
      <c r="O430" s="300"/>
      <c r="P430" s="300"/>
      <c r="Q430" s="300"/>
      <c r="R430" s="300"/>
      <c r="S430" s="300"/>
      <c r="T430" s="300"/>
      <c r="U430" s="300"/>
      <c r="V430" s="300"/>
      <c r="W430" s="300"/>
      <c r="X430" s="300"/>
      <c r="Y430" s="300"/>
      <c r="Z430" s="300"/>
      <c r="AA430" s="300"/>
      <c r="AB430" s="300"/>
      <c r="AC430" s="300"/>
      <c r="AD430" s="300"/>
      <c r="AE430" s="300"/>
    </row>
    <row r="431" spans="15:31">
      <c r="O431" s="300"/>
      <c r="P431" s="300"/>
      <c r="Q431" s="300"/>
      <c r="R431" s="300"/>
      <c r="S431" s="300"/>
      <c r="T431" s="300"/>
      <c r="U431" s="300"/>
      <c r="V431" s="300"/>
      <c r="W431" s="300"/>
      <c r="X431" s="300"/>
      <c r="Y431" s="300"/>
      <c r="Z431" s="300"/>
      <c r="AA431" s="300"/>
      <c r="AB431" s="300"/>
      <c r="AC431" s="300"/>
      <c r="AD431" s="300"/>
      <c r="AE431" s="300"/>
    </row>
    <row r="432" spans="15:31">
      <c r="O432" s="300"/>
      <c r="P432" s="300"/>
      <c r="Q432" s="300"/>
      <c r="R432" s="300"/>
      <c r="S432" s="300"/>
      <c r="T432" s="300"/>
      <c r="U432" s="300"/>
      <c r="V432" s="300"/>
      <c r="W432" s="300"/>
      <c r="X432" s="300"/>
      <c r="Y432" s="300"/>
      <c r="Z432" s="300"/>
      <c r="AA432" s="300"/>
      <c r="AB432" s="300"/>
      <c r="AC432" s="300"/>
      <c r="AD432" s="300"/>
      <c r="AE432" s="300"/>
    </row>
    <row r="433" spans="15:31">
      <c r="O433" s="300"/>
      <c r="P433" s="300"/>
      <c r="Q433" s="300"/>
      <c r="R433" s="300"/>
      <c r="S433" s="300"/>
      <c r="T433" s="300"/>
      <c r="U433" s="300"/>
      <c r="V433" s="300"/>
      <c r="W433" s="300"/>
      <c r="X433" s="300"/>
      <c r="Y433" s="300"/>
      <c r="Z433" s="300"/>
      <c r="AA433" s="300"/>
      <c r="AB433" s="300"/>
      <c r="AC433" s="300"/>
      <c r="AD433" s="300"/>
      <c r="AE433" s="300"/>
    </row>
    <row r="434" spans="15:31">
      <c r="O434" s="300"/>
      <c r="P434" s="300"/>
      <c r="Q434" s="300"/>
      <c r="R434" s="300"/>
      <c r="S434" s="300"/>
      <c r="T434" s="300"/>
      <c r="U434" s="300"/>
      <c r="V434" s="300"/>
      <c r="W434" s="300"/>
      <c r="X434" s="300"/>
      <c r="Y434" s="300"/>
      <c r="Z434" s="300"/>
      <c r="AA434" s="300"/>
      <c r="AB434" s="300"/>
      <c r="AC434" s="300"/>
      <c r="AD434" s="300"/>
      <c r="AE434" s="300"/>
    </row>
    <row r="435" spans="15:31">
      <c r="O435" s="300"/>
      <c r="P435" s="300"/>
      <c r="Q435" s="300"/>
      <c r="R435" s="300"/>
      <c r="S435" s="300"/>
      <c r="T435" s="300"/>
      <c r="U435" s="300"/>
      <c r="V435" s="300"/>
      <c r="W435" s="300"/>
      <c r="X435" s="300"/>
      <c r="Y435" s="300"/>
      <c r="Z435" s="300"/>
      <c r="AA435" s="300"/>
      <c r="AB435" s="300"/>
      <c r="AC435" s="300"/>
      <c r="AD435" s="300"/>
      <c r="AE435" s="300"/>
    </row>
    <row r="436" spans="15:31">
      <c r="O436" s="300"/>
      <c r="P436" s="300"/>
      <c r="Q436" s="300"/>
      <c r="R436" s="300"/>
      <c r="S436" s="300"/>
      <c r="T436" s="300"/>
      <c r="U436" s="300"/>
      <c r="V436" s="300"/>
      <c r="W436" s="300"/>
      <c r="X436" s="300"/>
      <c r="Y436" s="300"/>
      <c r="Z436" s="300"/>
      <c r="AA436" s="300"/>
      <c r="AB436" s="300"/>
      <c r="AC436" s="300"/>
      <c r="AD436" s="300"/>
      <c r="AE436" s="300"/>
    </row>
    <row r="437" spans="15:31">
      <c r="O437" s="300"/>
      <c r="P437" s="300"/>
      <c r="Q437" s="300"/>
      <c r="R437" s="300"/>
      <c r="S437" s="300"/>
      <c r="T437" s="300"/>
      <c r="U437" s="300"/>
      <c r="V437" s="300"/>
      <c r="W437" s="300"/>
      <c r="X437" s="300"/>
      <c r="Y437" s="300"/>
      <c r="Z437" s="300"/>
      <c r="AA437" s="300"/>
      <c r="AB437" s="300"/>
      <c r="AC437" s="300"/>
      <c r="AD437" s="300"/>
      <c r="AE437" s="300"/>
    </row>
    <row r="438" spans="15:31">
      <c r="O438" s="300"/>
      <c r="P438" s="300"/>
      <c r="Q438" s="300"/>
      <c r="R438" s="300"/>
      <c r="S438" s="300"/>
      <c r="T438" s="300"/>
      <c r="U438" s="300"/>
      <c r="V438" s="300"/>
      <c r="W438" s="300"/>
      <c r="X438" s="300"/>
      <c r="Y438" s="300"/>
      <c r="Z438" s="300"/>
      <c r="AA438" s="300"/>
      <c r="AB438" s="300"/>
      <c r="AC438" s="300"/>
      <c r="AD438" s="300"/>
      <c r="AE438" s="300"/>
    </row>
    <row r="439" spans="15:31">
      <c r="O439" s="300"/>
      <c r="P439" s="300"/>
      <c r="Q439" s="300"/>
      <c r="R439" s="300"/>
      <c r="S439" s="300"/>
      <c r="T439" s="300"/>
      <c r="U439" s="300"/>
      <c r="V439" s="300"/>
      <c r="W439" s="300"/>
      <c r="X439" s="300"/>
      <c r="Y439" s="300"/>
      <c r="Z439" s="300"/>
      <c r="AA439" s="300"/>
      <c r="AB439" s="300"/>
      <c r="AC439" s="300"/>
      <c r="AD439" s="300"/>
      <c r="AE439" s="300"/>
    </row>
    <row r="440" spans="15:31">
      <c r="O440" s="300"/>
      <c r="P440" s="300"/>
      <c r="Q440" s="300"/>
      <c r="R440" s="300"/>
      <c r="S440" s="300"/>
      <c r="T440" s="300"/>
      <c r="U440" s="300"/>
      <c r="V440" s="300"/>
      <c r="W440" s="300"/>
      <c r="X440" s="300"/>
      <c r="Y440" s="300"/>
      <c r="Z440" s="300"/>
      <c r="AA440" s="300"/>
      <c r="AB440" s="300"/>
      <c r="AC440" s="300"/>
      <c r="AD440" s="300"/>
      <c r="AE440" s="300"/>
    </row>
    <row r="441" spans="15:31">
      <c r="O441" s="300"/>
      <c r="P441" s="300"/>
      <c r="Q441" s="300"/>
      <c r="R441" s="300"/>
      <c r="S441" s="300"/>
      <c r="T441" s="300"/>
      <c r="U441" s="300"/>
      <c r="V441" s="300"/>
      <c r="W441" s="300"/>
      <c r="X441" s="300"/>
      <c r="Y441" s="300"/>
      <c r="Z441" s="300"/>
      <c r="AA441" s="300"/>
      <c r="AB441" s="300"/>
      <c r="AC441" s="300"/>
      <c r="AD441" s="300"/>
      <c r="AE441" s="300"/>
    </row>
    <row r="442" spans="15:31">
      <c r="O442" s="300"/>
      <c r="P442" s="300"/>
      <c r="Q442" s="300"/>
      <c r="R442" s="300"/>
      <c r="S442" s="300"/>
      <c r="T442" s="300"/>
      <c r="U442" s="300"/>
      <c r="V442" s="300"/>
      <c r="W442" s="300"/>
      <c r="X442" s="300"/>
      <c r="Y442" s="300"/>
      <c r="Z442" s="300"/>
      <c r="AA442" s="300"/>
      <c r="AB442" s="300"/>
      <c r="AC442" s="300"/>
      <c r="AD442" s="300"/>
      <c r="AE442" s="300"/>
    </row>
    <row r="443" spans="15:31">
      <c r="O443" s="300"/>
      <c r="P443" s="300"/>
      <c r="Q443" s="300"/>
      <c r="R443" s="300"/>
      <c r="S443" s="300"/>
      <c r="T443" s="300"/>
      <c r="U443" s="300"/>
      <c r="V443" s="300"/>
      <c r="W443" s="300"/>
      <c r="X443" s="300"/>
      <c r="Y443" s="300"/>
      <c r="Z443" s="300"/>
      <c r="AA443" s="300"/>
      <c r="AB443" s="300"/>
      <c r="AC443" s="300"/>
      <c r="AD443" s="300"/>
      <c r="AE443" s="300"/>
    </row>
    <row r="444" spans="15:31">
      <c r="O444" s="300"/>
      <c r="P444" s="300"/>
      <c r="Q444" s="300"/>
      <c r="R444" s="300"/>
      <c r="S444" s="300"/>
      <c r="T444" s="300"/>
      <c r="U444" s="300"/>
      <c r="V444" s="300"/>
      <c r="W444" s="300"/>
      <c r="X444" s="300"/>
      <c r="Y444" s="300"/>
      <c r="Z444" s="300"/>
      <c r="AA444" s="300"/>
      <c r="AB444" s="300"/>
      <c r="AC444" s="300"/>
      <c r="AD444" s="300"/>
      <c r="AE444" s="300"/>
    </row>
    <row r="445" spans="15:31">
      <c r="O445" s="300"/>
      <c r="P445" s="300"/>
      <c r="Q445" s="300"/>
      <c r="R445" s="300"/>
      <c r="S445" s="300"/>
      <c r="T445" s="300"/>
      <c r="U445" s="300"/>
      <c r="V445" s="300"/>
      <c r="W445" s="300"/>
      <c r="X445" s="300"/>
      <c r="Y445" s="300"/>
      <c r="Z445" s="300"/>
      <c r="AA445" s="300"/>
      <c r="AB445" s="300"/>
      <c r="AC445" s="300"/>
      <c r="AD445" s="300"/>
      <c r="AE445" s="300"/>
    </row>
    <row r="446" spans="15:31">
      <c r="O446" s="300"/>
      <c r="P446" s="300"/>
      <c r="Q446" s="300"/>
      <c r="R446" s="300"/>
      <c r="S446" s="300"/>
      <c r="T446" s="300"/>
      <c r="U446" s="300"/>
      <c r="V446" s="300"/>
      <c r="W446" s="300"/>
      <c r="X446" s="300"/>
      <c r="Y446" s="300"/>
      <c r="Z446" s="300"/>
      <c r="AA446" s="300"/>
      <c r="AB446" s="300"/>
      <c r="AC446" s="300"/>
      <c r="AD446" s="300"/>
      <c r="AE446" s="300"/>
    </row>
    <row r="447" spans="15:31">
      <c r="O447" s="300"/>
      <c r="P447" s="300"/>
      <c r="Q447" s="300"/>
      <c r="R447" s="300"/>
      <c r="S447" s="300"/>
      <c r="T447" s="300"/>
      <c r="U447" s="300"/>
      <c r="V447" s="300"/>
      <c r="W447" s="300"/>
      <c r="X447" s="300"/>
      <c r="Y447" s="300"/>
      <c r="Z447" s="300"/>
      <c r="AA447" s="300"/>
      <c r="AB447" s="300"/>
      <c r="AC447" s="300"/>
      <c r="AD447" s="300"/>
      <c r="AE447" s="300"/>
    </row>
    <row r="448" spans="15:31">
      <c r="O448" s="300"/>
      <c r="P448" s="300"/>
      <c r="Q448" s="300"/>
      <c r="R448" s="300"/>
      <c r="S448" s="300"/>
      <c r="T448" s="300"/>
      <c r="U448" s="300"/>
      <c r="V448" s="300"/>
      <c r="W448" s="300"/>
      <c r="X448" s="300"/>
      <c r="Y448" s="300"/>
      <c r="Z448" s="300"/>
      <c r="AA448" s="300"/>
      <c r="AB448" s="300"/>
      <c r="AC448" s="300"/>
      <c r="AD448" s="300"/>
      <c r="AE448" s="300"/>
    </row>
    <row r="449" spans="15:31">
      <c r="O449" s="300"/>
      <c r="P449" s="300"/>
      <c r="Q449" s="300"/>
      <c r="R449" s="300"/>
      <c r="S449" s="300"/>
      <c r="T449" s="300"/>
      <c r="U449" s="300"/>
      <c r="V449" s="300"/>
      <c r="W449" s="300"/>
      <c r="X449" s="300"/>
      <c r="Y449" s="300"/>
      <c r="Z449" s="300"/>
      <c r="AA449" s="300"/>
      <c r="AB449" s="300"/>
      <c r="AC449" s="300"/>
      <c r="AD449" s="300"/>
      <c r="AE449" s="300"/>
    </row>
    <row r="450" spans="15:31">
      <c r="O450" s="300"/>
      <c r="P450" s="300"/>
      <c r="Q450" s="300"/>
      <c r="R450" s="300"/>
      <c r="S450" s="300"/>
      <c r="T450" s="300"/>
      <c r="U450" s="300"/>
      <c r="V450" s="300"/>
      <c r="W450" s="300"/>
      <c r="X450" s="300"/>
      <c r="Y450" s="300"/>
      <c r="Z450" s="300"/>
      <c r="AA450" s="300"/>
      <c r="AB450" s="300"/>
      <c r="AC450" s="300"/>
      <c r="AD450" s="300"/>
      <c r="AE450" s="300"/>
    </row>
    <row r="451" spans="15:31">
      <c r="O451" s="300"/>
      <c r="P451" s="300"/>
      <c r="Q451" s="300"/>
      <c r="R451" s="300"/>
      <c r="S451" s="300"/>
      <c r="T451" s="300"/>
      <c r="U451" s="300"/>
      <c r="V451" s="300"/>
      <c r="W451" s="300"/>
      <c r="X451" s="300"/>
      <c r="Y451" s="300"/>
      <c r="Z451" s="300"/>
      <c r="AA451" s="300"/>
      <c r="AB451" s="300"/>
      <c r="AC451" s="300"/>
      <c r="AD451" s="300"/>
      <c r="AE451" s="300"/>
    </row>
    <row r="452" spans="15:31">
      <c r="O452" s="300"/>
      <c r="P452" s="300"/>
      <c r="Q452" s="300"/>
      <c r="R452" s="300"/>
      <c r="S452" s="300"/>
      <c r="T452" s="300"/>
      <c r="U452" s="300"/>
      <c r="V452" s="300"/>
      <c r="W452" s="300"/>
      <c r="X452" s="300"/>
      <c r="Y452" s="300"/>
      <c r="Z452" s="300"/>
      <c r="AA452" s="300"/>
      <c r="AB452" s="300"/>
      <c r="AC452" s="300"/>
      <c r="AD452" s="300"/>
      <c r="AE452" s="300"/>
    </row>
    <row r="453" spans="15:31">
      <c r="O453" s="300"/>
      <c r="P453" s="300"/>
      <c r="Q453" s="300"/>
      <c r="R453" s="300"/>
      <c r="S453" s="300"/>
      <c r="T453" s="300"/>
      <c r="U453" s="300"/>
      <c r="V453" s="300"/>
      <c r="W453" s="300"/>
      <c r="X453" s="300"/>
      <c r="Y453" s="300"/>
      <c r="Z453" s="300"/>
      <c r="AA453" s="300"/>
      <c r="AB453" s="300"/>
      <c r="AC453" s="300"/>
      <c r="AD453" s="300"/>
      <c r="AE453" s="300"/>
    </row>
    <row r="454" spans="15:31">
      <c r="O454" s="300"/>
      <c r="P454" s="300"/>
      <c r="Q454" s="300"/>
      <c r="R454" s="300"/>
      <c r="S454" s="300"/>
      <c r="T454" s="300"/>
      <c r="U454" s="300"/>
      <c r="V454" s="300"/>
      <c r="W454" s="300"/>
      <c r="X454" s="300"/>
      <c r="Y454" s="300"/>
      <c r="Z454" s="300"/>
      <c r="AA454" s="300"/>
      <c r="AB454" s="300"/>
      <c r="AC454" s="300"/>
      <c r="AD454" s="300"/>
      <c r="AE454" s="300"/>
    </row>
    <row r="455" spans="15:31">
      <c r="O455" s="300"/>
      <c r="P455" s="300"/>
      <c r="Q455" s="300"/>
      <c r="R455" s="300"/>
      <c r="S455" s="300"/>
      <c r="T455" s="300"/>
      <c r="U455" s="300"/>
      <c r="V455" s="300"/>
      <c r="W455" s="300"/>
      <c r="X455" s="300"/>
      <c r="Y455" s="300"/>
      <c r="Z455" s="300"/>
      <c r="AA455" s="300"/>
      <c r="AB455" s="300"/>
      <c r="AC455" s="300"/>
      <c r="AD455" s="300"/>
      <c r="AE455" s="300"/>
    </row>
    <row r="456" spans="15:31">
      <c r="O456" s="300"/>
      <c r="P456" s="300"/>
      <c r="Q456" s="300"/>
      <c r="R456" s="300"/>
      <c r="S456" s="300"/>
      <c r="T456" s="300"/>
      <c r="U456" s="300"/>
      <c r="V456" s="300"/>
      <c r="W456" s="300"/>
      <c r="X456" s="300"/>
      <c r="Y456" s="300"/>
      <c r="Z456" s="300"/>
      <c r="AA456" s="300"/>
      <c r="AB456" s="300"/>
      <c r="AC456" s="300"/>
      <c r="AD456" s="300"/>
      <c r="AE456" s="300"/>
    </row>
    <row r="457" spans="15:31">
      <c r="O457" s="300"/>
      <c r="P457" s="300"/>
      <c r="Q457" s="300"/>
      <c r="R457" s="300"/>
      <c r="S457" s="300"/>
      <c r="T457" s="300"/>
      <c r="U457" s="300"/>
      <c r="V457" s="300"/>
      <c r="W457" s="300"/>
      <c r="X457" s="300"/>
      <c r="Y457" s="300"/>
      <c r="Z457" s="300"/>
      <c r="AA457" s="300"/>
      <c r="AB457" s="300"/>
      <c r="AC457" s="300"/>
      <c r="AD457" s="300"/>
      <c r="AE457" s="300"/>
    </row>
    <row r="458" spans="15:31">
      <c r="O458" s="300"/>
      <c r="P458" s="300"/>
      <c r="Q458" s="300"/>
      <c r="R458" s="300"/>
      <c r="S458" s="300"/>
      <c r="T458" s="300"/>
      <c r="U458" s="300"/>
      <c r="V458" s="300"/>
      <c r="W458" s="300"/>
      <c r="X458" s="300"/>
      <c r="Y458" s="300"/>
      <c r="Z458" s="300"/>
      <c r="AA458" s="300"/>
      <c r="AB458" s="300"/>
      <c r="AC458" s="300"/>
      <c r="AD458" s="300"/>
      <c r="AE458" s="300"/>
    </row>
    <row r="459" spans="15:31">
      <c r="O459" s="300"/>
      <c r="P459" s="300"/>
      <c r="Q459" s="300"/>
      <c r="R459" s="300"/>
      <c r="S459" s="300"/>
      <c r="T459" s="300"/>
      <c r="U459" s="300"/>
      <c r="V459" s="300"/>
      <c r="W459" s="300"/>
      <c r="X459" s="300"/>
      <c r="Y459" s="300"/>
      <c r="Z459" s="300"/>
      <c r="AA459" s="300"/>
      <c r="AB459" s="300"/>
      <c r="AC459" s="300"/>
      <c r="AD459" s="300"/>
      <c r="AE459" s="300"/>
    </row>
    <row r="460" spans="15:31">
      <c r="O460" s="300"/>
      <c r="P460" s="300"/>
      <c r="Q460" s="300"/>
      <c r="R460" s="300"/>
      <c r="S460" s="300"/>
      <c r="T460" s="300"/>
      <c r="U460" s="300"/>
      <c r="V460" s="300"/>
      <c r="W460" s="300"/>
      <c r="X460" s="300"/>
      <c r="Y460" s="300"/>
      <c r="Z460" s="300"/>
      <c r="AA460" s="300"/>
      <c r="AB460" s="300"/>
      <c r="AC460" s="300"/>
      <c r="AD460" s="300"/>
      <c r="AE460" s="300"/>
    </row>
    <row r="461" spans="15:31">
      <c r="O461" s="300"/>
      <c r="P461" s="300"/>
      <c r="Q461" s="300"/>
      <c r="R461" s="300"/>
      <c r="S461" s="300"/>
      <c r="T461" s="300"/>
      <c r="U461" s="300"/>
      <c r="V461" s="300"/>
      <c r="W461" s="300"/>
      <c r="X461" s="300"/>
      <c r="Y461" s="300"/>
      <c r="Z461" s="300"/>
      <c r="AA461" s="300"/>
      <c r="AB461" s="300"/>
      <c r="AC461" s="300"/>
      <c r="AD461" s="300"/>
      <c r="AE461" s="300"/>
    </row>
    <row r="462" spans="15:31">
      <c r="O462" s="300"/>
      <c r="P462" s="300"/>
      <c r="Q462" s="300"/>
      <c r="R462" s="300"/>
      <c r="S462" s="300"/>
      <c r="T462" s="300"/>
      <c r="U462" s="300"/>
      <c r="V462" s="300"/>
      <c r="W462" s="300"/>
      <c r="X462" s="300"/>
      <c r="Y462" s="300"/>
      <c r="Z462" s="300"/>
      <c r="AA462" s="300"/>
      <c r="AB462" s="300"/>
      <c r="AC462" s="300"/>
      <c r="AD462" s="300"/>
      <c r="AE462" s="300"/>
    </row>
    <row r="463" spans="15:31">
      <c r="O463" s="300"/>
      <c r="P463" s="300"/>
      <c r="Q463" s="300"/>
      <c r="R463" s="300"/>
      <c r="S463" s="300"/>
      <c r="T463" s="300"/>
      <c r="U463" s="300"/>
      <c r="V463" s="300"/>
      <c r="W463" s="300"/>
      <c r="X463" s="300"/>
      <c r="Y463" s="300"/>
      <c r="Z463" s="300"/>
      <c r="AA463" s="300"/>
      <c r="AB463" s="300"/>
      <c r="AC463" s="300"/>
      <c r="AD463" s="300"/>
      <c r="AE463" s="300"/>
    </row>
    <row r="464" spans="15:31">
      <c r="O464" s="300"/>
      <c r="P464" s="300"/>
      <c r="Q464" s="300"/>
      <c r="R464" s="300"/>
      <c r="S464" s="300"/>
      <c r="T464" s="300"/>
      <c r="U464" s="300"/>
      <c r="V464" s="300"/>
      <c r="W464" s="300"/>
      <c r="X464" s="300"/>
      <c r="Y464" s="300"/>
      <c r="Z464" s="300"/>
      <c r="AA464" s="300"/>
      <c r="AB464" s="300"/>
      <c r="AC464" s="300"/>
      <c r="AD464" s="300"/>
      <c r="AE464" s="300"/>
    </row>
    <row r="465" spans="15:31">
      <c r="O465" s="300"/>
      <c r="P465" s="300"/>
      <c r="Q465" s="300"/>
      <c r="R465" s="300"/>
      <c r="S465" s="300"/>
      <c r="T465" s="300"/>
      <c r="U465" s="300"/>
      <c r="V465" s="300"/>
      <c r="W465" s="300"/>
      <c r="X465" s="300"/>
      <c r="Y465" s="300"/>
      <c r="Z465" s="300"/>
      <c r="AA465" s="300"/>
      <c r="AB465" s="300"/>
      <c r="AC465" s="300"/>
      <c r="AD465" s="300"/>
      <c r="AE465" s="300"/>
    </row>
    <row r="466" spans="15:31">
      <c r="O466" s="300"/>
      <c r="P466" s="300"/>
      <c r="Q466" s="300"/>
      <c r="R466" s="300"/>
      <c r="S466" s="300"/>
      <c r="T466" s="300"/>
      <c r="U466" s="300"/>
      <c r="V466" s="300"/>
      <c r="W466" s="300"/>
      <c r="X466" s="300"/>
      <c r="Y466" s="300"/>
      <c r="Z466" s="300"/>
      <c r="AA466" s="300"/>
      <c r="AB466" s="300"/>
      <c r="AC466" s="300"/>
      <c r="AD466" s="300"/>
      <c r="AE466" s="300"/>
    </row>
    <row r="467" spans="15:31">
      <c r="O467" s="300"/>
      <c r="P467" s="300"/>
      <c r="Q467" s="300"/>
      <c r="R467" s="300"/>
      <c r="S467" s="300"/>
      <c r="T467" s="300"/>
      <c r="U467" s="300"/>
      <c r="V467" s="300"/>
      <c r="W467" s="300"/>
      <c r="X467" s="300"/>
      <c r="Y467" s="300"/>
      <c r="Z467" s="300"/>
      <c r="AA467" s="300"/>
      <c r="AB467" s="300"/>
      <c r="AC467" s="300"/>
      <c r="AD467" s="300"/>
      <c r="AE467" s="300"/>
    </row>
    <row r="468" spans="15:31">
      <c r="O468" s="300"/>
      <c r="P468" s="300"/>
      <c r="Q468" s="300"/>
      <c r="R468" s="300"/>
      <c r="S468" s="300"/>
      <c r="T468" s="300"/>
      <c r="U468" s="300"/>
      <c r="V468" s="300"/>
      <c r="W468" s="300"/>
      <c r="X468" s="300"/>
      <c r="Y468" s="300"/>
      <c r="Z468" s="300"/>
      <c r="AA468" s="300"/>
      <c r="AB468" s="300"/>
      <c r="AC468" s="300"/>
      <c r="AD468" s="300"/>
      <c r="AE468" s="300"/>
    </row>
    <row r="469" spans="15:31">
      <c r="O469" s="300"/>
      <c r="P469" s="300"/>
      <c r="Q469" s="300"/>
      <c r="R469" s="300"/>
      <c r="S469" s="300"/>
      <c r="T469" s="300"/>
      <c r="U469" s="300"/>
      <c r="V469" s="300"/>
      <c r="W469" s="300"/>
      <c r="X469" s="300"/>
      <c r="Y469" s="300"/>
      <c r="Z469" s="300"/>
      <c r="AA469" s="300"/>
      <c r="AB469" s="300"/>
      <c r="AC469" s="300"/>
      <c r="AD469" s="300"/>
      <c r="AE469" s="300"/>
    </row>
    <row r="470" spans="15:31">
      <c r="O470" s="300"/>
      <c r="P470" s="300"/>
      <c r="Q470" s="300"/>
      <c r="R470" s="300"/>
      <c r="S470" s="300"/>
      <c r="T470" s="300"/>
      <c r="U470" s="300"/>
      <c r="V470" s="300"/>
      <c r="W470" s="300"/>
      <c r="X470" s="300"/>
      <c r="Y470" s="300"/>
      <c r="Z470" s="300"/>
      <c r="AA470" s="300"/>
      <c r="AB470" s="300"/>
      <c r="AC470" s="300"/>
      <c r="AD470" s="300"/>
      <c r="AE470" s="300"/>
    </row>
    <row r="471" spans="15:31">
      <c r="O471" s="300"/>
      <c r="P471" s="300"/>
      <c r="Q471" s="300"/>
      <c r="R471" s="300"/>
      <c r="S471" s="300"/>
      <c r="T471" s="300"/>
      <c r="U471" s="300"/>
      <c r="V471" s="300"/>
      <c r="W471" s="300"/>
      <c r="X471" s="300"/>
      <c r="Y471" s="300"/>
      <c r="Z471" s="300"/>
      <c r="AA471" s="300"/>
      <c r="AB471" s="300"/>
      <c r="AC471" s="300"/>
      <c r="AD471" s="300"/>
      <c r="AE471" s="300"/>
    </row>
    <row r="472" spans="15:31">
      <c r="O472" s="300"/>
      <c r="P472" s="300"/>
      <c r="Q472" s="300"/>
      <c r="R472" s="300"/>
      <c r="S472" s="300"/>
      <c r="T472" s="300"/>
      <c r="U472" s="300"/>
      <c r="V472" s="300"/>
      <c r="W472" s="300"/>
      <c r="X472" s="300"/>
      <c r="Y472" s="300"/>
      <c r="Z472" s="300"/>
      <c r="AA472" s="300"/>
      <c r="AB472" s="300"/>
      <c r="AC472" s="300"/>
      <c r="AD472" s="300"/>
      <c r="AE472" s="300"/>
    </row>
    <row r="473" spans="15:31">
      <c r="O473" s="300"/>
      <c r="P473" s="300"/>
      <c r="Q473" s="300"/>
      <c r="R473" s="300"/>
      <c r="S473" s="300"/>
      <c r="T473" s="300"/>
      <c r="U473" s="300"/>
      <c r="V473" s="300"/>
      <c r="W473" s="300"/>
      <c r="X473" s="300"/>
      <c r="Y473" s="300"/>
      <c r="Z473" s="300"/>
      <c r="AA473" s="300"/>
      <c r="AB473" s="300"/>
      <c r="AC473" s="300"/>
      <c r="AD473" s="300"/>
      <c r="AE473" s="300"/>
    </row>
    <row r="474" spans="15:31">
      <c r="O474" s="300"/>
      <c r="P474" s="300"/>
      <c r="Q474" s="300"/>
      <c r="R474" s="300"/>
      <c r="S474" s="300"/>
      <c r="T474" s="300"/>
      <c r="U474" s="300"/>
      <c r="V474" s="300"/>
      <c r="W474" s="300"/>
      <c r="X474" s="300"/>
      <c r="Y474" s="300"/>
      <c r="Z474" s="300"/>
      <c r="AA474" s="300"/>
      <c r="AB474" s="300"/>
      <c r="AC474" s="300"/>
      <c r="AD474" s="300"/>
      <c r="AE474" s="300"/>
    </row>
    <row r="475" spans="15:31">
      <c r="O475" s="300"/>
      <c r="P475" s="300"/>
      <c r="Q475" s="300"/>
      <c r="R475" s="300"/>
      <c r="S475" s="300"/>
      <c r="T475" s="300"/>
      <c r="U475" s="300"/>
      <c r="V475" s="300"/>
      <c r="W475" s="300"/>
      <c r="X475" s="300"/>
      <c r="Y475" s="300"/>
      <c r="Z475" s="300"/>
      <c r="AA475" s="300"/>
      <c r="AB475" s="300"/>
      <c r="AC475" s="300"/>
      <c r="AD475" s="300"/>
      <c r="AE475" s="300"/>
    </row>
    <row r="476" spans="15:31">
      <c r="O476" s="300"/>
      <c r="P476" s="300"/>
      <c r="Q476" s="300"/>
      <c r="R476" s="300"/>
      <c r="S476" s="300"/>
      <c r="T476" s="300"/>
      <c r="U476" s="300"/>
      <c r="V476" s="300"/>
      <c r="W476" s="300"/>
      <c r="X476" s="300"/>
      <c r="Y476" s="300"/>
      <c r="Z476" s="300"/>
      <c r="AA476" s="300"/>
      <c r="AB476" s="300"/>
      <c r="AC476" s="300"/>
      <c r="AD476" s="300"/>
      <c r="AE476" s="300"/>
    </row>
    <row r="477" spans="15:31">
      <c r="O477" s="300"/>
      <c r="P477" s="300"/>
      <c r="Q477" s="300"/>
      <c r="R477" s="300"/>
      <c r="S477" s="300"/>
      <c r="T477" s="300"/>
      <c r="U477" s="300"/>
      <c r="V477" s="300"/>
      <c r="W477" s="300"/>
      <c r="X477" s="300"/>
      <c r="Y477" s="300"/>
      <c r="Z477" s="300"/>
      <c r="AA477" s="300"/>
      <c r="AB477" s="300"/>
      <c r="AC477" s="300"/>
      <c r="AD477" s="300"/>
      <c r="AE477" s="300"/>
    </row>
    <row r="478" spans="15:31">
      <c r="O478" s="300"/>
      <c r="P478" s="300"/>
      <c r="Q478" s="300"/>
      <c r="R478" s="300"/>
      <c r="S478" s="300"/>
      <c r="T478" s="300"/>
      <c r="U478" s="300"/>
      <c r="V478" s="300"/>
      <c r="W478" s="300"/>
      <c r="X478" s="300"/>
      <c r="Y478" s="300"/>
      <c r="Z478" s="300"/>
      <c r="AA478" s="300"/>
      <c r="AB478" s="300"/>
      <c r="AC478" s="300"/>
      <c r="AD478" s="300"/>
      <c r="AE478" s="300"/>
    </row>
    <row r="479" spans="15:31">
      <c r="O479" s="300"/>
      <c r="P479" s="300"/>
      <c r="Q479" s="300"/>
      <c r="R479" s="300"/>
      <c r="S479" s="300"/>
      <c r="T479" s="300"/>
      <c r="U479" s="300"/>
      <c r="V479" s="300"/>
      <c r="W479" s="300"/>
      <c r="X479" s="300"/>
      <c r="Y479" s="300"/>
      <c r="Z479" s="300"/>
      <c r="AA479" s="300"/>
      <c r="AB479" s="300"/>
      <c r="AC479" s="300"/>
      <c r="AD479" s="300"/>
      <c r="AE479" s="300"/>
    </row>
    <row r="480" spans="15:31">
      <c r="O480" s="300"/>
      <c r="P480" s="300"/>
      <c r="Q480" s="300"/>
      <c r="R480" s="300"/>
      <c r="S480" s="300"/>
      <c r="T480" s="300"/>
      <c r="U480" s="300"/>
      <c r="V480" s="300"/>
      <c r="W480" s="300"/>
      <c r="X480" s="300"/>
      <c r="Y480" s="300"/>
      <c r="Z480" s="300"/>
      <c r="AA480" s="300"/>
      <c r="AB480" s="300"/>
      <c r="AC480" s="300"/>
      <c r="AD480" s="300"/>
      <c r="AE480" s="300"/>
    </row>
    <row r="481" spans="15:31">
      <c r="O481" s="300"/>
      <c r="P481" s="300"/>
      <c r="Q481" s="300"/>
      <c r="R481" s="300"/>
      <c r="S481" s="300"/>
      <c r="T481" s="300"/>
      <c r="U481" s="300"/>
      <c r="V481" s="300"/>
      <c r="W481" s="300"/>
      <c r="X481" s="300"/>
      <c r="Y481" s="300"/>
      <c r="Z481" s="300"/>
      <c r="AA481" s="300"/>
      <c r="AB481" s="300"/>
      <c r="AC481" s="300"/>
      <c r="AD481" s="300"/>
      <c r="AE481" s="300"/>
    </row>
    <row r="482" spans="15:31">
      <c r="O482" s="300"/>
      <c r="P482" s="300"/>
      <c r="Q482" s="300"/>
      <c r="R482" s="300"/>
      <c r="S482" s="300"/>
      <c r="T482" s="300"/>
      <c r="U482" s="300"/>
      <c r="V482" s="300"/>
      <c r="W482" s="300"/>
      <c r="X482" s="300"/>
      <c r="Y482" s="300"/>
      <c r="Z482" s="300"/>
      <c r="AA482" s="300"/>
      <c r="AB482" s="300"/>
      <c r="AC482" s="300"/>
      <c r="AD482" s="300"/>
      <c r="AE482" s="300"/>
    </row>
    <row r="483" spans="15:31">
      <c r="O483" s="300"/>
      <c r="P483" s="300"/>
      <c r="Q483" s="300"/>
      <c r="R483" s="300"/>
      <c r="S483" s="300"/>
      <c r="T483" s="300"/>
      <c r="U483" s="300"/>
      <c r="V483" s="300"/>
      <c r="W483" s="300"/>
      <c r="X483" s="300"/>
      <c r="Y483" s="300"/>
      <c r="Z483" s="300"/>
      <c r="AA483" s="300"/>
      <c r="AB483" s="300"/>
      <c r="AC483" s="300"/>
      <c r="AD483" s="300"/>
      <c r="AE483" s="300"/>
    </row>
    <row r="484" spans="15:31">
      <c r="O484" s="300"/>
      <c r="P484" s="300"/>
      <c r="Q484" s="300"/>
      <c r="R484" s="300"/>
      <c r="S484" s="300"/>
      <c r="T484" s="300"/>
      <c r="U484" s="300"/>
      <c r="V484" s="300"/>
      <c r="W484" s="300"/>
      <c r="X484" s="300"/>
      <c r="Y484" s="300"/>
      <c r="Z484" s="300"/>
      <c r="AA484" s="300"/>
      <c r="AB484" s="300"/>
      <c r="AC484" s="300"/>
      <c r="AD484" s="300"/>
      <c r="AE484" s="300"/>
    </row>
    <row r="485" spans="15:31">
      <c r="O485" s="300"/>
      <c r="P485" s="300"/>
      <c r="Q485" s="300"/>
      <c r="R485" s="300"/>
      <c r="S485" s="300"/>
      <c r="T485" s="300"/>
      <c r="U485" s="300"/>
      <c r="V485" s="300"/>
      <c r="W485" s="300"/>
      <c r="X485" s="300"/>
      <c r="Y485" s="300"/>
      <c r="Z485" s="300"/>
      <c r="AA485" s="300"/>
      <c r="AB485" s="300"/>
      <c r="AC485" s="300"/>
      <c r="AD485" s="300"/>
      <c r="AE485" s="300"/>
    </row>
    <row r="486" spans="15:31">
      <c r="O486" s="300"/>
      <c r="P486" s="300"/>
      <c r="Q486" s="300"/>
      <c r="R486" s="300"/>
      <c r="S486" s="300"/>
      <c r="T486" s="300"/>
      <c r="U486" s="300"/>
      <c r="V486" s="300"/>
      <c r="W486" s="300"/>
      <c r="X486" s="300"/>
      <c r="Y486" s="300"/>
      <c r="Z486" s="300"/>
      <c r="AA486" s="300"/>
      <c r="AB486" s="300"/>
      <c r="AC486" s="300"/>
      <c r="AD486" s="300"/>
      <c r="AE486" s="300"/>
    </row>
    <row r="487" spans="15:31">
      <c r="O487" s="300"/>
      <c r="P487" s="300"/>
      <c r="Q487" s="300"/>
      <c r="R487" s="300"/>
      <c r="S487" s="300"/>
      <c r="T487" s="300"/>
      <c r="U487" s="300"/>
      <c r="V487" s="300"/>
      <c r="W487" s="300"/>
      <c r="X487" s="300"/>
      <c r="Y487" s="300"/>
      <c r="Z487" s="300"/>
      <c r="AA487" s="300"/>
      <c r="AB487" s="300"/>
      <c r="AC487" s="300"/>
      <c r="AD487" s="300"/>
      <c r="AE487" s="300"/>
    </row>
    <row r="488" spans="15:31">
      <c r="O488" s="300"/>
      <c r="P488" s="300"/>
      <c r="Q488" s="300"/>
      <c r="R488" s="300"/>
      <c r="S488" s="300"/>
      <c r="T488" s="300"/>
      <c r="U488" s="300"/>
      <c r="V488" s="300"/>
      <c r="W488" s="300"/>
      <c r="X488" s="300"/>
      <c r="Y488" s="300"/>
      <c r="Z488" s="300"/>
      <c r="AA488" s="300"/>
      <c r="AB488" s="300"/>
      <c r="AC488" s="300"/>
      <c r="AD488" s="300"/>
      <c r="AE488" s="300"/>
    </row>
    <row r="489" spans="15:31">
      <c r="O489" s="300"/>
      <c r="P489" s="300"/>
      <c r="Q489" s="300"/>
      <c r="R489" s="300"/>
      <c r="S489" s="300"/>
      <c r="T489" s="300"/>
      <c r="U489" s="300"/>
      <c r="V489" s="300"/>
      <c r="W489" s="300"/>
      <c r="X489" s="300"/>
      <c r="Y489" s="300"/>
      <c r="Z489" s="300"/>
      <c r="AA489" s="300"/>
      <c r="AB489" s="300"/>
      <c r="AC489" s="300"/>
      <c r="AD489" s="300"/>
      <c r="AE489" s="300"/>
    </row>
    <row r="490" spans="15:31">
      <c r="O490" s="300"/>
      <c r="P490" s="300"/>
      <c r="Q490" s="300"/>
      <c r="R490" s="300"/>
      <c r="S490" s="300"/>
      <c r="T490" s="300"/>
      <c r="U490" s="300"/>
      <c r="V490" s="300"/>
      <c r="W490" s="300"/>
      <c r="X490" s="300"/>
      <c r="Y490" s="300"/>
      <c r="Z490" s="300"/>
      <c r="AA490" s="300"/>
      <c r="AB490" s="300"/>
      <c r="AC490" s="300"/>
      <c r="AD490" s="300"/>
      <c r="AE490" s="300"/>
    </row>
    <row r="491" spans="15:31">
      <c r="O491" s="300"/>
      <c r="P491" s="300"/>
      <c r="Q491" s="300"/>
      <c r="R491" s="300"/>
      <c r="S491" s="300"/>
      <c r="T491" s="300"/>
      <c r="U491" s="300"/>
      <c r="V491" s="300"/>
      <c r="W491" s="300"/>
      <c r="X491" s="300"/>
      <c r="Y491" s="300"/>
      <c r="Z491" s="300"/>
      <c r="AA491" s="300"/>
      <c r="AB491" s="300"/>
      <c r="AC491" s="300"/>
      <c r="AD491" s="300"/>
      <c r="AE491" s="300"/>
    </row>
    <row r="492" spans="15:31">
      <c r="O492" s="300"/>
      <c r="P492" s="300"/>
      <c r="Q492" s="300"/>
      <c r="R492" s="300"/>
      <c r="S492" s="300"/>
      <c r="T492" s="300"/>
      <c r="U492" s="300"/>
      <c r="V492" s="300"/>
      <c r="W492" s="300"/>
      <c r="X492" s="300"/>
      <c r="Y492" s="300"/>
      <c r="Z492" s="300"/>
      <c r="AA492" s="300"/>
      <c r="AB492" s="300"/>
      <c r="AC492" s="300"/>
      <c r="AD492" s="300"/>
      <c r="AE492" s="300"/>
    </row>
    <row r="493" spans="15:31">
      <c r="O493" s="300"/>
      <c r="P493" s="300"/>
      <c r="Q493" s="300"/>
      <c r="R493" s="300"/>
      <c r="S493" s="300"/>
      <c r="T493" s="300"/>
      <c r="U493" s="300"/>
      <c r="V493" s="300"/>
      <c r="W493" s="300"/>
      <c r="X493" s="300"/>
      <c r="Y493" s="300"/>
      <c r="Z493" s="300"/>
      <c r="AA493" s="300"/>
      <c r="AB493" s="300"/>
      <c r="AC493" s="300"/>
      <c r="AD493" s="300"/>
      <c r="AE493" s="300"/>
    </row>
    <row r="494" spans="15:31">
      <c r="O494" s="300"/>
      <c r="P494" s="300"/>
      <c r="Q494" s="300"/>
      <c r="R494" s="300"/>
      <c r="S494" s="300"/>
      <c r="T494" s="300"/>
      <c r="U494" s="300"/>
      <c r="V494" s="300"/>
      <c r="W494" s="300"/>
      <c r="X494" s="300"/>
      <c r="Y494" s="300"/>
      <c r="Z494" s="300"/>
      <c r="AA494" s="300"/>
      <c r="AB494" s="300"/>
      <c r="AC494" s="300"/>
      <c r="AD494" s="300"/>
      <c r="AE494" s="300"/>
    </row>
    <row r="495" spans="15:31">
      <c r="O495" s="300"/>
      <c r="P495" s="300"/>
      <c r="Q495" s="300"/>
      <c r="R495" s="300"/>
      <c r="S495" s="300"/>
      <c r="T495" s="300"/>
      <c r="U495" s="300"/>
      <c r="V495" s="300"/>
      <c r="W495" s="300"/>
      <c r="X495" s="300"/>
      <c r="Y495" s="300"/>
      <c r="Z495" s="300"/>
      <c r="AA495" s="300"/>
      <c r="AB495" s="300"/>
      <c r="AC495" s="300"/>
      <c r="AD495" s="300"/>
      <c r="AE495" s="300"/>
    </row>
    <row r="496" spans="15:31">
      <c r="O496" s="300"/>
      <c r="P496" s="300"/>
      <c r="Q496" s="300"/>
      <c r="R496" s="300"/>
      <c r="S496" s="300"/>
      <c r="T496" s="300"/>
      <c r="U496" s="300"/>
      <c r="V496" s="300"/>
      <c r="W496" s="300"/>
      <c r="X496" s="300"/>
      <c r="Y496" s="300"/>
      <c r="Z496" s="300"/>
      <c r="AA496" s="300"/>
      <c r="AB496" s="300"/>
      <c r="AC496" s="300"/>
      <c r="AD496" s="300"/>
      <c r="AE496" s="300"/>
    </row>
    <row r="497" spans="15:31">
      <c r="O497" s="300"/>
      <c r="P497" s="300"/>
      <c r="Q497" s="300"/>
      <c r="R497" s="300"/>
      <c r="S497" s="300"/>
      <c r="T497" s="300"/>
      <c r="U497" s="300"/>
      <c r="V497" s="300"/>
      <c r="W497" s="300"/>
      <c r="X497" s="300"/>
      <c r="Y497" s="300"/>
      <c r="Z497" s="300"/>
      <c r="AA497" s="300"/>
      <c r="AB497" s="300"/>
      <c r="AC497" s="300"/>
      <c r="AD497" s="300"/>
      <c r="AE497" s="300"/>
    </row>
    <row r="498" spans="15:31">
      <c r="O498" s="300"/>
      <c r="P498" s="300"/>
      <c r="Q498" s="300"/>
      <c r="R498" s="300"/>
      <c r="S498" s="300"/>
      <c r="T498" s="300"/>
      <c r="U498" s="300"/>
      <c r="V498" s="300"/>
      <c r="W498" s="300"/>
      <c r="X498" s="300"/>
      <c r="Y498" s="300"/>
      <c r="Z498" s="300"/>
      <c r="AA498" s="300"/>
      <c r="AB498" s="300"/>
      <c r="AC498" s="300"/>
      <c r="AD498" s="300"/>
      <c r="AE498" s="300"/>
    </row>
    <row r="499" spans="15:31">
      <c r="O499" s="300"/>
      <c r="P499" s="300"/>
      <c r="Q499" s="300"/>
      <c r="R499" s="300"/>
      <c r="S499" s="300"/>
      <c r="T499" s="300"/>
      <c r="U499" s="300"/>
      <c r="V499" s="300"/>
      <c r="W499" s="300"/>
      <c r="X499" s="300"/>
      <c r="Y499" s="300"/>
      <c r="Z499" s="300"/>
      <c r="AA499" s="300"/>
      <c r="AB499" s="300"/>
      <c r="AC499" s="300"/>
      <c r="AD499" s="300"/>
      <c r="AE499" s="300"/>
    </row>
    <row r="500" spans="15:31">
      <c r="O500" s="300"/>
      <c r="P500" s="300"/>
      <c r="Q500" s="300"/>
      <c r="R500" s="300"/>
      <c r="S500" s="300"/>
      <c r="T500" s="300"/>
      <c r="U500" s="300"/>
      <c r="V500" s="300"/>
      <c r="W500" s="300"/>
      <c r="X500" s="300"/>
      <c r="Y500" s="300"/>
      <c r="Z500" s="300"/>
      <c r="AA500" s="300"/>
      <c r="AB500" s="300"/>
      <c r="AC500" s="300"/>
      <c r="AD500" s="300"/>
      <c r="AE500" s="300"/>
    </row>
    <row r="501" spans="15:31">
      <c r="O501" s="300"/>
      <c r="P501" s="300"/>
      <c r="Q501" s="300"/>
      <c r="R501" s="300"/>
      <c r="S501" s="300"/>
      <c r="T501" s="300"/>
      <c r="U501" s="300"/>
      <c r="V501" s="300"/>
      <c r="W501" s="300"/>
      <c r="X501" s="300"/>
      <c r="Y501" s="300"/>
      <c r="Z501" s="300"/>
      <c r="AA501" s="300"/>
      <c r="AB501" s="300"/>
      <c r="AC501" s="300"/>
      <c r="AD501" s="300"/>
      <c r="AE501" s="300"/>
    </row>
    <row r="502" spans="15:31">
      <c r="O502" s="300"/>
      <c r="P502" s="300"/>
      <c r="Q502" s="300"/>
      <c r="R502" s="300"/>
      <c r="S502" s="300"/>
      <c r="T502" s="300"/>
      <c r="U502" s="300"/>
      <c r="V502" s="300"/>
      <c r="W502" s="300"/>
      <c r="X502" s="300"/>
      <c r="Y502" s="300"/>
      <c r="Z502" s="300"/>
      <c r="AA502" s="300"/>
      <c r="AB502" s="300"/>
      <c r="AC502" s="300"/>
      <c r="AD502" s="300"/>
      <c r="AE502" s="300"/>
    </row>
    <row r="503" spans="15:31">
      <c r="O503" s="300"/>
      <c r="P503" s="300"/>
      <c r="Q503" s="300"/>
      <c r="R503" s="300"/>
      <c r="S503" s="300"/>
      <c r="T503" s="300"/>
      <c r="U503" s="300"/>
      <c r="V503" s="300"/>
      <c r="W503" s="300"/>
      <c r="X503" s="300"/>
      <c r="Y503" s="300"/>
      <c r="Z503" s="300"/>
      <c r="AA503" s="300"/>
      <c r="AB503" s="300"/>
      <c r="AC503" s="300"/>
      <c r="AD503" s="300"/>
      <c r="AE503" s="300"/>
    </row>
    <row r="504" spans="15:31">
      <c r="O504" s="300"/>
      <c r="P504" s="300"/>
      <c r="Q504" s="300"/>
      <c r="R504" s="300"/>
      <c r="S504" s="300"/>
      <c r="T504" s="300"/>
      <c r="U504" s="300"/>
      <c r="V504" s="300"/>
      <c r="W504" s="300"/>
      <c r="X504" s="300"/>
      <c r="Y504" s="300"/>
      <c r="Z504" s="300"/>
      <c r="AA504" s="300"/>
      <c r="AB504" s="300"/>
      <c r="AC504" s="300"/>
      <c r="AD504" s="300"/>
      <c r="AE504" s="300"/>
    </row>
    <row r="505" spans="15:31">
      <c r="O505" s="300"/>
      <c r="P505" s="300"/>
      <c r="Q505" s="300"/>
      <c r="R505" s="300"/>
      <c r="S505" s="300"/>
      <c r="T505" s="300"/>
      <c r="U505" s="300"/>
      <c r="V505" s="300"/>
      <c r="W505" s="300"/>
      <c r="X505" s="300"/>
      <c r="Y505" s="300"/>
      <c r="Z505" s="300"/>
      <c r="AA505" s="300"/>
      <c r="AB505" s="300"/>
      <c r="AC505" s="300"/>
      <c r="AD505" s="300"/>
      <c r="AE505" s="300"/>
    </row>
    <row r="506" spans="15:31">
      <c r="O506" s="300"/>
      <c r="P506" s="300"/>
      <c r="Q506" s="300"/>
      <c r="R506" s="300"/>
      <c r="S506" s="300"/>
      <c r="T506" s="300"/>
      <c r="U506" s="300"/>
      <c r="V506" s="300"/>
      <c r="W506" s="300"/>
      <c r="X506" s="300"/>
      <c r="Y506" s="300"/>
      <c r="Z506" s="300"/>
      <c r="AA506" s="300"/>
      <c r="AB506" s="300"/>
      <c r="AC506" s="300"/>
      <c r="AD506" s="300"/>
      <c r="AE506" s="300"/>
    </row>
    <row r="507" spans="15:31">
      <c r="O507" s="300"/>
      <c r="P507" s="300"/>
      <c r="Q507" s="300"/>
      <c r="R507" s="300"/>
      <c r="S507" s="300"/>
      <c r="T507" s="300"/>
      <c r="U507" s="300"/>
      <c r="V507" s="300"/>
      <c r="W507" s="300"/>
      <c r="X507" s="300"/>
      <c r="Y507" s="300"/>
      <c r="Z507" s="300"/>
      <c r="AA507" s="300"/>
      <c r="AB507" s="300"/>
      <c r="AC507" s="300"/>
      <c r="AD507" s="300"/>
      <c r="AE507" s="300"/>
    </row>
    <row r="508" spans="15:31">
      <c r="O508" s="300"/>
      <c r="P508" s="300"/>
      <c r="Q508" s="300"/>
      <c r="R508" s="300"/>
      <c r="S508" s="300"/>
      <c r="T508" s="300"/>
      <c r="U508" s="300"/>
      <c r="V508" s="300"/>
      <c r="W508" s="300"/>
      <c r="X508" s="300"/>
      <c r="Y508" s="300"/>
      <c r="Z508" s="300"/>
      <c r="AA508" s="300"/>
      <c r="AB508" s="300"/>
      <c r="AC508" s="300"/>
      <c r="AD508" s="300"/>
      <c r="AE508" s="300"/>
    </row>
    <row r="509" spans="15:31">
      <c r="O509" s="300"/>
      <c r="P509" s="300"/>
      <c r="Q509" s="300"/>
      <c r="R509" s="300"/>
      <c r="S509" s="300"/>
      <c r="T509" s="300"/>
      <c r="U509" s="300"/>
      <c r="V509" s="300"/>
      <c r="W509" s="300"/>
      <c r="X509" s="300"/>
      <c r="Y509" s="300"/>
      <c r="Z509" s="300"/>
      <c r="AA509" s="300"/>
      <c r="AB509" s="300"/>
      <c r="AC509" s="300"/>
      <c r="AD509" s="300"/>
      <c r="AE509" s="300"/>
    </row>
    <row r="510" spans="15:31">
      <c r="O510" s="300"/>
      <c r="P510" s="300"/>
      <c r="Q510" s="300"/>
      <c r="R510" s="300"/>
      <c r="S510" s="300"/>
      <c r="T510" s="300"/>
      <c r="U510" s="300"/>
      <c r="V510" s="300"/>
      <c r="W510" s="300"/>
      <c r="X510" s="300"/>
      <c r="Y510" s="300"/>
      <c r="Z510" s="300"/>
      <c r="AA510" s="300"/>
      <c r="AB510" s="300"/>
      <c r="AC510" s="300"/>
      <c r="AD510" s="300"/>
      <c r="AE510" s="300"/>
    </row>
    <row r="511" spans="15:31">
      <c r="O511" s="300"/>
      <c r="P511" s="300"/>
      <c r="Q511" s="300"/>
      <c r="R511" s="300"/>
      <c r="S511" s="300"/>
      <c r="T511" s="300"/>
      <c r="U511" s="300"/>
      <c r="V511" s="300"/>
      <c r="W511" s="300"/>
      <c r="X511" s="300"/>
      <c r="Y511" s="300"/>
      <c r="Z511" s="300"/>
      <c r="AA511" s="300"/>
      <c r="AB511" s="300"/>
      <c r="AC511" s="300"/>
      <c r="AD511" s="300"/>
      <c r="AE511" s="300"/>
    </row>
    <row r="512" spans="15:31">
      <c r="O512" s="300"/>
      <c r="P512" s="300"/>
      <c r="Q512" s="300"/>
      <c r="R512" s="300"/>
      <c r="S512" s="300"/>
      <c r="T512" s="300"/>
      <c r="U512" s="300"/>
      <c r="V512" s="300"/>
      <c r="W512" s="300"/>
      <c r="X512" s="300"/>
      <c r="Y512" s="300"/>
      <c r="Z512" s="300"/>
      <c r="AA512" s="300"/>
      <c r="AB512" s="300"/>
      <c r="AC512" s="300"/>
      <c r="AD512" s="300"/>
      <c r="AE512" s="300"/>
    </row>
    <row r="513" spans="15:31">
      <c r="O513" s="300"/>
      <c r="P513" s="300"/>
      <c r="Q513" s="300"/>
      <c r="R513" s="300"/>
      <c r="S513" s="300"/>
      <c r="T513" s="300"/>
      <c r="U513" s="300"/>
      <c r="V513" s="300"/>
      <c r="W513" s="300"/>
      <c r="X513" s="300"/>
      <c r="Y513" s="300"/>
      <c r="Z513" s="300"/>
      <c r="AA513" s="300"/>
      <c r="AB513" s="300"/>
      <c r="AC513" s="300"/>
      <c r="AD513" s="300"/>
      <c r="AE513" s="300"/>
    </row>
    <row r="514" spans="15:31">
      <c r="O514" s="300"/>
      <c r="P514" s="300"/>
      <c r="Q514" s="300"/>
      <c r="R514" s="300"/>
      <c r="S514" s="300"/>
      <c r="T514" s="300"/>
      <c r="U514" s="300"/>
      <c r="V514" s="300"/>
      <c r="W514" s="300"/>
      <c r="X514" s="300"/>
      <c r="Y514" s="300"/>
      <c r="Z514" s="300"/>
      <c r="AA514" s="300"/>
      <c r="AB514" s="300"/>
      <c r="AC514" s="300"/>
      <c r="AD514" s="300"/>
      <c r="AE514" s="300"/>
    </row>
    <row r="515" spans="15:31">
      <c r="O515" s="300"/>
      <c r="P515" s="300"/>
      <c r="Q515" s="300"/>
      <c r="R515" s="300"/>
      <c r="S515" s="300"/>
      <c r="T515" s="300"/>
      <c r="U515" s="300"/>
      <c r="V515" s="300"/>
      <c r="W515" s="300"/>
      <c r="X515" s="300"/>
      <c r="Y515" s="300"/>
      <c r="Z515" s="300"/>
      <c r="AA515" s="300"/>
      <c r="AB515" s="300"/>
      <c r="AC515" s="300"/>
      <c r="AD515" s="300"/>
      <c r="AE515" s="300"/>
    </row>
    <row r="516" spans="15:31">
      <c r="O516" s="300"/>
      <c r="P516" s="300"/>
      <c r="Q516" s="300"/>
      <c r="R516" s="300"/>
      <c r="S516" s="300"/>
      <c r="T516" s="300"/>
      <c r="U516" s="300"/>
      <c r="V516" s="300"/>
      <c r="W516" s="300"/>
      <c r="X516" s="300"/>
      <c r="Y516" s="300"/>
      <c r="Z516" s="300"/>
      <c r="AA516" s="300"/>
      <c r="AB516" s="300"/>
      <c r="AC516" s="300"/>
      <c r="AD516" s="300"/>
      <c r="AE516" s="300"/>
    </row>
    <row r="517" spans="15:31">
      <c r="O517" s="300"/>
      <c r="P517" s="300"/>
      <c r="Q517" s="300"/>
      <c r="R517" s="300"/>
      <c r="S517" s="300"/>
      <c r="T517" s="300"/>
      <c r="U517" s="300"/>
      <c r="V517" s="300"/>
      <c r="W517" s="300"/>
      <c r="X517" s="300"/>
      <c r="Y517" s="300"/>
      <c r="Z517" s="300"/>
      <c r="AA517" s="300"/>
      <c r="AB517" s="300"/>
      <c r="AC517" s="300"/>
      <c r="AD517" s="300"/>
      <c r="AE517" s="300"/>
    </row>
    <row r="518" spans="15:31">
      <c r="O518" s="300"/>
      <c r="P518" s="300"/>
      <c r="Q518" s="300"/>
      <c r="R518" s="300"/>
      <c r="S518" s="300"/>
      <c r="T518" s="300"/>
      <c r="U518" s="300"/>
      <c r="V518" s="300"/>
      <c r="W518" s="300"/>
      <c r="X518" s="300"/>
      <c r="Y518" s="300"/>
      <c r="Z518" s="300"/>
      <c r="AA518" s="300"/>
      <c r="AB518" s="300"/>
      <c r="AC518" s="300"/>
      <c r="AD518" s="300"/>
      <c r="AE518" s="300"/>
    </row>
    <row r="519" spans="15:31">
      <c r="O519" s="300"/>
      <c r="P519" s="300"/>
      <c r="Q519" s="300"/>
      <c r="R519" s="300"/>
      <c r="S519" s="300"/>
      <c r="T519" s="300"/>
      <c r="U519" s="300"/>
      <c r="V519" s="300"/>
      <c r="W519" s="300"/>
      <c r="X519" s="300"/>
      <c r="Y519" s="300"/>
      <c r="Z519" s="300"/>
      <c r="AA519" s="300"/>
      <c r="AB519" s="300"/>
      <c r="AC519" s="300"/>
      <c r="AD519" s="300"/>
      <c r="AE519" s="300"/>
    </row>
    <row r="520" spans="15:31">
      <c r="O520" s="300"/>
      <c r="P520" s="300"/>
      <c r="Q520" s="300"/>
      <c r="R520" s="300"/>
      <c r="S520" s="300"/>
      <c r="T520" s="300"/>
      <c r="U520" s="300"/>
      <c r="V520" s="300"/>
      <c r="W520" s="300"/>
      <c r="X520" s="300"/>
      <c r="Y520" s="300"/>
      <c r="Z520" s="300"/>
      <c r="AA520" s="300"/>
      <c r="AB520" s="300"/>
      <c r="AC520" s="300"/>
      <c r="AD520" s="300"/>
      <c r="AE520" s="300"/>
    </row>
    <row r="521" spans="15:31">
      <c r="O521" s="300"/>
      <c r="P521" s="300"/>
      <c r="Q521" s="300"/>
      <c r="R521" s="300"/>
      <c r="S521" s="300"/>
      <c r="T521" s="300"/>
      <c r="U521" s="300"/>
      <c r="V521" s="300"/>
      <c r="W521" s="300"/>
      <c r="X521" s="300"/>
      <c r="Y521" s="300"/>
      <c r="Z521" s="300"/>
      <c r="AA521" s="300"/>
      <c r="AB521" s="300"/>
      <c r="AC521" s="300"/>
      <c r="AD521" s="300"/>
      <c r="AE521" s="300"/>
    </row>
    <row r="522" spans="15:31">
      <c r="O522" s="300"/>
      <c r="P522" s="300"/>
      <c r="Q522" s="300"/>
      <c r="R522" s="300"/>
      <c r="S522" s="300"/>
      <c r="T522" s="300"/>
      <c r="U522" s="300"/>
      <c r="V522" s="300"/>
      <c r="W522" s="300"/>
      <c r="X522" s="300"/>
      <c r="Y522" s="300"/>
      <c r="Z522" s="300"/>
      <c r="AA522" s="300"/>
      <c r="AB522" s="300"/>
      <c r="AC522" s="300"/>
      <c r="AD522" s="300"/>
      <c r="AE522" s="300"/>
    </row>
    <row r="523" spans="15:31">
      <c r="O523" s="300"/>
      <c r="P523" s="300"/>
      <c r="Q523" s="300"/>
      <c r="R523" s="300"/>
      <c r="S523" s="300"/>
      <c r="T523" s="300"/>
      <c r="U523" s="300"/>
      <c r="V523" s="300"/>
      <c r="W523" s="300"/>
      <c r="X523" s="300"/>
      <c r="Y523" s="300"/>
      <c r="Z523" s="300"/>
      <c r="AA523" s="300"/>
      <c r="AB523" s="300"/>
      <c r="AC523" s="300"/>
      <c r="AD523" s="300"/>
      <c r="AE523" s="300"/>
    </row>
    <row r="524" spans="15:31">
      <c r="O524" s="300"/>
      <c r="P524" s="300"/>
      <c r="Q524" s="300"/>
      <c r="R524" s="300"/>
      <c r="S524" s="300"/>
      <c r="T524" s="300"/>
      <c r="U524" s="300"/>
      <c r="V524" s="300"/>
      <c r="W524" s="300"/>
      <c r="X524" s="300"/>
      <c r="Y524" s="300"/>
      <c r="Z524" s="300"/>
      <c r="AA524" s="300"/>
      <c r="AB524" s="300"/>
      <c r="AC524" s="300"/>
      <c r="AD524" s="300"/>
      <c r="AE524" s="300"/>
    </row>
    <row r="525" spans="15:31">
      <c r="O525" s="300"/>
      <c r="P525" s="300"/>
      <c r="Q525" s="300"/>
      <c r="R525" s="300"/>
      <c r="S525" s="300"/>
      <c r="T525" s="300"/>
      <c r="U525" s="300"/>
      <c r="V525" s="300"/>
      <c r="W525" s="300"/>
      <c r="X525" s="300"/>
      <c r="Y525" s="300"/>
      <c r="Z525" s="300"/>
      <c r="AA525" s="300"/>
      <c r="AB525" s="300"/>
      <c r="AC525" s="300"/>
      <c r="AD525" s="300"/>
      <c r="AE525" s="300"/>
    </row>
    <row r="526" spans="15:31">
      <c r="O526" s="300"/>
      <c r="P526" s="300"/>
      <c r="Q526" s="300"/>
      <c r="R526" s="300"/>
      <c r="S526" s="300"/>
      <c r="T526" s="300"/>
      <c r="U526" s="300"/>
      <c r="V526" s="300"/>
      <c r="W526" s="300"/>
      <c r="X526" s="300"/>
      <c r="Y526" s="300"/>
      <c r="Z526" s="300"/>
      <c r="AA526" s="300"/>
      <c r="AB526" s="300"/>
      <c r="AC526" s="300"/>
      <c r="AD526" s="300"/>
      <c r="AE526" s="300"/>
    </row>
    <row r="527" spans="15:31">
      <c r="O527" s="300"/>
      <c r="P527" s="300"/>
      <c r="Q527" s="300"/>
      <c r="R527" s="300"/>
      <c r="S527" s="300"/>
      <c r="T527" s="300"/>
      <c r="U527" s="300"/>
      <c r="V527" s="300"/>
      <c r="W527" s="300"/>
      <c r="X527" s="300"/>
      <c r="Y527" s="300"/>
      <c r="Z527" s="300"/>
      <c r="AA527" s="300"/>
      <c r="AB527" s="300"/>
      <c r="AC527" s="300"/>
      <c r="AD527" s="300"/>
      <c r="AE527" s="300"/>
    </row>
    <row r="528" spans="15:31">
      <c r="O528" s="300"/>
      <c r="P528" s="300"/>
      <c r="Q528" s="300"/>
      <c r="R528" s="300"/>
      <c r="S528" s="300"/>
      <c r="T528" s="300"/>
      <c r="U528" s="300"/>
      <c r="V528" s="300"/>
      <c r="W528" s="300"/>
      <c r="X528" s="300"/>
      <c r="Y528" s="300"/>
      <c r="Z528" s="300"/>
      <c r="AA528" s="300"/>
      <c r="AB528" s="300"/>
      <c r="AC528" s="300"/>
      <c r="AD528" s="300"/>
      <c r="AE528" s="300"/>
    </row>
    <row r="529" spans="15:31">
      <c r="O529" s="300"/>
      <c r="P529" s="300"/>
      <c r="Q529" s="300"/>
      <c r="R529" s="300"/>
      <c r="S529" s="300"/>
      <c r="T529" s="300"/>
      <c r="U529" s="300"/>
      <c r="V529" s="300"/>
      <c r="W529" s="300"/>
      <c r="X529" s="300"/>
      <c r="Y529" s="300"/>
      <c r="Z529" s="300"/>
      <c r="AA529" s="300"/>
      <c r="AB529" s="300"/>
      <c r="AC529" s="300"/>
      <c r="AD529" s="300"/>
      <c r="AE529" s="300"/>
    </row>
    <row r="530" spans="15:31">
      <c r="O530" s="300"/>
      <c r="P530" s="300"/>
      <c r="Q530" s="300"/>
      <c r="R530" s="300"/>
      <c r="S530" s="300"/>
      <c r="T530" s="300"/>
      <c r="U530" s="300"/>
      <c r="V530" s="300"/>
      <c r="W530" s="300"/>
      <c r="X530" s="300"/>
      <c r="Y530" s="300"/>
      <c r="Z530" s="300"/>
      <c r="AA530" s="300"/>
      <c r="AB530" s="300"/>
      <c r="AC530" s="300"/>
      <c r="AD530" s="300"/>
      <c r="AE530" s="300"/>
    </row>
    <row r="531" spans="15:31">
      <c r="O531" s="300"/>
      <c r="P531" s="300"/>
      <c r="Q531" s="300"/>
      <c r="R531" s="300"/>
      <c r="S531" s="300"/>
      <c r="T531" s="300"/>
      <c r="U531" s="300"/>
      <c r="V531" s="300"/>
      <c r="W531" s="300"/>
      <c r="X531" s="300"/>
      <c r="Y531" s="300"/>
      <c r="Z531" s="300"/>
      <c r="AA531" s="300"/>
      <c r="AB531" s="300"/>
      <c r="AC531" s="300"/>
      <c r="AD531" s="300"/>
      <c r="AE531" s="300"/>
    </row>
    <row r="532" spans="15:31">
      <c r="O532" s="300"/>
      <c r="P532" s="300"/>
      <c r="Q532" s="300"/>
      <c r="R532" s="300"/>
      <c r="S532" s="300"/>
      <c r="T532" s="300"/>
      <c r="U532" s="300"/>
      <c r="V532" s="300"/>
      <c r="W532" s="300"/>
      <c r="X532" s="300"/>
      <c r="Y532" s="300"/>
      <c r="Z532" s="300"/>
      <c r="AA532" s="300"/>
      <c r="AB532" s="300"/>
      <c r="AC532" s="300"/>
      <c r="AD532" s="300"/>
      <c r="AE532" s="300"/>
    </row>
    <row r="533" spans="15:31">
      <c r="O533" s="300"/>
      <c r="P533" s="300"/>
      <c r="Q533" s="300"/>
      <c r="R533" s="300"/>
      <c r="S533" s="300"/>
      <c r="T533" s="300"/>
      <c r="U533" s="300"/>
      <c r="V533" s="300"/>
      <c r="W533" s="300"/>
      <c r="X533" s="300"/>
      <c r="Y533" s="300"/>
      <c r="Z533" s="300"/>
      <c r="AA533" s="300"/>
      <c r="AB533" s="300"/>
      <c r="AC533" s="300"/>
      <c r="AD533" s="300"/>
      <c r="AE533" s="300"/>
    </row>
    <row r="534" spans="15:31">
      <c r="O534" s="300"/>
      <c r="P534" s="300"/>
      <c r="Q534" s="300"/>
      <c r="R534" s="300"/>
      <c r="S534" s="300"/>
      <c r="T534" s="300"/>
      <c r="U534" s="300"/>
      <c r="V534" s="300"/>
      <c r="W534" s="300"/>
      <c r="X534" s="300"/>
      <c r="Y534" s="300"/>
      <c r="Z534" s="300"/>
      <c r="AA534" s="300"/>
      <c r="AB534" s="300"/>
      <c r="AC534" s="300"/>
      <c r="AD534" s="300"/>
      <c r="AE534" s="300"/>
    </row>
    <row r="535" spans="15:31">
      <c r="O535" s="300"/>
      <c r="P535" s="300"/>
      <c r="Q535" s="300"/>
      <c r="R535" s="300"/>
      <c r="S535" s="300"/>
      <c r="T535" s="300"/>
      <c r="U535" s="300"/>
      <c r="V535" s="300"/>
      <c r="W535" s="300"/>
      <c r="X535" s="300"/>
      <c r="Y535" s="300"/>
      <c r="Z535" s="300"/>
      <c r="AA535" s="300"/>
      <c r="AB535" s="300"/>
      <c r="AC535" s="300"/>
      <c r="AD535" s="300"/>
      <c r="AE535" s="300"/>
    </row>
    <row r="536" spans="15:31">
      <c r="O536" s="300"/>
      <c r="P536" s="300"/>
      <c r="Q536" s="300"/>
      <c r="R536" s="300"/>
      <c r="S536" s="300"/>
      <c r="T536" s="300"/>
      <c r="U536" s="300"/>
      <c r="V536" s="300"/>
      <c r="W536" s="300"/>
      <c r="X536" s="300"/>
      <c r="Y536" s="300"/>
      <c r="Z536" s="300"/>
      <c r="AA536" s="300"/>
      <c r="AB536" s="300"/>
      <c r="AC536" s="300"/>
      <c r="AD536" s="300"/>
      <c r="AE536" s="300"/>
    </row>
    <row r="537" spans="15:31">
      <c r="O537" s="300"/>
      <c r="P537" s="300"/>
      <c r="Q537" s="300"/>
      <c r="R537" s="300"/>
      <c r="S537" s="300"/>
      <c r="T537" s="300"/>
      <c r="U537" s="300"/>
      <c r="V537" s="300"/>
      <c r="W537" s="300"/>
      <c r="X537" s="300"/>
      <c r="Y537" s="300"/>
      <c r="Z537" s="300"/>
      <c r="AA537" s="300"/>
      <c r="AB537" s="300"/>
      <c r="AC537" s="300"/>
      <c r="AD537" s="300"/>
      <c r="AE537" s="300"/>
    </row>
    <row r="538" spans="15:31">
      <c r="O538" s="300"/>
      <c r="P538" s="300"/>
      <c r="Q538" s="300"/>
      <c r="R538" s="300"/>
      <c r="S538" s="300"/>
      <c r="T538" s="300"/>
      <c r="U538" s="300"/>
      <c r="V538" s="300"/>
      <c r="W538" s="300"/>
      <c r="X538" s="300"/>
      <c r="Y538" s="300"/>
      <c r="Z538" s="300"/>
      <c r="AA538" s="300"/>
      <c r="AB538" s="300"/>
      <c r="AC538" s="300"/>
      <c r="AD538" s="300"/>
      <c r="AE538" s="300"/>
    </row>
    <row r="539" spans="15:31">
      <c r="O539" s="300"/>
      <c r="P539" s="300"/>
      <c r="Q539" s="300"/>
      <c r="R539" s="300"/>
      <c r="S539" s="300"/>
      <c r="T539" s="300"/>
      <c r="U539" s="300"/>
      <c r="V539" s="300"/>
      <c r="W539" s="300"/>
      <c r="X539" s="300"/>
      <c r="Y539" s="300"/>
      <c r="Z539" s="300"/>
      <c r="AA539" s="300"/>
      <c r="AB539" s="300"/>
      <c r="AC539" s="300"/>
      <c r="AD539" s="300"/>
      <c r="AE539" s="300"/>
    </row>
    <row r="540" spans="15:31">
      <c r="O540" s="300"/>
      <c r="P540" s="300"/>
      <c r="Q540" s="300"/>
      <c r="R540" s="300"/>
      <c r="S540" s="300"/>
      <c r="T540" s="300"/>
      <c r="U540" s="300"/>
      <c r="V540" s="300"/>
      <c r="W540" s="300"/>
      <c r="X540" s="300"/>
      <c r="Y540" s="300"/>
      <c r="Z540" s="300"/>
      <c r="AA540" s="300"/>
      <c r="AB540" s="300"/>
      <c r="AC540" s="300"/>
      <c r="AD540" s="300"/>
      <c r="AE540" s="300"/>
    </row>
    <row r="541" spans="15:31">
      <c r="O541" s="300"/>
      <c r="P541" s="300"/>
      <c r="Q541" s="300"/>
      <c r="R541" s="300"/>
      <c r="S541" s="300"/>
      <c r="T541" s="300"/>
      <c r="U541" s="300"/>
      <c r="V541" s="300"/>
      <c r="W541" s="300"/>
      <c r="X541" s="300"/>
      <c r="Y541" s="300"/>
      <c r="Z541" s="300"/>
      <c r="AA541" s="300"/>
      <c r="AB541" s="300"/>
      <c r="AC541" s="300"/>
      <c r="AD541" s="300"/>
      <c r="AE541" s="300"/>
    </row>
    <row r="542" spans="15:31">
      <c r="O542" s="300"/>
      <c r="P542" s="300"/>
      <c r="Q542" s="300"/>
      <c r="R542" s="300"/>
      <c r="S542" s="300"/>
      <c r="T542" s="300"/>
      <c r="U542" s="300"/>
      <c r="V542" s="300"/>
      <c r="W542" s="300"/>
      <c r="X542" s="300"/>
      <c r="Y542" s="300"/>
      <c r="Z542" s="300"/>
      <c r="AA542" s="300"/>
      <c r="AB542" s="300"/>
      <c r="AC542" s="300"/>
      <c r="AD542" s="300"/>
      <c r="AE542" s="300"/>
    </row>
    <row r="543" spans="15:31">
      <c r="O543" s="300"/>
      <c r="P543" s="300"/>
      <c r="Q543" s="300"/>
      <c r="R543" s="300"/>
      <c r="S543" s="300"/>
      <c r="T543" s="300"/>
      <c r="U543" s="300"/>
      <c r="V543" s="300"/>
      <c r="W543" s="300"/>
      <c r="X543" s="300"/>
      <c r="Y543" s="300"/>
      <c r="Z543" s="300"/>
      <c r="AA543" s="300"/>
      <c r="AB543" s="300"/>
      <c r="AC543" s="300"/>
      <c r="AD543" s="300"/>
      <c r="AE543" s="300"/>
    </row>
    <row r="544" spans="15:31">
      <c r="O544" s="300"/>
      <c r="P544" s="300"/>
      <c r="Q544" s="300"/>
      <c r="R544" s="300"/>
      <c r="S544" s="300"/>
      <c r="T544" s="300"/>
      <c r="U544" s="300"/>
      <c r="V544" s="300"/>
      <c r="W544" s="300"/>
      <c r="X544" s="300"/>
      <c r="Y544" s="300"/>
      <c r="Z544" s="300"/>
      <c r="AA544" s="300"/>
      <c r="AB544" s="300"/>
      <c r="AC544" s="300"/>
      <c r="AD544" s="300"/>
      <c r="AE544" s="300"/>
    </row>
    <row r="545" spans="15:31">
      <c r="O545" s="300"/>
      <c r="P545" s="300"/>
      <c r="Q545" s="300"/>
      <c r="R545" s="300"/>
      <c r="S545" s="300"/>
      <c r="T545" s="300"/>
      <c r="U545" s="300"/>
      <c r="V545" s="300"/>
      <c r="W545" s="300"/>
      <c r="X545" s="300"/>
      <c r="Y545" s="300"/>
      <c r="Z545" s="300"/>
      <c r="AA545" s="300"/>
      <c r="AB545" s="300"/>
      <c r="AC545" s="300"/>
      <c r="AD545" s="300"/>
      <c r="AE545" s="300"/>
    </row>
    <row r="546" spans="15:31">
      <c r="O546" s="300"/>
      <c r="P546" s="300"/>
      <c r="Q546" s="300"/>
      <c r="R546" s="300"/>
      <c r="S546" s="300"/>
      <c r="T546" s="300"/>
      <c r="U546" s="300"/>
      <c r="V546" s="300"/>
      <c r="W546" s="300"/>
      <c r="X546" s="300"/>
      <c r="Y546" s="300"/>
      <c r="Z546" s="300"/>
      <c r="AA546" s="300"/>
      <c r="AB546" s="300"/>
      <c r="AC546" s="300"/>
      <c r="AD546" s="300"/>
      <c r="AE546" s="300"/>
    </row>
    <row r="547" spans="15:31">
      <c r="O547" s="300"/>
      <c r="P547" s="300"/>
      <c r="Q547" s="300"/>
      <c r="R547" s="300"/>
      <c r="S547" s="300"/>
      <c r="T547" s="300"/>
      <c r="U547" s="300"/>
      <c r="V547" s="300"/>
      <c r="W547" s="300"/>
      <c r="X547" s="300"/>
      <c r="Y547" s="300"/>
      <c r="Z547" s="300"/>
      <c r="AA547" s="300"/>
      <c r="AB547" s="300"/>
      <c r="AC547" s="300"/>
      <c r="AD547" s="300"/>
      <c r="AE547" s="300"/>
    </row>
    <row r="548" spans="15:31">
      <c r="O548" s="300"/>
      <c r="P548" s="300"/>
      <c r="Q548" s="300"/>
      <c r="R548" s="300"/>
      <c r="S548" s="300"/>
      <c r="T548" s="300"/>
      <c r="U548" s="300"/>
      <c r="V548" s="300"/>
      <c r="W548" s="300"/>
      <c r="X548" s="300"/>
      <c r="Y548" s="300"/>
      <c r="Z548" s="300"/>
      <c r="AA548" s="300"/>
      <c r="AB548" s="300"/>
      <c r="AC548" s="300"/>
      <c r="AD548" s="300"/>
      <c r="AE548" s="300"/>
    </row>
    <row r="549" spans="15:31">
      <c r="O549" s="300"/>
      <c r="P549" s="300"/>
      <c r="Q549" s="300"/>
      <c r="R549" s="300"/>
      <c r="S549" s="300"/>
      <c r="T549" s="300"/>
      <c r="U549" s="300"/>
      <c r="V549" s="300"/>
      <c r="W549" s="300"/>
      <c r="X549" s="300"/>
      <c r="Y549" s="300"/>
      <c r="Z549" s="300"/>
      <c r="AA549" s="300"/>
      <c r="AB549" s="300"/>
      <c r="AC549" s="300"/>
      <c r="AD549" s="300"/>
      <c r="AE549" s="300"/>
    </row>
    <row r="550" spans="15:31">
      <c r="O550" s="300"/>
      <c r="P550" s="300"/>
      <c r="Q550" s="300"/>
      <c r="R550" s="300"/>
      <c r="S550" s="300"/>
      <c r="T550" s="300"/>
      <c r="U550" s="300"/>
      <c r="V550" s="300"/>
      <c r="W550" s="300"/>
      <c r="X550" s="300"/>
      <c r="Y550" s="300"/>
      <c r="Z550" s="300"/>
      <c r="AA550" s="300"/>
      <c r="AB550" s="300"/>
      <c r="AC550" s="300"/>
      <c r="AD550" s="300"/>
      <c r="AE550" s="300"/>
    </row>
    <row r="551" spans="15:31">
      <c r="O551" s="300"/>
      <c r="P551" s="300"/>
      <c r="Q551" s="300"/>
      <c r="R551" s="300"/>
      <c r="S551" s="300"/>
      <c r="T551" s="300"/>
      <c r="U551" s="300"/>
      <c r="V551" s="300"/>
      <c r="W551" s="300"/>
      <c r="X551" s="300"/>
      <c r="Y551" s="300"/>
      <c r="Z551" s="300"/>
      <c r="AA551" s="300"/>
      <c r="AB551" s="300"/>
      <c r="AC551" s="300"/>
      <c r="AD551" s="300"/>
      <c r="AE551" s="300"/>
    </row>
    <row r="552" spans="15:31">
      <c r="O552" s="300"/>
      <c r="P552" s="300"/>
      <c r="Q552" s="300"/>
      <c r="R552" s="300"/>
      <c r="S552" s="300"/>
      <c r="T552" s="300"/>
      <c r="U552" s="300"/>
      <c r="V552" s="300"/>
      <c r="W552" s="300"/>
      <c r="X552" s="300"/>
      <c r="Y552" s="300"/>
      <c r="Z552" s="300"/>
      <c r="AA552" s="300"/>
      <c r="AB552" s="300"/>
      <c r="AC552" s="300"/>
      <c r="AD552" s="300"/>
      <c r="AE552" s="300"/>
    </row>
    <row r="553" spans="15:31">
      <c r="O553" s="300"/>
      <c r="P553" s="300"/>
      <c r="Q553" s="300"/>
      <c r="R553" s="300"/>
      <c r="S553" s="300"/>
      <c r="T553" s="300"/>
      <c r="U553" s="300"/>
      <c r="V553" s="300"/>
      <c r="W553" s="300"/>
      <c r="X553" s="300"/>
      <c r="Y553" s="300"/>
      <c r="Z553" s="300"/>
      <c r="AA553" s="300"/>
      <c r="AB553" s="300"/>
      <c r="AC553" s="300"/>
      <c r="AD553" s="300"/>
      <c r="AE553" s="300"/>
    </row>
    <row r="554" spans="15:31">
      <c r="O554" s="300"/>
      <c r="P554" s="300"/>
      <c r="Q554" s="300"/>
      <c r="R554" s="300"/>
      <c r="S554" s="300"/>
      <c r="T554" s="300"/>
      <c r="U554" s="300"/>
      <c r="V554" s="300"/>
      <c r="W554" s="300"/>
      <c r="X554" s="300"/>
      <c r="Y554" s="300"/>
      <c r="Z554" s="300"/>
      <c r="AA554" s="300"/>
      <c r="AB554" s="300"/>
      <c r="AC554" s="300"/>
      <c r="AD554" s="300"/>
      <c r="AE554" s="300"/>
    </row>
    <row r="555" spans="15:31">
      <c r="O555" s="300"/>
      <c r="P555" s="300"/>
      <c r="Q555" s="300"/>
      <c r="R555" s="300"/>
      <c r="S555" s="300"/>
      <c r="T555" s="300"/>
      <c r="U555" s="300"/>
      <c r="V555" s="300"/>
      <c r="W555" s="300"/>
      <c r="X555" s="300"/>
      <c r="Y555" s="300"/>
      <c r="Z555" s="300"/>
      <c r="AA555" s="300"/>
      <c r="AB555" s="300"/>
      <c r="AC555" s="300"/>
      <c r="AD555" s="300"/>
      <c r="AE555" s="300"/>
    </row>
    <row r="556" spans="15:31">
      <c r="O556" s="300"/>
      <c r="P556" s="300"/>
      <c r="Q556" s="300"/>
      <c r="R556" s="300"/>
      <c r="S556" s="300"/>
      <c r="T556" s="300"/>
      <c r="U556" s="300"/>
      <c r="V556" s="300"/>
      <c r="W556" s="300"/>
      <c r="X556" s="300"/>
      <c r="Y556" s="300"/>
      <c r="Z556" s="300"/>
      <c r="AA556" s="300"/>
      <c r="AB556" s="300"/>
      <c r="AC556" s="300"/>
      <c r="AD556" s="300"/>
      <c r="AE556" s="300"/>
    </row>
    <row r="557" spans="15:31">
      <c r="O557" s="300"/>
      <c r="P557" s="300"/>
      <c r="Q557" s="300"/>
      <c r="R557" s="300"/>
      <c r="S557" s="300"/>
      <c r="T557" s="300"/>
      <c r="U557" s="300"/>
      <c r="V557" s="300"/>
      <c r="W557" s="300"/>
      <c r="X557" s="300"/>
      <c r="Y557" s="300"/>
      <c r="Z557" s="300"/>
      <c r="AA557" s="300"/>
      <c r="AB557" s="300"/>
      <c r="AC557" s="300"/>
      <c r="AD557" s="300"/>
      <c r="AE557" s="300"/>
    </row>
    <row r="558" spans="15:31">
      <c r="O558" s="300"/>
      <c r="P558" s="300"/>
      <c r="Q558" s="300"/>
      <c r="R558" s="300"/>
      <c r="S558" s="300"/>
      <c r="T558" s="300"/>
      <c r="U558" s="300"/>
      <c r="V558" s="300"/>
      <c r="W558" s="300"/>
      <c r="X558" s="300"/>
      <c r="Y558" s="300"/>
      <c r="Z558" s="300"/>
      <c r="AA558" s="300"/>
      <c r="AB558" s="300"/>
      <c r="AC558" s="300"/>
      <c r="AD558" s="300"/>
      <c r="AE558" s="300"/>
    </row>
    <row r="559" spans="15:31">
      <c r="O559" s="300"/>
      <c r="P559" s="300"/>
      <c r="Q559" s="300"/>
      <c r="R559" s="300"/>
      <c r="S559" s="300"/>
      <c r="T559" s="300"/>
      <c r="U559" s="300"/>
      <c r="V559" s="300"/>
      <c r="W559" s="300"/>
      <c r="X559" s="300"/>
      <c r="Y559" s="300"/>
      <c r="Z559" s="300"/>
      <c r="AA559" s="300"/>
      <c r="AB559" s="300"/>
      <c r="AC559" s="300"/>
      <c r="AD559" s="300"/>
      <c r="AE559" s="300"/>
    </row>
    <row r="560" spans="15:31">
      <c r="O560" s="300"/>
      <c r="P560" s="300"/>
      <c r="Q560" s="300"/>
      <c r="R560" s="300"/>
      <c r="S560" s="300"/>
      <c r="T560" s="300"/>
      <c r="U560" s="300"/>
      <c r="V560" s="300"/>
      <c r="W560" s="300"/>
      <c r="X560" s="300"/>
      <c r="Y560" s="300"/>
      <c r="Z560" s="300"/>
      <c r="AA560" s="300"/>
      <c r="AB560" s="300"/>
      <c r="AC560" s="300"/>
      <c r="AD560" s="300"/>
      <c r="AE560" s="300"/>
    </row>
    <row r="561" spans="15:31">
      <c r="O561" s="300"/>
      <c r="P561" s="300"/>
      <c r="Q561" s="300"/>
      <c r="R561" s="300"/>
      <c r="S561" s="300"/>
      <c r="T561" s="300"/>
      <c r="U561" s="300"/>
      <c r="V561" s="300"/>
      <c r="W561" s="300"/>
      <c r="X561" s="300"/>
      <c r="Y561" s="300"/>
      <c r="Z561" s="300"/>
      <c r="AA561" s="300"/>
      <c r="AB561" s="300"/>
      <c r="AC561" s="300"/>
      <c r="AD561" s="300"/>
      <c r="AE561" s="300"/>
    </row>
    <row r="562" spans="15:31">
      <c r="O562" s="300"/>
      <c r="P562" s="300"/>
      <c r="Q562" s="300"/>
      <c r="R562" s="300"/>
      <c r="S562" s="300"/>
      <c r="T562" s="300"/>
      <c r="U562" s="300"/>
      <c r="V562" s="300"/>
      <c r="W562" s="300"/>
      <c r="X562" s="300"/>
      <c r="Y562" s="300"/>
      <c r="Z562" s="300"/>
      <c r="AA562" s="300"/>
      <c r="AB562" s="300"/>
      <c r="AC562" s="300"/>
      <c r="AD562" s="300"/>
      <c r="AE562" s="300"/>
    </row>
    <row r="563" spans="15:31">
      <c r="O563" s="300"/>
      <c r="P563" s="300"/>
      <c r="Q563" s="300"/>
      <c r="R563" s="300"/>
      <c r="S563" s="300"/>
      <c r="T563" s="300"/>
      <c r="U563" s="300"/>
      <c r="V563" s="300"/>
      <c r="W563" s="300"/>
      <c r="X563" s="300"/>
      <c r="Y563" s="300"/>
      <c r="Z563" s="300"/>
      <c r="AA563" s="300"/>
      <c r="AB563" s="300"/>
      <c r="AC563" s="300"/>
      <c r="AD563" s="300"/>
      <c r="AE563" s="300"/>
    </row>
    <row r="564" spans="15:31">
      <c r="O564" s="300"/>
      <c r="P564" s="300"/>
      <c r="Q564" s="300"/>
      <c r="R564" s="300"/>
      <c r="S564" s="300"/>
      <c r="T564" s="300"/>
      <c r="U564" s="300"/>
      <c r="V564" s="300"/>
      <c r="W564" s="300"/>
      <c r="X564" s="300"/>
      <c r="Y564" s="300"/>
      <c r="Z564" s="300"/>
      <c r="AA564" s="300"/>
      <c r="AB564" s="300"/>
      <c r="AC564" s="300"/>
      <c r="AD564" s="300"/>
      <c r="AE564" s="300"/>
    </row>
    <row r="565" spans="15:31">
      <c r="O565" s="300"/>
      <c r="P565" s="300"/>
      <c r="Q565" s="300"/>
      <c r="R565" s="300"/>
      <c r="S565" s="300"/>
      <c r="T565" s="300"/>
      <c r="U565" s="300"/>
      <c r="V565" s="300"/>
      <c r="W565" s="300"/>
      <c r="X565" s="300"/>
      <c r="Y565" s="300"/>
      <c r="Z565" s="300"/>
      <c r="AA565" s="300"/>
      <c r="AB565" s="300"/>
      <c r="AC565" s="300"/>
      <c r="AD565" s="300"/>
      <c r="AE565" s="300"/>
    </row>
    <row r="566" spans="15:31">
      <c r="O566" s="300"/>
      <c r="P566" s="300"/>
      <c r="Q566" s="300"/>
      <c r="R566" s="300"/>
      <c r="S566" s="300"/>
      <c r="T566" s="300"/>
      <c r="U566" s="300"/>
      <c r="V566" s="300"/>
      <c r="W566" s="300"/>
      <c r="X566" s="300"/>
      <c r="Y566" s="300"/>
      <c r="Z566" s="300"/>
      <c r="AA566" s="300"/>
      <c r="AB566" s="300"/>
      <c r="AC566" s="300"/>
      <c r="AD566" s="300"/>
      <c r="AE566" s="300"/>
    </row>
    <row r="567" spans="15:31">
      <c r="O567" s="300"/>
      <c r="P567" s="300"/>
      <c r="Q567" s="300"/>
      <c r="R567" s="300"/>
      <c r="S567" s="300"/>
      <c r="T567" s="300"/>
      <c r="U567" s="300"/>
      <c r="V567" s="300"/>
      <c r="W567" s="300"/>
      <c r="X567" s="300"/>
      <c r="Y567" s="300"/>
      <c r="Z567" s="300"/>
      <c r="AA567" s="300"/>
      <c r="AB567" s="300"/>
      <c r="AC567" s="300"/>
      <c r="AD567" s="300"/>
      <c r="AE567" s="300"/>
    </row>
    <row r="568" spans="15:31">
      <c r="O568" s="300"/>
      <c r="P568" s="300"/>
      <c r="Q568" s="300"/>
      <c r="R568" s="300"/>
      <c r="S568" s="300"/>
      <c r="T568" s="300"/>
      <c r="U568" s="300"/>
      <c r="V568" s="300"/>
      <c r="W568" s="300"/>
      <c r="X568" s="300"/>
      <c r="Y568" s="300"/>
      <c r="Z568" s="300"/>
      <c r="AA568" s="300"/>
      <c r="AB568" s="300"/>
      <c r="AC568" s="300"/>
      <c r="AD568" s="300"/>
      <c r="AE568" s="300"/>
    </row>
    <row r="569" spans="15:31">
      <c r="O569" s="300"/>
      <c r="P569" s="300"/>
      <c r="Q569" s="300"/>
      <c r="R569" s="300"/>
      <c r="S569" s="300"/>
      <c r="T569" s="300"/>
      <c r="U569" s="300"/>
      <c r="V569" s="300"/>
      <c r="W569" s="300"/>
      <c r="X569" s="300"/>
      <c r="Y569" s="300"/>
      <c r="Z569" s="300"/>
      <c r="AA569" s="300"/>
      <c r="AB569" s="300"/>
      <c r="AC569" s="300"/>
      <c r="AD569" s="300"/>
      <c r="AE569" s="300"/>
    </row>
    <row r="570" spans="15:31">
      <c r="O570" s="300"/>
      <c r="P570" s="300"/>
      <c r="Q570" s="300"/>
      <c r="R570" s="300"/>
      <c r="S570" s="300"/>
      <c r="T570" s="300"/>
      <c r="U570" s="300"/>
      <c r="V570" s="300"/>
      <c r="W570" s="300"/>
      <c r="X570" s="300"/>
      <c r="Y570" s="300"/>
      <c r="Z570" s="300"/>
      <c r="AA570" s="300"/>
      <c r="AB570" s="300"/>
      <c r="AC570" s="300"/>
      <c r="AD570" s="300"/>
      <c r="AE570" s="300"/>
    </row>
    <row r="571" spans="15:31">
      <c r="O571" s="300"/>
      <c r="P571" s="300"/>
      <c r="Q571" s="300"/>
      <c r="R571" s="300"/>
      <c r="S571" s="300"/>
      <c r="T571" s="300"/>
      <c r="U571" s="300"/>
      <c r="V571" s="300"/>
      <c r="W571" s="300"/>
      <c r="X571" s="300"/>
      <c r="Y571" s="300"/>
      <c r="Z571" s="300"/>
      <c r="AA571" s="300"/>
      <c r="AB571" s="300"/>
      <c r="AC571" s="300"/>
      <c r="AD571" s="300"/>
      <c r="AE571" s="300"/>
    </row>
    <row r="572" spans="15:31">
      <c r="O572" s="300"/>
      <c r="P572" s="300"/>
      <c r="Q572" s="300"/>
      <c r="R572" s="300"/>
      <c r="S572" s="300"/>
      <c r="T572" s="300"/>
      <c r="U572" s="300"/>
      <c r="V572" s="300"/>
      <c r="W572" s="300"/>
      <c r="X572" s="300"/>
      <c r="Y572" s="300"/>
      <c r="Z572" s="300"/>
      <c r="AA572" s="300"/>
      <c r="AB572" s="300"/>
      <c r="AC572" s="300"/>
      <c r="AD572" s="300"/>
      <c r="AE572" s="300"/>
    </row>
    <row r="573" spans="15:31">
      <c r="O573" s="300"/>
      <c r="P573" s="300"/>
      <c r="Q573" s="300"/>
      <c r="R573" s="300"/>
      <c r="S573" s="300"/>
      <c r="T573" s="300"/>
      <c r="U573" s="300"/>
      <c r="V573" s="300"/>
      <c r="W573" s="300"/>
      <c r="X573" s="300"/>
      <c r="Y573" s="300"/>
      <c r="Z573" s="300"/>
      <c r="AA573" s="300"/>
      <c r="AB573" s="300"/>
      <c r="AC573" s="300"/>
      <c r="AD573" s="300"/>
      <c r="AE573" s="300"/>
    </row>
    <row r="574" spans="15:31">
      <c r="O574" s="300"/>
      <c r="P574" s="300"/>
      <c r="Q574" s="300"/>
      <c r="R574" s="300"/>
      <c r="S574" s="300"/>
      <c r="T574" s="300"/>
      <c r="U574" s="300"/>
      <c r="V574" s="300"/>
      <c r="W574" s="300"/>
      <c r="X574" s="300"/>
      <c r="Y574" s="300"/>
      <c r="Z574" s="300"/>
      <c r="AA574" s="300"/>
      <c r="AB574" s="300"/>
      <c r="AC574" s="300"/>
      <c r="AD574" s="300"/>
      <c r="AE574" s="300"/>
    </row>
    <row r="575" spans="15:31">
      <c r="O575" s="300"/>
      <c r="P575" s="300"/>
      <c r="Q575" s="300"/>
      <c r="R575" s="300"/>
      <c r="S575" s="300"/>
      <c r="T575" s="300"/>
      <c r="U575" s="300"/>
      <c r="V575" s="300"/>
      <c r="W575" s="300"/>
      <c r="X575" s="300"/>
      <c r="Y575" s="300"/>
      <c r="Z575" s="300"/>
      <c r="AA575" s="300"/>
      <c r="AB575" s="300"/>
      <c r="AC575" s="300"/>
      <c r="AD575" s="300"/>
      <c r="AE575" s="300"/>
    </row>
    <row r="576" spans="15:31">
      <c r="O576" s="300"/>
      <c r="P576" s="300"/>
      <c r="Q576" s="300"/>
      <c r="R576" s="300"/>
      <c r="S576" s="300"/>
      <c r="T576" s="300"/>
      <c r="U576" s="300"/>
      <c r="V576" s="300"/>
      <c r="W576" s="300"/>
      <c r="X576" s="300"/>
      <c r="Y576" s="300"/>
      <c r="Z576" s="300"/>
      <c r="AA576" s="300"/>
      <c r="AB576" s="300"/>
      <c r="AC576" s="300"/>
      <c r="AD576" s="300"/>
      <c r="AE576" s="300"/>
    </row>
    <row r="577" spans="15:31">
      <c r="O577" s="300"/>
      <c r="P577" s="300"/>
      <c r="Q577" s="300"/>
      <c r="R577" s="300"/>
      <c r="S577" s="300"/>
      <c r="T577" s="300"/>
      <c r="U577" s="300"/>
      <c r="V577" s="300"/>
      <c r="W577" s="300"/>
      <c r="X577" s="300"/>
      <c r="Y577" s="300"/>
      <c r="Z577" s="300"/>
      <c r="AA577" s="300"/>
      <c r="AB577" s="300"/>
      <c r="AC577" s="300"/>
      <c r="AD577" s="300"/>
      <c r="AE577" s="300"/>
    </row>
    <row r="578" spans="15:31">
      <c r="O578" s="300"/>
      <c r="P578" s="300"/>
      <c r="Q578" s="300"/>
      <c r="R578" s="300"/>
      <c r="S578" s="300"/>
      <c r="T578" s="300"/>
      <c r="U578" s="300"/>
      <c r="V578" s="300"/>
      <c r="W578" s="300"/>
      <c r="X578" s="300"/>
      <c r="Y578" s="300"/>
      <c r="Z578" s="300"/>
      <c r="AA578" s="300"/>
      <c r="AB578" s="300"/>
      <c r="AC578" s="300"/>
      <c r="AD578" s="300"/>
      <c r="AE578" s="300"/>
    </row>
    <row r="579" spans="15:31">
      <c r="O579" s="300"/>
      <c r="P579" s="300"/>
      <c r="Q579" s="300"/>
      <c r="R579" s="300"/>
      <c r="S579" s="300"/>
      <c r="T579" s="300"/>
      <c r="U579" s="300"/>
      <c r="V579" s="300"/>
      <c r="W579" s="300"/>
      <c r="X579" s="300"/>
      <c r="Y579" s="300"/>
      <c r="Z579" s="300"/>
      <c r="AA579" s="300"/>
      <c r="AB579" s="300"/>
      <c r="AC579" s="300"/>
      <c r="AD579" s="300"/>
      <c r="AE579" s="300"/>
    </row>
    <row r="580" spans="15:31">
      <c r="O580" s="300"/>
      <c r="P580" s="300"/>
      <c r="Q580" s="300"/>
      <c r="R580" s="300"/>
      <c r="S580" s="300"/>
      <c r="T580" s="300"/>
      <c r="U580" s="300"/>
      <c r="V580" s="300"/>
      <c r="W580" s="300"/>
      <c r="X580" s="300"/>
      <c r="Y580" s="300"/>
      <c r="Z580" s="300"/>
      <c r="AA580" s="300"/>
      <c r="AB580" s="300"/>
      <c r="AC580" s="300"/>
      <c r="AD580" s="300"/>
      <c r="AE580" s="300"/>
    </row>
    <row r="581" spans="15:31">
      <c r="O581" s="300"/>
      <c r="P581" s="300"/>
      <c r="Q581" s="300"/>
      <c r="R581" s="300"/>
      <c r="S581" s="300"/>
      <c r="T581" s="300"/>
      <c r="U581" s="300"/>
      <c r="V581" s="300"/>
      <c r="W581" s="300"/>
      <c r="X581" s="300"/>
      <c r="Y581" s="300"/>
      <c r="Z581" s="300"/>
      <c r="AA581" s="300"/>
      <c r="AB581" s="300"/>
      <c r="AC581" s="300"/>
      <c r="AD581" s="300"/>
      <c r="AE581" s="300"/>
    </row>
    <row r="582" spans="15:31">
      <c r="O582" s="300"/>
      <c r="P582" s="300"/>
      <c r="Q582" s="300"/>
      <c r="R582" s="300"/>
      <c r="S582" s="300"/>
      <c r="T582" s="300"/>
      <c r="U582" s="300"/>
      <c r="V582" s="300"/>
      <c r="W582" s="300"/>
      <c r="X582" s="300"/>
      <c r="Y582" s="300"/>
      <c r="Z582" s="300"/>
      <c r="AA582" s="300"/>
      <c r="AB582" s="300"/>
      <c r="AC582" s="300"/>
      <c r="AD582" s="300"/>
      <c r="AE582" s="300"/>
    </row>
    <row r="583" spans="15:31">
      <c r="O583" s="300"/>
      <c r="P583" s="300"/>
      <c r="Q583" s="300"/>
      <c r="R583" s="300"/>
      <c r="S583" s="300"/>
      <c r="T583" s="300"/>
      <c r="U583" s="300"/>
      <c r="V583" s="300"/>
      <c r="W583" s="300"/>
      <c r="X583" s="300"/>
      <c r="Y583" s="300"/>
      <c r="Z583" s="300"/>
      <c r="AA583" s="300"/>
      <c r="AB583" s="300"/>
      <c r="AC583" s="300"/>
      <c r="AD583" s="300"/>
      <c r="AE583" s="300"/>
    </row>
    <row r="584" spans="15:31">
      <c r="O584" s="300"/>
      <c r="P584" s="300"/>
      <c r="Q584" s="300"/>
      <c r="R584" s="300"/>
      <c r="S584" s="300"/>
      <c r="T584" s="300"/>
      <c r="U584" s="300"/>
      <c r="V584" s="300"/>
      <c r="W584" s="300"/>
      <c r="X584" s="300"/>
      <c r="Y584" s="300"/>
      <c r="Z584" s="300"/>
      <c r="AA584" s="300"/>
      <c r="AB584" s="300"/>
      <c r="AC584" s="300"/>
      <c r="AD584" s="300"/>
      <c r="AE584" s="300"/>
    </row>
    <row r="585" spans="15:31">
      <c r="O585" s="300"/>
      <c r="P585" s="300"/>
      <c r="Q585" s="300"/>
      <c r="R585" s="300"/>
      <c r="S585" s="300"/>
      <c r="T585" s="300"/>
      <c r="U585" s="300"/>
      <c r="V585" s="300"/>
      <c r="W585" s="300"/>
      <c r="X585" s="300"/>
      <c r="Y585" s="300"/>
      <c r="Z585" s="300"/>
      <c r="AA585" s="300"/>
      <c r="AB585" s="300"/>
      <c r="AC585" s="300"/>
      <c r="AD585" s="300"/>
      <c r="AE585" s="300"/>
    </row>
    <row r="586" spans="15:31">
      <c r="O586" s="300"/>
      <c r="P586" s="300"/>
      <c r="Q586" s="300"/>
      <c r="R586" s="300"/>
      <c r="S586" s="300"/>
      <c r="T586" s="300"/>
      <c r="U586" s="300"/>
      <c r="V586" s="300"/>
      <c r="W586" s="300"/>
      <c r="X586" s="300"/>
      <c r="Y586" s="300"/>
      <c r="Z586" s="300"/>
      <c r="AA586" s="300"/>
      <c r="AB586" s="300"/>
      <c r="AC586" s="300"/>
      <c r="AD586" s="300"/>
      <c r="AE586" s="300"/>
    </row>
    <row r="587" spans="15:31">
      <c r="O587" s="300"/>
      <c r="P587" s="300"/>
      <c r="Q587" s="300"/>
      <c r="R587" s="300"/>
      <c r="S587" s="300"/>
      <c r="T587" s="300"/>
      <c r="U587" s="300"/>
      <c r="V587" s="300"/>
      <c r="W587" s="300"/>
      <c r="X587" s="300"/>
      <c r="Y587" s="300"/>
      <c r="Z587" s="300"/>
      <c r="AA587" s="300"/>
      <c r="AB587" s="300"/>
      <c r="AC587" s="300"/>
      <c r="AD587" s="300"/>
      <c r="AE587" s="300"/>
    </row>
    <row r="588" spans="15:31">
      <c r="O588" s="300"/>
      <c r="P588" s="300"/>
      <c r="Q588" s="300"/>
      <c r="R588" s="300"/>
      <c r="S588" s="300"/>
      <c r="T588" s="300"/>
      <c r="U588" s="300"/>
      <c r="V588" s="300"/>
      <c r="W588" s="300"/>
      <c r="X588" s="300"/>
      <c r="Y588" s="300"/>
      <c r="Z588" s="300"/>
      <c r="AA588" s="300"/>
      <c r="AB588" s="300"/>
      <c r="AC588" s="300"/>
      <c r="AD588" s="300"/>
      <c r="AE588" s="300"/>
    </row>
    <row r="589" spans="15:31">
      <c r="O589" s="300"/>
      <c r="P589" s="300"/>
      <c r="Q589" s="300"/>
      <c r="R589" s="300"/>
      <c r="S589" s="300"/>
      <c r="T589" s="300"/>
      <c r="U589" s="300"/>
      <c r="V589" s="300"/>
      <c r="W589" s="300"/>
      <c r="X589" s="300"/>
      <c r="Y589" s="300"/>
      <c r="Z589" s="300"/>
      <c r="AA589" s="300"/>
      <c r="AB589" s="300"/>
      <c r="AC589" s="300"/>
      <c r="AD589" s="300"/>
      <c r="AE589" s="300"/>
    </row>
    <row r="590" spans="15:31">
      <c r="O590" s="300"/>
      <c r="P590" s="300"/>
      <c r="Q590" s="300"/>
      <c r="R590" s="300"/>
      <c r="S590" s="300"/>
      <c r="T590" s="300"/>
      <c r="U590" s="300"/>
      <c r="V590" s="300"/>
      <c r="W590" s="300"/>
      <c r="X590" s="300"/>
      <c r="Y590" s="300"/>
      <c r="Z590" s="300"/>
      <c r="AA590" s="300"/>
      <c r="AB590" s="300"/>
      <c r="AC590" s="300"/>
      <c r="AD590" s="300"/>
      <c r="AE590" s="300"/>
    </row>
    <row r="591" spans="15:31">
      <c r="O591" s="300"/>
      <c r="P591" s="300"/>
      <c r="Q591" s="300"/>
      <c r="R591" s="300"/>
      <c r="S591" s="300"/>
      <c r="T591" s="300"/>
      <c r="U591" s="300"/>
      <c r="V591" s="300"/>
      <c r="W591" s="300"/>
      <c r="X591" s="300"/>
      <c r="Y591" s="300"/>
      <c r="Z591" s="300"/>
      <c r="AA591" s="300"/>
      <c r="AB591" s="300"/>
      <c r="AC591" s="300"/>
      <c r="AD591" s="300"/>
      <c r="AE591" s="300"/>
    </row>
    <row r="592" spans="15:31">
      <c r="O592" s="300"/>
      <c r="P592" s="300"/>
      <c r="Q592" s="300"/>
      <c r="R592" s="300"/>
      <c r="S592" s="300"/>
      <c r="T592" s="300"/>
      <c r="U592" s="300"/>
      <c r="V592" s="300"/>
      <c r="W592" s="300"/>
      <c r="X592" s="300"/>
      <c r="Y592" s="300"/>
      <c r="Z592" s="300"/>
      <c r="AA592" s="300"/>
      <c r="AB592" s="300"/>
      <c r="AC592" s="300"/>
      <c r="AD592" s="300"/>
      <c r="AE592" s="300"/>
    </row>
    <row r="593" spans="15:31">
      <c r="O593" s="300"/>
      <c r="P593" s="300"/>
      <c r="Q593" s="300"/>
      <c r="R593" s="300"/>
      <c r="S593" s="300"/>
      <c r="T593" s="300"/>
      <c r="U593" s="300"/>
      <c r="V593" s="300"/>
      <c r="W593" s="300"/>
      <c r="X593" s="300"/>
      <c r="Y593" s="300"/>
      <c r="Z593" s="300"/>
      <c r="AA593" s="300"/>
      <c r="AB593" s="300"/>
      <c r="AC593" s="300"/>
      <c r="AD593" s="300"/>
      <c r="AE593" s="300"/>
    </row>
    <row r="594" spans="15:31">
      <c r="O594" s="300"/>
      <c r="P594" s="300"/>
      <c r="Q594" s="300"/>
      <c r="R594" s="300"/>
      <c r="S594" s="300"/>
      <c r="T594" s="300"/>
      <c r="U594" s="300"/>
      <c r="V594" s="300"/>
      <c r="W594" s="300"/>
      <c r="X594" s="300"/>
      <c r="Y594" s="300"/>
      <c r="Z594" s="300"/>
      <c r="AA594" s="300"/>
      <c r="AB594" s="300"/>
      <c r="AC594" s="300"/>
      <c r="AD594" s="300"/>
      <c r="AE594" s="300"/>
    </row>
    <row r="595" spans="15:31">
      <c r="O595" s="300"/>
      <c r="P595" s="300"/>
      <c r="Q595" s="300"/>
      <c r="R595" s="300"/>
      <c r="S595" s="300"/>
      <c r="T595" s="300"/>
      <c r="U595" s="300"/>
      <c r="V595" s="300"/>
      <c r="W595" s="300"/>
      <c r="X595" s="300"/>
      <c r="Y595" s="300"/>
      <c r="Z595" s="300"/>
      <c r="AA595" s="300"/>
      <c r="AB595" s="300"/>
      <c r="AC595" s="300"/>
      <c r="AD595" s="300"/>
      <c r="AE595" s="300"/>
    </row>
    <row r="596" spans="15:31">
      <c r="O596" s="300"/>
      <c r="P596" s="300"/>
      <c r="Q596" s="300"/>
      <c r="R596" s="300"/>
      <c r="S596" s="300"/>
      <c r="T596" s="300"/>
      <c r="U596" s="300"/>
      <c r="V596" s="300"/>
      <c r="W596" s="300"/>
      <c r="X596" s="300"/>
      <c r="Y596" s="300"/>
      <c r="Z596" s="300"/>
      <c r="AA596" s="300"/>
      <c r="AB596" s="300"/>
      <c r="AC596" s="300"/>
      <c r="AD596" s="300"/>
      <c r="AE596" s="300"/>
    </row>
    <row r="597" spans="15:31">
      <c r="O597" s="300"/>
      <c r="P597" s="300"/>
      <c r="Q597" s="300"/>
      <c r="R597" s="300"/>
      <c r="S597" s="300"/>
      <c r="T597" s="300"/>
      <c r="U597" s="300"/>
      <c r="V597" s="300"/>
      <c r="W597" s="300"/>
      <c r="X597" s="300"/>
      <c r="Y597" s="300"/>
      <c r="Z597" s="300"/>
      <c r="AA597" s="300"/>
      <c r="AB597" s="300"/>
      <c r="AC597" s="300"/>
      <c r="AD597" s="300"/>
      <c r="AE597" s="300"/>
    </row>
    <row r="598" spans="15:31">
      <c r="O598" s="300"/>
      <c r="P598" s="300"/>
      <c r="Q598" s="300"/>
      <c r="R598" s="300"/>
      <c r="S598" s="300"/>
      <c r="T598" s="300"/>
      <c r="U598" s="300"/>
      <c r="V598" s="300"/>
      <c r="W598" s="300"/>
      <c r="X598" s="300"/>
      <c r="Y598" s="300"/>
      <c r="Z598" s="300"/>
      <c r="AA598" s="300"/>
      <c r="AB598" s="300"/>
      <c r="AC598" s="300"/>
      <c r="AD598" s="300"/>
      <c r="AE598" s="300"/>
    </row>
    <row r="599" spans="15:31">
      <c r="O599" s="300"/>
      <c r="P599" s="300"/>
      <c r="Q599" s="300"/>
      <c r="R599" s="300"/>
      <c r="S599" s="300"/>
      <c r="T599" s="300"/>
      <c r="U599" s="300"/>
      <c r="V599" s="300"/>
      <c r="W599" s="300"/>
      <c r="X599" s="300"/>
      <c r="Y599" s="300"/>
      <c r="Z599" s="300"/>
      <c r="AA599" s="300"/>
      <c r="AB599" s="300"/>
      <c r="AC599" s="300"/>
      <c r="AD599" s="300"/>
      <c r="AE599" s="300"/>
    </row>
    <row r="600" spans="15:31">
      <c r="O600" s="300"/>
      <c r="P600" s="300"/>
      <c r="Q600" s="300"/>
      <c r="R600" s="300"/>
      <c r="S600" s="300"/>
      <c r="T600" s="300"/>
      <c r="U600" s="300"/>
      <c r="V600" s="300"/>
      <c r="W600" s="300"/>
      <c r="X600" s="300"/>
      <c r="Y600" s="300"/>
      <c r="Z600" s="300"/>
      <c r="AA600" s="300"/>
      <c r="AB600" s="300"/>
      <c r="AC600" s="300"/>
      <c r="AD600" s="300"/>
      <c r="AE600" s="300"/>
    </row>
    <row r="601" spans="15:31">
      <c r="O601" s="300"/>
      <c r="P601" s="300"/>
      <c r="Q601" s="300"/>
      <c r="R601" s="300"/>
      <c r="S601" s="300"/>
      <c r="T601" s="300"/>
      <c r="U601" s="300"/>
      <c r="V601" s="300"/>
      <c r="W601" s="300"/>
      <c r="X601" s="300"/>
      <c r="Y601" s="300"/>
      <c r="Z601" s="300"/>
      <c r="AA601" s="300"/>
      <c r="AB601" s="300"/>
      <c r="AC601" s="300"/>
      <c r="AD601" s="300"/>
      <c r="AE601" s="300"/>
    </row>
    <row r="602" spans="15:31">
      <c r="O602" s="300"/>
      <c r="P602" s="300"/>
      <c r="Q602" s="300"/>
      <c r="R602" s="300"/>
      <c r="S602" s="300"/>
      <c r="T602" s="300"/>
      <c r="U602" s="300"/>
      <c r="V602" s="300"/>
      <c r="W602" s="300"/>
      <c r="X602" s="300"/>
      <c r="Y602" s="300"/>
      <c r="Z602" s="300"/>
      <c r="AA602" s="300"/>
      <c r="AB602" s="300"/>
      <c r="AC602" s="300"/>
      <c r="AD602" s="300"/>
      <c r="AE602" s="300"/>
    </row>
    <row r="603" spans="15:31">
      <c r="O603" s="300"/>
      <c r="P603" s="300"/>
      <c r="Q603" s="300"/>
      <c r="R603" s="300"/>
      <c r="S603" s="300"/>
      <c r="T603" s="300"/>
      <c r="U603" s="300"/>
      <c r="V603" s="300"/>
      <c r="W603" s="300"/>
      <c r="X603" s="300"/>
      <c r="Y603" s="300"/>
      <c r="Z603" s="300"/>
      <c r="AA603" s="300"/>
      <c r="AB603" s="300"/>
      <c r="AC603" s="300"/>
      <c r="AD603" s="300"/>
      <c r="AE603" s="300"/>
    </row>
    <row r="604" spans="15:31">
      <c r="O604" s="300"/>
      <c r="P604" s="300"/>
      <c r="Q604" s="300"/>
      <c r="R604" s="300"/>
      <c r="S604" s="300"/>
      <c r="T604" s="300"/>
      <c r="U604" s="300"/>
      <c r="V604" s="300"/>
      <c r="W604" s="300"/>
      <c r="X604" s="300"/>
      <c r="Y604" s="300"/>
      <c r="Z604" s="300"/>
      <c r="AA604" s="300"/>
      <c r="AB604" s="300"/>
      <c r="AC604" s="300"/>
      <c r="AD604" s="300"/>
      <c r="AE604" s="300"/>
    </row>
    <row r="605" spans="15:31">
      <c r="O605" s="300"/>
      <c r="P605" s="300"/>
      <c r="Q605" s="300"/>
      <c r="R605" s="300"/>
      <c r="S605" s="300"/>
      <c r="T605" s="300"/>
      <c r="U605" s="300"/>
      <c r="V605" s="300"/>
      <c r="W605" s="300"/>
      <c r="X605" s="300"/>
      <c r="Y605" s="300"/>
      <c r="Z605" s="300"/>
      <c r="AA605" s="300"/>
      <c r="AB605" s="300"/>
      <c r="AC605" s="300"/>
      <c r="AD605" s="300"/>
      <c r="AE605" s="300"/>
    </row>
    <row r="606" spans="15:31">
      <c r="O606" s="300"/>
      <c r="P606" s="300"/>
      <c r="Q606" s="300"/>
      <c r="R606" s="300"/>
      <c r="S606" s="300"/>
      <c r="T606" s="300"/>
      <c r="U606" s="300"/>
      <c r="V606" s="300"/>
      <c r="W606" s="300"/>
      <c r="X606" s="300"/>
      <c r="Y606" s="300"/>
      <c r="Z606" s="300"/>
      <c r="AA606" s="300"/>
      <c r="AB606" s="300"/>
      <c r="AC606" s="300"/>
      <c r="AD606" s="300"/>
      <c r="AE606" s="300"/>
    </row>
    <row r="607" spans="15:31">
      <c r="O607" s="300"/>
      <c r="P607" s="300"/>
      <c r="Q607" s="300"/>
      <c r="R607" s="300"/>
      <c r="S607" s="300"/>
      <c r="T607" s="300"/>
      <c r="U607" s="300"/>
      <c r="V607" s="300"/>
      <c r="W607" s="300"/>
      <c r="X607" s="300"/>
      <c r="Y607" s="300"/>
      <c r="Z607" s="300"/>
      <c r="AA607" s="300"/>
      <c r="AB607" s="300"/>
      <c r="AC607" s="300"/>
      <c r="AD607" s="300"/>
      <c r="AE607" s="300"/>
    </row>
    <row r="608" spans="15:31">
      <c r="O608" s="300"/>
      <c r="P608" s="300"/>
      <c r="Q608" s="300"/>
      <c r="R608" s="300"/>
      <c r="S608" s="300"/>
      <c r="T608" s="300"/>
      <c r="U608" s="300"/>
      <c r="V608" s="300"/>
      <c r="W608" s="300"/>
      <c r="X608" s="300"/>
      <c r="Y608" s="300"/>
      <c r="Z608" s="300"/>
      <c r="AA608" s="300"/>
      <c r="AB608" s="300"/>
      <c r="AC608" s="300"/>
      <c r="AD608" s="300"/>
      <c r="AE608" s="300"/>
    </row>
    <row r="609" spans="15:31">
      <c r="O609" s="300"/>
      <c r="P609" s="300"/>
      <c r="Q609" s="300"/>
      <c r="R609" s="300"/>
      <c r="S609" s="300"/>
      <c r="T609" s="300"/>
      <c r="U609" s="300"/>
      <c r="V609" s="300"/>
      <c r="W609" s="300"/>
      <c r="X609" s="300"/>
      <c r="Y609" s="300"/>
      <c r="Z609" s="300"/>
      <c r="AA609" s="300"/>
      <c r="AB609" s="300"/>
      <c r="AC609" s="300"/>
      <c r="AD609" s="300"/>
      <c r="AE609" s="300"/>
    </row>
    <row r="610" spans="15:31">
      <c r="O610" s="300"/>
      <c r="P610" s="300"/>
      <c r="Q610" s="300"/>
      <c r="R610" s="300"/>
      <c r="S610" s="300"/>
      <c r="T610" s="300"/>
      <c r="U610" s="300"/>
      <c r="V610" s="300"/>
      <c r="W610" s="300"/>
      <c r="X610" s="300"/>
      <c r="Y610" s="300"/>
      <c r="Z610" s="300"/>
      <c r="AA610" s="300"/>
      <c r="AB610" s="300"/>
      <c r="AC610" s="300"/>
      <c r="AD610" s="300"/>
      <c r="AE610" s="300"/>
    </row>
    <row r="611" spans="15:31">
      <c r="O611" s="300"/>
      <c r="P611" s="300"/>
      <c r="Q611" s="300"/>
      <c r="R611" s="300"/>
      <c r="S611" s="300"/>
      <c r="T611" s="300"/>
      <c r="U611" s="300"/>
      <c r="V611" s="300"/>
      <c r="W611" s="300"/>
      <c r="X611" s="300"/>
      <c r="Y611" s="300"/>
      <c r="Z611" s="300"/>
      <c r="AA611" s="300"/>
      <c r="AB611" s="300"/>
      <c r="AC611" s="300"/>
      <c r="AD611" s="300"/>
      <c r="AE611" s="300"/>
    </row>
    <row r="612" spans="15:31">
      <c r="O612" s="300"/>
      <c r="P612" s="300"/>
      <c r="Q612" s="300"/>
      <c r="R612" s="300"/>
      <c r="S612" s="300"/>
      <c r="T612" s="300"/>
      <c r="U612" s="300"/>
      <c r="V612" s="300"/>
      <c r="W612" s="300"/>
      <c r="X612" s="300"/>
      <c r="Y612" s="300"/>
      <c r="Z612" s="300"/>
      <c r="AA612" s="300"/>
      <c r="AB612" s="300"/>
      <c r="AC612" s="300"/>
      <c r="AD612" s="300"/>
      <c r="AE612" s="300"/>
    </row>
    <row r="613" spans="15:31">
      <c r="O613" s="300"/>
      <c r="P613" s="300"/>
      <c r="Q613" s="300"/>
      <c r="R613" s="300"/>
      <c r="S613" s="300"/>
      <c r="T613" s="300"/>
      <c r="U613" s="300"/>
      <c r="V613" s="300"/>
      <c r="W613" s="300"/>
      <c r="X613" s="300"/>
      <c r="Y613" s="300"/>
      <c r="Z613" s="300"/>
      <c r="AA613" s="300"/>
      <c r="AB613" s="300"/>
      <c r="AC613" s="300"/>
      <c r="AD613" s="300"/>
      <c r="AE613" s="300"/>
    </row>
    <row r="614" spans="15:31">
      <c r="O614" s="300"/>
      <c r="P614" s="300"/>
      <c r="Q614" s="300"/>
      <c r="R614" s="300"/>
      <c r="S614" s="300"/>
      <c r="T614" s="300"/>
      <c r="U614" s="300"/>
      <c r="V614" s="300"/>
      <c r="W614" s="300"/>
      <c r="X614" s="300"/>
      <c r="Y614" s="300"/>
      <c r="Z614" s="300"/>
      <c r="AA614" s="300"/>
      <c r="AB614" s="300"/>
      <c r="AC614" s="300"/>
      <c r="AD614" s="300"/>
      <c r="AE614" s="300"/>
    </row>
    <row r="615" spans="15:31">
      <c r="O615" s="300"/>
      <c r="P615" s="300"/>
      <c r="Q615" s="300"/>
      <c r="R615" s="300"/>
      <c r="S615" s="300"/>
      <c r="T615" s="300"/>
      <c r="U615" s="300"/>
      <c r="V615" s="300"/>
      <c r="W615" s="300"/>
      <c r="X615" s="300"/>
      <c r="Y615" s="300"/>
      <c r="Z615" s="300"/>
      <c r="AA615" s="300"/>
      <c r="AB615" s="300"/>
      <c r="AC615" s="300"/>
      <c r="AD615" s="300"/>
      <c r="AE615" s="300"/>
    </row>
    <row r="616" spans="15:31">
      <c r="O616" s="300"/>
      <c r="P616" s="300"/>
      <c r="Q616" s="300"/>
      <c r="R616" s="300"/>
      <c r="S616" s="300"/>
      <c r="T616" s="300"/>
      <c r="U616" s="300"/>
      <c r="V616" s="300"/>
      <c r="W616" s="300"/>
      <c r="X616" s="300"/>
      <c r="Y616" s="300"/>
      <c r="Z616" s="300"/>
      <c r="AA616" s="300"/>
      <c r="AB616" s="300"/>
      <c r="AC616" s="300"/>
      <c r="AD616" s="300"/>
      <c r="AE616" s="300"/>
    </row>
    <row r="617" spans="15:31">
      <c r="O617" s="300"/>
      <c r="P617" s="300"/>
      <c r="Q617" s="300"/>
      <c r="R617" s="300"/>
      <c r="S617" s="300"/>
      <c r="T617" s="300"/>
      <c r="U617" s="300"/>
      <c r="V617" s="300"/>
      <c r="W617" s="300"/>
      <c r="X617" s="300"/>
      <c r="Y617" s="300"/>
      <c r="Z617" s="300"/>
      <c r="AA617" s="300"/>
      <c r="AB617" s="300"/>
      <c r="AC617" s="300"/>
      <c r="AD617" s="300"/>
      <c r="AE617" s="300"/>
    </row>
    <row r="618" spans="15:31">
      <c r="O618" s="300"/>
      <c r="P618" s="300"/>
      <c r="Q618" s="300"/>
      <c r="R618" s="300"/>
      <c r="S618" s="300"/>
      <c r="T618" s="300"/>
      <c r="U618" s="300"/>
      <c r="V618" s="300"/>
      <c r="W618" s="300"/>
      <c r="X618" s="300"/>
      <c r="Y618" s="300"/>
      <c r="Z618" s="300"/>
      <c r="AA618" s="300"/>
      <c r="AB618" s="300"/>
      <c r="AC618" s="300"/>
      <c r="AD618" s="300"/>
      <c r="AE618" s="300"/>
    </row>
    <row r="619" spans="15:31">
      <c r="O619" s="300"/>
      <c r="P619" s="300"/>
      <c r="Q619" s="300"/>
      <c r="R619" s="300"/>
      <c r="S619" s="300"/>
      <c r="T619" s="300"/>
      <c r="U619" s="300"/>
      <c r="V619" s="300"/>
      <c r="W619" s="300"/>
      <c r="X619" s="300"/>
      <c r="Y619" s="300"/>
      <c r="Z619" s="300"/>
      <c r="AA619" s="300"/>
      <c r="AB619" s="300"/>
      <c r="AC619" s="300"/>
      <c r="AD619" s="300"/>
      <c r="AE619" s="300"/>
    </row>
    <row r="620" spans="15:31">
      <c r="O620" s="300"/>
      <c r="P620" s="300"/>
      <c r="Q620" s="300"/>
      <c r="R620" s="300"/>
      <c r="S620" s="300"/>
      <c r="T620" s="300"/>
      <c r="U620" s="300"/>
      <c r="V620" s="300"/>
      <c r="W620" s="300"/>
      <c r="X620" s="300"/>
      <c r="Y620" s="300"/>
      <c r="Z620" s="300"/>
      <c r="AA620" s="300"/>
      <c r="AB620" s="300"/>
      <c r="AC620" s="300"/>
      <c r="AD620" s="300"/>
      <c r="AE620" s="300"/>
    </row>
    <row r="621" spans="15:31">
      <c r="O621" s="300"/>
      <c r="P621" s="300"/>
      <c r="Q621" s="300"/>
      <c r="R621" s="300"/>
      <c r="S621" s="300"/>
      <c r="T621" s="300"/>
      <c r="U621" s="300"/>
      <c r="V621" s="300"/>
      <c r="W621" s="300"/>
      <c r="X621" s="300"/>
      <c r="Y621" s="300"/>
      <c r="Z621" s="300"/>
      <c r="AA621" s="300"/>
      <c r="AB621" s="300"/>
      <c r="AC621" s="300"/>
      <c r="AD621" s="300"/>
      <c r="AE621" s="300"/>
    </row>
    <row r="622" spans="15:31">
      <c r="O622" s="300"/>
      <c r="P622" s="300"/>
      <c r="Q622" s="300"/>
      <c r="R622" s="300"/>
      <c r="S622" s="300"/>
      <c r="T622" s="300"/>
      <c r="U622" s="300"/>
      <c r="V622" s="300"/>
      <c r="W622" s="300"/>
      <c r="X622" s="300"/>
      <c r="Y622" s="300"/>
      <c r="Z622" s="300"/>
      <c r="AA622" s="300"/>
      <c r="AB622" s="300"/>
      <c r="AC622" s="300"/>
      <c r="AD622" s="300"/>
      <c r="AE622" s="300"/>
    </row>
    <row r="623" spans="15:31">
      <c r="O623" s="300"/>
      <c r="P623" s="300"/>
      <c r="Q623" s="300"/>
      <c r="R623" s="300"/>
      <c r="S623" s="300"/>
      <c r="T623" s="300"/>
      <c r="U623" s="300"/>
      <c r="V623" s="300"/>
      <c r="W623" s="300"/>
      <c r="X623" s="300"/>
      <c r="Y623" s="300"/>
      <c r="Z623" s="300"/>
      <c r="AA623" s="300"/>
      <c r="AB623" s="300"/>
      <c r="AC623" s="300"/>
      <c r="AD623" s="300"/>
      <c r="AE623" s="300"/>
    </row>
    <row r="624" spans="15:31">
      <c r="O624" s="300"/>
      <c r="P624" s="300"/>
      <c r="Q624" s="300"/>
      <c r="R624" s="300"/>
      <c r="S624" s="300"/>
      <c r="T624" s="300"/>
      <c r="U624" s="300"/>
      <c r="V624" s="300"/>
      <c r="W624" s="300"/>
      <c r="X624" s="300"/>
      <c r="Y624" s="300"/>
      <c r="Z624" s="300"/>
      <c r="AA624" s="300"/>
      <c r="AB624" s="300"/>
      <c r="AC624" s="300"/>
      <c r="AD624" s="300"/>
      <c r="AE624" s="300"/>
    </row>
    <row r="625" spans="15:31">
      <c r="O625" s="300"/>
      <c r="P625" s="300"/>
      <c r="Q625" s="300"/>
      <c r="R625" s="300"/>
      <c r="S625" s="300"/>
      <c r="T625" s="300"/>
      <c r="U625" s="300"/>
      <c r="V625" s="300"/>
      <c r="W625" s="300"/>
      <c r="X625" s="300"/>
      <c r="Y625" s="300"/>
      <c r="Z625" s="300"/>
      <c r="AA625" s="300"/>
      <c r="AB625" s="300"/>
      <c r="AC625" s="300"/>
      <c r="AD625" s="300"/>
      <c r="AE625" s="300"/>
    </row>
    <row r="626" spans="15:31">
      <c r="O626" s="300"/>
      <c r="P626" s="300"/>
      <c r="Q626" s="300"/>
      <c r="R626" s="300"/>
      <c r="S626" s="300"/>
      <c r="T626" s="300"/>
      <c r="U626" s="300"/>
      <c r="V626" s="300"/>
      <c r="W626" s="300"/>
      <c r="X626" s="300"/>
      <c r="Y626" s="300"/>
      <c r="Z626" s="300"/>
      <c r="AA626" s="300"/>
      <c r="AB626" s="300"/>
      <c r="AC626" s="300"/>
      <c r="AD626" s="300"/>
      <c r="AE626" s="300"/>
    </row>
    <row r="627" spans="15:31">
      <c r="O627" s="300"/>
      <c r="P627" s="300"/>
      <c r="Q627" s="300"/>
      <c r="R627" s="300"/>
      <c r="S627" s="300"/>
      <c r="T627" s="300"/>
      <c r="U627" s="300"/>
      <c r="V627" s="300"/>
      <c r="W627" s="300"/>
      <c r="X627" s="300"/>
      <c r="Y627" s="300"/>
      <c r="Z627" s="300"/>
      <c r="AA627" s="300"/>
      <c r="AB627" s="300"/>
      <c r="AC627" s="300"/>
      <c r="AD627" s="300"/>
      <c r="AE627" s="300"/>
    </row>
    <row r="628" spans="15:31">
      <c r="O628" s="300"/>
      <c r="P628" s="300"/>
      <c r="Q628" s="300"/>
      <c r="R628" s="300"/>
      <c r="S628" s="300"/>
      <c r="T628" s="300"/>
      <c r="U628" s="300"/>
      <c r="V628" s="300"/>
      <c r="W628" s="300"/>
      <c r="X628" s="300"/>
      <c r="Y628" s="300"/>
      <c r="Z628" s="300"/>
      <c r="AA628" s="300"/>
      <c r="AB628" s="300"/>
      <c r="AC628" s="300"/>
      <c r="AD628" s="300"/>
      <c r="AE628" s="300"/>
    </row>
    <row r="629" spans="15:31">
      <c r="O629" s="300"/>
      <c r="P629" s="300"/>
      <c r="Q629" s="300"/>
      <c r="R629" s="300"/>
      <c r="S629" s="300"/>
      <c r="T629" s="300"/>
      <c r="U629" s="300"/>
      <c r="V629" s="300"/>
      <c r="W629" s="300"/>
      <c r="X629" s="300"/>
      <c r="Y629" s="300"/>
      <c r="Z629" s="300"/>
      <c r="AA629" s="300"/>
      <c r="AB629" s="300"/>
      <c r="AC629" s="300"/>
      <c r="AD629" s="300"/>
      <c r="AE629" s="300"/>
    </row>
    <row r="630" spans="15:31">
      <c r="O630" s="300"/>
      <c r="P630" s="300"/>
      <c r="Q630" s="300"/>
      <c r="R630" s="300"/>
      <c r="S630" s="300"/>
      <c r="T630" s="300"/>
      <c r="U630" s="300"/>
      <c r="V630" s="300"/>
      <c r="W630" s="300"/>
      <c r="X630" s="300"/>
      <c r="Y630" s="300"/>
      <c r="Z630" s="300"/>
      <c r="AA630" s="300"/>
      <c r="AB630" s="300"/>
      <c r="AC630" s="300"/>
      <c r="AD630" s="300"/>
      <c r="AE630" s="300"/>
    </row>
    <row r="631" spans="15:31">
      <c r="O631" s="300"/>
      <c r="P631" s="300"/>
      <c r="Q631" s="300"/>
      <c r="R631" s="300"/>
      <c r="S631" s="300"/>
      <c r="T631" s="300"/>
      <c r="U631" s="300"/>
      <c r="V631" s="300"/>
      <c r="W631" s="300"/>
      <c r="X631" s="300"/>
      <c r="Y631" s="300"/>
      <c r="Z631" s="300"/>
      <c r="AA631" s="300"/>
      <c r="AB631" s="300"/>
      <c r="AC631" s="300"/>
      <c r="AD631" s="300"/>
      <c r="AE631" s="300"/>
    </row>
    <row r="632" spans="15:31">
      <c r="O632" s="300"/>
      <c r="P632" s="300"/>
      <c r="Q632" s="300"/>
      <c r="R632" s="300"/>
      <c r="S632" s="300"/>
      <c r="T632" s="300"/>
      <c r="U632" s="300"/>
      <c r="V632" s="300"/>
      <c r="W632" s="300"/>
      <c r="X632" s="300"/>
      <c r="Y632" s="300"/>
      <c r="Z632" s="300"/>
      <c r="AA632" s="300"/>
      <c r="AB632" s="300"/>
      <c r="AC632" s="300"/>
      <c r="AD632" s="300"/>
      <c r="AE632" s="300"/>
    </row>
    <row r="633" spans="15:31">
      <c r="O633" s="300"/>
      <c r="P633" s="300"/>
      <c r="Q633" s="300"/>
      <c r="R633" s="300"/>
      <c r="S633" s="300"/>
      <c r="T633" s="300"/>
      <c r="U633" s="300"/>
      <c r="V633" s="300"/>
      <c r="W633" s="300"/>
      <c r="X633" s="300"/>
      <c r="Y633" s="300"/>
      <c r="Z633" s="300"/>
      <c r="AA633" s="300"/>
      <c r="AB633" s="300"/>
      <c r="AC633" s="300"/>
      <c r="AD633" s="300"/>
      <c r="AE633" s="300"/>
    </row>
    <row r="634" spans="15:31">
      <c r="O634" s="300"/>
      <c r="P634" s="300"/>
      <c r="Q634" s="300"/>
      <c r="R634" s="300"/>
      <c r="S634" s="300"/>
      <c r="T634" s="300"/>
      <c r="U634" s="300"/>
      <c r="V634" s="300"/>
      <c r="W634" s="300"/>
      <c r="X634" s="300"/>
      <c r="Y634" s="300"/>
      <c r="Z634" s="300"/>
      <c r="AA634" s="300"/>
      <c r="AB634" s="300"/>
      <c r="AC634" s="300"/>
      <c r="AD634" s="300"/>
      <c r="AE634" s="300"/>
    </row>
    <row r="635" spans="15:31">
      <c r="O635" s="300"/>
      <c r="P635" s="300"/>
      <c r="Q635" s="300"/>
      <c r="R635" s="300"/>
      <c r="S635" s="300"/>
      <c r="T635" s="300"/>
      <c r="U635" s="300"/>
      <c r="V635" s="300"/>
      <c r="W635" s="300"/>
      <c r="X635" s="300"/>
      <c r="Y635" s="300"/>
      <c r="Z635" s="300"/>
      <c r="AA635" s="300"/>
      <c r="AB635" s="300"/>
      <c r="AC635" s="300"/>
      <c r="AD635" s="300"/>
      <c r="AE635" s="300"/>
    </row>
    <row r="636" spans="15:31">
      <c r="O636" s="300"/>
      <c r="P636" s="300"/>
      <c r="Q636" s="300"/>
      <c r="R636" s="300"/>
      <c r="S636" s="300"/>
      <c r="T636" s="300"/>
      <c r="U636" s="300"/>
      <c r="V636" s="300"/>
      <c r="W636" s="300"/>
      <c r="X636" s="300"/>
      <c r="Y636" s="300"/>
      <c r="Z636" s="300"/>
      <c r="AA636" s="300"/>
      <c r="AB636" s="300"/>
      <c r="AC636" s="300"/>
      <c r="AD636" s="300"/>
      <c r="AE636" s="300"/>
    </row>
    <row r="637" spans="15:31">
      <c r="O637" s="300"/>
      <c r="P637" s="300"/>
      <c r="Q637" s="300"/>
      <c r="R637" s="300"/>
      <c r="S637" s="300"/>
      <c r="T637" s="300"/>
      <c r="U637" s="300"/>
      <c r="V637" s="300"/>
      <c r="W637" s="300"/>
      <c r="X637" s="300"/>
      <c r="Y637" s="300"/>
      <c r="Z637" s="300"/>
      <c r="AA637" s="300"/>
      <c r="AB637" s="300"/>
      <c r="AC637" s="300"/>
      <c r="AD637" s="300"/>
      <c r="AE637" s="300"/>
    </row>
    <row r="638" spans="15:31">
      <c r="O638" s="300"/>
      <c r="P638" s="300"/>
      <c r="Q638" s="300"/>
      <c r="R638" s="300"/>
      <c r="S638" s="300"/>
      <c r="T638" s="300"/>
      <c r="U638" s="300"/>
      <c r="V638" s="300"/>
      <c r="W638" s="300"/>
      <c r="X638" s="300"/>
      <c r="Y638" s="300"/>
      <c r="Z638" s="300"/>
      <c r="AA638" s="300"/>
      <c r="AB638" s="300"/>
      <c r="AC638" s="300"/>
      <c r="AD638" s="300"/>
      <c r="AE638" s="300"/>
    </row>
    <row r="639" spans="15:31">
      <c r="O639" s="300"/>
      <c r="P639" s="300"/>
      <c r="Q639" s="300"/>
      <c r="R639" s="300"/>
      <c r="S639" s="300"/>
      <c r="T639" s="300"/>
      <c r="U639" s="300"/>
      <c r="V639" s="300"/>
      <c r="W639" s="300"/>
      <c r="X639" s="300"/>
      <c r="Y639" s="300"/>
      <c r="Z639" s="300"/>
      <c r="AA639" s="300"/>
      <c r="AB639" s="300"/>
      <c r="AC639" s="300"/>
      <c r="AD639" s="300"/>
      <c r="AE639" s="300"/>
    </row>
    <row r="640" spans="15:31">
      <c r="O640" s="300"/>
      <c r="P640" s="300"/>
      <c r="Q640" s="300"/>
      <c r="R640" s="300"/>
      <c r="S640" s="300"/>
      <c r="T640" s="300"/>
      <c r="U640" s="300"/>
      <c r="V640" s="300"/>
      <c r="W640" s="300"/>
      <c r="X640" s="300"/>
      <c r="Y640" s="300"/>
      <c r="Z640" s="300"/>
      <c r="AA640" s="300"/>
      <c r="AB640" s="300"/>
      <c r="AC640" s="300"/>
      <c r="AD640" s="300"/>
      <c r="AE640" s="300"/>
    </row>
    <row r="641" spans="15:31">
      <c r="O641" s="300"/>
      <c r="P641" s="300"/>
      <c r="Q641" s="300"/>
      <c r="R641" s="300"/>
      <c r="S641" s="300"/>
      <c r="T641" s="300"/>
      <c r="U641" s="300"/>
      <c r="V641" s="300"/>
      <c r="W641" s="300"/>
      <c r="X641" s="300"/>
      <c r="Y641" s="300"/>
      <c r="Z641" s="300"/>
      <c r="AA641" s="300"/>
      <c r="AB641" s="300"/>
      <c r="AC641" s="300"/>
      <c r="AD641" s="300"/>
      <c r="AE641" s="300"/>
    </row>
    <row r="642" spans="15:31">
      <c r="O642" s="300"/>
      <c r="P642" s="300"/>
      <c r="Q642" s="300"/>
      <c r="R642" s="300"/>
      <c r="S642" s="300"/>
      <c r="T642" s="300"/>
      <c r="U642" s="300"/>
      <c r="V642" s="300"/>
      <c r="W642" s="300"/>
      <c r="X642" s="300"/>
      <c r="Y642" s="300"/>
      <c r="Z642" s="300"/>
      <c r="AA642" s="300"/>
      <c r="AB642" s="300"/>
      <c r="AC642" s="300"/>
      <c r="AD642" s="300"/>
      <c r="AE642" s="300"/>
    </row>
    <row r="643" spans="15:31">
      <c r="O643" s="300"/>
      <c r="P643" s="300"/>
      <c r="Q643" s="300"/>
      <c r="R643" s="300"/>
      <c r="S643" s="300"/>
      <c r="T643" s="300"/>
      <c r="U643" s="300"/>
      <c r="V643" s="300"/>
      <c r="W643" s="300"/>
      <c r="X643" s="300"/>
      <c r="Y643" s="300"/>
      <c r="Z643" s="300"/>
      <c r="AA643" s="300"/>
      <c r="AB643" s="300"/>
      <c r="AC643" s="300"/>
      <c r="AD643" s="300"/>
      <c r="AE643" s="300"/>
    </row>
    <row r="644" spans="15:31">
      <c r="O644" s="300"/>
      <c r="P644" s="300"/>
      <c r="Q644" s="300"/>
      <c r="R644" s="300"/>
      <c r="S644" s="300"/>
      <c r="T644" s="300"/>
      <c r="U644" s="300"/>
      <c r="V644" s="300"/>
      <c r="W644" s="300"/>
      <c r="X644" s="300"/>
      <c r="Y644" s="300"/>
      <c r="Z644" s="300"/>
      <c r="AA644" s="300"/>
      <c r="AB644" s="300"/>
      <c r="AC644" s="300"/>
      <c r="AD644" s="300"/>
      <c r="AE644" s="300"/>
    </row>
    <row r="645" spans="15:31">
      <c r="O645" s="300"/>
      <c r="P645" s="300"/>
      <c r="Q645" s="300"/>
      <c r="R645" s="300"/>
      <c r="S645" s="300"/>
      <c r="T645" s="300"/>
      <c r="U645" s="300"/>
      <c r="V645" s="300"/>
      <c r="W645" s="300"/>
      <c r="X645" s="300"/>
      <c r="Y645" s="300"/>
      <c r="Z645" s="300"/>
      <c r="AA645" s="300"/>
      <c r="AB645" s="300"/>
      <c r="AC645" s="300"/>
      <c r="AD645" s="300"/>
      <c r="AE645" s="300"/>
    </row>
    <row r="646" spans="15:31">
      <c r="O646" s="300"/>
      <c r="P646" s="300"/>
      <c r="Q646" s="300"/>
      <c r="R646" s="300"/>
      <c r="S646" s="300"/>
      <c r="T646" s="300"/>
      <c r="U646" s="300"/>
      <c r="V646" s="300"/>
      <c r="W646" s="300"/>
      <c r="X646" s="300"/>
      <c r="Y646" s="300"/>
      <c r="Z646" s="300"/>
      <c r="AA646" s="300"/>
      <c r="AB646" s="300"/>
      <c r="AC646" s="300"/>
      <c r="AD646" s="300"/>
      <c r="AE646" s="300"/>
    </row>
    <row r="647" spans="15:31">
      <c r="O647" s="300"/>
      <c r="P647" s="300"/>
      <c r="Q647" s="300"/>
      <c r="R647" s="300"/>
      <c r="S647" s="300"/>
      <c r="T647" s="300"/>
      <c r="U647" s="300"/>
      <c r="V647" s="300"/>
      <c r="W647" s="300"/>
      <c r="X647" s="300"/>
      <c r="Y647" s="300"/>
      <c r="Z647" s="300"/>
      <c r="AA647" s="300"/>
      <c r="AB647" s="300"/>
      <c r="AC647" s="300"/>
      <c r="AD647" s="300"/>
      <c r="AE647" s="300"/>
    </row>
    <row r="648" spans="15:31">
      <c r="O648" s="300"/>
      <c r="P648" s="300"/>
      <c r="Q648" s="300"/>
      <c r="R648" s="300"/>
      <c r="S648" s="300"/>
      <c r="T648" s="300"/>
      <c r="U648" s="300"/>
      <c r="V648" s="300"/>
      <c r="W648" s="300"/>
      <c r="X648" s="300"/>
      <c r="Y648" s="300"/>
      <c r="Z648" s="300"/>
      <c r="AA648" s="300"/>
      <c r="AB648" s="300"/>
      <c r="AC648" s="300"/>
      <c r="AD648" s="300"/>
      <c r="AE648" s="300"/>
    </row>
    <row r="649" spans="15:31">
      <c r="O649" s="300"/>
      <c r="P649" s="300"/>
      <c r="Q649" s="300"/>
      <c r="R649" s="300"/>
      <c r="S649" s="300"/>
      <c r="T649" s="300"/>
      <c r="U649" s="300"/>
      <c r="V649" s="300"/>
      <c r="W649" s="300"/>
      <c r="X649" s="300"/>
      <c r="Y649" s="300"/>
      <c r="Z649" s="300"/>
      <c r="AA649" s="300"/>
      <c r="AB649" s="300"/>
      <c r="AC649" s="300"/>
      <c r="AD649" s="300"/>
      <c r="AE649" s="300"/>
    </row>
    <row r="650" spans="15:31">
      <c r="O650" s="300"/>
      <c r="P650" s="300"/>
      <c r="Q650" s="300"/>
      <c r="R650" s="300"/>
      <c r="S650" s="300"/>
      <c r="T650" s="300"/>
      <c r="U650" s="300"/>
      <c r="V650" s="300"/>
      <c r="W650" s="300"/>
      <c r="X650" s="300"/>
      <c r="Y650" s="300"/>
      <c r="Z650" s="300"/>
      <c r="AA650" s="300"/>
      <c r="AB650" s="300"/>
      <c r="AC650" s="300"/>
      <c r="AD650" s="300"/>
      <c r="AE650" s="300"/>
    </row>
    <row r="651" spans="15:31">
      <c r="O651" s="300"/>
      <c r="P651" s="300"/>
      <c r="Q651" s="300"/>
      <c r="R651" s="300"/>
      <c r="S651" s="300"/>
      <c r="T651" s="300"/>
      <c r="U651" s="300"/>
      <c r="V651" s="300"/>
      <c r="W651" s="300"/>
      <c r="X651" s="300"/>
      <c r="Y651" s="300"/>
      <c r="Z651" s="300"/>
      <c r="AA651" s="300"/>
      <c r="AB651" s="300"/>
      <c r="AC651" s="300"/>
      <c r="AD651" s="300"/>
      <c r="AE651" s="300"/>
    </row>
    <row r="652" spans="15:31">
      <c r="O652" s="300"/>
      <c r="P652" s="300"/>
      <c r="Q652" s="300"/>
      <c r="R652" s="300"/>
      <c r="S652" s="300"/>
      <c r="T652" s="300"/>
      <c r="U652" s="300"/>
      <c r="V652" s="300"/>
      <c r="W652" s="300"/>
      <c r="X652" s="300"/>
      <c r="Y652" s="300"/>
      <c r="Z652" s="300"/>
      <c r="AA652" s="300"/>
      <c r="AB652" s="300"/>
      <c r="AC652" s="300"/>
      <c r="AD652" s="300"/>
      <c r="AE652" s="300"/>
    </row>
    <row r="653" spans="15:31">
      <c r="O653" s="300"/>
      <c r="P653" s="300"/>
      <c r="Q653" s="300"/>
      <c r="R653" s="300"/>
      <c r="S653" s="300"/>
      <c r="T653" s="300"/>
      <c r="U653" s="300"/>
      <c r="V653" s="300"/>
      <c r="W653" s="300"/>
      <c r="X653" s="300"/>
      <c r="Y653" s="300"/>
      <c r="Z653" s="300"/>
      <c r="AA653" s="300"/>
      <c r="AB653" s="300"/>
      <c r="AC653" s="300"/>
      <c r="AD653" s="300"/>
      <c r="AE653" s="300"/>
    </row>
    <row r="654" spans="15:31">
      <c r="O654" s="300"/>
      <c r="P654" s="300"/>
      <c r="Q654" s="300"/>
      <c r="R654" s="300"/>
      <c r="S654" s="300"/>
      <c r="T654" s="300"/>
      <c r="U654" s="300"/>
      <c r="V654" s="300"/>
      <c r="W654" s="300"/>
      <c r="X654" s="300"/>
      <c r="Y654" s="300"/>
      <c r="Z654" s="300"/>
      <c r="AA654" s="300"/>
      <c r="AB654" s="300"/>
      <c r="AC654" s="300"/>
      <c r="AD654" s="300"/>
      <c r="AE654" s="300"/>
    </row>
    <row r="655" spans="15:31">
      <c r="O655" s="300"/>
      <c r="P655" s="300"/>
      <c r="Q655" s="300"/>
      <c r="R655" s="300"/>
      <c r="S655" s="300"/>
      <c r="T655" s="300"/>
      <c r="U655" s="300"/>
      <c r="V655" s="300"/>
      <c r="W655" s="300"/>
      <c r="X655" s="300"/>
      <c r="Y655" s="300"/>
      <c r="Z655" s="300"/>
      <c r="AA655" s="300"/>
      <c r="AB655" s="300"/>
      <c r="AC655" s="300"/>
      <c r="AD655" s="300"/>
      <c r="AE655" s="300"/>
    </row>
    <row r="656" spans="15:31">
      <c r="O656" s="300"/>
      <c r="P656" s="300"/>
      <c r="Q656" s="300"/>
      <c r="R656" s="300"/>
      <c r="S656" s="300"/>
      <c r="T656" s="300"/>
      <c r="U656" s="300"/>
      <c r="V656" s="300"/>
      <c r="W656" s="300"/>
      <c r="X656" s="300"/>
      <c r="Y656" s="300"/>
      <c r="Z656" s="300"/>
      <c r="AA656" s="300"/>
      <c r="AB656" s="300"/>
      <c r="AC656" s="300"/>
      <c r="AD656" s="300"/>
      <c r="AE656" s="300"/>
    </row>
    <row r="657" spans="15:31">
      <c r="O657" s="300"/>
      <c r="P657" s="300"/>
      <c r="Q657" s="300"/>
      <c r="R657" s="300"/>
      <c r="S657" s="300"/>
      <c r="T657" s="300"/>
      <c r="U657" s="300"/>
      <c r="V657" s="300"/>
      <c r="W657" s="300"/>
      <c r="X657" s="300"/>
      <c r="Y657" s="300"/>
      <c r="Z657" s="300"/>
      <c r="AA657" s="300"/>
      <c r="AB657" s="300"/>
      <c r="AC657" s="300"/>
      <c r="AD657" s="300"/>
      <c r="AE657" s="300"/>
    </row>
    <row r="658" spans="15:31">
      <c r="O658" s="300"/>
      <c r="P658" s="300"/>
      <c r="Q658" s="300"/>
      <c r="R658" s="300"/>
      <c r="S658" s="300"/>
      <c r="T658" s="300"/>
      <c r="U658" s="300"/>
      <c r="V658" s="300"/>
      <c r="W658" s="300"/>
      <c r="X658" s="300"/>
      <c r="Y658" s="300"/>
      <c r="Z658" s="300"/>
      <c r="AA658" s="300"/>
      <c r="AB658" s="300"/>
      <c r="AC658" s="300"/>
      <c r="AD658" s="300"/>
      <c r="AE658" s="300"/>
    </row>
    <row r="659" spans="15:31">
      <c r="O659" s="300"/>
      <c r="P659" s="300"/>
      <c r="Q659" s="300"/>
      <c r="R659" s="300"/>
      <c r="S659" s="300"/>
      <c r="T659" s="300"/>
      <c r="U659" s="300"/>
      <c r="V659" s="300"/>
      <c r="W659" s="300"/>
      <c r="X659" s="300"/>
      <c r="Y659" s="300"/>
      <c r="Z659" s="300"/>
      <c r="AA659" s="300"/>
      <c r="AB659" s="300"/>
      <c r="AC659" s="300"/>
      <c r="AD659" s="300"/>
      <c r="AE659" s="300"/>
    </row>
    <row r="660" spans="15:31">
      <c r="O660" s="300"/>
      <c r="P660" s="300"/>
      <c r="Q660" s="300"/>
      <c r="R660" s="300"/>
      <c r="S660" s="300"/>
      <c r="T660" s="300"/>
      <c r="U660" s="300"/>
      <c r="V660" s="300"/>
      <c r="W660" s="300"/>
      <c r="X660" s="300"/>
      <c r="Y660" s="300"/>
      <c r="Z660" s="300"/>
      <c r="AA660" s="300"/>
      <c r="AB660" s="300"/>
      <c r="AC660" s="300"/>
      <c r="AD660" s="300"/>
      <c r="AE660" s="300"/>
    </row>
    <row r="661" spans="15:31">
      <c r="O661" s="300"/>
      <c r="P661" s="300"/>
      <c r="Q661" s="300"/>
      <c r="R661" s="300"/>
      <c r="S661" s="300"/>
      <c r="T661" s="300"/>
      <c r="U661" s="300"/>
      <c r="V661" s="300"/>
      <c r="W661" s="300"/>
      <c r="X661" s="300"/>
      <c r="Y661" s="300"/>
      <c r="Z661" s="300"/>
      <c r="AA661" s="300"/>
      <c r="AB661" s="300"/>
      <c r="AC661" s="300"/>
      <c r="AD661" s="300"/>
      <c r="AE661" s="300"/>
    </row>
    <row r="662" spans="15:31">
      <c r="O662" s="300"/>
      <c r="P662" s="300"/>
      <c r="Q662" s="300"/>
      <c r="R662" s="300"/>
      <c r="S662" s="300"/>
      <c r="T662" s="300"/>
      <c r="U662" s="300"/>
      <c r="V662" s="300"/>
      <c r="W662" s="300"/>
      <c r="X662" s="300"/>
      <c r="Y662" s="300"/>
      <c r="Z662" s="300"/>
      <c r="AA662" s="300"/>
      <c r="AB662" s="300"/>
      <c r="AC662" s="300"/>
      <c r="AD662" s="300"/>
      <c r="AE662" s="300"/>
    </row>
    <row r="663" spans="15:31">
      <c r="O663" s="300"/>
      <c r="P663" s="300"/>
      <c r="Q663" s="300"/>
      <c r="R663" s="300"/>
      <c r="S663" s="300"/>
      <c r="T663" s="300"/>
      <c r="U663" s="300"/>
      <c r="V663" s="300"/>
      <c r="W663" s="300"/>
      <c r="X663" s="300"/>
      <c r="Y663" s="300"/>
      <c r="Z663" s="300"/>
      <c r="AA663" s="300"/>
      <c r="AB663" s="300"/>
      <c r="AC663" s="300"/>
      <c r="AD663" s="300"/>
      <c r="AE663" s="300"/>
    </row>
    <row r="664" spans="15:31">
      <c r="O664" s="300"/>
      <c r="P664" s="300"/>
      <c r="Q664" s="300"/>
      <c r="R664" s="300"/>
      <c r="S664" s="300"/>
      <c r="T664" s="300"/>
      <c r="U664" s="300"/>
      <c r="V664" s="300"/>
      <c r="W664" s="300"/>
      <c r="X664" s="300"/>
      <c r="Y664" s="300"/>
      <c r="Z664" s="300"/>
      <c r="AA664" s="300"/>
      <c r="AB664" s="300"/>
      <c r="AC664" s="300"/>
      <c r="AD664" s="300"/>
      <c r="AE664" s="300"/>
    </row>
    <row r="665" spans="15:31">
      <c r="O665" s="300"/>
      <c r="P665" s="300"/>
      <c r="Q665" s="300"/>
      <c r="R665" s="300"/>
      <c r="S665" s="300"/>
      <c r="T665" s="300"/>
      <c r="U665" s="300"/>
      <c r="V665" s="300"/>
      <c r="W665" s="300"/>
      <c r="X665" s="300"/>
      <c r="Y665" s="300"/>
      <c r="Z665" s="300"/>
      <c r="AA665" s="300"/>
      <c r="AB665" s="300"/>
      <c r="AC665" s="300"/>
      <c r="AD665" s="300"/>
      <c r="AE665" s="300"/>
    </row>
    <row r="666" spans="15:31">
      <c r="O666" s="300"/>
      <c r="P666" s="300"/>
      <c r="Q666" s="300"/>
      <c r="R666" s="300"/>
      <c r="S666" s="300"/>
      <c r="T666" s="300"/>
      <c r="U666" s="300"/>
      <c r="V666" s="300"/>
      <c r="W666" s="300"/>
      <c r="X666" s="300"/>
      <c r="Y666" s="300"/>
      <c r="Z666" s="300"/>
      <c r="AA666" s="300"/>
      <c r="AB666" s="300"/>
      <c r="AC666" s="300"/>
      <c r="AD666" s="300"/>
      <c r="AE666" s="300"/>
    </row>
    <row r="667" spans="15:31">
      <c r="O667" s="300"/>
      <c r="P667" s="300"/>
      <c r="Q667" s="300"/>
      <c r="R667" s="300"/>
      <c r="S667" s="300"/>
      <c r="T667" s="300"/>
      <c r="U667" s="300"/>
      <c r="V667" s="300"/>
      <c r="W667" s="300"/>
      <c r="X667" s="300"/>
      <c r="Y667" s="300"/>
      <c r="Z667" s="300"/>
      <c r="AA667" s="300"/>
      <c r="AB667" s="300"/>
      <c r="AC667" s="300"/>
      <c r="AD667" s="300"/>
      <c r="AE667" s="300"/>
    </row>
    <row r="668" spans="15:31">
      <c r="O668" s="300"/>
      <c r="P668" s="300"/>
      <c r="Q668" s="300"/>
      <c r="R668" s="300"/>
      <c r="S668" s="300"/>
      <c r="T668" s="300"/>
      <c r="U668" s="300"/>
      <c r="V668" s="300"/>
      <c r="W668" s="300"/>
      <c r="X668" s="300"/>
      <c r="Y668" s="300"/>
      <c r="Z668" s="300"/>
      <c r="AA668" s="300"/>
      <c r="AB668" s="300"/>
      <c r="AC668" s="300"/>
      <c r="AD668" s="300"/>
      <c r="AE668" s="300"/>
    </row>
    <row r="669" spans="15:31">
      <c r="O669" s="300"/>
      <c r="P669" s="300"/>
      <c r="Q669" s="300"/>
      <c r="R669" s="300"/>
      <c r="S669" s="300"/>
      <c r="T669" s="300"/>
      <c r="U669" s="300"/>
      <c r="V669" s="300"/>
      <c r="W669" s="300"/>
      <c r="X669" s="300"/>
      <c r="Y669" s="300"/>
      <c r="Z669" s="300"/>
      <c r="AA669" s="300"/>
      <c r="AB669" s="300"/>
      <c r="AC669" s="300"/>
      <c r="AD669" s="300"/>
      <c r="AE669" s="300"/>
    </row>
    <row r="670" spans="15:31">
      <c r="O670" s="300"/>
      <c r="P670" s="300"/>
      <c r="Q670" s="300"/>
      <c r="R670" s="300"/>
      <c r="S670" s="300"/>
      <c r="T670" s="300"/>
      <c r="U670" s="300"/>
      <c r="V670" s="300"/>
      <c r="W670" s="300"/>
      <c r="X670" s="300"/>
      <c r="Y670" s="300"/>
      <c r="Z670" s="300"/>
      <c r="AA670" s="300"/>
      <c r="AB670" s="300"/>
      <c r="AC670" s="300"/>
      <c r="AD670" s="300"/>
      <c r="AE670" s="300"/>
    </row>
    <row r="671" spans="15:31">
      <c r="O671" s="300"/>
      <c r="P671" s="300"/>
      <c r="Q671" s="300"/>
      <c r="R671" s="300"/>
      <c r="S671" s="300"/>
      <c r="T671" s="300"/>
      <c r="U671" s="300"/>
      <c r="V671" s="300"/>
      <c r="W671" s="300"/>
      <c r="X671" s="300"/>
      <c r="Y671" s="300"/>
      <c r="Z671" s="300"/>
      <c r="AA671" s="300"/>
      <c r="AB671" s="300"/>
      <c r="AC671" s="300"/>
      <c r="AD671" s="300"/>
      <c r="AE671" s="300"/>
    </row>
    <row r="672" spans="15:31">
      <c r="O672" s="300"/>
      <c r="P672" s="300"/>
      <c r="Q672" s="300"/>
      <c r="R672" s="300"/>
      <c r="S672" s="300"/>
      <c r="T672" s="300"/>
      <c r="U672" s="300"/>
      <c r="V672" s="300"/>
      <c r="W672" s="300"/>
      <c r="X672" s="300"/>
      <c r="Y672" s="300"/>
      <c r="Z672" s="300"/>
      <c r="AA672" s="300"/>
      <c r="AB672" s="300"/>
      <c r="AC672" s="300"/>
      <c r="AD672" s="300"/>
      <c r="AE672" s="300"/>
    </row>
    <row r="673" spans="15:31">
      <c r="O673" s="300"/>
      <c r="P673" s="300"/>
      <c r="Q673" s="300"/>
      <c r="R673" s="300"/>
      <c r="S673" s="300"/>
      <c r="T673" s="300"/>
      <c r="U673" s="300"/>
      <c r="V673" s="300"/>
      <c r="W673" s="300"/>
      <c r="X673" s="300"/>
      <c r="Y673" s="300"/>
      <c r="Z673" s="300"/>
      <c r="AA673" s="300"/>
      <c r="AB673" s="300"/>
      <c r="AC673" s="300"/>
      <c r="AD673" s="300"/>
      <c r="AE673" s="300"/>
    </row>
    <row r="674" spans="15:31">
      <c r="O674" s="300"/>
      <c r="P674" s="300"/>
      <c r="Q674" s="300"/>
      <c r="R674" s="300"/>
      <c r="S674" s="300"/>
      <c r="T674" s="300"/>
      <c r="U674" s="300"/>
      <c r="V674" s="300"/>
      <c r="W674" s="300"/>
      <c r="X674" s="300"/>
      <c r="Y674" s="300"/>
      <c r="Z674" s="300"/>
      <c r="AA674" s="300"/>
      <c r="AB674" s="300"/>
      <c r="AC674" s="300"/>
      <c r="AD674" s="300"/>
      <c r="AE674" s="300"/>
    </row>
    <row r="675" spans="15:31">
      <c r="O675" s="300"/>
      <c r="P675" s="300"/>
      <c r="Q675" s="300"/>
      <c r="R675" s="300"/>
      <c r="S675" s="300"/>
      <c r="T675" s="300"/>
      <c r="U675" s="300"/>
      <c r="V675" s="300"/>
      <c r="W675" s="300"/>
      <c r="X675" s="300"/>
      <c r="Y675" s="300"/>
      <c r="Z675" s="300"/>
      <c r="AA675" s="300"/>
      <c r="AB675" s="300"/>
      <c r="AC675" s="300"/>
      <c r="AD675" s="300"/>
      <c r="AE675" s="300"/>
    </row>
    <row r="676" spans="15:31">
      <c r="O676" s="300"/>
      <c r="P676" s="300"/>
      <c r="Q676" s="300"/>
      <c r="R676" s="300"/>
      <c r="S676" s="300"/>
      <c r="T676" s="300"/>
      <c r="U676" s="300"/>
      <c r="V676" s="300"/>
      <c r="W676" s="300"/>
      <c r="X676" s="300"/>
      <c r="Y676" s="300"/>
      <c r="Z676" s="300"/>
      <c r="AA676" s="300"/>
      <c r="AB676" s="300"/>
      <c r="AC676" s="300"/>
      <c r="AD676" s="300"/>
      <c r="AE676" s="300"/>
    </row>
    <row r="677" spans="15:31">
      <c r="O677" s="300"/>
      <c r="P677" s="300"/>
      <c r="Q677" s="300"/>
      <c r="R677" s="300"/>
      <c r="S677" s="300"/>
      <c r="T677" s="300"/>
      <c r="U677" s="300"/>
      <c r="V677" s="300"/>
      <c r="W677" s="300"/>
      <c r="X677" s="300"/>
      <c r="Y677" s="300"/>
      <c r="Z677" s="300"/>
      <c r="AA677" s="300"/>
      <c r="AB677" s="300"/>
      <c r="AC677" s="300"/>
      <c r="AD677" s="300"/>
      <c r="AE677" s="300"/>
    </row>
    <row r="678" spans="15:31">
      <c r="O678" s="300"/>
      <c r="P678" s="300"/>
      <c r="Q678" s="300"/>
      <c r="R678" s="300"/>
      <c r="S678" s="300"/>
      <c r="T678" s="300"/>
      <c r="U678" s="300"/>
      <c r="V678" s="300"/>
      <c r="W678" s="300"/>
      <c r="X678" s="300"/>
      <c r="Y678" s="300"/>
      <c r="Z678" s="300"/>
      <c r="AA678" s="300"/>
      <c r="AB678" s="300"/>
      <c r="AC678" s="300"/>
      <c r="AD678" s="300"/>
      <c r="AE678" s="300"/>
    </row>
    <row r="679" spans="15:31">
      <c r="O679" s="300"/>
      <c r="P679" s="300"/>
      <c r="Q679" s="300"/>
      <c r="R679" s="300"/>
      <c r="S679" s="300"/>
      <c r="T679" s="300"/>
      <c r="U679" s="300"/>
      <c r="V679" s="300"/>
      <c r="W679" s="300"/>
      <c r="X679" s="300"/>
      <c r="Y679" s="300"/>
      <c r="Z679" s="300"/>
      <c r="AA679" s="300"/>
      <c r="AB679" s="300"/>
      <c r="AC679" s="300"/>
      <c r="AD679" s="300"/>
      <c r="AE679" s="300"/>
    </row>
    <row r="680" spans="15:31">
      <c r="O680" s="300"/>
      <c r="P680" s="300"/>
      <c r="Q680" s="300"/>
      <c r="R680" s="300"/>
      <c r="S680" s="300"/>
      <c r="T680" s="300"/>
      <c r="U680" s="300"/>
      <c r="V680" s="300"/>
      <c r="W680" s="300"/>
      <c r="X680" s="300"/>
      <c r="Y680" s="300"/>
      <c r="Z680" s="300"/>
      <c r="AA680" s="300"/>
      <c r="AB680" s="300"/>
      <c r="AC680" s="300"/>
      <c r="AD680" s="300"/>
      <c r="AE680" s="300"/>
    </row>
    <row r="681" spans="15:31">
      <c r="O681" s="300"/>
      <c r="P681" s="300"/>
      <c r="Q681" s="300"/>
      <c r="R681" s="300"/>
      <c r="S681" s="300"/>
      <c r="T681" s="300"/>
      <c r="U681" s="300"/>
      <c r="V681" s="300"/>
      <c r="W681" s="300"/>
      <c r="X681" s="300"/>
      <c r="Y681" s="300"/>
      <c r="Z681" s="300"/>
      <c r="AA681" s="300"/>
      <c r="AB681" s="300"/>
      <c r="AC681" s="300"/>
      <c r="AD681" s="300"/>
      <c r="AE681" s="300"/>
    </row>
    <row r="682" spans="15:31">
      <c r="O682" s="300"/>
      <c r="P682" s="300"/>
      <c r="Q682" s="300"/>
      <c r="R682" s="300"/>
      <c r="S682" s="300"/>
      <c r="T682" s="300"/>
      <c r="U682" s="300"/>
      <c r="V682" s="300"/>
      <c r="W682" s="300"/>
      <c r="X682" s="300"/>
      <c r="Y682" s="300"/>
      <c r="Z682" s="300"/>
      <c r="AA682" s="300"/>
      <c r="AB682" s="300"/>
      <c r="AC682" s="300"/>
      <c r="AD682" s="300"/>
      <c r="AE682" s="300"/>
    </row>
    <row r="683" spans="15:31">
      <c r="O683" s="300"/>
      <c r="P683" s="300"/>
      <c r="Q683" s="300"/>
      <c r="R683" s="300"/>
      <c r="S683" s="300"/>
      <c r="T683" s="300"/>
      <c r="U683" s="300"/>
      <c r="V683" s="300"/>
      <c r="W683" s="300"/>
      <c r="X683" s="300"/>
      <c r="Y683" s="300"/>
      <c r="Z683" s="300"/>
      <c r="AA683" s="300"/>
      <c r="AB683" s="300"/>
      <c r="AC683" s="300"/>
      <c r="AD683" s="300"/>
      <c r="AE683" s="300"/>
    </row>
    <row r="684" spans="15:31">
      <c r="O684" s="300"/>
      <c r="P684" s="300"/>
      <c r="Q684" s="300"/>
      <c r="R684" s="300"/>
      <c r="S684" s="300"/>
      <c r="T684" s="300"/>
      <c r="U684" s="300"/>
      <c r="V684" s="300"/>
      <c r="W684" s="300"/>
      <c r="X684" s="300"/>
      <c r="Y684" s="300"/>
      <c r="Z684" s="300"/>
      <c r="AA684" s="300"/>
      <c r="AB684" s="300"/>
      <c r="AC684" s="300"/>
      <c r="AD684" s="300"/>
      <c r="AE684" s="300"/>
    </row>
    <row r="685" spans="15:31">
      <c r="O685" s="300"/>
      <c r="P685" s="300"/>
      <c r="Q685" s="300"/>
      <c r="R685" s="300"/>
      <c r="S685" s="300"/>
      <c r="T685" s="300"/>
      <c r="U685" s="300"/>
      <c r="V685" s="300"/>
      <c r="W685" s="300"/>
      <c r="X685" s="300"/>
      <c r="Y685" s="300"/>
      <c r="Z685" s="300"/>
      <c r="AA685" s="300"/>
      <c r="AB685" s="300"/>
      <c r="AC685" s="300"/>
      <c r="AD685" s="300"/>
      <c r="AE685" s="300"/>
    </row>
    <row r="686" spans="15:31">
      <c r="O686" s="300"/>
      <c r="P686" s="300"/>
      <c r="Q686" s="300"/>
      <c r="R686" s="300"/>
      <c r="S686" s="300"/>
      <c r="T686" s="300"/>
      <c r="U686" s="300"/>
      <c r="V686" s="300"/>
      <c r="W686" s="300"/>
      <c r="X686" s="300"/>
      <c r="Y686" s="300"/>
      <c r="Z686" s="300"/>
      <c r="AA686" s="300"/>
      <c r="AB686" s="300"/>
      <c r="AC686" s="300"/>
      <c r="AD686" s="300"/>
      <c r="AE686" s="300"/>
    </row>
    <row r="687" spans="15:31">
      <c r="O687" s="300"/>
      <c r="P687" s="300"/>
      <c r="Q687" s="300"/>
      <c r="R687" s="300"/>
      <c r="S687" s="300"/>
      <c r="T687" s="300"/>
      <c r="U687" s="300"/>
      <c r="V687" s="300"/>
      <c r="W687" s="300"/>
      <c r="X687" s="300"/>
      <c r="Y687" s="300"/>
      <c r="Z687" s="300"/>
      <c r="AA687" s="300"/>
      <c r="AB687" s="300"/>
      <c r="AC687" s="300"/>
      <c r="AD687" s="300"/>
      <c r="AE687" s="300"/>
    </row>
    <row r="688" spans="15:31">
      <c r="O688" s="300"/>
      <c r="P688" s="300"/>
      <c r="Q688" s="300"/>
      <c r="R688" s="300"/>
      <c r="S688" s="300"/>
      <c r="T688" s="300"/>
      <c r="U688" s="300"/>
      <c r="V688" s="300"/>
      <c r="W688" s="300"/>
      <c r="X688" s="300"/>
      <c r="Y688" s="300"/>
      <c r="Z688" s="300"/>
      <c r="AA688" s="300"/>
      <c r="AB688" s="300"/>
      <c r="AC688" s="300"/>
      <c r="AD688" s="300"/>
      <c r="AE688" s="300"/>
    </row>
    <row r="689" spans="15:31">
      <c r="O689" s="300"/>
      <c r="P689" s="300"/>
      <c r="Q689" s="300"/>
      <c r="R689" s="300"/>
      <c r="S689" s="300"/>
      <c r="T689" s="300"/>
      <c r="U689" s="300"/>
      <c r="V689" s="300"/>
      <c r="W689" s="300"/>
      <c r="X689" s="300"/>
      <c r="Y689" s="300"/>
      <c r="Z689" s="300"/>
      <c r="AA689" s="300"/>
      <c r="AB689" s="300"/>
      <c r="AC689" s="300"/>
      <c r="AD689" s="300"/>
      <c r="AE689" s="300"/>
    </row>
    <row r="690" spans="15:31">
      <c r="O690" s="300"/>
      <c r="P690" s="300"/>
      <c r="Q690" s="300"/>
      <c r="R690" s="300"/>
      <c r="S690" s="300"/>
      <c r="T690" s="300"/>
      <c r="U690" s="300"/>
      <c r="V690" s="300"/>
      <c r="W690" s="300"/>
      <c r="X690" s="300"/>
      <c r="Y690" s="300"/>
      <c r="Z690" s="300"/>
      <c r="AA690" s="300"/>
      <c r="AB690" s="300"/>
      <c r="AC690" s="300"/>
      <c r="AD690" s="300"/>
      <c r="AE690" s="300"/>
    </row>
    <row r="691" spans="15:31">
      <c r="O691" s="300"/>
      <c r="P691" s="300"/>
      <c r="Q691" s="300"/>
      <c r="R691" s="300"/>
      <c r="S691" s="300"/>
      <c r="T691" s="300"/>
      <c r="U691" s="300"/>
      <c r="V691" s="300"/>
      <c r="W691" s="300"/>
      <c r="X691" s="300"/>
      <c r="Y691" s="300"/>
      <c r="Z691" s="300"/>
      <c r="AA691" s="300"/>
      <c r="AB691" s="300"/>
      <c r="AC691" s="300"/>
      <c r="AD691" s="300"/>
      <c r="AE691" s="300"/>
    </row>
    <row r="692" spans="15:31">
      <c r="O692" s="300"/>
      <c r="P692" s="300"/>
      <c r="Q692" s="300"/>
      <c r="R692" s="300"/>
      <c r="S692" s="300"/>
      <c r="T692" s="300"/>
      <c r="U692" s="300"/>
      <c r="V692" s="300"/>
      <c r="W692" s="300"/>
      <c r="X692" s="300"/>
      <c r="Y692" s="300"/>
      <c r="Z692" s="300"/>
      <c r="AA692" s="300"/>
      <c r="AB692" s="300"/>
      <c r="AC692" s="300"/>
      <c r="AD692" s="300"/>
      <c r="AE692" s="300"/>
    </row>
    <row r="693" spans="15:31">
      <c r="O693" s="300"/>
      <c r="P693" s="300"/>
      <c r="Q693" s="300"/>
      <c r="R693" s="300"/>
      <c r="S693" s="300"/>
      <c r="T693" s="300"/>
      <c r="U693" s="300"/>
      <c r="V693" s="300"/>
      <c r="W693" s="300"/>
      <c r="X693" s="300"/>
      <c r="Y693" s="300"/>
      <c r="Z693" s="300"/>
      <c r="AA693" s="300"/>
      <c r="AB693" s="300"/>
      <c r="AC693" s="300"/>
      <c r="AD693" s="300"/>
      <c r="AE693" s="300"/>
    </row>
    <row r="694" spans="15:31">
      <c r="O694" s="300"/>
      <c r="P694" s="300"/>
      <c r="Q694" s="300"/>
      <c r="R694" s="300"/>
      <c r="S694" s="300"/>
      <c r="T694" s="300"/>
      <c r="U694" s="300"/>
      <c r="V694" s="300"/>
      <c r="W694" s="300"/>
      <c r="X694" s="300"/>
      <c r="Y694" s="300"/>
      <c r="Z694" s="300"/>
      <c r="AA694" s="300"/>
      <c r="AB694" s="300"/>
      <c r="AC694" s="300"/>
      <c r="AD694" s="300"/>
      <c r="AE694" s="300"/>
    </row>
    <row r="695" spans="15:31">
      <c r="O695" s="300"/>
      <c r="P695" s="300"/>
      <c r="Q695" s="300"/>
      <c r="R695" s="300"/>
      <c r="S695" s="300"/>
      <c r="T695" s="300"/>
      <c r="U695" s="300"/>
      <c r="V695" s="300"/>
      <c r="W695" s="300"/>
      <c r="X695" s="300"/>
      <c r="Y695" s="300"/>
      <c r="Z695" s="300"/>
      <c r="AA695" s="300"/>
      <c r="AB695" s="300"/>
      <c r="AC695" s="300"/>
      <c r="AD695" s="300"/>
      <c r="AE695" s="300"/>
    </row>
    <row r="696" spans="15:31">
      <c r="O696" s="300"/>
      <c r="P696" s="300"/>
      <c r="Q696" s="300"/>
      <c r="R696" s="300"/>
      <c r="S696" s="300"/>
      <c r="T696" s="300"/>
      <c r="U696" s="300"/>
      <c r="V696" s="300"/>
      <c r="W696" s="300"/>
      <c r="X696" s="300"/>
      <c r="Y696" s="300"/>
      <c r="Z696" s="300"/>
      <c r="AA696" s="300"/>
      <c r="AB696" s="300"/>
      <c r="AC696" s="300"/>
      <c r="AD696" s="300"/>
      <c r="AE696" s="300"/>
    </row>
    <row r="697" spans="15:31">
      <c r="O697" s="300"/>
      <c r="P697" s="300"/>
      <c r="Q697" s="300"/>
      <c r="R697" s="300"/>
      <c r="S697" s="300"/>
      <c r="T697" s="300"/>
      <c r="U697" s="300"/>
      <c r="V697" s="300"/>
      <c r="W697" s="300"/>
      <c r="X697" s="300"/>
      <c r="Y697" s="300"/>
      <c r="Z697" s="300"/>
      <c r="AA697" s="300"/>
      <c r="AB697" s="300"/>
      <c r="AC697" s="300"/>
      <c r="AD697" s="300"/>
      <c r="AE697" s="300"/>
    </row>
    <row r="698" spans="15:31">
      <c r="O698" s="300"/>
      <c r="P698" s="300"/>
      <c r="Q698" s="300"/>
      <c r="R698" s="300"/>
      <c r="S698" s="300"/>
      <c r="T698" s="300"/>
      <c r="U698" s="300"/>
      <c r="V698" s="300"/>
      <c r="W698" s="300"/>
      <c r="X698" s="300"/>
      <c r="Y698" s="300"/>
      <c r="Z698" s="300"/>
      <c r="AA698" s="300"/>
      <c r="AB698" s="300"/>
      <c r="AC698" s="300"/>
      <c r="AD698" s="300"/>
      <c r="AE698" s="300"/>
    </row>
    <row r="699" spans="15:31">
      <c r="O699" s="300"/>
      <c r="P699" s="300"/>
      <c r="Q699" s="300"/>
      <c r="R699" s="300"/>
      <c r="S699" s="300"/>
      <c r="T699" s="300"/>
      <c r="U699" s="300"/>
      <c r="V699" s="300"/>
      <c r="W699" s="300"/>
      <c r="X699" s="300"/>
      <c r="Y699" s="300"/>
      <c r="Z699" s="300"/>
      <c r="AA699" s="300"/>
      <c r="AB699" s="300"/>
      <c r="AC699" s="300"/>
      <c r="AD699" s="300"/>
      <c r="AE699" s="300"/>
    </row>
    <row r="700" spans="15:31">
      <c r="O700" s="300"/>
      <c r="P700" s="300"/>
      <c r="Q700" s="300"/>
      <c r="R700" s="300"/>
      <c r="S700" s="300"/>
      <c r="T700" s="300"/>
      <c r="U700" s="300"/>
      <c r="V700" s="300"/>
      <c r="W700" s="300"/>
      <c r="X700" s="300"/>
      <c r="Y700" s="300"/>
      <c r="Z700" s="300"/>
      <c r="AA700" s="300"/>
      <c r="AB700" s="300"/>
      <c r="AC700" s="300"/>
      <c r="AD700" s="300"/>
      <c r="AE700" s="300"/>
    </row>
    <row r="701" spans="15:31">
      <c r="O701" s="300"/>
      <c r="P701" s="300"/>
      <c r="Q701" s="300"/>
      <c r="R701" s="300"/>
      <c r="S701" s="300"/>
      <c r="T701" s="300"/>
      <c r="U701" s="300"/>
      <c r="V701" s="300"/>
      <c r="W701" s="300"/>
      <c r="X701" s="300"/>
      <c r="Y701" s="300"/>
      <c r="Z701" s="300"/>
      <c r="AA701" s="300"/>
      <c r="AB701" s="300"/>
      <c r="AC701" s="300"/>
      <c r="AD701" s="300"/>
      <c r="AE701" s="300"/>
    </row>
    <row r="702" spans="15:31">
      <c r="O702" s="300"/>
      <c r="P702" s="300"/>
      <c r="Q702" s="300"/>
      <c r="R702" s="300"/>
      <c r="S702" s="300"/>
      <c r="T702" s="300"/>
      <c r="U702" s="300"/>
      <c r="V702" s="300"/>
      <c r="W702" s="300"/>
      <c r="X702" s="300"/>
      <c r="Y702" s="300"/>
      <c r="Z702" s="300"/>
      <c r="AA702" s="300"/>
      <c r="AB702" s="300"/>
      <c r="AC702" s="300"/>
      <c r="AD702" s="300"/>
      <c r="AE702" s="300"/>
    </row>
    <row r="703" spans="15:31">
      <c r="O703" s="300"/>
      <c r="P703" s="300"/>
      <c r="Q703" s="300"/>
      <c r="R703" s="300"/>
      <c r="S703" s="300"/>
      <c r="T703" s="300"/>
      <c r="U703" s="300"/>
      <c r="V703" s="300"/>
      <c r="W703" s="300"/>
      <c r="X703" s="300"/>
      <c r="Y703" s="300"/>
      <c r="Z703" s="300"/>
      <c r="AA703" s="300"/>
      <c r="AB703" s="300"/>
      <c r="AC703" s="300"/>
      <c r="AD703" s="300"/>
      <c r="AE703" s="300"/>
    </row>
    <row r="704" spans="15:31">
      <c r="O704" s="300"/>
      <c r="P704" s="300"/>
      <c r="Q704" s="300"/>
      <c r="R704" s="300"/>
      <c r="S704" s="300"/>
      <c r="T704" s="300"/>
      <c r="U704" s="300"/>
      <c r="V704" s="300"/>
      <c r="W704" s="300"/>
      <c r="X704" s="300"/>
      <c r="Y704" s="300"/>
      <c r="Z704" s="300"/>
      <c r="AA704" s="300"/>
      <c r="AB704" s="300"/>
      <c r="AC704" s="300"/>
      <c r="AD704" s="300"/>
      <c r="AE704" s="300"/>
    </row>
    <row r="705" spans="15:31">
      <c r="O705" s="300"/>
      <c r="P705" s="300"/>
      <c r="Q705" s="300"/>
      <c r="R705" s="300"/>
      <c r="S705" s="300"/>
      <c r="T705" s="300"/>
      <c r="U705" s="300"/>
      <c r="V705" s="300"/>
      <c r="W705" s="300"/>
      <c r="X705" s="300"/>
      <c r="Y705" s="300"/>
      <c r="Z705" s="300"/>
      <c r="AA705" s="300"/>
      <c r="AB705" s="300"/>
      <c r="AC705" s="300"/>
      <c r="AD705" s="300"/>
      <c r="AE705" s="300"/>
    </row>
    <row r="706" spans="15:31">
      <c r="O706" s="300"/>
      <c r="P706" s="300"/>
      <c r="Q706" s="300"/>
      <c r="R706" s="300"/>
      <c r="S706" s="300"/>
      <c r="T706" s="300"/>
      <c r="U706" s="300"/>
      <c r="V706" s="300"/>
      <c r="W706" s="300"/>
      <c r="X706" s="300"/>
      <c r="Y706" s="300"/>
      <c r="Z706" s="300"/>
      <c r="AA706" s="300"/>
      <c r="AB706" s="300"/>
      <c r="AC706" s="300"/>
      <c r="AD706" s="300"/>
      <c r="AE706" s="300"/>
    </row>
    <row r="707" spans="15:31">
      <c r="O707" s="300"/>
      <c r="P707" s="300"/>
      <c r="Q707" s="300"/>
      <c r="R707" s="300"/>
      <c r="S707" s="300"/>
      <c r="T707" s="300"/>
      <c r="U707" s="300"/>
      <c r="V707" s="300"/>
      <c r="W707" s="300"/>
      <c r="X707" s="300"/>
      <c r="Y707" s="300"/>
      <c r="Z707" s="300"/>
      <c r="AA707" s="300"/>
      <c r="AB707" s="300"/>
      <c r="AC707" s="300"/>
      <c r="AD707" s="300"/>
      <c r="AE707" s="300"/>
    </row>
    <row r="708" spans="15:31">
      <c r="O708" s="300"/>
      <c r="P708" s="300"/>
      <c r="Q708" s="300"/>
      <c r="R708" s="300"/>
      <c r="S708" s="300"/>
      <c r="T708" s="300"/>
      <c r="U708" s="300"/>
      <c r="V708" s="300"/>
      <c r="W708" s="300"/>
      <c r="X708" s="300"/>
      <c r="Y708" s="300"/>
      <c r="Z708" s="300"/>
      <c r="AA708" s="300"/>
      <c r="AB708" s="300"/>
      <c r="AC708" s="300"/>
      <c r="AD708" s="300"/>
      <c r="AE708" s="300"/>
    </row>
    <row r="709" spans="15:31">
      <c r="O709" s="300"/>
      <c r="P709" s="300"/>
      <c r="Q709" s="300"/>
      <c r="R709" s="300"/>
      <c r="S709" s="300"/>
      <c r="T709" s="300"/>
      <c r="U709" s="300"/>
      <c r="V709" s="300"/>
      <c r="W709" s="300"/>
      <c r="X709" s="300"/>
      <c r="Y709" s="300"/>
      <c r="Z709" s="300"/>
      <c r="AA709" s="300"/>
      <c r="AB709" s="300"/>
      <c r="AC709" s="300"/>
      <c r="AD709" s="300"/>
      <c r="AE709" s="300"/>
    </row>
    <row r="710" spans="15:31">
      <c r="O710" s="300"/>
      <c r="P710" s="300"/>
      <c r="Q710" s="300"/>
      <c r="R710" s="300"/>
      <c r="S710" s="300"/>
      <c r="T710" s="300"/>
      <c r="U710" s="300"/>
      <c r="V710" s="300"/>
      <c r="W710" s="300"/>
      <c r="X710" s="300"/>
      <c r="Y710" s="300"/>
      <c r="Z710" s="300"/>
      <c r="AA710" s="300"/>
      <c r="AB710" s="300"/>
      <c r="AC710" s="300"/>
      <c r="AD710" s="300"/>
      <c r="AE710" s="300"/>
    </row>
    <row r="711" spans="15:31">
      <c r="O711" s="300"/>
      <c r="P711" s="300"/>
      <c r="Q711" s="300"/>
      <c r="R711" s="300"/>
      <c r="S711" s="300"/>
      <c r="T711" s="300"/>
      <c r="U711" s="300"/>
      <c r="V711" s="300"/>
      <c r="W711" s="300"/>
      <c r="X711" s="300"/>
      <c r="Y711" s="300"/>
      <c r="Z711" s="300"/>
      <c r="AA711" s="300"/>
      <c r="AB711" s="300"/>
      <c r="AC711" s="300"/>
      <c r="AD711" s="300"/>
      <c r="AE711" s="300"/>
    </row>
    <row r="712" spans="15:31">
      <c r="O712" s="300"/>
      <c r="P712" s="300"/>
      <c r="Q712" s="300"/>
      <c r="R712" s="300"/>
      <c r="S712" s="300"/>
      <c r="T712" s="300"/>
      <c r="U712" s="300"/>
      <c r="V712" s="300"/>
      <c r="W712" s="300"/>
      <c r="X712" s="300"/>
      <c r="Y712" s="300"/>
      <c r="Z712" s="300"/>
      <c r="AA712" s="300"/>
      <c r="AB712" s="300"/>
      <c r="AC712" s="300"/>
      <c r="AD712" s="300"/>
      <c r="AE712" s="300"/>
    </row>
    <row r="713" spans="15:31">
      <c r="O713" s="300"/>
      <c r="P713" s="300"/>
      <c r="Q713" s="300"/>
      <c r="R713" s="300"/>
      <c r="S713" s="300"/>
      <c r="T713" s="300"/>
      <c r="U713" s="300"/>
      <c r="V713" s="300"/>
      <c r="W713" s="300"/>
      <c r="X713" s="300"/>
      <c r="Y713" s="300"/>
      <c r="Z713" s="300"/>
      <c r="AA713" s="300"/>
      <c r="AB713" s="300"/>
      <c r="AC713" s="300"/>
      <c r="AD713" s="300"/>
      <c r="AE713" s="300"/>
    </row>
    <row r="714" spans="15:31">
      <c r="O714" s="300"/>
      <c r="P714" s="300"/>
      <c r="Q714" s="300"/>
      <c r="R714" s="300"/>
      <c r="S714" s="300"/>
      <c r="T714" s="300"/>
      <c r="U714" s="300"/>
      <c r="V714" s="300"/>
      <c r="W714" s="300"/>
      <c r="X714" s="300"/>
      <c r="Y714" s="300"/>
      <c r="Z714" s="300"/>
      <c r="AA714" s="300"/>
      <c r="AB714" s="300"/>
      <c r="AC714" s="300"/>
      <c r="AD714" s="300"/>
      <c r="AE714" s="300"/>
    </row>
    <row r="715" spans="15:31">
      <c r="O715" s="300"/>
      <c r="P715" s="300"/>
      <c r="Q715" s="300"/>
      <c r="R715" s="300"/>
      <c r="S715" s="300"/>
      <c r="T715" s="300"/>
      <c r="U715" s="300"/>
      <c r="V715" s="300"/>
      <c r="W715" s="300"/>
      <c r="X715" s="300"/>
      <c r="Y715" s="300"/>
      <c r="Z715" s="300"/>
      <c r="AA715" s="300"/>
      <c r="AB715" s="300"/>
      <c r="AC715" s="300"/>
      <c r="AD715" s="300"/>
      <c r="AE715" s="300"/>
    </row>
    <row r="716" spans="15:31">
      <c r="O716" s="300"/>
      <c r="P716" s="300"/>
      <c r="Q716" s="300"/>
      <c r="R716" s="300"/>
      <c r="S716" s="300"/>
      <c r="T716" s="300"/>
      <c r="U716" s="300"/>
      <c r="V716" s="300"/>
      <c r="W716" s="300"/>
      <c r="X716" s="300"/>
      <c r="Y716" s="300"/>
      <c r="Z716" s="300"/>
      <c r="AA716" s="300"/>
      <c r="AB716" s="300"/>
      <c r="AC716" s="300"/>
      <c r="AD716" s="300"/>
      <c r="AE716" s="300"/>
    </row>
    <row r="717" spans="15:31">
      <c r="O717" s="300"/>
      <c r="P717" s="300"/>
      <c r="Q717" s="300"/>
      <c r="R717" s="300"/>
      <c r="S717" s="300"/>
      <c r="T717" s="300"/>
      <c r="U717" s="300"/>
      <c r="V717" s="300"/>
      <c r="W717" s="300"/>
      <c r="X717" s="300"/>
      <c r="Y717" s="300"/>
      <c r="Z717" s="300"/>
      <c r="AA717" s="300"/>
      <c r="AB717" s="300"/>
      <c r="AC717" s="300"/>
      <c r="AD717" s="300"/>
      <c r="AE717" s="300"/>
    </row>
    <row r="718" spans="15:31">
      <c r="O718" s="300"/>
      <c r="P718" s="300"/>
      <c r="Q718" s="300"/>
      <c r="R718" s="300"/>
      <c r="S718" s="300"/>
      <c r="T718" s="300"/>
      <c r="U718" s="300"/>
      <c r="V718" s="300"/>
      <c r="W718" s="300"/>
      <c r="X718" s="300"/>
      <c r="Y718" s="300"/>
      <c r="Z718" s="300"/>
      <c r="AA718" s="300"/>
      <c r="AB718" s="300"/>
      <c r="AC718" s="300"/>
      <c r="AD718" s="300"/>
      <c r="AE718" s="300"/>
    </row>
    <row r="719" spans="15:31">
      <c r="O719" s="300"/>
      <c r="P719" s="300"/>
      <c r="Q719" s="300"/>
      <c r="R719" s="300"/>
      <c r="S719" s="300"/>
      <c r="T719" s="300"/>
      <c r="U719" s="300"/>
      <c r="V719" s="300"/>
      <c r="W719" s="300"/>
      <c r="X719" s="300"/>
      <c r="Y719" s="300"/>
      <c r="Z719" s="300"/>
      <c r="AA719" s="300"/>
      <c r="AB719" s="300"/>
      <c r="AC719" s="300"/>
      <c r="AD719" s="300"/>
      <c r="AE719" s="300"/>
    </row>
    <row r="720" spans="15:31">
      <c r="O720" s="300"/>
      <c r="P720" s="300"/>
      <c r="Q720" s="300"/>
      <c r="R720" s="300"/>
      <c r="S720" s="300"/>
      <c r="T720" s="300"/>
      <c r="U720" s="300"/>
      <c r="V720" s="300"/>
      <c r="W720" s="300"/>
      <c r="X720" s="300"/>
      <c r="Y720" s="300"/>
      <c r="Z720" s="300"/>
      <c r="AA720" s="300"/>
      <c r="AB720" s="300"/>
      <c r="AC720" s="300"/>
      <c r="AD720" s="300"/>
      <c r="AE720" s="300"/>
    </row>
    <row r="721" spans="15:31">
      <c r="O721" s="300"/>
      <c r="P721" s="300"/>
      <c r="Q721" s="300"/>
      <c r="R721" s="300"/>
      <c r="S721" s="300"/>
      <c r="T721" s="300"/>
      <c r="U721" s="300"/>
      <c r="V721" s="300"/>
      <c r="W721" s="300"/>
      <c r="X721" s="300"/>
      <c r="Y721" s="300"/>
      <c r="Z721" s="300"/>
      <c r="AA721" s="300"/>
      <c r="AB721" s="300"/>
      <c r="AC721" s="300"/>
      <c r="AD721" s="300"/>
      <c r="AE721" s="300"/>
    </row>
    <row r="722" spans="15:31">
      <c r="O722" s="300"/>
      <c r="P722" s="300"/>
      <c r="Q722" s="300"/>
      <c r="R722" s="300"/>
      <c r="S722" s="300"/>
      <c r="T722" s="300"/>
      <c r="U722" s="300"/>
      <c r="V722" s="300"/>
      <c r="W722" s="300"/>
      <c r="X722" s="300"/>
      <c r="Y722" s="300"/>
      <c r="Z722" s="300"/>
      <c r="AA722" s="300"/>
      <c r="AB722" s="300"/>
      <c r="AC722" s="300"/>
      <c r="AD722" s="300"/>
      <c r="AE722" s="300"/>
    </row>
    <row r="723" spans="15:31">
      <c r="O723" s="300"/>
      <c r="P723" s="300"/>
      <c r="Q723" s="300"/>
      <c r="R723" s="300"/>
      <c r="S723" s="300"/>
      <c r="T723" s="300"/>
      <c r="U723" s="300"/>
      <c r="V723" s="300"/>
      <c r="W723" s="300"/>
      <c r="X723" s="300"/>
      <c r="Y723" s="300"/>
      <c r="Z723" s="300"/>
      <c r="AA723" s="300"/>
      <c r="AB723" s="300"/>
      <c r="AC723" s="300"/>
      <c r="AD723" s="300"/>
      <c r="AE723" s="300"/>
    </row>
    <row r="724" spans="15:31">
      <c r="O724" s="300"/>
      <c r="P724" s="300"/>
      <c r="Q724" s="300"/>
      <c r="R724" s="300"/>
      <c r="S724" s="300"/>
      <c r="T724" s="300"/>
      <c r="U724" s="300"/>
      <c r="V724" s="300"/>
      <c r="W724" s="300"/>
      <c r="X724" s="300"/>
      <c r="Y724" s="300"/>
      <c r="Z724" s="300"/>
      <c r="AA724" s="300"/>
      <c r="AB724" s="300"/>
      <c r="AC724" s="300"/>
      <c r="AD724" s="300"/>
      <c r="AE724" s="300"/>
    </row>
    <row r="725" spans="15:31">
      <c r="O725" s="300"/>
      <c r="P725" s="300"/>
      <c r="Q725" s="300"/>
      <c r="R725" s="300"/>
      <c r="S725" s="300"/>
      <c r="T725" s="300"/>
      <c r="U725" s="300"/>
      <c r="V725" s="300"/>
      <c r="W725" s="300"/>
      <c r="X725" s="300"/>
      <c r="Y725" s="300"/>
      <c r="Z725" s="300"/>
      <c r="AA725" s="300"/>
      <c r="AB725" s="300"/>
      <c r="AC725" s="300"/>
      <c r="AD725" s="300"/>
      <c r="AE725" s="300"/>
    </row>
    <row r="726" spans="15:31">
      <c r="O726" s="300"/>
      <c r="P726" s="300"/>
      <c r="Q726" s="300"/>
      <c r="R726" s="300"/>
      <c r="S726" s="300"/>
      <c r="T726" s="300"/>
      <c r="U726" s="300"/>
      <c r="V726" s="300"/>
      <c r="W726" s="300"/>
      <c r="X726" s="300"/>
      <c r="Y726" s="300"/>
      <c r="Z726" s="300"/>
      <c r="AA726" s="300"/>
      <c r="AB726" s="300"/>
      <c r="AC726" s="300"/>
      <c r="AD726" s="300"/>
      <c r="AE726" s="300"/>
    </row>
    <row r="727" spans="15:31">
      <c r="O727" s="300"/>
      <c r="P727" s="300"/>
      <c r="Q727" s="300"/>
      <c r="R727" s="300"/>
      <c r="S727" s="300"/>
      <c r="T727" s="300"/>
      <c r="U727" s="300"/>
      <c r="V727" s="300"/>
      <c r="W727" s="300"/>
      <c r="X727" s="300"/>
      <c r="Y727" s="300"/>
      <c r="Z727" s="300"/>
      <c r="AA727" s="300"/>
      <c r="AB727" s="300"/>
      <c r="AC727" s="300"/>
      <c r="AD727" s="300"/>
      <c r="AE727" s="300"/>
    </row>
    <row r="728" spans="15:31">
      <c r="O728" s="300"/>
      <c r="P728" s="300"/>
      <c r="Q728" s="300"/>
      <c r="R728" s="300"/>
      <c r="S728" s="300"/>
      <c r="T728" s="300"/>
      <c r="U728" s="300"/>
      <c r="V728" s="300"/>
      <c r="W728" s="300"/>
      <c r="X728" s="300"/>
      <c r="Y728" s="300"/>
      <c r="Z728" s="300"/>
      <c r="AA728" s="300"/>
      <c r="AB728" s="300"/>
      <c r="AC728" s="300"/>
      <c r="AD728" s="300"/>
      <c r="AE728" s="300"/>
    </row>
    <row r="729" spans="15:31">
      <c r="O729" s="300"/>
      <c r="P729" s="300"/>
      <c r="Q729" s="300"/>
      <c r="R729" s="300"/>
      <c r="S729" s="300"/>
      <c r="T729" s="300"/>
      <c r="U729" s="300"/>
      <c r="V729" s="300"/>
      <c r="W729" s="300"/>
      <c r="X729" s="300"/>
      <c r="Y729" s="300"/>
      <c r="Z729" s="300"/>
      <c r="AA729" s="300"/>
      <c r="AB729" s="300"/>
      <c r="AC729" s="300"/>
      <c r="AD729" s="300"/>
      <c r="AE729" s="300"/>
    </row>
    <row r="730" spans="15:31">
      <c r="O730" s="300"/>
      <c r="P730" s="300"/>
      <c r="Q730" s="300"/>
      <c r="R730" s="300"/>
      <c r="S730" s="300"/>
      <c r="T730" s="300"/>
      <c r="U730" s="300"/>
      <c r="V730" s="300"/>
      <c r="W730" s="300"/>
      <c r="X730" s="300"/>
      <c r="Y730" s="300"/>
      <c r="Z730" s="300"/>
      <c r="AA730" s="300"/>
      <c r="AB730" s="300"/>
      <c r="AC730" s="300"/>
      <c r="AD730" s="300"/>
      <c r="AE730" s="300"/>
    </row>
    <row r="731" spans="15:31">
      <c r="O731" s="300"/>
      <c r="P731" s="300"/>
      <c r="Q731" s="300"/>
      <c r="R731" s="300"/>
      <c r="S731" s="300"/>
      <c r="T731" s="300"/>
      <c r="U731" s="300"/>
      <c r="V731" s="300"/>
      <c r="W731" s="300"/>
      <c r="X731" s="300"/>
      <c r="Y731" s="300"/>
      <c r="Z731" s="300"/>
      <c r="AA731" s="300"/>
      <c r="AB731" s="300"/>
      <c r="AC731" s="300"/>
      <c r="AD731" s="300"/>
      <c r="AE731" s="300"/>
    </row>
    <row r="732" spans="15:31">
      <c r="O732" s="300"/>
      <c r="P732" s="300"/>
      <c r="Q732" s="300"/>
      <c r="R732" s="300"/>
      <c r="S732" s="300"/>
      <c r="T732" s="300"/>
      <c r="U732" s="300"/>
      <c r="V732" s="300"/>
      <c r="W732" s="300"/>
      <c r="X732" s="300"/>
      <c r="Y732" s="300"/>
      <c r="Z732" s="300"/>
      <c r="AA732" s="300"/>
      <c r="AB732" s="300"/>
      <c r="AC732" s="300"/>
      <c r="AD732" s="300"/>
      <c r="AE732" s="300"/>
    </row>
    <row r="733" spans="15:31">
      <c r="O733" s="300"/>
      <c r="P733" s="300"/>
      <c r="Q733" s="300"/>
      <c r="R733" s="300"/>
      <c r="S733" s="300"/>
      <c r="T733" s="300"/>
      <c r="U733" s="300"/>
      <c r="V733" s="300"/>
      <c r="W733" s="300"/>
      <c r="X733" s="300"/>
      <c r="Y733" s="300"/>
      <c r="Z733" s="300"/>
      <c r="AA733" s="300"/>
      <c r="AB733" s="300"/>
      <c r="AC733" s="300"/>
      <c r="AD733" s="300"/>
      <c r="AE733" s="300"/>
    </row>
    <row r="734" spans="15:31">
      <c r="O734" s="300"/>
      <c r="P734" s="300"/>
      <c r="Q734" s="300"/>
      <c r="R734" s="300"/>
      <c r="S734" s="300"/>
      <c r="T734" s="300"/>
      <c r="U734" s="300"/>
      <c r="V734" s="300"/>
      <c r="W734" s="300"/>
      <c r="X734" s="300"/>
      <c r="Y734" s="300"/>
      <c r="Z734" s="300"/>
      <c r="AA734" s="300"/>
      <c r="AB734" s="300"/>
      <c r="AC734" s="300"/>
      <c r="AD734" s="300"/>
      <c r="AE734" s="300"/>
    </row>
    <row r="735" spans="15:31">
      <c r="O735" s="300"/>
      <c r="P735" s="300"/>
      <c r="Q735" s="300"/>
      <c r="R735" s="300"/>
      <c r="S735" s="300"/>
      <c r="T735" s="300"/>
      <c r="U735" s="300"/>
      <c r="V735" s="300"/>
      <c r="W735" s="300"/>
      <c r="X735" s="300"/>
      <c r="Y735" s="300"/>
      <c r="Z735" s="300"/>
      <c r="AA735" s="300"/>
      <c r="AB735" s="300"/>
      <c r="AC735" s="300"/>
      <c r="AD735" s="300"/>
      <c r="AE735" s="300"/>
    </row>
    <row r="736" spans="15:31">
      <c r="O736" s="300"/>
      <c r="P736" s="300"/>
      <c r="Q736" s="300"/>
      <c r="R736" s="300"/>
      <c r="S736" s="300"/>
      <c r="T736" s="300"/>
      <c r="U736" s="300"/>
      <c r="V736" s="300"/>
      <c r="W736" s="300"/>
      <c r="X736" s="300"/>
      <c r="Y736" s="300"/>
      <c r="Z736" s="300"/>
      <c r="AA736" s="300"/>
      <c r="AB736" s="300"/>
      <c r="AC736" s="300"/>
      <c r="AD736" s="300"/>
      <c r="AE736" s="300"/>
    </row>
    <row r="737" spans="15:31">
      <c r="O737" s="300"/>
      <c r="P737" s="300"/>
      <c r="Q737" s="300"/>
      <c r="R737" s="300"/>
      <c r="S737" s="300"/>
      <c r="T737" s="300"/>
      <c r="U737" s="300"/>
      <c r="V737" s="300"/>
      <c r="W737" s="300"/>
      <c r="X737" s="300"/>
      <c r="Y737" s="300"/>
      <c r="Z737" s="300"/>
      <c r="AA737" s="300"/>
      <c r="AB737" s="300"/>
      <c r="AC737" s="300"/>
      <c r="AD737" s="300"/>
      <c r="AE737" s="300"/>
    </row>
    <row r="738" spans="15:31">
      <c r="O738" s="300"/>
      <c r="P738" s="300"/>
      <c r="Q738" s="300"/>
      <c r="R738" s="300"/>
      <c r="S738" s="300"/>
      <c r="T738" s="300"/>
      <c r="U738" s="300"/>
      <c r="V738" s="300"/>
      <c r="W738" s="300"/>
      <c r="X738" s="300"/>
      <c r="Y738" s="300"/>
      <c r="Z738" s="300"/>
      <c r="AA738" s="300"/>
      <c r="AB738" s="300"/>
      <c r="AC738" s="300"/>
      <c r="AD738" s="300"/>
      <c r="AE738" s="300"/>
    </row>
    <row r="739" spans="15:31">
      <c r="O739" s="300"/>
      <c r="P739" s="300"/>
      <c r="Q739" s="300"/>
      <c r="R739" s="300"/>
      <c r="S739" s="300"/>
      <c r="T739" s="300"/>
      <c r="U739" s="300"/>
      <c r="V739" s="300"/>
      <c r="W739" s="300"/>
      <c r="X739" s="300"/>
      <c r="Y739" s="300"/>
      <c r="Z739" s="300"/>
      <c r="AA739" s="300"/>
      <c r="AB739" s="300"/>
      <c r="AC739" s="300"/>
      <c r="AD739" s="300"/>
      <c r="AE739" s="300"/>
    </row>
    <row r="740" spans="15:31">
      <c r="O740" s="300"/>
      <c r="P740" s="300"/>
      <c r="Q740" s="300"/>
      <c r="R740" s="300"/>
      <c r="S740" s="300"/>
      <c r="T740" s="300"/>
      <c r="U740" s="300"/>
      <c r="V740" s="300"/>
      <c r="W740" s="300"/>
      <c r="X740" s="300"/>
      <c r="Y740" s="300"/>
      <c r="Z740" s="300"/>
      <c r="AA740" s="300"/>
      <c r="AB740" s="300"/>
      <c r="AC740" s="300"/>
      <c r="AD740" s="300"/>
      <c r="AE740" s="300"/>
    </row>
    <row r="741" spans="15:31">
      <c r="O741" s="300"/>
      <c r="P741" s="300"/>
      <c r="Q741" s="300"/>
      <c r="R741" s="300"/>
      <c r="S741" s="300"/>
      <c r="T741" s="300"/>
      <c r="U741" s="300"/>
      <c r="V741" s="300"/>
      <c r="W741" s="300"/>
      <c r="X741" s="300"/>
      <c r="Y741" s="300"/>
      <c r="Z741" s="300"/>
      <c r="AA741" s="300"/>
      <c r="AB741" s="300"/>
      <c r="AC741" s="300"/>
      <c r="AD741" s="300"/>
      <c r="AE741" s="300"/>
    </row>
    <row r="742" spans="15:31">
      <c r="O742" s="300"/>
      <c r="P742" s="300"/>
      <c r="Q742" s="300"/>
      <c r="R742" s="300"/>
      <c r="S742" s="300"/>
      <c r="T742" s="300"/>
      <c r="U742" s="300"/>
      <c r="V742" s="300"/>
      <c r="W742" s="300"/>
      <c r="X742" s="300"/>
      <c r="Y742" s="300"/>
      <c r="Z742" s="300"/>
      <c r="AA742" s="300"/>
      <c r="AB742" s="300"/>
      <c r="AC742" s="300"/>
      <c r="AD742" s="300"/>
      <c r="AE742" s="300"/>
    </row>
    <row r="743" spans="15:31">
      <c r="O743" s="300"/>
      <c r="P743" s="300"/>
      <c r="Q743" s="300"/>
      <c r="R743" s="300"/>
      <c r="S743" s="300"/>
      <c r="T743" s="300"/>
      <c r="U743" s="300"/>
      <c r="V743" s="300"/>
      <c r="W743" s="300"/>
      <c r="X743" s="300"/>
      <c r="Y743" s="300"/>
      <c r="Z743" s="300"/>
      <c r="AA743" s="300"/>
      <c r="AB743" s="300"/>
      <c r="AC743" s="300"/>
      <c r="AD743" s="300"/>
      <c r="AE743" s="300"/>
    </row>
    <row r="744" spans="15:31">
      <c r="O744" s="300"/>
      <c r="P744" s="300"/>
      <c r="Q744" s="300"/>
      <c r="R744" s="300"/>
      <c r="S744" s="300"/>
      <c r="T744" s="300"/>
      <c r="U744" s="300"/>
      <c r="V744" s="300"/>
      <c r="W744" s="300"/>
      <c r="X744" s="300"/>
      <c r="Y744" s="300"/>
      <c r="Z744" s="300"/>
      <c r="AA744" s="300"/>
      <c r="AB744" s="300"/>
      <c r="AC744" s="300"/>
      <c r="AD744" s="300"/>
      <c r="AE744" s="300"/>
    </row>
    <row r="745" spans="15:31">
      <c r="O745" s="300"/>
      <c r="P745" s="300"/>
      <c r="Q745" s="300"/>
      <c r="R745" s="300"/>
      <c r="S745" s="300"/>
      <c r="T745" s="300"/>
      <c r="U745" s="300"/>
      <c r="V745" s="300"/>
      <c r="W745" s="300"/>
      <c r="X745" s="300"/>
      <c r="Y745" s="300"/>
      <c r="Z745" s="300"/>
      <c r="AA745" s="300"/>
      <c r="AB745" s="300"/>
      <c r="AC745" s="300"/>
      <c r="AD745" s="300"/>
      <c r="AE745" s="300"/>
    </row>
    <row r="746" spans="15:31">
      <c r="O746" s="300"/>
      <c r="P746" s="300"/>
      <c r="Q746" s="300"/>
      <c r="R746" s="300"/>
      <c r="S746" s="300"/>
      <c r="T746" s="300"/>
      <c r="U746" s="300"/>
      <c r="V746" s="300"/>
      <c r="W746" s="300"/>
      <c r="X746" s="300"/>
      <c r="Y746" s="300"/>
      <c r="Z746" s="300"/>
      <c r="AA746" s="300"/>
      <c r="AB746" s="300"/>
      <c r="AC746" s="300"/>
      <c r="AD746" s="300"/>
      <c r="AE746" s="300"/>
    </row>
    <row r="747" spans="15:31">
      <c r="O747" s="300"/>
      <c r="P747" s="300"/>
      <c r="Q747" s="300"/>
      <c r="R747" s="300"/>
      <c r="S747" s="300"/>
      <c r="T747" s="300"/>
      <c r="U747" s="300"/>
      <c r="V747" s="300"/>
      <c r="W747" s="300"/>
      <c r="X747" s="300"/>
      <c r="Y747" s="300"/>
      <c r="Z747" s="300"/>
      <c r="AA747" s="300"/>
      <c r="AB747" s="300"/>
      <c r="AC747" s="300"/>
      <c r="AD747" s="300"/>
      <c r="AE747" s="300"/>
    </row>
    <row r="748" spans="15:31">
      <c r="O748" s="300"/>
      <c r="P748" s="300"/>
      <c r="Q748" s="300"/>
      <c r="R748" s="300"/>
      <c r="S748" s="300"/>
      <c r="T748" s="300"/>
      <c r="U748" s="300"/>
      <c r="V748" s="300"/>
      <c r="W748" s="300"/>
      <c r="X748" s="300"/>
      <c r="Y748" s="300"/>
      <c r="Z748" s="300"/>
      <c r="AA748" s="300"/>
      <c r="AB748" s="300"/>
      <c r="AC748" s="300"/>
      <c r="AD748" s="300"/>
      <c r="AE748" s="300"/>
    </row>
    <row r="749" spans="15:31">
      <c r="O749" s="300"/>
      <c r="P749" s="300"/>
      <c r="Q749" s="300"/>
      <c r="R749" s="300"/>
      <c r="S749" s="300"/>
      <c r="T749" s="300"/>
      <c r="U749" s="300"/>
      <c r="V749" s="300"/>
      <c r="W749" s="300"/>
      <c r="X749" s="300"/>
      <c r="Y749" s="300"/>
      <c r="Z749" s="300"/>
      <c r="AA749" s="300"/>
      <c r="AB749" s="300"/>
      <c r="AC749" s="300"/>
      <c r="AD749" s="300"/>
      <c r="AE749" s="300"/>
    </row>
    <row r="750" spans="15:31">
      <c r="O750" s="300"/>
      <c r="P750" s="300"/>
      <c r="Q750" s="300"/>
      <c r="R750" s="300"/>
      <c r="S750" s="300"/>
      <c r="T750" s="300"/>
      <c r="U750" s="300"/>
      <c r="V750" s="300"/>
      <c r="W750" s="300"/>
      <c r="X750" s="300"/>
      <c r="Y750" s="300"/>
      <c r="Z750" s="300"/>
      <c r="AA750" s="300"/>
      <c r="AB750" s="300"/>
      <c r="AC750" s="300"/>
      <c r="AD750" s="300"/>
      <c r="AE750" s="300"/>
    </row>
    <row r="751" spans="15:31">
      <c r="O751" s="300"/>
      <c r="P751" s="300"/>
      <c r="Q751" s="300"/>
      <c r="R751" s="300"/>
      <c r="S751" s="300"/>
      <c r="T751" s="300"/>
      <c r="U751" s="300"/>
      <c r="V751" s="300"/>
      <c r="W751" s="300"/>
      <c r="X751" s="300"/>
      <c r="Y751" s="300"/>
      <c r="Z751" s="300"/>
      <c r="AA751" s="300"/>
      <c r="AB751" s="300"/>
      <c r="AC751" s="300"/>
      <c r="AD751" s="300"/>
      <c r="AE751" s="300"/>
    </row>
    <row r="752" spans="15:31">
      <c r="O752" s="300"/>
      <c r="P752" s="300"/>
      <c r="Q752" s="300"/>
      <c r="R752" s="300"/>
      <c r="S752" s="300"/>
      <c r="T752" s="300"/>
      <c r="U752" s="300"/>
      <c r="V752" s="300"/>
      <c r="W752" s="300"/>
      <c r="X752" s="300"/>
      <c r="Y752" s="300"/>
      <c r="Z752" s="300"/>
      <c r="AA752" s="300"/>
      <c r="AB752" s="300"/>
      <c r="AC752" s="300"/>
      <c r="AD752" s="300"/>
      <c r="AE752" s="300"/>
    </row>
    <row r="753" spans="15:31">
      <c r="O753" s="300"/>
      <c r="P753" s="300"/>
      <c r="Q753" s="300"/>
      <c r="R753" s="300"/>
      <c r="S753" s="300"/>
      <c r="T753" s="300"/>
      <c r="U753" s="300"/>
      <c r="V753" s="300"/>
      <c r="W753" s="300"/>
      <c r="X753" s="300"/>
      <c r="Y753" s="300"/>
      <c r="Z753" s="300"/>
      <c r="AA753" s="300"/>
      <c r="AB753" s="300"/>
      <c r="AC753" s="300"/>
      <c r="AD753" s="300"/>
      <c r="AE753" s="300"/>
    </row>
    <row r="754" spans="15:31">
      <c r="O754" s="300"/>
      <c r="P754" s="300"/>
      <c r="Q754" s="300"/>
      <c r="R754" s="300"/>
      <c r="S754" s="300"/>
      <c r="T754" s="300"/>
      <c r="U754" s="300"/>
      <c r="V754" s="300"/>
      <c r="W754" s="300"/>
      <c r="X754" s="300"/>
      <c r="Y754" s="300"/>
      <c r="Z754" s="300"/>
      <c r="AA754" s="300"/>
      <c r="AB754" s="300"/>
      <c r="AC754" s="300"/>
      <c r="AD754" s="300"/>
      <c r="AE754" s="300"/>
    </row>
    <row r="755" spans="15:31">
      <c r="O755" s="300"/>
      <c r="P755" s="300"/>
      <c r="Q755" s="300"/>
      <c r="R755" s="300"/>
      <c r="S755" s="300"/>
      <c r="T755" s="300"/>
      <c r="U755" s="300"/>
      <c r="V755" s="300"/>
      <c r="W755" s="300"/>
      <c r="X755" s="300"/>
      <c r="Y755" s="300"/>
      <c r="Z755" s="300"/>
      <c r="AA755" s="300"/>
      <c r="AB755" s="300"/>
      <c r="AC755" s="300"/>
      <c r="AD755" s="300"/>
      <c r="AE755" s="300"/>
    </row>
    <row r="756" spans="15:31">
      <c r="O756" s="300"/>
      <c r="P756" s="300"/>
      <c r="Q756" s="300"/>
      <c r="R756" s="300"/>
      <c r="S756" s="300"/>
      <c r="T756" s="300"/>
      <c r="U756" s="300"/>
      <c r="V756" s="300"/>
      <c r="W756" s="300"/>
      <c r="X756" s="300"/>
      <c r="Y756" s="300"/>
      <c r="Z756" s="300"/>
      <c r="AA756" s="300"/>
      <c r="AB756" s="300"/>
      <c r="AC756" s="300"/>
      <c r="AD756" s="300"/>
      <c r="AE756" s="300"/>
    </row>
    <row r="757" spans="15:31">
      <c r="O757" s="300"/>
      <c r="P757" s="300"/>
      <c r="Q757" s="300"/>
      <c r="R757" s="300"/>
      <c r="S757" s="300"/>
      <c r="T757" s="300"/>
      <c r="U757" s="300"/>
      <c r="V757" s="300"/>
      <c r="W757" s="300"/>
      <c r="X757" s="300"/>
      <c r="Y757" s="300"/>
      <c r="Z757" s="300"/>
      <c r="AA757" s="300"/>
      <c r="AB757" s="300"/>
      <c r="AC757" s="300"/>
      <c r="AD757" s="300"/>
      <c r="AE757" s="300"/>
    </row>
    <row r="758" spans="15:31">
      <c r="O758" s="300"/>
      <c r="P758" s="300"/>
      <c r="Q758" s="300"/>
      <c r="R758" s="300"/>
      <c r="S758" s="300"/>
      <c r="T758" s="300"/>
      <c r="U758" s="300"/>
      <c r="V758" s="300"/>
      <c r="W758" s="300"/>
      <c r="X758" s="300"/>
      <c r="Y758" s="300"/>
      <c r="Z758" s="300"/>
      <c r="AA758" s="300"/>
      <c r="AB758" s="300"/>
      <c r="AC758" s="300"/>
      <c r="AD758" s="300"/>
      <c r="AE758" s="300"/>
    </row>
    <row r="759" spans="15:31">
      <c r="O759" s="300"/>
      <c r="P759" s="300"/>
      <c r="Q759" s="300"/>
      <c r="R759" s="300"/>
      <c r="S759" s="300"/>
      <c r="T759" s="300"/>
      <c r="U759" s="300"/>
      <c r="V759" s="300"/>
      <c r="W759" s="300"/>
      <c r="X759" s="300"/>
      <c r="Y759" s="300"/>
      <c r="Z759" s="300"/>
      <c r="AA759" s="300"/>
      <c r="AB759" s="300"/>
      <c r="AC759" s="300"/>
      <c r="AD759" s="300"/>
      <c r="AE759" s="300"/>
    </row>
    <row r="760" spans="15:31">
      <c r="O760" s="300"/>
      <c r="P760" s="300"/>
      <c r="Q760" s="300"/>
      <c r="R760" s="300"/>
      <c r="S760" s="300"/>
      <c r="T760" s="300"/>
      <c r="U760" s="300"/>
      <c r="V760" s="300"/>
      <c r="W760" s="300"/>
      <c r="X760" s="300"/>
      <c r="Y760" s="300"/>
      <c r="Z760" s="300"/>
      <c r="AA760" s="300"/>
      <c r="AB760" s="300"/>
      <c r="AC760" s="300"/>
      <c r="AD760" s="300"/>
      <c r="AE760" s="300"/>
    </row>
    <row r="761" spans="15:31">
      <c r="O761" s="300"/>
      <c r="P761" s="300"/>
      <c r="Q761" s="300"/>
      <c r="R761" s="300"/>
      <c r="S761" s="300"/>
      <c r="T761" s="300"/>
      <c r="U761" s="300"/>
      <c r="V761" s="300"/>
      <c r="W761" s="300"/>
      <c r="X761" s="300"/>
      <c r="Y761" s="300"/>
      <c r="Z761" s="300"/>
      <c r="AA761" s="300"/>
      <c r="AB761" s="300"/>
      <c r="AC761" s="300"/>
      <c r="AD761" s="300"/>
      <c r="AE761" s="300"/>
    </row>
    <row r="762" spans="15:31">
      <c r="O762" s="300"/>
      <c r="P762" s="300"/>
      <c r="Q762" s="300"/>
      <c r="R762" s="300"/>
      <c r="S762" s="300"/>
      <c r="T762" s="300"/>
      <c r="U762" s="300"/>
      <c r="V762" s="300"/>
      <c r="W762" s="300"/>
      <c r="X762" s="300"/>
      <c r="Y762" s="300"/>
      <c r="Z762" s="300"/>
      <c r="AA762" s="300"/>
      <c r="AB762" s="300"/>
      <c r="AC762" s="300"/>
      <c r="AD762" s="300"/>
      <c r="AE762" s="300"/>
    </row>
    <row r="763" spans="15:31">
      <c r="O763" s="300"/>
      <c r="P763" s="300"/>
      <c r="Q763" s="300"/>
      <c r="R763" s="300"/>
      <c r="S763" s="300"/>
      <c r="T763" s="300"/>
      <c r="U763" s="300"/>
      <c r="V763" s="300"/>
      <c r="W763" s="300"/>
      <c r="X763" s="300"/>
      <c r="Y763" s="300"/>
      <c r="Z763" s="300"/>
      <c r="AA763" s="300"/>
      <c r="AB763" s="300"/>
      <c r="AC763" s="300"/>
      <c r="AD763" s="300"/>
      <c r="AE763" s="300"/>
    </row>
    <row r="764" spans="15:31">
      <c r="O764" s="300"/>
      <c r="P764" s="300"/>
      <c r="Q764" s="300"/>
      <c r="R764" s="300"/>
      <c r="S764" s="300"/>
      <c r="T764" s="300"/>
      <c r="U764" s="300"/>
      <c r="V764" s="300"/>
      <c r="W764" s="300"/>
      <c r="X764" s="300"/>
      <c r="Y764" s="300"/>
      <c r="Z764" s="300"/>
      <c r="AA764" s="300"/>
      <c r="AB764" s="300"/>
      <c r="AC764" s="300"/>
      <c r="AD764" s="300"/>
      <c r="AE764" s="300"/>
    </row>
    <row r="765" spans="15:31">
      <c r="O765" s="300"/>
      <c r="P765" s="300"/>
      <c r="Q765" s="300"/>
      <c r="R765" s="300"/>
      <c r="S765" s="300"/>
      <c r="T765" s="300"/>
      <c r="U765" s="300"/>
      <c r="V765" s="300"/>
      <c r="W765" s="300"/>
      <c r="X765" s="300"/>
      <c r="Y765" s="300"/>
      <c r="Z765" s="300"/>
      <c r="AA765" s="300"/>
      <c r="AB765" s="300"/>
      <c r="AC765" s="300"/>
      <c r="AD765" s="300"/>
      <c r="AE765" s="300"/>
    </row>
    <row r="766" spans="15:31">
      <c r="O766" s="300"/>
      <c r="P766" s="300"/>
      <c r="Q766" s="300"/>
      <c r="R766" s="300"/>
      <c r="S766" s="300"/>
      <c r="T766" s="300"/>
      <c r="U766" s="300"/>
      <c r="V766" s="300"/>
      <c r="W766" s="300"/>
      <c r="X766" s="300"/>
      <c r="Y766" s="300"/>
      <c r="Z766" s="300"/>
      <c r="AA766" s="300"/>
      <c r="AB766" s="300"/>
      <c r="AC766" s="300"/>
      <c r="AD766" s="300"/>
      <c r="AE766" s="300"/>
    </row>
    <row r="767" spans="15:31">
      <c r="O767" s="300"/>
      <c r="P767" s="300"/>
      <c r="Q767" s="300"/>
      <c r="R767" s="300"/>
      <c r="S767" s="300"/>
      <c r="T767" s="300"/>
      <c r="U767" s="300"/>
      <c r="V767" s="300"/>
      <c r="W767" s="300"/>
      <c r="X767" s="300"/>
      <c r="Y767" s="300"/>
      <c r="Z767" s="300"/>
      <c r="AA767" s="300"/>
      <c r="AB767" s="300"/>
      <c r="AC767" s="300"/>
      <c r="AD767" s="300"/>
      <c r="AE767" s="300"/>
    </row>
    <row r="768" spans="15:31">
      <c r="O768" s="300"/>
      <c r="P768" s="300"/>
      <c r="Q768" s="300"/>
      <c r="R768" s="300"/>
      <c r="S768" s="300"/>
      <c r="T768" s="300"/>
      <c r="U768" s="300"/>
      <c r="V768" s="300"/>
      <c r="W768" s="300"/>
      <c r="X768" s="300"/>
      <c r="Y768" s="300"/>
      <c r="Z768" s="300"/>
      <c r="AA768" s="300"/>
      <c r="AB768" s="300"/>
      <c r="AC768" s="300"/>
      <c r="AD768" s="300"/>
      <c r="AE768" s="300"/>
    </row>
    <row r="769" spans="15:31">
      <c r="O769" s="300"/>
      <c r="P769" s="300"/>
      <c r="Q769" s="300"/>
      <c r="R769" s="300"/>
      <c r="S769" s="300"/>
      <c r="T769" s="300"/>
      <c r="U769" s="300"/>
      <c r="V769" s="300"/>
      <c r="W769" s="300"/>
      <c r="X769" s="300"/>
      <c r="Y769" s="300"/>
      <c r="Z769" s="300"/>
      <c r="AA769" s="300"/>
      <c r="AB769" s="300"/>
      <c r="AC769" s="300"/>
      <c r="AD769" s="300"/>
      <c r="AE769" s="300"/>
    </row>
    <row r="770" spans="15:31">
      <c r="O770" s="300"/>
      <c r="P770" s="300"/>
      <c r="Q770" s="300"/>
      <c r="R770" s="300"/>
      <c r="S770" s="300"/>
      <c r="T770" s="300"/>
      <c r="U770" s="300"/>
      <c r="V770" s="300"/>
      <c r="W770" s="300"/>
      <c r="X770" s="300"/>
      <c r="Y770" s="300"/>
      <c r="Z770" s="300"/>
      <c r="AA770" s="300"/>
      <c r="AB770" s="300"/>
      <c r="AC770" s="300"/>
      <c r="AD770" s="300"/>
      <c r="AE770" s="300"/>
    </row>
    <row r="771" spans="15:31">
      <c r="O771" s="300"/>
      <c r="P771" s="300"/>
      <c r="Q771" s="300"/>
      <c r="R771" s="300"/>
      <c r="S771" s="300"/>
      <c r="T771" s="300"/>
      <c r="U771" s="300"/>
      <c r="V771" s="300"/>
      <c r="W771" s="300"/>
      <c r="X771" s="300"/>
      <c r="Y771" s="300"/>
      <c r="Z771" s="300"/>
      <c r="AA771" s="300"/>
      <c r="AB771" s="300"/>
      <c r="AC771" s="300"/>
      <c r="AD771" s="300"/>
      <c r="AE771" s="300"/>
    </row>
    <row r="772" spans="15:31">
      <c r="O772" s="300"/>
      <c r="P772" s="300"/>
      <c r="Q772" s="300"/>
      <c r="R772" s="300"/>
      <c r="S772" s="300"/>
      <c r="T772" s="300"/>
      <c r="U772" s="300"/>
      <c r="V772" s="300"/>
      <c r="W772" s="300"/>
      <c r="X772" s="300"/>
      <c r="Y772" s="300"/>
      <c r="Z772" s="300"/>
      <c r="AA772" s="300"/>
      <c r="AB772" s="300"/>
      <c r="AC772" s="300"/>
      <c r="AD772" s="300"/>
      <c r="AE772" s="300"/>
    </row>
    <row r="773" spans="15:31">
      <c r="O773" s="300"/>
      <c r="P773" s="300"/>
      <c r="Q773" s="300"/>
      <c r="R773" s="300"/>
      <c r="S773" s="300"/>
      <c r="T773" s="300"/>
      <c r="U773" s="300"/>
      <c r="V773" s="300"/>
      <c r="W773" s="300"/>
      <c r="X773" s="300"/>
      <c r="Y773" s="300"/>
      <c r="Z773" s="300"/>
      <c r="AA773" s="300"/>
      <c r="AB773" s="300"/>
      <c r="AC773" s="300"/>
      <c r="AD773" s="300"/>
      <c r="AE773" s="300"/>
    </row>
    <row r="774" spans="15:31">
      <c r="O774" s="300"/>
      <c r="P774" s="300"/>
      <c r="Q774" s="300"/>
      <c r="R774" s="300"/>
      <c r="S774" s="300"/>
      <c r="T774" s="300"/>
      <c r="U774" s="300"/>
      <c r="V774" s="300"/>
      <c r="W774" s="300"/>
      <c r="X774" s="300"/>
      <c r="Y774" s="300"/>
      <c r="Z774" s="300"/>
      <c r="AA774" s="300"/>
      <c r="AB774" s="300"/>
      <c r="AC774" s="300"/>
      <c r="AD774" s="300"/>
      <c r="AE774" s="300"/>
    </row>
    <row r="775" spans="15:31">
      <c r="O775" s="300"/>
      <c r="P775" s="300"/>
      <c r="Q775" s="300"/>
      <c r="R775" s="300"/>
      <c r="S775" s="300"/>
      <c r="T775" s="300"/>
      <c r="U775" s="300"/>
      <c r="V775" s="300"/>
      <c r="W775" s="300"/>
      <c r="X775" s="300"/>
      <c r="Y775" s="300"/>
      <c r="Z775" s="300"/>
      <c r="AA775" s="300"/>
      <c r="AB775" s="300"/>
      <c r="AC775" s="300"/>
      <c r="AD775" s="300"/>
      <c r="AE775" s="300"/>
    </row>
    <row r="776" spans="15:31">
      <c r="O776" s="300"/>
      <c r="P776" s="300"/>
      <c r="Q776" s="300"/>
      <c r="R776" s="300"/>
      <c r="S776" s="300"/>
      <c r="T776" s="300"/>
      <c r="U776" s="300"/>
      <c r="V776" s="300"/>
      <c r="W776" s="300"/>
      <c r="X776" s="300"/>
      <c r="Y776" s="300"/>
      <c r="Z776" s="300"/>
      <c r="AA776" s="300"/>
      <c r="AB776" s="300"/>
      <c r="AC776" s="300"/>
      <c r="AD776" s="300"/>
      <c r="AE776" s="300"/>
    </row>
    <row r="777" spans="15:31">
      <c r="O777" s="300"/>
      <c r="P777" s="300"/>
      <c r="Q777" s="300"/>
      <c r="R777" s="300"/>
      <c r="S777" s="300"/>
      <c r="T777" s="300"/>
      <c r="U777" s="300"/>
      <c r="V777" s="300"/>
      <c r="W777" s="300"/>
      <c r="X777" s="300"/>
      <c r="Y777" s="300"/>
      <c r="Z777" s="300"/>
      <c r="AA777" s="300"/>
      <c r="AB777" s="300"/>
      <c r="AC777" s="300"/>
      <c r="AD777" s="300"/>
      <c r="AE777" s="300"/>
    </row>
    <row r="778" spans="15:31">
      <c r="O778" s="300"/>
      <c r="P778" s="300"/>
      <c r="Q778" s="300"/>
      <c r="R778" s="300"/>
      <c r="S778" s="300"/>
      <c r="T778" s="300"/>
      <c r="U778" s="300"/>
      <c r="V778" s="300"/>
      <c r="W778" s="300"/>
      <c r="X778" s="300"/>
      <c r="Y778" s="300"/>
      <c r="Z778" s="300"/>
      <c r="AA778" s="300"/>
      <c r="AB778" s="300"/>
      <c r="AC778" s="300"/>
      <c r="AD778" s="300"/>
      <c r="AE778" s="300"/>
    </row>
    <row r="779" spans="15:31">
      <c r="O779" s="300"/>
      <c r="P779" s="300"/>
      <c r="Q779" s="300"/>
      <c r="R779" s="300"/>
      <c r="S779" s="300"/>
      <c r="T779" s="300"/>
      <c r="U779" s="300"/>
      <c r="V779" s="300"/>
      <c r="W779" s="300"/>
      <c r="X779" s="300"/>
      <c r="Y779" s="300"/>
      <c r="Z779" s="300"/>
      <c r="AA779" s="300"/>
      <c r="AB779" s="300"/>
      <c r="AC779" s="300"/>
      <c r="AD779" s="300"/>
      <c r="AE779" s="300"/>
    </row>
    <row r="780" spans="15:31">
      <c r="O780" s="300"/>
      <c r="P780" s="300"/>
      <c r="Q780" s="300"/>
      <c r="R780" s="300"/>
      <c r="S780" s="300"/>
      <c r="T780" s="300"/>
      <c r="U780" s="300"/>
      <c r="V780" s="300"/>
      <c r="W780" s="300"/>
      <c r="X780" s="300"/>
      <c r="Y780" s="300"/>
      <c r="Z780" s="300"/>
      <c r="AA780" s="300"/>
      <c r="AB780" s="300"/>
      <c r="AC780" s="300"/>
      <c r="AD780" s="300"/>
      <c r="AE780" s="300"/>
    </row>
    <row r="781" spans="15:31">
      <c r="O781" s="300"/>
      <c r="P781" s="300"/>
      <c r="Q781" s="300"/>
      <c r="R781" s="300"/>
      <c r="S781" s="300"/>
      <c r="T781" s="300"/>
      <c r="U781" s="300"/>
      <c r="V781" s="300"/>
      <c r="W781" s="300"/>
      <c r="X781" s="300"/>
      <c r="Y781" s="300"/>
      <c r="Z781" s="300"/>
      <c r="AA781" s="300"/>
      <c r="AB781" s="300"/>
      <c r="AC781" s="300"/>
      <c r="AD781" s="300"/>
      <c r="AE781" s="300"/>
    </row>
    <row r="782" spans="15:31">
      <c r="O782" s="300"/>
      <c r="P782" s="300"/>
      <c r="Q782" s="300"/>
      <c r="R782" s="300"/>
      <c r="S782" s="300"/>
      <c r="T782" s="300"/>
      <c r="U782" s="300"/>
      <c r="V782" s="300"/>
      <c r="W782" s="300"/>
      <c r="X782" s="300"/>
      <c r="Y782" s="300"/>
      <c r="Z782" s="300"/>
      <c r="AA782" s="300"/>
      <c r="AB782" s="300"/>
      <c r="AC782" s="300"/>
      <c r="AD782" s="300"/>
      <c r="AE782" s="300"/>
    </row>
    <row r="783" spans="15:31">
      <c r="O783" s="300"/>
      <c r="P783" s="300"/>
      <c r="Q783" s="300"/>
      <c r="R783" s="300"/>
      <c r="S783" s="300"/>
      <c r="T783" s="300"/>
      <c r="U783" s="300"/>
      <c r="V783" s="300"/>
      <c r="W783" s="300"/>
      <c r="X783" s="300"/>
      <c r="Y783" s="300"/>
      <c r="Z783" s="300"/>
      <c r="AA783" s="300"/>
      <c r="AB783" s="300"/>
      <c r="AC783" s="300"/>
      <c r="AD783" s="300"/>
      <c r="AE783" s="300"/>
    </row>
    <row r="784" spans="15:31">
      <c r="O784" s="300"/>
      <c r="P784" s="300"/>
      <c r="Q784" s="300"/>
      <c r="R784" s="300"/>
      <c r="S784" s="300"/>
      <c r="T784" s="300"/>
      <c r="U784" s="300"/>
      <c r="V784" s="300"/>
      <c r="W784" s="300"/>
      <c r="X784" s="300"/>
      <c r="Y784" s="300"/>
      <c r="Z784" s="300"/>
      <c r="AA784" s="300"/>
      <c r="AB784" s="300"/>
      <c r="AC784" s="300"/>
      <c r="AD784" s="300"/>
      <c r="AE784" s="300"/>
    </row>
    <row r="785" spans="15:31">
      <c r="O785" s="300"/>
      <c r="P785" s="300"/>
      <c r="Q785" s="300"/>
      <c r="R785" s="300"/>
      <c r="S785" s="300"/>
      <c r="T785" s="300"/>
      <c r="U785" s="300"/>
      <c r="V785" s="300"/>
      <c r="W785" s="300"/>
      <c r="X785" s="300"/>
      <c r="Y785" s="300"/>
      <c r="Z785" s="300"/>
      <c r="AA785" s="300"/>
      <c r="AB785" s="300"/>
      <c r="AC785" s="300"/>
      <c r="AD785" s="300"/>
      <c r="AE785" s="300"/>
    </row>
    <row r="786" spans="15:31">
      <c r="O786" s="300"/>
      <c r="P786" s="300"/>
      <c r="Q786" s="300"/>
      <c r="R786" s="300"/>
      <c r="S786" s="300"/>
      <c r="T786" s="300"/>
      <c r="U786" s="300"/>
      <c r="V786" s="300"/>
      <c r="W786" s="300"/>
      <c r="X786" s="300"/>
      <c r="Y786" s="300"/>
      <c r="Z786" s="300"/>
      <c r="AA786" s="300"/>
      <c r="AB786" s="300"/>
      <c r="AC786" s="300"/>
      <c r="AD786" s="300"/>
      <c r="AE786" s="300"/>
    </row>
    <row r="787" spans="15:31">
      <c r="O787" s="300"/>
      <c r="P787" s="300"/>
      <c r="Q787" s="300"/>
      <c r="R787" s="300"/>
      <c r="S787" s="300"/>
      <c r="T787" s="300"/>
      <c r="U787" s="300"/>
      <c r="V787" s="300"/>
      <c r="W787" s="300"/>
      <c r="X787" s="300"/>
      <c r="Y787" s="300"/>
      <c r="Z787" s="300"/>
      <c r="AA787" s="300"/>
      <c r="AB787" s="300"/>
      <c r="AC787" s="300"/>
      <c r="AD787" s="300"/>
      <c r="AE787" s="300"/>
    </row>
    <row r="788" spans="15:31">
      <c r="O788" s="300"/>
      <c r="P788" s="300"/>
      <c r="Q788" s="300"/>
      <c r="R788" s="300"/>
      <c r="S788" s="300"/>
      <c r="T788" s="300"/>
      <c r="U788" s="300"/>
      <c r="V788" s="300"/>
      <c r="W788" s="300"/>
      <c r="X788" s="300"/>
      <c r="Y788" s="300"/>
      <c r="Z788" s="300"/>
      <c r="AA788" s="300"/>
      <c r="AB788" s="300"/>
      <c r="AC788" s="300"/>
      <c r="AD788" s="300"/>
      <c r="AE788" s="300"/>
    </row>
    <row r="789" spans="15:31">
      <c r="O789" s="300"/>
      <c r="P789" s="300"/>
      <c r="Q789" s="300"/>
      <c r="R789" s="300"/>
      <c r="S789" s="300"/>
      <c r="T789" s="300"/>
      <c r="U789" s="300"/>
      <c r="V789" s="300"/>
      <c r="W789" s="300"/>
      <c r="X789" s="300"/>
      <c r="Y789" s="300"/>
      <c r="Z789" s="300"/>
      <c r="AA789" s="300"/>
      <c r="AB789" s="300"/>
      <c r="AC789" s="300"/>
      <c r="AD789" s="300"/>
      <c r="AE789" s="300"/>
    </row>
    <row r="790" spans="15:31">
      <c r="O790" s="300"/>
      <c r="P790" s="300"/>
      <c r="Q790" s="300"/>
      <c r="R790" s="300"/>
      <c r="S790" s="300"/>
      <c r="T790" s="300"/>
      <c r="U790" s="300"/>
      <c r="V790" s="300"/>
      <c r="W790" s="300"/>
      <c r="X790" s="300"/>
      <c r="Y790" s="300"/>
      <c r="Z790" s="300"/>
      <c r="AA790" s="300"/>
      <c r="AB790" s="300"/>
      <c r="AC790" s="300"/>
      <c r="AD790" s="300"/>
      <c r="AE790" s="300"/>
    </row>
    <row r="791" spans="15:31">
      <c r="O791" s="300"/>
      <c r="P791" s="300"/>
      <c r="Q791" s="300"/>
      <c r="R791" s="300"/>
      <c r="S791" s="300"/>
      <c r="T791" s="300"/>
      <c r="U791" s="300"/>
      <c r="V791" s="300"/>
      <c r="W791" s="300"/>
      <c r="X791" s="300"/>
      <c r="Y791" s="300"/>
      <c r="Z791" s="300"/>
      <c r="AA791" s="300"/>
      <c r="AB791" s="300"/>
      <c r="AC791" s="300"/>
      <c r="AD791" s="300"/>
      <c r="AE791" s="300"/>
    </row>
    <row r="792" spans="15:31">
      <c r="O792" s="300"/>
      <c r="P792" s="300"/>
      <c r="Q792" s="300"/>
      <c r="R792" s="300"/>
      <c r="S792" s="300"/>
      <c r="T792" s="300"/>
      <c r="U792" s="300"/>
      <c r="V792" s="300"/>
      <c r="W792" s="300"/>
      <c r="X792" s="300"/>
      <c r="Y792" s="300"/>
      <c r="Z792" s="300"/>
      <c r="AA792" s="300"/>
      <c r="AB792" s="300"/>
      <c r="AC792" s="300"/>
      <c r="AD792" s="300"/>
      <c r="AE792" s="300"/>
    </row>
    <row r="793" spans="15:31">
      <c r="O793" s="300"/>
      <c r="P793" s="300"/>
      <c r="Q793" s="300"/>
      <c r="R793" s="300"/>
      <c r="S793" s="300"/>
      <c r="T793" s="300"/>
      <c r="U793" s="300"/>
      <c r="V793" s="300"/>
      <c r="W793" s="300"/>
      <c r="X793" s="300"/>
      <c r="Y793" s="300"/>
      <c r="Z793" s="300"/>
      <c r="AA793" s="300"/>
      <c r="AB793" s="300"/>
      <c r="AC793" s="300"/>
      <c r="AD793" s="300"/>
      <c r="AE793" s="300"/>
    </row>
    <row r="794" spans="15:31">
      <c r="O794" s="300"/>
      <c r="P794" s="300"/>
      <c r="Q794" s="300"/>
      <c r="R794" s="300"/>
      <c r="S794" s="300"/>
      <c r="T794" s="300"/>
      <c r="U794" s="300"/>
      <c r="V794" s="300"/>
      <c r="W794" s="300"/>
      <c r="X794" s="300"/>
      <c r="Y794" s="300"/>
      <c r="Z794" s="300"/>
      <c r="AA794" s="300"/>
      <c r="AB794" s="300"/>
      <c r="AC794" s="300"/>
      <c r="AD794" s="300"/>
      <c r="AE794" s="300"/>
    </row>
    <row r="795" spans="15:31">
      <c r="O795" s="300"/>
      <c r="P795" s="300"/>
      <c r="Q795" s="300"/>
      <c r="R795" s="300"/>
      <c r="S795" s="300"/>
      <c r="T795" s="300"/>
      <c r="U795" s="300"/>
      <c r="V795" s="300"/>
      <c r="W795" s="300"/>
      <c r="X795" s="300"/>
      <c r="Y795" s="300"/>
      <c r="Z795" s="300"/>
      <c r="AA795" s="300"/>
      <c r="AB795" s="300"/>
      <c r="AC795" s="300"/>
      <c r="AD795" s="300"/>
      <c r="AE795" s="300"/>
    </row>
    <row r="796" spans="15:31">
      <c r="O796" s="300"/>
      <c r="P796" s="300"/>
      <c r="Q796" s="300"/>
      <c r="R796" s="300"/>
      <c r="S796" s="300"/>
      <c r="T796" s="300"/>
      <c r="U796" s="300"/>
      <c r="V796" s="300"/>
      <c r="W796" s="300"/>
      <c r="X796" s="300"/>
      <c r="Y796" s="300"/>
      <c r="Z796" s="300"/>
      <c r="AA796" s="300"/>
      <c r="AB796" s="300"/>
      <c r="AC796" s="300"/>
      <c r="AD796" s="300"/>
      <c r="AE796" s="300"/>
    </row>
    <row r="797" spans="15:31">
      <c r="O797" s="300"/>
      <c r="P797" s="300"/>
      <c r="Q797" s="300"/>
      <c r="R797" s="300"/>
      <c r="S797" s="300"/>
      <c r="T797" s="300"/>
      <c r="U797" s="300"/>
      <c r="V797" s="300"/>
      <c r="W797" s="300"/>
      <c r="X797" s="300"/>
      <c r="Y797" s="300"/>
      <c r="Z797" s="300"/>
      <c r="AA797" s="300"/>
      <c r="AB797" s="300"/>
      <c r="AC797" s="300"/>
      <c r="AD797" s="300"/>
      <c r="AE797" s="300"/>
    </row>
    <row r="798" spans="15:31">
      <c r="O798" s="300"/>
      <c r="P798" s="300"/>
      <c r="Q798" s="300"/>
      <c r="R798" s="300"/>
      <c r="S798" s="300"/>
      <c r="T798" s="300"/>
      <c r="U798" s="300"/>
      <c r="V798" s="300"/>
      <c r="W798" s="300"/>
      <c r="X798" s="300"/>
      <c r="Y798" s="300"/>
      <c r="Z798" s="300"/>
      <c r="AA798" s="300"/>
      <c r="AB798" s="300"/>
      <c r="AC798" s="300"/>
      <c r="AD798" s="300"/>
      <c r="AE798" s="300"/>
    </row>
    <row r="799" spans="15:31">
      <c r="O799" s="300"/>
      <c r="P799" s="300"/>
      <c r="Q799" s="300"/>
      <c r="R799" s="300"/>
      <c r="S799" s="300"/>
      <c r="T799" s="300"/>
      <c r="U799" s="300"/>
      <c r="V799" s="300"/>
      <c r="W799" s="300"/>
      <c r="X799" s="300"/>
      <c r="Y799" s="300"/>
      <c r="Z799" s="300"/>
      <c r="AA799" s="300"/>
      <c r="AB799" s="300"/>
      <c r="AC799" s="300"/>
      <c r="AD799" s="300"/>
      <c r="AE799" s="300"/>
    </row>
    <row r="800" spans="15:31">
      <c r="O800" s="300"/>
      <c r="P800" s="300"/>
      <c r="Q800" s="300"/>
      <c r="R800" s="300"/>
      <c r="S800" s="300"/>
      <c r="T800" s="300"/>
      <c r="U800" s="300"/>
      <c r="V800" s="300"/>
      <c r="W800" s="300"/>
      <c r="X800" s="300"/>
      <c r="Y800" s="300"/>
      <c r="Z800" s="300"/>
      <c r="AA800" s="300"/>
      <c r="AB800" s="300"/>
      <c r="AC800" s="300"/>
      <c r="AD800" s="300"/>
      <c r="AE800" s="300"/>
    </row>
    <row r="801" spans="15:31">
      <c r="O801" s="300"/>
      <c r="P801" s="300"/>
      <c r="Q801" s="300"/>
      <c r="R801" s="300"/>
      <c r="S801" s="300"/>
      <c r="T801" s="300"/>
      <c r="U801" s="300"/>
      <c r="V801" s="300"/>
      <c r="W801" s="300"/>
      <c r="X801" s="300"/>
      <c r="Y801" s="300"/>
      <c r="Z801" s="300"/>
      <c r="AA801" s="300"/>
      <c r="AB801" s="300"/>
      <c r="AC801" s="300"/>
      <c r="AD801" s="300"/>
      <c r="AE801" s="300"/>
    </row>
    <row r="802" spans="15:31">
      <c r="O802" s="300"/>
      <c r="P802" s="300"/>
      <c r="Q802" s="300"/>
      <c r="R802" s="300"/>
      <c r="S802" s="300"/>
      <c r="T802" s="300"/>
      <c r="U802" s="300"/>
      <c r="V802" s="300"/>
      <c r="W802" s="300"/>
      <c r="X802" s="300"/>
      <c r="Y802" s="300"/>
      <c r="Z802" s="300"/>
      <c r="AA802" s="300"/>
      <c r="AB802" s="300"/>
      <c r="AC802" s="300"/>
      <c r="AD802" s="300"/>
      <c r="AE802" s="300"/>
    </row>
    <row r="803" spans="15:31">
      <c r="O803" s="300"/>
      <c r="P803" s="300"/>
      <c r="Q803" s="300"/>
      <c r="R803" s="300"/>
      <c r="S803" s="300"/>
      <c r="T803" s="300"/>
      <c r="U803" s="300"/>
      <c r="V803" s="300"/>
      <c r="W803" s="300"/>
      <c r="X803" s="300"/>
      <c r="Y803" s="300"/>
      <c r="Z803" s="300"/>
      <c r="AA803" s="300"/>
      <c r="AB803" s="300"/>
      <c r="AC803" s="300"/>
      <c r="AD803" s="300"/>
      <c r="AE803" s="300"/>
    </row>
    <row r="804" spans="15:31">
      <c r="O804" s="300"/>
      <c r="P804" s="300"/>
      <c r="Q804" s="300"/>
      <c r="R804" s="300"/>
      <c r="S804" s="300"/>
      <c r="T804" s="300"/>
      <c r="U804" s="300"/>
      <c r="V804" s="300"/>
      <c r="W804" s="300"/>
      <c r="X804" s="300"/>
      <c r="Y804" s="300"/>
      <c r="Z804" s="300"/>
      <c r="AA804" s="300"/>
      <c r="AB804" s="300"/>
      <c r="AC804" s="300"/>
      <c r="AD804" s="300"/>
      <c r="AE804" s="300"/>
    </row>
    <row r="805" spans="15:31">
      <c r="O805" s="300"/>
      <c r="P805" s="300"/>
      <c r="Q805" s="300"/>
      <c r="R805" s="300"/>
      <c r="S805" s="300"/>
      <c r="T805" s="300"/>
      <c r="U805" s="300"/>
      <c r="V805" s="300"/>
      <c r="W805" s="300"/>
      <c r="X805" s="300"/>
      <c r="Y805" s="300"/>
      <c r="Z805" s="300"/>
      <c r="AA805" s="300"/>
      <c r="AB805" s="300"/>
      <c r="AC805" s="300"/>
      <c r="AD805" s="300"/>
      <c r="AE805" s="300"/>
    </row>
    <row r="806" spans="15:31">
      <c r="O806" s="300"/>
      <c r="P806" s="300"/>
      <c r="Q806" s="300"/>
      <c r="R806" s="300"/>
      <c r="S806" s="300"/>
      <c r="T806" s="300"/>
      <c r="U806" s="300"/>
      <c r="V806" s="300"/>
      <c r="W806" s="300"/>
      <c r="X806" s="300"/>
      <c r="Y806" s="300"/>
      <c r="Z806" s="300"/>
      <c r="AA806" s="300"/>
      <c r="AB806" s="300"/>
      <c r="AC806" s="300"/>
      <c r="AD806" s="300"/>
      <c r="AE806" s="300"/>
    </row>
    <row r="807" spans="15:31">
      <c r="O807" s="300"/>
      <c r="P807" s="300"/>
      <c r="Q807" s="300"/>
      <c r="R807" s="300"/>
      <c r="S807" s="300"/>
      <c r="T807" s="300"/>
      <c r="U807" s="300"/>
      <c r="V807" s="300"/>
      <c r="W807" s="300"/>
      <c r="X807" s="300"/>
      <c r="Y807" s="300"/>
      <c r="Z807" s="300"/>
      <c r="AA807" s="300"/>
      <c r="AB807" s="300"/>
      <c r="AC807" s="300"/>
      <c r="AD807" s="300"/>
      <c r="AE807" s="300"/>
    </row>
    <row r="808" spans="15:31">
      <c r="O808" s="300"/>
      <c r="P808" s="300"/>
      <c r="Q808" s="300"/>
      <c r="R808" s="300"/>
      <c r="S808" s="300"/>
      <c r="T808" s="300"/>
      <c r="U808" s="300"/>
      <c r="V808" s="300"/>
      <c r="W808" s="300"/>
      <c r="X808" s="300"/>
      <c r="Y808" s="300"/>
      <c r="Z808" s="300"/>
      <c r="AA808" s="300"/>
      <c r="AB808" s="300"/>
      <c r="AC808" s="300"/>
      <c r="AD808" s="300"/>
      <c r="AE808" s="300"/>
    </row>
  </sheetData>
  <mergeCells count="8">
    <mergeCell ref="C37:D37"/>
    <mergeCell ref="E37:N37"/>
    <mergeCell ref="P41:R41"/>
    <mergeCell ref="E44:N44"/>
    <mergeCell ref="E6:N6"/>
    <mergeCell ref="O7:X7"/>
    <mergeCell ref="E19:N19"/>
    <mergeCell ref="E25:N25"/>
  </mergeCells>
  <dataValidations disablePrompts="1" count="2">
    <dataValidation type="list" allowBlank="1" showInputMessage="1" showErrorMessage="1" sqref="C11" xr:uid="{17BD7091-8B8E-4657-865C-DFA4CDEA558E}">
      <formula1>"EUR,JPY,USD"</formula1>
    </dataValidation>
    <dataValidation type="list" allowBlank="1" showInputMessage="1" showErrorMessage="1" sqref="C26 C7 E35" xr:uid="{6A0CDF95-5153-4361-90E6-05E0812C3286}">
      <formula1>TrueFalseList</formula1>
    </dataValidation>
  </dataValidations>
  <pageMargins left="0.7" right="0.7" top="0.75" bottom="0.75" header="0.3" footer="0.3"/>
  <drawing r:id="rId1"/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DD2A4A135D144C4CB6846B8B8F0ACDAC" ma:contentTypeVersion="15" ma:contentTypeDescription="Create a new document." ma:contentTypeScope="" ma:versionID="a27c2cf683a8f6ac87d2c356ec21bb2d">
  <xsd:schema xmlns:xsd="http://www.w3.org/2001/XMLSchema" xmlns:xs="http://www.w3.org/2001/XMLSchema" xmlns:p="http://schemas.microsoft.com/office/2006/metadata/properties" xmlns:ns3="ae5a8089-fc57-4f9e-873e-1fba7c9cd486" xmlns:ns4="04178dd5-0677-4696-9ffd-1152be57b2bb" targetNamespace="http://schemas.microsoft.com/office/2006/metadata/properties" ma:root="true" ma:fieldsID="8aa3c14213f7925e3c17b8d5bd534352" ns3:_="" ns4:_="">
    <xsd:import namespace="ae5a8089-fc57-4f9e-873e-1fba7c9cd486"/>
    <xsd:import namespace="04178dd5-0677-4696-9ffd-1152be57b2bb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3:MediaServiceAutoKeyPoints" minOccurs="0"/>
                <xsd:element ref="ns3:MediaServiceKeyPoints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ObjectDetectorVersions" minOccurs="0"/>
                <xsd:element ref="ns3:MediaServiceSystemTags" minOccurs="0"/>
                <xsd:element ref="ns3:MediaServiceSearchProperties" minOccurs="0"/>
                <xsd:element ref="ns3:_activity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ae5a8089-fc57-4f9e-873e-1fba7c9cd48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KeyPoints" ma:index="10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1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  <xsd:element name="MediaServiceAutoTags" ma:index="12" nillable="true" ma:displayName="Tags" ma:internalName="MediaServiceAutoTags" ma:readOnly="true">
      <xsd:simpleType>
        <xsd:restriction base="dms:Text"/>
      </xsd:simpleType>
    </xsd:element>
    <xsd:element name="MediaServiceOCR" ma:index="13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4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5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ObjectDetectorVersions" ma:index="19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20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SearchProperties" ma:index="21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_activity" ma:index="22" nillable="true" ma:displayName="_activity" ma:hidden="true" ma:internalName="_activity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04178dd5-0677-4696-9ffd-1152be57b2bb" elementFormDefault="qualified">
    <xsd:import namespace="http://schemas.microsoft.com/office/2006/documentManagement/types"/>
    <xsd:import namespace="http://schemas.microsoft.com/office/infopath/2007/PartnerControls"/>
    <xsd:element name="SharedWithUsers" ma:index="16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7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8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ae5a8089-fc57-4f9e-873e-1fba7c9cd486" xsi:nil="true"/>
  </documentManagement>
</p:properties>
</file>

<file path=customXml/itemProps1.xml><?xml version="1.0" encoding="utf-8"?>
<ds:datastoreItem xmlns:ds="http://schemas.openxmlformats.org/officeDocument/2006/customXml" ds:itemID="{342DC395-A533-43B5-AA17-BFF4B1B79B3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ae5a8089-fc57-4f9e-873e-1fba7c9cd486"/>
    <ds:schemaRef ds:uri="04178dd5-0677-4696-9ffd-1152be57b2bb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C417CFB3-7716-4E6B-9F65-C45D761C03B3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11A021B5-8D89-4903-A106-ACE658E9A877}">
  <ds:schemaRefs>
    <ds:schemaRef ds:uri="http://purl.org/dc/terms/"/>
    <ds:schemaRef ds:uri="http://schemas.microsoft.com/office/2006/metadata/properties"/>
    <ds:schemaRef ds:uri="http://purl.org/dc/dcmitype/"/>
    <ds:schemaRef ds:uri="http://schemas.microsoft.com/office/2006/documentManagement/types"/>
    <ds:schemaRef ds:uri="http://schemas.microsoft.com/office/infopath/2007/PartnerControls"/>
    <ds:schemaRef ds:uri="04178dd5-0677-4696-9ffd-1152be57b2bb"/>
    <ds:schemaRef ds:uri="http://www.w3.org/XML/1998/namespace"/>
    <ds:schemaRef ds:uri="http://schemas.openxmlformats.org/package/2006/metadata/core-properties"/>
    <ds:schemaRef ds:uri="ae5a8089-fc57-4f9e-873e-1fba7c9cd486"/>
    <ds:schemaRef ds:uri="http://purl.org/dc/elements/1.1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15</vt:i4>
      </vt:variant>
    </vt:vector>
  </HeadingPairs>
  <TitlesOfParts>
    <vt:vector size="24" baseType="lpstr">
      <vt:lpstr>Parametres</vt:lpstr>
      <vt:lpstr>Option</vt:lpstr>
      <vt:lpstr>IRS Strip</vt:lpstr>
      <vt:lpstr>CDS Strip</vt:lpstr>
      <vt:lpstr>CDS</vt:lpstr>
      <vt:lpstr>Fwd Intensity</vt:lpstr>
      <vt:lpstr>CDO Bespoke</vt:lpstr>
      <vt:lpstr>FRTB</vt:lpstr>
      <vt:lpstr>CDO2</vt:lpstr>
      <vt:lpstr>CDSRollDate</vt:lpstr>
      <vt:lpstr>'CDO Bespoke'!Currency2</vt:lpstr>
      <vt:lpstr>CurvePointsList</vt:lpstr>
      <vt:lpstr>optionFlag</vt:lpstr>
      <vt:lpstr>optionPosition</vt:lpstr>
      <vt:lpstr>Parameter_Date</vt:lpstr>
      <vt:lpstr>'CDO Bespoke'!poids</vt:lpstr>
      <vt:lpstr>'CDO Bespoke'!Print_Area</vt:lpstr>
      <vt:lpstr>SpreadCurveMaturities</vt:lpstr>
      <vt:lpstr>'CDO Bespoke'!sumpoi</vt:lpstr>
      <vt:lpstr>'CDO Bespoke'!sumpoids</vt:lpstr>
      <vt:lpstr>'CDO Bespoke'!SumWeights</vt:lpstr>
      <vt:lpstr>Swap_Convention</vt:lpstr>
      <vt:lpstr>TrueFalseList</vt:lpstr>
      <vt:lpstr>Underlying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BADUET Line</dc:creator>
  <cp:lastModifiedBy>JORDAN François</cp:lastModifiedBy>
  <cp:lastPrinted>2024-02-23T20:28:43Z</cp:lastPrinted>
  <dcterms:created xsi:type="dcterms:W3CDTF">2024-01-30T12:40:02Z</dcterms:created>
  <dcterms:modified xsi:type="dcterms:W3CDTF">2024-05-27T13:42:50Z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0x010100DD2A4A135D144C4CB6846B8B8F0ACDAC</vt:lpwstr>
  </property>
</Properties>
</file>