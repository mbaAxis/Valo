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76F080F5-EA7E-433D-84F6-B96509EDE008}" xr6:coauthVersionLast="47" xr6:coauthVersionMax="47" xr10:uidLastSave="{00000000-0000-0000-0000-000000000000}"/>
  <bookViews>
    <workbookView xWindow="-12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F11" i="8"/>
  <c r="C9" i="8"/>
  <c r="F10" i="8"/>
  <c r="C7" i="1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<sst xmlns="http://schemas.openxmlformats.org/spreadsheetml/2006/main" count="2153" uniqueCount="508">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</sst>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18</xdr:row>
          <xdr:rowOff>180975</xdr:rowOff>
        </xdr:from>
        <xdr:to>
          <xdr:col>6</xdr:col>
          <xdr:colOff>161925</xdr:colOff>
          <xdr:row>21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</xdr:row>
          <xdr:rowOff>28575</xdr:rowOff>
        </xdr:from>
        <xdr:to>
          <xdr:col>13</xdr:col>
          <xdr:colOff>28575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6</xdr:row>
          <xdr:rowOff>9525</xdr:rowOff>
        </xdr:from>
        <xdr:to>
          <xdr:col>8</xdr:col>
          <xdr:colOff>581025</xdr:colOff>
          <xdr:row>8</xdr:row>
          <xdr:rowOff>28575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3</xdr:row>
          <xdr:rowOff>28575</xdr:rowOff>
        </xdr:from>
        <xdr:to>
          <xdr:col>6</xdr:col>
          <xdr:colOff>190500</xdr:colOff>
          <xdr:row>5</xdr:row>
          <xdr:rowOff>47625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4</xdr:col>
          <xdr:colOff>609600</xdr:colOff>
          <xdr:row>10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defaultColWidth="11.42578125" defaultRowHeight="15"/>
  <cols>
    <col min="2" max="2" width="15.5703125" bestFit="1" customWidth="1"/>
    <col min="3" max="3" width="4.42578125" customWidth="1"/>
    <col min="4" max="4" width="14.140625" bestFit="1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.75" thickBot="1">
      <c r="B11" s="144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0" t="s">
        <v>21</v>
      </c>
      <c r="D5" s="471"/>
      <c r="F5" s="472" t="s">
        <v>23</v>
      </c>
      <c r="G5" s="473"/>
      <c r="I5" s="472" t="s">
        <v>22</v>
      </c>
      <c r="J5" s="473"/>
      <c r="R5" s="470" t="s">
        <v>39</v>
      </c>
      <c r="S5" s="471"/>
      <c r="U5" s="472" t="s">
        <v>40</v>
      </c>
      <c r="V5" s="473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0" t="s">
        <v>21</v>
      </c>
      <c r="C20" s="474"/>
      <c r="D20" s="474"/>
      <c r="E20" s="474"/>
      <c r="F20" s="474"/>
      <c r="G20" s="474"/>
      <c r="H20" s="474"/>
      <c r="I20" s="474"/>
      <c r="J20" s="471"/>
      <c r="L20" s="470" t="s">
        <v>23</v>
      </c>
      <c r="M20" s="471"/>
      <c r="O20" s="470" t="s">
        <v>22</v>
      </c>
      <c r="P20" s="471"/>
      <c r="R20" s="475" t="s">
        <v>39</v>
      </c>
      <c r="S20" s="476"/>
      <c r="T20" s="476"/>
      <c r="U20" s="476"/>
      <c r="V20" s="476"/>
      <c r="W20" s="476"/>
      <c r="X20" s="477"/>
      <c r="Z20" s="472" t="s">
        <v>40</v>
      </c>
      <c r="AA20" s="473"/>
    </row>
    <row r="21" spans="2:27" ht="15.7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581025</xdr:colOff>
                    <xdr:row>18</xdr:row>
                    <xdr:rowOff>180975</xdr:rowOff>
                  </from>
                  <to>
                    <xdr:col>6</xdr:col>
                    <xdr:colOff>161925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1" t="s">
        <v>72</v>
      </c>
      <c r="H2" s="482"/>
      <c r="I2" s="482"/>
      <c r="J2" s="146" t="b">
        <v>1</v>
      </c>
    </row>
    <row r="3" spans="1:50" ht="15.75" thickBot="1">
      <c r="J3" s="99"/>
    </row>
    <row r="4" spans="1:50" ht="15.75" thickBot="1">
      <c r="G4" s="481" t="s">
        <v>73</v>
      </c>
      <c r="H4" s="482"/>
      <c r="I4" s="483"/>
      <c r="J4" s="141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1.25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104775</xdr:colOff>
                    <xdr:row>3</xdr:row>
                    <xdr:rowOff>28575</xdr:rowOff>
                  </from>
                  <to>
                    <xdr:col>13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="134" zoomScaleNormal="175" workbookViewId="0">
      <selection activeCell="F15" sqref="F15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.75" thickBot="1">
      <c r="C5" s="499"/>
      <c r="D5" s="500"/>
      <c r="E5" s="501"/>
    </row>
    <row r="6" spans="2:11" ht="15.75" thickBot="1"/>
    <row r="7" spans="2:11" ht="16.5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.7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.75" thickBot="1">
      <c r="B13" s="209" t="s">
        <v>496</v>
      </c>
      <c r="C13" s="75">
        <v>1</v>
      </c>
      <c r="D13" s="79"/>
      <c r="E13" s="79"/>
      <c r="F13" s="79"/>
      <c r="G13" s="226"/>
      <c r="H13" s="79"/>
      <c r="I13" s="79"/>
      <c r="J13" s="79"/>
      <c r="K13" s="79"/>
    </row>
    <row r="14" spans="2:11" ht="15.7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 cm="1">
        <f t="array" aca="1" ref="F15:K22" ca="1">IF(NOT($F$9),"",GetCDS(C9,C10,C11,C12,C13,C19,C20,C21,C15,C16,C17,C23,C24,C26,C28:C30,C32))</f>
        <v>-0,0274278395559501</v>
      </c>
      <c r="G15" s="272" t="str">
        <f ca="1"/>
        <v>-0,0274278395559501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0,0163823153239926</v>
      </c>
      <c r="G16" s="274" t="str">
        <f ca="1"/>
        <v>0,0163823153239926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.75" thickBot="1">
      <c r="B17" s="209" t="s">
        <v>439</v>
      </c>
      <c r="C17" s="196">
        <v>0</v>
      </c>
      <c r="E17" s="229" t="s">
        <v>438</v>
      </c>
      <c r="F17" s="284" t="str">
        <f ca="1"/>
        <v>0,0438101548799427</v>
      </c>
      <c r="G17" s="274" t="str">
        <f ca="1"/>
        <v>0,0438101548799427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.75" thickBot="1">
      <c r="B18" s="202"/>
      <c r="C18" s="79"/>
      <c r="E18" s="229" t="s">
        <v>440</v>
      </c>
      <c r="F18" s="284" t="str">
        <f ca="1"/>
        <v>0,0037393876759593</v>
      </c>
      <c r="G18" s="274" t="str">
        <f ca="1"/>
        <v>0,0037393876759593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4,38101548799427</v>
      </c>
      <c r="G19" s="276" t="str">
        <f ca="1"/>
        <v>4,38101548799427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.75" thickBot="1">
      <c r="B20" s="208" t="s">
        <v>444</v>
      </c>
      <c r="C20" s="69" t="s">
        <v>445</v>
      </c>
      <c r="E20" s="229" t="s">
        <v>443</v>
      </c>
      <c r="F20" s="285" t="str">
        <f ca="1"/>
        <v>00:00:00.0070062</v>
      </c>
      <c r="G20" s="278" t="str">
        <f ca="1"/>
        <v>00:00:00.0070062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.7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.75" thickBot="1">
      <c r="B22" s="202"/>
      <c r="C22" s="79"/>
      <c r="E22" s="231"/>
      <c r="F22" s="279" t="str">
        <f ca="1"/>
        <v>0,000830342487570713</v>
      </c>
      <c r="G22" s="279" t="str">
        <f ca="1"/>
        <v>0,00081622577106229</v>
      </c>
      <c r="H22" s="280" t="str">
        <f ca="1"/>
        <v>1,01729511246631</v>
      </c>
      <c r="I22" s="279" t="str">
        <f ca="1"/>
        <v>1,01729511246631</v>
      </c>
      <c r="J22" s="279" t="str">
        <f ca="1"/>
        <v>-0,0163823153239926</v>
      </c>
      <c r="K22" s="280" t="str">
        <f ca="1"/>
        <v>ACCOR_MMR.EUR.SU</v>
      </c>
    </row>
    <row r="23" spans="2:11">
      <c r="B23" s="210" t="s">
        <v>447</v>
      </c>
      <c r="C23" s="197" t="b">
        <v>1</v>
      </c>
    </row>
    <row r="24" spans="2:11" ht="15.75" thickBot="1">
      <c r="B24" s="209" t="s">
        <v>448</v>
      </c>
      <c r="C24" s="198" t="b">
        <v>1</v>
      </c>
    </row>
    <row r="25" spans="2:11" ht="15.75" thickBot="1">
      <c r="B25" s="203"/>
      <c r="C25" s="85"/>
      <c r="D25" s="199"/>
      <c r="H25" s="282"/>
    </row>
    <row r="26" spans="2:11" ht="15.75" thickBot="1">
      <c r="B26" s="180" t="s">
        <v>449</v>
      </c>
      <c r="C26" s="197" t="b">
        <v>1</v>
      </c>
      <c r="D26" s="85"/>
    </row>
    <row r="27" spans="2:11" ht="15.7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.75" thickBot="1">
      <c r="B30" s="206" t="s">
        <v>448</v>
      </c>
      <c r="C30" s="201" t="b">
        <v>1</v>
      </c>
      <c r="D30" s="85"/>
    </row>
    <row r="31" spans="2:11" ht="15.75" thickBot="1">
      <c r="B31" s="204"/>
      <c r="C31" s="79"/>
      <c r="D31" s="85"/>
    </row>
    <row r="32" spans="2:11" ht="15.7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200025</xdr:colOff>
                    <xdr:row>6</xdr:row>
                    <xdr:rowOff>9525</xdr:rowOff>
                  </from>
                  <to>
                    <xdr:col>8</xdr:col>
                    <xdr:colOff>581025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2" sqref="D12"/>
    </sheetView>
  </sheetViews>
  <sheetFormatPr defaultColWidth="11.42578125" defaultRowHeight="15"/>
  <sheetData>
    <row r="2" spans="2:11">
      <c r="J2" s="283"/>
      <c r="K2" s="176"/>
    </row>
    <row r="3" spans="2:11">
      <c r="J3" s="283"/>
    </row>
    <row r="5" spans="2:11" ht="15.75" thickBot="1"/>
    <row r="6" spans="2:11" ht="15.7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.7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.75" thickBot="1"/>
    <row r="9" spans="2:11" ht="15.7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.7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8.0983434351630912E-2</v>
      </c>
      <c r="E129" s="218">
        <f t="shared" ca="1" si="6"/>
        <v>1.0158293403183621E-2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600075</xdr:colOff>
                    <xdr:row>3</xdr:row>
                    <xdr:rowOff>28575</xdr:rowOff>
                  </from>
                  <to>
                    <xdr:col>6</xdr:col>
                    <xdr:colOff>190500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zoomScaleNormal="100" workbookViewId="0">
      <selection activeCell="Q13" sqref="Q13"/>
    </sheetView>
  </sheetViews>
  <sheetFormatPr defaultColWidth="11.42578125" defaultRowHeight="11.25"/>
  <cols>
    <col min="1" max="1" width="3.140625" style="232" customWidth="1"/>
    <col min="2" max="2" width="17.140625" style="232" customWidth="1"/>
    <col min="3" max="3" width="20" style="233" customWidth="1"/>
    <col min="4" max="4" width="10.42578125" style="233" bestFit="1" customWidth="1"/>
    <col min="5" max="5" width="10" style="233" bestFit="1" customWidth="1"/>
    <col min="6" max="6" width="7.42578125" style="233" customWidth="1"/>
    <col min="7" max="7" width="9.7109375" style="233" customWidth="1"/>
    <col min="8" max="8" width="11.28515625" style="233" customWidth="1"/>
    <col min="9" max="13" width="24.140625" style="232" customWidth="1"/>
    <col min="14" max="14" width="36.7109375" style="232" customWidth="1"/>
    <col min="15" max="15" width="4.140625" style="232" customWidth="1"/>
    <col min="16" max="16" width="25.140625" style="232" customWidth="1"/>
    <col min="17" max="17" width="23.5703125" style="232" customWidth="1"/>
    <col min="18" max="18" width="23.140625" style="232" customWidth="1"/>
    <col min="19" max="19" width="24.5703125" style="232" customWidth="1"/>
    <col min="20" max="20" width="22.140625" style="232" customWidth="1"/>
    <col min="21" max="21" width="13.140625" style="232" bestFit="1" customWidth="1"/>
    <col min="22" max="23" width="11.42578125" style="232" customWidth="1"/>
    <col min="24" max="24" width="13.140625" style="232" customWidth="1"/>
    <col min="25" max="16384" width="11.42578125" style="232"/>
  </cols>
  <sheetData>
    <row r="4" spans="1:26" ht="12" thickBot="1"/>
    <row r="5" spans="1:26" ht="12" thickBot="1">
      <c r="H5" s="287" t="s">
        <v>423</v>
      </c>
      <c r="I5" s="234" t="b">
        <v>1</v>
      </c>
    </row>
    <row r="6" spans="1:26" ht="12" thickBot="1">
      <c r="B6" s="288" t="s">
        <v>432</v>
      </c>
      <c r="C6" s="235" t="s">
        <v>57</v>
      </c>
    </row>
    <row r="7" spans="1:26" customFormat="1" ht="15.7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.7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.7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.7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-0.18725090056466981</v>
      </c>
      <c r="W11" s="79"/>
      <c r="X11" s="442" t="s">
        <v>507</v>
      </c>
      <c r="Y11" s="467">
        <f ca="1">SUM(Y15:Y314)</f>
        <v>-9.8881700552895177E-3</v>
      </c>
      <c r="Z11" s="79"/>
    </row>
    <row r="12" spans="1:26" customFormat="1" ht="1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-0.12777479183594612</v>
      </c>
      <c r="W12" s="79"/>
      <c r="X12" s="442" t="s">
        <v>498</v>
      </c>
      <c r="Y12" s="443">
        <f ca="1">$J$8+Y11</f>
        <v>4.9587938673434181E-2</v>
      </c>
      <c r="Z12" s="79"/>
    </row>
    <row r="13" spans="1:26" customFormat="1" ht="15.7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00:00:01.1138431</v>
      </c>
      <c r="J13" s="425" t="str">
        <f ca="1"/>
        <v>00:00:01.1138431</v>
      </c>
      <c r="K13" s="433" t="str">
        <f ca="1"/>
        <v>Leverage=</v>
      </c>
      <c r="L13" s="434" t="str">
        <f ca="1"/>
        <v>11,4194124778501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11,4194124778501</v>
      </c>
      <c r="R13" s="445"/>
      <c r="S13" s="79"/>
      <c r="T13" s="79"/>
      <c r="U13" s="446" t="s">
        <v>500</v>
      </c>
      <c r="V13" s="447">
        <f ca="1">V12*(C20-C21)</f>
        <v>-0.3322144587734599</v>
      </c>
      <c r="W13" s="79"/>
      <c r="X13" s="442" t="s">
        <v>500</v>
      </c>
      <c r="Y13" s="448">
        <f ca="1">Y12*(C20-C21)</f>
        <v>0.12892864055092887</v>
      </c>
      <c r="Z13" s="79"/>
    </row>
    <row r="14" spans="1:26" customFormat="1" ht="15.7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.7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0,000337096005140159</v>
      </c>
      <c r="J15" s="424" t="str">
        <f ca="1"/>
        <v>0,000920551655870005</v>
      </c>
      <c r="K15" s="436" t="str">
        <f ca="1"/>
        <v>0,366189124739092</v>
      </c>
      <c r="L15" s="436" t="str">
        <f ca="1"/>
        <v>0,366189124739092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0.11419412477850101</v>
      </c>
      <c r="V15" s="460">
        <f ca="1">IF($Q$12,IF(U15="","",U15*($V$10-S15)*T15),"")</f>
        <v>-2.0726965059610835E-3</v>
      </c>
      <c r="W15" s="459">
        <f ca="1">IF($Q$12,IF(OR(P15="",L15=""),"",L15/($C$20-$C$19)),"")</f>
        <v>0.12206304157969733</v>
      </c>
      <c r="X15" s="461">
        <f ca="1">IF($Q$12,IF(S15="","",S15*$Y$10),"")</f>
        <v>3.9469135697428681E-3</v>
      </c>
      <c r="Y15" s="460">
        <f ca="1">IF($Q$12,IF(W15="","",W15*(X15-S15)*T15),"")</f>
        <v>-1.1077611929683651E-4</v>
      </c>
      <c r="Z15" s="136">
        <f ca="1">W15-U15</f>
        <v>7.8689168011963212E-3</v>
      </c>
    </row>
    <row r="16" spans="1:26" customFormat="1" ht="15.7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0,00028572674645404</v>
      </c>
      <c r="J16" s="424" t="str">
        <f ca="1"/>
        <v>0,000830342487570713</v>
      </c>
      <c r="K16" s="436" t="str">
        <f ca="1"/>
        <v>0,34410710126369</v>
      </c>
      <c r="L16" s="436" t="str">
        <f ca="1"/>
        <v>0,34410710126369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0.11419412477850101</v>
      </c>
      <c r="V16" s="460">
        <f t="shared" ref="V16:V79" ca="1" si="0">IF($Q$12,IF(U16="","",U16*($V$10-S16)*T16),"")</f>
        <v>-1.8707641602687594E-3</v>
      </c>
      <c r="W16" s="459">
        <f t="shared" ref="W16:W79" ca="1" si="1">IF($Q$12,IF(OR(P16="",L16=""),"",L16/($C$20-$C$19)),"")</f>
        <v>0.11470236708789666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-9.3954517302113718E-5</v>
      </c>
      <c r="Z16" s="79"/>
    </row>
    <row r="17" spans="1:26" customFormat="1" ht="15">
      <c r="A17" s="232"/>
      <c r="B17" s="288" t="s">
        <v>463</v>
      </c>
      <c r="C17" s="243">
        <f ca="1"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0,00033196310314092</v>
      </c>
      <c r="J17" s="424" t="str">
        <f ca="1"/>
        <v>0,000920099481983807</v>
      </c>
      <c r="K17" s="436" t="str">
        <f ca="1"/>
        <v>0,360790446729936</v>
      </c>
      <c r="L17" s="436" t="str">
        <f ca="1"/>
        <v>0,360790446729936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0.11419412477850101</v>
      </c>
      <c r="V17" s="460">
        <f t="shared" ca="1" si="0"/>
        <v>-2.0758664331828459E-3</v>
      </c>
      <c r="W17" s="459">
        <f t="shared" ca="1" si="1"/>
        <v>0.120263482243312</v>
      </c>
      <c r="X17" s="461">
        <f t="shared" ca="1" si="2"/>
        <v>3.946740290690769E-3</v>
      </c>
      <c r="Y17" s="460">
        <f t="shared" ca="1" si="3"/>
        <v>-1.0930988192729426E-4</v>
      </c>
      <c r="Z17" s="79"/>
    </row>
    <row r="18" spans="1:26" customFormat="1" ht="1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0,000312729251714417</v>
      </c>
      <c r="J18" s="424" t="str">
        <f ca="1"/>
        <v>0,000875711313358242</v>
      </c>
      <c r="K18" s="436" t="str">
        <f ca="1"/>
        <v>0,357114550130842</v>
      </c>
      <c r="L18" s="436" t="str">
        <f ca="1"/>
        <v>0,357114550130842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0.11419412477850101</v>
      </c>
      <c r="V18" s="460">
        <f t="shared" ca="1" si="0"/>
        <v>-1.9708134623482986E-3</v>
      </c>
      <c r="W18" s="459">
        <f t="shared" ca="1" si="1"/>
        <v>0.11903818337694733</v>
      </c>
      <c r="X18" s="461">
        <f t="shared" ca="1" si="2"/>
        <v>3.7497245944589168E-3</v>
      </c>
      <c r="Y18" s="460">
        <f t="shared" ca="1" si="3"/>
        <v>-1.0272071999668284E-4</v>
      </c>
      <c r="Z18" s="79"/>
    </row>
    <row r="19" spans="1:26" customFormat="1" ht="1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0,000172981299881769</v>
      </c>
      <c r="J19" s="424" t="str">
        <f ca="1"/>
        <v>0,000583003831669929</v>
      </c>
      <c r="K19" s="436" t="str">
        <f ca="1"/>
        <v>0,296706969122809</v>
      </c>
      <c r="L19" s="436" t="str">
        <f ca="1"/>
        <v>0,296706969122809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0.11419412477850101</v>
      </c>
      <c r="V19" s="460">
        <f t="shared" ca="1" si="0"/>
        <v>-1.3036238369221345E-3</v>
      </c>
      <c r="W19" s="459">
        <f t="shared" ca="1" si="1"/>
        <v>9.8902323040936324E-2</v>
      </c>
      <c r="X19" s="461">
        <f t="shared" ca="1" si="2"/>
        <v>2.4676128376656123E-3</v>
      </c>
      <c r="Y19" s="460">
        <f t="shared" ca="1" si="3"/>
        <v>-5.645274049484698E-5</v>
      </c>
      <c r="Z19" s="79"/>
    </row>
    <row r="20" spans="1:26" customFormat="1" ht="1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0,000246338930091339</v>
      </c>
      <c r="J20" s="424" t="str">
        <f ca="1"/>
        <v>0,000740997413190893</v>
      </c>
      <c r="K20" s="436" t="str">
        <f ca="1"/>
        <v>0,332442361749349</v>
      </c>
      <c r="L20" s="436" t="str">
        <f ca="1"/>
        <v>0,332442361749349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0.11419412477850101</v>
      </c>
      <c r="V20" s="460">
        <f t="shared" ca="1" si="0"/>
        <v>-1.6624853586562549E-3</v>
      </c>
      <c r="W20" s="459">
        <f t="shared" ca="1" si="1"/>
        <v>0.11081412058311634</v>
      </c>
      <c r="X20" s="461">
        <f t="shared" ca="1" si="2"/>
        <v>3.1581349839525075E-3</v>
      </c>
      <c r="Y20" s="460">
        <f t="shared" ca="1" si="3"/>
        <v>-8.0663892892536787E-5</v>
      </c>
      <c r="Z20" s="79"/>
    </row>
    <row r="21" spans="1:26" customFormat="1" ht="1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0,000543567777311216</v>
      </c>
      <c r="J21" s="424" t="str">
        <f ca="1"/>
        <v>0,00129527124200453</v>
      </c>
      <c r="K21" s="436" t="str">
        <f ca="1"/>
        <v>0,419655559147599</v>
      </c>
      <c r="L21" s="436" t="str">
        <f ca="1"/>
        <v>0,419655559147599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0.11419412477850101</v>
      </c>
      <c r="V21" s="460">
        <f t="shared" ca="1" si="0"/>
        <v>-2.9451479571112492E-3</v>
      </c>
      <c r="W21" s="459">
        <f t="shared" ca="1" si="1"/>
        <v>0.139885186382533</v>
      </c>
      <c r="X21" s="461">
        <f t="shared" ca="1" si="2"/>
        <v>5.621757517848637E-3</v>
      </c>
      <c r="Y21" s="460">
        <f t="shared" ca="1" si="3"/>
        <v>-1.8038693834019696E-4</v>
      </c>
      <c r="Z21" s="79"/>
    </row>
    <row r="22" spans="1:26" customFormat="1" ht="15.7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0,000479735399738046</v>
      </c>
      <c r="J22" s="424" t="str">
        <f ca="1"/>
        <v>0,0011856147954694</v>
      </c>
      <c r="K22" s="436" t="str">
        <f ca="1"/>
        <v>0,404630071732626</v>
      </c>
      <c r="L22" s="436" t="str">
        <f ca="1"/>
        <v>0,404630071732626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0.11419412477850101</v>
      </c>
      <c r="V22" s="460">
        <f t="shared" ca="1" si="0"/>
        <v>-2.6892021660669574E-3</v>
      </c>
      <c r="W22" s="459">
        <f t="shared" ca="1" si="1"/>
        <v>0.13487669057754201</v>
      </c>
      <c r="X22" s="461">
        <f t="shared" ca="1" si="2"/>
        <v>5.1293355986811269E-3</v>
      </c>
      <c r="Y22" s="460">
        <f t="shared" ca="1" si="3"/>
        <v>-1.5881320039739716E-4</v>
      </c>
      <c r="Z22" s="79"/>
    </row>
    <row r="23" spans="1:26" customFormat="1" ht="15.7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0,000155184407876963</v>
      </c>
      <c r="J23" s="424" t="str">
        <f ca="1"/>
        <v>0,000537736318745005</v>
      </c>
      <c r="K23" s="436" t="str">
        <f ca="1"/>
        <v>0,288588295912651</v>
      </c>
      <c r="L23" s="436" t="str">
        <f ca="1"/>
        <v>0,288588295912651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0.11419412477850101</v>
      </c>
      <c r="V23" s="460">
        <f t="shared" ca="1" si="0"/>
        <v>-1.1995577061971875E-3</v>
      </c>
      <c r="W23" s="459">
        <f t="shared" ca="1" si="1"/>
        <v>9.619609863755034E-2</v>
      </c>
      <c r="X23" s="461">
        <f t="shared" ca="1" si="2"/>
        <v>2.2703257927492795E-3</v>
      </c>
      <c r="Y23" s="460">
        <f t="shared" ca="1" si="3"/>
        <v>-5.0524828510486941E-5</v>
      </c>
      <c r="Z23" s="79"/>
    </row>
    <row r="24" spans="1:26" customFormat="1" ht="1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0,000234182109959868</v>
      </c>
      <c r="J24" s="424" t="str">
        <f ca="1"/>
        <v>0,000718161317057786</v>
      </c>
      <c r="K24" s="436" t="str">
        <f ca="1"/>
        <v>0,32608566403894</v>
      </c>
      <c r="L24" s="436" t="str">
        <f ca="1"/>
        <v>0,32608566403894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0.11419412477850101</v>
      </c>
      <c r="V24" s="460">
        <f t="shared" ca="1" si="0"/>
        <v>-1.611658118310657E-3</v>
      </c>
      <c r="W24" s="459">
        <f t="shared" ca="1" si="1"/>
        <v>0.10869522134631333</v>
      </c>
      <c r="X24" s="461">
        <f t="shared" ca="1" si="2"/>
        <v>3.0594829246182583E-3</v>
      </c>
      <c r="Y24" s="460">
        <f t="shared" ca="1" si="3"/>
        <v>-7.6702516983316927E-5</v>
      </c>
      <c r="Z24" s="79"/>
    </row>
    <row r="25" spans="1:26" customFormat="1" ht="15.7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0,000267837001653049</v>
      </c>
      <c r="J25" s="424" t="str">
        <f ca="1"/>
        <v>0,000785998940561706</v>
      </c>
      <c r="K25" s="436" t="str">
        <f ca="1"/>
        <v>0,340760003393442</v>
      </c>
      <c r="L25" s="436" t="str">
        <f ca="1"/>
        <v>0,340760003393442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0.11419412477850101</v>
      </c>
      <c r="V25" s="460">
        <f t="shared" ca="1" si="0"/>
        <v>-1.7654283725389512E-3</v>
      </c>
      <c r="W25" s="459">
        <f t="shared" ca="1" si="1"/>
        <v>0.113586667797814</v>
      </c>
      <c r="X25" s="461">
        <f t="shared" ca="1" si="2"/>
        <v>3.3553485292904719E-3</v>
      </c>
      <c r="Y25" s="460">
        <f t="shared" ca="1" si="3"/>
        <v>-8.7801857784442796E-5</v>
      </c>
      <c r="Z25" s="79"/>
    </row>
    <row r="26" spans="1:26" customFormat="1" ht="15.7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0,000399505923650168</v>
      </c>
      <c r="J26" s="424" t="str">
        <f ca="1"/>
        <v>0,00103203201150184</v>
      </c>
      <c r="K26" s="436" t="str">
        <f ca="1"/>
        <v>0,387106135466473</v>
      </c>
      <c r="L26" s="436" t="str">
        <f ca="1"/>
        <v>0,387106135466473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0.11419412477850101</v>
      </c>
      <c r="V26" s="460">
        <f t="shared" ca="1" si="0"/>
        <v>-2.3273313652991839E-3</v>
      </c>
      <c r="W26" s="459">
        <f t="shared" ca="1" si="1"/>
        <v>0.12903537848882432</v>
      </c>
      <c r="X26" s="461">
        <f t="shared" ca="1" si="2"/>
        <v>4.4397790191737941E-3</v>
      </c>
      <c r="Y26" s="460">
        <f t="shared" ca="1" si="3"/>
        <v>-1.3149016386473106E-4</v>
      </c>
      <c r="Z26" s="79"/>
    </row>
    <row r="27" spans="1:26" customFormat="1" ht="15.7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0,000341289937413824</v>
      </c>
      <c r="J27" s="424" t="str">
        <f ca="1"/>
        <v>0,000921068454571454</v>
      </c>
      <c r="K27" s="436" t="str">
        <f ca="1"/>
        <v>0,370536995073418</v>
      </c>
      <c r="L27" s="436" t="str">
        <f ca="1"/>
        <v>0,370536995073418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0.11419412477850101</v>
      </c>
      <c r="V27" s="460">
        <f t="shared" ca="1" si="0"/>
        <v>-2.0711447892227054E-3</v>
      </c>
      <c r="W27" s="459">
        <f t="shared" ca="1" si="1"/>
        <v>0.12351233169113933</v>
      </c>
      <c r="X27" s="461">
        <f t="shared" ca="1" si="2"/>
        <v>3.94700663493579E-3</v>
      </c>
      <c r="Y27" s="460">
        <f t="shared" ca="1" si="3"/>
        <v>-1.1200747966808292E-4</v>
      </c>
      <c r="Z27" s="79"/>
    </row>
    <row r="28" spans="1:26" customFormat="1" ht="15.7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0,000470203044178207</v>
      </c>
      <c r="K28" s="436" t="str">
        <f ca="1"/>
        <v>0,267577487150914</v>
      </c>
      <c r="L28" s="436" t="str">
        <f ca="1"/>
        <v>0,267577487150914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0.11419412477850101</v>
      </c>
      <c r="V28" s="460">
        <f t="shared" ca="1" si="0"/>
        <v>-9.9234693304202479E-4</v>
      </c>
      <c r="W28" s="459">
        <f t="shared" ca="1" si="1"/>
        <v>8.919249571697134E-2</v>
      </c>
      <c r="X28" s="461">
        <f t="shared" ca="1" si="2"/>
        <v>1.8756650844314346E-3</v>
      </c>
      <c r="Y28" s="460">
        <f t="shared" ca="1" si="3"/>
        <v>-3.8754138948383075E-5</v>
      </c>
      <c r="Z28" s="79"/>
    </row>
    <row r="29" spans="1:26" customFormat="1" ht="1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0,000252162921950027</v>
      </c>
      <c r="J29" s="424" t="str">
        <f ca="1"/>
        <v>0,000762772504224441</v>
      </c>
      <c r="K29" s="436" t="str">
        <f ca="1"/>
        <v>0,330587325255539</v>
      </c>
      <c r="L29" s="436" t="str">
        <f ca="1"/>
        <v>0,330587325255539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0.11419412477850101</v>
      </c>
      <c r="V29" s="460">
        <f t="shared" ca="1" si="0"/>
        <v>-1.7167469525004987E-3</v>
      </c>
      <c r="W29" s="459">
        <f t="shared" ca="1" si="1"/>
        <v>0.11019577508517968</v>
      </c>
      <c r="X29" s="461">
        <f t="shared" ca="1" si="2"/>
        <v>3.256612500950782E-3</v>
      </c>
      <c r="Y29" s="460">
        <f t="shared" ca="1" si="3"/>
        <v>-8.2831871351900173E-5</v>
      </c>
      <c r="Z29" s="79"/>
    </row>
    <row r="30" spans="1:26" customFormat="1" ht="1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0,000173012012971818</v>
      </c>
      <c r="J30" s="424" t="str">
        <f ca="1"/>
        <v>0,000582998173332971</v>
      </c>
      <c r="K30" s="436" t="str">
        <f ca="1"/>
        <v>0,296762530116891</v>
      </c>
      <c r="L30" s="436" t="str">
        <f ca="1"/>
        <v>0,296762530116891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0.11419412477850101</v>
      </c>
      <c r="V30" s="460">
        <f t="shared" ca="1" si="0"/>
        <v>-1.3036114212362829E-3</v>
      </c>
      <c r="W30" s="459">
        <f t="shared" ca="1" si="1"/>
        <v>9.8920843372297007E-2</v>
      </c>
      <c r="X30" s="461">
        <f t="shared" ca="1" si="2"/>
        <v>2.4676141410156331E-3</v>
      </c>
      <c r="Y30" s="460">
        <f t="shared" ca="1" si="3"/>
        <v>-5.6462774012490063E-5</v>
      </c>
      <c r="Z30" s="79"/>
    </row>
    <row r="31" spans="1:26" customFormat="1" ht="15.7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0,000260591854330982</v>
      </c>
      <c r="J31" s="424" t="str">
        <f ca="1"/>
        <v>0,000764220045765788</v>
      </c>
      <c r="K31" s="436" t="str">
        <f ca="1"/>
        <v>0,340990603131662</v>
      </c>
      <c r="L31" s="436" t="str">
        <f ca="1"/>
        <v>0,340990603131662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0.11419412477850101</v>
      </c>
      <c r="V31" s="460">
        <f t="shared" ca="1" si="0"/>
        <v>-1.7126337540533368E-3</v>
      </c>
      <c r="W31" s="459">
        <f t="shared" ca="1" si="1"/>
        <v>0.11366353437722067</v>
      </c>
      <c r="X31" s="461">
        <f t="shared" ca="1" si="2"/>
        <v>3.2568089999312675E-3</v>
      </c>
      <c r="Y31" s="460">
        <f t="shared" ca="1" si="3"/>
        <v>-8.5233809513849293E-5</v>
      </c>
      <c r="Z31" s="79"/>
    </row>
    <row r="32" spans="1:26" customFormat="1" ht="15.7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0,0002316589531286</v>
      </c>
      <c r="J32" s="424" t="str">
        <f ca="1"/>
        <v>0,000717949896563081</v>
      </c>
      <c r="K32" s="436" t="str">
        <f ca="1"/>
        <v>0,322667297867973</v>
      </c>
      <c r="L32" s="436" t="str">
        <f ca="1"/>
        <v>0,322667297867973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0.11419412477850101</v>
      </c>
      <c r="V32" s="460">
        <f t="shared" ca="1" si="0"/>
        <v>-1.6135434272193019E-3</v>
      </c>
      <c r="W32" s="459">
        <f t="shared" ca="1" si="1"/>
        <v>0.10755576595599099</v>
      </c>
      <c r="X32" s="461">
        <f t="shared" ca="1" si="2"/>
        <v>3.0593962841025221E-3</v>
      </c>
      <c r="Y32" s="460">
        <f t="shared" ca="1" si="3"/>
        <v>-7.5987227694265829E-5</v>
      </c>
      <c r="Z32" s="79"/>
    </row>
    <row r="33" spans="1:26" customFormat="1" ht="1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0,000182605088830767</v>
      </c>
      <c r="J33" s="424" t="str">
        <f ca="1"/>
        <v>0,000605505541438369</v>
      </c>
      <c r="K33" s="436" t="str">
        <f ca="1"/>
        <v>0,301574595662645</v>
      </c>
      <c r="L33" s="436" t="str">
        <f ca="1"/>
        <v>0,301574595662645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0.11419412477850101</v>
      </c>
      <c r="V33" s="460">
        <f t="shared" ca="1" si="0"/>
        <v>-1.3551911341956751E-3</v>
      </c>
      <c r="W33" s="459">
        <f t="shared" ca="1" si="1"/>
        <v>0.10052486522088167</v>
      </c>
      <c r="X33" s="461">
        <f t="shared" ca="1" si="2"/>
        <v>2.566262743823921E-3</v>
      </c>
      <c r="Y33" s="460">
        <f t="shared" ca="1" si="3"/>
        <v>-5.9648605555581884E-5</v>
      </c>
      <c r="Z33" s="79"/>
    </row>
    <row r="34" spans="1:26" customFormat="1" ht="1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0,000222752412249294</v>
      </c>
      <c r="J34" s="424" t="str">
        <f ca="1"/>
        <v>0,000695485995864725</v>
      </c>
      <c r="K34" s="436" t="str">
        <f ca="1"/>
        <v>0,320283102138293</v>
      </c>
      <c r="L34" s="436" t="str">
        <f ca="1"/>
        <v>0,320283102138293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0.11419412477850101</v>
      </c>
      <c r="V34" s="460">
        <f t="shared" ca="1" si="0"/>
        <v>-1.5608441888176076E-3</v>
      </c>
      <c r="W34" s="459">
        <f t="shared" ca="1" si="1"/>
        <v>0.10676103404609766</v>
      </c>
      <c r="X34" s="461">
        <f t="shared" ca="1" si="2"/>
        <v>2.9608236402012813E-3</v>
      </c>
      <c r="Y34" s="460">
        <f t="shared" ca="1" si="3"/>
        <v>-7.2962308659150319E-5</v>
      </c>
      <c r="Z34" s="79"/>
    </row>
    <row r="35" spans="1:26" customFormat="1" ht="1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0,000323178048242378</v>
      </c>
      <c r="J35" s="424" t="str">
        <f ca="1"/>
        <v>0,000898060386711444</v>
      </c>
      <c r="K35" s="436" t="str">
        <f ca="1"/>
        <v>0,359862268756565</v>
      </c>
      <c r="L35" s="436" t="str">
        <f ca="1"/>
        <v>0,359862268756565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0.11419412477850101</v>
      </c>
      <c r="V35" s="460">
        <f t="shared" ca="1" si="0"/>
        <v>-2.0225843289852444E-3</v>
      </c>
      <c r="W35" s="459">
        <f t="shared" ca="1" si="1"/>
        <v>0.11995408958552167</v>
      </c>
      <c r="X35" s="461">
        <f t="shared" ca="1" si="2"/>
        <v>3.8482544541691152E-3</v>
      </c>
      <c r="Y35" s="460">
        <f t="shared" ca="1" si="3"/>
        <v>-1.0623018577530424E-4</v>
      </c>
      <c r="Z35" s="79"/>
    </row>
    <row r="36" spans="1:26" customFormat="1" ht="15.7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0,000257959726958457</v>
      </c>
      <c r="J36" s="424" t="str">
        <f ca="1"/>
        <v>0,00076383423468692</v>
      </c>
      <c r="K36" s="436" t="str">
        <f ca="1"/>
        <v>0,337716896211374</v>
      </c>
      <c r="L36" s="436" t="str">
        <f ca="1"/>
        <v>0,337716896211374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0.11419412477850101</v>
      </c>
      <c r="V36" s="460">
        <f t="shared" ca="1" si="0"/>
        <v>-1.7137665145448651E-3</v>
      </c>
      <c r="W36" s="459">
        <f t="shared" ca="1" si="1"/>
        <v>0.11257229873712467</v>
      </c>
      <c r="X36" s="461">
        <f t="shared" ca="1" si="2"/>
        <v>3.2567426129439607E-3</v>
      </c>
      <c r="Y36" s="460">
        <f t="shared" ca="1" si="3"/>
        <v>-8.4471349298938188E-5</v>
      </c>
      <c r="Z36" s="79"/>
    </row>
    <row r="37" spans="1:26" customFormat="1" ht="15.7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0,000286190041559475</v>
      </c>
      <c r="J37" s="424" t="str">
        <f ca="1"/>
        <v>0,000830586034106571</v>
      </c>
      <c r="K37" s="436" t="str">
        <f ca="1"/>
        <v>0,344563994345653</v>
      </c>
      <c r="L37" s="436" t="str">
        <f ca="1"/>
        <v>0,344563994345653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0.11419412477850101</v>
      </c>
      <c r="V37" s="460">
        <f t="shared" ca="1" si="0"/>
        <v>-1.8706268959348122E-3</v>
      </c>
      <c r="W37" s="459">
        <f t="shared" ca="1" si="1"/>
        <v>0.11485466478188433</v>
      </c>
      <c r="X37" s="461">
        <f t="shared" ca="1" si="2"/>
        <v>3.5524082823593104E-3</v>
      </c>
      <c r="Y37" s="460">
        <f t="shared" ca="1" si="3"/>
        <v>-9.4072363828396829E-5</v>
      </c>
      <c r="Z37" s="79"/>
    </row>
    <row r="38" spans="1:26" customFormat="1" ht="15.7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62" t="s">
        <v>434</v>
      </c>
      <c r="H38" s="405">
        <v>24</v>
      </c>
      <c r="I38" s="424" t="str">
        <f ca="1"/>
        <v>0,000408857802475548</v>
      </c>
      <c r="J38" s="424" t="str">
        <f ca="1"/>
        <v>0,00105385968897667</v>
      </c>
      <c r="K38" s="436" t="str">
        <f ca="1"/>
        <v>0,387962275008888</v>
      </c>
      <c r="L38" s="436" t="str">
        <f ca="1"/>
        <v>0,387962275008888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0.11419412477850101</v>
      </c>
      <c r="V38" s="460">
        <f t="shared" ca="1" si="0"/>
        <v>-2.3799450000253617E-3</v>
      </c>
      <c r="W38" s="459">
        <f t="shared" ca="1" si="1"/>
        <v>0.129320758336296</v>
      </c>
      <c r="X38" s="461">
        <f t="shared" ca="1" si="2"/>
        <v>4.5382536246755386E-3</v>
      </c>
      <c r="Y38" s="460">
        <f t="shared" ca="1" si="3"/>
        <v>-1.3476012570652837E-4</v>
      </c>
      <c r="Z38" s="79"/>
    </row>
    <row r="39" spans="1:26" customFormat="1" ht="1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469">
        <v>100</v>
      </c>
      <c r="H39" s="405">
        <v>25</v>
      </c>
      <c r="I39" s="424" t="str">
        <f ca="1"/>
        <v>0,00015535101816726</v>
      </c>
      <c r="J39" s="424" t="str">
        <f ca="1"/>
        <v>0,000537712286322189</v>
      </c>
      <c r="K39" s="436" t="str">
        <f ca="1"/>
        <v>0,288911044286937</v>
      </c>
      <c r="L39" s="436" t="str">
        <f ca="1"/>
        <v>0,288911044286937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0.11419412477850101</v>
      </c>
      <c r="V39" s="460">
        <f t="shared" ca="1" si="0"/>
        <v>-1.1995045928567356E-3</v>
      </c>
      <c r="W39" s="459">
        <f t="shared" ca="1" si="1"/>
        <v>9.6303681428978993E-2</v>
      </c>
      <c r="X39" s="461">
        <f t="shared" ca="1" si="2"/>
        <v>2.2703297905708577E-3</v>
      </c>
      <c r="Y39" s="460">
        <f t="shared" ca="1" si="3"/>
        <v>-5.0579094330438004E-5</v>
      </c>
      <c r="Z39" s="79"/>
    </row>
    <row r="40" spans="1:26" customFormat="1" ht="1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469">
        <v>100</v>
      </c>
      <c r="H40" s="405">
        <v>26</v>
      </c>
      <c r="I40" s="424" t="str">
        <f ca="1"/>
        <v>0,000698911549093228</v>
      </c>
      <c r="J40" s="424" t="str">
        <f ca="1"/>
        <v>0,00153361308877123</v>
      </c>
      <c r="K40" s="436" t="str">
        <f ca="1"/>
        <v>0,455728732501373</v>
      </c>
      <c r="L40" s="436" t="str">
        <f ca="1"/>
        <v>0,455728732501373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0.11419412477850101</v>
      </c>
      <c r="V40" s="460">
        <f t="shared" ca="1" si="0"/>
        <v>-3.4992211476423322E-3</v>
      </c>
      <c r="W40" s="459">
        <f t="shared" ca="1" si="1"/>
        <v>0.15190957750045767</v>
      </c>
      <c r="X40" s="461">
        <f t="shared" ca="1" si="2"/>
        <v>6.7050351622610941E-3</v>
      </c>
      <c r="Y40" s="460">
        <f t="shared" ca="1" si="3"/>
        <v>-2.3274630246962122E-4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469">
        <v>100</v>
      </c>
      <c r="H41" s="405">
        <v>27</v>
      </c>
      <c r="I41" s="424" t="str">
        <f ca="1"/>
        <v>0,000155404202124454</v>
      </c>
      <c r="J41" s="424" t="str">
        <f ca="1"/>
        <v>0,000537690737258626</v>
      </c>
      <c r="K41" s="436" t="str">
        <f ca="1"/>
        <v>0,289021534789255</v>
      </c>
      <c r="L41" s="436" t="str">
        <f ca="1"/>
        <v>0,289021534789255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0.11419412477850101</v>
      </c>
      <c r="V41" s="460">
        <f t="shared" ca="1" si="0"/>
        <v>-1.1994576841116221E-3</v>
      </c>
      <c r="W41" s="459">
        <f t="shared" ca="1" si="1"/>
        <v>9.6340511596418335E-2</v>
      </c>
      <c r="X41" s="461">
        <f t="shared" ca="1" si="2"/>
        <v>2.270335691125338E-3</v>
      </c>
      <c r="Y41" s="460">
        <f t="shared" ca="1" si="3"/>
        <v>-5.0596458946425827E-5</v>
      </c>
      <c r="Z41" s="79"/>
    </row>
    <row r="42" spans="1:26" customFormat="1" ht="1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469">
        <v>100</v>
      </c>
      <c r="H42" s="405">
        <v>28</v>
      </c>
      <c r="I42" s="424" t="str">
        <f ca="1"/>
        <v>0,000466971484460333</v>
      </c>
      <c r="J42" s="424" t="str">
        <f ca="1"/>
        <v>0,00116388551953945</v>
      </c>
      <c r="K42" s="436" t="str">
        <f ca="1"/>
        <v>0,401217711382056</v>
      </c>
      <c r="L42" s="436" t="str">
        <f ca="1"/>
        <v>0,401217711382056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0.11419412477850101</v>
      </c>
      <c r="V42" s="460">
        <f t="shared" ca="1" si="0"/>
        <v>-2.638152520352557E-3</v>
      </c>
      <c r="W42" s="459">
        <f t="shared" ca="1" si="1"/>
        <v>0.133739237127352</v>
      </c>
      <c r="X42" s="461">
        <f t="shared" ca="1" si="2"/>
        <v>5.0307629020791772E-3</v>
      </c>
      <c r="Y42" s="460">
        <f t="shared" ca="1" si="3"/>
        <v>-1.5448452631950876E-4</v>
      </c>
      <c r="Z42" s="79"/>
    </row>
    <row r="43" spans="1:26" customFormat="1" ht="1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469">
        <v>100</v>
      </c>
      <c r="H43" s="405">
        <v>29</v>
      </c>
      <c r="I43" s="424" t="str">
        <f ca="1"/>
        <v>0,000374798613313798</v>
      </c>
      <c r="J43" s="424" t="str">
        <f ca="1"/>
        <v>0,000987548252922617</v>
      </c>
      <c r="K43" s="436" t="str">
        <f ca="1"/>
        <v>0,37952435458682</v>
      </c>
      <c r="L43" s="436" t="str">
        <f ca="1"/>
        <v>0,37952435458682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0.11419412477850101</v>
      </c>
      <c r="V43" s="460">
        <f t="shared" ca="1" si="0"/>
        <v>-2.2253417996081983E-3</v>
      </c>
      <c r="W43" s="459">
        <f t="shared" ca="1" si="1"/>
        <v>0.12650811819560667</v>
      </c>
      <c r="X43" s="461">
        <f t="shared" ca="1" si="2"/>
        <v>4.2426690976376533E-3</v>
      </c>
      <c r="Y43" s="460">
        <f t="shared" ca="1" si="3"/>
        <v>-1.2326544993296367E-4</v>
      </c>
      <c r="Z43" s="79"/>
    </row>
    <row r="44" spans="1:26" customFormat="1" ht="1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469">
        <v>100</v>
      </c>
      <c r="H44" s="405">
        <v>30</v>
      </c>
      <c r="I44" s="424" t="str">
        <f ca="1"/>
        <v>0,000201846001427342</v>
      </c>
      <c r="J44" s="424" t="str">
        <f ca="1"/>
        <v>0,000650569806853861</v>
      </c>
      <c r="K44" s="436" t="str">
        <f ca="1"/>
        <v>0,310260327640264</v>
      </c>
      <c r="L44" s="436" t="str">
        <f ca="1"/>
        <v>0,310260327640264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0.11419412477850101</v>
      </c>
      <c r="V44" s="460">
        <f t="shared" ca="1" si="0"/>
        <v>-1.4583571690087228E-3</v>
      </c>
      <c r="W44" s="459">
        <f t="shared" ca="1" si="1"/>
        <v>0.10342010921342133</v>
      </c>
      <c r="X44" s="461">
        <f t="shared" ca="1" si="2"/>
        <v>2.7635223231889838E-3</v>
      </c>
      <c r="Y44" s="460">
        <f t="shared" ca="1" si="3"/>
        <v>-6.6038186283053592E-5</v>
      </c>
      <c r="Z44" s="79"/>
    </row>
    <row r="45" spans="1:26" customFormat="1" ht="1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469">
        <v>100</v>
      </c>
      <c r="H45" s="405">
        <v>31</v>
      </c>
      <c r="I45" s="424" t="str">
        <f ca="1"/>
        <v>0,000576450020894148</v>
      </c>
      <c r="J45" s="424" t="str">
        <f ca="1"/>
        <v>0,0013388977697656</v>
      </c>
      <c r="K45" s="436" t="str">
        <f ca="1"/>
        <v>0,430540728285078</v>
      </c>
      <c r="L45" s="436" t="str">
        <f ca="1"/>
        <v>0,430540728285078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0.11419412477850101</v>
      </c>
      <c r="V45" s="460">
        <f t="shared" ca="1" si="0"/>
        <v>-3.0421817913917973E-3</v>
      </c>
      <c r="W45" s="459">
        <f t="shared" ca="1" si="1"/>
        <v>0.14351357609502599</v>
      </c>
      <c r="X45" s="461">
        <f t="shared" ca="1" si="2"/>
        <v>5.8189609205980515E-3</v>
      </c>
      <c r="Y45" s="460">
        <f t="shared" ca="1" si="3"/>
        <v>-1.9116324454548743E-4</v>
      </c>
      <c r="Z45" s="79"/>
    </row>
    <row r="46" spans="1:26" customFormat="1" ht="1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469">
        <v>100</v>
      </c>
      <c r="H46" s="405">
        <v>32</v>
      </c>
      <c r="I46" s="424" t="str">
        <f ca="1"/>
        <v>0,000222965485582294</v>
      </c>
      <c r="J46" s="424" t="str">
        <f ca="1"/>
        <v>0,000695700765598641</v>
      </c>
      <c r="K46" s="436" t="str">
        <f ca="1"/>
        <v>0,320490499087543</v>
      </c>
      <c r="L46" s="436" t="str">
        <f ca="1"/>
        <v>0,320490499087543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0.11419412477850101</v>
      </c>
      <c r="V46" s="460">
        <f t="shared" ca="1" si="0"/>
        <v>-1.5608504178837744E-3</v>
      </c>
      <c r="W46" s="459">
        <f t="shared" ca="1" si="1"/>
        <v>0.10683016636251434</v>
      </c>
      <c r="X46" s="461">
        <f t="shared" ca="1" si="2"/>
        <v>2.9608125340120279E-3</v>
      </c>
      <c r="Y46" s="460">
        <f t="shared" ca="1" si="3"/>
        <v>-7.3009846230248572E-5</v>
      </c>
      <c r="Z46" s="79"/>
    </row>
    <row r="47" spans="1:26" customFormat="1" ht="1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469">
        <v>100</v>
      </c>
      <c r="H47" s="405">
        <v>33</v>
      </c>
      <c r="I47" s="424" t="str">
        <f ca="1"/>
        <v>0,000432848192190516</v>
      </c>
      <c r="J47" s="424" t="str">
        <f ca="1"/>
        <v>0,00109797138953696</v>
      </c>
      <c r="K47" s="436" t="str">
        <f ca="1"/>
        <v>0,394225383571295</v>
      </c>
      <c r="L47" s="436" t="str">
        <f ca="1"/>
        <v>0,394225383571295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0.11419412477850101</v>
      </c>
      <c r="V47" s="460">
        <f t="shared" ca="1" si="0"/>
        <v>-2.4826507518375634E-3</v>
      </c>
      <c r="W47" s="459">
        <f t="shared" ca="1" si="1"/>
        <v>0.13140846119043167</v>
      </c>
      <c r="X47" s="461">
        <f t="shared" ca="1" si="2"/>
        <v>4.735312079993381E-3</v>
      </c>
      <c r="Y47" s="460">
        <f t="shared" ca="1" si="3"/>
        <v>-1.4284505249505746E-4</v>
      </c>
      <c r="Z47" s="79"/>
    </row>
    <row r="48" spans="1:26" customFormat="1" ht="1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469">
        <v>100</v>
      </c>
      <c r="H48" s="405">
        <v>34</v>
      </c>
      <c r="I48" s="424" t="str">
        <f ca="1"/>
        <v>0,000195124320178807</v>
      </c>
      <c r="J48" s="424" t="str">
        <f ca="1"/>
        <v>0,000628196848834288</v>
      </c>
      <c r="K48" s="436" t="str">
        <f ca="1"/>
        <v>0,310610154350327</v>
      </c>
      <c r="L48" s="436" t="str">
        <f ca="1"/>
        <v>0,310610154350327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0.11419412477850101</v>
      </c>
      <c r="V48" s="460">
        <f t="shared" ca="1" si="0"/>
        <v>-1.4047519647539405E-3</v>
      </c>
      <c r="W48" s="459">
        <f t="shared" ca="1" si="1"/>
        <v>0.10353671811677567</v>
      </c>
      <c r="X48" s="461">
        <f t="shared" ca="1" si="2"/>
        <v>2.6649923857662958E-3</v>
      </c>
      <c r="Y48" s="460">
        <f t="shared" ca="1" si="3"/>
        <v>-6.3682526785343704E-5</v>
      </c>
      <c r="Z48" s="79"/>
    </row>
    <row r="49" spans="1:26" customFormat="1" ht="1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469">
        <v>100</v>
      </c>
      <c r="H49" s="405">
        <v>35</v>
      </c>
      <c r="I49" s="424" t="str">
        <f ca="1"/>
        <v>0,00019248649256991</v>
      </c>
      <c r="J49" s="424" t="str">
        <f ca="1"/>
        <v>0,00062793472808133</v>
      </c>
      <c r="K49" s="436" t="str">
        <f ca="1"/>
        <v>0,306539014266749</v>
      </c>
      <c r="L49" s="436" t="str">
        <f ca="1"/>
        <v>0,306539014266749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0.11419412477850101</v>
      </c>
      <c r="V49" s="460">
        <f t="shared" ca="1" si="0"/>
        <v>-1.4064592332889128E-3</v>
      </c>
      <c r="W49" s="459">
        <f t="shared" ca="1" si="1"/>
        <v>0.10217967142224967</v>
      </c>
      <c r="X49" s="461">
        <f t="shared" ca="1" si="2"/>
        <v>2.6649161319549091E-3</v>
      </c>
      <c r="Y49" s="460">
        <f t="shared" ca="1" si="3"/>
        <v>-6.2924227759091666E-5</v>
      </c>
      <c r="Z49" s="79"/>
    </row>
    <row r="50" spans="1:26" customFormat="1" ht="1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469">
        <v>100</v>
      </c>
      <c r="H50" s="405">
        <v>36</v>
      </c>
      <c r="I50" s="424" t="str">
        <f ca="1"/>
        <v>0,000350129615842398</v>
      </c>
      <c r="J50" s="424" t="str">
        <f ca="1"/>
        <v>0,000942949023168498</v>
      </c>
      <c r="K50" s="436" t="str">
        <f ca="1"/>
        <v>0,371313408508439</v>
      </c>
      <c r="L50" s="436" t="str">
        <f ca="1"/>
        <v>0,371313408508439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0.11419412477850101</v>
      </c>
      <c r="V50" s="460">
        <f t="shared" ca="1" si="0"/>
        <v>-2.1234264749997365E-3</v>
      </c>
      <c r="W50" s="459">
        <f t="shared" ca="1" si="1"/>
        <v>0.12377113616947967</v>
      </c>
      <c r="X50" s="461">
        <f t="shared" ca="1" si="2"/>
        <v>4.0455238502709141E-3</v>
      </c>
      <c r="Y50" s="460">
        <f t="shared" ca="1" si="3"/>
        <v>-1.1507549442357622E-4</v>
      </c>
      <c r="Z50" s="79"/>
    </row>
    <row r="51" spans="1:26" customFormat="1" ht="1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469">
        <v>100</v>
      </c>
      <c r="H51" s="405">
        <v>37</v>
      </c>
      <c r="I51" s="424" t="str">
        <f ca="1"/>
        <v>0,000164024193245793</v>
      </c>
      <c r="J51" s="424" t="str">
        <f ca="1"/>
        <v>0,000560374324756444</v>
      </c>
      <c r="K51" s="436" t="str">
        <f ca="1"/>
        <v>0,292704690417576</v>
      </c>
      <c r="L51" s="436" t="str">
        <f ca="1"/>
        <v>0,292704690417576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0.11419412477850101</v>
      </c>
      <c r="V51" s="460">
        <f t="shared" ca="1" si="0"/>
        <v>-1.2516469513367081E-3</v>
      </c>
      <c r="W51" s="459">
        <f t="shared" ca="1" si="1"/>
        <v>9.7568230139192011E-2</v>
      </c>
      <c r="X51" s="461">
        <f t="shared" ca="1" si="2"/>
        <v>2.368973443439362E-3</v>
      </c>
      <c r="Y51" s="460">
        <f t="shared" ca="1" si="3"/>
        <v>-5.3470779708637636E-5</v>
      </c>
      <c r="Z51" s="79"/>
    </row>
    <row r="52" spans="1:26" customFormat="1" ht="1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469">
        <v>100</v>
      </c>
      <c r="H52" s="405">
        <v>38</v>
      </c>
      <c r="I52" s="424" t="str">
        <f ca="1"/>
        <v>0,000321607885131226</v>
      </c>
      <c r="J52" s="424" t="str">
        <f ca="1"/>
        <v>0,000897718482272198</v>
      </c>
      <c r="K52" s="436" t="str">
        <f ca="1"/>
        <v>0,358250266071397</v>
      </c>
      <c r="L52" s="436" t="str">
        <f ca="1"/>
        <v>0,358250266071397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0.11419412477850101</v>
      </c>
      <c r="V52" s="460">
        <f t="shared" ca="1" si="0"/>
        <v>-2.0233266085317395E-3</v>
      </c>
      <c r="W52" s="459">
        <f t="shared" ca="1" si="1"/>
        <v>0.11941675535713232</v>
      </c>
      <c r="X52" s="461">
        <f t="shared" ca="1" si="2"/>
        <v>3.8482338189701304E-3</v>
      </c>
      <c r="Y52" s="460">
        <f t="shared" ca="1" si="3"/>
        <v>-1.057931391335907E-4</v>
      </c>
      <c r="Z52" s="79"/>
    </row>
    <row r="53" spans="1:26" customFormat="1" ht="1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469">
        <v>100</v>
      </c>
      <c r="H53" s="405">
        <v>39</v>
      </c>
      <c r="I53" s="424" t="str">
        <f ca="1"/>
        <v>0,000211674031205966</v>
      </c>
      <c r="J53" s="424" t="str">
        <f ca="1"/>
        <v>0,000673025354730098</v>
      </c>
      <c r="K53" s="436" t="str">
        <f ca="1"/>
        <v>0,314511228616124</v>
      </c>
      <c r="L53" s="436" t="str">
        <f ca="1"/>
        <v>0,314511228616124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0.11419412477850101</v>
      </c>
      <c r="V53" s="460">
        <f t="shared" ca="1" si="0"/>
        <v>-1.5102136792317601E-3</v>
      </c>
      <c r="W53" s="459">
        <f t="shared" ca="1" si="1"/>
        <v>0.10483707620537468</v>
      </c>
      <c r="X53" s="461">
        <f t="shared" ca="1" si="2"/>
        <v>2.862159347619363E-3</v>
      </c>
      <c r="Y53" s="460">
        <f t="shared" ca="1" si="3"/>
        <v>-6.9323350427668938E-5</v>
      </c>
      <c r="Z53" s="79"/>
    </row>
    <row r="54" spans="1:26" customFormat="1" ht="1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469">
        <v>100</v>
      </c>
      <c r="H54" s="405">
        <v>40</v>
      </c>
      <c r="I54" s="424" t="str">
        <f ca="1"/>
        <v>0,000874664844701134</v>
      </c>
      <c r="J54" s="424" t="str">
        <f ca="1"/>
        <v>0,00178947725903894</v>
      </c>
      <c r="K54" s="436" t="str">
        <f ca="1"/>
        <v>0,488782319128706</v>
      </c>
      <c r="L54" s="436" t="str">
        <f ca="1"/>
        <v>0,488782319128706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0.11419412477850101</v>
      </c>
      <c r="V54" s="460">
        <f t="shared" ca="1" si="0"/>
        <v>-4.1016812696969924E-3</v>
      </c>
      <c r="W54" s="459">
        <f t="shared" ca="1" si="1"/>
        <v>0.16292743970956866</v>
      </c>
      <c r="X54" s="461">
        <f t="shared" ca="1" si="2"/>
        <v>7.8860282464199797E-3</v>
      </c>
      <c r="Y54" s="460">
        <f t="shared" ca="1" si="3"/>
        <v>-2.9260543354251334E-4</v>
      </c>
      <c r="Z54" s="79"/>
    </row>
    <row r="55" spans="1:26" customFormat="1" ht="1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469">
        <v>100</v>
      </c>
      <c r="H55" s="405">
        <v>41</v>
      </c>
      <c r="I55" s="424" t="str">
        <f ca="1"/>
        <v>0,000201770992587002</v>
      </c>
      <c r="J55" s="424" t="str">
        <f ca="1"/>
        <v>0,000650584013006968</v>
      </c>
      <c r="K55" s="436" t="str">
        <f ca="1"/>
        <v>0,31013825816965</v>
      </c>
      <c r="L55" s="436" t="str">
        <f ca="1"/>
        <v>0,31013825816965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0.11419412477850101</v>
      </c>
      <c r="V55" s="460">
        <f t="shared" ca="1" si="0"/>
        <v>-1.4585507667855082E-3</v>
      </c>
      <c r="W55" s="459">
        <f t="shared" ca="1" si="1"/>
        <v>0.10337941938988333</v>
      </c>
      <c r="X55" s="461">
        <f t="shared" ca="1" si="2"/>
        <v>2.7635229107295842E-3</v>
      </c>
      <c r="Y55" s="460">
        <f t="shared" ca="1" si="3"/>
        <v>-6.6020967240401659E-5</v>
      </c>
      <c r="Z55" s="79"/>
    </row>
    <row r="56" spans="1:26" customFormat="1" ht="1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469">
        <v>100</v>
      </c>
      <c r="H56" s="405">
        <v>42</v>
      </c>
      <c r="I56" s="424" t="str">
        <f ca="1"/>
        <v>0,000201589466329022</v>
      </c>
      <c r="J56" s="424" t="str">
        <f ca="1"/>
        <v>0,000650627709424151</v>
      </c>
      <c r="K56" s="436" t="str">
        <f ca="1"/>
        <v>0,309838427427941</v>
      </c>
      <c r="L56" s="436" t="str">
        <f ca="1"/>
        <v>0,309838427427941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0.11419412477850101</v>
      </c>
      <c r="V56" s="460">
        <f t="shared" ca="1" si="0"/>
        <v>-1.4588157259054675E-3</v>
      </c>
      <c r="W56" s="459">
        <f t="shared" ca="1" si="1"/>
        <v>0.10327947580931367</v>
      </c>
      <c r="X56" s="461">
        <f t="shared" ca="1" si="2"/>
        <v>2.7635157367081119E-3</v>
      </c>
      <c r="Y56" s="460">
        <f t="shared" ca="1" si="3"/>
        <v>-6.596912221453693E-5</v>
      </c>
      <c r="Z56" s="79"/>
    </row>
    <row r="57" spans="1:26" customFormat="1" ht="1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469">
        <v>100</v>
      </c>
      <c r="H57" s="405">
        <v>43</v>
      </c>
      <c r="I57" s="424" t="str">
        <f ca="1"/>
        <v>0,00013756390112738</v>
      </c>
      <c r="J57" s="424" t="str">
        <f ca="1"/>
        <v>0,000492466823024791</v>
      </c>
      <c r="K57" s="436" t="str">
        <f ca="1"/>
        <v>0,279336383073373</v>
      </c>
      <c r="L57" s="436" t="str">
        <f ca="1"/>
        <v>0,279336383073373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0.11419412477850101</v>
      </c>
      <c r="V57" s="460">
        <f t="shared" ca="1" si="0"/>
        <v>-1.0959907952967165E-3</v>
      </c>
      <c r="W57" s="459">
        <f t="shared" ca="1" si="1"/>
        <v>9.3112127691124327E-2</v>
      </c>
      <c r="X57" s="461">
        <f t="shared" ca="1" si="2"/>
        <v>2.0730082169792339E-3</v>
      </c>
      <c r="Y57" s="460">
        <f t="shared" ca="1" si="3"/>
        <v>-4.4682699341103646E-5</v>
      </c>
      <c r="Z57" s="79"/>
    </row>
    <row r="58" spans="1:26" customFormat="1" ht="1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469">
        <v>100</v>
      </c>
      <c r="H58" s="405">
        <v>44</v>
      </c>
      <c r="I58" s="424" t="str">
        <f ca="1"/>
        <v>0,000265800151870011</v>
      </c>
      <c r="J58" s="424" t="str">
        <f ca="1"/>
        <v>0,000785891676094036</v>
      </c>
      <c r="K58" s="436" t="str">
        <f ca="1"/>
        <v>0,338214743781313</v>
      </c>
      <c r="L58" s="436" t="str">
        <f ca="1"/>
        <v>0,338214743781313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0.11419412477850101</v>
      </c>
      <c r="V58" s="460">
        <f t="shared" ca="1" si="0"/>
        <v>-1.7666667660461951E-3</v>
      </c>
      <c r="W58" s="459">
        <f t="shared" ca="1" si="1"/>
        <v>0.11273824792710434</v>
      </c>
      <c r="X58" s="461">
        <f t="shared" ca="1" si="2"/>
        <v>3.3552647577435096E-3</v>
      </c>
      <c r="Y58" s="460">
        <f t="shared" ca="1" si="3"/>
        <v>-8.7207164230829545E-5</v>
      </c>
      <c r="Z58" s="79"/>
    </row>
    <row r="59" spans="1:26" customFormat="1" ht="1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469">
        <v>100</v>
      </c>
      <c r="H59" s="405">
        <v>45</v>
      </c>
      <c r="I59" s="424" t="str">
        <f ca="1"/>
        <v>0,000288648038830086</v>
      </c>
      <c r="J59" s="424" t="str">
        <f ca="1"/>
        <v>0,000830815179039314</v>
      </c>
      <c r="K59" s="436" t="str">
        <f ca="1"/>
        <v>0,347427497850791</v>
      </c>
      <c r="L59" s="436" t="str">
        <f ca="1"/>
        <v>0,347427497850791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0.11419412477850101</v>
      </c>
      <c r="V59" s="460">
        <f t="shared" ca="1" si="0"/>
        <v>-1.8689251246811883E-3</v>
      </c>
      <c r="W59" s="459">
        <f t="shared" ca="1" si="1"/>
        <v>0.11580916595026368</v>
      </c>
      <c r="X59" s="461">
        <f t="shared" ca="1" si="2"/>
        <v>3.5524942811222399E-3</v>
      </c>
      <c r="Y59" s="460">
        <f t="shared" ca="1" si="3"/>
        <v>-9.4767861451997229E-5</v>
      </c>
      <c r="Z59" s="79"/>
    </row>
    <row r="60" spans="1:26" customFormat="1" ht="1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469">
        <v>100</v>
      </c>
      <c r="H60" s="405">
        <v>46</v>
      </c>
      <c r="I60" s="424" t="str">
        <f ca="1"/>
        <v>0,000274204288312152</v>
      </c>
      <c r="J60" s="424" t="str">
        <f ca="1"/>
        <v>0,000807996436938223</v>
      </c>
      <c r="K60" s="436" t="str">
        <f ca="1"/>
        <v>0,339363239460816</v>
      </c>
      <c r="L60" s="436" t="str">
        <f ca="1"/>
        <v>0,339363239460816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0.11419412477850101</v>
      </c>
      <c r="V60" s="460">
        <f t="shared" ca="1" si="0"/>
        <v>-1.8197868686034688E-3</v>
      </c>
      <c r="W60" s="459">
        <f t="shared" ca="1" si="1"/>
        <v>0.11312107982027199</v>
      </c>
      <c r="X60" s="461">
        <f t="shared" ca="1" si="2"/>
        <v>3.4537923013663627E-3</v>
      </c>
      <c r="Y60" s="460">
        <f t="shared" ca="1" si="3"/>
        <v>-9.0134346236494012E-5</v>
      </c>
      <c r="Z60" s="79"/>
    </row>
    <row r="61" spans="1:26" customFormat="1" ht="1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469">
        <v>100</v>
      </c>
      <c r="H61" s="405">
        <v>47</v>
      </c>
      <c r="I61" s="424" t="str">
        <f ca="1"/>
        <v>0,000397106487861043</v>
      </c>
      <c r="J61" s="424" t="str">
        <f ca="1"/>
        <v>0,00103182196306623</v>
      </c>
      <c r="K61" s="436" t="str">
        <f ca="1"/>
        <v>0,384859502971787</v>
      </c>
      <c r="L61" s="436" t="str">
        <f ca="1"/>
        <v>0,384859502971787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0.11419412477850101</v>
      </c>
      <c r="V61" s="460">
        <f t="shared" ca="1" si="0"/>
        <v>-2.3286308127295208E-3</v>
      </c>
      <c r="W61" s="459">
        <f t="shared" ca="1" si="1"/>
        <v>0.12828650099059566</v>
      </c>
      <c r="X61" s="461">
        <f t="shared" ca="1" si="2"/>
        <v>4.4397112058501232E-3</v>
      </c>
      <c r="Y61" s="460">
        <f t="shared" ca="1" si="3"/>
        <v>-1.308000300555736E-4</v>
      </c>
      <c r="Z61" s="79"/>
    </row>
    <row r="62" spans="1:26" customFormat="1" ht="1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469">
        <v>100</v>
      </c>
      <c r="H62" s="405">
        <v>48</v>
      </c>
      <c r="I62" s="424" t="str">
        <f ca="1"/>
        <v>0,000312246875602606</v>
      </c>
      <c r="J62" s="424" t="str">
        <f ca="1"/>
        <v>0,000875804169184563</v>
      </c>
      <c r="K62" s="436" t="str">
        <f ca="1"/>
        <v>0,356525906805548</v>
      </c>
      <c r="L62" s="436" t="str">
        <f ca="1"/>
        <v>0,356525906805548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0.11419412477850101</v>
      </c>
      <c r="V62" s="460">
        <f t="shared" ca="1" si="0"/>
        <v>-1.9712866211800345E-3</v>
      </c>
      <c r="W62" s="459">
        <f t="shared" ca="1" si="1"/>
        <v>0.11884196893518267</v>
      </c>
      <c r="X62" s="461">
        <f t="shared" ca="1" si="2"/>
        <v>3.7496865912844345E-3</v>
      </c>
      <c r="Y62" s="460">
        <f t="shared" ca="1" si="3"/>
        <v>-1.02576023000758E-4</v>
      </c>
      <c r="Z62" s="79"/>
    </row>
    <row r="63" spans="1:26" customFormat="1" ht="1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469">
        <v>100</v>
      </c>
      <c r="H63" s="405">
        <v>49</v>
      </c>
      <c r="I63" s="424" t="str">
        <f ca="1"/>
        <v>0,000147233884422882</v>
      </c>
      <c r="J63" s="424" t="str">
        <f ca="1"/>
        <v>0,000514924365523376</v>
      </c>
      <c r="K63" s="436" t="str">
        <f ca="1"/>
        <v>0,285933030714582</v>
      </c>
      <c r="L63" s="436" t="str">
        <f ca="1"/>
        <v>0,285933030714582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0.11419412477850101</v>
      </c>
      <c r="V63" s="460">
        <f t="shared" ca="1" si="0"/>
        <v>-1.1471458132075389E-3</v>
      </c>
      <c r="W63" s="459">
        <f t="shared" ca="1" si="1"/>
        <v>9.5311010238193994E-2</v>
      </c>
      <c r="X63" s="461">
        <f t="shared" ca="1" si="2"/>
        <v>2.171700899288411E-3</v>
      </c>
      <c r="Y63" s="460">
        <f t="shared" ca="1" si="3"/>
        <v>-4.7872702102406811E-5</v>
      </c>
      <c r="Z63" s="79"/>
    </row>
    <row r="64" spans="1:26" customFormat="1" ht="1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469">
        <v>100</v>
      </c>
      <c r="H64" s="405">
        <v>50</v>
      </c>
      <c r="I64" s="424" t="str">
        <f ca="1"/>
        <v>0,000165274272239646</v>
      </c>
      <c r="J64" s="424" t="str">
        <f ca="1"/>
        <v>0,000560040784175751</v>
      </c>
      <c r="K64" s="436" t="str">
        <f ca="1"/>
        <v>0,295111136384274</v>
      </c>
      <c r="L64" s="436" t="str">
        <f ca="1"/>
        <v>0,295111136384274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0.11419412477850101</v>
      </c>
      <c r="V64" s="460">
        <f t="shared" ca="1" si="0"/>
        <v>-1.2505140211027063E-3</v>
      </c>
      <c r="W64" s="459">
        <f t="shared" ca="1" si="1"/>
        <v>9.8370378794758004E-2</v>
      </c>
      <c r="X64" s="461">
        <f t="shared" ca="1" si="2"/>
        <v>2.3690311902503504E-3</v>
      </c>
      <c r="Y64" s="460">
        <f t="shared" ca="1" si="3"/>
        <v>-5.3861587968135366E-5</v>
      </c>
      <c r="Z64" s="79"/>
    </row>
    <row r="65" spans="1:26" customFormat="1" ht="1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469">
        <v>100</v>
      </c>
      <c r="H65" s="405">
        <v>51</v>
      </c>
      <c r="I65" s="424" t="str">
        <f ca="1"/>
        <v>0,000192000905208545</v>
      </c>
      <c r="J65" s="424" t="str">
        <f ca="1"/>
        <v>0,000628082904774213</v>
      </c>
      <c r="K65" s="436" t="str">
        <f ca="1"/>
        <v>0,305693569669066</v>
      </c>
      <c r="L65" s="436" t="str">
        <f ca="1"/>
        <v>0,305693569669066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0.11419412477850101</v>
      </c>
      <c r="V65" s="460">
        <f t="shared" ca="1" si="0"/>
        <v>-1.4069464699688274E-3</v>
      </c>
      <c r="W65" s="459">
        <f t="shared" ca="1" si="1"/>
        <v>0.10189785655635535</v>
      </c>
      <c r="X65" s="461">
        <f t="shared" ca="1" si="2"/>
        <v>2.6648915911772369E-3</v>
      </c>
      <c r="Y65" s="460">
        <f t="shared" ca="1" si="3"/>
        <v>-6.2772419271759619E-5</v>
      </c>
      <c r="Z65" s="79"/>
    </row>
    <row r="66" spans="1:26" customFormat="1" ht="1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469">
        <v>100</v>
      </c>
      <c r="H66" s="405">
        <v>52</v>
      </c>
      <c r="I66" s="424" t="str">
        <f ca="1"/>
        <v>0,000223232857812339</v>
      </c>
      <c r="J66" s="424" t="str">
        <f ca="1"/>
        <v>0,000695707621535568</v>
      </c>
      <c r="K66" s="436" t="str">
        <f ca="1"/>
        <v>0,320871657722563</v>
      </c>
      <c r="L66" s="436" t="str">
        <f ca="1"/>
        <v>0,320871657722563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0.11419412477850101</v>
      </c>
      <c r="V66" s="460">
        <f t="shared" ca="1" si="0"/>
        <v>-1.5607306227281089E-3</v>
      </c>
      <c r="W66" s="459">
        <f t="shared" ca="1" si="1"/>
        <v>0.10695721924085433</v>
      </c>
      <c r="X66" s="461">
        <f t="shared" ca="1" si="2"/>
        <v>2.9608170552466225E-3</v>
      </c>
      <c r="Y66" s="460">
        <f t="shared" ca="1" si="3"/>
        <v>-7.3091066512763933E-5</v>
      </c>
      <c r="Z66" s="79"/>
    </row>
    <row r="67" spans="1:26" customFormat="1" ht="1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469">
        <v>100</v>
      </c>
      <c r="H67" s="405">
        <v>53</v>
      </c>
      <c r="I67" s="424" t="str">
        <f ca="1"/>
        <v>0,000154773695877642</v>
      </c>
      <c r="J67" s="424" t="str">
        <f ca="1"/>
        <v>0,000537809439795726</v>
      </c>
      <c r="K67" s="436" t="str">
        <f ca="1"/>
        <v>0,287785383492765</v>
      </c>
      <c r="L67" s="436" t="str">
        <f ca="1"/>
        <v>0,287785383492765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0.11419412477850101</v>
      </c>
      <c r="V67" s="460">
        <f t="shared" ca="1" si="0"/>
        <v>-1.1998471044357987E-3</v>
      </c>
      <c r="W67" s="459">
        <f t="shared" ca="1" si="1"/>
        <v>9.5928461164255005E-2</v>
      </c>
      <c r="X67" s="461">
        <f t="shared" ca="1" si="2"/>
        <v>2.2703142337067773E-3</v>
      </c>
      <c r="Y67" s="460">
        <f t="shared" ca="1" si="3"/>
        <v>-5.0396413381235109E-5</v>
      </c>
      <c r="Z67" s="79"/>
    </row>
    <row r="68" spans="1:26" customFormat="1" ht="1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469">
        <v>100</v>
      </c>
      <c r="H68" s="405">
        <v>54</v>
      </c>
      <c r="I68" s="424" t="str">
        <f ca="1"/>
        <v>0,000128912093483224</v>
      </c>
      <c r="J68" s="424" t="str">
        <f ca="1"/>
        <v>0,000469798800861466</v>
      </c>
      <c r="K68" s="436" t="str">
        <f ca="1"/>
        <v>0,274398515379007</v>
      </c>
      <c r="L68" s="436" t="str">
        <f ca="1"/>
        <v>0,274398515379007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0.11419412477850101</v>
      </c>
      <c r="V68" s="460">
        <f t="shared" ca="1" si="0"/>
        <v>-1.0441622832763513E-3</v>
      </c>
      <c r="W68" s="459">
        <f t="shared" ca="1" si="1"/>
        <v>9.1466171793002329E-2</v>
      </c>
      <c r="X68" s="461">
        <f t="shared" ca="1" si="2"/>
        <v>1.974342614012697E-3</v>
      </c>
      <c r="Y68" s="460">
        <f t="shared" ca="1" si="3"/>
        <v>-4.1817180598028865E-5</v>
      </c>
      <c r="Z68" s="79"/>
    </row>
    <row r="69" spans="1:26" customFormat="1" ht="1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469">
        <v>100</v>
      </c>
      <c r="H69" s="405">
        <v>55</v>
      </c>
      <c r="I69" s="424" t="str">
        <f ca="1"/>
        <v>0,000137485672797166</v>
      </c>
      <c r="J69" s="424" t="str">
        <f ca="1"/>
        <v>0,000492456646427707</v>
      </c>
      <c r="K69" s="436" t="str">
        <f ca="1"/>
        <v>0,279183302316032</v>
      </c>
      <c r="L69" s="436" t="str">
        <f ca="1"/>
        <v>0,279183302316032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0.11419412477850101</v>
      </c>
      <c r="V69" s="460">
        <f t="shared" ca="1" si="0"/>
        <v>-1.0959688388739864E-3</v>
      </c>
      <c r="W69" s="459">
        <f t="shared" ca="1" si="1"/>
        <v>9.3061100772010671E-2</v>
      </c>
      <c r="X69" s="461">
        <f t="shared" ca="1" si="2"/>
        <v>2.0730114932653618E-3</v>
      </c>
      <c r="Y69" s="460">
        <f t="shared" ca="1" si="3"/>
        <v>-4.4657317859069702E-5</v>
      </c>
      <c r="Z69" s="79"/>
    </row>
    <row r="70" spans="1:26" customFormat="1" ht="1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469">
        <v>100</v>
      </c>
      <c r="H70" s="405">
        <v>56</v>
      </c>
      <c r="I70" s="424" t="str">
        <f ca="1"/>
        <v>0,000234712162261519</v>
      </c>
      <c r="J70" s="424" t="str">
        <f ca="1"/>
        <v>0,000718344522640528</v>
      </c>
      <c r="K70" s="436" t="str">
        <f ca="1"/>
        <v>0,32674037994854</v>
      </c>
      <c r="L70" s="436" t="str">
        <f ca="1"/>
        <v>0,32674037994854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0.11419412477850101</v>
      </c>
      <c r="V70" s="460">
        <f t="shared" ca="1" si="0"/>
        <v>-1.6114693516316124E-3</v>
      </c>
      <c r="W70" s="459">
        <f t="shared" ca="1" si="1"/>
        <v>0.10891345998284667</v>
      </c>
      <c r="X70" s="461">
        <f t="shared" ca="1" si="2"/>
        <v>3.0594851223022593E-3</v>
      </c>
      <c r="Y70" s="460">
        <f t="shared" ca="1" si="3"/>
        <v>-7.6847518680556775E-5</v>
      </c>
      <c r="Z70" s="79"/>
    </row>
    <row r="71" spans="1:26" customFormat="1" ht="1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469">
        <v>100</v>
      </c>
      <c r="H71" s="405">
        <v>57</v>
      </c>
      <c r="I71" s="424" t="str">
        <f ca="1"/>
        <v>0,000519457699511027</v>
      </c>
      <c r="J71" s="424" t="str">
        <f ca="1"/>
        <v>0,00125163282450356</v>
      </c>
      <c r="K71" s="436" t="str">
        <f ca="1"/>
        <v>0,41502403048359</v>
      </c>
      <c r="L71" s="436" t="str">
        <f ca="1"/>
        <v>0,41502403048359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0.11419412477850101</v>
      </c>
      <c r="V71" s="460">
        <f t="shared" ca="1" si="0"/>
        <v>-2.8412479969905906E-3</v>
      </c>
      <c r="W71" s="459">
        <f t="shared" ca="1" si="1"/>
        <v>0.13834134349453001</v>
      </c>
      <c r="X71" s="461">
        <f t="shared" ca="1" si="2"/>
        <v>5.4248358513194362E-3</v>
      </c>
      <c r="Y71" s="460">
        <f t="shared" ca="1" si="3"/>
        <v>-1.7210257789848318E-4</v>
      </c>
      <c r="Z71" s="79"/>
    </row>
    <row r="72" spans="1:26" customFormat="1" ht="1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469">
        <v>100</v>
      </c>
      <c r="H72" s="405">
        <v>58</v>
      </c>
      <c r="I72" s="424" t="str">
        <f ca="1"/>
        <v>0,000589740588790976</v>
      </c>
      <c r="J72" s="424" t="str">
        <f ca="1"/>
        <v>0,00136088515179267</v>
      </c>
      <c r="K72" s="436" t="str">
        <f ca="1"/>
        <v>0,433350740886636</v>
      </c>
      <c r="L72" s="436" t="str">
        <f ca="1"/>
        <v>0,433350740886636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0.11419412477850101</v>
      </c>
      <c r="V72" s="460">
        <f t="shared" ca="1" si="0"/>
        <v>-3.0925693314060717E-3</v>
      </c>
      <c r="W72" s="459">
        <f t="shared" ca="1" si="1"/>
        <v>0.14445024696221201</v>
      </c>
      <c r="X72" s="461">
        <f t="shared" ca="1" si="2"/>
        <v>5.9173649641498741E-3</v>
      </c>
      <c r="Y72" s="460">
        <f t="shared" ca="1" si="3"/>
        <v>-1.9559780528808482E-4</v>
      </c>
      <c r="Z72" s="79"/>
    </row>
    <row r="73" spans="1:26" customFormat="1" ht="1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469">
        <v>100</v>
      </c>
      <c r="H73" s="405">
        <v>59</v>
      </c>
      <c r="I73" s="424" t="str">
        <f ca="1"/>
        <v>0,000274280992293629</v>
      </c>
      <c r="J73" s="424" t="str">
        <f ca="1"/>
        <v>0,000807931764180678</v>
      </c>
      <c r="K73" s="436" t="str">
        <f ca="1"/>
        <v>0,339485343260117</v>
      </c>
      <c r="L73" s="436" t="str">
        <f ca="1"/>
        <v>0,339485343260117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0.11419412477850101</v>
      </c>
      <c r="V73" s="460">
        <f t="shared" ca="1" si="0"/>
        <v>-1.8196417414678102E-3</v>
      </c>
      <c r="W73" s="459">
        <f t="shared" ca="1" si="1"/>
        <v>0.11316178108670566</v>
      </c>
      <c r="X73" s="461">
        <f t="shared" ca="1" si="2"/>
        <v>3.4538049963784329E-3</v>
      </c>
      <c r="Y73" s="460">
        <f t="shared" ca="1" si="3"/>
        <v>-9.0159586057346439E-5</v>
      </c>
      <c r="Z73" s="79"/>
    </row>
    <row r="74" spans="1:26" customFormat="1" ht="1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469">
        <v>100</v>
      </c>
      <c r="H74" s="405">
        <v>60</v>
      </c>
      <c r="I74" s="424" t="str">
        <f ca="1"/>
        <v>0,000224552802637668</v>
      </c>
      <c r="J74" s="424" t="str">
        <f ca="1"/>
        <v>0,000695744606541704</v>
      </c>
      <c r="K74" s="436" t="str">
        <f ca="1"/>
        <v>0,322751769149658</v>
      </c>
      <c r="L74" s="436" t="str">
        <f ca="1"/>
        <v>0,322751769149658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0.11419412477850101</v>
      </c>
      <c r="V74" s="460">
        <f t="shared" ca="1" si="0"/>
        <v>-1.5597260333509279E-3</v>
      </c>
      <c r="W74" s="459">
        <f t="shared" ca="1" si="1"/>
        <v>0.107583923049886</v>
      </c>
      <c r="X74" s="461">
        <f t="shared" ca="1" si="2"/>
        <v>2.9608816083194628E-3</v>
      </c>
      <c r="Y74" s="460">
        <f t="shared" ca="1" si="3"/>
        <v>-7.3472013501749744E-5</v>
      </c>
      <c r="Z74" s="79"/>
    </row>
    <row r="75" spans="1:26" customFormat="1" ht="1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469">
        <v>100</v>
      </c>
      <c r="H75" s="405">
        <v>61</v>
      </c>
      <c r="I75" s="424" t="str">
        <f ca="1"/>
        <v>0,000417489206176591</v>
      </c>
      <c r="J75" s="424" t="str">
        <f ca="1"/>
        <v>0,00107569927118807</v>
      </c>
      <c r="K75" s="436" t="str">
        <f ca="1"/>
        <v>0,388109592856273</v>
      </c>
      <c r="L75" s="436" t="str">
        <f ca="1"/>
        <v>0,388109592856273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0.11419412477850101</v>
      </c>
      <c r="V75" s="460">
        <f t="shared" ca="1" si="0"/>
        <v>-2.4334976059518973E-3</v>
      </c>
      <c r="W75" s="459">
        <f t="shared" ca="1" si="1"/>
        <v>0.12936986428542432</v>
      </c>
      <c r="X75" s="461">
        <f t="shared" ca="1" si="2"/>
        <v>4.6366787698773814E-3</v>
      </c>
      <c r="Y75" s="460">
        <f t="shared" ca="1" si="3"/>
        <v>-1.3784476899820884E-4</v>
      </c>
      <c r="Z75" s="79"/>
    </row>
    <row r="76" spans="1:26" customFormat="1" ht="1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469">
        <v>100</v>
      </c>
      <c r="H76" s="405">
        <v>62</v>
      </c>
      <c r="I76" s="424" t="str">
        <f ca="1"/>
        <v>0,00016372419340458</v>
      </c>
      <c r="J76" s="424" t="str">
        <f ca="1"/>
        <v>0,000560414466411024</v>
      </c>
      <c r="K76" s="436" t="str">
        <f ca="1"/>
        <v>0,292148406612509</v>
      </c>
      <c r="L76" s="436" t="str">
        <f ca="1"/>
        <v>0,292148406612509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0.11419412477850101</v>
      </c>
      <c r="V76" s="460">
        <f t="shared" ca="1" si="0"/>
        <v>-1.2518807128716588E-3</v>
      </c>
      <c r="W76" s="459">
        <f t="shared" ca="1" si="1"/>
        <v>9.7382802204169672E-2</v>
      </c>
      <c r="X76" s="461">
        <f t="shared" ca="1" si="2"/>
        <v>2.3689689426727454E-3</v>
      </c>
      <c r="Y76" s="460">
        <f t="shared" ca="1" si="3"/>
        <v>-5.3379126150870029E-5</v>
      </c>
      <c r="Z76" s="79"/>
    </row>
    <row r="77" spans="1:26" customFormat="1" ht="1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469">
        <v>100</v>
      </c>
      <c r="H77" s="405">
        <v>63</v>
      </c>
      <c r="I77" s="424" t="str">
        <f ca="1"/>
        <v>0,000266485699475582</v>
      </c>
      <c r="J77" s="424" t="str">
        <f ca="1"/>
        <v>0,000785966384723445</v>
      </c>
      <c r="K77" s="436" t="str">
        <f ca="1"/>
        <v>0,339054830658374</v>
      </c>
      <c r="L77" s="436" t="str">
        <f ca="1"/>
        <v>0,339054830658374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0.11419412477850101</v>
      </c>
      <c r="V77" s="460">
        <f t="shared" ca="1" si="0"/>
        <v>-1.7661726231924936E-3</v>
      </c>
      <c r="W77" s="459">
        <f t="shared" ca="1" si="1"/>
        <v>0.11301827688612466</v>
      </c>
      <c r="X77" s="461">
        <f t="shared" ca="1" si="2"/>
        <v>3.355290938064926E-3</v>
      </c>
      <c r="Y77" s="460">
        <f t="shared" ca="1" si="3"/>
        <v>-8.7399324152551543E-5</v>
      </c>
      <c r="Z77" s="79"/>
    </row>
    <row r="78" spans="1:26" customFormat="1" ht="1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469">
        <v>100</v>
      </c>
      <c r="H78" s="405">
        <v>64</v>
      </c>
      <c r="I78" s="424" t="str">
        <f ca="1"/>
        <v>0,000105602128335591</v>
      </c>
      <c r="J78" s="424" t="str">
        <f ca="1"/>
        <v>0,000472369330694297</v>
      </c>
      <c r="K78" s="436" t="str">
        <f ca="1"/>
        <v>0,22355839271016</v>
      </c>
      <c r="L78" s="436" t="str">
        <f ca="1"/>
        <v>0,22355839271016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0.11419412477850101</v>
      </c>
      <c r="V78" s="460">
        <f t="shared" ca="1" si="0"/>
        <v>-6.8009441135897586E-4</v>
      </c>
      <c r="W78" s="459">
        <f t="shared" ca="1" si="1"/>
        <v>7.4519464236719998E-2</v>
      </c>
      <c r="X78" s="461">
        <f t="shared" ca="1" si="2"/>
        <v>1.2835428461564565E-3</v>
      </c>
      <c r="Y78" s="460">
        <f t="shared" ca="1" si="3"/>
        <v>-2.2190402204649918E-5</v>
      </c>
      <c r="Z78" s="79"/>
    </row>
    <row r="79" spans="1:26" customFormat="1" ht="1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469">
        <v>100</v>
      </c>
      <c r="H79" s="405">
        <v>65</v>
      </c>
      <c r="I79" s="424" t="str">
        <f ca="1"/>
        <v>0,000225600370490797</v>
      </c>
      <c r="J79" s="424" t="str">
        <f ca="1"/>
        <v>0,000696054171478358</v>
      </c>
      <c r="K79" s="436" t="str">
        <f ca="1"/>
        <v>0,324113236778169</v>
      </c>
      <c r="L79" s="436" t="str">
        <f ca="1"/>
        <v>0,324113236778169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0.11419412477850101</v>
      </c>
      <c r="V79" s="460">
        <f t="shared" ca="1" si="0"/>
        <v>-1.5594035491484121E-3</v>
      </c>
      <c r="W79" s="459">
        <f t="shared" ca="1" si="1"/>
        <v>0.108037745592723</v>
      </c>
      <c r="X79" s="461">
        <f t="shared" ca="1" si="2"/>
        <v>2.9608900770114899E-3</v>
      </c>
      <c r="Y79" s="460">
        <f t="shared" ca="1" si="3"/>
        <v>-7.3766686441211556E-5</v>
      </c>
      <c r="Z79" s="79"/>
    </row>
    <row r="80" spans="1:26" customFormat="1" ht="1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469">
        <v>100</v>
      </c>
      <c r="H80" s="405">
        <v>66</v>
      </c>
      <c r="I80" s="424" t="str">
        <f ca="1"/>
        <v>0,00123842422578963</v>
      </c>
      <c r="J80" s="424" t="str">
        <f ca="1"/>
        <v>0,00228227316326905</v>
      </c>
      <c r="K80" s="436" t="str">
        <f ca="1"/>
        <v>0,542627519668046</v>
      </c>
      <c r="L80" s="436" t="str">
        <f ca="1"/>
        <v>0,542627519668046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0.11419412477850101</v>
      </c>
      <c r="V80" s="460">
        <f t="shared" ref="V80:V143" ca="1" si="6">IF($Q$12,IF(U80="","",U80*($V$10-S80)*T80),"")</f>
        <v>-5.2444060109505634E-3</v>
      </c>
      <c r="W80" s="459">
        <f t="shared" ref="W80:W143" ca="1" si="7">IF($Q$12,IF(OR(P80="",L80=""),"",L80/($C$20-$C$19)),"")</f>
        <v>0.18087583988934866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-4.1533938098452011E-4</v>
      </c>
      <c r="Z80" s="79"/>
    </row>
    <row r="81" spans="1:26" customFormat="1" ht="1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469">
        <v>100</v>
      </c>
      <c r="H81" s="405">
        <v>67</v>
      </c>
      <c r="I81" s="424" t="str">
        <f ca="1"/>
        <v>0,00033298808276454</v>
      </c>
      <c r="J81" s="424" t="str">
        <f ca="1"/>
        <v>0,000920142909471423</v>
      </c>
      <c r="K81" s="436" t="str">
        <f ca="1"/>
        <v>0,361887353950079</v>
      </c>
      <c r="L81" s="436" t="str">
        <f ca="1"/>
        <v>0,361887353950079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0.11419412477850101</v>
      </c>
      <c r="V81" s="460">
        <f t="shared" ca="1" si="6"/>
        <v>-2.0751001319211644E-3</v>
      </c>
      <c r="W81" s="459">
        <f t="shared" ca="1" si="7"/>
        <v>0.12062911798335967</v>
      </c>
      <c r="X81" s="461">
        <f t="shared" ca="1" si="8"/>
        <v>3.9467856910058042E-3</v>
      </c>
      <c r="Y81" s="460">
        <f t="shared" ca="1" si="9"/>
        <v>-1.0960174138833183E-4</v>
      </c>
      <c r="Z81" s="79"/>
    </row>
    <row r="82" spans="1:26" customFormat="1" ht="1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469">
        <v>100</v>
      </c>
      <c r="H82" s="405">
        <v>68</v>
      </c>
      <c r="I82" s="424" t="str">
        <f ca="1"/>
        <v>0,00046607104422216</v>
      </c>
      <c r="J82" s="424" t="str">
        <f ca="1"/>
        <v>0,00116374118912618</v>
      </c>
      <c r="K82" s="436" t="str">
        <f ca="1"/>
        <v>0,400493725389336</v>
      </c>
      <c r="L82" s="436" t="str">
        <f ca="1"/>
        <v>0,400493725389336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0.11419412477850101</v>
      </c>
      <c r="V82" s="460">
        <f t="shared" ca="1" si="6"/>
        <v>-2.6386570871971583E-3</v>
      </c>
      <c r="W82" s="459">
        <f t="shared" ca="1" si="7"/>
        <v>0.13349790846311199</v>
      </c>
      <c r="X82" s="461">
        <f t="shared" ca="1" si="8"/>
        <v>5.0307504603997596E-3</v>
      </c>
      <c r="Y82" s="460">
        <f t="shared" ca="1" si="9"/>
        <v>-1.5423525640020778E-4</v>
      </c>
      <c r="Z82" s="79"/>
    </row>
    <row r="83" spans="1:26" customFormat="1" ht="1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469">
        <v>100</v>
      </c>
      <c r="H83" s="405">
        <v>69</v>
      </c>
      <c r="I83" s="424" t="str">
        <f ca="1"/>
        <v>0,000191824016904585</v>
      </c>
      <c r="J83" s="424" t="str">
        <f ca="1"/>
        <v>0,000628155096780056</v>
      </c>
      <c r="K83" s="436" t="str">
        <f ca="1"/>
        <v>0,305376837484693</v>
      </c>
      <c r="L83" s="436" t="str">
        <f ca="1"/>
        <v>0,305376837484693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0.11419412477850101</v>
      </c>
      <c r="V83" s="460">
        <f t="shared" ca="1" si="6"/>
        <v>-1.4069492256000623E-3</v>
      </c>
      <c r="W83" s="459">
        <f t="shared" ca="1" si="7"/>
        <v>0.10179227916156434</v>
      </c>
      <c r="X83" s="461">
        <f t="shared" ca="1" si="8"/>
        <v>2.6648740569009057E-3</v>
      </c>
      <c r="Y83" s="460">
        <f t="shared" ca="1" si="9"/>
        <v>-6.2707502954386426E-5</v>
      </c>
      <c r="Z83" s="79"/>
    </row>
    <row r="84" spans="1:26" customFormat="1" ht="1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469">
        <v>100</v>
      </c>
      <c r="H84" s="405">
        <v>70</v>
      </c>
      <c r="I84" s="424" t="str">
        <f ca="1"/>
        <v>0,000367319051210302</v>
      </c>
      <c r="J84" s="424" t="str">
        <f ca="1"/>
        <v>0,000986968359359079</v>
      </c>
      <c r="K84" s="436" t="str">
        <f ca="1"/>
        <v>0,372169024191245</v>
      </c>
      <c r="L84" s="436" t="str">
        <f ca="1"/>
        <v>0,372169024191245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0.11419412477850101</v>
      </c>
      <c r="V84" s="460">
        <f t="shared" ca="1" si="6"/>
        <v>-2.2297288689582229E-3</v>
      </c>
      <c r="W84" s="459">
        <f t="shared" ca="1" si="7"/>
        <v>0.12405634139708166</v>
      </c>
      <c r="X84" s="461">
        <f t="shared" ca="1" si="8"/>
        <v>4.2424226422726917E-3</v>
      </c>
      <c r="Y84" s="460">
        <f t="shared" ca="1" si="9"/>
        <v>-1.2111481493769768E-4</v>
      </c>
      <c r="Z84" s="79"/>
    </row>
    <row r="85" spans="1:26" customFormat="1" ht="1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469">
        <v>100</v>
      </c>
      <c r="H85" s="405">
        <v>71</v>
      </c>
      <c r="I85" s="424" t="str">
        <f ca="1"/>
        <v>0,00020191547763182</v>
      </c>
      <c r="J85" s="424" t="str">
        <f ca="1"/>
        <v>0,000650521699130214</v>
      </c>
      <c r="K85" s="436" t="str">
        <f ca="1"/>
        <v>0,310390072924228</v>
      </c>
      <c r="L85" s="436" t="str">
        <f ca="1"/>
        <v>0,310390072924228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0.11419412477850101</v>
      </c>
      <c r="V85" s="460">
        <f t="shared" ca="1" si="6"/>
        <v>-1.4584114509323799E-3</v>
      </c>
      <c r="W85" s="459">
        <f t="shared" ca="1" si="7"/>
        <v>0.10346335764140933</v>
      </c>
      <c r="X85" s="461">
        <f t="shared" ca="1" si="8"/>
        <v>2.7635335394358227E-3</v>
      </c>
      <c r="Y85" s="460">
        <f t="shared" ca="1" si="9"/>
        <v>-6.6068261317657514E-5</v>
      </c>
      <c r="Z85" s="79"/>
    </row>
    <row r="86" spans="1:26" customFormat="1" ht="1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469">
        <v>100</v>
      </c>
      <c r="H86" s="405">
        <v>72</v>
      </c>
      <c r="I86" s="424" t="str">
        <f ca="1"/>
        <v>0,000330887885972242</v>
      </c>
      <c r="J86" s="424" t="str">
        <f ca="1"/>
        <v>0,000919645608792539</v>
      </c>
      <c r="K86" s="436" t="str">
        <f ca="1"/>
        <v>0,359799343147721</v>
      </c>
      <c r="L86" s="436" t="str">
        <f ca="1"/>
        <v>0,359799343147721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0.11419412477850101</v>
      </c>
      <c r="V86" s="460">
        <f t="shared" ca="1" si="6"/>
        <v>-2.0762087051223259E-3</v>
      </c>
      <c r="W86" s="459">
        <f t="shared" ca="1" si="7"/>
        <v>0.11993311438257366</v>
      </c>
      <c r="X86" s="461">
        <f t="shared" ca="1" si="8"/>
        <v>3.9467612016408672E-3</v>
      </c>
      <c r="Y86" s="460">
        <f t="shared" ca="1" si="9"/>
        <v>-1.0902757764312378E-4</v>
      </c>
      <c r="Z86" s="79"/>
    </row>
    <row r="87" spans="1:26" customFormat="1" ht="1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469">
        <v>100</v>
      </c>
      <c r="H87" s="405">
        <v>73</v>
      </c>
      <c r="I87" s="424" t="str">
        <f ca="1"/>
        <v>0,000232937212535966</v>
      </c>
      <c r="J87" s="424" t="str">
        <f ca="1"/>
        <v>0,000718279564316926</v>
      </c>
      <c r="K87" s="436" t="str">
        <f ca="1"/>
        <v>0,324298816377278</v>
      </c>
      <c r="L87" s="436" t="str">
        <f ca="1"/>
        <v>0,324298816377278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0.11419412477850101</v>
      </c>
      <c r="V87" s="460">
        <f t="shared" ca="1" si="6"/>
        <v>-1.6127260866599545E-3</v>
      </c>
      <c r="W87" s="459">
        <f t="shared" ca="1" si="7"/>
        <v>0.10809960545909265</v>
      </c>
      <c r="X87" s="461">
        <f t="shared" ca="1" si="8"/>
        <v>3.0594093980645071E-3</v>
      </c>
      <c r="Y87" s="460">
        <f t="shared" ca="1" si="9"/>
        <v>-7.6332759684300872E-5</v>
      </c>
      <c r="Z87" s="79"/>
    </row>
    <row r="88" spans="1:26" customFormat="1" ht="1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469">
        <v>100</v>
      </c>
      <c r="H88" s="405">
        <v>74</v>
      </c>
      <c r="I88" s="424" t="str">
        <f ca="1"/>
        <v>0,000330897569141775</v>
      </c>
      <c r="J88" s="424" t="str">
        <f ca="1"/>
        <v>0,000919655939882334</v>
      </c>
      <c r="K88" s="436" t="str">
        <f ca="1"/>
        <v>0,359805830411003</v>
      </c>
      <c r="L88" s="436" t="str">
        <f ca="1"/>
        <v>0,359805830411003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0.11419412477850101</v>
      </c>
      <c r="V88" s="460">
        <f t="shared" ca="1" si="6"/>
        <v>-2.0762332498443768E-3</v>
      </c>
      <c r="W88" s="459">
        <f t="shared" ca="1" si="7"/>
        <v>0.11993527680366767</v>
      </c>
      <c r="X88" s="461">
        <f t="shared" ca="1" si="8"/>
        <v>3.946761899992119E-3</v>
      </c>
      <c r="Y88" s="460">
        <f t="shared" ca="1" si="9"/>
        <v>-1.0903083237078463E-4</v>
      </c>
      <c r="Z88" s="79"/>
    </row>
    <row r="89" spans="1:26" customFormat="1" ht="1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469">
        <v>100</v>
      </c>
      <c r="H89" s="405">
        <v>75</v>
      </c>
      <c r="I89" s="424" t="str">
        <f ca="1"/>
        <v>0,000304805851290136</v>
      </c>
      <c r="J89" s="424" t="str">
        <f ca="1"/>
        <v>0,000853840067769236</v>
      </c>
      <c r="K89" s="436" t="str">
        <f ca="1"/>
        <v>0,356982370347739</v>
      </c>
      <c r="L89" s="436" t="str">
        <f ca="1"/>
        <v>0,356982370347739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0.11419412477850101</v>
      </c>
      <c r="V89" s="460">
        <f t="shared" ca="1" si="6"/>
        <v>-1.9180563480797046E-3</v>
      </c>
      <c r="W89" s="459">
        <f t="shared" ca="1" si="7"/>
        <v>0.11899412344924633</v>
      </c>
      <c r="X89" s="461">
        <f t="shared" ca="1" si="8"/>
        <v>3.6512167873886951E-3</v>
      </c>
      <c r="Y89" s="460">
        <f t="shared" ca="1" si="9"/>
        <v>-9.993396521437176E-5</v>
      </c>
      <c r="Z89" s="79"/>
    </row>
    <row r="90" spans="1:26" customFormat="1" ht="1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469">
        <v>100</v>
      </c>
      <c r="H90" s="405">
        <v>76</v>
      </c>
      <c r="I90" s="424" t="str">
        <f ca="1"/>
        <v>0,000214970480391607</v>
      </c>
      <c r="J90" s="424" t="str">
        <f ca="1"/>
        <v>0,000673303091124082</v>
      </c>
      <c r="K90" s="436" t="str">
        <f ca="1"/>
        <v>0,319277429771952</v>
      </c>
      <c r="L90" s="436" t="str">
        <f ca="1"/>
        <v>0,319277429771952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0.11419412477850101</v>
      </c>
      <c r="V90" s="460">
        <f t="shared" ca="1" si="6"/>
        <v>-1.5078837315407982E-3</v>
      </c>
      <c r="W90" s="459">
        <f t="shared" ca="1" si="7"/>
        <v>0.106425809923984</v>
      </c>
      <c r="X90" s="461">
        <f t="shared" ca="1" si="8"/>
        <v>2.8622687553698837E-3</v>
      </c>
      <c r="Y90" s="460">
        <f t="shared" ca="1" si="9"/>
        <v>-7.0265325695040306E-5</v>
      </c>
      <c r="Z90" s="79"/>
    </row>
    <row r="91" spans="1:26" customFormat="1" ht="1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469">
        <v>100</v>
      </c>
      <c r="H91" s="405">
        <v>77</v>
      </c>
      <c r="I91" s="424" t="str">
        <f ca="1"/>
        <v>0,000252952390672001</v>
      </c>
      <c r="J91" s="424" t="str">
        <f ca="1"/>
        <v>0,000762867618408722</v>
      </c>
      <c r="K91" s="436" t="str">
        <f ca="1"/>
        <v>0,331580977574639</v>
      </c>
      <c r="L91" s="436" t="str">
        <f ca="1"/>
        <v>0,331580977574639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0.11419412477850101</v>
      </c>
      <c r="V91" s="460">
        <f t="shared" ca="1" si="6"/>
        <v>-1.7162673297259608E-3</v>
      </c>
      <c r="W91" s="459">
        <f t="shared" ca="1" si="7"/>
        <v>0.11052699252487967</v>
      </c>
      <c r="X91" s="461">
        <f t="shared" ca="1" si="8"/>
        <v>3.2566342671617224E-3</v>
      </c>
      <c r="Y91" s="460">
        <f t="shared" ca="1" si="9"/>
        <v>-8.3057629580882586E-5</v>
      </c>
      <c r="Z91" s="79"/>
    </row>
    <row r="92" spans="1:26" customFormat="1" ht="1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469">
        <v>100</v>
      </c>
      <c r="H92" s="405">
        <v>78</v>
      </c>
      <c r="I92" s="424" t="str">
        <f ca="1"/>
        <v>0,000585753759803187</v>
      </c>
      <c r="J92" s="424" t="str">
        <f ca="1"/>
        <v>0,00136057321592516</v>
      </c>
      <c r="K92" s="436" t="str">
        <f ca="1"/>
        <v>0,430519837482533</v>
      </c>
      <c r="L92" s="436" t="str">
        <f ca="1"/>
        <v>0,430519837482533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0.11419412477850101</v>
      </c>
      <c r="V92" s="460">
        <f t="shared" ca="1" si="6"/>
        <v>-3.0955427824011948E-3</v>
      </c>
      <c r="W92" s="459">
        <f t="shared" ca="1" si="7"/>
        <v>0.14350661249417765</v>
      </c>
      <c r="X92" s="461">
        <f t="shared" ca="1" si="8"/>
        <v>5.9173010342376178E-3</v>
      </c>
      <c r="Y92" s="460">
        <f t="shared" ca="1" si="9"/>
        <v>-1.9450688001456238E-4</v>
      </c>
      <c r="Z92" s="79"/>
    </row>
    <row r="93" spans="1:26" customFormat="1" ht="1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469">
        <v>100</v>
      </c>
      <c r="H93" s="405">
        <v>79</v>
      </c>
      <c r="I93" s="424" t="str">
        <f ca="1"/>
        <v>0,000263654386852141</v>
      </c>
      <c r="J93" s="424" t="str">
        <f ca="1"/>
        <v>0,000785590884390794</v>
      </c>
      <c r="K93" s="436" t="str">
        <f ca="1"/>
        <v>0,335612838808076</v>
      </c>
      <c r="L93" s="436" t="str">
        <f ca="1"/>
        <v>0,335612838808076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0.11419412477850101</v>
      </c>
      <c r="V93" s="460">
        <f t="shared" ca="1" si="6"/>
        <v>-1.7680219854778938E-3</v>
      </c>
      <c r="W93" s="459">
        <f t="shared" ca="1" si="7"/>
        <v>0.11187094626935867</v>
      </c>
      <c r="X93" s="461">
        <f t="shared" ca="1" si="8"/>
        <v>3.3552077986276716E-3</v>
      </c>
      <c r="Y93" s="460">
        <f t="shared" ca="1" si="9"/>
        <v>-8.6602657064927988E-5</v>
      </c>
      <c r="Z93" s="79"/>
    </row>
    <row r="94" spans="1:26" customFormat="1" ht="1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469">
        <v>100</v>
      </c>
      <c r="H94" s="405">
        <v>80</v>
      </c>
      <c r="I94" s="424" t="str">
        <f ca="1"/>
        <v>0,000296536945673287</v>
      </c>
      <c r="J94" s="424" t="str">
        <f ca="1"/>
        <v>0,000852645967726438</v>
      </c>
      <c r="K94" s="436" t="str">
        <f ca="1"/>
        <v>0,347784375810744</v>
      </c>
      <c r="L94" s="436" t="str">
        <f ca="1"/>
        <v>0,347784375810744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0.11419412477850101</v>
      </c>
      <c r="V94" s="460">
        <f t="shared" ca="1" si="6"/>
        <v>-1.9223689758853992E-3</v>
      </c>
      <c r="W94" s="459">
        <f t="shared" ca="1" si="7"/>
        <v>0.115928125270248</v>
      </c>
      <c r="X94" s="461">
        <f t="shared" ca="1" si="8"/>
        <v>3.6510059848204289E-3</v>
      </c>
      <c r="Y94" s="460">
        <f t="shared" ca="1" si="9"/>
        <v>-9.7577976049271223E-5</v>
      </c>
      <c r="Z94" s="79"/>
    </row>
    <row r="95" spans="1:26" customFormat="1" ht="1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469">
        <v>100</v>
      </c>
      <c r="H95" s="405">
        <v>81</v>
      </c>
      <c r="I95" s="424" t="str">
        <f ca="1"/>
        <v>0,000192097755936004</v>
      </c>
      <c r="J95" s="424" t="str">
        <f ca="1"/>
        <v>0,000628061052824326</v>
      </c>
      <c r="K95" s="436" t="str">
        <f ca="1"/>
        <v>0,305858411490667</v>
      </c>
      <c r="L95" s="436" t="str">
        <f ca="1"/>
        <v>0,305858411490667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0.11419412477850101</v>
      </c>
      <c r="V95" s="460">
        <f t="shared" ca="1" si="6"/>
        <v>-1.4068976923658405E-3</v>
      </c>
      <c r="W95" s="459">
        <f t="shared" ca="1" si="7"/>
        <v>0.10195280383022233</v>
      </c>
      <c r="X95" s="461">
        <f t="shared" ca="1" si="8"/>
        <v>2.6648950742233979E-3</v>
      </c>
      <c r="Y95" s="460">
        <f t="shared" ca="1" si="9"/>
        <v>-6.2804091154946849E-5</v>
      </c>
      <c r="Z95" s="79"/>
    </row>
    <row r="96" spans="1:26" customFormat="1" ht="1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469">
        <v>100</v>
      </c>
      <c r="H96" s="405">
        <v>82</v>
      </c>
      <c r="I96" s="424" t="str">
        <f ca="1"/>
        <v>0,000699782713648722</v>
      </c>
      <c r="J96" s="424" t="str">
        <f ca="1"/>
        <v>0,00153345974918212</v>
      </c>
      <c r="K96" s="436" t="str">
        <f ca="1"/>
        <v>0,456342407436488</v>
      </c>
      <c r="L96" s="436" t="str">
        <f ca="1"/>
        <v>0,456342407436488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0.11419412477850101</v>
      </c>
      <c r="V96" s="460">
        <f t="shared" ca="1" si="6"/>
        <v>-3.4986011746636039E-3</v>
      </c>
      <c r="W96" s="459">
        <f t="shared" ca="1" si="7"/>
        <v>0.15211413581216268</v>
      </c>
      <c r="X96" s="461">
        <f t="shared" ca="1" si="8"/>
        <v>6.7050941057625628E-3</v>
      </c>
      <c r="Y96" s="460">
        <f t="shared" ca="1" si="9"/>
        <v>-2.3301842159902643E-4</v>
      </c>
      <c r="Z96" s="79"/>
    </row>
    <row r="97" spans="1:26" customFormat="1" ht="1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469">
        <v>100</v>
      </c>
      <c r="H97" s="405">
        <v>83</v>
      </c>
      <c r="I97" s="424" t="str">
        <f ca="1"/>
        <v>0,000427577186573957</v>
      </c>
      <c r="J97" s="424" t="str">
        <f ca="1"/>
        <v>0,00109764399800483</v>
      </c>
      <c r="K97" s="436" t="str">
        <f ca="1"/>
        <v>0,38954085965136</v>
      </c>
      <c r="L97" s="436" t="str">
        <f ca="1"/>
        <v>0,38954085965136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0.11419412477850101</v>
      </c>
      <c r="V97" s="460">
        <f t="shared" ca="1" si="6"/>
        <v>-2.4860178396332727E-3</v>
      </c>
      <c r="W97" s="459">
        <f t="shared" ca="1" si="7"/>
        <v>0.12984695321712</v>
      </c>
      <c r="X97" s="461">
        <f t="shared" ca="1" si="8"/>
        <v>4.7351341671399419E-3</v>
      </c>
      <c r="Y97" s="460">
        <f t="shared" ca="1" si="9"/>
        <v>-1.4133907622039096E-4</v>
      </c>
      <c r="Z97" s="79"/>
    </row>
    <row r="98" spans="1:26" customFormat="1" ht="1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469">
        <v>100</v>
      </c>
      <c r="H98" s="405">
        <v>84</v>
      </c>
      <c r="I98" s="424" t="str">
        <f ca="1"/>
        <v>0,00022151709933631</v>
      </c>
      <c r="J98" s="424" t="str">
        <f ca="1"/>
        <v>0,000695521195822347</v>
      </c>
      <c r="K98" s="436" t="str">
        <f ca="1"/>
        <v>0,318490796063231</v>
      </c>
      <c r="L98" s="436" t="str">
        <f ca="1"/>
        <v>0,318490796063231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0.11419412477850101</v>
      </c>
      <c r="V98" s="460">
        <f t="shared" ca="1" si="6"/>
        <v>-1.561850547896689E-3</v>
      </c>
      <c r="W98" s="459">
        <f t="shared" ca="1" si="7"/>
        <v>0.10616359868774367</v>
      </c>
      <c r="X98" s="461">
        <f t="shared" ca="1" si="8"/>
        <v>2.9607767410726998E-3</v>
      </c>
      <c r="Y98" s="460">
        <f t="shared" ca="1" si="9"/>
        <v>-7.2600790583034357E-5</v>
      </c>
      <c r="Z98" s="79"/>
    </row>
    <row r="99" spans="1:26" customFormat="1" ht="1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469">
        <v>100</v>
      </c>
      <c r="H99" s="405">
        <v>85</v>
      </c>
      <c r="I99" s="424" t="str">
        <f ca="1"/>
        <v>0,00029656274689005</v>
      </c>
      <c r="J99" s="424" t="str">
        <f ca="1"/>
        <v>0,00085259444757503</v>
      </c>
      <c r="K99" s="436" t="str">
        <f ca="1"/>
        <v>0,347835653555499</v>
      </c>
      <c r="L99" s="436" t="str">
        <f ca="1"/>
        <v>0,347835653555499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0.11419412477850101</v>
      </c>
      <c r="V99" s="460">
        <f t="shared" ca="1" si="6"/>
        <v>-1.9222545855794857E-3</v>
      </c>
      <c r="W99" s="459">
        <f t="shared" ca="1" si="7"/>
        <v>0.115945217851833</v>
      </c>
      <c r="X99" s="461">
        <f t="shared" ca="1" si="8"/>
        <v>3.651019653058868E-3</v>
      </c>
      <c r="Y99" s="460">
        <f t="shared" ca="1" si="9"/>
        <v>-9.7586555842520513E-5</v>
      </c>
      <c r="Z99" s="79"/>
    </row>
    <row r="100" spans="1:26" customFormat="1" ht="1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469">
        <v>100</v>
      </c>
      <c r="H100" s="405">
        <v>86</v>
      </c>
      <c r="I100" s="424" t="str">
        <f ca="1"/>
        <v>0,000432328427891293</v>
      </c>
      <c r="J100" s="424" t="str">
        <f ca="1"/>
        <v>0,00109798548671906</v>
      </c>
      <c r="K100" s="436" t="str">
        <f ca="1"/>
        <v>0,393746942123209</v>
      </c>
      <c r="L100" s="436" t="str">
        <f ca="1"/>
        <v>0,393746942123209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0.11419412477850101</v>
      </c>
      <c r="V100" s="460">
        <f t="shared" ca="1" si="6"/>
        <v>-2.4829627351172696E-3</v>
      </c>
      <c r="W100" s="459">
        <f t="shared" ca="1" si="7"/>
        <v>0.13124898070773633</v>
      </c>
      <c r="X100" s="461">
        <f t="shared" ca="1" si="8"/>
        <v>4.7352853834422299E-3</v>
      </c>
      <c r="Y100" s="460">
        <f t="shared" ca="1" si="9"/>
        <v>-1.4268962118302834E-4</v>
      </c>
      <c r="Z100" s="79"/>
    </row>
    <row r="101" spans="1:26" customFormat="1" ht="1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469">
        <v>100</v>
      </c>
      <c r="H101" s="405">
        <v>87</v>
      </c>
      <c r="I101" s="424" t="str">
        <f ca="1"/>
        <v>0,00013704353643651</v>
      </c>
      <c r="J101" s="424" t="str">
        <f ca="1"/>
        <v>0,000492537496121829</v>
      </c>
      <c r="K101" s="436" t="str">
        <f ca="1"/>
        <v>0,278239804107447</v>
      </c>
      <c r="L101" s="436" t="str">
        <f ca="1"/>
        <v>0,278239804107447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0.11419412477850101</v>
      </c>
      <c r="V101" s="460">
        <f t="shared" ca="1" si="6"/>
        <v>-1.0962658678447051E-3</v>
      </c>
      <c r="W101" s="459">
        <f t="shared" ca="1" si="7"/>
        <v>9.2746601369148987E-2</v>
      </c>
      <c r="X101" s="461">
        <f t="shared" ca="1" si="8"/>
        <v>2.0729968646265124E-3</v>
      </c>
      <c r="Y101" s="460">
        <f t="shared" ca="1" si="9"/>
        <v>-4.4518460838862299E-5</v>
      </c>
      <c r="Z101" s="79"/>
    </row>
    <row r="102" spans="1:26" customFormat="1" ht="1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469">
        <v>100</v>
      </c>
      <c r="H102" s="405">
        <v>88</v>
      </c>
      <c r="I102" s="424" t="str">
        <f ca="1"/>
        <v>0,000365647254452717</v>
      </c>
      <c r="J102" s="424" t="str">
        <f ca="1"/>
        <v>0,000965620559921482</v>
      </c>
      <c r="K102" s="436" t="str">
        <f ca="1"/>
        <v>0,378665564538569</v>
      </c>
      <c r="L102" s="436" t="str">
        <f ca="1"/>
        <v>0,378665564538569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0.11419412477850101</v>
      </c>
      <c r="V102" s="460">
        <f t="shared" ca="1" si="6"/>
        <v>-2.1731594977544718E-3</v>
      </c>
      <c r="W102" s="459">
        <f t="shared" ca="1" si="7"/>
        <v>0.12622185484618967</v>
      </c>
      <c r="X102" s="461">
        <f t="shared" ca="1" si="8"/>
        <v>4.1441709058080657E-3</v>
      </c>
      <c r="Y102" s="460">
        <f t="shared" ca="1" si="9"/>
        <v>-1.2010259862984883E-4</v>
      </c>
      <c r="Z102" s="79"/>
    </row>
    <row r="103" spans="1:26" customFormat="1" ht="1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469">
        <v>100</v>
      </c>
      <c r="H103" s="405">
        <v>89</v>
      </c>
      <c r="I103" s="424" t="str">
        <f ca="1"/>
        <v>0,000137917162456991</v>
      </c>
      <c r="J103" s="424" t="str">
        <f ca="1"/>
        <v>0,000492389875482036</v>
      </c>
      <c r="K103" s="436" t="str">
        <f ca="1"/>
        <v>0,280097478287859</v>
      </c>
      <c r="L103" s="436" t="str">
        <f ca="1"/>
        <v>0,280097478287859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0.11419412477850101</v>
      </c>
      <c r="V103" s="460">
        <f t="shared" ca="1" si="6"/>
        <v>-1.0958219798322159E-3</v>
      </c>
      <c r="W103" s="459">
        <f t="shared" ca="1" si="7"/>
        <v>9.3365826095953008E-2</v>
      </c>
      <c r="X103" s="461">
        <f t="shared" ca="1" si="8"/>
        <v>2.0730232055039899E-3</v>
      </c>
      <c r="Y103" s="460">
        <f t="shared" ca="1" si="9"/>
        <v>-4.4797543043300172E-5</v>
      </c>
      <c r="Z103" s="79"/>
    </row>
    <row r="104" spans="1:26" customFormat="1" ht="1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469">
        <v>100</v>
      </c>
      <c r="H104" s="405">
        <v>90</v>
      </c>
      <c r="I104" s="424" t="str">
        <f ca="1"/>
        <v>0,000491832830522565</v>
      </c>
      <c r="J104" s="424" t="str">
        <f ca="1"/>
        <v>0,00120772473544837</v>
      </c>
      <c r="K104" s="436" t="str">
        <f ca="1"/>
        <v>0,407239179662882</v>
      </c>
      <c r="L104" s="436" t="str">
        <f ca="1"/>
        <v>0,407239179662882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0.11419412477850101</v>
      </c>
      <c r="V104" s="460">
        <f t="shared" ca="1" si="6"/>
        <v>-2.7407071464893786E-3</v>
      </c>
      <c r="W104" s="459">
        <f t="shared" ca="1" si="7"/>
        <v>0.13574639322096066</v>
      </c>
      <c r="X104" s="461">
        <f t="shared" ca="1" si="8"/>
        <v>5.2277765450674321E-3</v>
      </c>
      <c r="Y104" s="460">
        <f t="shared" ca="1" si="9"/>
        <v>-1.628985338486028E-4</v>
      </c>
      <c r="Z104" s="79"/>
    </row>
    <row r="105" spans="1:26" customFormat="1" ht="1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469">
        <v>100</v>
      </c>
      <c r="H105" s="405">
        <v>91</v>
      </c>
      <c r="I105" s="424" t="str">
        <f ca="1"/>
        <v>0,000128574963075212</v>
      </c>
      <c r="J105" s="424" t="str">
        <f ca="1"/>
        <v>0,000469844509130766</v>
      </c>
      <c r="K105" s="436" t="str">
        <f ca="1"/>
        <v>0,27365428471875</v>
      </c>
      <c r="L105" s="436" t="str">
        <f ca="1"/>
        <v>0,27365428471875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0.11419412477850101</v>
      </c>
      <c r="V105" s="460">
        <f t="shared" ca="1" si="6"/>
        <v>-1.0443781099775272E-3</v>
      </c>
      <c r="W105" s="459">
        <f t="shared" ca="1" si="7"/>
        <v>9.1218094906249991E-2</v>
      </c>
      <c r="X105" s="461">
        <f t="shared" ca="1" si="8"/>
        <v>1.9743353027626793E-3</v>
      </c>
      <c r="Y105" s="460">
        <f t="shared" ca="1" si="9"/>
        <v>-4.1712383075191119E-5</v>
      </c>
      <c r="Z105" s="79"/>
    </row>
    <row r="106" spans="1:26" customFormat="1" ht="1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469">
        <v>100</v>
      </c>
      <c r="H106" s="405">
        <v>92</v>
      </c>
      <c r="I106" s="424" t="str">
        <f ca="1"/>
        <v>0,000128843224672371</v>
      </c>
      <c r="J106" s="424" t="str">
        <f ca="1"/>
        <v>0,000469820419882572</v>
      </c>
      <c r="K106" s="436" t="str">
        <f ca="1"/>
        <v>0,274239303401445</v>
      </c>
      <c r="L106" s="436" t="str">
        <f ca="1"/>
        <v>0,274239303401445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0.11419412477850101</v>
      </c>
      <c r="V106" s="460">
        <f t="shared" ca="1" si="6"/>
        <v>-1.044209637380803E-3</v>
      </c>
      <c r="W106" s="459">
        <f t="shared" ca="1" si="7"/>
        <v>9.1413101133814997E-2</v>
      </c>
      <c r="X106" s="461">
        <f t="shared" ca="1" si="8"/>
        <v>1.9743382370211908E-3</v>
      </c>
      <c r="Y106" s="460">
        <f t="shared" ca="1" si="9"/>
        <v>-4.1794812724361266E-5</v>
      </c>
      <c r="Z106" s="79"/>
    </row>
    <row r="107" spans="1:26" customFormat="1" ht="1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469">
        <v>100</v>
      </c>
      <c r="H107" s="405">
        <v>93</v>
      </c>
      <c r="I107" s="424" t="str">
        <f ca="1"/>
        <v>0,000212055245868958</v>
      </c>
      <c r="J107" s="424" t="str">
        <f ca="1"/>
        <v>0,000672876471846409</v>
      </c>
      <c r="K107" s="436" t="str">
        <f ca="1"/>
        <v>0,315147363210764</v>
      </c>
      <c r="L107" s="436" t="str">
        <f ca="1"/>
        <v>0,315147363210764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0.11419412477850101</v>
      </c>
      <c r="V107" s="460">
        <f t="shared" ca="1" si="6"/>
        <v>-1.5095428152599728E-3</v>
      </c>
      <c r="W107" s="459">
        <f t="shared" ca="1" si="7"/>
        <v>0.10504912107025466</v>
      </c>
      <c r="X107" s="461">
        <f t="shared" ca="1" si="8"/>
        <v>2.8621813120715631E-3</v>
      </c>
      <c r="Y107" s="460">
        <f t="shared" ca="1" si="9"/>
        <v>-6.9432707798480601E-5</v>
      </c>
      <c r="Z107" s="79"/>
    </row>
    <row r="108" spans="1:26" customFormat="1" ht="1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469">
        <v>100</v>
      </c>
      <c r="H108" s="405">
        <v>94</v>
      </c>
      <c r="I108" s="424" t="str">
        <f ca="1"/>
        <v>0,00013704353643651</v>
      </c>
      <c r="J108" s="424" t="str">
        <f ca="1"/>
        <v>0,000492537496121829</v>
      </c>
      <c r="K108" s="436" t="str">
        <f ca="1"/>
        <v>0,278239804107447</v>
      </c>
      <c r="L108" s="436" t="str">
        <f ca="1"/>
        <v>0,278239804107447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0.11419412477850101</v>
      </c>
      <c r="V108" s="460">
        <f t="shared" ca="1" si="6"/>
        <v>-1.0962658678447051E-3</v>
      </c>
      <c r="W108" s="459">
        <f t="shared" ca="1" si="7"/>
        <v>9.2746601369148987E-2</v>
      </c>
      <c r="X108" s="461">
        <f t="shared" ca="1" si="8"/>
        <v>2.0729968646265124E-3</v>
      </c>
      <c r="Y108" s="460">
        <f t="shared" ca="1" si="9"/>
        <v>-4.4518460838862299E-5</v>
      </c>
      <c r="Z108" s="79"/>
    </row>
    <row r="109" spans="1:26" customFormat="1" ht="1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469">
        <v>100</v>
      </c>
      <c r="H109" s="405">
        <v>95</v>
      </c>
      <c r="I109" s="424" t="str">
        <f ca="1"/>
        <v>0,000365546169129827</v>
      </c>
      <c r="J109" s="424" t="str">
        <f ca="1"/>
        <v>0,000986543655568479</v>
      </c>
      <c r="K109" s="436" t="str">
        <f ca="1"/>
        <v>0,37053217773641</v>
      </c>
      <c r="L109" s="436" t="str">
        <f ca="1"/>
        <v>0,37053217773641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0.11419412477850101</v>
      </c>
      <c r="V109" s="460">
        <f t="shared" ca="1" si="6"/>
        <v>-2.230822898615164E-3</v>
      </c>
      <c r="W109" s="459">
        <f t="shared" ca="1" si="7"/>
        <v>0.12351072591213667</v>
      </c>
      <c r="X109" s="461">
        <f t="shared" ca="1" si="8"/>
        <v>4.2424129882175183E-3</v>
      </c>
      <c r="Y109" s="460">
        <f t="shared" ca="1" si="9"/>
        <v>-1.2064130099679593E-4</v>
      </c>
      <c r="Z109" s="79"/>
    </row>
    <row r="110" spans="1:26" customFormat="1" ht="1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469">
        <v>100</v>
      </c>
      <c r="H110" s="405">
        <v>96</v>
      </c>
      <c r="I110" s="424" t="str">
        <f ca="1"/>
        <v>0,000182300758903309</v>
      </c>
      <c r="J110" s="424" t="str">
        <f ca="1"/>
        <v>0,000605562931996436</v>
      </c>
      <c r="K110" s="436" t="str">
        <f ca="1"/>
        <v>0,301043457700251</v>
      </c>
      <c r="L110" s="436" t="str">
        <f ca="1"/>
        <v>0,301043457700251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0.11419412477850101</v>
      </c>
      <c r="V110" s="460">
        <f t="shared" ca="1" si="6"/>
        <v>-1.3553192831104702E-3</v>
      </c>
      <c r="W110" s="459">
        <f t="shared" ca="1" si="7"/>
        <v>0.100347819233417</v>
      </c>
      <c r="X110" s="461">
        <f t="shared" ca="1" si="8"/>
        <v>2.5662541697353313E-3</v>
      </c>
      <c r="Y110" s="460">
        <f t="shared" ca="1" si="9"/>
        <v>-5.9549182013057013E-5</v>
      </c>
      <c r="Z110" s="79"/>
    </row>
    <row r="111" spans="1:26" customFormat="1" ht="1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469">
        <v>100</v>
      </c>
      <c r="H111" s="405">
        <v>97</v>
      </c>
      <c r="I111" s="424" t="str">
        <f ca="1"/>
        <v>0,000438570000940607</v>
      </c>
      <c r="J111" s="424" t="str">
        <f ca="1"/>
        <v>0,0011193717588055</v>
      </c>
      <c r="K111" s="436" t="str">
        <f ca="1"/>
        <v>0,391800130287915</v>
      </c>
      <c r="L111" s="436" t="str">
        <f ca="1"/>
        <v>0,391800130287915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0.11419412477850101</v>
      </c>
      <c r="V111" s="460">
        <f t="shared" ca="1" si="6"/>
        <v>-2.5381163159888189E-3</v>
      </c>
      <c r="W111" s="459">
        <f t="shared" ca="1" si="7"/>
        <v>0.13060004342930501</v>
      </c>
      <c r="X111" s="461">
        <f t="shared" ca="1" si="8"/>
        <v>4.8336626151140221E-3</v>
      </c>
      <c r="Y111" s="460">
        <f t="shared" ca="1" si="9"/>
        <v>-1.4513798399861928E-4</v>
      </c>
      <c r="Z111" s="79"/>
    </row>
    <row r="112" spans="1:26" customFormat="1" ht="1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469">
        <v>100</v>
      </c>
      <c r="H112" s="405">
        <v>98</v>
      </c>
      <c r="I112" s="424" t="str">
        <f ca="1"/>
        <v>0,000173791045921368</v>
      </c>
      <c r="J112" s="424" t="str">
        <f ca="1"/>
        <v>0,00058280446927677</v>
      </c>
      <c r="K112" s="436" t="str">
        <f ca="1"/>
        <v>0,298197860659912</v>
      </c>
      <c r="L112" s="436" t="str">
        <f ca="1"/>
        <v>0,298197860659912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0.11419412477850101</v>
      </c>
      <c r="V112" s="460">
        <f t="shared" ca="1" si="6"/>
        <v>-1.3028904861031349E-3</v>
      </c>
      <c r="W112" s="459">
        <f t="shared" ca="1" si="7"/>
        <v>9.9399286886637336E-2</v>
      </c>
      <c r="X112" s="461">
        <f t="shared" ca="1" si="8"/>
        <v>2.4676454841910797E-3</v>
      </c>
      <c r="Y112" s="460">
        <f t="shared" ca="1" si="9"/>
        <v>-5.6704486969551161E-5</v>
      </c>
      <c r="Z112" s="79"/>
    </row>
    <row r="113" spans="1:26" customFormat="1" ht="1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469">
        <v>100</v>
      </c>
      <c r="H113" s="405">
        <v>99</v>
      </c>
      <c r="I113" s="424" t="str">
        <f ca="1"/>
        <v>0,000352278070585665</v>
      </c>
      <c r="J113" s="424" t="str">
        <f ca="1"/>
        <v>0,000963969048859921</v>
      </c>
      <c r="K113" s="436" t="str">
        <f ca="1"/>
        <v>0,365445416533136</v>
      </c>
      <c r="L113" s="436" t="str">
        <f ca="1"/>
        <v>0,365445416533136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0.11419412477850101</v>
      </c>
      <c r="V113" s="460">
        <f t="shared" ca="1" si="6"/>
        <v>-2.1805008681702637E-3</v>
      </c>
      <c r="W113" s="459">
        <f t="shared" ca="1" si="7"/>
        <v>0.12181513884437867</v>
      </c>
      <c r="X113" s="461">
        <f t="shared" ca="1" si="8"/>
        <v>4.1438412783486867E-3</v>
      </c>
      <c r="Y113" s="460">
        <f t="shared" ca="1" si="9"/>
        <v>-1.1630108664594652E-4</v>
      </c>
      <c r="Z113" s="79"/>
    </row>
    <row r="114" spans="1:26" customFormat="1" ht="1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469">
        <v>100</v>
      </c>
      <c r="H114" s="405">
        <v>100</v>
      </c>
      <c r="I114" s="424" t="str">
        <f ca="1"/>
        <v>0,000258415309138127</v>
      </c>
      <c r="J114" s="424" t="str">
        <f ca="1"/>
        <v>0,000763720195051189</v>
      </c>
      <c r="K114" s="436" t="str">
        <f ca="1"/>
        <v>0,338363854737148</v>
      </c>
      <c r="L114" s="436" t="str">
        <f ca="1"/>
        <v>0,338363854737148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0.11419412477850101</v>
      </c>
      <c r="V114" s="460">
        <f t="shared" ca="1" si="6"/>
        <v>-1.7132964133784916E-3</v>
      </c>
      <c r="W114" s="459">
        <f t="shared" ca="1" si="7"/>
        <v>0.11278795157904932</v>
      </c>
      <c r="X114" s="461">
        <f t="shared" ca="1" si="8"/>
        <v>3.2567822610880927E-3</v>
      </c>
      <c r="Y114" s="460">
        <f t="shared" ca="1" si="9"/>
        <v>-8.460995400924205E-5</v>
      </c>
      <c r="Z114" s="79"/>
    </row>
    <row r="115" spans="1:26" customFormat="1" ht="1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469">
        <v>100</v>
      </c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469">
        <v>100</v>
      </c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469">
        <v>100</v>
      </c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469">
        <v>100</v>
      </c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469">
        <v>100</v>
      </c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469">
        <v>100</v>
      </c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469">
        <v>100</v>
      </c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469">
        <v>100</v>
      </c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469">
        <v>100</v>
      </c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469">
        <v>100</v>
      </c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469">
        <v>100</v>
      </c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469">
        <v>100</v>
      </c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469">
        <v>100</v>
      </c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469">
        <v>100</v>
      </c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469">
        <v>100</v>
      </c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469">
        <v>100</v>
      </c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469">
        <v>100</v>
      </c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469">
        <v>100</v>
      </c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469">
        <v>100</v>
      </c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469">
        <v>100</v>
      </c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469">
        <v>100</v>
      </c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469">
        <v>100</v>
      </c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469">
        <v>100</v>
      </c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469">
        <v>100</v>
      </c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5">
      <c r="A139" s="232"/>
      <c r="B139" s="295">
        <v>101</v>
      </c>
      <c r="C139" s="265"/>
      <c r="D139" s="266"/>
      <c r="E139" s="256"/>
      <c r="F139" s="239"/>
      <c r="G139" s="246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5">
      <c r="A140" s="232"/>
      <c r="B140" s="295">
        <v>102</v>
      </c>
      <c r="C140" s="265"/>
      <c r="D140" s="266"/>
      <c r="E140" s="256"/>
      <c r="F140" s="239"/>
      <c r="G140" s="246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5">
      <c r="A141" s="232"/>
      <c r="B141" s="295">
        <v>103</v>
      </c>
      <c r="C141" s="265"/>
      <c r="D141" s="266"/>
      <c r="E141" s="256"/>
      <c r="F141" s="239"/>
      <c r="G141" s="246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5">
      <c r="A142" s="232"/>
      <c r="B142" s="295">
        <v>104</v>
      </c>
      <c r="C142" s="265"/>
      <c r="D142" s="266"/>
      <c r="E142" s="256"/>
      <c r="F142" s="239"/>
      <c r="G142" s="246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5">
      <c r="A143" s="232"/>
      <c r="B143" s="295">
        <v>105</v>
      </c>
      <c r="C143" s="265"/>
      <c r="D143" s="266"/>
      <c r="E143" s="256"/>
      <c r="F143" s="239"/>
      <c r="G143" s="246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5">
      <c r="A144" s="232"/>
      <c r="B144" s="295">
        <v>106</v>
      </c>
      <c r="C144" s="265"/>
      <c r="D144" s="266"/>
      <c r="E144" s="256"/>
      <c r="F144" s="239"/>
      <c r="G144" s="246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5">
      <c r="A145" s="232"/>
      <c r="B145" s="295">
        <v>107</v>
      </c>
      <c r="C145" s="265"/>
      <c r="D145" s="266"/>
      <c r="E145" s="256"/>
      <c r="F145" s="239"/>
      <c r="G145" s="246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5">
      <c r="A146" s="232"/>
      <c r="B146" s="295">
        <v>108</v>
      </c>
      <c r="C146" s="265"/>
      <c r="D146" s="266"/>
      <c r="E146" s="256"/>
      <c r="F146" s="239"/>
      <c r="G146" s="246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5">
      <c r="A147" s="232"/>
      <c r="B147" s="295">
        <v>109</v>
      </c>
      <c r="C147" s="265"/>
      <c r="D147" s="266"/>
      <c r="E147" s="256"/>
      <c r="F147" s="239"/>
      <c r="G147" s="246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5">
      <c r="A148" s="232"/>
      <c r="B148" s="295">
        <v>110</v>
      </c>
      <c r="C148" s="265"/>
      <c r="D148" s="266"/>
      <c r="E148" s="256"/>
      <c r="F148" s="239"/>
      <c r="G148" s="246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5">
      <c r="A149" s="232"/>
      <c r="B149" s="295">
        <v>111</v>
      </c>
      <c r="C149" s="265"/>
      <c r="D149" s="266"/>
      <c r="E149" s="256"/>
      <c r="F149" s="239"/>
      <c r="G149" s="246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5">
      <c r="A150" s="232"/>
      <c r="B150" s="295">
        <v>112</v>
      </c>
      <c r="C150" s="265"/>
      <c r="D150" s="266"/>
      <c r="E150" s="256"/>
      <c r="F150" s="239"/>
      <c r="G150" s="246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5">
      <c r="A151" s="232"/>
      <c r="B151" s="295">
        <v>113</v>
      </c>
      <c r="C151" s="265"/>
      <c r="D151" s="266"/>
      <c r="E151" s="256"/>
      <c r="F151" s="239"/>
      <c r="G151" s="246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5">
      <c r="A152" s="232"/>
      <c r="B152" s="295">
        <v>114</v>
      </c>
      <c r="C152" s="265"/>
      <c r="D152" s="266"/>
      <c r="E152" s="256"/>
      <c r="F152" s="239"/>
      <c r="G152" s="246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5">
      <c r="A153" s="232"/>
      <c r="B153" s="295">
        <v>115</v>
      </c>
      <c r="C153" s="265"/>
      <c r="D153" s="266"/>
      <c r="E153" s="256"/>
      <c r="F153" s="239"/>
      <c r="G153" s="246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5">
      <c r="A154" s="232"/>
      <c r="B154" s="295">
        <v>116</v>
      </c>
      <c r="C154" s="265"/>
      <c r="D154" s="266"/>
      <c r="E154" s="256"/>
      <c r="F154" s="239"/>
      <c r="G154" s="246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5">
      <c r="A155" s="232"/>
      <c r="B155" s="295">
        <v>117</v>
      </c>
      <c r="C155" s="265"/>
      <c r="D155" s="266"/>
      <c r="E155" s="256"/>
      <c r="F155" s="239"/>
      <c r="G155" s="246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5">
      <c r="A156" s="232"/>
      <c r="B156" s="295">
        <v>118</v>
      </c>
      <c r="C156" s="265"/>
      <c r="D156" s="266"/>
      <c r="E156" s="256"/>
      <c r="F156" s="239"/>
      <c r="G156" s="246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5">
      <c r="A157" s="232"/>
      <c r="B157" s="295">
        <v>119</v>
      </c>
      <c r="C157" s="265"/>
      <c r="D157" s="266"/>
      <c r="E157" s="256"/>
      <c r="F157" s="239"/>
      <c r="G157" s="246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5">
      <c r="A158" s="232"/>
      <c r="B158" s="295">
        <v>120</v>
      </c>
      <c r="C158" s="265"/>
      <c r="D158" s="266"/>
      <c r="E158" s="256"/>
      <c r="F158" s="239"/>
      <c r="G158" s="246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5">
      <c r="A159" s="232"/>
      <c r="B159" s="295">
        <v>121</v>
      </c>
      <c r="C159" s="265"/>
      <c r="D159" s="266"/>
      <c r="E159" s="256"/>
      <c r="F159" s="239"/>
      <c r="G159" s="246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5">
      <c r="A160" s="232"/>
      <c r="B160" s="295">
        <v>122</v>
      </c>
      <c r="C160" s="265"/>
      <c r="D160" s="266"/>
      <c r="E160" s="256"/>
      <c r="F160" s="239"/>
      <c r="G160" s="246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5">
      <c r="A161" s="232"/>
      <c r="B161" s="295">
        <v>123</v>
      </c>
      <c r="C161" s="265"/>
      <c r="D161" s="266"/>
      <c r="E161" s="256"/>
      <c r="F161" s="239"/>
      <c r="G161" s="246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5">
      <c r="A162" s="232"/>
      <c r="B162" s="295">
        <v>124</v>
      </c>
      <c r="C162" s="265"/>
      <c r="D162" s="266"/>
      <c r="E162" s="256"/>
      <c r="F162" s="239"/>
      <c r="G162" s="246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5">
      <c r="A163" s="232"/>
      <c r="B163" s="295">
        <v>125</v>
      </c>
      <c r="C163" s="265"/>
      <c r="D163" s="266"/>
      <c r="E163" s="256"/>
      <c r="F163" s="239"/>
      <c r="G163" s="246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5">
      <c r="A164" s="232"/>
      <c r="B164" s="295">
        <v>126</v>
      </c>
      <c r="C164" s="265"/>
      <c r="D164" s="266"/>
      <c r="E164" s="256"/>
      <c r="F164" s="239"/>
      <c r="G164" s="246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5">
      <c r="A165" s="232"/>
      <c r="B165" s="295">
        <v>127</v>
      </c>
      <c r="C165" s="265"/>
      <c r="D165" s="266"/>
      <c r="E165" s="256"/>
      <c r="F165" s="239"/>
      <c r="G165" s="246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5">
      <c r="A166" s="232"/>
      <c r="B166" s="295">
        <v>128</v>
      </c>
      <c r="C166" s="265"/>
      <c r="D166" s="266"/>
      <c r="E166" s="256"/>
      <c r="F166" s="239"/>
      <c r="G166" s="246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5">
      <c r="A167" s="232"/>
      <c r="B167" s="295">
        <v>129</v>
      </c>
      <c r="C167" s="265"/>
      <c r="D167" s="266"/>
      <c r="E167" s="256"/>
      <c r="F167" s="239"/>
      <c r="G167" s="246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5">
      <c r="A168" s="232"/>
      <c r="B168" s="295">
        <v>130</v>
      </c>
      <c r="C168" s="265"/>
      <c r="D168" s="266"/>
      <c r="E168" s="256"/>
      <c r="F168" s="239"/>
      <c r="G168" s="246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5">
      <c r="A169" s="232"/>
      <c r="B169" s="295">
        <v>131</v>
      </c>
      <c r="C169" s="265"/>
      <c r="D169" s="266"/>
      <c r="E169" s="256"/>
      <c r="F169" s="239"/>
      <c r="G169" s="246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5">
      <c r="A170" s="232"/>
      <c r="B170" s="295">
        <v>132</v>
      </c>
      <c r="C170" s="265"/>
      <c r="D170" s="266"/>
      <c r="E170" s="256"/>
      <c r="F170" s="239"/>
      <c r="G170" s="246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5">
      <c r="A171" s="232"/>
      <c r="B171" s="295">
        <v>133</v>
      </c>
      <c r="C171" s="265"/>
      <c r="D171" s="266"/>
      <c r="E171" s="256"/>
      <c r="F171" s="239"/>
      <c r="G171" s="246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5">
      <c r="A172" s="232"/>
      <c r="B172" s="295">
        <v>134</v>
      </c>
      <c r="C172" s="265"/>
      <c r="D172" s="266"/>
      <c r="E172" s="256"/>
      <c r="F172" s="239"/>
      <c r="G172" s="246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5">
      <c r="A173" s="232"/>
      <c r="B173" s="295">
        <v>135</v>
      </c>
      <c r="C173" s="265"/>
      <c r="D173" s="266"/>
      <c r="E173" s="256"/>
      <c r="F173" s="239"/>
      <c r="G173" s="246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5">
      <c r="A174" s="232"/>
      <c r="B174" s="295">
        <v>136</v>
      </c>
      <c r="C174" s="265"/>
      <c r="D174" s="266"/>
      <c r="E174" s="256"/>
      <c r="F174" s="239"/>
      <c r="G174" s="246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5">
      <c r="A175" s="232"/>
      <c r="B175" s="295">
        <v>137</v>
      </c>
      <c r="C175" s="265"/>
      <c r="D175" s="266"/>
      <c r="E175" s="256"/>
      <c r="F175" s="239"/>
      <c r="G175" s="246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5">
      <c r="A176" s="232"/>
      <c r="B176" s="295">
        <v>138</v>
      </c>
      <c r="C176" s="265"/>
      <c r="D176" s="266"/>
      <c r="E176" s="256"/>
      <c r="F176" s="239"/>
      <c r="G176" s="246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5">
      <c r="A177" s="232"/>
      <c r="B177" s="295">
        <v>139</v>
      </c>
      <c r="C177" s="265"/>
      <c r="D177" s="266"/>
      <c r="E177" s="256"/>
      <c r="F177" s="239"/>
      <c r="G177" s="246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5">
      <c r="A178" s="232"/>
      <c r="B178" s="295">
        <v>140</v>
      </c>
      <c r="C178" s="265"/>
      <c r="D178" s="266"/>
      <c r="E178" s="256"/>
      <c r="F178" s="239"/>
      <c r="G178" s="246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5">
      <c r="A179" s="232"/>
      <c r="B179" s="295">
        <v>141</v>
      </c>
      <c r="C179" s="265"/>
      <c r="D179" s="266"/>
      <c r="E179" s="256"/>
      <c r="F179" s="239"/>
      <c r="G179" s="246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5">
      <c r="A180" s="232"/>
      <c r="B180" s="295">
        <v>142</v>
      </c>
      <c r="C180" s="265"/>
      <c r="D180" s="266"/>
      <c r="E180" s="256"/>
      <c r="F180" s="239"/>
      <c r="G180" s="246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5">
      <c r="A181" s="232"/>
      <c r="B181" s="295">
        <v>143</v>
      </c>
      <c r="C181" s="265"/>
      <c r="D181" s="266"/>
      <c r="E181" s="256"/>
      <c r="F181" s="239"/>
      <c r="G181" s="246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5">
      <c r="A182" s="232"/>
      <c r="B182" s="295">
        <v>144</v>
      </c>
      <c r="C182" s="265"/>
      <c r="D182" s="266"/>
      <c r="E182" s="256"/>
      <c r="F182" s="239"/>
      <c r="G182" s="246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5">
      <c r="A183" s="232"/>
      <c r="B183" s="295">
        <v>145</v>
      </c>
      <c r="C183" s="265"/>
      <c r="D183" s="266"/>
      <c r="E183" s="256"/>
      <c r="F183" s="239"/>
      <c r="G183" s="246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5">
      <c r="A184" s="232"/>
      <c r="B184" s="295">
        <v>146</v>
      </c>
      <c r="C184" s="265"/>
      <c r="D184" s="266"/>
      <c r="E184" s="256"/>
      <c r="F184" s="239"/>
      <c r="G184" s="246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5">
      <c r="A185" s="232"/>
      <c r="B185" s="295">
        <v>147</v>
      </c>
      <c r="C185" s="265"/>
      <c r="D185" s="266"/>
      <c r="E185" s="256"/>
      <c r="F185" s="239"/>
      <c r="G185" s="246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5">
      <c r="A186" s="232"/>
      <c r="B186" s="295">
        <v>148</v>
      </c>
      <c r="C186" s="265"/>
      <c r="D186" s="266"/>
      <c r="E186" s="256"/>
      <c r="F186" s="239"/>
      <c r="G186" s="246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5">
      <c r="A187" s="232"/>
      <c r="B187" s="295">
        <v>149</v>
      </c>
      <c r="C187" s="265"/>
      <c r="D187" s="266"/>
      <c r="E187" s="256"/>
      <c r="F187" s="239"/>
      <c r="G187" s="246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5">
      <c r="A188" s="232"/>
      <c r="B188" s="295">
        <v>150</v>
      </c>
      <c r="C188" s="265"/>
      <c r="D188" s="266"/>
      <c r="E188" s="256"/>
      <c r="F188" s="239"/>
      <c r="G188" s="246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5">
      <c r="A189" s="232"/>
      <c r="B189" s="295">
        <v>151</v>
      </c>
      <c r="C189" s="265"/>
      <c r="D189" s="266"/>
      <c r="E189" s="256"/>
      <c r="F189" s="239"/>
      <c r="G189" s="246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5">
      <c r="A190" s="232"/>
      <c r="B190" s="295">
        <v>152</v>
      </c>
      <c r="C190" s="265"/>
      <c r="D190" s="266"/>
      <c r="E190" s="256"/>
      <c r="F190" s="239"/>
      <c r="G190" s="246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5">
      <c r="A191" s="232"/>
      <c r="B191" s="295">
        <v>153</v>
      </c>
      <c r="C191" s="265"/>
      <c r="D191" s="266"/>
      <c r="E191" s="256"/>
      <c r="F191" s="239"/>
      <c r="G191" s="246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5">
      <c r="A192" s="232"/>
      <c r="B192" s="295">
        <v>154</v>
      </c>
      <c r="C192" s="265"/>
      <c r="D192" s="266"/>
      <c r="E192" s="256"/>
      <c r="F192" s="239"/>
      <c r="G192" s="246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5">
      <c r="A193" s="232"/>
      <c r="B193" s="295">
        <v>155</v>
      </c>
      <c r="C193" s="265"/>
      <c r="D193" s="266"/>
      <c r="E193" s="256"/>
      <c r="F193" s="239"/>
      <c r="G193" s="246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5">
      <c r="A194" s="232"/>
      <c r="B194" s="295">
        <v>156</v>
      </c>
      <c r="C194" s="265"/>
      <c r="D194" s="266"/>
      <c r="E194" s="256"/>
      <c r="F194" s="239"/>
      <c r="G194" s="246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5">
      <c r="A195" s="232"/>
      <c r="B195" s="295">
        <v>157</v>
      </c>
      <c r="C195" s="265"/>
      <c r="D195" s="266"/>
      <c r="E195" s="256"/>
      <c r="F195" s="239"/>
      <c r="G195" s="246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5">
      <c r="A196" s="232"/>
      <c r="B196" s="295">
        <v>158</v>
      </c>
      <c r="C196" s="265"/>
      <c r="D196" s="266"/>
      <c r="E196" s="256"/>
      <c r="F196" s="239"/>
      <c r="G196" s="246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5">
      <c r="A197" s="232"/>
      <c r="B197" s="295">
        <v>159</v>
      </c>
      <c r="C197" s="265"/>
      <c r="D197" s="266"/>
      <c r="E197" s="256"/>
      <c r="F197" s="239"/>
      <c r="G197" s="246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5">
      <c r="A198" s="232"/>
      <c r="B198" s="295">
        <v>160</v>
      </c>
      <c r="C198" s="265"/>
      <c r="D198" s="266"/>
      <c r="E198" s="256"/>
      <c r="F198" s="239"/>
      <c r="G198" s="246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5">
      <c r="A199" s="232"/>
      <c r="B199" s="295">
        <v>161</v>
      </c>
      <c r="C199" s="265"/>
      <c r="D199" s="266"/>
      <c r="E199" s="256"/>
      <c r="F199" s="239"/>
      <c r="G199" s="246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5">
      <c r="A200" s="232"/>
      <c r="B200" s="295">
        <v>162</v>
      </c>
      <c r="C200" s="265"/>
      <c r="D200" s="266"/>
      <c r="E200" s="256"/>
      <c r="F200" s="239"/>
      <c r="G200" s="246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5">
      <c r="A201" s="232"/>
      <c r="B201" s="295">
        <v>163</v>
      </c>
      <c r="C201" s="265"/>
      <c r="D201" s="266"/>
      <c r="E201" s="256"/>
      <c r="F201" s="239"/>
      <c r="G201" s="246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5">
      <c r="A202" s="232"/>
      <c r="B202" s="295">
        <v>164</v>
      </c>
      <c r="C202" s="265"/>
      <c r="D202" s="266"/>
      <c r="E202" s="256"/>
      <c r="F202" s="239"/>
      <c r="G202" s="246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5">
      <c r="A203" s="232"/>
      <c r="B203" s="295">
        <v>165</v>
      </c>
      <c r="C203" s="265"/>
      <c r="D203" s="266"/>
      <c r="E203" s="256"/>
      <c r="F203" s="239"/>
      <c r="G203" s="246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5">
      <c r="A204" s="232"/>
      <c r="B204" s="295">
        <v>166</v>
      </c>
      <c r="C204" s="265"/>
      <c r="D204" s="266"/>
      <c r="E204" s="256"/>
      <c r="F204" s="239"/>
      <c r="G204" s="246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5">
      <c r="A205" s="232"/>
      <c r="B205" s="295">
        <v>167</v>
      </c>
      <c r="C205" s="265"/>
      <c r="D205" s="266"/>
      <c r="E205" s="256"/>
      <c r="F205" s="239"/>
      <c r="G205" s="246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5">
      <c r="A206" s="232"/>
      <c r="B206" s="295">
        <v>168</v>
      </c>
      <c r="C206" s="265"/>
      <c r="D206" s="266"/>
      <c r="E206" s="256"/>
      <c r="F206" s="239"/>
      <c r="G206" s="246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5">
      <c r="A207" s="232"/>
      <c r="B207" s="295">
        <v>169</v>
      </c>
      <c r="C207" s="265"/>
      <c r="D207" s="266"/>
      <c r="E207" s="256"/>
      <c r="F207" s="239"/>
      <c r="G207" s="246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5">
      <c r="A208" s="232"/>
      <c r="B208" s="295">
        <v>170</v>
      </c>
      <c r="C208" s="265"/>
      <c r="D208" s="266"/>
      <c r="E208" s="256"/>
      <c r="F208" s="239"/>
      <c r="G208" s="246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5">
      <c r="A209" s="232"/>
      <c r="B209" s="295">
        <v>171</v>
      </c>
      <c r="C209" s="265"/>
      <c r="D209" s="266"/>
      <c r="E209" s="256"/>
      <c r="F209" s="239"/>
      <c r="G209" s="246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5">
      <c r="A210" s="232"/>
      <c r="B210" s="295">
        <v>172</v>
      </c>
      <c r="C210" s="265"/>
      <c r="D210" s="266"/>
      <c r="E210" s="256"/>
      <c r="F210" s="239"/>
      <c r="G210" s="246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5">
      <c r="A211" s="232"/>
      <c r="B211" s="295">
        <v>173</v>
      </c>
      <c r="C211" s="265"/>
      <c r="D211" s="266"/>
      <c r="E211" s="256"/>
      <c r="F211" s="239"/>
      <c r="G211" s="246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5">
      <c r="A212" s="232"/>
      <c r="B212" s="295">
        <v>174</v>
      </c>
      <c r="C212" s="265"/>
      <c r="D212" s="266"/>
      <c r="E212" s="256"/>
      <c r="F212" s="239"/>
      <c r="G212" s="246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5">
      <c r="A213" s="232"/>
      <c r="B213" s="295">
        <v>175</v>
      </c>
      <c r="C213" s="265"/>
      <c r="D213" s="266"/>
      <c r="E213" s="256"/>
      <c r="F213" s="239"/>
      <c r="G213" s="246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5">
      <c r="A214" s="232"/>
      <c r="B214" s="295">
        <v>176</v>
      </c>
      <c r="C214" s="265"/>
      <c r="D214" s="266"/>
      <c r="E214" s="256"/>
      <c r="F214" s="239"/>
      <c r="G214" s="246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5">
      <c r="A215" s="232"/>
      <c r="B215" s="295">
        <v>177</v>
      </c>
      <c r="C215" s="265"/>
      <c r="D215" s="266"/>
      <c r="E215" s="256"/>
      <c r="F215" s="239"/>
      <c r="G215" s="246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5">
      <c r="A216" s="232"/>
      <c r="B216" s="295">
        <v>178</v>
      </c>
      <c r="C216" s="265"/>
      <c r="D216" s="266"/>
      <c r="E216" s="256"/>
      <c r="F216" s="239"/>
      <c r="G216" s="246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5">
      <c r="A217" s="232"/>
      <c r="B217" s="295">
        <v>179</v>
      </c>
      <c r="C217" s="265"/>
      <c r="D217" s="266"/>
      <c r="E217" s="256"/>
      <c r="F217" s="239"/>
      <c r="G217" s="246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5">
      <c r="A218" s="232"/>
      <c r="B218" s="295">
        <v>180</v>
      </c>
      <c r="C218" s="265"/>
      <c r="D218" s="266"/>
      <c r="E218" s="256"/>
      <c r="F218" s="239"/>
      <c r="G218" s="246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5">
      <c r="A219" s="232"/>
      <c r="B219" s="295">
        <v>181</v>
      </c>
      <c r="C219" s="265"/>
      <c r="D219" s="266"/>
      <c r="E219" s="256"/>
      <c r="F219" s="239"/>
      <c r="G219" s="246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5">
      <c r="A220" s="232"/>
      <c r="B220" s="295">
        <v>182</v>
      </c>
      <c r="C220" s="265"/>
      <c r="D220" s="266"/>
      <c r="E220" s="256"/>
      <c r="F220" s="239"/>
      <c r="G220" s="246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5">
      <c r="A221" s="232"/>
      <c r="B221" s="295">
        <v>183</v>
      </c>
      <c r="C221" s="265"/>
      <c r="D221" s="266"/>
      <c r="E221" s="256"/>
      <c r="F221" s="239"/>
      <c r="G221" s="246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5">
      <c r="A222" s="232"/>
      <c r="B222" s="295">
        <v>184</v>
      </c>
      <c r="C222" s="265"/>
      <c r="D222" s="266"/>
      <c r="E222" s="256"/>
      <c r="F222" s="239"/>
      <c r="G222" s="246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5">
      <c r="A223" s="232"/>
      <c r="B223" s="295">
        <v>185</v>
      </c>
      <c r="C223" s="265"/>
      <c r="D223" s="266"/>
      <c r="E223" s="256"/>
      <c r="F223" s="239"/>
      <c r="G223" s="246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5">
      <c r="A224" s="232"/>
      <c r="B224" s="295">
        <v>186</v>
      </c>
      <c r="C224" s="265"/>
      <c r="D224" s="266"/>
      <c r="E224" s="256"/>
      <c r="F224" s="239"/>
      <c r="G224" s="246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5">
      <c r="A225" s="232"/>
      <c r="B225" s="295">
        <v>187</v>
      </c>
      <c r="C225" s="265"/>
      <c r="D225" s="266"/>
      <c r="E225" s="256"/>
      <c r="F225" s="239"/>
      <c r="G225" s="246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5">
      <c r="A226" s="232"/>
      <c r="B226" s="295">
        <v>188</v>
      </c>
      <c r="C226" s="265"/>
      <c r="D226" s="266"/>
      <c r="E226" s="256"/>
      <c r="F226" s="239"/>
      <c r="G226" s="246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5">
      <c r="A227" s="232"/>
      <c r="B227" s="295">
        <v>189</v>
      </c>
      <c r="C227" s="265"/>
      <c r="D227" s="266"/>
      <c r="E227" s="256"/>
      <c r="F227" s="239"/>
      <c r="G227" s="246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5">
      <c r="A228" s="232"/>
      <c r="B228" s="295">
        <v>190</v>
      </c>
      <c r="C228" s="265"/>
      <c r="D228" s="266"/>
      <c r="E228" s="256"/>
      <c r="F228" s="239"/>
      <c r="G228" s="246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5">
      <c r="A229" s="232"/>
      <c r="B229" s="295">
        <v>191</v>
      </c>
      <c r="C229" s="265"/>
      <c r="D229" s="266"/>
      <c r="E229" s="256"/>
      <c r="F229" s="239"/>
      <c r="G229" s="246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5">
      <c r="A230" s="232"/>
      <c r="B230" s="295">
        <v>192</v>
      </c>
      <c r="C230" s="265"/>
      <c r="D230" s="266"/>
      <c r="E230" s="256"/>
      <c r="F230" s="239"/>
      <c r="G230" s="246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5">
      <c r="A231" s="232"/>
      <c r="B231" s="295">
        <v>193</v>
      </c>
      <c r="C231" s="265"/>
      <c r="D231" s="266"/>
      <c r="E231" s="256"/>
      <c r="F231" s="239"/>
      <c r="G231" s="246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5">
      <c r="A232" s="232"/>
      <c r="B232" s="295">
        <v>194</v>
      </c>
      <c r="C232" s="265"/>
      <c r="D232" s="266"/>
      <c r="E232" s="256"/>
      <c r="F232" s="239"/>
      <c r="G232" s="246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5">
      <c r="A233" s="232"/>
      <c r="B233" s="295">
        <v>195</v>
      </c>
      <c r="C233" s="265"/>
      <c r="D233" s="266"/>
      <c r="E233" s="256"/>
      <c r="F233" s="239"/>
      <c r="G233" s="246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5">
      <c r="A234" s="232"/>
      <c r="B234" s="295">
        <v>196</v>
      </c>
      <c r="C234" s="265"/>
      <c r="D234" s="266"/>
      <c r="E234" s="256"/>
      <c r="F234" s="239"/>
      <c r="G234" s="246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5">
      <c r="A235" s="232"/>
      <c r="B235" s="295">
        <v>197</v>
      </c>
      <c r="C235" s="265"/>
      <c r="D235" s="266"/>
      <c r="E235" s="256"/>
      <c r="F235" s="239"/>
      <c r="G235" s="246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5">
      <c r="A236" s="232"/>
      <c r="B236" s="295">
        <v>198</v>
      </c>
      <c r="C236" s="265"/>
      <c r="D236" s="266"/>
      <c r="E236" s="256"/>
      <c r="F236" s="239"/>
      <c r="G236" s="246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5">
      <c r="A237" s="232"/>
      <c r="B237" s="295">
        <v>199</v>
      </c>
      <c r="C237" s="265"/>
      <c r="D237" s="266"/>
      <c r="E237" s="256"/>
      <c r="F237" s="239"/>
      <c r="G237" s="246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5">
      <c r="A238" s="232"/>
      <c r="B238" s="295">
        <v>200</v>
      </c>
      <c r="C238" s="265"/>
      <c r="D238" s="266"/>
      <c r="E238" s="256"/>
      <c r="F238" s="239"/>
      <c r="G238" s="246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5">
      <c r="A239" s="232"/>
      <c r="B239" s="295">
        <v>201</v>
      </c>
      <c r="C239" s="265"/>
      <c r="D239" s="266"/>
      <c r="E239" s="256"/>
      <c r="F239" s="239"/>
      <c r="G239" s="246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5">
      <c r="A240" s="232"/>
      <c r="B240" s="295">
        <v>202</v>
      </c>
      <c r="C240" s="265"/>
      <c r="D240" s="266"/>
      <c r="E240" s="256"/>
      <c r="F240" s="239"/>
      <c r="G240" s="246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5">
      <c r="A241" s="232"/>
      <c r="B241" s="295">
        <v>203</v>
      </c>
      <c r="C241" s="265"/>
      <c r="D241" s="266"/>
      <c r="E241" s="256"/>
      <c r="F241" s="239"/>
      <c r="G241" s="246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5">
      <c r="A242" s="232"/>
      <c r="B242" s="295">
        <v>204</v>
      </c>
      <c r="C242" s="265"/>
      <c r="D242" s="266"/>
      <c r="E242" s="256"/>
      <c r="F242" s="239"/>
      <c r="G242" s="246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5">
      <c r="A243" s="232"/>
      <c r="B243" s="295">
        <v>205</v>
      </c>
      <c r="C243" s="265"/>
      <c r="D243" s="266"/>
      <c r="E243" s="256"/>
      <c r="F243" s="239"/>
      <c r="G243" s="246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5">
      <c r="A244" s="232"/>
      <c r="B244" s="295">
        <v>206</v>
      </c>
      <c r="C244" s="265"/>
      <c r="D244" s="266"/>
      <c r="E244" s="256"/>
      <c r="F244" s="239"/>
      <c r="G244" s="246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5">
      <c r="A245" s="232"/>
      <c r="B245" s="295">
        <v>207</v>
      </c>
      <c r="C245" s="265"/>
      <c r="D245" s="266"/>
      <c r="E245" s="256"/>
      <c r="F245" s="239"/>
      <c r="G245" s="246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5">
      <c r="A246" s="232"/>
      <c r="B246" s="295">
        <v>208</v>
      </c>
      <c r="C246" s="265"/>
      <c r="D246" s="266"/>
      <c r="E246" s="256"/>
      <c r="F246" s="239"/>
      <c r="G246" s="246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5">
      <c r="A247" s="232"/>
      <c r="B247" s="295">
        <v>209</v>
      </c>
      <c r="C247" s="265"/>
      <c r="D247" s="266"/>
      <c r="E247" s="256"/>
      <c r="F247" s="239"/>
      <c r="G247" s="246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5">
      <c r="A248" s="232"/>
      <c r="B248" s="295">
        <v>210</v>
      </c>
      <c r="C248" s="265"/>
      <c r="D248" s="266"/>
      <c r="E248" s="256"/>
      <c r="F248" s="239"/>
      <c r="G248" s="246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5">
      <c r="A249" s="232"/>
      <c r="B249" s="295">
        <v>211</v>
      </c>
      <c r="C249" s="265"/>
      <c r="D249" s="266"/>
      <c r="E249" s="256"/>
      <c r="F249" s="239"/>
      <c r="G249" s="246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5">
      <c r="A250" s="232"/>
      <c r="B250" s="295">
        <v>212</v>
      </c>
      <c r="C250" s="265"/>
      <c r="D250" s="266"/>
      <c r="E250" s="256"/>
      <c r="F250" s="239"/>
      <c r="G250" s="246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5">
      <c r="A251" s="232"/>
      <c r="B251" s="295">
        <v>213</v>
      </c>
      <c r="C251" s="265"/>
      <c r="D251" s="266"/>
      <c r="E251" s="256"/>
      <c r="F251" s="239"/>
      <c r="G251" s="246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5">
      <c r="A252" s="232"/>
      <c r="B252" s="295">
        <v>214</v>
      </c>
      <c r="C252" s="265"/>
      <c r="D252" s="266"/>
      <c r="E252" s="256"/>
      <c r="F252" s="239"/>
      <c r="G252" s="246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5">
      <c r="A253" s="232"/>
      <c r="B253" s="295">
        <v>215</v>
      </c>
      <c r="C253" s="265"/>
      <c r="D253" s="266"/>
      <c r="E253" s="256"/>
      <c r="F253" s="239"/>
      <c r="G253" s="246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5">
      <c r="A254" s="232"/>
      <c r="B254" s="295">
        <v>216</v>
      </c>
      <c r="C254" s="265"/>
      <c r="D254" s="266"/>
      <c r="E254" s="256"/>
      <c r="F254" s="239"/>
      <c r="G254" s="246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5">
      <c r="A255" s="232"/>
      <c r="B255" s="295">
        <v>217</v>
      </c>
      <c r="C255" s="265"/>
      <c r="D255" s="266"/>
      <c r="E255" s="256"/>
      <c r="F255" s="239"/>
      <c r="G255" s="246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5">
      <c r="A256" s="232"/>
      <c r="B256" s="295">
        <v>218</v>
      </c>
      <c r="C256" s="265"/>
      <c r="D256" s="266"/>
      <c r="E256" s="256"/>
      <c r="F256" s="239"/>
      <c r="G256" s="246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5">
      <c r="A257" s="232"/>
      <c r="B257" s="295">
        <v>219</v>
      </c>
      <c r="C257" s="265"/>
      <c r="D257" s="266"/>
      <c r="E257" s="256"/>
      <c r="F257" s="239"/>
      <c r="G257" s="246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5">
      <c r="A258" s="232"/>
      <c r="B258" s="295">
        <v>220</v>
      </c>
      <c r="C258" s="265"/>
      <c r="D258" s="266"/>
      <c r="E258" s="256"/>
      <c r="F258" s="239"/>
      <c r="G258" s="246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5">
      <c r="A259" s="232"/>
      <c r="B259" s="295">
        <v>221</v>
      </c>
      <c r="C259" s="265"/>
      <c r="D259" s="266"/>
      <c r="E259" s="256"/>
      <c r="F259" s="239"/>
      <c r="G259" s="246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5">
      <c r="A260" s="232"/>
      <c r="B260" s="295">
        <v>222</v>
      </c>
      <c r="C260" s="265"/>
      <c r="D260" s="266"/>
      <c r="E260" s="256"/>
      <c r="F260" s="239"/>
      <c r="G260" s="246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5">
      <c r="A261" s="232"/>
      <c r="B261" s="295">
        <v>223</v>
      </c>
      <c r="C261" s="265"/>
      <c r="D261" s="266"/>
      <c r="E261" s="256"/>
      <c r="F261" s="239"/>
      <c r="G261" s="246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5">
      <c r="A262" s="232"/>
      <c r="B262" s="295">
        <v>224</v>
      </c>
      <c r="C262" s="265"/>
      <c r="D262" s="266"/>
      <c r="E262" s="256"/>
      <c r="F262" s="239"/>
      <c r="G262" s="246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5">
      <c r="A263" s="232"/>
      <c r="B263" s="295">
        <v>225</v>
      </c>
      <c r="C263" s="265"/>
      <c r="D263" s="266"/>
      <c r="E263" s="256"/>
      <c r="F263" s="239"/>
      <c r="G263" s="246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5">
      <c r="A264" s="232"/>
      <c r="B264" s="295">
        <v>226</v>
      </c>
      <c r="C264" s="265"/>
      <c r="D264" s="266"/>
      <c r="E264" s="256"/>
      <c r="F264" s="239"/>
      <c r="G264" s="246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5">
      <c r="A265" s="232"/>
      <c r="B265" s="295">
        <v>227</v>
      </c>
      <c r="C265" s="265"/>
      <c r="D265" s="266"/>
      <c r="E265" s="256"/>
      <c r="F265" s="239"/>
      <c r="G265" s="246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5">
      <c r="A266" s="232"/>
      <c r="B266" s="295">
        <v>228</v>
      </c>
      <c r="C266" s="265"/>
      <c r="D266" s="266"/>
      <c r="E266" s="256"/>
      <c r="F266" s="239"/>
      <c r="G266" s="246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5">
      <c r="A267" s="232"/>
      <c r="B267" s="295">
        <v>229</v>
      </c>
      <c r="C267" s="265"/>
      <c r="D267" s="266"/>
      <c r="E267" s="256"/>
      <c r="F267" s="239"/>
      <c r="G267" s="246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5">
      <c r="A268" s="232"/>
      <c r="B268" s="295">
        <v>230</v>
      </c>
      <c r="C268" s="265"/>
      <c r="D268" s="266"/>
      <c r="E268" s="256"/>
      <c r="F268" s="239"/>
      <c r="G268" s="246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5">
      <c r="A269" s="232"/>
      <c r="B269" s="295">
        <v>231</v>
      </c>
      <c r="C269" s="265"/>
      <c r="D269" s="266"/>
      <c r="E269" s="256"/>
      <c r="F269" s="239"/>
      <c r="G269" s="246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5">
      <c r="A270" s="232"/>
      <c r="B270" s="295">
        <v>232</v>
      </c>
      <c r="C270" s="265"/>
      <c r="D270" s="266"/>
      <c r="E270" s="256"/>
      <c r="F270" s="239"/>
      <c r="G270" s="246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5">
      <c r="A271" s="232"/>
      <c r="B271" s="295">
        <v>233</v>
      </c>
      <c r="C271" s="265"/>
      <c r="D271" s="266"/>
      <c r="E271" s="256"/>
      <c r="F271" s="239"/>
      <c r="G271" s="246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5">
      <c r="A272" s="232"/>
      <c r="B272" s="295">
        <v>234</v>
      </c>
      <c r="C272" s="265"/>
      <c r="D272" s="266"/>
      <c r="E272" s="256"/>
      <c r="F272" s="239"/>
      <c r="G272" s="246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5">
      <c r="A273" s="232"/>
      <c r="B273" s="295">
        <v>235</v>
      </c>
      <c r="C273" s="265"/>
      <c r="D273" s="266"/>
      <c r="E273" s="256"/>
      <c r="F273" s="239"/>
      <c r="G273" s="246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5">
      <c r="A274" s="232"/>
      <c r="B274" s="295">
        <v>236</v>
      </c>
      <c r="C274" s="265"/>
      <c r="D274" s="266"/>
      <c r="E274" s="256"/>
      <c r="F274" s="239"/>
      <c r="G274" s="246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5">
      <c r="A275" s="232"/>
      <c r="B275" s="295">
        <v>237</v>
      </c>
      <c r="C275" s="265"/>
      <c r="D275" s="266"/>
      <c r="E275" s="256"/>
      <c r="F275" s="239"/>
      <c r="G275" s="246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5">
      <c r="A276" s="232"/>
      <c r="B276" s="295">
        <v>238</v>
      </c>
      <c r="C276" s="265"/>
      <c r="D276" s="266"/>
      <c r="E276" s="256"/>
      <c r="F276" s="239"/>
      <c r="G276" s="246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5">
      <c r="A277" s="232"/>
      <c r="B277" s="295">
        <v>239</v>
      </c>
      <c r="C277" s="265"/>
      <c r="D277" s="266"/>
      <c r="E277" s="256"/>
      <c r="F277" s="239"/>
      <c r="G277" s="246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5">
      <c r="A278" s="232"/>
      <c r="B278" s="295">
        <v>240</v>
      </c>
      <c r="C278" s="265"/>
      <c r="D278" s="266"/>
      <c r="E278" s="256"/>
      <c r="F278" s="239"/>
      <c r="G278" s="246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5">
      <c r="A279" s="232"/>
      <c r="B279" s="295">
        <v>241</v>
      </c>
      <c r="C279" s="265"/>
      <c r="D279" s="266"/>
      <c r="E279" s="256"/>
      <c r="F279" s="239"/>
      <c r="G279" s="246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5">
      <c r="A280" s="232"/>
      <c r="B280" s="295">
        <v>242</v>
      </c>
      <c r="C280" s="265"/>
      <c r="D280" s="266"/>
      <c r="E280" s="256"/>
      <c r="F280" s="239"/>
      <c r="G280" s="246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5">
      <c r="A281" s="232"/>
      <c r="B281" s="295">
        <v>243</v>
      </c>
      <c r="C281" s="265"/>
      <c r="D281" s="266"/>
      <c r="E281" s="256"/>
      <c r="F281" s="239"/>
      <c r="G281" s="246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5">
      <c r="A282" s="232"/>
      <c r="B282" s="295">
        <v>244</v>
      </c>
      <c r="C282" s="265"/>
      <c r="D282" s="266"/>
      <c r="E282" s="256"/>
      <c r="F282" s="239"/>
      <c r="G282" s="246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5">
      <c r="A283" s="232"/>
      <c r="B283" s="295">
        <v>245</v>
      </c>
      <c r="C283" s="265"/>
      <c r="D283" s="266"/>
      <c r="E283" s="256"/>
      <c r="F283" s="239"/>
      <c r="G283" s="246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5">
      <c r="A284" s="232"/>
      <c r="B284" s="295">
        <v>246</v>
      </c>
      <c r="C284" s="265"/>
      <c r="D284" s="266"/>
      <c r="E284" s="256"/>
      <c r="F284" s="239"/>
      <c r="G284" s="246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5">
      <c r="A285" s="232"/>
      <c r="B285" s="295">
        <v>247</v>
      </c>
      <c r="C285" s="265"/>
      <c r="D285" s="266"/>
      <c r="E285" s="256"/>
      <c r="F285" s="239"/>
      <c r="G285" s="246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5">
      <c r="A286" s="232"/>
      <c r="B286" s="295">
        <v>248</v>
      </c>
      <c r="C286" s="265"/>
      <c r="D286" s="266"/>
      <c r="E286" s="256"/>
      <c r="F286" s="239"/>
      <c r="G286" s="246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5">
      <c r="A287" s="232"/>
      <c r="B287" s="295">
        <v>249</v>
      </c>
      <c r="C287" s="265"/>
      <c r="D287" s="266"/>
      <c r="E287" s="256"/>
      <c r="F287" s="239"/>
      <c r="G287" s="246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5">
      <c r="A288" s="232"/>
      <c r="B288" s="295">
        <v>250</v>
      </c>
      <c r="C288" s="265"/>
      <c r="D288" s="266"/>
      <c r="E288" s="256"/>
      <c r="F288" s="239"/>
      <c r="G288" s="246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5">
      <c r="A289" s="232"/>
      <c r="B289" s="295">
        <v>251</v>
      </c>
      <c r="C289" s="265"/>
      <c r="D289" s="266"/>
      <c r="E289" s="256"/>
      <c r="F289" s="239"/>
      <c r="G289" s="246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5">
      <c r="A290" s="232"/>
      <c r="B290" s="295">
        <v>252</v>
      </c>
      <c r="C290" s="265"/>
      <c r="D290" s="266"/>
      <c r="E290" s="256"/>
      <c r="F290" s="239"/>
      <c r="G290" s="246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5">
      <c r="A291" s="232"/>
      <c r="B291" s="295">
        <v>253</v>
      </c>
      <c r="C291" s="265"/>
      <c r="D291" s="266"/>
      <c r="E291" s="256"/>
      <c r="F291" s="239"/>
      <c r="G291" s="246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5">
      <c r="A292" s="232"/>
      <c r="B292" s="295">
        <v>254</v>
      </c>
      <c r="C292" s="265"/>
      <c r="D292" s="266"/>
      <c r="E292" s="256"/>
      <c r="F292" s="239"/>
      <c r="G292" s="246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5">
      <c r="A293" s="232"/>
      <c r="B293" s="295">
        <v>255</v>
      </c>
      <c r="C293" s="265"/>
      <c r="D293" s="266"/>
      <c r="E293" s="256"/>
      <c r="F293" s="239"/>
      <c r="G293" s="246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5">
      <c r="A294" s="232"/>
      <c r="B294" s="295">
        <v>256</v>
      </c>
      <c r="C294" s="265"/>
      <c r="D294" s="266"/>
      <c r="E294" s="256"/>
      <c r="F294" s="239"/>
      <c r="G294" s="246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5">
      <c r="A295" s="232"/>
      <c r="B295" s="295">
        <v>257</v>
      </c>
      <c r="C295" s="265"/>
      <c r="D295" s="266"/>
      <c r="E295" s="256"/>
      <c r="F295" s="239"/>
      <c r="G295" s="246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5">
      <c r="A296" s="232"/>
      <c r="B296" s="295">
        <v>258</v>
      </c>
      <c r="C296" s="265"/>
      <c r="D296" s="266"/>
      <c r="E296" s="256"/>
      <c r="F296" s="239"/>
      <c r="G296" s="246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5">
      <c r="A297" s="232"/>
      <c r="B297" s="295">
        <v>259</v>
      </c>
      <c r="C297" s="265"/>
      <c r="D297" s="266"/>
      <c r="E297" s="256"/>
      <c r="F297" s="239"/>
      <c r="G297" s="246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5">
      <c r="A298" s="232"/>
      <c r="B298" s="295">
        <v>260</v>
      </c>
      <c r="C298" s="265"/>
      <c r="D298" s="266"/>
      <c r="E298" s="256"/>
      <c r="F298" s="239"/>
      <c r="G298" s="246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5">
      <c r="A299" s="232"/>
      <c r="B299" s="295">
        <v>261</v>
      </c>
      <c r="C299" s="265"/>
      <c r="D299" s="266"/>
      <c r="E299" s="256"/>
      <c r="F299" s="239"/>
      <c r="G299" s="246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5">
      <c r="A300" s="232"/>
      <c r="B300" s="295">
        <v>262</v>
      </c>
      <c r="C300" s="265"/>
      <c r="D300" s="266"/>
      <c r="E300" s="256"/>
      <c r="F300" s="239"/>
      <c r="G300" s="246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5">
      <c r="A301" s="232"/>
      <c r="B301" s="295">
        <v>263</v>
      </c>
      <c r="C301" s="265"/>
      <c r="D301" s="266"/>
      <c r="E301" s="256"/>
      <c r="F301" s="239"/>
      <c r="G301" s="246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5">
      <c r="A302" s="232"/>
      <c r="B302" s="295">
        <v>264</v>
      </c>
      <c r="C302" s="265"/>
      <c r="D302" s="266"/>
      <c r="E302" s="256"/>
      <c r="F302" s="239"/>
      <c r="G302" s="246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5">
      <c r="A303" s="232"/>
      <c r="B303" s="295">
        <v>265</v>
      </c>
      <c r="C303" s="265"/>
      <c r="D303" s="266"/>
      <c r="E303" s="256"/>
      <c r="F303" s="239"/>
      <c r="G303" s="246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5">
      <c r="A304" s="232"/>
      <c r="B304" s="295">
        <v>266</v>
      </c>
      <c r="C304" s="265"/>
      <c r="D304" s="266"/>
      <c r="E304" s="256"/>
      <c r="F304" s="239"/>
      <c r="G304" s="246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5">
      <c r="A305" s="232"/>
      <c r="B305" s="295">
        <v>267</v>
      </c>
      <c r="C305" s="265"/>
      <c r="D305" s="266"/>
      <c r="E305" s="256"/>
      <c r="F305" s="239"/>
      <c r="G305" s="246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5">
      <c r="A306" s="232"/>
      <c r="B306" s="295">
        <v>268</v>
      </c>
      <c r="C306" s="265"/>
      <c r="D306" s="266"/>
      <c r="E306" s="256"/>
      <c r="F306" s="239"/>
      <c r="G306" s="246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5">
      <c r="A307" s="232"/>
      <c r="B307" s="295">
        <v>269</v>
      </c>
      <c r="C307" s="265"/>
      <c r="D307" s="266"/>
      <c r="E307" s="256"/>
      <c r="F307" s="239"/>
      <c r="G307" s="246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5">
      <c r="A308" s="232"/>
      <c r="B308" s="295">
        <v>270</v>
      </c>
      <c r="C308" s="265"/>
      <c r="D308" s="266"/>
      <c r="E308" s="256"/>
      <c r="F308" s="239"/>
      <c r="G308" s="246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5">
      <c r="A309" s="232"/>
      <c r="B309" s="295">
        <v>271</v>
      </c>
      <c r="C309" s="265"/>
      <c r="D309" s="266"/>
      <c r="E309" s="256"/>
      <c r="F309" s="239"/>
      <c r="G309" s="246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5">
      <c r="A310" s="232"/>
      <c r="B310" s="295">
        <v>272</v>
      </c>
      <c r="C310" s="265"/>
      <c r="D310" s="266"/>
      <c r="E310" s="256"/>
      <c r="F310" s="239"/>
      <c r="G310" s="246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5">
      <c r="A311" s="232"/>
      <c r="B311" s="295">
        <v>273</v>
      </c>
      <c r="C311" s="265"/>
      <c r="D311" s="266"/>
      <c r="E311" s="256"/>
      <c r="F311" s="239"/>
      <c r="G311" s="246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5">
      <c r="A312" s="232"/>
      <c r="B312" s="295">
        <v>274</v>
      </c>
      <c r="C312" s="265"/>
      <c r="D312" s="266"/>
      <c r="E312" s="256"/>
      <c r="F312" s="239"/>
      <c r="G312" s="246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5">
      <c r="A313" s="232"/>
      <c r="B313" s="295">
        <v>275</v>
      </c>
      <c r="C313" s="265"/>
      <c r="D313" s="266"/>
      <c r="E313" s="256"/>
      <c r="F313" s="239"/>
      <c r="G313" s="246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.75" thickBot="1">
      <c r="A314" s="232"/>
      <c r="B314" s="295">
        <v>276</v>
      </c>
      <c r="C314" s="265"/>
      <c r="D314" s="266"/>
      <c r="E314" s="256"/>
      <c r="F314" s="239"/>
      <c r="G314" s="246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5">
      <c r="A315" s="232"/>
      <c r="B315" s="295">
        <v>277</v>
      </c>
      <c r="C315" s="265"/>
      <c r="D315" s="266"/>
      <c r="E315" s="256"/>
      <c r="F315" s="239"/>
      <c r="G315" s="246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5">
      <c r="A316" s="232"/>
      <c r="B316" s="295">
        <v>278</v>
      </c>
      <c r="C316" s="265"/>
      <c r="D316" s="266"/>
      <c r="E316" s="256"/>
      <c r="F316" s="239"/>
      <c r="G316" s="24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5">
      <c r="A317" s="232"/>
      <c r="B317" s="295">
        <v>279</v>
      </c>
      <c r="C317" s="265"/>
      <c r="D317" s="266"/>
      <c r="E317" s="256"/>
      <c r="F317" s="239"/>
      <c r="G317" s="246"/>
    </row>
    <row r="318" spans="1:26" customFormat="1" ht="15">
      <c r="A318" s="232"/>
      <c r="B318" s="295">
        <v>280</v>
      </c>
      <c r="C318" s="265"/>
      <c r="D318" s="266"/>
      <c r="E318" s="256"/>
      <c r="F318" s="239"/>
      <c r="G318" s="246"/>
    </row>
    <row r="319" spans="1:26" customFormat="1" ht="15">
      <c r="A319" s="232"/>
      <c r="B319" s="295">
        <v>281</v>
      </c>
      <c r="C319" s="265"/>
      <c r="D319" s="266"/>
      <c r="E319" s="256"/>
      <c r="F319" s="239"/>
      <c r="G319" s="246"/>
    </row>
    <row r="320" spans="1:26" customFormat="1" ht="15">
      <c r="A320" s="232"/>
      <c r="B320" s="295">
        <v>282</v>
      </c>
      <c r="C320" s="265"/>
      <c r="D320" s="266"/>
      <c r="E320" s="256"/>
      <c r="F320" s="239"/>
      <c r="G320" s="246"/>
    </row>
    <row r="321" spans="1:7" customFormat="1" ht="15">
      <c r="A321" s="232"/>
      <c r="B321" s="295">
        <v>283</v>
      </c>
      <c r="C321" s="265"/>
      <c r="D321" s="266"/>
      <c r="E321" s="256"/>
      <c r="F321" s="239"/>
      <c r="G321" s="246"/>
    </row>
    <row r="322" spans="1:7" customFormat="1" ht="15">
      <c r="A322" s="232"/>
      <c r="B322" s="295">
        <v>284</v>
      </c>
      <c r="C322" s="265"/>
      <c r="D322" s="266"/>
      <c r="E322" s="256"/>
      <c r="F322" s="239"/>
      <c r="G322" s="246"/>
    </row>
    <row r="323" spans="1:7" customFormat="1" ht="15">
      <c r="A323" s="232"/>
      <c r="B323" s="295">
        <v>285</v>
      </c>
      <c r="C323" s="265"/>
      <c r="D323" s="266"/>
      <c r="E323" s="256"/>
      <c r="F323" s="239"/>
      <c r="G323" s="246"/>
    </row>
    <row r="324" spans="1:7" customFormat="1" ht="15">
      <c r="A324" s="232"/>
      <c r="B324" s="295">
        <v>286</v>
      </c>
      <c r="C324" s="265"/>
      <c r="D324" s="266"/>
      <c r="E324" s="256"/>
      <c r="F324" s="239"/>
      <c r="G324" s="246"/>
    </row>
    <row r="325" spans="1:7" customFormat="1" ht="15">
      <c r="A325" s="232"/>
      <c r="B325" s="295">
        <v>287</v>
      </c>
      <c r="C325" s="265"/>
      <c r="D325" s="266"/>
      <c r="E325" s="256"/>
      <c r="F325" s="239"/>
      <c r="G325" s="246"/>
    </row>
    <row r="326" spans="1:7" customFormat="1" ht="15">
      <c r="A326" s="232"/>
      <c r="B326" s="295">
        <v>288</v>
      </c>
      <c r="C326" s="265"/>
      <c r="D326" s="266"/>
      <c r="E326" s="256"/>
      <c r="F326" s="239"/>
      <c r="G326" s="246"/>
    </row>
    <row r="327" spans="1:7" customFormat="1" ht="15">
      <c r="A327" s="232"/>
      <c r="B327" s="295">
        <v>289</v>
      </c>
      <c r="C327" s="265"/>
      <c r="D327" s="266"/>
      <c r="E327" s="256"/>
      <c r="F327" s="239"/>
      <c r="G327" s="246"/>
    </row>
    <row r="328" spans="1:7" customFormat="1" ht="15">
      <c r="A328" s="232"/>
      <c r="B328" s="295">
        <v>290</v>
      </c>
      <c r="C328" s="265"/>
      <c r="D328" s="266"/>
      <c r="E328" s="256"/>
      <c r="F328" s="239"/>
      <c r="G328" s="246"/>
    </row>
    <row r="329" spans="1:7" customFormat="1" ht="15">
      <c r="A329" s="232"/>
      <c r="B329" s="295">
        <v>291</v>
      </c>
      <c r="C329" s="265"/>
      <c r="D329" s="266"/>
      <c r="E329" s="256"/>
      <c r="F329" s="239"/>
      <c r="G329" s="246"/>
    </row>
    <row r="330" spans="1:7" customFormat="1" ht="15">
      <c r="A330" s="232"/>
      <c r="B330" s="295">
        <v>292</v>
      </c>
      <c r="C330" s="265"/>
      <c r="D330" s="266"/>
      <c r="E330" s="256"/>
      <c r="F330" s="239"/>
      <c r="G330" s="246"/>
    </row>
    <row r="331" spans="1:7" customFormat="1" ht="15">
      <c r="A331" s="232"/>
      <c r="B331" s="295">
        <v>293</v>
      </c>
      <c r="C331" s="265"/>
      <c r="D331" s="266"/>
      <c r="E331" s="256"/>
      <c r="F331" s="239"/>
      <c r="G331" s="246"/>
    </row>
    <row r="332" spans="1:7" customFormat="1" ht="15">
      <c r="A332" s="232"/>
      <c r="B332" s="295">
        <v>294</v>
      </c>
      <c r="C332" s="265"/>
      <c r="D332" s="266"/>
      <c r="E332" s="256"/>
      <c r="F332" s="239"/>
      <c r="G332" s="246"/>
    </row>
    <row r="333" spans="1:7" customFormat="1" ht="15">
      <c r="A333" s="232"/>
      <c r="B333" s="295">
        <v>295</v>
      </c>
      <c r="C333" s="265"/>
      <c r="D333" s="266"/>
      <c r="E333" s="256"/>
      <c r="F333" s="239"/>
      <c r="G333" s="246"/>
    </row>
    <row r="334" spans="1:7" customFormat="1" ht="15">
      <c r="A334" s="232"/>
      <c r="B334" s="295">
        <v>296</v>
      </c>
      <c r="C334" s="265"/>
      <c r="D334" s="266"/>
      <c r="E334" s="256"/>
      <c r="F334" s="239"/>
      <c r="G334" s="246"/>
    </row>
    <row r="335" spans="1:7" customFormat="1" ht="15">
      <c r="A335" s="232"/>
      <c r="B335" s="295">
        <v>297</v>
      </c>
      <c r="C335" s="265"/>
      <c r="D335" s="266"/>
      <c r="E335" s="256"/>
      <c r="F335" s="239"/>
      <c r="G335" s="246"/>
    </row>
    <row r="336" spans="1:7" customFormat="1" ht="15">
      <c r="A336" s="232"/>
      <c r="B336" s="295">
        <v>298</v>
      </c>
      <c r="C336" s="265"/>
      <c r="D336" s="266"/>
      <c r="E336" s="256"/>
      <c r="F336" s="239"/>
      <c r="G336" s="246"/>
    </row>
    <row r="337" spans="1:7" customFormat="1" ht="15">
      <c r="A337" s="232"/>
      <c r="B337" s="295">
        <v>299</v>
      </c>
      <c r="C337" s="265"/>
      <c r="D337" s="266"/>
      <c r="E337" s="256"/>
      <c r="F337" s="239"/>
      <c r="G337" s="246"/>
    </row>
    <row r="338" spans="1:7" customFormat="1" ht="15">
      <c r="A338" s="232"/>
      <c r="B338" s="295">
        <v>300</v>
      </c>
      <c r="C338" s="265"/>
      <c r="D338" s="266"/>
      <c r="E338" s="256"/>
      <c r="F338" s="239"/>
      <c r="G338" s="24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pricingAxis">
                <anchor moveWithCells="1">
                  <from>
                    <xdr:col>4</xdr:col>
                    <xdr:colOff>0</xdr:colOff>
                    <xdr:row>8</xdr:row>
                    <xdr:rowOff>180975</xdr:rowOff>
                  </from>
                  <to>
                    <xdr:col>4</xdr:col>
                    <xdr:colOff>609600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defaultColWidth="9.140625" defaultRowHeight="11.25"/>
  <cols>
    <col min="1" max="1" width="2.85546875" style="300" customWidth="1"/>
    <col min="2" max="2" width="17" style="300" bestFit="1" customWidth="1"/>
    <col min="3" max="3" width="26.5703125" style="300" bestFit="1" customWidth="1"/>
    <col min="4" max="4" width="10.5703125" style="301" customWidth="1"/>
    <col min="5" max="14" width="9.85546875" style="301" customWidth="1"/>
    <col min="15" max="31" width="9.140625" style="79"/>
    <col min="32" max="16384" width="9.14062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2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>
      <c r="B6" s="304" t="s">
        <v>475</v>
      </c>
      <c r="C6" s="305">
        <v>5000</v>
      </c>
      <c r="D6" s="300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2" thickBot="1">
      <c r="B7" s="306" t="s">
        <v>476</v>
      </c>
      <c r="C7" s="307" t="b">
        <v>0</v>
      </c>
      <c r="D7" s="300"/>
      <c r="E7" s="300"/>
      <c r="H7" s="308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0"/>
      <c r="Z7" s="300"/>
      <c r="AA7" s="300"/>
      <c r="AB7" s="300"/>
      <c r="AC7" s="300"/>
      <c r="AD7" s="300"/>
      <c r="AE7" s="300"/>
    </row>
    <row r="8" spans="1:228" ht="12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2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2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2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2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2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2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2" thickBot="1">
      <c r="B19" s="314" t="s">
        <v>480</v>
      </c>
      <c r="C19" s="326"/>
      <c r="D19" s="327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2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2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2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2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2" thickBot="1">
      <c r="B25" s="302" t="s">
        <v>485</v>
      </c>
      <c r="C25" s="357">
        <v>8.3836702003960026E-2</v>
      </c>
      <c r="D25" s="358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2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2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2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2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2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2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2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2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1"/>
      <c r="Q41" s="511"/>
      <c r="R41" s="511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2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2" thickBot="1">
      <c r="C44" s="351"/>
      <c r="D44" s="401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2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.7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2024-05-27T13:35:20Z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