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1847" documentId="13_ncr:1_{AC8F7941-C4AA-4661-9C35-B95E95882577}" xr6:coauthVersionLast="47" xr6:coauthVersionMax="47" xr10:uidLastSave="{0D008215-6F49-49BB-9DEB-85B7A9F6E601}"/>
  <bookViews>
    <workbookView xWindow="-108" yWindow="-108" windowWidth="23256" windowHeight="12456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  <definedName name="_xlnm.Print_Area" localSheetId="6">'CDO Bespoke'!$A$4:$S$37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<sst xmlns="http://schemas.openxmlformats.org/spreadsheetml/2006/main" count="2156" uniqueCount="511">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</sst>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  <numFmt numFmtId="191" formatCode="0.00000%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1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174" fontId="0" fillId="0" borderId="0" xfId="0" applyNumberFormat="1"/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5" fontId="37" fillId="4" borderId="23" xfId="0" applyNumberFormat="1" applyFont="1" applyFill="1" applyBorder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0" fontId="37" fillId="4" borderId="0" xfId="1" applyNumberFormat="1" applyFont="1" applyFill="1" applyAlignment="1">
      <alignment horizontal="center"/>
    </xf>
    <xf numFmtId="191" fontId="37" fillId="4" borderId="0" xfId="1" applyNumberFormat="1" applyFont="1" applyFill="1" applyAlignment="1">
      <alignment horizontal="center"/>
    </xf>
    <xf numFmtId="10" fontId="37" fillId="4" borderId="23" xfId="1" applyNumberFormat="1" applyFont="1" applyFill="1" applyBorder="1" applyAlignment="1">
      <alignment horizontal="center"/>
    </xf>
    <xf numFmtId="10" fontId="37" fillId="4" borderId="0" xfId="1" quotePrefix="1" applyNumberFormat="1" applyFont="1" applyFill="1" applyAlignment="1">
      <alignment horizontal="center"/>
    </xf>
    <xf numFmtId="164" fontId="21" fillId="0" borderId="0" xfId="0" applyNumberFormat="1" applyFont="1"/>
    <xf numFmtId="43" fontId="0" fillId="0" borderId="0" xfId="7" applyFont="1"/>
    <xf numFmtId="167" fontId="25" fillId="4" borderId="23" xfId="1" quotePrefix="1" applyNumberFormat="1" applyFont="1" applyFill="1" applyBorder="1" applyAlignment="1">
      <alignment horizontal="center" vertical="center"/>
    </xf>
    <xf numFmtId="167" fontId="28" fillId="4" borderId="23" xfId="1" quotePrefix="1" applyNumberFormat="1" applyFont="1" applyFill="1" applyBorder="1" applyAlignment="1">
      <alignment horizontal="center" vertical="center"/>
    </xf>
    <xf numFmtId="167" fontId="19" fillId="4" borderId="8" xfId="1" applyNumberFormat="1" applyFont="1" applyFill="1" applyBorder="1" applyAlignment="1">
      <alignment horizontal="center" vertical="center"/>
    </xf>
    <xf numFmtId="167" fontId="45" fillId="4" borderId="23" xfId="1" quotePrefix="1" applyNumberFormat="1" applyFont="1" applyFill="1" applyBorder="1" applyAlignment="1">
      <alignment horizontal="center" vertical="center"/>
    </xf>
    <xf numFmtId="167" fontId="26" fillId="4" borderId="23" xfId="1" quotePrefix="1" applyNumberFormat="1" applyFont="1" applyFill="1" applyBorder="1" applyAlignment="1">
      <alignment horizontal="center" vertical="center"/>
    </xf>
    <xf numFmtId="167" fontId="25" fillId="4" borderId="0" xfId="1" quotePrefix="1" applyNumberFormat="1" applyFont="1" applyFill="1" applyAlignment="1">
      <alignment horizontal="center" vertical="center"/>
    </xf>
    <xf numFmtId="167" fontId="28" fillId="4" borderId="0" xfId="1" quotePrefix="1" applyNumberFormat="1" applyFont="1" applyFill="1" applyAlignment="1">
      <alignment horizontal="center" vertical="center"/>
    </xf>
    <xf numFmtId="167" fontId="19" fillId="4" borderId="2" xfId="1" applyNumberFormat="1" applyFont="1" applyFill="1" applyBorder="1" applyAlignment="1">
      <alignment horizontal="center" vertical="center"/>
    </xf>
    <xf numFmtId="167" fontId="45" fillId="4" borderId="0" xfId="1" quotePrefix="1" applyNumberFormat="1" applyFont="1" applyFill="1" applyAlignment="1">
      <alignment horizontal="center" vertical="center"/>
    </xf>
    <xf numFmtId="167" fontId="26" fillId="4" borderId="0" xfId="1" quotePrefix="1" applyNumberFormat="1" applyFont="1" applyFill="1" applyAlignment="1">
      <alignment horizontal="center" vertical="center"/>
    </xf>
    <xf numFmtId="167" fontId="25" fillId="4" borderId="0" xfId="1" applyNumberFormat="1" applyFont="1" applyFill="1" applyAlignment="1">
      <alignment horizontal="center" vertical="center"/>
    </xf>
    <xf numFmtId="167" fontId="28" fillId="4" borderId="0" xfId="1" applyNumberFormat="1" applyFont="1" applyFill="1" applyAlignment="1">
      <alignment horizontal="center" vertical="center"/>
    </xf>
    <xf numFmtId="167" fontId="45" fillId="4" borderId="0" xfId="1" applyNumberFormat="1" applyFont="1" applyFill="1" applyAlignment="1">
      <alignment horizontal="center" vertical="center"/>
    </xf>
    <xf numFmtId="167" fontId="26" fillId="4" borderId="0" xfId="1" applyNumberFormat="1" applyFont="1" applyFill="1" applyAlignment="1">
      <alignment horizontal="center" vertical="center"/>
    </xf>
    <xf numFmtId="167" fontId="19" fillId="2" borderId="0" xfId="1" applyNumberFormat="1" applyFont="1" applyFill="1" applyAlignment="1">
      <alignment horizontal="center" vertical="center"/>
    </xf>
    <xf numFmtId="167" fontId="46" fillId="2" borderId="0" xfId="1" applyNumberFormat="1" applyFont="1" applyFill="1" applyAlignment="1">
      <alignment horizontal="center" vertical="center"/>
    </xf>
    <xf numFmtId="167" fontId="19" fillId="2" borderId="2" xfId="1" applyNumberFormat="1" applyFont="1" applyFill="1" applyBorder="1" applyAlignment="1">
      <alignment horizontal="center" vertical="center"/>
    </xf>
    <xf numFmtId="167" fontId="25" fillId="0" borderId="28" xfId="1" applyNumberFormat="1" applyFont="1" applyBorder="1" applyAlignment="1">
      <alignment horizontal="center" vertical="center"/>
    </xf>
    <xf numFmtId="167" fontId="25" fillId="0" borderId="4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28" xfId="7" applyNumberFormat="1" applyFont="1" applyBorder="1" applyAlignment="1">
      <alignment horizontal="center" vertical="center"/>
    </xf>
    <xf numFmtId="0" fontId="25" fillId="0" borderId="28" xfId="1" applyNumberFormat="1" applyFont="1" applyBorder="1" applyAlignment="1">
      <alignment horizontal="center" vertical="center"/>
    </xf>
    <xf numFmtId="0" fontId="25" fillId="0" borderId="4" xfId="7" applyNumberFormat="1" applyFont="1" applyBorder="1" applyAlignment="1">
      <alignment horizontal="center" vertical="center"/>
    </xf>
  </cellXfs>
  <cellStyles count="8">
    <cellStyle name="Lien hypertexte" xfId="6" builtinId="8"/>
    <cellStyle name="Milliers" xfId="7" builtinId="3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487680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792480</xdr:colOff>
          <xdr:row>3</xdr:row>
          <xdr:rowOff>22860</xdr:rowOff>
        </xdr:from>
        <xdr:to>
          <xdr:col>5</xdr:col>
          <xdr:colOff>30480</xdr:colOff>
          <xdr:row>5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182880</xdr:rowOff>
        </xdr:from>
        <xdr:to>
          <xdr:col>5</xdr:col>
          <xdr:colOff>754380</xdr:colOff>
          <xdr:row>6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68580</xdr:rowOff>
        </xdr:from>
        <xdr:to>
          <xdr:col>6</xdr:col>
          <xdr:colOff>7620</xdr:colOff>
          <xdr:row>13</xdr:row>
          <xdr:rowOff>106680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4</xdr:row>
          <xdr:rowOff>160020</xdr:rowOff>
        </xdr:from>
        <xdr:to>
          <xdr:col>5</xdr:col>
          <xdr:colOff>0</xdr:colOff>
          <xdr:row>6</xdr:row>
          <xdr:rowOff>175260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5</xdr:row>
          <xdr:rowOff>45720</xdr:rowOff>
        </xdr:from>
        <xdr:to>
          <xdr:col>10</xdr:col>
          <xdr:colOff>159026</xdr:colOff>
          <xdr:row>6</xdr:row>
          <xdr:rowOff>121920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10</xdr:row>
          <xdr:rowOff>114300</xdr:rowOff>
        </xdr:from>
        <xdr:to>
          <xdr:col>6</xdr:col>
          <xdr:colOff>274320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12</xdr:row>
          <xdr:rowOff>152400</xdr:rowOff>
        </xdr:from>
        <xdr:to>
          <xdr:col>6</xdr:col>
          <xdr:colOff>274320</xdr:colOff>
          <xdr:row>14</xdr:row>
          <xdr:rowOff>7620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ColWidth="11.44140625" defaultRowHeight="14.4"/>
  <cols>
    <col min="2" max="2" width="18" customWidth="1"/>
    <col min="3" max="3" width="4.44140625" customWidth="1"/>
    <col min="4" max="4" width="16.33203125" customWidth="1"/>
    <col min="5" max="5" width="11.441406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baseColWidth="10" defaultColWidth="11.44140625" defaultRowHeight="14.4"/>
  <cols>
    <col min="1" max="1" width="6.109375" customWidth="1"/>
    <col min="2" max="2" width="12.5546875" customWidth="1"/>
    <col min="4" max="4" width="13.44140625" customWidth="1"/>
    <col min="5" max="5" width="9.886718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109375" customWidth="1"/>
    <col min="11" max="11" width="9.44140625" customWidth="1"/>
    <col min="12" max="12" width="12.88671875" customWidth="1"/>
    <col min="13" max="13" width="10" customWidth="1"/>
    <col min="14" max="14" width="5.5546875" customWidth="1"/>
    <col min="15" max="15" width="12.109375" customWidth="1"/>
    <col min="16" max="16" width="10.5546875" customWidth="1"/>
    <col min="17" max="17" width="8" style="48" customWidth="1"/>
    <col min="23" max="23" width="10" customWidth="1"/>
    <col min="24" max="24" width="11.5546875" customWidth="1"/>
    <col min="25" max="25" width="8.44140625" customWidth="1"/>
    <col min="26" max="26" width="12.441406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58" t="s">
        <v>21</v>
      </c>
      <c r="D5" s="459"/>
      <c r="F5" s="460" t="s">
        <v>23</v>
      </c>
      <c r="G5" s="461"/>
      <c r="I5" s="460" t="s">
        <v>22</v>
      </c>
      <c r="J5" s="461"/>
      <c r="R5" s="458" t="s">
        <v>39</v>
      </c>
      <c r="S5" s="459"/>
      <c r="U5" s="460" t="s">
        <v>40</v>
      </c>
      <c r="V5" s="461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58" t="s">
        <v>21</v>
      </c>
      <c r="C20" s="462"/>
      <c r="D20" s="462"/>
      <c r="E20" s="462"/>
      <c r="F20" s="462"/>
      <c r="G20" s="462"/>
      <c r="H20" s="462"/>
      <c r="I20" s="462"/>
      <c r="J20" s="459"/>
      <c r="L20" s="458" t="s">
        <v>23</v>
      </c>
      <c r="M20" s="459"/>
      <c r="O20" s="458" t="s">
        <v>22</v>
      </c>
      <c r="P20" s="459"/>
      <c r="R20" s="463" t="s">
        <v>39</v>
      </c>
      <c r="S20" s="464"/>
      <c r="T20" s="464"/>
      <c r="U20" s="464"/>
      <c r="V20" s="464"/>
      <c r="W20" s="464"/>
      <c r="X20" s="465"/>
      <c r="Z20" s="460" t="s">
        <v>40</v>
      </c>
      <c r="AA20" s="461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487680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4140625" defaultRowHeight="14.4"/>
  <cols>
    <col min="2" max="2" width="11.88671875" bestFit="1" customWidth="1"/>
    <col min="6" max="7" width="20.44140625" bestFit="1" customWidth="1"/>
    <col min="17" max="17" width="35.109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69" t="s">
        <v>48</v>
      </c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71"/>
    </row>
    <row r="8" spans="2:17" ht="21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66" t="s">
        <v>68</v>
      </c>
      <c r="G13" s="467"/>
      <c r="H13" s="467"/>
      <c r="I13" s="467"/>
      <c r="J13" s="467"/>
      <c r="K13" s="467"/>
      <c r="L13" s="467"/>
      <c r="M13" s="467"/>
      <c r="N13" s="467"/>
      <c r="O13" s="467"/>
      <c r="P13" s="467"/>
      <c r="Q13" s="468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792480</xdr:colOff>
                    <xdr:row>3</xdr:row>
                    <xdr:rowOff>22860</xdr:rowOff>
                  </from>
                  <to>
                    <xdr:col>5</xdr:col>
                    <xdr:colOff>30480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ColWidth="11.44140625" defaultRowHeight="14.4"/>
  <cols>
    <col min="2" max="2" width="30.44140625" bestFit="1" customWidth="1"/>
    <col min="14" max="16" width="15.109375" bestFit="1" customWidth="1"/>
    <col min="17" max="17" width="13.88671875" customWidth="1"/>
    <col min="18" max="31" width="15.109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69" t="s">
        <v>72</v>
      </c>
      <c r="H2" s="470"/>
      <c r="I2" s="470"/>
      <c r="J2" s="145" t="b">
        <v>1</v>
      </c>
    </row>
    <row r="3" spans="1:50" ht="15" thickBot="1">
      <c r="J3" s="99"/>
    </row>
    <row r="4" spans="1:50" ht="15" thickBot="1">
      <c r="G4" s="469" t="s">
        <v>73</v>
      </c>
      <c r="H4" s="470"/>
      <c r="I4" s="471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75" t="b">
        <v>1</v>
      </c>
      <c r="D6" s="476"/>
      <c r="E6" s="85"/>
      <c r="F6" s="85"/>
      <c r="G6" s="469" t="s">
        <v>74</v>
      </c>
      <c r="H6" s="470"/>
      <c r="I6" s="471"/>
      <c r="J6" s="140" t="s">
        <v>422</v>
      </c>
      <c r="K6" s="85"/>
      <c r="L6" s="93"/>
      <c r="M6" s="448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</row>
    <row r="7" spans="1:50" s="79" customFormat="1" ht="13.5" customHeight="1" thickBot="1">
      <c r="B7" s="147" t="s">
        <v>71</v>
      </c>
      <c r="C7" s="477">
        <f ca="1">GetCDSRefDate(Parameter_Date,C6)</f>
        <v>45463</v>
      </c>
      <c r="D7" s="478"/>
      <c r="E7" s="85"/>
      <c r="F7" s="85"/>
    </row>
    <row r="8" spans="1:50" s="79" customFormat="1" ht="10.8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69" t="s">
        <v>76</v>
      </c>
      <c r="F9" s="470"/>
      <c r="G9" s="470"/>
      <c r="H9" s="470"/>
      <c r="I9" s="470"/>
      <c r="J9" s="470"/>
      <c r="K9" s="470"/>
      <c r="L9" s="470"/>
      <c r="M9" s="471"/>
      <c r="N9" s="472" t="s">
        <v>77</v>
      </c>
      <c r="O9" s="473"/>
      <c r="P9" s="473"/>
      <c r="Q9" s="473"/>
      <c r="R9" s="473"/>
      <c r="S9" s="473"/>
      <c r="T9" s="473"/>
      <c r="U9" s="473"/>
      <c r="V9" s="474"/>
      <c r="W9" s="472" t="s">
        <v>78</v>
      </c>
      <c r="X9" s="473"/>
      <c r="Y9" s="473"/>
      <c r="Z9" s="473"/>
      <c r="AA9" s="473"/>
      <c r="AB9" s="473"/>
      <c r="AC9" s="473"/>
      <c r="AD9" s="473"/>
      <c r="AE9" s="474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.199999999999999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.199999999999999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.199999999999999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.199999999999999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.199999999999999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.199999999999999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.199999999999999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.199999999999999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.199999999999999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.199999999999999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.199999999999999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.199999999999999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.199999999999999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.199999999999999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.199999999999999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.199999999999999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.199999999999999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.199999999999999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.199999999999999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.199999999999999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.199999999999999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.199999999999999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.199999999999999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.199999999999999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.199999999999999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.199999999999999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.199999999999999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.199999999999999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.199999999999999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.199999999999999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.199999999999999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.199999999999999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.199999999999999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.199999999999999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.199999999999999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.199999999999999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.199999999999999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.199999999999999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.199999999999999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.199999999999999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.199999999999999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.199999999999999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.199999999999999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.199999999999999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.199999999999999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.199999999999999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.199999999999999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.199999999999999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.199999999999999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.199999999999999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.199999999999999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.199999999999999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.199999999999999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.199999999999999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.199999999999999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.199999999999999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.199999999999999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.199999999999999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.199999999999999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.199999999999999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.199999999999999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.199999999999999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.199999999999999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.199999999999999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.199999999999999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.199999999999999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.199999999999999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.199999999999999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.199999999999999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.199999999999999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.199999999999999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.199999999999999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.199999999999999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.199999999999999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.199999999999999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.199999999999999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.199999999999999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.199999999999999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.199999999999999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.199999999999999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.199999999999999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.199999999999999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.199999999999999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.199999999999999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.199999999999999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.199999999999999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.199999999999999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.199999999999999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.199999999999999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.199999999999999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.199999999999999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.199999999999999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.199999999999999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.199999999999999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.199999999999999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.199999999999999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.199999999999999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.199999999999999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.199999999999999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.199999999999999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.199999999999999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.199999999999999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.199999999999999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.199999999999999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.199999999999999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.199999999999999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.199999999999999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.199999999999999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.199999999999999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.199999999999999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.199999999999999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.199999999999999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.199999999999999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.199999999999999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.199999999999999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.199999999999999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.199999999999999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.199999999999999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.199999999999999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.199999999999999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.199999999999999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.199999999999999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.199999999999999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.199999999999999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.199999999999999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.199999999999999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.199999999999999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.199999999999999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.199999999999999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.199999999999999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.199999999999999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.199999999999999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.199999999999999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.199999999999999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.199999999999999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.199999999999999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.199999999999999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.199999999999999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.199999999999999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.199999999999999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.199999999999999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.199999999999999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.199999999999999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.199999999999999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.199999999999999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.199999999999999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.199999999999999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.199999999999999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.199999999999999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.199999999999999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.199999999999999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.199999999999999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.199999999999999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.199999999999999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.199999999999999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.199999999999999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.199999999999999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.199999999999999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.199999999999999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.199999999999999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.199999999999999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.199999999999999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.199999999999999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.199999999999999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.199999999999999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.199999999999999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.199999999999999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.199999999999999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.199999999999999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.199999999999999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.199999999999999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.199999999999999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.199999999999999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.199999999999999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.199999999999999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.199999999999999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.199999999999999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.199999999999999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.199999999999999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.199999999999999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.199999999999999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.199999999999999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.199999999999999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.199999999999999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.199999999999999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.199999999999999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.199999999999999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.199999999999999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.199999999999999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.199999999999999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.199999999999999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.199999999999999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.199999999999999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.199999999999999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.199999999999999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.199999999999999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.199999999999999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.199999999999999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.199999999999999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.199999999999999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.199999999999999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.199999999999999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.199999999999999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.199999999999999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.199999999999999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.199999999999999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.199999999999999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.199999999999999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.199999999999999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.199999999999999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.199999999999999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.199999999999999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.199999999999999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.199999999999999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.199999999999999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.199999999999999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.199999999999999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.199999999999999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.199999999999999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.199999999999999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.199999999999999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.199999999999999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.199999999999999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.199999999999999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.199999999999999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.199999999999999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.199999999999999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.199999999999999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.199999999999999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.199999999999999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.199999999999999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.199999999999999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.199999999999999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.199999999999999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.199999999999999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.199999999999999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.199999999999999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.199999999999999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.199999999999999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.199999999999999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.199999999999999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.199999999999999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.199999999999999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.199999999999999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.199999999999999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.199999999999999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.199999999999999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.199999999999999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.199999999999999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.199999999999999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.199999999999999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.199999999999999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.199999999999999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.199999999999999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.199999999999999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.199999999999999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.199999999999999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.199999999999999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.199999999999999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.199999999999999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.199999999999999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.199999999999999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.199999999999999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.199999999999999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.199999999999999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.199999999999999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.199999999999999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.199999999999999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.199999999999999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.199999999999999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.199999999999999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.199999999999999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.199999999999999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.199999999999999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.199999999999999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.199999999999999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.199999999999999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.199999999999999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.199999999999999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.199999999999999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.199999999999999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.199999999999999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.199999999999999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.199999999999999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.199999999999999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.199999999999999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.199999999999999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.199999999999999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.199999999999999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.199999999999999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.199999999999999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.199999999999999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.199999999999999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.199999999999999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.199999999999999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.199999999999999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.199999999999999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.199999999999999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.199999999999999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.199999999999999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.199999999999999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.199999999999999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.199999999999999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.199999999999999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.199999999999999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.199999999999999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.199999999999999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.199999999999999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.199999999999999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.199999999999999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.199999999999999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.199999999999999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.199999999999999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.199999999999999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.199999999999999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.199999999999999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.199999999999999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.199999999999999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.199999999999999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.199999999999999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.199999999999999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.199999999999999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.199999999999999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.199999999999999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.199999999999999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.199999999999999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.199999999999999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.199999999999999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.199999999999999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.199999999999999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.199999999999999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.199999999999999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.199999999999999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.199999999999999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.199999999999999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.199999999999999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.199999999999999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.199999999999999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.199999999999999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.199999999999999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.199999999999999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.199999999999999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.199999999999999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.199999999999999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.199999999999999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.199999999999999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.199999999999999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.199999999999999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.199999999999999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199999999999999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30480</xdr:colOff>
                    <xdr:row>4</xdr:row>
                    <xdr:rowOff>182880</xdr:rowOff>
                  </from>
                  <to>
                    <xdr:col>5</xdr:col>
                    <xdr:colOff>754380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L32"/>
  <sheetViews>
    <sheetView showGridLines="0" topLeftCell="A5" zoomScaleNormal="100" workbookViewId="0">
      <selection activeCell="H26" sqref="H26"/>
    </sheetView>
  </sheetViews>
  <sheetFormatPr baseColWidth="10" defaultColWidth="11.44140625" defaultRowHeight="14.4"/>
  <cols>
    <col min="2" max="2" width="17.5546875" bestFit="1" customWidth="1"/>
    <col min="3" max="3" width="18.44140625" bestFit="1" customWidth="1"/>
    <col min="6" max="6" width="20" bestFit="1" customWidth="1"/>
    <col min="7" max="7" width="17.5546875" customWidth="1"/>
    <col min="8" max="9" width="20.88671875" bestFit="1" customWidth="1"/>
    <col min="10" max="10" width="14.88671875" bestFit="1" customWidth="1"/>
    <col min="11" max="11" width="12.6640625" customWidth="1"/>
    <col min="13" max="13" width="18.44140625" bestFit="1" customWidth="1"/>
    <col min="14" max="14" width="15.44140625" bestFit="1" customWidth="1"/>
  </cols>
  <sheetData>
    <row r="2" spans="2:12" ht="15" thickBot="1"/>
    <row r="3" spans="2:12">
      <c r="C3" s="481" t="s">
        <v>456</v>
      </c>
      <c r="D3" s="482"/>
      <c r="E3" s="483"/>
    </row>
    <row r="4" spans="2:12">
      <c r="C4" s="484"/>
      <c r="D4" s="485"/>
      <c r="E4" s="486"/>
    </row>
    <row r="5" spans="2:12" ht="15" thickBot="1">
      <c r="C5" s="487"/>
      <c r="D5" s="488"/>
      <c r="E5" s="489"/>
    </row>
    <row r="6" spans="2:12" ht="15" thickBot="1"/>
    <row r="7" spans="2:12" ht="16.2" thickBot="1">
      <c r="B7" s="479" t="s">
        <v>454</v>
      </c>
      <c r="C7" s="480"/>
      <c r="D7" s="79"/>
      <c r="E7" s="479" t="s">
        <v>455</v>
      </c>
      <c r="F7" s="480"/>
      <c r="G7" s="79"/>
      <c r="H7" s="79"/>
      <c r="I7" s="79"/>
      <c r="J7" s="79"/>
      <c r="K7" s="79"/>
    </row>
    <row r="8" spans="2:12" ht="15" thickBot="1">
      <c r="B8" s="85"/>
      <c r="C8" s="62">
        <v>1</v>
      </c>
      <c r="D8" s="79"/>
      <c r="E8" s="79"/>
      <c r="F8" s="79"/>
      <c r="G8" s="79" t="s">
        <v>510</v>
      </c>
      <c r="H8" s="79"/>
      <c r="I8" s="79"/>
      <c r="J8" s="79"/>
      <c r="K8" s="79"/>
    </row>
    <row r="9" spans="2:12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3"/>
    </row>
    <row r="10" spans="2:12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2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506"/>
      <c r="K11" s="79"/>
    </row>
    <row r="12" spans="2:12">
      <c r="B12" s="207" t="s">
        <v>85</v>
      </c>
      <c r="C12" s="194">
        <v>0.4</v>
      </c>
      <c r="D12" s="79"/>
      <c r="E12" s="202"/>
      <c r="F12" s="390"/>
      <c r="I12" s="79"/>
      <c r="J12" s="79"/>
      <c r="K12" s="79"/>
    </row>
    <row r="13" spans="2:12" ht="15" thickBot="1">
      <c r="B13" s="208" t="s">
        <v>496</v>
      </c>
      <c r="C13" s="446">
        <v>1</v>
      </c>
      <c r="D13" s="79"/>
      <c r="E13" s="79"/>
      <c r="F13" s="79"/>
      <c r="G13" s="225"/>
      <c r="H13" s="79"/>
      <c r="I13" s="79"/>
      <c r="J13" s="79"/>
      <c r="K13" s="79"/>
    </row>
    <row r="14" spans="2:12" ht="15" thickBot="1">
      <c r="B14" s="201"/>
      <c r="C14" s="79"/>
    </row>
    <row r="15" spans="2:12">
      <c r="B15" s="206" t="s">
        <v>82</v>
      </c>
      <c r="C15" s="63" t="s">
        <v>66</v>
      </c>
      <c r="E15" s="227" t="s">
        <v>435</v>
      </c>
      <c r="F15" s="508" t="str" cm="1">
        <f t="array" aca="1" ref="F15:K22" ca="1">IF(NOT($F$9),"",GetCDS2(C9,C10,C11,C12,C13,C19,C20,C21,C15,C16,C17,C23,C24,C26,C28:C30,C32))</f>
        <v>-0,0250620321949</v>
      </c>
      <c r="G15" s="509" t="str">
        <f ca="1"/>
        <v>-0,0250620321949</v>
      </c>
      <c r="H15" s="510" t="str">
        <f ca="1"/>
        <v>0</v>
      </c>
      <c r="I15" s="511" t="str">
        <f ca="1"/>
        <v>0</v>
      </c>
      <c r="J15" s="512" t="str">
        <f ca="1"/>
        <v>0</v>
      </c>
      <c r="K15" s="510" t="str">
        <f ca="1"/>
        <v>0</v>
      </c>
      <c r="L15" s="527"/>
    </row>
    <row r="16" spans="2:12">
      <c r="B16" s="207" t="s">
        <v>437</v>
      </c>
      <c r="C16" s="69">
        <v>0</v>
      </c>
      <c r="E16" s="228" t="s">
        <v>436</v>
      </c>
      <c r="F16" s="513" t="str">
        <f ca="1"/>
        <v>0,0180355960183327</v>
      </c>
      <c r="G16" s="514" t="str">
        <f ca="1"/>
        <v>0,0180355960183327</v>
      </c>
      <c r="H16" s="515" t="str">
        <f ca="1"/>
        <v>0</v>
      </c>
      <c r="I16" s="516" t="str">
        <f ca="1"/>
        <v>0</v>
      </c>
      <c r="J16" s="517" t="str">
        <f ca="1"/>
        <v>0</v>
      </c>
      <c r="K16" s="515" t="str">
        <f ca="1"/>
        <v>0</v>
      </c>
      <c r="L16" s="527"/>
    </row>
    <row r="17" spans="2:12" ht="15" thickBot="1">
      <c r="B17" s="208" t="s">
        <v>439</v>
      </c>
      <c r="C17" s="195">
        <v>0</v>
      </c>
      <c r="E17" s="228" t="s">
        <v>438</v>
      </c>
      <c r="F17" s="513" t="str">
        <f ca="1"/>
        <v>0,0430976282132327</v>
      </c>
      <c r="G17" s="514" t="str">
        <f ca="1"/>
        <v>0,0430976282132327</v>
      </c>
      <c r="H17" s="515" t="str">
        <f ca="1"/>
        <v>0</v>
      </c>
      <c r="I17" s="516" t="str">
        <f ca="1"/>
        <v>0</v>
      </c>
      <c r="J17" s="517" t="str">
        <f ca="1"/>
        <v>0</v>
      </c>
      <c r="K17" s="515" t="str">
        <f ca="1"/>
        <v>0</v>
      </c>
      <c r="L17" s="527"/>
    </row>
    <row r="18" spans="2:12" ht="15" thickBot="1">
      <c r="B18" s="201"/>
      <c r="C18" s="79"/>
      <c r="E18" s="228" t="s">
        <v>440</v>
      </c>
      <c r="F18" s="513" t="str">
        <f ca="1"/>
        <v>0,00418482333391958</v>
      </c>
      <c r="G18" s="514" t="str">
        <f ca="1"/>
        <v>0,00418482333391958</v>
      </c>
      <c r="H18" s="515" t="str">
        <f ca="1"/>
        <v>0</v>
      </c>
      <c r="I18" s="516" t="str">
        <f ca="1"/>
        <v>0</v>
      </c>
      <c r="J18" s="517" t="str">
        <f ca="1"/>
        <v>0</v>
      </c>
      <c r="K18" s="515" t="str">
        <f ca="1"/>
        <v>0</v>
      </c>
      <c r="L18" s="527"/>
    </row>
    <row r="19" spans="2:12">
      <c r="B19" s="206" t="s">
        <v>442</v>
      </c>
      <c r="C19" s="63" t="s">
        <v>83</v>
      </c>
      <c r="E19" s="228" t="s">
        <v>441</v>
      </c>
      <c r="F19" s="513" t="str">
        <f ca="1"/>
        <v>4,30976282132327</v>
      </c>
      <c r="G19" s="514" t="str">
        <f ca="1"/>
        <v>4,30976282132327</v>
      </c>
      <c r="H19" s="515" t="str">
        <f ca="1"/>
        <v>0</v>
      </c>
      <c r="I19" s="516" t="str">
        <f ca="1"/>
        <v>0</v>
      </c>
      <c r="J19" s="517" t="str">
        <f ca="1"/>
        <v>0</v>
      </c>
      <c r="K19" s="515" t="str">
        <f ca="1"/>
        <v>0</v>
      </c>
      <c r="L19" s="527"/>
    </row>
    <row r="20" spans="2:12" ht="15" thickBot="1">
      <c r="B20" s="207" t="s">
        <v>444</v>
      </c>
      <c r="C20" s="69" t="s">
        <v>445</v>
      </c>
      <c r="E20" s="228" t="s">
        <v>443</v>
      </c>
      <c r="F20" s="518" t="str">
        <f ca="1"/>
        <v>00:00:00.0174975</v>
      </c>
      <c r="G20" s="519" t="str">
        <f ca="1"/>
        <v>00:00:00.0174975</v>
      </c>
      <c r="H20" s="515" t="str">
        <f ca="1"/>
        <v>0</v>
      </c>
      <c r="I20" s="520" t="str">
        <f ca="1"/>
        <v>0</v>
      </c>
      <c r="J20" s="521" t="str">
        <f ca="1"/>
        <v>0</v>
      </c>
      <c r="K20" s="515" t="str">
        <f ca="1"/>
        <v>0</v>
      </c>
      <c r="L20" s="527"/>
    </row>
    <row r="21" spans="2:12" ht="15" thickBot="1">
      <c r="B21" s="208" t="s">
        <v>446</v>
      </c>
      <c r="C21" s="219"/>
      <c r="E21" s="229"/>
      <c r="F21" s="522" t="str">
        <f ca="1"/>
        <v>dPV</v>
      </c>
      <c r="G21" s="523" t="str">
        <f ca="1"/>
        <v>dHedge</v>
      </c>
      <c r="H21" s="524" t="str">
        <f ca="1"/>
        <v>delta not. (Hedge Crncy)</v>
      </c>
      <c r="I21" s="522" t="str">
        <f ca="1"/>
        <v>delta not. (Product CCY)</v>
      </c>
      <c r="J21" s="522" t="str">
        <f ca="1"/>
        <v>dPV(dBeta)</v>
      </c>
      <c r="K21" s="524" t="str">
        <f ca="1"/>
        <v>Name</v>
      </c>
      <c r="L21" s="527"/>
    </row>
    <row r="22" spans="2:12" ht="15" thickBot="1">
      <c r="B22" s="201"/>
      <c r="C22" s="79"/>
      <c r="E22" s="230"/>
      <c r="F22" s="528" t="str">
        <f ca="1"/>
        <v>0,000450105132365252</v>
      </c>
      <c r="G22" s="529" t="str">
        <f ca="1"/>
        <v>0,000440677195902832</v>
      </c>
      <c r="H22" s="530" t="str">
        <f ca="1"/>
        <v>1,02139420090278</v>
      </c>
      <c r="I22" s="525" t="str">
        <f ca="1"/>
        <v>1,02139420090278</v>
      </c>
      <c r="J22" s="525" t="str">
        <f ca="1"/>
        <v>-0,0180355960183327</v>
      </c>
      <c r="K22" s="526" t="str">
        <f ca="1"/>
        <v>ABNAMRO_MMR.EUR.SU</v>
      </c>
      <c r="L22" s="527"/>
    </row>
    <row r="23" spans="2:12">
      <c r="B23" s="209" t="s">
        <v>447</v>
      </c>
      <c r="C23" s="196" t="b">
        <v>1</v>
      </c>
    </row>
    <row r="24" spans="2:12" ht="15" thickBot="1">
      <c r="B24" s="208" t="s">
        <v>448</v>
      </c>
      <c r="C24" s="197" t="b">
        <v>1</v>
      </c>
      <c r="F24" s="507"/>
    </row>
    <row r="25" spans="2:12" ht="15" thickBot="1">
      <c r="B25" s="202"/>
      <c r="C25" s="85"/>
      <c r="D25" s="198"/>
    </row>
    <row r="26" spans="2:12" ht="15" thickBot="1">
      <c r="B26" s="179" t="s">
        <v>449</v>
      </c>
      <c r="C26" s="196" t="b">
        <v>1</v>
      </c>
      <c r="D26" s="85"/>
    </row>
    <row r="27" spans="2:12" ht="15" thickBot="1">
      <c r="B27" s="204" t="s">
        <v>450</v>
      </c>
      <c r="C27" s="218"/>
      <c r="D27" s="85"/>
    </row>
    <row r="28" spans="2:12">
      <c r="B28" s="204" t="s">
        <v>434</v>
      </c>
      <c r="C28" s="226"/>
      <c r="D28" s="85"/>
    </row>
    <row r="29" spans="2:12">
      <c r="B29" s="204" t="s">
        <v>447</v>
      </c>
      <c r="C29" s="199" t="b">
        <v>1</v>
      </c>
      <c r="D29" s="85"/>
    </row>
    <row r="30" spans="2:12" ht="15" thickBot="1">
      <c r="B30" s="205" t="s">
        <v>448</v>
      </c>
      <c r="C30" s="200" t="b">
        <v>1</v>
      </c>
      <c r="D30" s="85"/>
    </row>
    <row r="31" spans="2:12" ht="15" thickBot="1">
      <c r="B31" s="203"/>
      <c r="C31" s="79"/>
      <c r="D31" s="85"/>
    </row>
    <row r="32" spans="2:12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68580</xdr:rowOff>
                  </from>
                  <to>
                    <xdr:col>6</xdr:col>
                    <xdr:colOff>7620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topLeftCell="B21" zoomScale="106" zoomScaleNormal="99" workbookViewId="0">
      <selection activeCell="D10" sqref="D10"/>
    </sheetView>
  </sheetViews>
  <sheetFormatPr baseColWidth="10" defaultColWidth="11.44140625" defaultRowHeight="14.4"/>
  <sheetData>
    <row r="2" spans="2:11">
      <c r="J2" s="262"/>
      <c r="K2" s="175"/>
    </row>
    <row r="3" spans="2:11">
      <c r="J3" s="262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490">
        <v>1</v>
      </c>
      <c r="J6" s="491"/>
      <c r="K6" s="492"/>
    </row>
    <row r="7" spans="2:11" ht="15" thickBot="1">
      <c r="D7" s="169"/>
      <c r="H7" s="181" t="s">
        <v>425</v>
      </c>
      <c r="I7" s="493" t="str" cm="1">
        <f t="array" aca="1" ref="I7" ca="1">GetGetCDSName(I6)</f>
        <v>ABNAMRO_MMR.EUR.SU</v>
      </c>
      <c r="J7" s="494"/>
      <c r="K7" s="495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83820</xdr:colOff>
                    <xdr:row>4</xdr:row>
                    <xdr:rowOff>160020</xdr:rowOff>
                  </from>
                  <to>
                    <xdr:col>5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I12" sqref="I12"/>
    </sheetView>
  </sheetViews>
  <sheetFormatPr baseColWidth="10" defaultColWidth="11.44140625" defaultRowHeight="10.199999999999999"/>
  <cols>
    <col min="1" max="1" width="3.109375" style="231" customWidth="1"/>
    <col min="2" max="2" width="17.109375" style="231" customWidth="1"/>
    <col min="3" max="3" width="20" style="232" customWidth="1"/>
    <col min="4" max="4" width="10.44140625" style="232" bestFit="1" customWidth="1"/>
    <col min="5" max="5" width="10" style="232" bestFit="1" customWidth="1"/>
    <col min="6" max="6" width="7.44140625" style="232" customWidth="1"/>
    <col min="7" max="7" width="9.6640625" style="232" customWidth="1"/>
    <col min="8" max="8" width="11.33203125" style="232" customWidth="1"/>
    <col min="9" max="13" width="10.88671875" style="231" customWidth="1"/>
    <col min="14" max="14" width="26.21875" style="231" customWidth="1"/>
    <col min="15" max="15" width="6.33203125" style="231" hidden="1" customWidth="1"/>
    <col min="16" max="16" width="6.5546875" style="231" hidden="1" customWidth="1"/>
    <col min="17" max="17" width="5.5546875" style="231" hidden="1" customWidth="1"/>
    <col min="18" max="18" width="6.44140625" style="231" hidden="1" customWidth="1"/>
    <col min="19" max="19" width="3.77734375" style="231" customWidth="1"/>
    <col min="20" max="24" width="12" style="231" customWidth="1"/>
    <col min="25" max="25" width="13.109375" style="231" customWidth="1"/>
    <col min="26" max="26" width="11.44140625" style="231" customWidth="1"/>
    <col min="27" max="27" width="13.5546875" style="231" customWidth="1"/>
    <col min="28" max="28" width="13.109375" style="231" customWidth="1"/>
    <col min="29" max="35" width="11.44140625" style="231"/>
    <col min="36" max="37" width="11.44140625" style="231" customWidth="1"/>
    <col min="38" max="16384" width="11.44140625" style="231"/>
  </cols>
  <sheetData>
    <row r="1" spans="1:30">
      <c r="S1" s="232"/>
    </row>
    <row r="2" spans="1:30">
      <c r="S2" s="232"/>
    </row>
    <row r="3" spans="1:30">
      <c r="S3" s="232"/>
    </row>
    <row r="4" spans="1:30" ht="10.8" thickBot="1">
      <c r="S4" s="232"/>
    </row>
    <row r="5" spans="1:30" ht="10.8" thickBot="1">
      <c r="H5" s="264" t="s">
        <v>423</v>
      </c>
      <c r="I5" s="140" t="b">
        <v>1</v>
      </c>
      <c r="K5" s="264" t="s">
        <v>508</v>
      </c>
      <c r="L5" s="140" t="b">
        <v>0</v>
      </c>
      <c r="S5" s="232"/>
    </row>
    <row r="6" spans="1:30" ht="10.8" thickBot="1">
      <c r="B6" s="265" t="s">
        <v>432</v>
      </c>
      <c r="C6" s="233" t="s">
        <v>57</v>
      </c>
      <c r="K6" s="264" t="s">
        <v>509</v>
      </c>
      <c r="L6" s="140" t="b">
        <v>0</v>
      </c>
      <c r="S6" s="232"/>
    </row>
    <row r="7" spans="1:30" customFormat="1" ht="15" thickBot="1">
      <c r="A7" s="231"/>
      <c r="B7" s="265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392"/>
      <c r="J7" s="391"/>
      <c r="K7" s="391"/>
      <c r="L7" s="391"/>
      <c r="M7" s="391"/>
      <c r="N7" s="391"/>
      <c r="O7" s="391"/>
      <c r="P7" s="391"/>
      <c r="Q7" s="391"/>
      <c r="R7" s="391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30" customFormat="1" ht="14.4">
      <c r="A8" s="231"/>
      <c r="B8" s="266" t="s">
        <v>82</v>
      </c>
      <c r="C8" s="236" t="s">
        <v>66</v>
      </c>
      <c r="D8" s="232"/>
      <c r="E8" s="232"/>
      <c r="F8" s="232"/>
      <c r="G8" s="232"/>
      <c r="H8" s="307" t="s">
        <v>435</v>
      </c>
      <c r="I8" s="504" cm="1">
        <f t="array" aca="1" ref="I8:N114" ca="1">IF(NOT($I$5),"",GETCDO(C6,C19:C20,C21:C22,G39:G338,C8,C17,C39:C338,D39:D338,C12,C13,C14,C15,C9,C10,E39:E338,F39:F338,C24,C25,C27,L5,L6,C29:C31,C36,C33,,C34))</f>
        <v>0.183780691978252</v>
      </c>
      <c r="J8" s="393">
        <f ca="1"/>
        <v>6.1260230659417297E-2</v>
      </c>
      <c r="K8" s="400" t="str">
        <f ca="1"/>
        <v/>
      </c>
      <c r="L8" s="400">
        <f ca="1"/>
        <v>0</v>
      </c>
      <c r="M8" s="401">
        <f ca="1"/>
        <v>0</v>
      </c>
      <c r="N8" s="449">
        <f ca="1"/>
        <v>0</v>
      </c>
      <c r="O8" s="401"/>
      <c r="P8" s="401"/>
      <c r="Q8" s="401"/>
      <c r="R8" s="449"/>
      <c r="S8" s="444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66" t="s">
        <v>437</v>
      </c>
      <c r="C9" s="237">
        <v>-0.05</v>
      </c>
      <c r="D9" s="232"/>
      <c r="E9" s="232"/>
      <c r="F9" s="232"/>
      <c r="G9" s="232"/>
      <c r="H9" s="381" t="s">
        <v>436</v>
      </c>
      <c r="I9" s="505">
        <f ca="1"/>
        <v>0.76385071819388795</v>
      </c>
      <c r="J9" s="394">
        <f ca="1"/>
        <v>0.254616906064629</v>
      </c>
      <c r="K9" s="402" t="str">
        <f ca="1"/>
        <v/>
      </c>
      <c r="L9" s="402">
        <f ca="1"/>
        <v>0</v>
      </c>
      <c r="M9" s="327">
        <f ca="1"/>
        <v>0</v>
      </c>
      <c r="N9" s="450">
        <f ca="1"/>
        <v>0</v>
      </c>
      <c r="O9" s="327"/>
      <c r="P9" s="327"/>
      <c r="Q9" s="327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67" t="s">
        <v>439</v>
      </c>
      <c r="C10" s="238">
        <v>0.1</v>
      </c>
      <c r="D10" s="232"/>
      <c r="E10" s="231"/>
      <c r="F10" s="232"/>
      <c r="G10" s="232"/>
      <c r="H10" s="381" t="s">
        <v>438</v>
      </c>
      <c r="I10" s="502">
        <f ca="1"/>
        <v>0.58007002621563597</v>
      </c>
      <c r="J10" s="394">
        <f ca="1"/>
        <v>0.19335667540521201</v>
      </c>
      <c r="K10" s="402" t="str">
        <f ca="1"/>
        <v/>
      </c>
      <c r="L10" s="402">
        <f ca="1"/>
        <v>0</v>
      </c>
      <c r="M10" s="327">
        <f ca="1"/>
        <v>0</v>
      </c>
      <c r="N10" s="450">
        <f ca="1"/>
        <v>0</v>
      </c>
      <c r="O10" s="327"/>
      <c r="P10" s="327"/>
      <c r="Q10" s="327"/>
      <c r="R10" s="450"/>
      <c r="S10" s="444"/>
      <c r="T10" s="79"/>
      <c r="U10" s="79"/>
      <c r="V10" s="79"/>
      <c r="W10" s="79"/>
      <c r="X10" s="79"/>
      <c r="Y10" s="431" t="s">
        <v>434</v>
      </c>
      <c r="Z10" s="432">
        <f ca="1">C29</f>
        <v>0</v>
      </c>
      <c r="AA10" s="79"/>
      <c r="AB10" s="431" t="s">
        <v>504</v>
      </c>
      <c r="AC10" s="432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81" t="s">
        <v>440</v>
      </c>
      <c r="I11" s="502">
        <f ca="1"/>
        <v>6.5841250510497301E-2</v>
      </c>
      <c r="J11" s="395">
        <f ca="1"/>
        <v>6.5841250510497301E-2</v>
      </c>
      <c r="K11" s="402" t="str">
        <f ca="1"/>
        <v/>
      </c>
      <c r="L11" s="402">
        <f ca="1"/>
        <v>0</v>
      </c>
      <c r="M11" s="327">
        <f ca="1"/>
        <v>0</v>
      </c>
      <c r="N11" s="450">
        <f ca="1"/>
        <v>0</v>
      </c>
      <c r="O11" s="327"/>
      <c r="P11" s="327"/>
      <c r="Q11" s="327"/>
      <c r="R11" s="450"/>
      <c r="S11" s="444"/>
      <c r="T11" s="79"/>
      <c r="U11" s="79"/>
      <c r="V11" s="79"/>
      <c r="W11" s="79"/>
      <c r="X11" s="79"/>
      <c r="Y11" s="409" t="s">
        <v>505</v>
      </c>
      <c r="Z11" s="433">
        <f ca="1">SUM(Z15:Z314)</f>
        <v>-0.19294280880465361</v>
      </c>
      <c r="AA11" s="79"/>
      <c r="AB11" s="409" t="s">
        <v>505</v>
      </c>
      <c r="AC11" s="433">
        <f ca="1">SUM(AC15:AC314)</f>
        <v>-1.0215347971743114E-2</v>
      </c>
      <c r="AD11" s="79"/>
    </row>
    <row r="12" spans="1:30" customFormat="1" ht="14.4">
      <c r="A12" s="231"/>
      <c r="B12" s="265" t="s">
        <v>434</v>
      </c>
      <c r="C12" s="239">
        <v>0.05</v>
      </c>
      <c r="D12" s="232"/>
      <c r="E12" s="232"/>
      <c r="F12" s="232"/>
      <c r="G12" s="232"/>
      <c r="H12" s="381" t="s">
        <v>497</v>
      </c>
      <c r="I12" s="502">
        <f ca="1"/>
        <v>3.8671335081042399</v>
      </c>
      <c r="J12" s="396">
        <f ca="1"/>
        <v>3.8671335081042399</v>
      </c>
      <c r="K12" s="402" t="str">
        <f ca="1"/>
        <v/>
      </c>
      <c r="L12" s="402">
        <f ca="1"/>
        <v>0</v>
      </c>
      <c r="M12" s="327">
        <f ca="1"/>
        <v>0</v>
      </c>
      <c r="N12" s="450">
        <f ca="1"/>
        <v>0</v>
      </c>
      <c r="O12" s="327"/>
      <c r="P12" s="327"/>
      <c r="Q12" s="327"/>
      <c r="R12" s="450"/>
      <c r="S12" s="445"/>
      <c r="T12" s="278" t="s">
        <v>423</v>
      </c>
      <c r="U12" s="438" t="b">
        <v>1</v>
      </c>
      <c r="V12" s="79"/>
      <c r="W12" s="79"/>
      <c r="X12" s="79"/>
      <c r="Y12" s="409" t="s">
        <v>498</v>
      </c>
      <c r="Z12" s="410">
        <f ca="1">$J$8+Z11</f>
        <v>-0.13168257814523632</v>
      </c>
      <c r="AA12" s="79"/>
      <c r="AB12" s="409" t="s">
        <v>498</v>
      </c>
      <c r="AC12" s="410">
        <f ca="1">$J$8+AC11</f>
        <v>5.1044882687674181E-2</v>
      </c>
      <c r="AD12" s="79"/>
    </row>
    <row r="13" spans="1:30" customFormat="1" ht="15" thickBot="1">
      <c r="A13" s="231"/>
      <c r="B13" s="266" t="s">
        <v>458</v>
      </c>
      <c r="C13" s="236" t="s">
        <v>459</v>
      </c>
      <c r="D13" s="232"/>
      <c r="E13" s="232" t="s">
        <v>75</v>
      </c>
      <c r="F13" s="232"/>
      <c r="G13" s="232"/>
      <c r="H13" s="381" t="s">
        <v>443</v>
      </c>
      <c r="I13" s="397" t="str">
        <f ca="1"/>
        <v>00:00:00.9557258</v>
      </c>
      <c r="J13" s="397" t="str">
        <f ca="1"/>
        <v>00:00:00.9557258</v>
      </c>
      <c r="K13" s="403" t="str">
        <f ca="1"/>
        <v>Leverage=</v>
      </c>
      <c r="L13" s="404">
        <f ca="1"/>
        <v>11.841785389064301</v>
      </c>
      <c r="M13" s="327">
        <f ca="1"/>
        <v>0</v>
      </c>
      <c r="N13" s="450">
        <f ca="1"/>
        <v>0</v>
      </c>
      <c r="O13" s="327"/>
      <c r="P13" s="456"/>
      <c r="Q13" s="455"/>
      <c r="R13" s="450"/>
      <c r="S13" s="445"/>
      <c r="T13" s="282" t="s">
        <v>499</v>
      </c>
      <c r="U13" s="411">
        <f ca="1">L13</f>
        <v>11.841785389064301</v>
      </c>
      <c r="V13" s="412"/>
      <c r="W13" s="79"/>
      <c r="X13" s="79"/>
      <c r="Y13" s="413" t="s">
        <v>500</v>
      </c>
      <c r="Z13" s="414">
        <f ca="1">Z12*(C20-C21)</f>
        <v>-0.34237470317761443</v>
      </c>
      <c r="AA13" s="79"/>
      <c r="AB13" s="409" t="s">
        <v>500</v>
      </c>
      <c r="AC13" s="415">
        <f ca="1">AC12*(C20-C21)</f>
        <v>0.13271669498795288</v>
      </c>
      <c r="AD13" s="79"/>
    </row>
    <row r="14" spans="1:30" customFormat="1" ht="15" thickBot="1">
      <c r="A14" s="231"/>
      <c r="B14" s="266" t="s">
        <v>461</v>
      </c>
      <c r="C14" s="236" t="s">
        <v>445</v>
      </c>
      <c r="D14" s="232"/>
      <c r="E14" s="232"/>
      <c r="F14" s="232"/>
      <c r="G14" s="232"/>
      <c r="H14" s="381" t="s">
        <v>460</v>
      </c>
      <c r="I14" s="398" t="str">
        <f ca="1"/>
        <v>dPV</v>
      </c>
      <c r="J14" s="399" t="str">
        <f ca="1"/>
        <v>dHedge</v>
      </c>
      <c r="K14" s="399" t="str">
        <f ca="1"/>
        <v>delta not. (Hedge Crncy)</v>
      </c>
      <c r="L14" s="398" t="str">
        <f ca="1"/>
        <v>delta not. (Product CCY)</v>
      </c>
      <c r="M14" s="398" t="str">
        <f ca="1"/>
        <v>dPV(dBeta)</v>
      </c>
      <c r="N14" s="451" t="str">
        <f ca="1"/>
        <v>Name</v>
      </c>
      <c r="O14" s="398"/>
      <c r="P14" s="398"/>
      <c r="Q14" s="398"/>
      <c r="R14" s="451"/>
      <c r="S14" s="151"/>
      <c r="T14" s="336" t="s">
        <v>501</v>
      </c>
      <c r="U14" s="332" t="s">
        <v>436</v>
      </c>
      <c r="V14" s="416" t="s">
        <v>438</v>
      </c>
      <c r="W14" s="416" t="s">
        <v>440</v>
      </c>
      <c r="X14" s="416" t="s">
        <v>441</v>
      </c>
      <c r="Y14" s="413" t="s">
        <v>506</v>
      </c>
      <c r="Z14" s="417" t="s">
        <v>502</v>
      </c>
      <c r="AA14" s="418" t="s">
        <v>503</v>
      </c>
      <c r="AB14" s="419" t="s">
        <v>507</v>
      </c>
      <c r="AC14" s="420" t="s">
        <v>502</v>
      </c>
      <c r="AD14" s="79"/>
    </row>
    <row r="15" spans="1:30" customFormat="1" ht="15" thickBot="1">
      <c r="A15" s="231"/>
      <c r="B15" s="267" t="s">
        <v>462</v>
      </c>
      <c r="C15" s="240"/>
      <c r="D15" s="232"/>
      <c r="E15" s="232"/>
      <c r="F15" s="232"/>
      <c r="G15" s="232"/>
      <c r="H15" s="381">
        <v>1</v>
      </c>
      <c r="I15" s="503">
        <f ca="1"/>
        <v>1.7141043881403401E-4</v>
      </c>
      <c r="J15" s="503">
        <f ca="1"/>
        <v>4.5010513236525202E-4</v>
      </c>
      <c r="K15" s="503">
        <f ca="1"/>
        <v>0.38082311550923997</v>
      </c>
      <c r="L15" s="503">
        <f ca="1"/>
        <v>0.38082311550923997</v>
      </c>
      <c r="M15" s="503">
        <f ca="1"/>
        <v>-2.17338889430141E-4</v>
      </c>
      <c r="N15" s="452" t="str">
        <f ca="1"/>
        <v>ABNAMRO_MMR.EUR.SU</v>
      </c>
      <c r="O15" s="405"/>
      <c r="P15" s="405"/>
      <c r="Q15" s="405"/>
      <c r="R15" s="452"/>
      <c r="S15" s="442"/>
      <c r="T15" s="421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2">
        <f ca="1"/>
        <v>1.8035596018332701E-2</v>
      </c>
      <c r="V15" s="422">
        <f ca="1"/>
        <v>4.3097628213232701E-2</v>
      </c>
      <c r="W15" s="423">
        <f ca="1"/>
        <v>4.1848233339195802E-3</v>
      </c>
      <c r="X15" s="424">
        <f ca="1"/>
        <v>4.3097628213232699</v>
      </c>
      <c r="Y15" s="425">
        <f ca="1">IF($U$12,IF(T15="","",$U$13*D39/$C$18),"")</f>
        <v>0.11841785389064301</v>
      </c>
      <c r="Z15" s="426">
        <f ca="1">IF($U$12,IF(Y15="","",Y15*($Z$10-W15)*X15),"")</f>
        <v>-2.1357365741295851E-3</v>
      </c>
      <c r="AA15" s="425">
        <f ca="1">IF($U$12,IF(OR(T15="",L15=""),"",L15/($C$20-$C$19)),"")</f>
        <v>0.12694103850308</v>
      </c>
      <c r="AB15" s="427">
        <f ca="1">IF($U$12,IF(W15="","",W15*$AC$10),"")</f>
        <v>3.9755821672236014E-3</v>
      </c>
      <c r="AC15" s="426">
        <f ca="1">IF($U$12,IF(AA15="","",AA15*(AB15-W15)*X15),"")</f>
        <v>-1.144728644294583E-4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81">
        <v>2</v>
      </c>
      <c r="I16" s="503">
        <f ca="1"/>
        <v>1.62696423111863E-4</v>
      </c>
      <c r="J16" s="503">
        <f ca="1"/>
        <v>4.5151390355193299E-4</v>
      </c>
      <c r="K16" s="503">
        <f ca="1"/>
        <v>0.360335355859423</v>
      </c>
      <c r="L16" s="503">
        <f ca="1"/>
        <v>0.360335355859423</v>
      </c>
      <c r="M16" s="503">
        <f ca="1"/>
        <v>-1.9305870803780801E-4</v>
      </c>
      <c r="N16" s="452" t="str">
        <f ca="1"/>
        <v>ACCOR_MMR.EUR.SU</v>
      </c>
      <c r="O16" s="405"/>
      <c r="P16" s="405"/>
      <c r="Q16" s="405"/>
      <c r="R16" s="452"/>
      <c r="S16" s="443"/>
      <c r="T16" s="421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2">
        <f ca="1"/>
        <v>1.6278013842597E-2</v>
      </c>
      <c r="V16" s="422">
        <f ca="1"/>
        <v>4.3218178824038903E-2</v>
      </c>
      <c r="W16" s="423">
        <f ca="1"/>
        <v>3.76647380466268E-3</v>
      </c>
      <c r="X16" s="424">
        <f ca="1"/>
        <v>4.3218178824038898</v>
      </c>
      <c r="Y16" s="425">
        <f ca="1">IF($U$12,IF(T16="","",$U$13*D40/$C$18),"")</f>
        <v>0.11841785389064301</v>
      </c>
      <c r="Z16" s="426">
        <f t="shared" ref="Z16:Z79" ca="1" si="0">IF($U$12,IF(Y16="","",Y16*($Z$10-W16)*X16),"")</f>
        <v>-1.9276074648425143E-3</v>
      </c>
      <c r="AA16" s="425">
        <f t="shared" ref="AA16:AA79" ca="1" si="1">IF($U$12,IF(OR(T16="",L16=""),"",L16/($C$20-$C$19)),"")</f>
        <v>0.12011178528647433</v>
      </c>
      <c r="AB16" s="427">
        <f t="shared" ref="AB16:AB79" ca="1" si="2">IF($U$12,IF(W16="","",W16*$AC$10),"")</f>
        <v>3.5781501144295457E-3</v>
      </c>
      <c r="AC16" s="426">
        <f t="shared" ref="AC16:AC79" ca="1" si="3">IF($U$12,IF(AA16="","",AA16*(AB16-W16)*X16),"")</f>
        <v>-9.7759065177613466E-5</v>
      </c>
      <c r="AD16" s="79"/>
    </row>
    <row r="17" spans="1:30" customFormat="1" ht="14.4">
      <c r="A17" s="231"/>
      <c r="B17" s="265" t="s">
        <v>463</v>
      </c>
      <c r="C17" s="241">
        <f ca="1">COUNTA(C39:C338)</f>
        <v>100</v>
      </c>
      <c r="D17" s="232"/>
      <c r="E17" s="231"/>
      <c r="F17" s="232"/>
      <c r="G17" s="232"/>
      <c r="H17" s="381">
        <v>3</v>
      </c>
      <c r="I17" s="503">
        <f ca="1"/>
        <v>1.70022403124825E-4</v>
      </c>
      <c r="J17" s="503">
        <f ca="1"/>
        <v>4.5002772921527901E-4</v>
      </c>
      <c r="K17" s="503">
        <f ca="1"/>
        <v>0.37780428201901201</v>
      </c>
      <c r="L17" s="503">
        <f ca="1"/>
        <v>0.37780428201901201</v>
      </c>
      <c r="M17" s="503">
        <f ca="1"/>
        <v>-2.1514474114887601E-4</v>
      </c>
      <c r="N17" s="452" t="str">
        <f ca="1"/>
        <v>ADECCO_MMR.EUR.SU</v>
      </c>
      <c r="O17" s="405"/>
      <c r="P17" s="405"/>
      <c r="Q17" s="405"/>
      <c r="R17" s="452"/>
      <c r="S17" s="443"/>
      <c r="T17" s="421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2">
        <f ca="1"/>
        <v>1.80626834994102E-2</v>
      </c>
      <c r="V17" s="422">
        <f ca="1"/>
        <v>4.3164774555406099E-2</v>
      </c>
      <c r="W17" s="423">
        <f ca="1"/>
        <v>4.1845888656791303E-3</v>
      </c>
      <c r="X17" s="424">
        <f ca="1"/>
        <v>4.3164774555406096</v>
      </c>
      <c r="Y17" s="425">
        <f t="shared" ref="Y17:Y79" ca="1" si="4">IF($U$12,IF(T17="","",$U$13*D41/$C$18),"")</f>
        <v>0.11841785389064301</v>
      </c>
      <c r="Z17" s="426">
        <f t="shared" ca="1" si="0"/>
        <v>-2.1389442155060876E-3</v>
      </c>
      <c r="AA17" s="425">
        <f t="shared" ca="1" si="1"/>
        <v>0.12593476067300399</v>
      </c>
      <c r="AB17" s="427">
        <f t="shared" ca="1" si="2"/>
        <v>3.9753594223951739E-3</v>
      </c>
      <c r="AC17" s="426">
        <f t="shared" ca="1" si="3"/>
        <v>-1.1373598618052215E-4</v>
      </c>
      <c r="AD17" s="79"/>
    </row>
    <row r="18" spans="1:30" customFormat="1" ht="14.4">
      <c r="A18" s="231"/>
      <c r="B18" s="266" t="s">
        <v>464</v>
      </c>
      <c r="C18" s="242">
        <f ca="1">SUM(OFFSET(D38,1,0,C17))</f>
        <v>100</v>
      </c>
      <c r="D18" s="232"/>
      <c r="E18" s="232"/>
      <c r="F18" s="232"/>
      <c r="G18" s="243"/>
      <c r="H18" s="381">
        <v>4</v>
      </c>
      <c r="I18" s="503">
        <f ca="1"/>
        <v>1.6768855942903601E-4</v>
      </c>
      <c r="J18" s="503">
        <f ca="1"/>
        <v>4.5083323574496103E-4</v>
      </c>
      <c r="K18" s="503">
        <f ca="1"/>
        <v>0.37195252287011599</v>
      </c>
      <c r="L18" s="503">
        <f ca="1"/>
        <v>0.37195252287011599</v>
      </c>
      <c r="M18" s="503">
        <f ca="1"/>
        <v>-2.0612853466854799E-4</v>
      </c>
      <c r="N18" s="452" t="str">
        <f ca="1"/>
        <v>AEGON_MMR.EUR.SU</v>
      </c>
      <c r="O18" s="405"/>
      <c r="P18" s="405"/>
      <c r="Q18" s="405"/>
      <c r="R18" s="452"/>
      <c r="S18" s="443"/>
      <c r="T18" s="421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2">
        <f ca="1"/>
        <v>1.7148949512556699E-2</v>
      </c>
      <c r="V18" s="422">
        <f ca="1"/>
        <v>4.3134151997960099E-2</v>
      </c>
      <c r="W18" s="423">
        <f ca="1"/>
        <v>3.9757242737420003E-3</v>
      </c>
      <c r="X18" s="424">
        <f ca="1"/>
        <v>4.31341519979601</v>
      </c>
      <c r="Y18" s="425">
        <f t="shared" ca="1" si="4"/>
        <v>0.11841785389064301</v>
      </c>
      <c r="Z18" s="426">
        <f t="shared" ca="1" si="0"/>
        <v>-2.0307417977559528E-3</v>
      </c>
      <c r="AA18" s="425">
        <f t="shared" ca="1" si="1"/>
        <v>0.12398417429003866</v>
      </c>
      <c r="AB18" s="427">
        <f t="shared" ca="1" si="2"/>
        <v>3.7769380600548999E-3</v>
      </c>
      <c r="AC18" s="426">
        <f t="shared" ca="1" si="3"/>
        <v>-1.0630991726279536E-4</v>
      </c>
      <c r="AD18" s="79"/>
    </row>
    <row r="19" spans="1:30" customFormat="1" ht="14.4">
      <c r="A19" s="231"/>
      <c r="B19" s="266" t="s">
        <v>465</v>
      </c>
      <c r="C19" s="244">
        <v>0</v>
      </c>
      <c r="D19" s="245"/>
      <c r="E19" s="232"/>
      <c r="F19" s="232"/>
      <c r="G19" s="246"/>
      <c r="H19" s="381">
        <v>5</v>
      </c>
      <c r="I19" s="503">
        <f ca="1"/>
        <v>1.3869038602560901E-4</v>
      </c>
      <c r="J19" s="503">
        <f ca="1"/>
        <v>4.5560749455750201E-4</v>
      </c>
      <c r="K19" s="503">
        <f ca="1"/>
        <v>0.30440760453317101</v>
      </c>
      <c r="L19" s="503">
        <f ca="1"/>
        <v>0.30440760453317101</v>
      </c>
      <c r="M19" s="503">
        <f ca="1"/>
        <v>-1.3067721843011901E-4</v>
      </c>
      <c r="N19" s="452" t="str">
        <f ca="1"/>
        <v>AKZONOBEL_MMR.EUR.SU</v>
      </c>
      <c r="O19" s="405"/>
      <c r="P19" s="405"/>
      <c r="Q19" s="405"/>
      <c r="R19" s="452"/>
      <c r="S19" s="443"/>
      <c r="T19" s="457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2">
        <f ca="1"/>
        <v>1.13429726352748E-2</v>
      </c>
      <c r="V19" s="422">
        <f ca="1"/>
        <v>4.3355953214014302E-2</v>
      </c>
      <c r="W19" s="423">
        <f ca="1"/>
        <v>2.6162433978290001E-3</v>
      </c>
      <c r="X19" s="424">
        <f ca="1"/>
        <v>4.3355953214014296</v>
      </c>
      <c r="Y19" s="425">
        <f t="shared" ca="1" si="4"/>
        <v>0.11841785389064301</v>
      </c>
      <c r="Z19" s="426">
        <f t="shared" ca="1" si="0"/>
        <v>-1.3432104762095322E-3</v>
      </c>
      <c r="AA19" s="425">
        <f t="shared" ca="1" si="1"/>
        <v>0.101469201511057</v>
      </c>
      <c r="AB19" s="427">
        <f t="shared" ca="1" si="2"/>
        <v>2.4854312279375501E-3</v>
      </c>
      <c r="AC19" s="426">
        <f t="shared" ca="1" si="3"/>
        <v>-5.7548118803155144E-5</v>
      </c>
      <c r="AD19" s="79"/>
    </row>
    <row r="20" spans="1:30" customFormat="1" ht="14.4">
      <c r="A20" s="231"/>
      <c r="B20" s="266" t="s">
        <v>466</v>
      </c>
      <c r="C20" s="244">
        <v>3</v>
      </c>
      <c r="D20" s="245"/>
      <c r="E20" s="232"/>
      <c r="F20" s="232"/>
      <c r="G20" s="246"/>
      <c r="H20" s="381">
        <v>6</v>
      </c>
      <c r="I20" s="503">
        <f ca="1"/>
        <v>1.56313709086176E-4</v>
      </c>
      <c r="J20" s="503">
        <f ca="1"/>
        <v>4.5306470442320801E-4</v>
      </c>
      <c r="K20" s="503">
        <f ca="1"/>
        <v>0.34501409524976701</v>
      </c>
      <c r="L20" s="503">
        <f ca="1"/>
        <v>0.34501409524976701</v>
      </c>
      <c r="M20" s="503">
        <f ca="1"/>
        <v>-1.73169780530369E-4</v>
      </c>
      <c r="N20" s="452" t="str">
        <f ca="1"/>
        <v>ALLIANZ_MMR.EUR.SU</v>
      </c>
      <c r="O20" s="405"/>
      <c r="P20" s="405"/>
      <c r="Q20" s="405"/>
      <c r="R20" s="452"/>
      <c r="S20" s="443"/>
      <c r="T20" s="421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2">
        <f ca="1"/>
        <v>1.4465954634378501E-2</v>
      </c>
      <c r="V20" s="422">
        <f ca="1"/>
        <v>4.3202038439909003E-2</v>
      </c>
      <c r="W20" s="423">
        <f ca="1"/>
        <v>3.34844260983186E-3</v>
      </c>
      <c r="X20" s="424">
        <f ca="1"/>
        <v>4.3202038439908996</v>
      </c>
      <c r="Y20" s="425">
        <f t="shared" ca="1" si="4"/>
        <v>0.11841785389064301</v>
      </c>
      <c r="Z20" s="426">
        <f t="shared" ca="1" si="0"/>
        <v>-1.7130273022825059E-3</v>
      </c>
      <c r="AA20" s="425">
        <f t="shared" ca="1" si="1"/>
        <v>0.115004698416589</v>
      </c>
      <c r="AB20" s="427">
        <f t="shared" ca="1" si="2"/>
        <v>3.1810204793402668E-3</v>
      </c>
      <c r="AC20" s="426">
        <f t="shared" ca="1" si="3"/>
        <v>-8.3182637501738089E-5</v>
      </c>
      <c r="AD20" s="79"/>
    </row>
    <row r="21" spans="1:30" customFormat="1" ht="14.4">
      <c r="A21" s="231"/>
      <c r="B21" s="266" t="s">
        <v>467</v>
      </c>
      <c r="C21" s="247">
        <v>0.4</v>
      </c>
      <c r="D21" s="232"/>
      <c r="E21" s="232"/>
      <c r="F21" s="232"/>
      <c r="G21" s="248"/>
      <c r="H21" s="381">
        <v>7</v>
      </c>
      <c r="I21" s="503">
        <f ca="1"/>
        <v>1.95368282673258E-4</v>
      </c>
      <c r="J21" s="503">
        <f ca="1"/>
        <v>4.4373105188322802E-4</v>
      </c>
      <c r="K21" s="503">
        <f ca="1"/>
        <v>0.44028535267951202</v>
      </c>
      <c r="L21" s="503">
        <f ca="1"/>
        <v>0.44028535267951202</v>
      </c>
      <c r="M21" s="503">
        <f ca="1"/>
        <v>-3.0184001869533201E-4</v>
      </c>
      <c r="N21" s="452" t="str">
        <f ca="1"/>
        <v>ALTADIS_MMR.EUR.SU</v>
      </c>
      <c r="O21" s="405"/>
      <c r="P21" s="405"/>
      <c r="Q21" s="405"/>
      <c r="R21" s="452"/>
      <c r="S21" s="443"/>
      <c r="T21" s="421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2">
        <f ca="1"/>
        <v>2.5626897627448301E-2</v>
      </c>
      <c r="V21" s="422">
        <f ca="1"/>
        <v>4.2992959811102301E-2</v>
      </c>
      <c r="W21" s="423">
        <f ca="1"/>
        <v>5.9607195550259702E-3</v>
      </c>
      <c r="X21" s="424">
        <f ca="1"/>
        <v>4.2992959811102303</v>
      </c>
      <c r="Y21" s="425">
        <f t="shared" ca="1" si="4"/>
        <v>0.11841785389064301</v>
      </c>
      <c r="Z21" s="426">
        <f t="shared" ca="1" si="0"/>
        <v>-3.0346822189176404E-3</v>
      </c>
      <c r="AA21" s="425">
        <f t="shared" ca="1" si="1"/>
        <v>0.14676178422650402</v>
      </c>
      <c r="AB21" s="427">
        <f t="shared" ca="1" si="2"/>
        <v>5.6626835772746716E-3</v>
      </c>
      <c r="AC21" s="426">
        <f t="shared" ca="1" si="3"/>
        <v>-1.8805246099971393E-4</v>
      </c>
      <c r="AD21" s="79"/>
    </row>
    <row r="22" spans="1:30" customFormat="1" ht="15" thickBot="1">
      <c r="A22" s="231"/>
      <c r="B22" s="267" t="s">
        <v>468</v>
      </c>
      <c r="C22" s="249">
        <v>0.5</v>
      </c>
      <c r="D22" s="232"/>
      <c r="E22" s="232"/>
      <c r="F22" s="232"/>
      <c r="G22" s="248"/>
      <c r="H22" s="381">
        <v>8</v>
      </c>
      <c r="I22" s="503">
        <f ca="1"/>
        <v>1.8904733422371299E-4</v>
      </c>
      <c r="J22" s="503">
        <f ca="1"/>
        <v>4.4560559587684902E-4</v>
      </c>
      <c r="K22" s="503">
        <f ca="1"/>
        <v>0.42424811531307499</v>
      </c>
      <c r="L22" s="503">
        <f ca="1"/>
        <v>0.42424811531307499</v>
      </c>
      <c r="M22" s="503">
        <f ca="1"/>
        <v>-2.7776729322421802E-4</v>
      </c>
      <c r="N22" s="452" t="str">
        <f ca="1"/>
        <v>ARCELORFINANCESCA_MMR.EUR.SU</v>
      </c>
      <c r="O22" s="405"/>
      <c r="P22" s="405"/>
      <c r="Q22" s="405"/>
      <c r="R22" s="452"/>
      <c r="S22" s="443"/>
      <c r="T22" s="421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2">
        <f ca="1"/>
        <v>2.33999957067813E-2</v>
      </c>
      <c r="V22" s="422">
        <f ca="1"/>
        <v>4.3025965590200999E-2</v>
      </c>
      <c r="W22" s="423">
        <f ca="1"/>
        <v>5.4385753778668404E-3</v>
      </c>
      <c r="X22" s="424">
        <f ca="1"/>
        <v>4.3025965590200999</v>
      </c>
      <c r="Y22" s="425">
        <f t="shared" ca="1" si="4"/>
        <v>0.11841785389064301</v>
      </c>
      <c r="Z22" s="426">
        <f t="shared" ca="1" si="0"/>
        <v>-2.7709772726473023E-3</v>
      </c>
      <c r="AA22" s="425">
        <f t="shared" ca="1" si="1"/>
        <v>0.14141603843769165</v>
      </c>
      <c r="AB22" s="427">
        <f t="shared" ca="1" si="2"/>
        <v>5.1666466089734979E-3</v>
      </c>
      <c r="AC22" s="426">
        <f t="shared" ca="1" si="3"/>
        <v>-1.6545673461560052E-4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81">
        <v>9</v>
      </c>
      <c r="I23" s="503">
        <f ca="1"/>
        <v>1.34168925193645E-4</v>
      </c>
      <c r="J23" s="503">
        <f ca="1"/>
        <v>4.5636495841686801E-4</v>
      </c>
      <c r="K23" s="503">
        <f ca="1"/>
        <v>0.29399480113257898</v>
      </c>
      <c r="L23" s="503">
        <f ca="1"/>
        <v>0.29399480113257898</v>
      </c>
      <c r="M23" s="503">
        <f ca="1"/>
        <v>-1.19970081010146E-4</v>
      </c>
      <c r="N23" s="452" t="str">
        <f ca="1"/>
        <v>AUCHAN_MMR.EUR.SU</v>
      </c>
      <c r="O23" s="405"/>
      <c r="P23" s="405"/>
      <c r="Q23" s="405"/>
      <c r="R23" s="452"/>
      <c r="S23" s="443"/>
      <c r="T23" s="421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2">
        <f ca="1"/>
        <v>1.04374643822619E-2</v>
      </c>
      <c r="V23" s="422">
        <f ca="1"/>
        <v>4.3361701546314697E-2</v>
      </c>
      <c r="W23" s="423">
        <f ca="1"/>
        <v>2.4070698358351198E-3</v>
      </c>
      <c r="X23" s="424">
        <f ca="1"/>
        <v>4.3361701546314704</v>
      </c>
      <c r="Y23" s="425">
        <f t="shared" ca="1" si="4"/>
        <v>0.11841785389064301</v>
      </c>
      <c r="Z23" s="426">
        <f t="shared" ca="1" si="0"/>
        <v>-1.2359821322074824E-3</v>
      </c>
      <c r="AA23" s="425">
        <f t="shared" ca="1" si="1"/>
        <v>9.7998267044192996E-2</v>
      </c>
      <c r="AB23" s="427">
        <f t="shared" ca="1" si="2"/>
        <v>2.2867163440433639E-3</v>
      </c>
      <c r="AC23" s="426">
        <f t="shared" ca="1" si="3"/>
        <v>-5.1142671089857776E-5</v>
      </c>
      <c r="AD23" s="79"/>
    </row>
    <row r="24" spans="1:30" customFormat="1" ht="14.4">
      <c r="A24" s="250"/>
      <c r="B24" s="268" t="s">
        <v>447</v>
      </c>
      <c r="C24" s="63" t="b">
        <v>1</v>
      </c>
      <c r="D24" s="232"/>
      <c r="E24" s="232"/>
      <c r="F24" s="232"/>
      <c r="G24" s="232"/>
      <c r="H24" s="381">
        <v>10</v>
      </c>
      <c r="I24" s="503">
        <f ca="1"/>
        <v>1.5388933132842801E-4</v>
      </c>
      <c r="J24" s="503">
        <f ca="1"/>
        <v>4.5342002039657202E-4</v>
      </c>
      <c r="K24" s="503">
        <f ca="1"/>
        <v>0.33939686031911998</v>
      </c>
      <c r="L24" s="503">
        <f ca="1"/>
        <v>0.33939686031911998</v>
      </c>
      <c r="M24" s="503">
        <f ca="1"/>
        <v>-1.6693072331506201E-4</v>
      </c>
      <c r="N24" s="452" t="str">
        <f ca="1"/>
        <v>AVIVA_MMR.EUR.SU</v>
      </c>
      <c r="O24" s="405"/>
      <c r="P24" s="405"/>
      <c r="Q24" s="405"/>
      <c r="R24" s="452"/>
      <c r="S24" s="443"/>
      <c r="T24" s="421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2">
        <f ca="1"/>
        <v>1.4023604687363101E-2</v>
      </c>
      <c r="V24" s="422">
        <f ca="1"/>
        <v>4.3231621130995698E-2</v>
      </c>
      <c r="W24" s="423">
        <f ca="1"/>
        <v>3.24383040017637E-3</v>
      </c>
      <c r="X24" s="424">
        <f ca="1"/>
        <v>4.3231621130995697</v>
      </c>
      <c r="Y24" s="425">
        <f t="shared" ca="1" si="4"/>
        <v>0.11841785389064301</v>
      </c>
      <c r="Z24" s="426">
        <f t="shared" ca="1" si="0"/>
        <v>-1.6606451708882997E-3</v>
      </c>
      <c r="AA24" s="425">
        <f t="shared" ca="1" si="1"/>
        <v>0.11313228677303999</v>
      </c>
      <c r="AB24" s="427">
        <f t="shared" ca="1" si="2"/>
        <v>3.0816388801675515E-3</v>
      </c>
      <c r="AC24" s="426">
        <f t="shared" ca="1" si="3"/>
        <v>-7.9326123354125477E-5</v>
      </c>
      <c r="AD24" s="79"/>
    </row>
    <row r="25" spans="1:30" customFormat="1" ht="15" thickBot="1">
      <c r="A25" s="250"/>
      <c r="B25" s="436" t="s">
        <v>448</v>
      </c>
      <c r="C25" s="437" t="b">
        <v>1</v>
      </c>
      <c r="D25" s="232"/>
      <c r="E25" s="232"/>
      <c r="F25" s="232"/>
      <c r="G25" s="232"/>
      <c r="H25" s="381">
        <v>11</v>
      </c>
      <c r="I25" s="503">
        <f ca="1"/>
        <v>1.6023953087169701E-4</v>
      </c>
      <c r="J25" s="503">
        <f ca="1"/>
        <v>4.5231886562589199E-4</v>
      </c>
      <c r="K25" s="503">
        <f ca="1"/>
        <v>0.35426232034334199</v>
      </c>
      <c r="L25" s="503">
        <f ca="1"/>
        <v>0.35426232034334199</v>
      </c>
      <c r="M25" s="503">
        <f ca="1"/>
        <v>-1.8420941881669501E-4</v>
      </c>
      <c r="N25" s="452" t="str">
        <f ca="1"/>
        <v>AXA_MMR.EUR.SU</v>
      </c>
      <c r="O25" s="405"/>
      <c r="P25" s="405"/>
      <c r="Q25" s="405"/>
      <c r="R25" s="452"/>
      <c r="S25" s="443"/>
      <c r="T25" s="421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2">
        <f ca="1"/>
        <v>1.53617307311943E-2</v>
      </c>
      <c r="V25" s="422">
        <f ca="1"/>
        <v>4.3180620260430201E-2</v>
      </c>
      <c r="W25" s="423">
        <f ca="1"/>
        <v>3.5575521237409002E-3</v>
      </c>
      <c r="X25" s="424">
        <f ca="1"/>
        <v>4.3180620260430196</v>
      </c>
      <c r="Y25" s="425">
        <f t="shared" ca="1" si="4"/>
        <v>0.11841785389064301</v>
      </c>
      <c r="Z25" s="426">
        <f t="shared" ca="1" si="0"/>
        <v>-1.8191031852339645E-3</v>
      </c>
      <c r="AA25" s="425">
        <f t="shared" ca="1" si="1"/>
        <v>0.11808744011444733</v>
      </c>
      <c r="AB25" s="427">
        <f t="shared" ca="1" si="2"/>
        <v>3.3796745175538549E-3</v>
      </c>
      <c r="AC25" s="426">
        <f t="shared" ca="1" si="3"/>
        <v>-9.0701372888708637E-5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81">
        <v>12</v>
      </c>
      <c r="I26" s="503">
        <f ca="1"/>
        <v>1.7987351222694699E-4</v>
      </c>
      <c r="J26" s="503">
        <f ca="1"/>
        <v>4.4827115261653901E-4</v>
      </c>
      <c r="K26" s="503">
        <f ca="1"/>
        <v>0.40126051202945601</v>
      </c>
      <c r="L26" s="503">
        <f ca="1"/>
        <v>0.40126051202945601</v>
      </c>
      <c r="M26" s="503">
        <f ca="1"/>
        <v>-2.4444938227012901E-4</v>
      </c>
      <c r="N26" s="452" t="str">
        <f ca="1"/>
        <v>BANCOESPIRITOSANTO_MMR.EUR.SU</v>
      </c>
      <c r="O26" s="405"/>
      <c r="P26" s="405"/>
      <c r="Q26" s="405"/>
      <c r="R26" s="452"/>
      <c r="S26" s="443"/>
      <c r="T26" s="421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2">
        <f ca="1"/>
        <v>2.0251413039767002E-2</v>
      </c>
      <c r="V26" s="422">
        <f ca="1"/>
        <v>4.3019885705805103E-2</v>
      </c>
      <c r="W26" s="423">
        <f ca="1"/>
        <v>4.7074539384548602E-3</v>
      </c>
      <c r="X26" s="424">
        <f ca="1"/>
        <v>4.3019885705805097</v>
      </c>
      <c r="Y26" s="425">
        <f t="shared" ca="1" si="4"/>
        <v>0.11841785389064301</v>
      </c>
      <c r="Z26" s="426">
        <f t="shared" ca="1" si="0"/>
        <v>-2.3981288704221929E-3</v>
      </c>
      <c r="AA26" s="425">
        <f t="shared" ca="1" si="1"/>
        <v>0.13375350400981867</v>
      </c>
      <c r="AB26" s="427">
        <f t="shared" ca="1" si="2"/>
        <v>4.4720812415321174E-3</v>
      </c>
      <c r="AC26" s="426">
        <f t="shared" ca="1" si="3"/>
        <v>-1.3543487276094845E-4</v>
      </c>
      <c r="AD26" s="79"/>
    </row>
    <row r="27" spans="1:30" customFormat="1" ht="15" thickBot="1">
      <c r="A27" s="231"/>
      <c r="B27" s="441" t="s">
        <v>449</v>
      </c>
      <c r="C27" s="185" t="b">
        <v>1</v>
      </c>
      <c r="D27" s="232"/>
      <c r="E27" s="232"/>
      <c r="F27" s="232"/>
      <c r="G27" s="232"/>
      <c r="H27" s="381">
        <v>13</v>
      </c>
      <c r="I27" s="503">
        <f ca="1"/>
        <v>1.7187975363206501E-4</v>
      </c>
      <c r="J27" s="503">
        <f ca="1"/>
        <v>4.5014200948937901E-4</v>
      </c>
      <c r="K27" s="503">
        <f ca="1"/>
        <v>0.38183451001837798</v>
      </c>
      <c r="L27" s="503">
        <f ca="1"/>
        <v>0.38183451001837798</v>
      </c>
      <c r="M27" s="503">
        <f ca="1"/>
        <v>-2.1826995481357699E-4</v>
      </c>
      <c r="N27" s="452" t="str">
        <f ca="1"/>
        <v>BARCLAYS_MMR.EUR.SU</v>
      </c>
      <c r="O27" s="405"/>
      <c r="P27" s="405"/>
      <c r="Q27" s="405"/>
      <c r="R27" s="452"/>
      <c r="S27" s="443"/>
      <c r="T27" s="421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2">
        <f ca="1"/>
        <v>1.80222957602152E-2</v>
      </c>
      <c r="V27" s="422">
        <f ca="1"/>
        <v>4.3064586848719603E-2</v>
      </c>
      <c r="W27" s="423">
        <f ca="1"/>
        <v>4.1849457010989599E-3</v>
      </c>
      <c r="X27" s="424">
        <f ca="1"/>
        <v>4.3064586848719602</v>
      </c>
      <c r="Y27" s="425">
        <f t="shared" ca="1" si="4"/>
        <v>0.11841785389064301</v>
      </c>
      <c r="Z27" s="426">
        <f t="shared" ca="1" si="0"/>
        <v>-2.1341615861071171E-3</v>
      </c>
      <c r="AA27" s="425">
        <f t="shared" ca="1" si="1"/>
        <v>0.12727817000612598</v>
      </c>
      <c r="AB27" s="427">
        <f t="shared" ca="1" si="2"/>
        <v>3.9756984160440115E-3</v>
      </c>
      <c r="AC27" s="426">
        <f t="shared" ca="1" si="3"/>
        <v>-1.1469224118346788E-4</v>
      </c>
      <c r="AD27" s="79"/>
    </row>
    <row r="28" spans="1:30" customFormat="1" ht="15" thickBot="1">
      <c r="A28" s="231"/>
      <c r="B28" s="266" t="s">
        <v>450</v>
      </c>
      <c r="C28" s="251"/>
      <c r="D28" s="232"/>
      <c r="E28" s="232"/>
      <c r="F28" s="232"/>
      <c r="G28" s="232"/>
      <c r="H28" s="381">
        <v>14</v>
      </c>
      <c r="I28" s="503">
        <f ca="1"/>
        <v>1.2285644822094299E-4</v>
      </c>
      <c r="J28" s="503">
        <f ca="1"/>
        <v>4.5786156783495999E-4</v>
      </c>
      <c r="K28" s="503">
        <f ca="1"/>
        <v>0.26832662283030401</v>
      </c>
      <c r="L28" s="503">
        <f ca="1"/>
        <v>0.26832662283030401</v>
      </c>
      <c r="M28" s="503">
        <f ca="1"/>
        <v>-9.6389694732357202E-5</v>
      </c>
      <c r="N28" s="452" t="str">
        <f ca="1"/>
        <v>BASF_MMR.EUR.SU</v>
      </c>
      <c r="O28" s="405"/>
      <c r="P28" s="405"/>
      <c r="Q28" s="405"/>
      <c r="R28" s="452"/>
      <c r="S28" s="443"/>
      <c r="T28" s="421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2">
        <f ca="1"/>
        <v>8.6344823940712398E-3</v>
      </c>
      <c r="V28" s="422">
        <f ca="1"/>
        <v>4.3419421894462899E-2</v>
      </c>
      <c r="W28" s="423">
        <f ca="1"/>
        <v>1.98862214588176E-3</v>
      </c>
      <c r="X28" s="424">
        <f ca="1"/>
        <v>4.3419421894462902</v>
      </c>
      <c r="Y28" s="425">
        <f t="shared" ca="1" si="4"/>
        <v>0.11841785389064301</v>
      </c>
      <c r="Z28" s="426">
        <f t="shared" ca="1" si="0"/>
        <v>-1.0224768745624561E-3</v>
      </c>
      <c r="AA28" s="425">
        <f t="shared" ca="1" si="1"/>
        <v>8.944220761010134E-2</v>
      </c>
      <c r="AB28" s="427">
        <f t="shared" ca="1" si="2"/>
        <v>1.8891910385876718E-3</v>
      </c>
      <c r="AC28" s="426">
        <f t="shared" ca="1" si="3"/>
        <v>-3.8614358344814264E-5</v>
      </c>
      <c r="AD28" s="79"/>
    </row>
    <row r="29" spans="1:30" customFormat="1" ht="15" thickBot="1">
      <c r="A29" s="231"/>
      <c r="B29" s="266" t="s">
        <v>469</v>
      </c>
      <c r="C29" s="252"/>
      <c r="D29" s="232"/>
      <c r="E29" s="232"/>
      <c r="F29" s="232"/>
      <c r="G29" s="232"/>
      <c r="H29" s="381">
        <v>15</v>
      </c>
      <c r="I29" s="503">
        <f ca="1"/>
        <v>1.56517201861606E-4</v>
      </c>
      <c r="J29" s="503">
        <f ca="1"/>
        <v>4.5262087816986E-4</v>
      </c>
      <c r="K29" s="503">
        <f ca="1"/>
        <v>0.34580199325862299</v>
      </c>
      <c r="L29" s="503">
        <f ca="1"/>
        <v>0.34580199325862299</v>
      </c>
      <c r="M29" s="503">
        <f ca="1"/>
        <v>-1.7607661139365001E-4</v>
      </c>
      <c r="N29" s="452" t="str">
        <f ca="1"/>
        <v>BAT_MMR.EUR.SU</v>
      </c>
      <c r="O29" s="405"/>
      <c r="P29" s="405"/>
      <c r="Q29" s="405"/>
      <c r="R29" s="452"/>
      <c r="S29" s="443"/>
      <c r="T29" s="421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2">
        <f ca="1"/>
        <v>1.49377234698301E-2</v>
      </c>
      <c r="V29" s="422">
        <f ca="1"/>
        <v>4.3262385508792599E-2</v>
      </c>
      <c r="W29" s="423">
        <f ca="1"/>
        <v>3.45282011016109E-3</v>
      </c>
      <c r="X29" s="424">
        <f ca="1"/>
        <v>4.3262385508792596</v>
      </c>
      <c r="Y29" s="425">
        <f t="shared" ca="1" si="4"/>
        <v>0.11841785389064301</v>
      </c>
      <c r="Z29" s="426">
        <f t="shared" ca="1" si="0"/>
        <v>-1.7688931553091673E-3</v>
      </c>
      <c r="AA29" s="425">
        <f t="shared" ca="1" si="1"/>
        <v>0.11526733108620767</v>
      </c>
      <c r="AB29" s="427">
        <f t="shared" ca="1" si="2"/>
        <v>3.2801791046530352E-3</v>
      </c>
      <c r="AC29" s="426">
        <f t="shared" ca="1" si="3"/>
        <v>-8.6091575843556079E-5</v>
      </c>
      <c r="AD29" s="79"/>
    </row>
    <row r="30" spans="1:30" customFormat="1" ht="14.4">
      <c r="A30" s="231"/>
      <c r="B30" s="266" t="s">
        <v>447</v>
      </c>
      <c r="C30" s="63" t="b">
        <v>1</v>
      </c>
      <c r="D30" s="232"/>
      <c r="E30" s="232"/>
      <c r="F30" s="232"/>
      <c r="G30" s="232"/>
      <c r="H30" s="381">
        <v>16</v>
      </c>
      <c r="I30" s="503">
        <f ca="1"/>
        <v>1.3871818579502801E-4</v>
      </c>
      <c r="J30" s="503">
        <f ca="1"/>
        <v>4.55608452509966E-4</v>
      </c>
      <c r="K30" s="503">
        <f ca="1"/>
        <v>0.30446798129144398</v>
      </c>
      <c r="L30" s="503">
        <f ca="1"/>
        <v>0.30446798129144398</v>
      </c>
      <c r="M30" s="503">
        <f ca="1"/>
        <v>-1.3068893331296099E-4</v>
      </c>
      <c r="N30" s="452" t="str">
        <f ca="1"/>
        <v>BAYER_MMR.EUR.SU</v>
      </c>
      <c r="O30" s="405"/>
      <c r="P30" s="405"/>
      <c r="Q30" s="405"/>
      <c r="R30" s="452"/>
      <c r="S30" s="443"/>
      <c r="T30" s="421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2">
        <f ca="1"/>
        <v>1.13428753159023E-2</v>
      </c>
      <c r="V30" s="422">
        <f ca="1"/>
        <v>4.3355559266848101E-2</v>
      </c>
      <c r="W30" s="423">
        <f ca="1"/>
        <v>2.6162447233325499E-3</v>
      </c>
      <c r="X30" s="424">
        <f ca="1"/>
        <v>4.33555592668481</v>
      </c>
      <c r="Y30" s="425">
        <f t="shared" ca="1" si="4"/>
        <v>0.11841785389064301</v>
      </c>
      <c r="Z30" s="426">
        <f t="shared" ca="1" si="0"/>
        <v>-1.3431989518582995E-3</v>
      </c>
      <c r="AA30" s="425">
        <f t="shared" ca="1" si="1"/>
        <v>0.10148932709714799</v>
      </c>
      <c r="AB30" s="427">
        <f t="shared" ca="1" si="2"/>
        <v>2.4854324871659223E-3</v>
      </c>
      <c r="AC30" s="426">
        <f t="shared" ca="1" si="3"/>
        <v>-5.7559039157888753E-5</v>
      </c>
      <c r="AD30" s="79"/>
    </row>
    <row r="31" spans="1:30" customFormat="1" ht="15" thickBot="1">
      <c r="A31" s="231"/>
      <c r="B31" s="267" t="s">
        <v>448</v>
      </c>
      <c r="C31" s="437" t="b">
        <v>1</v>
      </c>
      <c r="D31" s="232"/>
      <c r="E31" s="232"/>
      <c r="F31" s="232"/>
      <c r="G31" s="232"/>
      <c r="H31" s="381">
        <v>17</v>
      </c>
      <c r="I31" s="503">
        <f ca="1"/>
        <v>1.58881880893303E-4</v>
      </c>
      <c r="J31" s="503">
        <f ca="1"/>
        <v>4.52720473859212E-4</v>
      </c>
      <c r="K31" s="503">
        <f ca="1"/>
        <v>0.35094918402721198</v>
      </c>
      <c r="L31" s="503">
        <f ca="1"/>
        <v>0.35094918402721198</v>
      </c>
      <c r="M31" s="503">
        <f ca="1"/>
        <v>-1.79880723569071E-4</v>
      </c>
      <c r="N31" s="452" t="str">
        <f ca="1"/>
        <v>BBVA_MMR.EUR.SU</v>
      </c>
      <c r="O31" s="405"/>
      <c r="P31" s="405"/>
      <c r="Q31" s="405"/>
      <c r="R31" s="452"/>
      <c r="S31" s="443"/>
      <c r="T31" s="421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2">
        <f ca="1"/>
        <v>1.4902425741151699E-2</v>
      </c>
      <c r="V31" s="422">
        <f ca="1"/>
        <v>4.3156817391343999E-2</v>
      </c>
      <c r="W31" s="423">
        <f ca="1"/>
        <v>3.4530872853800101E-3</v>
      </c>
      <c r="X31" s="424">
        <f ca="1"/>
        <v>4.3156817391343996</v>
      </c>
      <c r="Y31" s="425">
        <f t="shared" ca="1" si="4"/>
        <v>0.11841785389064301</v>
      </c>
      <c r="Z31" s="426">
        <f t="shared" ca="1" si="0"/>
        <v>-1.7647132740318575E-3</v>
      </c>
      <c r="AA31" s="425">
        <f t="shared" ca="1" si="1"/>
        <v>0.11698306134240399</v>
      </c>
      <c r="AB31" s="427">
        <f t="shared" ca="1" si="2"/>
        <v>3.2804329211110093E-3</v>
      </c>
      <c r="AC31" s="426">
        <f t="shared" ca="1" si="3"/>
        <v>-8.7166569231388519E-5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81">
        <v>18</v>
      </c>
      <c r="I32" s="503">
        <f ca="1"/>
        <v>1.5250566896838399E-4</v>
      </c>
      <c r="J32" s="503">
        <f ca="1"/>
        <v>4.5336987263139999E-4</v>
      </c>
      <c r="K32" s="503">
        <f ca="1"/>
        <v>0.33638245100678399</v>
      </c>
      <c r="L32" s="503">
        <f ca="1"/>
        <v>0.33638245100678399</v>
      </c>
      <c r="M32" s="503">
        <f ca="1"/>
        <v>-1.64944728698258E-4</v>
      </c>
      <c r="N32" s="452" t="str">
        <f ca="1"/>
        <v>BERTELSMANNAG_MMR.EUR.SU</v>
      </c>
      <c r="O32" s="405"/>
      <c r="P32" s="405"/>
      <c r="Q32" s="405"/>
      <c r="R32" s="452"/>
      <c r="S32" s="443"/>
      <c r="T32" s="421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2">
        <f ca="1"/>
        <v>1.40397471089963E-2</v>
      </c>
      <c r="V32" s="422">
        <f ca="1"/>
        <v>4.3283000313039798E-2</v>
      </c>
      <c r="W32" s="423">
        <f ca="1"/>
        <v>3.24370931022695E-3</v>
      </c>
      <c r="X32" s="424">
        <f ca="1"/>
        <v>4.3283000313039803</v>
      </c>
      <c r="Y32" s="425">
        <f t="shared" ca="1" si="4"/>
        <v>0.11841785389064301</v>
      </c>
      <c r="Z32" s="426">
        <f t="shared" ca="1" si="0"/>
        <v>-1.6625567218147039E-3</v>
      </c>
      <c r="AA32" s="425">
        <f t="shared" ca="1" si="1"/>
        <v>0.112127483668928</v>
      </c>
      <c r="AB32" s="427">
        <f t="shared" ca="1" si="2"/>
        <v>3.0815238447156022E-3</v>
      </c>
      <c r="AC32" s="426">
        <f t="shared" ca="1" si="3"/>
        <v>-7.8712075733993351E-5</v>
      </c>
      <c r="AD32" s="79"/>
    </row>
    <row r="33" spans="1:30" customFormat="1" ht="14.4">
      <c r="A33" s="231"/>
      <c r="B33" s="265" t="s">
        <v>451</v>
      </c>
      <c r="C33" s="253" t="s">
        <v>452</v>
      </c>
      <c r="D33" s="254"/>
      <c r="E33" s="254"/>
      <c r="F33" s="254"/>
      <c r="G33" s="232"/>
      <c r="H33" s="381">
        <v>19</v>
      </c>
      <c r="I33" s="503">
        <f ca="1"/>
        <v>1.41383226827574E-4</v>
      </c>
      <c r="J33" s="503">
        <f ca="1"/>
        <v>4.5523984979233998E-4</v>
      </c>
      <c r="K33" s="503">
        <f ca="1"/>
        <v>0.31056865274880202</v>
      </c>
      <c r="L33" s="503">
        <f ca="1"/>
        <v>0.31056865274880202</v>
      </c>
      <c r="M33" s="503">
        <f ca="1"/>
        <v>-1.3668098702535099E-4</v>
      </c>
      <c r="N33" s="452" t="str">
        <f ca="1"/>
        <v>BMW_MMR.EUR.SU</v>
      </c>
      <c r="O33" s="405"/>
      <c r="P33" s="405"/>
      <c r="Q33" s="405"/>
      <c r="R33" s="452"/>
      <c r="S33" s="443"/>
      <c r="T33" s="421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2">
        <f ca="1"/>
        <v>1.1791712113008401E-2</v>
      </c>
      <c r="V33" s="422">
        <f ca="1"/>
        <v>4.3338423365647701E-2</v>
      </c>
      <c r="W33" s="423">
        <f ca="1"/>
        <v>2.7208447371334498E-3</v>
      </c>
      <c r="X33" s="424">
        <f ca="1"/>
        <v>4.3338423365647696</v>
      </c>
      <c r="Y33" s="425">
        <f t="shared" ca="1" si="4"/>
        <v>0.11841785389064301</v>
      </c>
      <c r="Z33" s="426">
        <f t="shared" ca="1" si="0"/>
        <v>-1.3963492421187524E-3</v>
      </c>
      <c r="AA33" s="425">
        <f t="shared" ca="1" si="1"/>
        <v>0.10352288424960067</v>
      </c>
      <c r="AB33" s="427">
        <f t="shared" ca="1" si="2"/>
        <v>2.5848025002767772E-3</v>
      </c>
      <c r="AC33" s="426">
        <f t="shared" ca="1" si="3"/>
        <v>-6.1035602408979106E-5</v>
      </c>
      <c r="AD33" s="79"/>
    </row>
    <row r="34" spans="1:30" customFormat="1" ht="14.4">
      <c r="A34" s="231"/>
      <c r="B34" s="266" t="s">
        <v>470</v>
      </c>
      <c r="C34" s="255">
        <v>0.01</v>
      </c>
      <c r="D34" s="254"/>
      <c r="E34" s="254"/>
      <c r="F34" s="254"/>
      <c r="G34" s="232"/>
      <c r="H34" s="381">
        <v>20</v>
      </c>
      <c r="I34" s="503">
        <f ca="1"/>
        <v>1.5127743239034001E-4</v>
      </c>
      <c r="J34" s="503">
        <f ca="1"/>
        <v>4.53770593728923E-4</v>
      </c>
      <c r="K34" s="503">
        <f ca="1"/>
        <v>0.33337865979193698</v>
      </c>
      <c r="L34" s="503">
        <f ca="1"/>
        <v>0.33337865979193698</v>
      </c>
      <c r="M34" s="503">
        <f ca="1"/>
        <v>-1.6059020166441201E-4</v>
      </c>
      <c r="N34" s="452" t="str">
        <f ca="1"/>
        <v>BNPPARIBAS_MMR.EUR.SU</v>
      </c>
      <c r="O34" s="405"/>
      <c r="P34" s="405"/>
      <c r="Q34" s="405"/>
      <c r="R34" s="452"/>
      <c r="S34" s="443"/>
      <c r="T34" s="421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2">
        <f ca="1"/>
        <v>1.3581299536972799E-2</v>
      </c>
      <c r="V34" s="422">
        <f ca="1"/>
        <v>4.3263423257326301E-2</v>
      </c>
      <c r="W34" s="423">
        <f ca="1"/>
        <v>3.1392105650523E-3</v>
      </c>
      <c r="X34" s="424">
        <f ca="1"/>
        <v>4.3263423257326297</v>
      </c>
      <c r="Y34" s="425">
        <f t="shared" ca="1" si="4"/>
        <v>0.11841785389064301</v>
      </c>
      <c r="Z34" s="426">
        <f t="shared" ca="1" si="0"/>
        <v>-1.6082683442143037E-3</v>
      </c>
      <c r="AA34" s="425">
        <f t="shared" ca="1" si="1"/>
        <v>0.11112621993064566</v>
      </c>
      <c r="AB34" s="427">
        <f t="shared" ca="1" si="2"/>
        <v>2.9822500367996849E-3</v>
      </c>
      <c r="AC34" s="426">
        <f t="shared" ca="1" si="3"/>
        <v>-7.5461923964480868E-5</v>
      </c>
      <c r="AD34" s="79"/>
    </row>
    <row r="35" spans="1:30" customFormat="1" ht="14.4">
      <c r="A35" s="231"/>
      <c r="B35" s="266" t="s">
        <v>471</v>
      </c>
      <c r="C35" s="255">
        <v>1</v>
      </c>
      <c r="D35" s="232"/>
      <c r="E35" s="232"/>
      <c r="F35" s="232"/>
      <c r="G35" s="232"/>
      <c r="H35" s="381">
        <v>21</v>
      </c>
      <c r="I35" s="503">
        <f ca="1"/>
        <v>1.69212784285544E-4</v>
      </c>
      <c r="J35" s="503">
        <f ca="1"/>
        <v>4.5044378453925699E-4</v>
      </c>
      <c r="K35" s="503">
        <f ca="1"/>
        <v>0.37565794022138799</v>
      </c>
      <c r="L35" s="503">
        <f ca="1"/>
        <v>0.37565794022138799</v>
      </c>
      <c r="M35" s="503">
        <f ca="1"/>
        <v>-2.11204681775912E-4</v>
      </c>
      <c r="N35" s="452" t="str">
        <f ca="1"/>
        <v>BRITISHTELECOM_MMR.EUR.SU</v>
      </c>
      <c r="O35" s="405"/>
      <c r="P35" s="405"/>
      <c r="Q35" s="405"/>
      <c r="R35" s="452"/>
      <c r="S35" s="443"/>
      <c r="T35" s="421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2">
        <f ca="1"/>
        <v>1.75993381401881E-2</v>
      </c>
      <c r="V35" s="422">
        <f ca="1"/>
        <v>4.31336132755775E-2</v>
      </c>
      <c r="W35" s="423">
        <f ca="1"/>
        <v>4.0801910166317901E-3</v>
      </c>
      <c r="X35" s="424">
        <f ca="1"/>
        <v>4.3133613275577503</v>
      </c>
      <c r="Y35" s="425">
        <f t="shared" ca="1" si="4"/>
        <v>0.11841785389064301</v>
      </c>
      <c r="Z35" s="426">
        <f t="shared" ca="1" si="0"/>
        <v>-2.084075852456816E-3</v>
      </c>
      <c r="AA35" s="425">
        <f t="shared" ca="1" si="1"/>
        <v>0.12521931340712933</v>
      </c>
      <c r="AB35" s="427">
        <f t="shared" ca="1" si="2"/>
        <v>3.8761814658002003E-3</v>
      </c>
      <c r="AC35" s="426">
        <f t="shared" ca="1" si="3"/>
        <v>-1.1018885191671307E-4</v>
      </c>
      <c r="AD35" s="79"/>
    </row>
    <row r="36" spans="1:30" customFormat="1" ht="15" thickBot="1">
      <c r="A36" s="231"/>
      <c r="B36" s="267" t="s">
        <v>472</v>
      </c>
      <c r="C36" s="256"/>
      <c r="D36" s="232"/>
      <c r="E36" s="232"/>
      <c r="F36" s="232"/>
      <c r="G36" s="232"/>
      <c r="H36" s="381">
        <v>22</v>
      </c>
      <c r="I36" s="503">
        <f ca="1"/>
        <v>1.5835079584185501E-4</v>
      </c>
      <c r="J36" s="503">
        <f ca="1"/>
        <v>4.5268839698012301E-4</v>
      </c>
      <c r="K36" s="503">
        <f ca="1"/>
        <v>0.349800871633138</v>
      </c>
      <c r="L36" s="503">
        <f ca="1"/>
        <v>0.349800871633138</v>
      </c>
      <c r="M36" s="503">
        <f ca="1"/>
        <v>-1.7896004874631301E-4</v>
      </c>
      <c r="N36" s="452" t="str">
        <f ca="1"/>
        <v>BSCH_MMR.EUR.SU</v>
      </c>
      <c r="O36" s="405"/>
      <c r="P36" s="405"/>
      <c r="Q36" s="405"/>
      <c r="R36" s="452"/>
      <c r="S36" s="443"/>
      <c r="T36" s="421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2">
        <f ca="1"/>
        <v>1.4912095388694801E-2</v>
      </c>
      <c r="V36" s="422">
        <f ca="1"/>
        <v>4.3185936483814399E-2</v>
      </c>
      <c r="W36" s="423">
        <f ca="1"/>
        <v>3.4529980365908398E-3</v>
      </c>
      <c r="X36" s="424">
        <f ca="1"/>
        <v>4.31859364838144</v>
      </c>
      <c r="Y36" s="425">
        <f t="shared" ca="1" si="4"/>
        <v>0.11841785389064301</v>
      </c>
      <c r="Z36" s="426">
        <f t="shared" ca="1" si="0"/>
        <v>-1.7658583329417902E-3</v>
      </c>
      <c r="AA36" s="425">
        <f t="shared" ca="1" si="1"/>
        <v>0.11660029054437933</v>
      </c>
      <c r="AB36" s="427">
        <f t="shared" ca="1" si="2"/>
        <v>3.2803481347612978E-3</v>
      </c>
      <c r="AC36" s="426">
        <f t="shared" ca="1" si="3"/>
        <v>-8.6937732747365562E-5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81">
        <v>23</v>
      </c>
      <c r="I37" s="503">
        <f ca="1"/>
        <v>1.62655951678437E-4</v>
      </c>
      <c r="J37" s="503">
        <f ca="1"/>
        <v>4.5150999593061402E-4</v>
      </c>
      <c r="K37" s="503">
        <f ca="1"/>
        <v>0.36024883866232998</v>
      </c>
      <c r="L37" s="503">
        <f ca="1"/>
        <v>0.36024883866232998</v>
      </c>
      <c r="M37" s="503">
        <f ca="1"/>
        <v>-1.9319418895933401E-4</v>
      </c>
      <c r="N37" s="452" t="str">
        <f ca="1"/>
        <v>CADBURYSCHWEPPES_MMR.EUR.SU</v>
      </c>
      <c r="O37" s="405"/>
      <c r="P37" s="405"/>
      <c r="Q37" s="405"/>
      <c r="R37" s="452"/>
      <c r="S37" s="443"/>
      <c r="T37" s="421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2">
        <f ca="1"/>
        <v>1.6276744469342099E-2</v>
      </c>
      <c r="V37" s="422">
        <f ca="1"/>
        <v>4.3214937286845799E-2</v>
      </c>
      <c r="W37" s="423">
        <f ca="1"/>
        <v>3.76646259169664E-3</v>
      </c>
      <c r="X37" s="424">
        <f ca="1"/>
        <v>4.3214937286845796</v>
      </c>
      <c r="Y37" s="425">
        <f t="shared" ca="1" si="4"/>
        <v>0.11841785389064301</v>
      </c>
      <c r="Z37" s="426">
        <f t="shared" ca="1" si="0"/>
        <v>-1.9274571483858841E-3</v>
      </c>
      <c r="AA37" s="425">
        <f t="shared" ca="1" si="1"/>
        <v>0.12008294622077666</v>
      </c>
      <c r="AB37" s="427">
        <f t="shared" ca="1" si="2"/>
        <v>3.5781394621118077E-3</v>
      </c>
      <c r="AC37" s="426">
        <f t="shared" ca="1" si="3"/>
        <v>-9.7727971538066666E-5</v>
      </c>
      <c r="AD37" s="79"/>
    </row>
    <row r="38" spans="1:30" customFormat="1" ht="15" thickBot="1">
      <c r="A38" s="231"/>
      <c r="B38" s="269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81">
        <v>24</v>
      </c>
      <c r="I38" s="503">
        <f ca="1"/>
        <v>1.8103300753420399E-4</v>
      </c>
      <c r="J38" s="503">
        <f ca="1"/>
        <v>4.47872713964904E-4</v>
      </c>
      <c r="K38" s="503">
        <f ca="1"/>
        <v>0.40420637803889498</v>
      </c>
      <c r="L38" s="503">
        <f ca="1"/>
        <v>0.40420637803889498</v>
      </c>
      <c r="M38" s="503">
        <f ca="1"/>
        <v>-2.4881124937212699E-4</v>
      </c>
      <c r="N38" s="452" t="str">
        <f ca="1"/>
        <v>CAPITALIA_MMR.EUR.SU</v>
      </c>
      <c r="O38" s="405"/>
      <c r="P38" s="405"/>
      <c r="Q38" s="405"/>
      <c r="R38" s="452"/>
      <c r="S38" s="443"/>
      <c r="T38" s="421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2">
        <f ca="1"/>
        <v>2.0709123895116199E-2</v>
      </c>
      <c r="V38" s="422">
        <f ca="1"/>
        <v>4.3037752210518899E-2</v>
      </c>
      <c r="W38" s="423">
        <f ca="1"/>
        <v>4.8118507197628798E-3</v>
      </c>
      <c r="X38" s="424">
        <f ca="1"/>
        <v>4.3037752210518896</v>
      </c>
      <c r="Y38" s="425">
        <f t="shared" ca="1" si="4"/>
        <v>0.11841785389064301</v>
      </c>
      <c r="Z38" s="426">
        <f t="shared" ca="1" si="0"/>
        <v>-2.4523300076150917E-3</v>
      </c>
      <c r="AA38" s="425">
        <f t="shared" ca="1" si="1"/>
        <v>0.13473545934629833</v>
      </c>
      <c r="AB38" s="427">
        <f t="shared" ca="1" si="2"/>
        <v>4.5712581837747358E-3</v>
      </c>
      <c r="AC38" s="426">
        <f t="shared" ca="1" si="3"/>
        <v>-1.395126660333941E-4</v>
      </c>
      <c r="AD38" s="79"/>
    </row>
    <row r="39" spans="1:30" customFormat="1" ht="14.4">
      <c r="A39" s="231"/>
      <c r="B39" s="270">
        <v>1</v>
      </c>
      <c r="C39" s="258" t="s">
        <v>86</v>
      </c>
      <c r="D39" s="259">
        <v>1</v>
      </c>
      <c r="E39" s="252"/>
      <c r="F39" s="237">
        <v>0.4</v>
      </c>
      <c r="G39" s="435">
        <v>100</v>
      </c>
      <c r="H39" s="381">
        <v>25</v>
      </c>
      <c r="I39" s="503">
        <f ca="1"/>
        <v>1.34326829619047E-4</v>
      </c>
      <c r="J39" s="503">
        <f ca="1"/>
        <v>4.5636888432639799E-4</v>
      </c>
      <c r="K39" s="503">
        <f ca="1"/>
        <v>0.29433827377892702</v>
      </c>
      <c r="L39" s="503">
        <f ca="1"/>
        <v>0.29433827377892702</v>
      </c>
      <c r="M39" s="503">
        <f ca="1"/>
        <v>-1.20053995514024E-4</v>
      </c>
      <c r="N39" s="452" t="str">
        <f ca="1"/>
        <v>CARREFOUR_MMR.EUR.SU</v>
      </c>
      <c r="O39" s="405"/>
      <c r="P39" s="405"/>
      <c r="Q39" s="405"/>
      <c r="R39" s="452"/>
      <c r="S39" s="443"/>
      <c r="T39" s="421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2">
        <f ca="1"/>
        <v>1.04370361817953E-2</v>
      </c>
      <c r="V39" s="422">
        <f ca="1"/>
        <v>4.3359817519209497E-2</v>
      </c>
      <c r="W39" s="423">
        <f ca="1"/>
        <v>2.4070756702727E-3</v>
      </c>
      <c r="X39" s="424">
        <f ca="1"/>
        <v>4.3359817519209498</v>
      </c>
      <c r="Y39" s="425">
        <f t="shared" ca="1" si="4"/>
        <v>0.11841785389064301</v>
      </c>
      <c r="Z39" s="426">
        <f t="shared" ca="1" si="0"/>
        <v>-1.2359314256271924E-3</v>
      </c>
      <c r="AA39" s="425">
        <f t="shared" ca="1" si="1"/>
        <v>9.811275792630901E-2</v>
      </c>
      <c r="AB39" s="427">
        <f t="shared" ca="1" si="2"/>
        <v>2.2867218867590649E-3</v>
      </c>
      <c r="AC39" s="426">
        <f t="shared" ca="1" si="3"/>
        <v>-5.1200320218630689E-5</v>
      </c>
      <c r="AD39" s="79"/>
    </row>
    <row r="40" spans="1:30" customFormat="1" ht="14.4">
      <c r="A40" s="231"/>
      <c r="B40" s="271">
        <v>2</v>
      </c>
      <c r="C40" s="260" t="s">
        <v>88</v>
      </c>
      <c r="D40" s="261">
        <v>1</v>
      </c>
      <c r="E40" s="252"/>
      <c r="F40" s="237">
        <v>0.4</v>
      </c>
      <c r="G40" s="435">
        <v>100</v>
      </c>
      <c r="H40" s="381">
        <v>26</v>
      </c>
      <c r="I40" s="503">
        <f ca="1"/>
        <v>2.09368057513326E-4</v>
      </c>
      <c r="J40" s="503">
        <f ca="1"/>
        <v>4.3975291319850598E-4</v>
      </c>
      <c r="K40" s="503">
        <f ca="1"/>
        <v>0.47610385566409302</v>
      </c>
      <c r="L40" s="503">
        <f ca="1"/>
        <v>0.47610385566409302</v>
      </c>
      <c r="M40" s="503">
        <f ca="1"/>
        <v>-3.5467795265049502E-4</v>
      </c>
      <c r="N40" s="452" t="str">
        <f ca="1"/>
        <v>CASINOGUICHARD_MMR.EUR.SU</v>
      </c>
      <c r="O40" s="405"/>
      <c r="P40" s="405"/>
      <c r="Q40" s="405"/>
      <c r="R40" s="452"/>
      <c r="S40" s="443"/>
      <c r="T40" s="421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2">
        <f ca="1"/>
        <v>3.0448908299456699E-2</v>
      </c>
      <c r="V40" s="422">
        <f ca="1"/>
        <v>4.2828446147905999E-2</v>
      </c>
      <c r="W40" s="423">
        <f ca="1"/>
        <v>7.1095057229727298E-3</v>
      </c>
      <c r="X40" s="424">
        <f ca="1"/>
        <v>4.2828446147905996</v>
      </c>
      <c r="Y40" s="425">
        <f t="shared" ca="1" si="4"/>
        <v>0.11841785389064301</v>
      </c>
      <c r="Z40" s="426">
        <f t="shared" ca="1" si="0"/>
        <v>-3.6056943741346512E-3</v>
      </c>
      <c r="AA40" s="425">
        <f t="shared" ca="1" si="1"/>
        <v>0.15870128522136434</v>
      </c>
      <c r="AB40" s="427">
        <f t="shared" ca="1" si="2"/>
        <v>6.7540304368240928E-3</v>
      </c>
      <c r="AC40" s="426">
        <f t="shared" ca="1" si="3"/>
        <v>-2.4161404403556265E-4</v>
      </c>
      <c r="AD40" s="79"/>
    </row>
    <row r="41" spans="1:30" customFormat="1" ht="12.75" customHeight="1">
      <c r="A41" s="231"/>
      <c r="B41" s="271">
        <v>3</v>
      </c>
      <c r="C41" s="260" t="s">
        <v>89</v>
      </c>
      <c r="D41" s="261">
        <v>1</v>
      </c>
      <c r="E41" s="252"/>
      <c r="F41" s="237">
        <v>0.4</v>
      </c>
      <c r="G41" s="435">
        <v>100</v>
      </c>
      <c r="H41" s="381">
        <v>27</v>
      </c>
      <c r="I41" s="503">
        <f ca="1"/>
        <v>1.3438630145301501E-4</v>
      </c>
      <c r="J41" s="503">
        <f ca="1"/>
        <v>4.5637047222155401E-4</v>
      </c>
      <c r="K41" s="503">
        <f ca="1"/>
        <v>0.29446756447418598</v>
      </c>
      <c r="L41" s="503">
        <f ca="1"/>
        <v>0.29446756447418598</v>
      </c>
      <c r="M41" s="503">
        <f ca="1"/>
        <v>-1.20146041169522E-4</v>
      </c>
      <c r="N41" s="452" t="str">
        <f ca="1"/>
        <v>CENTRICA_MMR.EUR.SU</v>
      </c>
      <c r="O41" s="405"/>
      <c r="P41" s="405"/>
      <c r="Q41" s="405"/>
      <c r="R41" s="452"/>
      <c r="S41" s="443"/>
      <c r="T41" s="421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2">
        <f ca="1"/>
        <v>1.04366221297638E-2</v>
      </c>
      <c r="V41" s="422">
        <f ca="1"/>
        <v>4.3357996386681003E-2</v>
      </c>
      <c r="W41" s="423">
        <f ca="1"/>
        <v>2.4070812767007402E-3</v>
      </c>
      <c r="X41" s="424">
        <f ca="1"/>
        <v>4.3357996386681004</v>
      </c>
      <c r="Y41" s="425">
        <f t="shared" ca="1" si="4"/>
        <v>0.11841785389064301</v>
      </c>
      <c r="Z41" s="426">
        <f t="shared" ca="1" si="0"/>
        <v>-1.2358823944742235E-3</v>
      </c>
      <c r="AA41" s="425">
        <f t="shared" ca="1" si="1"/>
        <v>9.8155854824728661E-2</v>
      </c>
      <c r="AB41" s="427">
        <f t="shared" ca="1" si="2"/>
        <v>2.286727212865703E-3</v>
      </c>
      <c r="AC41" s="426">
        <f t="shared" ca="1" si="3"/>
        <v>-5.1220778331482436E-5</v>
      </c>
      <c r="AD41" s="79"/>
    </row>
    <row r="42" spans="1:30" customFormat="1" ht="14.4">
      <c r="A42" s="231"/>
      <c r="B42" s="271">
        <v>4</v>
      </c>
      <c r="C42" s="260" t="s">
        <v>90</v>
      </c>
      <c r="D42" s="261">
        <v>1</v>
      </c>
      <c r="E42" s="252"/>
      <c r="F42" s="237">
        <v>0.4</v>
      </c>
      <c r="G42" s="435">
        <v>100</v>
      </c>
      <c r="H42" s="381">
        <v>28</v>
      </c>
      <c r="I42" s="503">
        <f ca="1"/>
        <v>1.87544542084961E-4</v>
      </c>
      <c r="J42" s="503">
        <f ca="1"/>
        <v>4.4596524081360603E-4</v>
      </c>
      <c r="K42" s="503">
        <f ca="1"/>
        <v>0.42053623224718201</v>
      </c>
      <c r="L42" s="503">
        <f ca="1"/>
        <v>0.42053623224718201</v>
      </c>
      <c r="M42" s="503">
        <f ca="1"/>
        <v>-2.7276984389170702E-4</v>
      </c>
      <c r="N42" s="452" t="str">
        <f ca="1"/>
        <v>CIBASC_MMR.EUR.SU</v>
      </c>
      <c r="O42" s="405"/>
      <c r="P42" s="405"/>
      <c r="Q42" s="405"/>
      <c r="R42" s="452"/>
      <c r="S42" s="443"/>
      <c r="T42" s="421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2">
        <f ca="1"/>
        <v>2.2955658501370199E-2</v>
      </c>
      <c r="V42" s="422">
        <f ca="1"/>
        <v>4.3036073730777301E-2</v>
      </c>
      <c r="W42" s="423">
        <f ca="1"/>
        <v>5.3340503701557298E-3</v>
      </c>
      <c r="X42" s="424">
        <f ca="1"/>
        <v>4.30360737307773</v>
      </c>
      <c r="Y42" s="425">
        <f t="shared" ca="1" si="4"/>
        <v>0.11841785389064301</v>
      </c>
      <c r="Z42" s="426">
        <f t="shared" ca="1" si="0"/>
        <v>-2.7183598143787524E-3</v>
      </c>
      <c r="AA42" s="425">
        <f t="shared" ca="1" si="1"/>
        <v>0.140178744082394</v>
      </c>
      <c r="AB42" s="427">
        <f t="shared" ca="1" si="2"/>
        <v>5.067347851647943E-3</v>
      </c>
      <c r="AC42" s="426">
        <f t="shared" ca="1" si="3"/>
        <v>-1.6089476891532041E-4</v>
      </c>
      <c r="AD42" s="79"/>
    </row>
    <row r="43" spans="1:30" customFormat="1" ht="14.4">
      <c r="A43" s="231"/>
      <c r="B43" s="271">
        <v>5</v>
      </c>
      <c r="C43" s="260" t="s">
        <v>93</v>
      </c>
      <c r="D43" s="261">
        <v>1</v>
      </c>
      <c r="E43" s="252"/>
      <c r="F43" s="237">
        <v>0.4</v>
      </c>
      <c r="G43" s="435">
        <v>100</v>
      </c>
      <c r="H43" s="381">
        <v>29</v>
      </c>
      <c r="I43" s="503">
        <f ca="1"/>
        <v>1.7665431549678299E-4</v>
      </c>
      <c r="J43" s="503">
        <f ca="1"/>
        <v>4.4901497862143901E-4</v>
      </c>
      <c r="K43" s="503">
        <f ca="1"/>
        <v>0.39342633076327499</v>
      </c>
      <c r="L43" s="503">
        <f ca="1"/>
        <v>0.39342633076327499</v>
      </c>
      <c r="M43" s="503">
        <f ca="1"/>
        <v>-2.33745121195539E-4</v>
      </c>
      <c r="N43" s="452" t="str">
        <f ca="1"/>
        <v>COMMERZBANK_MMR.EUR.SU</v>
      </c>
      <c r="O43" s="405"/>
      <c r="P43" s="405"/>
      <c r="Q43" s="405"/>
      <c r="R43" s="452"/>
      <c r="S43" s="443"/>
      <c r="T43" s="421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2">
        <f ca="1"/>
        <v>1.93640738822413E-2</v>
      </c>
      <c r="V43" s="422">
        <f ca="1"/>
        <v>4.3046183276617703E-2</v>
      </c>
      <c r="W43" s="423">
        <f ca="1"/>
        <v>4.49844153610703E-3</v>
      </c>
      <c r="X43" s="424">
        <f ca="1"/>
        <v>4.3046183276617702</v>
      </c>
      <c r="Y43" s="425">
        <f t="shared" ca="1" si="4"/>
        <v>0.11841785389064301</v>
      </c>
      <c r="Z43" s="426">
        <f t="shared" ca="1" si="0"/>
        <v>-2.2930520717148652E-3</v>
      </c>
      <c r="AA43" s="425">
        <f t="shared" ca="1" si="1"/>
        <v>0.13114211025442499</v>
      </c>
      <c r="AB43" s="427">
        <f t="shared" ca="1" si="2"/>
        <v>4.2735194593016782E-3</v>
      </c>
      <c r="AC43" s="426">
        <f t="shared" ca="1" si="3"/>
        <v>-1.2697227560198607E-4</v>
      </c>
      <c r="AD43" s="79"/>
    </row>
    <row r="44" spans="1:30" customFormat="1" ht="14.4">
      <c r="A44" s="231"/>
      <c r="B44" s="271">
        <v>6</v>
      </c>
      <c r="C44" s="260" t="s">
        <v>94</v>
      </c>
      <c r="D44" s="261">
        <v>1</v>
      </c>
      <c r="E44" s="252"/>
      <c r="F44" s="237">
        <v>0.4</v>
      </c>
      <c r="G44" s="435">
        <v>100</v>
      </c>
      <c r="H44" s="381">
        <v>30</v>
      </c>
      <c r="I44" s="503">
        <f ca="1"/>
        <v>1.46057846185732E-4</v>
      </c>
      <c r="J44" s="503">
        <f ca="1"/>
        <v>4.54489635418951E-4</v>
      </c>
      <c r="K44" s="503">
        <f ca="1"/>
        <v>0.32136672611047601</v>
      </c>
      <c r="L44" s="503">
        <f ca="1"/>
        <v>0.32136672611047601</v>
      </c>
      <c r="M44" s="503">
        <f ca="1"/>
        <v>-1.4834689136997701E-4</v>
      </c>
      <c r="N44" s="452" t="str">
        <f ca="1"/>
        <v>COMPASS_MMR.EUR.SU</v>
      </c>
      <c r="O44" s="405"/>
      <c r="P44" s="405"/>
      <c r="Q44" s="405"/>
      <c r="R44" s="452"/>
      <c r="S44" s="443"/>
      <c r="T44" s="421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2">
        <f ca="1"/>
        <v>1.26893666252424E-2</v>
      </c>
      <c r="V44" s="422">
        <f ca="1"/>
        <v>4.3308460678245002E-2</v>
      </c>
      <c r="W44" s="423">
        <f ca="1"/>
        <v>2.9299971475588902E-3</v>
      </c>
      <c r="X44" s="424">
        <f ca="1"/>
        <v>4.3308460678245</v>
      </c>
      <c r="Y44" s="425">
        <f t="shared" ca="1" si="4"/>
        <v>0.11841785389064301</v>
      </c>
      <c r="Z44" s="426">
        <f t="shared" ca="1" si="0"/>
        <v>-1.5026475629927589E-3</v>
      </c>
      <c r="AA44" s="425">
        <f t="shared" ca="1" si="1"/>
        <v>0.10712224203682534</v>
      </c>
      <c r="AB44" s="427">
        <f t="shared" ca="1" si="2"/>
        <v>2.7834972901809455E-3</v>
      </c>
      <c r="AC44" s="426">
        <f t="shared" ca="1" si="3"/>
        <v>-6.7965670146161698E-5</v>
      </c>
      <c r="AD44" s="79"/>
    </row>
    <row r="45" spans="1:30" customFormat="1" ht="14.4">
      <c r="A45" s="231"/>
      <c r="B45" s="271">
        <v>7</v>
      </c>
      <c r="C45" s="260" t="s">
        <v>95</v>
      </c>
      <c r="D45" s="261">
        <v>1</v>
      </c>
      <c r="E45" s="252"/>
      <c r="F45" s="237">
        <v>0.4</v>
      </c>
      <c r="G45" s="435">
        <v>100</v>
      </c>
      <c r="H45" s="381">
        <v>31</v>
      </c>
      <c r="I45" s="503">
        <f ca="1"/>
        <v>1.9897813868612399E-4</v>
      </c>
      <c r="J45" s="503">
        <f ca="1"/>
        <v>4.4307571171595301E-4</v>
      </c>
      <c r="K45" s="503">
        <f ca="1"/>
        <v>0.44908383245724998</v>
      </c>
      <c r="L45" s="503">
        <f ca="1"/>
        <v>0.44908383245724998</v>
      </c>
      <c r="M45" s="503">
        <f ca="1"/>
        <v>-3.13404498529679E-4</v>
      </c>
      <c r="N45" s="452" t="str">
        <f ca="1"/>
        <v>CONTINENTAL_MMR.EUR.SU</v>
      </c>
      <c r="O45" s="405"/>
      <c r="P45" s="405"/>
      <c r="Q45" s="405"/>
      <c r="R45" s="452"/>
      <c r="S45" s="443"/>
      <c r="T45" s="421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2">
        <f ca="1"/>
        <v>2.6471783129344201E-2</v>
      </c>
      <c r="V45" s="422">
        <f ca="1"/>
        <v>4.2904721363571201E-2</v>
      </c>
      <c r="W45" s="423">
        <f ca="1"/>
        <v>6.1698997891221404E-3</v>
      </c>
      <c r="X45" s="424">
        <f ca="1"/>
        <v>4.2904721363571197</v>
      </c>
      <c r="Y45" s="425">
        <f t="shared" ca="1" si="4"/>
        <v>0.11841785389064301</v>
      </c>
      <c r="Z45" s="426">
        <f t="shared" ca="1" si="0"/>
        <v>-3.1347317468354715E-3</v>
      </c>
      <c r="AA45" s="425">
        <f t="shared" ca="1" si="1"/>
        <v>0.14969461081908333</v>
      </c>
      <c r="AB45" s="427">
        <f t="shared" ca="1" si="2"/>
        <v>5.8614047996660328E-3</v>
      </c>
      <c r="AC45" s="426">
        <f t="shared" ca="1" si="3"/>
        <v>-1.9813416366171828E-4</v>
      </c>
      <c r="AD45" s="79"/>
    </row>
    <row r="46" spans="1:30" customFormat="1" ht="14.4">
      <c r="A46" s="231"/>
      <c r="B46" s="271">
        <v>8</v>
      </c>
      <c r="C46" s="260" t="s">
        <v>96</v>
      </c>
      <c r="D46" s="261">
        <v>1</v>
      </c>
      <c r="E46" s="252"/>
      <c r="F46" s="237">
        <v>0.4</v>
      </c>
      <c r="G46" s="435">
        <v>100</v>
      </c>
      <c r="H46" s="381">
        <v>32</v>
      </c>
      <c r="I46" s="503">
        <f ca="1"/>
        <v>1.51133853236285E-4</v>
      </c>
      <c r="J46" s="503">
        <f ca="1"/>
        <v>4.5376329534294898E-4</v>
      </c>
      <c r="K46" s="503">
        <f ca="1"/>
        <v>0.333067603279943</v>
      </c>
      <c r="L46" s="503">
        <f ca="1"/>
        <v>0.333067603279943</v>
      </c>
      <c r="M46" s="503">
        <f ca="1"/>
        <v>-1.60598579589722E-4</v>
      </c>
      <c r="N46" s="452" t="str">
        <f ca="1"/>
        <v>CREDITAGRICOLE_MMR.EUR.SU</v>
      </c>
      <c r="O46" s="405"/>
      <c r="P46" s="405"/>
      <c r="Q46" s="405"/>
      <c r="R46" s="452"/>
      <c r="S46" s="443"/>
      <c r="T46" s="421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2">
        <f ca="1"/>
        <v>1.35812711181906E-2</v>
      </c>
      <c r="V46" s="422">
        <f ca="1"/>
        <v>4.3263541713590398E-2</v>
      </c>
      <c r="W46" s="423">
        <f ca="1"/>
        <v>3.1391954010839399E-3</v>
      </c>
      <c r="X46" s="424">
        <f ca="1"/>
        <v>4.3263541713590401</v>
      </c>
      <c r="Y46" s="425">
        <f t="shared" ca="1" si="4"/>
        <v>0.11841785389064301</v>
      </c>
      <c r="Z46" s="426">
        <f t="shared" ca="1" si="0"/>
        <v>-1.6082649789231063E-3</v>
      </c>
      <c r="AA46" s="425">
        <f t="shared" ca="1" si="1"/>
        <v>0.11102253442664767</v>
      </c>
      <c r="AB46" s="427">
        <f t="shared" ca="1" si="2"/>
        <v>2.982235631029743E-3</v>
      </c>
      <c r="AC46" s="426">
        <f t="shared" ca="1" si="3"/>
        <v>-7.5391357013847668E-5</v>
      </c>
      <c r="AD46" s="79"/>
    </row>
    <row r="47" spans="1:30" customFormat="1" ht="14.4">
      <c r="A47" s="231"/>
      <c r="B47" s="271">
        <v>9</v>
      </c>
      <c r="C47" s="260" t="s">
        <v>97</v>
      </c>
      <c r="D47" s="261">
        <v>1</v>
      </c>
      <c r="E47" s="252"/>
      <c r="F47" s="237">
        <v>0.4</v>
      </c>
      <c r="G47" s="435">
        <v>100</v>
      </c>
      <c r="H47" s="381">
        <v>33</v>
      </c>
      <c r="I47" s="503">
        <f ca="1"/>
        <v>1.8389564084497699E-4</v>
      </c>
      <c r="J47" s="503">
        <f ca="1"/>
        <v>4.4712205600068802E-4</v>
      </c>
      <c r="K47" s="503">
        <f ca="1"/>
        <v>0.41128733950153001</v>
      </c>
      <c r="L47" s="503">
        <f ca="1"/>
        <v>0.41128733950153001</v>
      </c>
      <c r="M47" s="503">
        <f ca="1"/>
        <v>-2.5882541439126199E-4</v>
      </c>
      <c r="N47" s="452" t="str">
        <f ca="1"/>
        <v>CREDITSUISSEGROUP_MMR.EUR.SU</v>
      </c>
      <c r="O47" s="405"/>
      <c r="P47" s="405"/>
      <c r="Q47" s="405"/>
      <c r="R47" s="452"/>
      <c r="S47" s="443"/>
      <c r="T47" s="421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2">
        <f ca="1"/>
        <v>2.1602749399047001E-2</v>
      </c>
      <c r="V47" s="422">
        <f ca="1"/>
        <v>4.3026514952801798E-2</v>
      </c>
      <c r="W47" s="423">
        <f ca="1"/>
        <v>5.0207992496590203E-3</v>
      </c>
      <c r="X47" s="424">
        <f ca="1"/>
        <v>4.3026514952801804</v>
      </c>
      <c r="Y47" s="425">
        <f t="shared" ca="1" si="4"/>
        <v>0.11841785389064301</v>
      </c>
      <c r="Z47" s="426">
        <f t="shared" ca="1" si="0"/>
        <v>-2.5581512219725227E-3</v>
      </c>
      <c r="AA47" s="425">
        <f t="shared" ca="1" si="1"/>
        <v>0.13709577983384333</v>
      </c>
      <c r="AB47" s="427">
        <f t="shared" ca="1" si="2"/>
        <v>4.7697592871760687E-3</v>
      </c>
      <c r="AC47" s="426">
        <f t="shared" ca="1" si="3"/>
        <v>-1.4808228877087224E-4</v>
      </c>
      <c r="AD47" s="79"/>
    </row>
    <row r="48" spans="1:30" customFormat="1" ht="14.4">
      <c r="A48" s="231"/>
      <c r="B48" s="271">
        <v>10</v>
      </c>
      <c r="C48" s="260" t="s">
        <v>98</v>
      </c>
      <c r="D48" s="261">
        <v>1</v>
      </c>
      <c r="E48" s="252"/>
      <c r="F48" s="237">
        <v>0.4</v>
      </c>
      <c r="G48" s="435">
        <v>100</v>
      </c>
      <c r="H48" s="381">
        <v>34</v>
      </c>
      <c r="I48" s="503">
        <f ca="1"/>
        <v>1.4557296349637601E-4</v>
      </c>
      <c r="J48" s="503">
        <f ca="1"/>
        <v>4.5492292760466899E-4</v>
      </c>
      <c r="K48" s="503">
        <f ca="1"/>
        <v>0.31999478299075701</v>
      </c>
      <c r="L48" s="503">
        <f ca="1"/>
        <v>0.31999478299075701</v>
      </c>
      <c r="M48" s="503">
        <f ca="1"/>
        <v>-1.4508238164134899E-4</v>
      </c>
      <c r="N48" s="452" t="str">
        <f ca="1"/>
        <v>DAIMLERCHRYSLER_MMR.EUR.SU</v>
      </c>
      <c r="O48" s="405"/>
      <c r="P48" s="405"/>
      <c r="Q48" s="405"/>
      <c r="R48" s="452"/>
      <c r="S48" s="443"/>
      <c r="T48" s="421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2">
        <f ca="1"/>
        <v>1.22232232693233E-2</v>
      </c>
      <c r="V48" s="422">
        <f ca="1"/>
        <v>4.3259528550996601E-2</v>
      </c>
      <c r="W48" s="423">
        <f ca="1"/>
        <v>2.8255562829155498E-3</v>
      </c>
      <c r="X48" s="424">
        <f ca="1"/>
        <v>4.3259528550996604</v>
      </c>
      <c r="Y48" s="425">
        <f t="shared" ca="1" si="4"/>
        <v>0.11841785389064301</v>
      </c>
      <c r="Z48" s="426">
        <f t="shared" ca="1" si="0"/>
        <v>-1.4474478671794352E-3</v>
      </c>
      <c r="AA48" s="425">
        <f t="shared" ca="1" si="1"/>
        <v>0.10666492766358567</v>
      </c>
      <c r="AB48" s="427">
        <f t="shared" ca="1" si="2"/>
        <v>2.6842784687697721E-3</v>
      </c>
      <c r="AC48" s="426">
        <f t="shared" ca="1" si="3"/>
        <v>-6.5189461291911464E-5</v>
      </c>
      <c r="AD48" s="79"/>
    </row>
    <row r="49" spans="1:30" customFormat="1" ht="14.4">
      <c r="A49" s="231"/>
      <c r="B49" s="271">
        <v>11</v>
      </c>
      <c r="C49" s="260" t="s">
        <v>99</v>
      </c>
      <c r="D49" s="261">
        <v>1</v>
      </c>
      <c r="E49" s="252"/>
      <c r="F49" s="237">
        <v>0.4</v>
      </c>
      <c r="G49" s="435">
        <v>100</v>
      </c>
      <c r="H49" s="381">
        <v>35</v>
      </c>
      <c r="I49" s="503">
        <f ca="1"/>
        <v>1.44157899113662E-4</v>
      </c>
      <c r="J49" s="503">
        <f ca="1"/>
        <v>4.548760330241E-4</v>
      </c>
      <c r="K49" s="503">
        <f ca="1"/>
        <v>0.31691689306045301</v>
      </c>
      <c r="L49" s="503">
        <f ca="1"/>
        <v>0.31691689306045301</v>
      </c>
      <c r="M49" s="503">
        <f ca="1"/>
        <v>-1.43004353106191E-4</v>
      </c>
      <c r="N49" s="452" t="str">
        <f ca="1"/>
        <v>DANONE_MMR.EUR.SU</v>
      </c>
      <c r="O49" s="405"/>
      <c r="P49" s="405"/>
      <c r="Q49" s="405"/>
      <c r="R49" s="452"/>
      <c r="S49" s="443"/>
      <c r="T49" s="421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2">
        <f ca="1"/>
        <v>1.2237839536750001E-2</v>
      </c>
      <c r="V49" s="422">
        <f ca="1"/>
        <v>4.3312857121996298E-2</v>
      </c>
      <c r="W49" s="423">
        <f ca="1"/>
        <v>2.8254519211883301E-3</v>
      </c>
      <c r="X49" s="424">
        <f ca="1"/>
        <v>4.3312857121996302</v>
      </c>
      <c r="Y49" s="425">
        <f t="shared" ca="1" si="4"/>
        <v>0.11841785389064301</v>
      </c>
      <c r="Z49" s="426">
        <f t="shared" ca="1" si="0"/>
        <v>-1.4491786941999969E-3</v>
      </c>
      <c r="AA49" s="425">
        <f t="shared" ca="1" si="1"/>
        <v>0.10563896435348434</v>
      </c>
      <c r="AB49" s="427">
        <f t="shared" ca="1" si="2"/>
        <v>2.6841793251289135E-3</v>
      </c>
      <c r="AC49" s="426">
        <f t="shared" ca="1" si="3"/>
        <v>-6.463963472931986E-5</v>
      </c>
      <c r="AD49" s="79"/>
    </row>
    <row r="50" spans="1:30" customFormat="1" ht="14.4">
      <c r="A50" s="231"/>
      <c r="B50" s="271">
        <v>12</v>
      </c>
      <c r="C50" s="260" t="s">
        <v>100</v>
      </c>
      <c r="D50" s="261">
        <v>1</v>
      </c>
      <c r="E50" s="252"/>
      <c r="F50" s="237">
        <v>0.4</v>
      </c>
      <c r="G50" s="435">
        <v>100</v>
      </c>
      <c r="H50" s="381">
        <v>36</v>
      </c>
      <c r="I50" s="503">
        <f ca="1"/>
        <v>1.7325407442265699E-4</v>
      </c>
      <c r="J50" s="503">
        <f ca="1"/>
        <v>4.4974898819169799E-4</v>
      </c>
      <c r="K50" s="503">
        <f ca="1"/>
        <v>0.38522393373080899</v>
      </c>
      <c r="L50" s="503">
        <f ca="1"/>
        <v>0.38522393373080899</v>
      </c>
      <c r="M50" s="503">
        <f ca="1"/>
        <v>-2.22919108700271E-4</v>
      </c>
      <c r="N50" s="452" t="str">
        <f ca="1"/>
        <v>DEUTSCHEBANK_MMR.EUR.SU</v>
      </c>
      <c r="O50" s="405"/>
      <c r="P50" s="405"/>
      <c r="Q50" s="405"/>
      <c r="R50" s="452"/>
      <c r="S50" s="443"/>
      <c r="T50" s="421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2">
        <f ca="1"/>
        <v>1.8477172196665101E-2</v>
      </c>
      <c r="V50" s="422">
        <f ca="1"/>
        <v>4.3076449699745598E-2</v>
      </c>
      <c r="W50" s="423">
        <f ca="1"/>
        <v>4.2893906822535199E-3</v>
      </c>
      <c r="X50" s="424">
        <f ca="1"/>
        <v>4.30764496997456</v>
      </c>
      <c r="Y50" s="425">
        <f t="shared" ca="1" si="4"/>
        <v>0.11841785389064301</v>
      </c>
      <c r="Z50" s="426">
        <f t="shared" ca="1" si="0"/>
        <v>-2.188027077496942E-3</v>
      </c>
      <c r="AA50" s="425">
        <f t="shared" ca="1" si="1"/>
        <v>0.12840797791026967</v>
      </c>
      <c r="AB50" s="427">
        <f t="shared" ca="1" si="2"/>
        <v>4.0749211481408438E-3</v>
      </c>
      <c r="AC50" s="426">
        <f t="shared" ca="1" si="3"/>
        <v>-1.1863081596368123E-4</v>
      </c>
      <c r="AD50" s="79"/>
    </row>
    <row r="51" spans="1:30" customFormat="1" ht="14.4">
      <c r="A51" s="231"/>
      <c r="B51" s="271">
        <v>13</v>
      </c>
      <c r="C51" s="260" t="s">
        <v>101</v>
      </c>
      <c r="D51" s="261">
        <v>1</v>
      </c>
      <c r="E51" s="252"/>
      <c r="F51" s="237">
        <v>0.4</v>
      </c>
      <c r="G51" s="435">
        <v>100</v>
      </c>
      <c r="H51" s="381">
        <v>37</v>
      </c>
      <c r="I51" s="503">
        <f ca="1"/>
        <v>1.36487794155938E-4</v>
      </c>
      <c r="J51" s="503">
        <f ca="1"/>
        <v>4.5598784990611899E-4</v>
      </c>
      <c r="K51" s="503">
        <f ca="1"/>
        <v>0.29932331351381097</v>
      </c>
      <c r="L51" s="503">
        <f ca="1"/>
        <v>0.29932331351381097</v>
      </c>
      <c r="M51" s="503">
        <f ca="1"/>
        <v>-1.25252243448104E-4</v>
      </c>
      <c r="N51" s="452" t="str">
        <f ca="1"/>
        <v>DEUTSCHEPOSTAG_MMR.EUR.SU</v>
      </c>
      <c r="O51" s="405"/>
      <c r="P51" s="405"/>
      <c r="Q51" s="405"/>
      <c r="R51" s="452"/>
      <c r="S51" s="443"/>
      <c r="T51" s="421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2">
        <f ca="1"/>
        <v>1.08907297282626E-2</v>
      </c>
      <c r="V51" s="422">
        <f ca="1"/>
        <v>4.3360653745978202E-2</v>
      </c>
      <c r="W51" s="423">
        <f ca="1"/>
        <v>2.5116617918319001E-3</v>
      </c>
      <c r="X51" s="424">
        <f ca="1"/>
        <v>4.3360653745978199</v>
      </c>
      <c r="Y51" s="425">
        <f t="shared" ca="1" si="4"/>
        <v>0.11841785389064301</v>
      </c>
      <c r="Z51" s="426">
        <f t="shared" ca="1" si="0"/>
        <v>-1.2896568417238852E-3</v>
      </c>
      <c r="AA51" s="425">
        <f t="shared" ca="1" si="1"/>
        <v>9.9774437837936991E-2</v>
      </c>
      <c r="AB51" s="427">
        <f t="shared" ca="1" si="2"/>
        <v>2.3860787022403048E-3</v>
      </c>
      <c r="AC51" s="426">
        <f t="shared" ca="1" si="3"/>
        <v>-5.4330821814115677E-5</v>
      </c>
      <c r="AD51" s="79"/>
    </row>
    <row r="52" spans="1:30" customFormat="1" ht="14.4">
      <c r="A52" s="231"/>
      <c r="B52" s="271">
        <v>14</v>
      </c>
      <c r="C52" s="260" t="s">
        <v>102</v>
      </c>
      <c r="D52" s="261">
        <v>1</v>
      </c>
      <c r="E52" s="252"/>
      <c r="F52" s="237">
        <v>0.4</v>
      </c>
      <c r="G52" s="435">
        <v>100</v>
      </c>
      <c r="H52" s="381">
        <v>38</v>
      </c>
      <c r="I52" s="503">
        <f ca="1"/>
        <v>1.6894293303737501E-4</v>
      </c>
      <c r="J52" s="503">
        <f ca="1"/>
        <v>4.5043280338062202E-4</v>
      </c>
      <c r="K52" s="503">
        <f ca="1"/>
        <v>0.37506800519280997</v>
      </c>
      <c r="L52" s="503">
        <f ca="1"/>
        <v>0.37506800519280997</v>
      </c>
      <c r="M52" s="503">
        <f ca="1"/>
        <v>-2.1064546952023199E-4</v>
      </c>
      <c r="N52" s="452" t="str">
        <f ca="1"/>
        <v>DEUTSCHETELEKOM_MMR.EUR.SU</v>
      </c>
      <c r="O52" s="405"/>
      <c r="P52" s="405"/>
      <c r="Q52" s="405"/>
      <c r="R52" s="452"/>
      <c r="S52" s="443"/>
      <c r="T52" s="421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2">
        <f ca="1"/>
        <v>1.7605761898049601E-2</v>
      </c>
      <c r="V52" s="422">
        <f ca="1"/>
        <v>4.3149680182989598E-2</v>
      </c>
      <c r="W52" s="423">
        <f ca="1"/>
        <v>4.08016046083932E-3</v>
      </c>
      <c r="X52" s="424">
        <f ca="1"/>
        <v>4.31496801829896</v>
      </c>
      <c r="Y52" s="425">
        <f t="shared" ca="1" si="4"/>
        <v>0.11841785389064301</v>
      </c>
      <c r="Z52" s="426">
        <f t="shared" ca="1" si="0"/>
        <v>-2.0848365400766887E-3</v>
      </c>
      <c r="AA52" s="425">
        <f t="shared" ca="1" si="1"/>
        <v>0.12502266839760331</v>
      </c>
      <c r="AB52" s="427">
        <f t="shared" ca="1" si="2"/>
        <v>3.8761524377973538E-3</v>
      </c>
      <c r="AC52" s="426">
        <f t="shared" ca="1" si="3"/>
        <v>-1.100559665833509E-4</v>
      </c>
      <c r="AD52" s="79"/>
    </row>
    <row r="53" spans="1:30" customFormat="1" ht="14.4">
      <c r="A53" s="231"/>
      <c r="B53" s="271">
        <v>15</v>
      </c>
      <c r="C53" s="260" t="s">
        <v>103</v>
      </c>
      <c r="D53" s="261">
        <v>1</v>
      </c>
      <c r="E53" s="252"/>
      <c r="F53" s="237">
        <v>0.4</v>
      </c>
      <c r="G53" s="435">
        <v>100</v>
      </c>
      <c r="H53" s="381">
        <v>39</v>
      </c>
      <c r="I53" s="503">
        <f ca="1"/>
        <v>1.4830166560981801E-4</v>
      </c>
      <c r="J53" s="503">
        <f ca="1"/>
        <v>4.5411992387683398E-4</v>
      </c>
      <c r="K53" s="503">
        <f ca="1"/>
        <v>0.32656938797963903</v>
      </c>
      <c r="L53" s="503">
        <f ca="1"/>
        <v>0.32656938797963903</v>
      </c>
      <c r="M53" s="503">
        <f ca="1"/>
        <v>-1.53775418709023E-4</v>
      </c>
      <c r="N53" s="452" t="str">
        <f ca="1"/>
        <v>DIAGEO_MMR.EUR.SU</v>
      </c>
      <c r="O53" s="405"/>
      <c r="P53" s="405"/>
      <c r="Q53" s="405"/>
      <c r="R53" s="452"/>
      <c r="S53" s="443"/>
      <c r="T53" s="421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2">
        <f ca="1"/>
        <v>1.3140652733980501E-2</v>
      </c>
      <c r="V53" s="422">
        <f ca="1"/>
        <v>4.3303010437916498E-2</v>
      </c>
      <c r="W53" s="423">
        <f ca="1"/>
        <v>3.03458179953106E-3</v>
      </c>
      <c r="X53" s="424">
        <f ca="1"/>
        <v>4.3303010437916498</v>
      </c>
      <c r="Y53" s="425">
        <f t="shared" ca="1" si="4"/>
        <v>0.11841785389064301</v>
      </c>
      <c r="Z53" s="426">
        <f t="shared" ca="1" si="0"/>
        <v>-1.5560878954801805E-3</v>
      </c>
      <c r="AA53" s="425">
        <f t="shared" ca="1" si="1"/>
        <v>0.10885646265987968</v>
      </c>
      <c r="AB53" s="427">
        <f t="shared" ca="1" si="2"/>
        <v>2.8828527095545067E-3</v>
      </c>
      <c r="AC53" s="426">
        <f t="shared" ca="1" si="3"/>
        <v>-7.1522248683149808E-5</v>
      </c>
      <c r="AD53" s="79"/>
    </row>
    <row r="54" spans="1:30" customFormat="1" ht="14.4">
      <c r="A54" s="231"/>
      <c r="B54" s="271">
        <v>16</v>
      </c>
      <c r="C54" s="260" t="s">
        <v>104</v>
      </c>
      <c r="D54" s="261">
        <v>1</v>
      </c>
      <c r="E54" s="252"/>
      <c r="F54" s="237">
        <v>0.4</v>
      </c>
      <c r="G54" s="435">
        <v>100</v>
      </c>
      <c r="H54" s="381">
        <v>40</v>
      </c>
      <c r="I54" s="503">
        <f ca="1"/>
        <v>2.2186152791032701E-4</v>
      </c>
      <c r="J54" s="503">
        <f ca="1"/>
        <v>4.3539720605568902E-4</v>
      </c>
      <c r="K54" s="503">
        <f ca="1"/>
        <v>0.50956121175005897</v>
      </c>
      <c r="L54" s="503">
        <f ca="1"/>
        <v>0.50956121175005897</v>
      </c>
      <c r="M54" s="503">
        <f ca="1"/>
        <v>-4.0688704551050599E-4</v>
      </c>
      <c r="N54" s="452" t="str">
        <f ca="1"/>
        <v>DIXONSGROUPPLC_MMR.EUR.SU</v>
      </c>
      <c r="O54" s="405"/>
      <c r="P54" s="405"/>
      <c r="Q54" s="405"/>
      <c r="R54" s="452"/>
      <c r="S54" s="443"/>
      <c r="T54" s="421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2">
        <f ca="1"/>
        <v>3.5691840934311103E-2</v>
      </c>
      <c r="V54" s="422">
        <f ca="1"/>
        <v>4.2683707873887602E-2</v>
      </c>
      <c r="W54" s="423">
        <f ca="1"/>
        <v>8.3619354344204293E-3</v>
      </c>
      <c r="X54" s="424">
        <f ca="1"/>
        <v>4.2683707873887604</v>
      </c>
      <c r="Y54" s="425">
        <f t="shared" ca="1" si="4"/>
        <v>0.11841785389064301</v>
      </c>
      <c r="Z54" s="426">
        <f t="shared" ca="1" si="0"/>
        <v>-4.2265512048473243E-3</v>
      </c>
      <c r="AA54" s="425">
        <f t="shared" ca="1" si="1"/>
        <v>0.16985373725001965</v>
      </c>
      <c r="AB54" s="427">
        <f t="shared" ca="1" si="2"/>
        <v>7.9438386626994074E-3</v>
      </c>
      <c r="AC54" s="426">
        <f t="shared" ca="1" si="3"/>
        <v>-3.0311962860129902E-4</v>
      </c>
      <c r="AD54" s="79"/>
    </row>
    <row r="55" spans="1:30" customFormat="1" ht="14.4">
      <c r="A55" s="231"/>
      <c r="B55" s="271">
        <v>17</v>
      </c>
      <c r="C55" s="260" t="s">
        <v>105</v>
      </c>
      <c r="D55" s="261">
        <v>1</v>
      </c>
      <c r="E55" s="252"/>
      <c r="F55" s="237">
        <v>0.4</v>
      </c>
      <c r="G55" s="435">
        <v>100</v>
      </c>
      <c r="H55" s="381">
        <v>41</v>
      </c>
      <c r="I55" s="503">
        <f ca="1"/>
        <v>1.4596101686179601E-4</v>
      </c>
      <c r="J55" s="503">
        <f ca="1"/>
        <v>4.5448868274906E-4</v>
      </c>
      <c r="K55" s="503">
        <f ca="1"/>
        <v>0.32115434861639103</v>
      </c>
      <c r="L55" s="503">
        <f ca="1"/>
        <v>0.32115434861639103</v>
      </c>
      <c r="M55" s="503">
        <f ca="1"/>
        <v>-1.4809929341375101E-4</v>
      </c>
      <c r="N55" s="452" t="str">
        <f ca="1"/>
        <v>DSM_MMR.EUR.SU</v>
      </c>
      <c r="O55" s="405"/>
      <c r="P55" s="405"/>
      <c r="Q55" s="405"/>
      <c r="R55" s="452"/>
      <c r="S55" s="443"/>
      <c r="T55" s="421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2">
        <f ca="1"/>
        <v>1.2691068923097E-2</v>
      </c>
      <c r="V55" s="422">
        <f ca="1"/>
        <v>4.3314294800174701E-2</v>
      </c>
      <c r="W55" s="423">
        <f ca="1"/>
        <v>2.9299955087912001E-3</v>
      </c>
      <c r="X55" s="424">
        <f ca="1"/>
        <v>4.3314294800174702</v>
      </c>
      <c r="Y55" s="425">
        <f t="shared" ca="1" si="4"/>
        <v>0.11841785389064301</v>
      </c>
      <c r="Z55" s="426">
        <f t="shared" ca="1" si="0"/>
        <v>-1.5028491454513796E-3</v>
      </c>
      <c r="AA55" s="425">
        <f t="shared" ca="1" si="1"/>
        <v>0.10705144953879701</v>
      </c>
      <c r="AB55" s="427">
        <f t="shared" ca="1" si="2"/>
        <v>2.7834957333516398E-3</v>
      </c>
      <c r="AC55" s="426">
        <f t="shared" ca="1" si="3"/>
        <v>-6.7929866220715727E-5</v>
      </c>
      <c r="AD55" s="79"/>
    </row>
    <row r="56" spans="1:30" customFormat="1" ht="14.4">
      <c r="A56" s="231"/>
      <c r="B56" s="271">
        <v>18</v>
      </c>
      <c r="C56" s="260" t="s">
        <v>106</v>
      </c>
      <c r="D56" s="261">
        <v>1</v>
      </c>
      <c r="E56" s="252"/>
      <c r="F56" s="237">
        <v>0.4</v>
      </c>
      <c r="G56" s="435">
        <v>100</v>
      </c>
      <c r="H56" s="381">
        <v>42</v>
      </c>
      <c r="I56" s="503">
        <f ca="1"/>
        <v>1.4574911698852499E-4</v>
      </c>
      <c r="J56" s="503">
        <f ca="1"/>
        <v>4.5448509828863398E-4</v>
      </c>
      <c r="K56" s="503">
        <f ca="1"/>
        <v>0.32069063988532098</v>
      </c>
      <c r="L56" s="503">
        <f ca="1"/>
        <v>0.32069063988532098</v>
      </c>
      <c r="M56" s="503">
        <f ca="1"/>
        <v>-1.47740712931843E-4</v>
      </c>
      <c r="N56" s="452" t="str">
        <f ca="1"/>
        <v>EADS_MMR.EUR.SU</v>
      </c>
      <c r="O56" s="405"/>
      <c r="P56" s="405"/>
      <c r="Q56" s="405"/>
      <c r="R56" s="452"/>
      <c r="S56" s="443"/>
      <c r="T56" s="421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2">
        <f ca="1"/>
        <v>1.26933859503201E-2</v>
      </c>
      <c r="V56" s="422">
        <f ca="1"/>
        <v>4.3322340825521902E-2</v>
      </c>
      <c r="W56" s="423">
        <f ca="1"/>
        <v>2.9299861707477799E-3</v>
      </c>
      <c r="X56" s="424">
        <f ca="1"/>
        <v>4.3322340825521897</v>
      </c>
      <c r="Y56" s="425">
        <f t="shared" ca="1" si="4"/>
        <v>0.11841785389064301</v>
      </c>
      <c r="Z56" s="426">
        <f t="shared" ca="1" si="0"/>
        <v>-1.5031235228425478E-3</v>
      </c>
      <c r="AA56" s="425">
        <f t="shared" ca="1" si="1"/>
        <v>0.10689687996177366</v>
      </c>
      <c r="AB56" s="427">
        <f t="shared" ca="1" si="2"/>
        <v>2.7834868622103907E-3</v>
      </c>
      <c r="AC56" s="426">
        <f t="shared" ca="1" si="3"/>
        <v>-6.7844167711991779E-5</v>
      </c>
      <c r="AD56" s="79"/>
    </row>
    <row r="57" spans="1:30" customFormat="1" ht="14.4">
      <c r="A57" s="231"/>
      <c r="B57" s="271">
        <v>19</v>
      </c>
      <c r="C57" s="260" t="s">
        <v>107</v>
      </c>
      <c r="D57" s="261">
        <v>1</v>
      </c>
      <c r="E57" s="252"/>
      <c r="F57" s="237">
        <v>0.4</v>
      </c>
      <c r="G57" s="435">
        <v>100</v>
      </c>
      <c r="H57" s="381">
        <v>43</v>
      </c>
      <c r="I57" s="503">
        <f ca="1"/>
        <v>1.2879318170595501E-4</v>
      </c>
      <c r="J57" s="503">
        <f ca="1"/>
        <v>4.5711451047089798E-4</v>
      </c>
      <c r="K57" s="503">
        <f ca="1"/>
        <v>0.28175255599144799</v>
      </c>
      <c r="L57" s="503">
        <f ca="1"/>
        <v>0.28175255599144799</v>
      </c>
      <c r="M57" s="503">
        <f ca="1"/>
        <v>-1.08273399947256E-4</v>
      </c>
      <c r="N57" s="452" t="str">
        <f ca="1"/>
        <v>EDF_MMR.EUR.SU</v>
      </c>
      <c r="O57" s="405"/>
      <c r="P57" s="405"/>
      <c r="Q57" s="405"/>
      <c r="R57" s="452"/>
      <c r="S57" s="443"/>
      <c r="T57" s="421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2">
        <f ca="1"/>
        <v>9.5363103138793592E-3</v>
      </c>
      <c r="V57" s="422">
        <f ca="1"/>
        <v>4.33890897028026E-2</v>
      </c>
      <c r="W57" s="423">
        <f ca="1"/>
        <v>2.1978590422613502E-3</v>
      </c>
      <c r="X57" s="424">
        <f ca="1"/>
        <v>4.3389089702802597</v>
      </c>
      <c r="Y57" s="425">
        <f t="shared" ca="1" si="4"/>
        <v>0.11841785389064301</v>
      </c>
      <c r="Z57" s="426">
        <f t="shared" ca="1" si="0"/>
        <v>-1.1292694014047972E-3</v>
      </c>
      <c r="AA57" s="425">
        <f t="shared" ca="1" si="1"/>
        <v>9.3917518663815994E-2</v>
      </c>
      <c r="AB57" s="427">
        <f t="shared" ca="1" si="2"/>
        <v>2.0879660901482826E-3</v>
      </c>
      <c r="AC57" s="426">
        <f t="shared" ca="1" si="3"/>
        <v>-4.4781330094385261E-5</v>
      </c>
      <c r="AD57" s="79"/>
    </row>
    <row r="58" spans="1:30" customFormat="1" ht="14.4">
      <c r="A58" s="231"/>
      <c r="B58" s="271">
        <v>20</v>
      </c>
      <c r="C58" s="260" t="s">
        <v>108</v>
      </c>
      <c r="D58" s="261">
        <v>1</v>
      </c>
      <c r="E58" s="252"/>
      <c r="F58" s="237">
        <v>0.4</v>
      </c>
      <c r="G58" s="435">
        <v>100</v>
      </c>
      <c r="H58" s="381">
        <v>44</v>
      </c>
      <c r="I58" s="503">
        <f ca="1"/>
        <v>1.5949534058068399E-4</v>
      </c>
      <c r="J58" s="503">
        <f ca="1"/>
        <v>4.5227897268497902E-4</v>
      </c>
      <c r="K58" s="503">
        <f ca="1"/>
        <v>0.35264814464805</v>
      </c>
      <c r="L58" s="503">
        <f ca="1"/>
        <v>0.35264814464805</v>
      </c>
      <c r="M58" s="503">
        <f ca="1"/>
        <v>-1.8316551898998101E-4</v>
      </c>
      <c r="N58" s="452" t="str">
        <f ca="1"/>
        <v>EDISON_MMR.EUR.SU</v>
      </c>
      <c r="O58" s="405"/>
      <c r="P58" s="405"/>
      <c r="Q58" s="405"/>
      <c r="R58" s="452"/>
      <c r="S58" s="443"/>
      <c r="T58" s="421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2">
        <f ca="1"/>
        <v>1.53722461847998E-2</v>
      </c>
      <c r="V58" s="422">
        <f ca="1"/>
        <v>4.3211511639500398E-2</v>
      </c>
      <c r="W58" s="423">
        <f ca="1"/>
        <v>3.5574423577322302E-3</v>
      </c>
      <c r="X58" s="424">
        <f ca="1"/>
        <v>4.3211511639500397</v>
      </c>
      <c r="Y58" s="425">
        <f t="shared" ca="1" si="4"/>
        <v>0.11841785389064301</v>
      </c>
      <c r="Z58" s="426">
        <f t="shared" ca="1" si="0"/>
        <v>-1.8203484026826171E-3</v>
      </c>
      <c r="AA58" s="425">
        <f t="shared" ca="1" si="1"/>
        <v>0.11754938154935</v>
      </c>
      <c r="AB58" s="427">
        <f t="shared" ca="1" si="2"/>
        <v>3.3795702398456183E-3</v>
      </c>
      <c r="AC58" s="426">
        <f t="shared" ca="1" si="3"/>
        <v>-9.0349901602378759E-5</v>
      </c>
      <c r="AD58" s="79"/>
    </row>
    <row r="59" spans="1:30" customFormat="1" ht="14.4">
      <c r="A59" s="231"/>
      <c r="B59" s="271">
        <v>21</v>
      </c>
      <c r="C59" s="260" t="s">
        <v>109</v>
      </c>
      <c r="D59" s="261">
        <v>1</v>
      </c>
      <c r="E59" s="252"/>
      <c r="F59" s="237">
        <v>0.4</v>
      </c>
      <c r="G59" s="435">
        <v>100</v>
      </c>
      <c r="H59" s="381">
        <v>45</v>
      </c>
      <c r="I59" s="503">
        <f ca="1"/>
        <v>1.63649044181336E-4</v>
      </c>
      <c r="J59" s="503">
        <f ca="1"/>
        <v>4.5155123793283903E-4</v>
      </c>
      <c r="K59" s="503">
        <f ca="1"/>
        <v>0.36241522652115099</v>
      </c>
      <c r="L59" s="503">
        <f ca="1"/>
        <v>0.36241522652115099</v>
      </c>
      <c r="M59" s="503">
        <f ca="1"/>
        <v>-1.9468925419174901E-4</v>
      </c>
      <c r="N59" s="452" t="str">
        <f ca="1"/>
        <v>ELECTRICITEDEPORTUGAL_MMR.EUR.SU</v>
      </c>
      <c r="O59" s="405"/>
      <c r="P59" s="405"/>
      <c r="Q59" s="405"/>
      <c r="R59" s="452"/>
      <c r="S59" s="443"/>
      <c r="T59" s="421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2">
        <f ca="1"/>
        <v>1.6262140656911499E-2</v>
      </c>
      <c r="V59" s="422">
        <f ca="1"/>
        <v>4.3174807443155501E-2</v>
      </c>
      <c r="W59" s="423">
        <f ca="1"/>
        <v>3.7665809345698701E-3</v>
      </c>
      <c r="X59" s="424">
        <f ca="1"/>
        <v>4.3174807443155503</v>
      </c>
      <c r="Y59" s="425">
        <f t="shared" ca="1" si="4"/>
        <v>0.11841785389064301</v>
      </c>
      <c r="Z59" s="426">
        <f t="shared" ca="1" si="0"/>
        <v>-1.9257277962592292E-3</v>
      </c>
      <c r="AA59" s="425">
        <f t="shared" ca="1" si="1"/>
        <v>0.12080507550705033</v>
      </c>
      <c r="AB59" s="427">
        <f t="shared" ca="1" si="2"/>
        <v>3.5782518878413765E-3</v>
      </c>
      <c r="AC59" s="426">
        <f t="shared" ca="1" si="3"/>
        <v>-9.8227456498223276E-5</v>
      </c>
      <c r="AD59" s="79"/>
    </row>
    <row r="60" spans="1:30" customFormat="1" ht="14.4">
      <c r="A60" s="231"/>
      <c r="B60" s="271">
        <v>22</v>
      </c>
      <c r="C60" s="260" t="s">
        <v>110</v>
      </c>
      <c r="D60" s="261">
        <v>1</v>
      </c>
      <c r="E60" s="252"/>
      <c r="F60" s="237">
        <v>0.4</v>
      </c>
      <c r="G60" s="435">
        <v>100</v>
      </c>
      <c r="H60" s="381">
        <v>46</v>
      </c>
      <c r="I60" s="503">
        <f ca="1"/>
        <v>1.6035557664328899E-4</v>
      </c>
      <c r="J60" s="503">
        <f ca="1"/>
        <v>4.5186985054337502E-4</v>
      </c>
      <c r="K60" s="503">
        <f ca="1"/>
        <v>0.354871156928175</v>
      </c>
      <c r="L60" s="503">
        <f ca="1"/>
        <v>0.354871156928175</v>
      </c>
      <c r="M60" s="503">
        <f ca="1"/>
        <v>-1.8709798043718901E-4</v>
      </c>
      <c r="N60" s="452" t="str">
        <f ca="1"/>
        <v>ELECTROLUX_MMR.EUR.SU</v>
      </c>
      <c r="O60" s="405"/>
      <c r="P60" s="405"/>
      <c r="Q60" s="405"/>
      <c r="R60" s="452"/>
      <c r="S60" s="443"/>
      <c r="T60" s="421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2">
        <f ca="1"/>
        <v>1.5834310616768401E-2</v>
      </c>
      <c r="V60" s="422">
        <f ca="1"/>
        <v>4.3240820459172102E-2</v>
      </c>
      <c r="W60" s="423">
        <f ca="1"/>
        <v>3.6618894943769901E-3</v>
      </c>
      <c r="X60" s="424">
        <f ca="1"/>
        <v>4.3240820459172102</v>
      </c>
      <c r="Y60" s="425">
        <f t="shared" ca="1" si="4"/>
        <v>0.11841785389064301</v>
      </c>
      <c r="Z60" s="426">
        <f t="shared" ca="1" si="0"/>
        <v>-1.8750650810755371E-3</v>
      </c>
      <c r="AA60" s="425">
        <f t="shared" ca="1" si="1"/>
        <v>0.118290385642725</v>
      </c>
      <c r="AB60" s="427">
        <f t="shared" ca="1" si="2"/>
        <v>3.4787950196581404E-3</v>
      </c>
      <c r="AC60" s="426">
        <f t="shared" ca="1" si="3"/>
        <v>-9.3652335462211494E-5</v>
      </c>
      <c r="AD60" s="79"/>
    </row>
    <row r="61" spans="1:30" customFormat="1" ht="14.4">
      <c r="A61" s="231"/>
      <c r="B61" s="271">
        <v>23</v>
      </c>
      <c r="C61" s="260" t="s">
        <v>111</v>
      </c>
      <c r="D61" s="261">
        <v>1</v>
      </c>
      <c r="E61" s="252"/>
      <c r="F61" s="237">
        <v>0.4</v>
      </c>
      <c r="G61" s="435">
        <v>100</v>
      </c>
      <c r="H61" s="381">
        <v>47</v>
      </c>
      <c r="I61" s="503">
        <f ca="1"/>
        <v>1.7953104349823699E-4</v>
      </c>
      <c r="J61" s="503">
        <f ca="1"/>
        <v>4.4824492294132101E-4</v>
      </c>
      <c r="K61" s="503">
        <f ca="1"/>
        <v>0.40051997091273001</v>
      </c>
      <c r="L61" s="503">
        <f ca="1"/>
        <v>0.40051997091273001</v>
      </c>
      <c r="M61" s="503">
        <f ca="1"/>
        <v>-2.43746364722263E-4</v>
      </c>
      <c r="N61" s="452" t="str">
        <f ca="1"/>
        <v>ENDESA_MMR.EUR.SU</v>
      </c>
      <c r="O61" s="405"/>
      <c r="P61" s="405"/>
      <c r="Q61" s="405"/>
      <c r="R61" s="452"/>
      <c r="S61" s="443"/>
      <c r="T61" s="421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2">
        <f ca="1"/>
        <v>2.0262597518984501E-2</v>
      </c>
      <c r="V61" s="422">
        <f ca="1"/>
        <v>4.3044498864747198E-2</v>
      </c>
      <c r="W61" s="423">
        <f ca="1"/>
        <v>4.7073605346534203E-3</v>
      </c>
      <c r="X61" s="424">
        <f ca="1"/>
        <v>4.3044498864747203</v>
      </c>
      <c r="Y61" s="425">
        <f t="shared" ca="1" si="4"/>
        <v>0.11841785389064301</v>
      </c>
      <c r="Z61" s="426">
        <f t="shared" ca="1" si="0"/>
        <v>-2.3994533124480112E-3</v>
      </c>
      <c r="AA61" s="425">
        <f t="shared" ca="1" si="1"/>
        <v>0.13350665697090999</v>
      </c>
      <c r="AB61" s="427">
        <f t="shared" ca="1" si="2"/>
        <v>4.471992507920749E-3</v>
      </c>
      <c r="AC61" s="426">
        <f t="shared" ca="1" si="3"/>
        <v>-1.352595828153339E-4</v>
      </c>
      <c r="AD61" s="79"/>
    </row>
    <row r="62" spans="1:30" customFormat="1" ht="14.4">
      <c r="A62" s="231"/>
      <c r="B62" s="271">
        <v>24</v>
      </c>
      <c r="C62" s="260" t="s">
        <v>112</v>
      </c>
      <c r="D62" s="261">
        <v>1</v>
      </c>
      <c r="E62" s="252"/>
      <c r="F62" s="237">
        <v>0.4</v>
      </c>
      <c r="G62" s="435">
        <v>100</v>
      </c>
      <c r="H62" s="381">
        <v>48</v>
      </c>
      <c r="I62" s="503">
        <f ca="1"/>
        <v>1.6743941616341801E-4</v>
      </c>
      <c r="J62" s="503">
        <f ca="1"/>
        <v>4.5081424590696402E-4</v>
      </c>
      <c r="K62" s="503">
        <f ca="1"/>
        <v>0.371415539068774</v>
      </c>
      <c r="L62" s="503">
        <f ca="1"/>
        <v>0.371415539068774</v>
      </c>
      <c r="M62" s="503">
        <f ca="1"/>
        <v>-2.0585195319402499E-4</v>
      </c>
      <c r="N62" s="452" t="str">
        <f ca="1"/>
        <v>ENEL_MMR.EUR.SU</v>
      </c>
      <c r="O62" s="405"/>
      <c r="P62" s="405"/>
      <c r="Q62" s="405"/>
      <c r="R62" s="452"/>
      <c r="S62" s="443"/>
      <c r="T62" s="421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2">
        <f ca="1"/>
        <v>1.7152884473186199E-2</v>
      </c>
      <c r="V62" s="422">
        <f ca="1"/>
        <v>4.3144606993560403E-2</v>
      </c>
      <c r="W62" s="423">
        <f ca="1"/>
        <v>3.9756728982944202E-3</v>
      </c>
      <c r="X62" s="424">
        <f ca="1"/>
        <v>4.3144606993560402</v>
      </c>
      <c r="Y62" s="425">
        <f t="shared" ca="1" si="4"/>
        <v>0.11841785389064301</v>
      </c>
      <c r="Z62" s="426">
        <f t="shared" ca="1" si="0"/>
        <v>-2.0312077673488426E-3</v>
      </c>
      <c r="AA62" s="425">
        <f t="shared" ca="1" si="1"/>
        <v>0.12380517968959133</v>
      </c>
      <c r="AB62" s="427">
        <f t="shared" ca="1" si="2"/>
        <v>3.776889253379699E-3</v>
      </c>
      <c r="AC62" s="426">
        <f t="shared" ca="1" si="3"/>
        <v>-1.06180797219881E-4</v>
      </c>
      <c r="AD62" s="79"/>
    </row>
    <row r="63" spans="1:30" customFormat="1" ht="14.4">
      <c r="A63" s="231"/>
      <c r="B63" s="271">
        <v>25</v>
      </c>
      <c r="C63" s="260" t="s">
        <v>113</v>
      </c>
      <c r="D63" s="261">
        <v>1</v>
      </c>
      <c r="E63" s="252"/>
      <c r="F63" s="237">
        <v>0.4</v>
      </c>
      <c r="G63" s="435">
        <v>100</v>
      </c>
      <c r="H63" s="381">
        <v>49</v>
      </c>
      <c r="I63" s="503">
        <f ca="1"/>
        <v>1.3249372860564299E-4</v>
      </c>
      <c r="J63" s="503">
        <f ca="1"/>
        <v>4.5676206312862899E-4</v>
      </c>
      <c r="K63" s="503">
        <f ca="1"/>
        <v>0.29007165721714401</v>
      </c>
      <c r="L63" s="503">
        <f ca="1"/>
        <v>0.29007165721714401</v>
      </c>
      <c r="M63" s="503">
        <f ca="1"/>
        <v>-1.15248215936381E-4</v>
      </c>
      <c r="N63" s="452" t="str">
        <f ca="1"/>
        <v>ENERGIEBADENWUERTTEMBERG_MMR.EUR.SU</v>
      </c>
      <c r="O63" s="405"/>
      <c r="P63" s="405"/>
      <c r="Q63" s="405"/>
      <c r="R63" s="452"/>
      <c r="S63" s="443"/>
      <c r="T63" s="421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2">
        <f ca="1"/>
        <v>9.9815118662649697E-3</v>
      </c>
      <c r="V63" s="422">
        <f ca="1"/>
        <v>4.33505595893105E-2</v>
      </c>
      <c r="W63" s="423">
        <f ca="1"/>
        <v>2.3025105006317498E-3</v>
      </c>
      <c r="X63" s="424">
        <f ca="1"/>
        <v>4.3350559589310498</v>
      </c>
      <c r="Y63" s="425">
        <f t="shared" ca="1" si="4"/>
        <v>0.11841785389064301</v>
      </c>
      <c r="Z63" s="426">
        <f t="shared" ca="1" si="0"/>
        <v>-1.1819892137870862E-3</v>
      </c>
      <c r="AA63" s="425">
        <f t="shared" ca="1" si="1"/>
        <v>9.6690552405714669E-2</v>
      </c>
      <c r="AB63" s="427">
        <f t="shared" ca="1" si="2"/>
        <v>2.1873849756001624E-3</v>
      </c>
      <c r="AC63" s="426">
        <f t="shared" ca="1" si="3"/>
        <v>-4.8255894809667827E-5</v>
      </c>
      <c r="AD63" s="79"/>
    </row>
    <row r="64" spans="1:30" customFormat="1" ht="14.4">
      <c r="A64" s="231"/>
      <c r="B64" s="271">
        <v>26</v>
      </c>
      <c r="C64" s="260" t="s">
        <v>114</v>
      </c>
      <c r="D64" s="261">
        <v>1</v>
      </c>
      <c r="E64" s="252"/>
      <c r="F64" s="237">
        <v>0.4</v>
      </c>
      <c r="G64" s="435">
        <v>100</v>
      </c>
      <c r="H64" s="381">
        <v>50</v>
      </c>
      <c r="I64" s="503">
        <f ca="1"/>
        <v>1.37861890317592E-4</v>
      </c>
      <c r="J64" s="503">
        <f ca="1"/>
        <v>4.5602496623942199E-4</v>
      </c>
      <c r="K64" s="503">
        <f ca="1"/>
        <v>0.30231215508760501</v>
      </c>
      <c r="L64" s="503">
        <f ca="1"/>
        <v>0.30231215508760501</v>
      </c>
      <c r="M64" s="503">
        <f ca="1"/>
        <v>-1.2699450456306099E-4</v>
      </c>
      <c r="N64" s="452" t="str">
        <f ca="1"/>
        <v>EON_MMR.EUR.SU</v>
      </c>
      <c r="O64" s="405"/>
      <c r="P64" s="405"/>
      <c r="Q64" s="405"/>
      <c r="R64" s="452"/>
      <c r="S64" s="443"/>
      <c r="T64" s="421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2">
        <f ca="1"/>
        <v>1.08810190612126E-2</v>
      </c>
      <c r="V64" s="422">
        <f ca="1"/>
        <v>4.3320636149913203E-2</v>
      </c>
      <c r="W64" s="423">
        <f ca="1"/>
        <v>2.5117403686220801E-3</v>
      </c>
      <c r="X64" s="424">
        <f ca="1"/>
        <v>4.3320636149913199</v>
      </c>
      <c r="Y64" s="425">
        <f t="shared" ca="1" si="4"/>
        <v>0.11841785389064301</v>
      </c>
      <c r="Z64" s="426">
        <f t="shared" ca="1" si="0"/>
        <v>-1.2885069253719748E-3</v>
      </c>
      <c r="AA64" s="425">
        <f t="shared" ca="1" si="1"/>
        <v>0.100770718362535</v>
      </c>
      <c r="AB64" s="427">
        <f t="shared" ca="1" si="2"/>
        <v>2.3861533501909758E-3</v>
      </c>
      <c r="AC64" s="426">
        <f t="shared" ca="1" si="3"/>
        <v>-5.482440536574158E-5</v>
      </c>
      <c r="AD64" s="79"/>
    </row>
    <row r="65" spans="1:30" customFormat="1" ht="14.4">
      <c r="A65" s="231"/>
      <c r="B65" s="271">
        <v>27</v>
      </c>
      <c r="C65" s="260" t="s">
        <v>115</v>
      </c>
      <c r="D65" s="261">
        <v>1</v>
      </c>
      <c r="E65" s="252"/>
      <c r="F65" s="237">
        <v>0.4</v>
      </c>
      <c r="G65" s="435">
        <v>100</v>
      </c>
      <c r="H65" s="381">
        <v>51</v>
      </c>
      <c r="I65" s="503">
        <f ca="1"/>
        <v>1.4357691392119501E-4</v>
      </c>
      <c r="J65" s="503">
        <f ca="1"/>
        <v>4.5486058213504998E-4</v>
      </c>
      <c r="K65" s="503">
        <f ca="1"/>
        <v>0.31565037631369502</v>
      </c>
      <c r="L65" s="503">
        <f ca="1"/>
        <v>0.31565037631369502</v>
      </c>
      <c r="M65" s="503">
        <f ca="1"/>
        <v>-1.42314506065699E-4</v>
      </c>
      <c r="N65" s="452" t="str">
        <f ca="1"/>
        <v>FORTUMOYJ_MMR.EUR.SU</v>
      </c>
      <c r="O65" s="405"/>
      <c r="P65" s="405"/>
      <c r="Q65" s="405"/>
      <c r="R65" s="452"/>
      <c r="S65" s="443"/>
      <c r="T65" s="421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2">
        <f ca="1"/>
        <v>1.2242017794087E-2</v>
      </c>
      <c r="V65" s="422">
        <f ca="1"/>
        <v>4.3328196400612598E-2</v>
      </c>
      <c r="W65" s="423">
        <f ca="1"/>
        <v>2.8254159672138801E-3</v>
      </c>
      <c r="X65" s="424">
        <f ca="1"/>
        <v>4.3328196400612597</v>
      </c>
      <c r="Y65" s="425">
        <f t="shared" ca="1" si="4"/>
        <v>0.11841785389064301</v>
      </c>
      <c r="Z65" s="426">
        <f t="shared" ca="1" si="0"/>
        <v>-1.4496734744668439E-3</v>
      </c>
      <c r="AA65" s="425">
        <f t="shared" ca="1" si="1"/>
        <v>0.10521679210456501</v>
      </c>
      <c r="AB65" s="427">
        <f t="shared" ca="1" si="2"/>
        <v>2.684145168853186E-3</v>
      </c>
      <c r="AC65" s="426">
        <f t="shared" ca="1" si="3"/>
        <v>-6.4403292059041841E-5</v>
      </c>
      <c r="AD65" s="79"/>
    </row>
    <row r="66" spans="1:30" customFormat="1" ht="14.4">
      <c r="A66" s="231"/>
      <c r="B66" s="271">
        <v>28</v>
      </c>
      <c r="C66" s="260" t="s">
        <v>116</v>
      </c>
      <c r="D66" s="261">
        <v>1</v>
      </c>
      <c r="E66" s="252"/>
      <c r="F66" s="237">
        <v>0.4</v>
      </c>
      <c r="G66" s="435">
        <v>100</v>
      </c>
      <c r="H66" s="381">
        <v>52</v>
      </c>
      <c r="I66" s="503">
        <f ca="1"/>
        <v>1.5130890479726501E-4</v>
      </c>
      <c r="J66" s="503">
        <f ca="1"/>
        <v>4.5377117135705501E-4</v>
      </c>
      <c r="K66" s="503">
        <f ca="1"/>
        <v>0.33344759285777997</v>
      </c>
      <c r="L66" s="503">
        <f ca="1"/>
        <v>0.33344759285777997</v>
      </c>
      <c r="M66" s="503">
        <f ca="1"/>
        <v>-1.6065658517197E-4</v>
      </c>
      <c r="N66" s="452" t="str">
        <f ca="1"/>
        <v>FRANCETELECOM_MMR.EUR.SU</v>
      </c>
      <c r="O66" s="405"/>
      <c r="P66" s="405"/>
      <c r="Q66" s="405"/>
      <c r="R66" s="452"/>
      <c r="S66" s="443"/>
      <c r="T66" s="421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2">
        <f ca="1"/>
        <v>1.3580349913247899E-2</v>
      </c>
      <c r="V66" s="422">
        <f ca="1"/>
        <v>4.3260492967988597E-2</v>
      </c>
      <c r="W66" s="423">
        <f ca="1"/>
        <v>3.1392036894486901E-3</v>
      </c>
      <c r="X66" s="424">
        <f ca="1"/>
        <v>4.3260492967988604</v>
      </c>
      <c r="Y66" s="425">
        <f t="shared" ca="1" si="4"/>
        <v>0.11841785389064301</v>
      </c>
      <c r="Z66" s="426">
        <f t="shared" ca="1" si="0"/>
        <v>-1.6081558918107956E-3</v>
      </c>
      <c r="AA66" s="425">
        <f t="shared" ca="1" si="1"/>
        <v>0.11114919761926</v>
      </c>
      <c r="AB66" s="427">
        <f t="shared" ca="1" si="2"/>
        <v>2.9822435049762556E-3</v>
      </c>
      <c r="AC66" s="426">
        <f t="shared" ca="1" si="3"/>
        <v>-7.5472249812314537E-5</v>
      </c>
      <c r="AD66" s="79"/>
    </row>
    <row r="67" spans="1:30" customFormat="1" ht="14.4">
      <c r="A67" s="231"/>
      <c r="B67" s="271">
        <v>29</v>
      </c>
      <c r="C67" s="260" t="s">
        <v>117</v>
      </c>
      <c r="D67" s="261">
        <v>1</v>
      </c>
      <c r="E67" s="252"/>
      <c r="F67" s="237">
        <v>0.4</v>
      </c>
      <c r="G67" s="435">
        <v>100</v>
      </c>
      <c r="H67" s="381">
        <v>53</v>
      </c>
      <c r="I67" s="503">
        <f ca="1"/>
        <v>1.3373784121160001E-4</v>
      </c>
      <c r="J67" s="503">
        <f ca="1"/>
        <v>4.5635672231859501E-4</v>
      </c>
      <c r="K67" s="503">
        <f ca="1"/>
        <v>0.29305548635752099</v>
      </c>
      <c r="L67" s="503">
        <f ca="1"/>
        <v>0.29305548635752099</v>
      </c>
      <c r="M67" s="503">
        <f ca="1"/>
        <v>-1.19473489369604E-4</v>
      </c>
      <c r="N67" s="452" t="str">
        <f ca="1"/>
        <v>GALLAHERGROUPPLC_MMR.EUR.SU</v>
      </c>
      <c r="O67" s="405"/>
      <c r="P67" s="405"/>
      <c r="Q67" s="405"/>
      <c r="R67" s="452"/>
      <c r="S67" s="443"/>
      <c r="T67" s="421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2">
        <f ca="1"/>
        <v>1.0439955472155499E-2</v>
      </c>
      <c r="V67" s="422">
        <f ca="1"/>
        <v>4.3372349725134103E-2</v>
      </c>
      <c r="W67" s="423">
        <f ca="1"/>
        <v>2.4070532351410899E-3</v>
      </c>
      <c r="X67" s="424">
        <f ca="1"/>
        <v>4.3372349725134098</v>
      </c>
      <c r="Y67" s="425">
        <f t="shared" ca="1" si="4"/>
        <v>0.11841785389064301</v>
      </c>
      <c r="Z67" s="426">
        <f t="shared" ca="1" si="0"/>
        <v>-1.2362771217265265E-3</v>
      </c>
      <c r="AA67" s="425">
        <f t="shared" ca="1" si="1"/>
        <v>9.7685162119173663E-2</v>
      </c>
      <c r="AB67" s="427">
        <f t="shared" ca="1" si="2"/>
        <v>2.2867005733840351E-3</v>
      </c>
      <c r="AC67" s="426">
        <f t="shared" ca="1" si="3"/>
        <v>-5.0991437140723224E-5</v>
      </c>
      <c r="AD67" s="79"/>
    </row>
    <row r="68" spans="1:30" customFormat="1" ht="14.4">
      <c r="A68" s="231"/>
      <c r="B68" s="271">
        <v>30</v>
      </c>
      <c r="C68" s="260" t="s">
        <v>118</v>
      </c>
      <c r="D68" s="261">
        <v>1</v>
      </c>
      <c r="E68" s="252"/>
      <c r="F68" s="237">
        <v>0.4</v>
      </c>
      <c r="G68" s="435">
        <v>100</v>
      </c>
      <c r="H68" s="381">
        <v>54</v>
      </c>
      <c r="I68" s="503">
        <f ca="1"/>
        <v>1.2589091408150499E-4</v>
      </c>
      <c r="J68" s="503">
        <f ca="1"/>
        <v>4.5748803030817701E-4</v>
      </c>
      <c r="K68" s="503">
        <f ca="1"/>
        <v>0.27517859646885501</v>
      </c>
      <c r="L68" s="503">
        <f ca="1"/>
        <v>0.27517859646885501</v>
      </c>
      <c r="M68" s="503">
        <f ca="1"/>
        <v>-1.02409475831422E-4</v>
      </c>
      <c r="N68" s="452" t="str">
        <f ca="1"/>
        <v>GASNATURALSDGSA_MMR.EUR.SU</v>
      </c>
      <c r="O68" s="405"/>
      <c r="P68" s="405"/>
      <c r="Q68" s="405"/>
      <c r="R68" s="452"/>
      <c r="S68" s="443"/>
      <c r="T68" s="421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2">
        <f ca="1"/>
        <v>9.0853199327524704E-3</v>
      </c>
      <c r="V68" s="422">
        <f ca="1"/>
        <v>4.34030203217678E-2</v>
      </c>
      <c r="W68" s="423">
        <f ca="1"/>
        <v>2.09324601500047E-3</v>
      </c>
      <c r="X68" s="424">
        <f ca="1"/>
        <v>4.3403020321767798</v>
      </c>
      <c r="Y68" s="425">
        <f t="shared" ca="1" si="4"/>
        <v>0.11841785389064301</v>
      </c>
      <c r="Z68" s="426">
        <f t="shared" ca="1" si="0"/>
        <v>-1.0758640883464304E-3</v>
      </c>
      <c r="AA68" s="425">
        <f t="shared" ca="1" si="1"/>
        <v>9.1726198822951674E-2</v>
      </c>
      <c r="AB68" s="427">
        <f t="shared" ca="1" si="2"/>
        <v>1.9885837142504465E-3</v>
      </c>
      <c r="AC68" s="426">
        <f t="shared" ca="1" si="3"/>
        <v>-4.1668093126089049E-5</v>
      </c>
      <c r="AD68" s="79"/>
    </row>
    <row r="69" spans="1:30" customFormat="1" ht="14.4">
      <c r="A69" s="231"/>
      <c r="B69" s="271">
        <v>31</v>
      </c>
      <c r="C69" s="260" t="s">
        <v>119</v>
      </c>
      <c r="D69" s="261">
        <v>1</v>
      </c>
      <c r="E69" s="252"/>
      <c r="F69" s="237">
        <v>0.4</v>
      </c>
      <c r="G69" s="435">
        <v>100</v>
      </c>
      <c r="H69" s="381">
        <v>55</v>
      </c>
      <c r="I69" s="503">
        <f ca="1"/>
        <v>1.28741572227064E-4</v>
      </c>
      <c r="J69" s="503">
        <f ca="1"/>
        <v>4.5711417865299599E-4</v>
      </c>
      <c r="K69" s="503">
        <f ca="1"/>
        <v>0.28163985769689798</v>
      </c>
      <c r="L69" s="503">
        <f ca="1"/>
        <v>0.28163985769689798</v>
      </c>
      <c r="M69" s="503">
        <f ca="1"/>
        <v>-1.08331604036427E-4</v>
      </c>
      <c r="N69" s="452" t="str">
        <f ca="1"/>
        <v>GAZDEFRANCE_MMR.EUR.SU</v>
      </c>
      <c r="O69" s="405"/>
      <c r="P69" s="405"/>
      <c r="Q69" s="405"/>
      <c r="R69" s="452"/>
      <c r="S69" s="443"/>
      <c r="T69" s="421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2">
        <f ca="1"/>
        <v>9.5360954959001609E-3</v>
      </c>
      <c r="V69" s="422">
        <f ca="1"/>
        <v>4.33880552637625E-2</v>
      </c>
      <c r="W69" s="423">
        <f ca="1"/>
        <v>2.1978619317987E-3</v>
      </c>
      <c r="X69" s="424">
        <f ca="1"/>
        <v>4.3388055263762499</v>
      </c>
      <c r="Y69" s="425">
        <f t="shared" ca="1" si="4"/>
        <v>0.11841785389064301</v>
      </c>
      <c r="Z69" s="426">
        <f t="shared" ca="1" si="0"/>
        <v>-1.1292439631207264E-3</v>
      </c>
      <c r="AA69" s="425">
        <f t="shared" ca="1" si="1"/>
        <v>9.3879952565632654E-2</v>
      </c>
      <c r="AB69" s="427">
        <f t="shared" ca="1" si="2"/>
        <v>2.0879688352087649E-3</v>
      </c>
      <c r="AC69" s="426">
        <f t="shared" ca="1" si="3"/>
        <v>-4.4762409640822629E-5</v>
      </c>
      <c r="AD69" s="79"/>
    </row>
    <row r="70" spans="1:30" customFormat="1" ht="14.4">
      <c r="A70" s="231"/>
      <c r="B70" s="271">
        <v>32</v>
      </c>
      <c r="C70" s="260" t="s">
        <v>120</v>
      </c>
      <c r="D70" s="261">
        <v>1</v>
      </c>
      <c r="E70" s="252"/>
      <c r="F70" s="237">
        <v>0.4</v>
      </c>
      <c r="G70" s="435">
        <v>100</v>
      </c>
      <c r="H70" s="381">
        <v>56</v>
      </c>
      <c r="I70" s="503">
        <f ca="1"/>
        <v>1.5397480792891401E-4</v>
      </c>
      <c r="J70" s="503">
        <f ca="1"/>
        <v>4.5341948290752299E-4</v>
      </c>
      <c r="K70" s="503">
        <f ca="1"/>
        <v>0.33958577814424901</v>
      </c>
      <c r="L70" s="503">
        <f ca="1"/>
        <v>0.33958577814424901</v>
      </c>
      <c r="M70" s="503">
        <f ca="1"/>
        <v>-1.67176046684148E-4</v>
      </c>
      <c r="N70" s="452" t="str">
        <f ca="1"/>
        <v>GENERALI_MMR.EUR.SU</v>
      </c>
      <c r="O70" s="405"/>
      <c r="P70" s="405"/>
      <c r="Q70" s="405"/>
      <c r="R70" s="452"/>
      <c r="S70" s="443"/>
      <c r="T70" s="421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2">
        <f ca="1"/>
        <v>1.4021910451348299E-2</v>
      </c>
      <c r="V70" s="422">
        <f ca="1"/>
        <v>4.3226353805788403E-2</v>
      </c>
      <c r="W70" s="423">
        <f ca="1"/>
        <v>3.2438337303088999E-3</v>
      </c>
      <c r="X70" s="424">
        <f ca="1"/>
        <v>4.3226353805788396</v>
      </c>
      <c r="Y70" s="425">
        <f t="shared" ca="1" si="4"/>
        <v>0.11841785389064301</v>
      </c>
      <c r="Z70" s="426">
        <f t="shared" ca="1" si="0"/>
        <v>-1.6604445430954417E-3</v>
      </c>
      <c r="AA70" s="425">
        <f t="shared" ca="1" si="1"/>
        <v>0.11319525938141634</v>
      </c>
      <c r="AB70" s="427">
        <f t="shared" ca="1" si="2"/>
        <v>3.0816420437934549E-3</v>
      </c>
      <c r="AC70" s="426">
        <f t="shared" ca="1" si="3"/>
        <v>-7.936068952816815E-5</v>
      </c>
      <c r="AD70" s="79"/>
    </row>
    <row r="71" spans="1:30" customFormat="1" ht="14.4">
      <c r="A71" s="231"/>
      <c r="B71" s="271">
        <v>33</v>
      </c>
      <c r="C71" s="260" t="s">
        <v>121</v>
      </c>
      <c r="D71" s="261">
        <v>1</v>
      </c>
      <c r="E71" s="252"/>
      <c r="F71" s="237">
        <v>0.4</v>
      </c>
      <c r="G71" s="435">
        <v>100</v>
      </c>
      <c r="H71" s="381">
        <v>57</v>
      </c>
      <c r="I71" s="503">
        <f ca="1"/>
        <v>1.93296928210463E-4</v>
      </c>
      <c r="J71" s="503">
        <f ca="1"/>
        <v>4.4450478607853302E-4</v>
      </c>
      <c r="K71" s="503">
        <f ca="1"/>
        <v>0.43485904823601201</v>
      </c>
      <c r="L71" s="503">
        <f ca="1"/>
        <v>0.43485904823601201</v>
      </c>
      <c r="M71" s="503">
        <f ca="1"/>
        <v>-2.9301511695627402E-4</v>
      </c>
      <c r="N71" s="452" t="str">
        <f ca="1"/>
        <v>GKN HOLDINGS  PLC_MMR.EUR.SU</v>
      </c>
      <c r="O71" s="405"/>
      <c r="P71" s="405"/>
      <c r="Q71" s="405"/>
      <c r="R71" s="452"/>
      <c r="S71" s="443"/>
      <c r="T71" s="421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2">
        <f ca="1"/>
        <v>2.4723097694300498E-2</v>
      </c>
      <c r="V71" s="422">
        <f ca="1"/>
        <v>4.2982222871953198E-2</v>
      </c>
      <c r="W71" s="423">
        <f ca="1"/>
        <v>5.7519355776345501E-3</v>
      </c>
      <c r="X71" s="424">
        <f ca="1"/>
        <v>4.29822228719532</v>
      </c>
      <c r="Y71" s="425">
        <f t="shared" ca="1" si="4"/>
        <v>0.11841785389064301</v>
      </c>
      <c r="Z71" s="426">
        <f t="shared" ca="1" si="0"/>
        <v>-2.9276561704877709E-3</v>
      </c>
      <c r="AA71" s="425">
        <f t="shared" ca="1" si="1"/>
        <v>0.14495301607867067</v>
      </c>
      <c r="AB71" s="427">
        <f t="shared" ca="1" si="2"/>
        <v>5.4643387987528226E-3</v>
      </c>
      <c r="AC71" s="426">
        <f t="shared" ca="1" si="3"/>
        <v>-1.7918437887982439E-4</v>
      </c>
      <c r="AD71" s="79"/>
    </row>
    <row r="72" spans="1:30" customFormat="1" ht="14.4">
      <c r="A72" s="231"/>
      <c r="B72" s="271">
        <v>34</v>
      </c>
      <c r="C72" s="260" t="s">
        <v>122</v>
      </c>
      <c r="D72" s="261">
        <v>1</v>
      </c>
      <c r="E72" s="252"/>
      <c r="F72" s="237">
        <v>0.4</v>
      </c>
      <c r="G72" s="435">
        <v>100</v>
      </c>
      <c r="H72" s="381">
        <v>58</v>
      </c>
      <c r="I72" s="503">
        <f ca="1"/>
        <v>2.0023655110319399E-4</v>
      </c>
      <c r="J72" s="503">
        <f ca="1"/>
        <v>4.4270652472383102E-4</v>
      </c>
      <c r="K72" s="503">
        <f ca="1"/>
        <v>0.452300880878377</v>
      </c>
      <c r="L72" s="503">
        <f ca="1"/>
        <v>0.452300880878377</v>
      </c>
      <c r="M72" s="503">
        <f ca="1"/>
        <v>-3.1820224019547501E-4</v>
      </c>
      <c r="N72" s="452" t="str">
        <f ca="1"/>
        <v>GLENCOREINTAG_MMR.EUR.SU</v>
      </c>
      <c r="O72" s="405"/>
      <c r="P72" s="405"/>
      <c r="Q72" s="405"/>
      <c r="R72" s="452"/>
      <c r="S72" s="443"/>
      <c r="T72" s="421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2">
        <f ca="1"/>
        <v>2.6910450414134299E-2</v>
      </c>
      <c r="V72" s="422">
        <f ca="1"/>
        <v>4.2890287398664101E-2</v>
      </c>
      <c r="W72" s="423">
        <f ca="1"/>
        <v>6.2742527612376104E-3</v>
      </c>
      <c r="X72" s="424">
        <f ca="1"/>
        <v>4.28902873986641</v>
      </c>
      <c r="Y72" s="425">
        <f t="shared" ca="1" si="4"/>
        <v>0.11841785389064301</v>
      </c>
      <c r="Z72" s="426">
        <f t="shared" ca="1" si="0"/>
        <v>-3.1866777852723482E-3</v>
      </c>
      <c r="AA72" s="425">
        <f t="shared" ca="1" si="1"/>
        <v>0.15076696029279232</v>
      </c>
      <c r="AB72" s="427">
        <f t="shared" ca="1" si="2"/>
        <v>5.9605401231757294E-3</v>
      </c>
      <c r="AC72" s="426">
        <f t="shared" ca="1" si="3"/>
        <v>-2.0286034045244734E-4</v>
      </c>
      <c r="AD72" s="79"/>
    </row>
    <row r="73" spans="1:30" customFormat="1" ht="14.4">
      <c r="A73" s="231"/>
      <c r="B73" s="271">
        <v>35</v>
      </c>
      <c r="C73" s="260" t="s">
        <v>123</v>
      </c>
      <c r="D73" s="261">
        <v>1</v>
      </c>
      <c r="E73" s="252"/>
      <c r="F73" s="237">
        <v>0.4</v>
      </c>
      <c r="G73" s="435">
        <v>100</v>
      </c>
      <c r="H73" s="381">
        <v>59</v>
      </c>
      <c r="I73" s="503">
        <f ca="1"/>
        <v>1.6049339610848501E-4</v>
      </c>
      <c r="J73" s="503">
        <f ca="1"/>
        <v>4.5187488333998E-4</v>
      </c>
      <c r="K73" s="503">
        <f ca="1"/>
        <v>0.35517219926502003</v>
      </c>
      <c r="L73" s="503">
        <f ca="1"/>
        <v>0.35517219926502003</v>
      </c>
      <c r="M73" s="503">
        <f ca="1"/>
        <v>-1.87261899089175E-4</v>
      </c>
      <c r="N73" s="452" t="str">
        <f ca="1"/>
        <v>GREATUNIVERSALSTORES_MMR.EUR.SU</v>
      </c>
      <c r="O73" s="405"/>
      <c r="P73" s="405"/>
      <c r="Q73" s="405"/>
      <c r="R73" s="452"/>
      <c r="S73" s="443"/>
      <c r="T73" s="421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2">
        <f ca="1"/>
        <v>1.5833064071766101E-2</v>
      </c>
      <c r="V73" s="422">
        <f ca="1"/>
        <v>4.3237215398759098E-2</v>
      </c>
      <c r="W73" s="423">
        <f ca="1"/>
        <v>3.6619065140398701E-3</v>
      </c>
      <c r="X73" s="424">
        <f ca="1"/>
        <v>4.3237215398759101</v>
      </c>
      <c r="Y73" s="425">
        <f t="shared" ca="1" si="4"/>
        <v>0.11841785389064301</v>
      </c>
      <c r="Z73" s="426">
        <f t="shared" ca="1" si="0"/>
        <v>-1.8749174678915866E-3</v>
      </c>
      <c r="AA73" s="425">
        <f t="shared" ca="1" si="1"/>
        <v>0.11839073308834001</v>
      </c>
      <c r="AB73" s="427">
        <f t="shared" ca="1" si="2"/>
        <v>3.4788111883378766E-3</v>
      </c>
      <c r="AC73" s="426">
        <f t="shared" ca="1" si="3"/>
        <v>-9.3724403124552253E-5</v>
      </c>
      <c r="AD73" s="79"/>
    </row>
    <row r="74" spans="1:30" customFormat="1" ht="14.4">
      <c r="A74" s="231"/>
      <c r="B74" s="271">
        <v>36</v>
      </c>
      <c r="C74" s="260" t="s">
        <v>124</v>
      </c>
      <c r="D74" s="261">
        <v>1</v>
      </c>
      <c r="E74" s="252"/>
      <c r="F74" s="237">
        <v>0.4</v>
      </c>
      <c r="G74" s="435">
        <v>100</v>
      </c>
      <c r="H74" s="381">
        <v>60</v>
      </c>
      <c r="I74" s="503">
        <f ca="1"/>
        <v>1.5203129375289601E-4</v>
      </c>
      <c r="J74" s="503">
        <f ca="1"/>
        <v>4.5380164046462398E-4</v>
      </c>
      <c r="K74" s="503">
        <f ca="1"/>
        <v>0.33501706515921598</v>
      </c>
      <c r="L74" s="503">
        <f ca="1"/>
        <v>0.33501706515921598</v>
      </c>
      <c r="M74" s="503">
        <f ca="1"/>
        <v>-1.6175111630958299E-4</v>
      </c>
      <c r="N74" s="452" t="str">
        <f ca="1"/>
        <v>HANNOVERRUECK_MMR.EUR.SU</v>
      </c>
      <c r="O74" s="405"/>
      <c r="P74" s="405"/>
      <c r="Q74" s="405"/>
      <c r="R74" s="452"/>
      <c r="S74" s="443"/>
      <c r="T74" s="421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2">
        <f ca="1"/>
        <v>1.35717349759667E-2</v>
      </c>
      <c r="V74" s="422">
        <f ca="1"/>
        <v>4.3231898291696803E-2</v>
      </c>
      <c r="W74" s="423">
        <f ca="1"/>
        <v>3.1392873115112102E-3</v>
      </c>
      <c r="X74" s="424">
        <f ca="1"/>
        <v>4.3231898291696798</v>
      </c>
      <c r="Y74" s="425">
        <f t="shared" ca="1" si="4"/>
        <v>0.11841785389064301</v>
      </c>
      <c r="Z74" s="426">
        <f t="shared" ca="1" si="0"/>
        <v>-1.6071357294265532E-3</v>
      </c>
      <c r="AA74" s="425">
        <f t="shared" ca="1" si="1"/>
        <v>0.11167235505307199</v>
      </c>
      <c r="AB74" s="427">
        <f t="shared" ca="1" si="2"/>
        <v>2.9823229459356496E-3</v>
      </c>
      <c r="AC74" s="426">
        <f t="shared" ca="1" si="3"/>
        <v>-7.5779380346117442E-5</v>
      </c>
      <c r="AD74" s="79"/>
    </row>
    <row r="75" spans="1:30" customFormat="1" ht="14.4">
      <c r="A75" s="231"/>
      <c r="B75" s="271">
        <v>37</v>
      </c>
      <c r="C75" s="260" t="s">
        <v>125</v>
      </c>
      <c r="D75" s="261">
        <v>1</v>
      </c>
      <c r="E75" s="252"/>
      <c r="F75" s="237">
        <v>0.4</v>
      </c>
      <c r="G75" s="435">
        <v>100</v>
      </c>
      <c r="H75" s="381">
        <v>61</v>
      </c>
      <c r="I75" s="503">
        <f ca="1"/>
        <v>1.81774471997698E-4</v>
      </c>
      <c r="J75" s="503">
        <f ca="1"/>
        <v>4.4745197102356897E-4</v>
      </c>
      <c r="K75" s="503">
        <f ca="1"/>
        <v>0.40624353845593703</v>
      </c>
      <c r="L75" s="503">
        <f ca="1"/>
        <v>0.40624353845593703</v>
      </c>
      <c r="M75" s="503">
        <f ca="1"/>
        <v>-2.52632678885911E-4</v>
      </c>
      <c r="N75" s="452" t="str">
        <f ca="1"/>
        <v>HELLENIC TELCOM_MMR.EUR.SU</v>
      </c>
      <c r="O75" s="405"/>
      <c r="P75" s="405"/>
      <c r="Q75" s="405"/>
      <c r="R75" s="452"/>
      <c r="S75" s="443"/>
      <c r="T75" s="421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2">
        <f ca="1"/>
        <v>2.11747736683238E-2</v>
      </c>
      <c r="V75" s="422">
        <f ca="1"/>
        <v>4.3071600362289499E-2</v>
      </c>
      <c r="W75" s="423">
        <f ca="1"/>
        <v>4.9161799167469402E-3</v>
      </c>
      <c r="X75" s="424">
        <f ca="1"/>
        <v>4.3071600362289502</v>
      </c>
      <c r="Y75" s="425">
        <f t="shared" ca="1" si="4"/>
        <v>0.11841785389064301</v>
      </c>
      <c r="Z75" s="426">
        <f t="shared" ca="1" si="0"/>
        <v>-2.5074712544230012E-3</v>
      </c>
      <c r="AA75" s="425">
        <f t="shared" ca="1" si="1"/>
        <v>0.13541451281864567</v>
      </c>
      <c r="AB75" s="427">
        <f t="shared" ca="1" si="2"/>
        <v>4.6703709209095926E-3</v>
      </c>
      <c r="AC75" s="426">
        <f t="shared" ca="1" si="3"/>
        <v>-1.4336858301705797E-4</v>
      </c>
      <c r="AD75" s="79"/>
    </row>
    <row r="76" spans="1:30" customFormat="1" ht="14.4">
      <c r="A76" s="231"/>
      <c r="B76" s="271">
        <v>38</v>
      </c>
      <c r="C76" s="260" t="s">
        <v>126</v>
      </c>
      <c r="D76" s="261">
        <v>1</v>
      </c>
      <c r="E76" s="252"/>
      <c r="F76" s="237">
        <v>0.4</v>
      </c>
      <c r="G76" s="435">
        <v>100</v>
      </c>
      <c r="H76" s="381">
        <v>62</v>
      </c>
      <c r="I76" s="503">
        <f ca="1"/>
        <v>1.3618135971358301E-4</v>
      </c>
      <c r="J76" s="503">
        <f ca="1"/>
        <v>4.5598220116032599E-4</v>
      </c>
      <c r="K76" s="503">
        <f ca="1"/>
        <v>0.29865498996900702</v>
      </c>
      <c r="L76" s="503">
        <f ca="1"/>
        <v>0.29865498996900702</v>
      </c>
      <c r="M76" s="503">
        <f ca="1"/>
        <v>-1.24895805969861E-4</v>
      </c>
      <c r="N76" s="452" t="str">
        <f ca="1"/>
        <v>HENKELKG_MMR.EUR.SU</v>
      </c>
      <c r="O76" s="405"/>
      <c r="P76" s="405"/>
      <c r="Q76" s="405"/>
      <c r="R76" s="452"/>
      <c r="S76" s="443"/>
      <c r="T76" s="421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2">
        <f ca="1"/>
        <v>1.08927340264857E-2</v>
      </c>
      <c r="V76" s="422">
        <f ca="1"/>
        <v>4.3368774382048003E-2</v>
      </c>
      <c r="W76" s="423">
        <f ca="1"/>
        <v>2.5116536452076E-3</v>
      </c>
      <c r="X76" s="424">
        <f ca="1"/>
        <v>4.3368774382047999</v>
      </c>
      <c r="Y76" s="425">
        <f t="shared" ca="1" si="4"/>
        <v>0.11841785389064301</v>
      </c>
      <c r="Z76" s="426">
        <f t="shared" ca="1" si="0"/>
        <v>-1.2898941864180173E-3</v>
      </c>
      <c r="AA76" s="425">
        <f t="shared" ca="1" si="1"/>
        <v>9.9551663323002346E-2</v>
      </c>
      <c r="AB76" s="427">
        <f t="shared" ca="1" si="2"/>
        <v>2.3860709629472199E-3</v>
      </c>
      <c r="AC76" s="426">
        <f t="shared" ca="1" si="3"/>
        <v>-5.4219489523585761E-5</v>
      </c>
      <c r="AD76" s="79"/>
    </row>
    <row r="77" spans="1:30" customFormat="1" ht="14.4">
      <c r="A77" s="231"/>
      <c r="B77" s="271">
        <v>39</v>
      </c>
      <c r="C77" s="260" t="s">
        <v>127</v>
      </c>
      <c r="D77" s="261">
        <v>1</v>
      </c>
      <c r="E77" s="252"/>
      <c r="F77" s="237">
        <v>0.4</v>
      </c>
      <c r="G77" s="435">
        <v>100</v>
      </c>
      <c r="H77" s="381">
        <v>63</v>
      </c>
      <c r="I77" s="503">
        <f ca="1"/>
        <v>1.5976561802215599E-4</v>
      </c>
      <c r="J77" s="503">
        <f ca="1"/>
        <v>4.5228992214176402E-4</v>
      </c>
      <c r="K77" s="503">
        <f ca="1"/>
        <v>0.353237183056402</v>
      </c>
      <c r="L77" s="503">
        <f ca="1"/>
        <v>0.353237183056402</v>
      </c>
      <c r="M77" s="503">
        <f ca="1"/>
        <v>-1.8363273295693999E-4</v>
      </c>
      <c r="N77" s="452" t="str">
        <f ca="1"/>
        <v>IBERDROLA_MMR.EUR.SU</v>
      </c>
      <c r="O77" s="405"/>
      <c r="P77" s="405"/>
      <c r="Q77" s="405"/>
      <c r="R77" s="452"/>
      <c r="S77" s="443"/>
      <c r="T77" s="421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2">
        <f ca="1"/>
        <v>1.5367979749653799E-2</v>
      </c>
      <c r="V77" s="422">
        <f ca="1"/>
        <v>4.3199108829613801E-2</v>
      </c>
      <c r="W77" s="423">
        <f ca="1"/>
        <v>3.5574761068031002E-3</v>
      </c>
      <c r="X77" s="424">
        <f ca="1"/>
        <v>4.3199108829613797</v>
      </c>
      <c r="Y77" s="425">
        <f t="shared" ca="1" si="4"/>
        <v>0.11841785389064301</v>
      </c>
      <c r="Z77" s="426">
        <f t="shared" ca="1" si="0"/>
        <v>-1.8198431805888633E-3</v>
      </c>
      <c r="AA77" s="425">
        <f t="shared" ca="1" si="1"/>
        <v>0.11774572768546733</v>
      </c>
      <c r="AB77" s="427">
        <f t="shared" ca="1" si="2"/>
        <v>3.3796023014629451E-3</v>
      </c>
      <c r="AC77" s="426">
        <f t="shared" ca="1" si="3"/>
        <v>-9.0475697933925622E-5</v>
      </c>
      <c r="AD77" s="79"/>
    </row>
    <row r="78" spans="1:30" customFormat="1" ht="14.4">
      <c r="A78" s="231"/>
      <c r="B78" s="271">
        <v>40</v>
      </c>
      <c r="C78" s="260" t="s">
        <v>128</v>
      </c>
      <c r="D78" s="261">
        <v>1</v>
      </c>
      <c r="E78" s="252"/>
      <c r="F78" s="237">
        <v>0.4</v>
      </c>
      <c r="G78" s="435">
        <v>100</v>
      </c>
      <c r="H78" s="381">
        <v>64</v>
      </c>
      <c r="I78" s="503">
        <f ca="1"/>
        <v>1.0319146207553601E-4</v>
      </c>
      <c r="J78" s="503">
        <f ca="1"/>
        <v>4.6011772474805298E-4</v>
      </c>
      <c r="K78" s="503">
        <f ca="1"/>
        <v>0.22427186897014401</v>
      </c>
      <c r="L78" s="503">
        <f ca="1"/>
        <v>0.22427186897014401</v>
      </c>
      <c r="M78" s="503">
        <f ca="1"/>
        <v>-6.2233399262190406E-5</v>
      </c>
      <c r="N78" s="452" t="str">
        <f ca="1"/>
        <v>ICI_MMR.EUR.SU</v>
      </c>
      <c r="O78" s="405"/>
      <c r="P78" s="405"/>
      <c r="Q78" s="405"/>
      <c r="R78" s="452"/>
      <c r="S78" s="443"/>
      <c r="T78" s="421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2">
        <f ca="1"/>
        <v>5.9174855882635699E-3</v>
      </c>
      <c r="V78" s="422">
        <f ca="1"/>
        <v>4.3484552202601903E-2</v>
      </c>
      <c r="W78" s="423">
        <f ca="1"/>
        <v>1.36082477305803E-3</v>
      </c>
      <c r="X78" s="424">
        <f ca="1"/>
        <v>4.34845522026019</v>
      </c>
      <c r="Y78" s="425">
        <f t="shared" ca="1" si="4"/>
        <v>0.11841785389064301</v>
      </c>
      <c r="Z78" s="426">
        <f t="shared" ca="1" si="0"/>
        <v>-7.0073594379098218E-4</v>
      </c>
      <c r="AA78" s="425">
        <f t="shared" ca="1" si="1"/>
        <v>7.4757289656714673E-2</v>
      </c>
      <c r="AB78" s="427">
        <f t="shared" ca="1" si="2"/>
        <v>1.2927835344051285E-3</v>
      </c>
      <c r="AC78" s="426">
        <f t="shared" ca="1" si="3"/>
        <v>-2.2118759208062751E-5</v>
      </c>
      <c r="AD78" s="79"/>
    </row>
    <row r="79" spans="1:30" customFormat="1" ht="14.4">
      <c r="A79" s="231"/>
      <c r="B79" s="271">
        <v>41</v>
      </c>
      <c r="C79" s="260" t="s">
        <v>129</v>
      </c>
      <c r="D79" s="261">
        <v>1</v>
      </c>
      <c r="E79" s="252"/>
      <c r="F79" s="237">
        <v>0.4</v>
      </c>
      <c r="G79" s="435">
        <v>100</v>
      </c>
      <c r="H79" s="381">
        <v>65</v>
      </c>
      <c r="I79" s="503">
        <f ca="1"/>
        <v>1.5219452390669E-4</v>
      </c>
      <c r="J79" s="503">
        <f ca="1"/>
        <v>4.5380488489907598E-4</v>
      </c>
      <c r="K79" s="503">
        <f ca="1"/>
        <v>0.33537436235517198</v>
      </c>
      <c r="L79" s="503">
        <f ca="1"/>
        <v>0.33537436235517198</v>
      </c>
      <c r="M79" s="503">
        <f ca="1"/>
        <v>-1.62124314761192E-4</v>
      </c>
      <c r="N79" s="452" t="str">
        <f ca="1"/>
        <v>INTESA_MMR.EUR.SU</v>
      </c>
      <c r="O79" s="405"/>
      <c r="P79" s="405"/>
      <c r="Q79" s="405"/>
      <c r="R79" s="452"/>
      <c r="S79" s="443"/>
      <c r="T79" s="421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2">
        <f ca="1"/>
        <v>1.3568907487582599E-2</v>
      </c>
      <c r="V79" s="422">
        <f ca="1"/>
        <v>4.3222723565757501E-2</v>
      </c>
      <c r="W79" s="423">
        <f ca="1"/>
        <v>3.1392995091897298E-3</v>
      </c>
      <c r="X79" s="424">
        <f ca="1"/>
        <v>4.3222723565757502</v>
      </c>
      <c r="Y79" s="425">
        <f t="shared" ca="1" si="4"/>
        <v>0.11841785389064301</v>
      </c>
      <c r="Z79" s="426">
        <f t="shared" ca="1" si="0"/>
        <v>-1.6068009043202069E-3</v>
      </c>
      <c r="AA79" s="425">
        <f t="shared" ca="1" si="1"/>
        <v>0.11179145411839066</v>
      </c>
      <c r="AB79" s="427">
        <f t="shared" ca="1" si="2"/>
        <v>2.9823345337302433E-3</v>
      </c>
      <c r="AC79" s="426">
        <f t="shared" ca="1" si="3"/>
        <v>-7.5844394941738832E-5</v>
      </c>
      <c r="AD79" s="79"/>
    </row>
    <row r="80" spans="1:30" customFormat="1" ht="14.4">
      <c r="A80" s="231"/>
      <c r="B80" s="271">
        <v>42</v>
      </c>
      <c r="C80" s="260" t="s">
        <v>130</v>
      </c>
      <c r="D80" s="261">
        <v>1</v>
      </c>
      <c r="E80" s="252"/>
      <c r="F80" s="237">
        <v>0.4</v>
      </c>
      <c r="G80" s="435">
        <v>100</v>
      </c>
      <c r="H80" s="381">
        <v>66</v>
      </c>
      <c r="I80" s="503">
        <f ca="1"/>
        <v>2.48222468582204E-4</v>
      </c>
      <c r="J80" s="503">
        <f ca="1"/>
        <v>4.4080120070674598E-4</v>
      </c>
      <c r="K80" s="503">
        <f ca="1"/>
        <v>0.56311658902975703</v>
      </c>
      <c r="L80" s="503">
        <f ca="1"/>
        <v>0.56311658902975703</v>
      </c>
      <c r="M80" s="503">
        <f ca="1"/>
        <v>-4.94157003530216E-4</v>
      </c>
      <c r="N80" s="452" t="str">
        <f ca="1"/>
        <v>KINGFISHER_MMR.EUR.SU</v>
      </c>
      <c r="O80" s="405"/>
      <c r="P80" s="405"/>
      <c r="Q80" s="405"/>
      <c r="R80" s="452"/>
      <c r="S80" s="443"/>
      <c r="T80" s="421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2">
        <f ca="1"/>
        <v>4.5637303921944497E-2</v>
      </c>
      <c r="V80" s="422">
        <f ca="1"/>
        <v>4.24245991831654E-2</v>
      </c>
      <c r="W80" s="423">
        <f ca="1"/>
        <v>1.07572740345544E-2</v>
      </c>
      <c r="X80" s="424">
        <f ca="1"/>
        <v>4.2424599183165403</v>
      </c>
      <c r="Y80" s="425">
        <f t="shared" ref="Y80:Y143" ca="1" si="5">IF($U$12,IF(T80="","",$U$13*D104/$C$18),"")</f>
        <v>0.11841785389064301</v>
      </c>
      <c r="Z80" s="426">
        <f t="shared" ref="Z80:Z143" ca="1" si="6">IF($U$12,IF(Y80="","",Y80*($Z$10-W80)*X80),"")</f>
        <v>-5.4042715877916691E-3</v>
      </c>
      <c r="AA80" s="425">
        <f t="shared" ref="AA80:AA143" ca="1" si="7">IF($U$12,IF(OR(T80="",L80=""),"",L80/($C$20-$C$19)),"")</f>
        <v>0.18770552967658569</v>
      </c>
      <c r="AB80" s="427">
        <f t="shared" ref="AB80:AB143" ca="1" si="8">IF($U$12,IF(W80="","",W80*$AC$10),"")</f>
        <v>1.0219410332826679E-2</v>
      </c>
      <c r="AC80" s="426">
        <f t="shared" ref="AC80:AC143" ca="1" si="9">IF($U$12,IF(AA80="","",AA80*(AB80-W80)*X80),"")</f>
        <v>-4.2831871528399432E-4</v>
      </c>
      <c r="AD80" s="79"/>
    </row>
    <row r="81" spans="1:30" customFormat="1" ht="14.4">
      <c r="A81" s="231"/>
      <c r="B81" s="271">
        <v>43</v>
      </c>
      <c r="C81" s="260" t="s">
        <v>131</v>
      </c>
      <c r="D81" s="261">
        <v>1</v>
      </c>
      <c r="E81" s="252"/>
      <c r="F81" s="237">
        <v>0.4</v>
      </c>
      <c r="G81" s="435">
        <v>100</v>
      </c>
      <c r="H81" s="381">
        <v>67</v>
      </c>
      <c r="I81" s="503">
        <f ca="1"/>
        <v>1.7041097513665899E-4</v>
      </c>
      <c r="J81" s="503">
        <f ca="1"/>
        <v>4.5004548614042402E-4</v>
      </c>
      <c r="K81" s="503">
        <f ca="1"/>
        <v>0.37865278151792597</v>
      </c>
      <c r="L81" s="503">
        <f ca="1"/>
        <v>0.37865278151792597</v>
      </c>
      <c r="M81" s="503">
        <f ca="1"/>
        <v>-2.1574926618241901E-4</v>
      </c>
      <c r="N81" s="452" t="str">
        <f ca="1"/>
        <v>KPN_MMR.EUR.SU</v>
      </c>
      <c r="O81" s="405"/>
      <c r="P81" s="405"/>
      <c r="Q81" s="405"/>
      <c r="R81" s="452"/>
      <c r="S81" s="443"/>
      <c r="T81" s="421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2">
        <f ca="1"/>
        <v>1.8056090612447701E-2</v>
      </c>
      <c r="V81" s="422">
        <f ca="1"/>
        <v>4.3148408385801001E-2</v>
      </c>
      <c r="W81" s="423">
        <f ca="1"/>
        <v>4.1846481221285304E-3</v>
      </c>
      <c r="X81" s="424">
        <f ca="1"/>
        <v>4.3148408385800998</v>
      </c>
      <c r="Y81" s="425">
        <f t="shared" ca="1" si="5"/>
        <v>0.11841785389064301</v>
      </c>
      <c r="Z81" s="426">
        <f t="shared" ca="1" si="6"/>
        <v>-2.1381634999810433E-3</v>
      </c>
      <c r="AA81" s="425">
        <f t="shared" ca="1" si="7"/>
        <v>0.12621759383930867</v>
      </c>
      <c r="AB81" s="427">
        <f t="shared" ca="1" si="8"/>
        <v>3.975415716022104E-3</v>
      </c>
      <c r="AC81" s="426">
        <f t="shared" ca="1" si="9"/>
        <v>-1.1394981556238391E-4</v>
      </c>
      <c r="AD81" s="79"/>
    </row>
    <row r="82" spans="1:30" customFormat="1" ht="14.4">
      <c r="A82" s="231"/>
      <c r="B82" s="271">
        <v>44</v>
      </c>
      <c r="C82" s="260" t="s">
        <v>132</v>
      </c>
      <c r="D82" s="261">
        <v>1</v>
      </c>
      <c r="E82" s="252"/>
      <c r="F82" s="237">
        <v>0.4</v>
      </c>
      <c r="G82" s="435">
        <v>100</v>
      </c>
      <c r="H82" s="381">
        <v>68</v>
      </c>
      <c r="I82" s="503">
        <f ca="1"/>
        <v>1.8742544266727701E-4</v>
      </c>
      <c r="J82" s="503">
        <f ca="1"/>
        <v>4.45959056123144E-4</v>
      </c>
      <c r="K82" s="503">
        <f ca="1"/>
        <v>0.42027500079631203</v>
      </c>
      <c r="L82" s="503">
        <f ca="1"/>
        <v>0.42027500079631203</v>
      </c>
      <c r="M82" s="503">
        <f ca="1"/>
        <v>-2.7249531203932302E-4</v>
      </c>
      <c r="N82" s="452" t="str">
        <f ca="1"/>
        <v>LAFARGE_MMR.EUR.SU</v>
      </c>
      <c r="O82" s="405"/>
      <c r="P82" s="405"/>
      <c r="Q82" s="405"/>
      <c r="R82" s="452"/>
      <c r="S82" s="443"/>
      <c r="T82" s="421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2">
        <f ca="1"/>
        <v>2.2960039290071201E-2</v>
      </c>
      <c r="V82" s="422">
        <f ca="1"/>
        <v>4.3044434593736199E-2</v>
      </c>
      <c r="W82" s="423">
        <f ca="1"/>
        <v>5.3340320314980601E-3</v>
      </c>
      <c r="X82" s="424">
        <f ca="1"/>
        <v>4.3044434593736201</v>
      </c>
      <c r="Y82" s="425">
        <f t="shared" ca="1" si="5"/>
        <v>0.11841785389064301</v>
      </c>
      <c r="Z82" s="426">
        <f t="shared" ca="1" si="6"/>
        <v>-2.7188785779750754E-3</v>
      </c>
      <c r="AA82" s="425">
        <f t="shared" ca="1" si="7"/>
        <v>0.14009166693210401</v>
      </c>
      <c r="AB82" s="427">
        <f t="shared" ca="1" si="8"/>
        <v>5.0673304299231571E-3</v>
      </c>
      <c r="AC82" s="426">
        <f t="shared" ca="1" si="9"/>
        <v>-1.6082550884863388E-4</v>
      </c>
      <c r="AD82" s="79"/>
    </row>
    <row r="83" spans="1:30" customFormat="1" ht="14.4">
      <c r="A83" s="231"/>
      <c r="B83" s="271">
        <v>45</v>
      </c>
      <c r="C83" s="260" t="s">
        <v>133</v>
      </c>
      <c r="D83" s="261">
        <v>1</v>
      </c>
      <c r="E83" s="252"/>
      <c r="F83" s="237">
        <v>0.4</v>
      </c>
      <c r="G83" s="435">
        <v>100</v>
      </c>
      <c r="H83" s="381">
        <v>69</v>
      </c>
      <c r="I83" s="503">
        <f ca="1"/>
        <v>1.4335879582916299E-4</v>
      </c>
      <c r="J83" s="503">
        <f ca="1"/>
        <v>4.5485394237621397E-4</v>
      </c>
      <c r="K83" s="503">
        <f ca="1"/>
        <v>0.315175449684439</v>
      </c>
      <c r="L83" s="503">
        <f ca="1"/>
        <v>0.315175449684439</v>
      </c>
      <c r="M83" s="503">
        <f ca="1"/>
        <v>-1.4224068995134499E-4</v>
      </c>
      <c r="N83" s="452" t="str">
        <f ca="1"/>
        <v>LINDE_MMR.EUR.SU</v>
      </c>
      <c r="O83" s="405"/>
      <c r="P83" s="405"/>
      <c r="Q83" s="405"/>
      <c r="R83" s="452"/>
      <c r="S83" s="443"/>
      <c r="T83" s="421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2">
        <f ca="1"/>
        <v>1.22420122106753E-2</v>
      </c>
      <c r="V83" s="422">
        <f ca="1"/>
        <v>4.3328496017331297E-2</v>
      </c>
      <c r="W83" s="423">
        <f ca="1"/>
        <v>2.8253951408279999E-3</v>
      </c>
      <c r="X83" s="424">
        <f ca="1"/>
        <v>4.3328496017331304</v>
      </c>
      <c r="Y83" s="425">
        <f t="shared" ca="1" si="5"/>
        <v>0.11841785389064301</v>
      </c>
      <c r="Z83" s="426">
        <f t="shared" ca="1" si="6"/>
        <v>-1.4496728132912179E-3</v>
      </c>
      <c r="AA83" s="425">
        <f t="shared" ca="1" si="7"/>
        <v>0.10505848322814633</v>
      </c>
      <c r="AB83" s="427">
        <f t="shared" ca="1" si="8"/>
        <v>2.6841253837866E-3</v>
      </c>
      <c r="AC83" s="426">
        <f t="shared" ca="1" si="9"/>
        <v>-6.4306361725699758E-5</v>
      </c>
      <c r="AD83" s="79"/>
    </row>
    <row r="84" spans="1:30" customFormat="1" ht="14.4">
      <c r="A84" s="231"/>
      <c r="B84" s="271">
        <v>46</v>
      </c>
      <c r="C84" s="260" t="s">
        <v>134</v>
      </c>
      <c r="D84" s="261">
        <v>1</v>
      </c>
      <c r="E84" s="252"/>
      <c r="F84" s="237">
        <v>0.4</v>
      </c>
      <c r="G84" s="435">
        <v>100</v>
      </c>
      <c r="H84" s="381">
        <v>70</v>
      </c>
      <c r="I84" s="503">
        <f ca="1"/>
        <v>1.7505066706613499E-4</v>
      </c>
      <c r="J84" s="503">
        <f ca="1"/>
        <v>4.4891307984471201E-4</v>
      </c>
      <c r="K84" s="503">
        <f ca="1"/>
        <v>0.38994334298900002</v>
      </c>
      <c r="L84" s="503">
        <f ca="1"/>
        <v>0.38994334298900002</v>
      </c>
      <c r="M84" s="503">
        <f ca="1"/>
        <v>-2.3107264856669899E-4</v>
      </c>
      <c r="N84" s="452" t="str">
        <f ca="1"/>
        <v>LUFTHANSA_MMR.EUR.SU</v>
      </c>
      <c r="O84" s="405"/>
      <c r="P84" s="405"/>
      <c r="Q84" s="405"/>
      <c r="R84" s="452"/>
      <c r="S84" s="443"/>
      <c r="T84" s="421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2">
        <f ca="1"/>
        <v>1.9401584479906801E-2</v>
      </c>
      <c r="V84" s="422">
        <f ca="1"/>
        <v>4.3132730842392497E-2</v>
      </c>
      <c r="W84" s="423">
        <f ca="1"/>
        <v>4.4981117821638597E-3</v>
      </c>
      <c r="X84" s="424">
        <f ca="1"/>
        <v>4.3132730842392499</v>
      </c>
      <c r="Y84" s="425">
        <f t="shared" ca="1" si="5"/>
        <v>0.11841785389064301</v>
      </c>
      <c r="Z84" s="426">
        <f t="shared" ca="1" si="6"/>
        <v>-2.2974939961885729E-3</v>
      </c>
      <c r="AA84" s="425">
        <f t="shared" ca="1" si="7"/>
        <v>0.12998111432966666</v>
      </c>
      <c r="AB84" s="427">
        <f t="shared" ca="1" si="8"/>
        <v>4.2732061930556668E-3</v>
      </c>
      <c r="AC84" s="426">
        <f t="shared" ca="1" si="9"/>
        <v>-1.2609197852297266E-4</v>
      </c>
      <c r="AD84" s="79"/>
    </row>
    <row r="85" spans="1:30" customFormat="1" ht="14.4">
      <c r="A85" s="231"/>
      <c r="B85" s="271">
        <v>47</v>
      </c>
      <c r="C85" s="260" t="s">
        <v>135</v>
      </c>
      <c r="D85" s="261">
        <v>1</v>
      </c>
      <c r="E85" s="252"/>
      <c r="F85" s="237">
        <v>0.4</v>
      </c>
      <c r="G85" s="435">
        <v>100</v>
      </c>
      <c r="H85" s="381">
        <v>71</v>
      </c>
      <c r="I85" s="503">
        <f ca="1"/>
        <v>1.4615896141092501E-4</v>
      </c>
      <c r="J85" s="503">
        <f ca="1"/>
        <v>4.5449461129097899E-4</v>
      </c>
      <c r="K85" s="503">
        <f ca="1"/>
        <v>0.32158568612235999</v>
      </c>
      <c r="L85" s="503">
        <f ca="1"/>
        <v>0.32158568612235999</v>
      </c>
      <c r="M85" s="503">
        <f ca="1"/>
        <v>-1.48313008669932E-4</v>
      </c>
      <c r="N85" s="452" t="str">
        <f ca="1"/>
        <v>LVMH_MMR.EUR.SU</v>
      </c>
      <c r="O85" s="405"/>
      <c r="P85" s="405"/>
      <c r="Q85" s="405"/>
      <c r="R85" s="452"/>
      <c r="S85" s="443"/>
      <c r="T85" s="421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2">
        <f ca="1"/>
        <v>1.2689875081875201E-2</v>
      </c>
      <c r="V85" s="422">
        <f ca="1"/>
        <v>4.3309979990809197E-2</v>
      </c>
      <c r="W85" s="423">
        <f ca="1"/>
        <v>2.9300117627780301E-3</v>
      </c>
      <c r="X85" s="424">
        <f ca="1"/>
        <v>4.3309979990809202</v>
      </c>
      <c r="Y85" s="425">
        <f t="shared" ca="1" si="5"/>
        <v>0.11841785389064301</v>
      </c>
      <c r="Z85" s="426">
        <f t="shared" ca="1" si="6"/>
        <v>-1.5027077733360099E-3</v>
      </c>
      <c r="AA85" s="425">
        <f t="shared" ca="1" si="7"/>
        <v>0.10719522870745334</v>
      </c>
      <c r="AB85" s="427">
        <f t="shared" ca="1" si="8"/>
        <v>2.7835111746391285E-3</v>
      </c>
      <c r="AC85" s="426">
        <f t="shared" ca="1" si="9"/>
        <v>-6.8014703083531366E-5</v>
      </c>
      <c r="AD85" s="79"/>
    </row>
    <row r="86" spans="1:30" customFormat="1" ht="14.4">
      <c r="A86" s="231"/>
      <c r="B86" s="271">
        <v>48</v>
      </c>
      <c r="C86" s="260" t="s">
        <v>136</v>
      </c>
      <c r="D86" s="261">
        <v>1</v>
      </c>
      <c r="E86" s="252"/>
      <c r="F86" s="237">
        <v>0.4</v>
      </c>
      <c r="G86" s="435">
        <v>100</v>
      </c>
      <c r="H86" s="381">
        <v>72</v>
      </c>
      <c r="I86" s="503">
        <f ca="1"/>
        <v>1.70010921573893E-4</v>
      </c>
      <c r="J86" s="503">
        <f ca="1"/>
        <v>4.50031113569573E-4</v>
      </c>
      <c r="K86" s="503">
        <f ca="1"/>
        <v>0.377775928036162</v>
      </c>
      <c r="L86" s="503">
        <f ca="1"/>
        <v>0.377775928036162</v>
      </c>
      <c r="M86" s="503">
        <f ca="1"/>
        <v>-2.14902201652234E-4</v>
      </c>
      <c r="N86" s="452" t="str">
        <f ca="1"/>
        <v>MARKSANDSPENCERPLC_MMR.EUR.SU</v>
      </c>
      <c r="O86" s="405"/>
      <c r="P86" s="405"/>
      <c r="Q86" s="405"/>
      <c r="R86" s="452"/>
      <c r="S86" s="443"/>
      <c r="T86" s="421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2">
        <f ca="1"/>
        <v>1.8065715120709001E-2</v>
      </c>
      <c r="V86" s="422">
        <f ca="1"/>
        <v>4.3171784594666397E-2</v>
      </c>
      <c r="W86" s="423">
        <f ca="1"/>
        <v>4.1846116138874899E-3</v>
      </c>
      <c r="X86" s="424">
        <f ca="1"/>
        <v>4.31717845946664</v>
      </c>
      <c r="Y86" s="425">
        <f t="shared" ca="1" si="5"/>
        <v>0.11841785389064301</v>
      </c>
      <c r="Z86" s="426">
        <f t="shared" ca="1" si="6"/>
        <v>-2.139303213594099E-3</v>
      </c>
      <c r="AA86" s="425">
        <f t="shared" ca="1" si="7"/>
        <v>0.12592530934538734</v>
      </c>
      <c r="AB86" s="427">
        <f t="shared" ca="1" si="8"/>
        <v>3.975381033193115E-3</v>
      </c>
      <c r="AC86" s="426">
        <f t="shared" ca="1" si="9"/>
        <v>-1.1374653825604635E-4</v>
      </c>
      <c r="AD86" s="79"/>
    </row>
    <row r="87" spans="1:30" customFormat="1" ht="14.4">
      <c r="A87" s="231"/>
      <c r="B87" s="271">
        <v>49</v>
      </c>
      <c r="C87" s="260" t="s">
        <v>137</v>
      </c>
      <c r="D87" s="261">
        <v>1</v>
      </c>
      <c r="E87" s="252"/>
      <c r="F87" s="237">
        <v>0.4</v>
      </c>
      <c r="G87" s="435">
        <v>100</v>
      </c>
      <c r="H87" s="381">
        <v>73</v>
      </c>
      <c r="I87" s="503">
        <f ca="1"/>
        <v>1.52977432067436E-4</v>
      </c>
      <c r="J87" s="503">
        <f ca="1"/>
        <v>4.5338102996244202E-4</v>
      </c>
      <c r="K87" s="503">
        <f ca="1"/>
        <v>0.337414717329723</v>
      </c>
      <c r="L87" s="503">
        <f ca="1"/>
        <v>0.337414717329723</v>
      </c>
      <c r="M87" s="503">
        <f ca="1"/>
        <v>-1.6585925690542E-4</v>
      </c>
      <c r="N87" s="452" t="str">
        <f ca="1"/>
        <v>METRO_MMR.EUR.SU</v>
      </c>
      <c r="O87" s="405"/>
      <c r="P87" s="405"/>
      <c r="Q87" s="405"/>
      <c r="R87" s="452"/>
      <c r="S87" s="443"/>
      <c r="T87" s="421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2">
        <f ca="1"/>
        <v>1.40326328117017E-2</v>
      </c>
      <c r="V87" s="422">
        <f ca="1"/>
        <v>4.32607354423424E-2</v>
      </c>
      <c r="W87" s="423">
        <f ca="1"/>
        <v>3.2437342241683101E-3</v>
      </c>
      <c r="X87" s="424">
        <f ca="1"/>
        <v>4.32607354423424</v>
      </c>
      <c r="Y87" s="425">
        <f t="shared" ca="1" si="5"/>
        <v>0.11841785389064301</v>
      </c>
      <c r="Z87" s="426">
        <f t="shared" ca="1" si="6"/>
        <v>-1.6617142619971355E-3</v>
      </c>
      <c r="AA87" s="425">
        <f t="shared" ca="1" si="7"/>
        <v>0.11247157244324101</v>
      </c>
      <c r="AB87" s="427">
        <f t="shared" ca="1" si="8"/>
        <v>3.0815475129598946E-3</v>
      </c>
      <c r="AC87" s="426">
        <f t="shared" ca="1" si="9"/>
        <v>-7.8913613892535406E-5</v>
      </c>
      <c r="AD87" s="79"/>
    </row>
    <row r="88" spans="1:30" customFormat="1" ht="14.4">
      <c r="A88" s="231"/>
      <c r="B88" s="271">
        <v>50</v>
      </c>
      <c r="C88" s="260" t="s">
        <v>138</v>
      </c>
      <c r="D88" s="261">
        <v>1</v>
      </c>
      <c r="E88" s="252"/>
      <c r="F88" s="237">
        <v>0.4</v>
      </c>
      <c r="G88" s="435">
        <v>100</v>
      </c>
      <c r="H88" s="381">
        <v>74</v>
      </c>
      <c r="I88" s="503">
        <f ca="1"/>
        <v>1.69995635526044E-4</v>
      </c>
      <c r="J88" s="503">
        <f ca="1"/>
        <v>4.50030789510718E-4</v>
      </c>
      <c r="K88" s="503">
        <f ca="1"/>
        <v>0.37774223339444502</v>
      </c>
      <c r="L88" s="503">
        <f ca="1"/>
        <v>0.37774223339444502</v>
      </c>
      <c r="M88" s="503">
        <f ca="1"/>
        <v>-2.1485650207480001E-4</v>
      </c>
      <c r="N88" s="452" t="str">
        <f ca="1"/>
        <v>MICHELIN_MMR.EUR.SU</v>
      </c>
      <c r="O88" s="405"/>
      <c r="P88" s="405"/>
      <c r="Q88" s="405"/>
      <c r="R88" s="452"/>
      <c r="S88" s="443"/>
      <c r="T88" s="421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2">
        <f ca="1"/>
        <v>1.8065957063548001E-2</v>
      </c>
      <c r="V88" s="422">
        <f ca="1"/>
        <v>4.3172397044376698E-2</v>
      </c>
      <c r="W88" s="423">
        <f ca="1"/>
        <v>4.1846082914919203E-3</v>
      </c>
      <c r="X88" s="424">
        <f ca="1"/>
        <v>4.3172397044376698</v>
      </c>
      <c r="Y88" s="425">
        <f t="shared" ca="1" si="5"/>
        <v>0.11841785389064301</v>
      </c>
      <c r="Z88" s="426">
        <f t="shared" ca="1" si="6"/>
        <v>-2.1393318639458571E-3</v>
      </c>
      <c r="AA88" s="425">
        <f t="shared" ca="1" si="7"/>
        <v>0.12591407779814834</v>
      </c>
      <c r="AB88" s="427">
        <f t="shared" ca="1" si="8"/>
        <v>3.9753778769173239E-3</v>
      </c>
      <c r="AC88" s="426">
        <f t="shared" ca="1" si="9"/>
        <v>-1.137379161598797E-4</v>
      </c>
      <c r="AD88" s="79"/>
    </row>
    <row r="89" spans="1:30" customFormat="1" ht="14.4">
      <c r="A89" s="231"/>
      <c r="B89" s="271">
        <v>51</v>
      </c>
      <c r="C89" s="260" t="s">
        <v>139</v>
      </c>
      <c r="D89" s="261">
        <v>1</v>
      </c>
      <c r="E89" s="252"/>
      <c r="F89" s="237">
        <v>0.4</v>
      </c>
      <c r="G89" s="435">
        <v>100</v>
      </c>
      <c r="H89" s="381">
        <v>75</v>
      </c>
      <c r="I89" s="503">
        <f ca="1"/>
        <v>1.66408840893984E-4</v>
      </c>
      <c r="J89" s="503">
        <f ca="1"/>
        <v>4.5123993841415599E-4</v>
      </c>
      <c r="K89" s="503">
        <f ca="1"/>
        <v>0.36878127738163802</v>
      </c>
      <c r="L89" s="503">
        <f ca="1"/>
        <v>0.36878127738163802</v>
      </c>
      <c r="M89" s="503">
        <f ca="1"/>
        <v>-2.0167821347376601E-4</v>
      </c>
      <c r="N89" s="452" t="str">
        <f ca="1"/>
        <v>MONTEDEIPASCHI_MMR.EUR.SU</v>
      </c>
      <c r="O89" s="405"/>
      <c r="P89" s="405"/>
      <c r="Q89" s="405"/>
      <c r="R89" s="452"/>
      <c r="S89" s="443"/>
      <c r="T89" s="421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2">
        <f ca="1"/>
        <v>1.6690088517574302E-2</v>
      </c>
      <c r="V89" s="422">
        <f ca="1"/>
        <v>4.3112437840633802E-2</v>
      </c>
      <c r="W89" s="423">
        <f ca="1"/>
        <v>3.8712931472976802E-3</v>
      </c>
      <c r="X89" s="424">
        <f ca="1"/>
        <v>4.3112437840633797</v>
      </c>
      <c r="Y89" s="425">
        <f t="shared" ca="1" si="5"/>
        <v>0.11841785389064301</v>
      </c>
      <c r="Z89" s="426">
        <f t="shared" ca="1" si="6"/>
        <v>-1.97640446349601E-3</v>
      </c>
      <c r="AA89" s="425">
        <f t="shared" ca="1" si="7"/>
        <v>0.12292709246054601</v>
      </c>
      <c r="AB89" s="427">
        <f t="shared" ca="1" si="8"/>
        <v>3.6777284899327961E-3</v>
      </c>
      <c r="AC89" s="426">
        <f t="shared" ca="1" si="9"/>
        <v>-1.025832027187276E-4</v>
      </c>
      <c r="AD89" s="79"/>
    </row>
    <row r="90" spans="1:30" customFormat="1" ht="14.4">
      <c r="A90" s="231"/>
      <c r="B90" s="271">
        <v>52</v>
      </c>
      <c r="C90" s="260" t="s">
        <v>140</v>
      </c>
      <c r="D90" s="261">
        <v>1</v>
      </c>
      <c r="E90" s="252"/>
      <c r="F90" s="237">
        <v>0.4</v>
      </c>
      <c r="G90" s="435">
        <v>100</v>
      </c>
      <c r="H90" s="381">
        <v>76</v>
      </c>
      <c r="I90" s="503">
        <f ca="1"/>
        <v>1.50063542140754E-4</v>
      </c>
      <c r="J90" s="503">
        <f ca="1"/>
        <v>4.5418142988508598E-4</v>
      </c>
      <c r="K90" s="503">
        <f ca="1"/>
        <v>0.330404398477327</v>
      </c>
      <c r="L90" s="503">
        <f ca="1"/>
        <v>0.330404398477327</v>
      </c>
      <c r="M90" s="503">
        <f ca="1"/>
        <v>-1.5643668534961401E-4</v>
      </c>
      <c r="N90" s="452" t="str">
        <f ca="1"/>
        <v>MUNICHRE_MMR.EUR.SU</v>
      </c>
      <c r="O90" s="405"/>
      <c r="P90" s="405"/>
      <c r="Q90" s="405"/>
      <c r="R90" s="452"/>
      <c r="S90" s="443"/>
      <c r="T90" s="421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2">
        <f ca="1"/>
        <v>1.3120651961912399E-2</v>
      </c>
      <c r="V90" s="422">
        <f ca="1"/>
        <v>4.32349678874333E-2</v>
      </c>
      <c r="W90" s="423">
        <f ca="1"/>
        <v>3.0347315154884299E-3</v>
      </c>
      <c r="X90" s="424">
        <f ca="1"/>
        <v>4.3234967887433298</v>
      </c>
      <c r="Y90" s="425">
        <f t="shared" ca="1" si="5"/>
        <v>0.11841785389064301</v>
      </c>
      <c r="Z90" s="426">
        <f t="shared" ca="1" si="6"/>
        <v>-1.5537194469757217E-3</v>
      </c>
      <c r="AA90" s="425">
        <f t="shared" ca="1" si="7"/>
        <v>0.11013479949244233</v>
      </c>
      <c r="AB90" s="427">
        <f t="shared" ca="1" si="8"/>
        <v>2.8829949397140083E-3</v>
      </c>
      <c r="AC90" s="426">
        <f t="shared" ca="1" si="9"/>
        <v>-7.2252018651767182E-5</v>
      </c>
      <c r="AD90" s="79"/>
    </row>
    <row r="91" spans="1:30" customFormat="1" ht="14.4">
      <c r="A91" s="231"/>
      <c r="B91" s="271">
        <v>53</v>
      </c>
      <c r="C91" s="260" t="s">
        <v>141</v>
      </c>
      <c r="D91" s="261">
        <v>1</v>
      </c>
      <c r="E91" s="252"/>
      <c r="F91" s="237">
        <v>0.4</v>
      </c>
      <c r="G91" s="435">
        <v>100</v>
      </c>
      <c r="H91" s="381">
        <v>77</v>
      </c>
      <c r="I91" s="503">
        <f ca="1"/>
        <v>1.5693336987829799E-4</v>
      </c>
      <c r="J91" s="503">
        <f ca="1"/>
        <v>4.5263393998871298E-4</v>
      </c>
      <c r="K91" s="503">
        <f ca="1"/>
        <v>0.34671145049841201</v>
      </c>
      <c r="L91" s="503">
        <f ca="1"/>
        <v>0.34671145049841201</v>
      </c>
      <c r="M91" s="503">
        <f ca="1"/>
        <v>-1.76553637901833E-4</v>
      </c>
      <c r="N91" s="452" t="str">
        <f ca="1"/>
        <v>NATIONALGRIDTRANSCOPLC_MMR.EUR.SU</v>
      </c>
      <c r="O91" s="405"/>
      <c r="P91" s="405"/>
      <c r="Q91" s="405"/>
      <c r="R91" s="452"/>
      <c r="S91" s="443"/>
      <c r="T91" s="421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2">
        <f ca="1"/>
        <v>1.49336453296488E-2</v>
      </c>
      <c r="V91" s="422">
        <f ca="1"/>
        <v>4.3250210165751701E-2</v>
      </c>
      <c r="W91" s="423">
        <f ca="1"/>
        <v>3.4528491936610798E-3</v>
      </c>
      <c r="X91" s="424">
        <f ca="1"/>
        <v>4.3250210165751701</v>
      </c>
      <c r="Y91" s="425">
        <f t="shared" ca="1" si="5"/>
        <v>0.11841785389064301</v>
      </c>
      <c r="Z91" s="426">
        <f t="shared" ca="1" si="6"/>
        <v>-1.7684102307010351E-3</v>
      </c>
      <c r="AA91" s="425">
        <f t="shared" ca="1" si="7"/>
        <v>0.11557048349947067</v>
      </c>
      <c r="AB91" s="427">
        <f t="shared" ca="1" si="8"/>
        <v>3.2802067339780258E-3</v>
      </c>
      <c r="AC91" s="426">
        <f t="shared" ca="1" si="9"/>
        <v>-8.6294430557856184E-5</v>
      </c>
      <c r="AD91" s="79"/>
    </row>
    <row r="92" spans="1:30" customFormat="1" ht="14.4">
      <c r="A92" s="231"/>
      <c r="B92" s="271">
        <v>54</v>
      </c>
      <c r="C92" s="260" t="s">
        <v>142</v>
      </c>
      <c r="D92" s="261">
        <v>1</v>
      </c>
      <c r="E92" s="252"/>
      <c r="F92" s="237">
        <v>0.4</v>
      </c>
      <c r="G92" s="435">
        <v>100</v>
      </c>
      <c r="H92" s="381">
        <v>78</v>
      </c>
      <c r="I92" s="503">
        <f ca="1"/>
        <v>1.9973162352770999E-4</v>
      </c>
      <c r="J92" s="503">
        <f ca="1"/>
        <v>4.4266715158206103E-4</v>
      </c>
      <c r="K92" s="503">
        <f ca="1"/>
        <v>0.45120046250073698</v>
      </c>
      <c r="L92" s="503">
        <f ca="1"/>
        <v>0.45120046250073698</v>
      </c>
      <c r="M92" s="503">
        <f ca="1"/>
        <v>-3.1705987155437101E-4</v>
      </c>
      <c r="N92" s="452" t="str">
        <f ca="1"/>
        <v>NEXTPLC_MMR.EUR.SU</v>
      </c>
      <c r="O92" s="405"/>
      <c r="P92" s="405"/>
      <c r="Q92" s="405"/>
      <c r="R92" s="452"/>
      <c r="S92" s="443"/>
      <c r="T92" s="421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2">
        <f ca="1"/>
        <v>2.6936104605729001E-2</v>
      </c>
      <c r="V92" s="422">
        <f ca="1"/>
        <v>4.2931928956357203E-2</v>
      </c>
      <c r="W92" s="423">
        <f ca="1"/>
        <v>6.2741426394120597E-3</v>
      </c>
      <c r="X92" s="424">
        <f ca="1"/>
        <v>4.2931928956357197</v>
      </c>
      <c r="Y92" s="425">
        <f t="shared" ca="1" si="5"/>
        <v>0.11841785389064301</v>
      </c>
      <c r="Z92" s="426">
        <f t="shared" ca="1" si="6"/>
        <v>-3.1897156995842925E-3</v>
      </c>
      <c r="AA92" s="425">
        <f t="shared" ca="1" si="7"/>
        <v>0.15040015416691233</v>
      </c>
      <c r="AB92" s="427">
        <f t="shared" ca="1" si="8"/>
        <v>5.9604355074414561E-3</v>
      </c>
      <c r="AC92" s="426">
        <f t="shared" ca="1" si="9"/>
        <v>-2.0255971426788632E-4</v>
      </c>
      <c r="AD92" s="79"/>
    </row>
    <row r="93" spans="1:30" customFormat="1" ht="14.4">
      <c r="A93" s="231"/>
      <c r="B93" s="271">
        <v>55</v>
      </c>
      <c r="C93" s="260" t="s">
        <v>143</v>
      </c>
      <c r="D93" s="261">
        <v>1</v>
      </c>
      <c r="E93" s="252"/>
      <c r="F93" s="237">
        <v>0.4</v>
      </c>
      <c r="G93" s="435">
        <v>100</v>
      </c>
      <c r="H93" s="381">
        <v>79</v>
      </c>
      <c r="I93" s="503">
        <f ca="1"/>
        <v>1.58555295287632E-4</v>
      </c>
      <c r="J93" s="503">
        <f ca="1"/>
        <v>4.5224724669240302E-4</v>
      </c>
      <c r="K93" s="503">
        <f ca="1"/>
        <v>0.35059427436486701</v>
      </c>
      <c r="L93" s="503">
        <f ca="1"/>
        <v>0.35059427436486701</v>
      </c>
      <c r="M93" s="503">
        <f ca="1"/>
        <v>-1.81849487373343E-4</v>
      </c>
      <c r="N93" s="452" t="str">
        <f ca="1"/>
        <v>PEARSON_MMR.EUR.SU</v>
      </c>
      <c r="O93" s="405"/>
      <c r="P93" s="405"/>
      <c r="Q93" s="405"/>
      <c r="R93" s="452"/>
      <c r="S93" s="443"/>
      <c r="T93" s="421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2">
        <f ca="1"/>
        <v>1.5383873012096601E-2</v>
      </c>
      <c r="V93" s="422">
        <f ca="1"/>
        <v>4.3245181402986201E-2</v>
      </c>
      <c r="W93" s="423">
        <f ca="1"/>
        <v>3.5573611933176698E-3</v>
      </c>
      <c r="X93" s="424">
        <f ca="1"/>
        <v>4.3245181402986201</v>
      </c>
      <c r="Y93" s="425">
        <f t="shared" ca="1" si="5"/>
        <v>0.11841785389064301</v>
      </c>
      <c r="Z93" s="426">
        <f t="shared" ca="1" si="6"/>
        <v>-1.8217252266186624E-3</v>
      </c>
      <c r="AA93" s="425">
        <f t="shared" ca="1" si="7"/>
        <v>0.11686475812162234</v>
      </c>
      <c r="AB93" s="427">
        <f t="shared" ca="1" si="8"/>
        <v>3.3794931336517862E-3</v>
      </c>
      <c r="AC93" s="426">
        <f t="shared" ca="1" si="9"/>
        <v>-8.9891629926621279E-5</v>
      </c>
      <c r="AD93" s="79"/>
    </row>
    <row r="94" spans="1:30" customFormat="1" ht="14.4">
      <c r="A94" s="231"/>
      <c r="B94" s="271">
        <v>56</v>
      </c>
      <c r="C94" s="260" t="s">
        <v>144</v>
      </c>
      <c r="D94" s="261">
        <v>1</v>
      </c>
      <c r="E94" s="252"/>
      <c r="F94" s="237">
        <v>0.4</v>
      </c>
      <c r="G94" s="435">
        <v>100</v>
      </c>
      <c r="H94" s="381">
        <v>80</v>
      </c>
      <c r="I94" s="503">
        <f ca="1"/>
        <v>1.64473842239609E-4</v>
      </c>
      <c r="J94" s="503">
        <f ca="1"/>
        <v>4.51140636441152E-4</v>
      </c>
      <c r="K94" s="503">
        <f ca="1"/>
        <v>0.36457332581934998</v>
      </c>
      <c r="L94" s="503">
        <f ca="1"/>
        <v>0.36457332581934998</v>
      </c>
      <c r="M94" s="503">
        <f ca="1"/>
        <v>-1.98346858465825E-4</v>
      </c>
      <c r="N94" s="452" t="str">
        <f ca="1"/>
        <v>PEUGEOT_MMR.EUR.SU</v>
      </c>
      <c r="O94" s="405"/>
      <c r="P94" s="405"/>
      <c r="Q94" s="405"/>
      <c r="R94" s="452"/>
      <c r="S94" s="443"/>
      <c r="T94" s="421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2">
        <f ca="1"/>
        <v>1.67270894595321E-2</v>
      </c>
      <c r="V94" s="422">
        <f ca="1"/>
        <v>4.3211223406724897E-2</v>
      </c>
      <c r="W94" s="423">
        <f ca="1"/>
        <v>3.8710057574831099E-3</v>
      </c>
      <c r="X94" s="424">
        <f ca="1"/>
        <v>4.3211223406724901</v>
      </c>
      <c r="Y94" s="425">
        <f t="shared" ca="1" si="5"/>
        <v>0.11841785389064301</v>
      </c>
      <c r="Z94" s="426">
        <f t="shared" ca="1" si="6"/>
        <v>-1.9807860356345873E-3</v>
      </c>
      <c r="AA94" s="425">
        <f t="shared" ca="1" si="7"/>
        <v>0.12152444193978333</v>
      </c>
      <c r="AB94" s="427">
        <f t="shared" ca="1" si="8"/>
        <v>3.6774554696089542E-3</v>
      </c>
      <c r="AC94" s="426">
        <f t="shared" ca="1" si="9"/>
        <v>-1.0163751059232365E-4</v>
      </c>
      <c r="AD94" s="79"/>
    </row>
    <row r="95" spans="1:30" customFormat="1" ht="14.4">
      <c r="A95" s="231"/>
      <c r="B95" s="271">
        <v>57</v>
      </c>
      <c r="C95" s="260" t="s">
        <v>145</v>
      </c>
      <c r="D95" s="261">
        <v>1</v>
      </c>
      <c r="E95" s="252"/>
      <c r="F95" s="237">
        <v>0.4</v>
      </c>
      <c r="G95" s="435">
        <v>100</v>
      </c>
      <c r="H95" s="381">
        <v>81</v>
      </c>
      <c r="I95" s="503">
        <f ca="1"/>
        <v>1.4368160546922599E-4</v>
      </c>
      <c r="J95" s="503">
        <f ca="1"/>
        <v>4.5486360478197999E-4</v>
      </c>
      <c r="K95" s="503">
        <f ca="1"/>
        <v>0.31587843907206797</v>
      </c>
      <c r="L95" s="503">
        <f ca="1"/>
        <v>0.31587843907206797</v>
      </c>
      <c r="M95" s="503">
        <f ca="1"/>
        <v>-1.4237912690702199E-4</v>
      </c>
      <c r="N95" s="452" t="str">
        <f ca="1"/>
        <v>PHILIPSELEC_MMR.EUR.SU</v>
      </c>
      <c r="O95" s="405"/>
      <c r="P95" s="405"/>
      <c r="Q95" s="405"/>
      <c r="R95" s="452"/>
      <c r="S95" s="443"/>
      <c r="T95" s="421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2">
        <f ca="1"/>
        <v>1.22416207050332E-2</v>
      </c>
      <c r="V95" s="422">
        <f ca="1"/>
        <v>4.33267079249832E-2</v>
      </c>
      <c r="W95" s="423">
        <f ca="1"/>
        <v>2.8254213835559802E-3</v>
      </c>
      <c r="X95" s="424">
        <f ca="1"/>
        <v>4.3326707924983197</v>
      </c>
      <c r="Y95" s="425">
        <f t="shared" ca="1" si="5"/>
        <v>0.11841785389064301</v>
      </c>
      <c r="Z95" s="426">
        <f t="shared" ca="1" si="6"/>
        <v>-1.4496264520332902E-3</v>
      </c>
      <c r="AA95" s="425">
        <f t="shared" ca="1" si="7"/>
        <v>0.10529281302402266</v>
      </c>
      <c r="AB95" s="427">
        <f t="shared" ca="1" si="8"/>
        <v>2.6841503143781812E-3</v>
      </c>
      <c r="AC95" s="426">
        <f t="shared" ca="1" si="9"/>
        <v>-6.4447734000303193E-5</v>
      </c>
      <c r="AD95" s="79"/>
    </row>
    <row r="96" spans="1:30" customFormat="1" ht="14.4">
      <c r="A96" s="231"/>
      <c r="B96" s="271">
        <v>58</v>
      </c>
      <c r="C96" s="260" t="s">
        <v>146</v>
      </c>
      <c r="D96" s="261">
        <v>1</v>
      </c>
      <c r="E96" s="252"/>
      <c r="F96" s="237">
        <v>0.4</v>
      </c>
      <c r="G96" s="435">
        <v>100</v>
      </c>
      <c r="H96" s="381">
        <v>82</v>
      </c>
      <c r="I96" s="503">
        <f ca="1"/>
        <v>2.0948417114223801E-4</v>
      </c>
      <c r="J96" s="503">
        <f ca="1"/>
        <v>4.3976702081689203E-4</v>
      </c>
      <c r="K96" s="503">
        <f ca="1"/>
        <v>0.47635261678583701</v>
      </c>
      <c r="L96" s="503">
        <f ca="1"/>
        <v>0.47635261678583701</v>
      </c>
      <c r="M96" s="503">
        <f ca="1"/>
        <v>-3.5486393399075699E-4</v>
      </c>
      <c r="N96" s="452" t="str">
        <f ca="1"/>
        <v>PINAULTPRINTEMPS_MMR.EUR.SU</v>
      </c>
      <c r="O96" s="405"/>
      <c r="P96" s="405"/>
      <c r="Q96" s="405"/>
      <c r="R96" s="452"/>
      <c r="S96" s="443"/>
      <c r="T96" s="421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2">
        <f ca="1"/>
        <v>3.04436225407443E-2</v>
      </c>
      <c r="V96" s="422">
        <f ca="1"/>
        <v>4.2820567970843798E-2</v>
      </c>
      <c r="W96" s="423">
        <f ca="1"/>
        <v>7.1095793408142401E-3</v>
      </c>
      <c r="X96" s="424">
        <f ca="1"/>
        <v>4.2820567970843797</v>
      </c>
      <c r="Y96" s="425">
        <f t="shared" ca="1" si="5"/>
        <v>0.11841785389064301</v>
      </c>
      <c r="Z96" s="426">
        <f t="shared" ca="1" si="6"/>
        <v>-3.6050684459317446E-3</v>
      </c>
      <c r="AA96" s="425">
        <f t="shared" ca="1" si="7"/>
        <v>0.158784205595279</v>
      </c>
      <c r="AB96" s="427">
        <f t="shared" ca="1" si="8"/>
        <v>6.7541003737735276E-3</v>
      </c>
      <c r="AC96" s="426">
        <f t="shared" ca="1" si="9"/>
        <v>-2.4169832102873099E-4</v>
      </c>
      <c r="AD96" s="79"/>
    </row>
    <row r="97" spans="1:30" customFormat="1" ht="14.4">
      <c r="A97" s="231"/>
      <c r="B97" s="271">
        <v>59</v>
      </c>
      <c r="C97" s="260" t="s">
        <v>147</v>
      </c>
      <c r="D97" s="261">
        <v>1</v>
      </c>
      <c r="E97" s="252"/>
      <c r="F97" s="237">
        <v>0.4</v>
      </c>
      <c r="G97" s="435">
        <v>100</v>
      </c>
      <c r="H97" s="381">
        <v>83</v>
      </c>
      <c r="I97" s="503">
        <f ca="1"/>
        <v>1.8274276510894599E-4</v>
      </c>
      <c r="J97" s="503">
        <f ca="1"/>
        <v>4.4705246318171599E-4</v>
      </c>
      <c r="K97" s="503">
        <f ca="1"/>
        <v>0.40877252707288098</v>
      </c>
      <c r="L97" s="503">
        <f ca="1"/>
        <v>0.40877252707288098</v>
      </c>
      <c r="M97" s="503">
        <f ca="1"/>
        <v>-2.5691092201325302E-4</v>
      </c>
      <c r="N97" s="452" t="str">
        <f ca="1"/>
        <v>PORTUGALTELECOM_MMR.EUR.SU</v>
      </c>
      <c r="O97" s="405"/>
      <c r="P97" s="405"/>
      <c r="Q97" s="405"/>
      <c r="R97" s="452"/>
      <c r="S97" s="443"/>
      <c r="T97" s="421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2">
        <f ca="1"/>
        <v>2.16316425617229E-2</v>
      </c>
      <c r="V97" s="422">
        <f ca="1"/>
        <v>4.30861355905282E-2</v>
      </c>
      <c r="W97" s="423">
        <f ca="1"/>
        <v>5.0205576028680299E-3</v>
      </c>
      <c r="X97" s="424">
        <f ca="1"/>
        <v>4.3086135590528203</v>
      </c>
      <c r="Y97" s="425">
        <f t="shared" ca="1" si="5"/>
        <v>0.11841785389064301</v>
      </c>
      <c r="Z97" s="426">
        <f t="shared" ca="1" si="6"/>
        <v>-2.5615726882887192E-3</v>
      </c>
      <c r="AA97" s="425">
        <f t="shared" ca="1" si="7"/>
        <v>0.13625750902429365</v>
      </c>
      <c r="AB97" s="427">
        <f t="shared" ca="1" si="8"/>
        <v>4.7695297227246282E-3</v>
      </c>
      <c r="AC97" s="426">
        <f t="shared" ca="1" si="9"/>
        <v>-1.4737368657821289E-4</v>
      </c>
      <c r="AD97" s="79"/>
    </row>
    <row r="98" spans="1:30" customFormat="1" ht="14.4">
      <c r="A98" s="231"/>
      <c r="B98" s="271">
        <v>60</v>
      </c>
      <c r="C98" s="260" t="s">
        <v>148</v>
      </c>
      <c r="D98" s="261">
        <v>1</v>
      </c>
      <c r="E98" s="252"/>
      <c r="F98" s="237">
        <v>0.4</v>
      </c>
      <c r="G98" s="435">
        <v>100</v>
      </c>
      <c r="H98" s="381">
        <v>84</v>
      </c>
      <c r="I98" s="503">
        <f ca="1"/>
        <v>1.5034384838164E-4</v>
      </c>
      <c r="J98" s="503">
        <f ca="1"/>
        <v>4.5374103370755901E-4</v>
      </c>
      <c r="K98" s="503">
        <f ca="1"/>
        <v>0.33134285244860201</v>
      </c>
      <c r="L98" s="503">
        <f ca="1"/>
        <v>0.33134285244860201</v>
      </c>
      <c r="M98" s="503">
        <f ca="1"/>
        <v>-1.59426145554176E-4</v>
      </c>
      <c r="N98" s="452" t="str">
        <f ca="1"/>
        <v>REEDELSEVIER_MMR.EUR.SU</v>
      </c>
      <c r="O98" s="405"/>
      <c r="P98" s="405"/>
      <c r="Q98" s="405"/>
      <c r="R98" s="452"/>
      <c r="S98" s="443"/>
      <c r="T98" s="421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2">
        <f ca="1"/>
        <v>1.3589897252989799E-2</v>
      </c>
      <c r="V98" s="422">
        <f ca="1"/>
        <v>4.3291761276623701E-2</v>
      </c>
      <c r="W98" s="423">
        <f ca="1"/>
        <v>3.1391416870645899E-3</v>
      </c>
      <c r="X98" s="424">
        <f ca="1"/>
        <v>4.3291761276623699</v>
      </c>
      <c r="Y98" s="425">
        <f t="shared" ca="1" si="5"/>
        <v>0.11841785389064301</v>
      </c>
      <c r="Z98" s="426">
        <f t="shared" ca="1" si="6"/>
        <v>-1.6092864672933968E-3</v>
      </c>
      <c r="AA98" s="425">
        <f t="shared" ca="1" si="7"/>
        <v>0.11044761748286734</v>
      </c>
      <c r="AB98" s="427">
        <f t="shared" ca="1" si="8"/>
        <v>2.9821846027113601E-3</v>
      </c>
      <c r="AC98" s="426">
        <f t="shared" ca="1" si="9"/>
        <v>-7.50485886714845E-5</v>
      </c>
      <c r="AD98" s="79"/>
    </row>
    <row r="99" spans="1:30" customFormat="1" ht="14.4">
      <c r="A99" s="231"/>
      <c r="B99" s="271">
        <v>61</v>
      </c>
      <c r="C99" s="260" t="s">
        <v>149</v>
      </c>
      <c r="D99" s="261">
        <v>1</v>
      </c>
      <c r="E99" s="252"/>
      <c r="F99" s="237">
        <v>0.4</v>
      </c>
      <c r="G99" s="435">
        <v>100</v>
      </c>
      <c r="H99" s="381">
        <v>85</v>
      </c>
      <c r="I99" s="503">
        <f ca="1"/>
        <v>1.6454030504180499E-4</v>
      </c>
      <c r="J99" s="503">
        <f ca="1"/>
        <v>4.5114223466046101E-4</v>
      </c>
      <c r="K99" s="503">
        <f ca="1"/>
        <v>0.36471935545037498</v>
      </c>
      <c r="L99" s="503">
        <f ca="1"/>
        <v>0.36471935545037498</v>
      </c>
      <c r="M99" s="503">
        <f ca="1"/>
        <v>-1.9849625020240601E-4</v>
      </c>
      <c r="N99" s="452" t="str">
        <f ca="1"/>
        <v>RENAULT_MMR.EUR.SU</v>
      </c>
      <c r="O99" s="405"/>
      <c r="P99" s="405"/>
      <c r="Q99" s="405"/>
      <c r="R99" s="452"/>
      <c r="S99" s="443"/>
      <c r="T99" s="421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2">
        <f ca="1"/>
        <v>1.6726050479383501E-2</v>
      </c>
      <c r="V99" s="422">
        <f ca="1"/>
        <v>4.3208381621603197E-2</v>
      </c>
      <c r="W99" s="423">
        <f ca="1"/>
        <v>3.8710198928211801E-3</v>
      </c>
      <c r="X99" s="424">
        <f ca="1"/>
        <v>4.32083816216032</v>
      </c>
      <c r="Y99" s="425">
        <f t="shared" ca="1" si="5"/>
        <v>0.11841785389064301</v>
      </c>
      <c r="Z99" s="426">
        <f t="shared" ca="1" si="6"/>
        <v>-1.9806630018351554E-3</v>
      </c>
      <c r="AA99" s="425">
        <f t="shared" ca="1" si="7"/>
        <v>0.12157311848345832</v>
      </c>
      <c r="AB99" s="427">
        <f t="shared" ca="1" si="8"/>
        <v>3.6774688981801211E-3</v>
      </c>
      <c r="AC99" s="426">
        <f t="shared" ca="1" si="9"/>
        <v>-1.0167190583451979E-4</v>
      </c>
      <c r="AD99" s="79"/>
    </row>
    <row r="100" spans="1:30" customFormat="1" ht="14.4">
      <c r="A100" s="231"/>
      <c r="B100" s="271">
        <v>62</v>
      </c>
      <c r="C100" s="260" t="s">
        <v>150</v>
      </c>
      <c r="D100" s="261">
        <v>1</v>
      </c>
      <c r="E100" s="252"/>
      <c r="F100" s="237">
        <v>0.4</v>
      </c>
      <c r="G100" s="435">
        <v>100</v>
      </c>
      <c r="H100" s="381">
        <v>86</v>
      </c>
      <c r="I100" s="503">
        <f ca="1"/>
        <v>1.83787287377291E-4</v>
      </c>
      <c r="J100" s="503">
        <f ca="1"/>
        <v>4.4711353359968398E-4</v>
      </c>
      <c r="K100" s="503">
        <f ca="1"/>
        <v>0.41105283908011198</v>
      </c>
      <c r="L100" s="503">
        <f ca="1"/>
        <v>0.41105283908011198</v>
      </c>
      <c r="M100" s="503">
        <f ca="1"/>
        <v>-2.5866931956979299E-4</v>
      </c>
      <c r="N100" s="452" t="str">
        <f ca="1"/>
        <v>REPSOL_MMR.EUR.SU</v>
      </c>
      <c r="O100" s="405"/>
      <c r="P100" s="405"/>
      <c r="Q100" s="405"/>
      <c r="R100" s="452"/>
      <c r="S100" s="443"/>
      <c r="T100" s="421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2">
        <f ca="1"/>
        <v>2.1605399377482602E-2</v>
      </c>
      <c r="V100" s="422">
        <f ca="1"/>
        <v>4.3032074857324E-2</v>
      </c>
      <c r="W100" s="423">
        <f ca="1"/>
        <v>5.0207663583773003E-3</v>
      </c>
      <c r="X100" s="424">
        <f ca="1"/>
        <v>4.3032074857323996</v>
      </c>
      <c r="Y100" s="425">
        <f t="shared" ca="1" si="5"/>
        <v>0.11841785389064301</v>
      </c>
      <c r="Z100" s="426">
        <f t="shared" ca="1" si="6"/>
        <v>-2.5584650267317238E-3</v>
      </c>
      <c r="AA100" s="425">
        <f t="shared" ca="1" si="7"/>
        <v>0.13701761302670398</v>
      </c>
      <c r="AB100" s="427">
        <f t="shared" ca="1" si="8"/>
        <v>4.7697280404584352E-3</v>
      </c>
      <c r="AC100" s="426">
        <f t="shared" ca="1" si="9"/>
        <v>-1.4801601255956518E-4</v>
      </c>
      <c r="AD100" s="79"/>
    </row>
    <row r="101" spans="1:30" customFormat="1" ht="14.4">
      <c r="A101" s="231"/>
      <c r="B101" s="271">
        <v>63</v>
      </c>
      <c r="C101" s="260" t="s">
        <v>151</v>
      </c>
      <c r="D101" s="261">
        <v>1</v>
      </c>
      <c r="E101" s="252"/>
      <c r="F101" s="237">
        <v>0.4</v>
      </c>
      <c r="G101" s="435">
        <v>100</v>
      </c>
      <c r="H101" s="381">
        <v>87</v>
      </c>
      <c r="I101" s="503">
        <f ca="1"/>
        <v>1.28277332520743E-4</v>
      </c>
      <c r="J101" s="503">
        <f ca="1"/>
        <v>4.5710550640208701E-4</v>
      </c>
      <c r="K101" s="503">
        <f ca="1"/>
        <v>0.28062959365863699</v>
      </c>
      <c r="L101" s="503">
        <f ca="1"/>
        <v>0.28062959365863699</v>
      </c>
      <c r="M101" s="503">
        <f ca="1"/>
        <v>-1.0774546100642601E-4</v>
      </c>
      <c r="N101" s="452" t="str">
        <f ca="1"/>
        <v>REUTERS_MMR.EUR.SU</v>
      </c>
      <c r="O101" s="405"/>
      <c r="P101" s="405"/>
      <c r="Q101" s="405"/>
      <c r="R101" s="452"/>
      <c r="S101" s="443"/>
      <c r="T101" s="421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2">
        <f ca="1"/>
        <v>9.53867002002186E-3</v>
      </c>
      <c r="V101" s="422">
        <f ca="1"/>
        <v>4.3400141371436697E-2</v>
      </c>
      <c r="W101" s="423">
        <f ca="1"/>
        <v>2.1978430757600299E-3</v>
      </c>
      <c r="X101" s="424">
        <f ca="1"/>
        <v>4.3400141371436698</v>
      </c>
      <c r="Y101" s="425">
        <f t="shared" ca="1" si="5"/>
        <v>0.11841785389064301</v>
      </c>
      <c r="Z101" s="426">
        <f t="shared" ca="1" si="6"/>
        <v>-1.1295488327420049E-3</v>
      </c>
      <c r="AA101" s="425">
        <f t="shared" ca="1" si="7"/>
        <v>9.3543197886212334E-2</v>
      </c>
      <c r="AB101" s="427">
        <f t="shared" ca="1" si="8"/>
        <v>2.0879509219720281E-3</v>
      </c>
      <c r="AC101" s="426">
        <f t="shared" ca="1" si="9"/>
        <v>-4.4613884862709372E-5</v>
      </c>
      <c r="AD101" s="79"/>
    </row>
    <row r="102" spans="1:30" customFormat="1" ht="14.4">
      <c r="A102" s="231"/>
      <c r="B102" s="271">
        <v>64</v>
      </c>
      <c r="C102" s="260" t="s">
        <v>152</v>
      </c>
      <c r="D102" s="261">
        <v>1</v>
      </c>
      <c r="E102" s="252"/>
      <c r="F102" s="237">
        <v>0.4</v>
      </c>
      <c r="G102" s="435">
        <v>100</v>
      </c>
      <c r="H102" s="381">
        <v>88</v>
      </c>
      <c r="I102" s="503">
        <f ca="1"/>
        <v>1.75304477988348E-4</v>
      </c>
      <c r="J102" s="503">
        <f ca="1"/>
        <v>4.4940952689581198E-4</v>
      </c>
      <c r="K102" s="503">
        <f ca="1"/>
        <v>0.39007735149546402</v>
      </c>
      <c r="L102" s="503">
        <f ca="1"/>
        <v>0.39007735149546402</v>
      </c>
      <c r="M102" s="503">
        <f ca="1"/>
        <v>-2.29051412744319E-4</v>
      </c>
      <c r="N102" s="452" t="str">
        <f ca="1"/>
        <v>ROYALBANKSCOTLAND_MMR.EUR.SU</v>
      </c>
      <c r="O102" s="405"/>
      <c r="P102" s="405"/>
      <c r="Q102" s="405"/>
      <c r="R102" s="452"/>
      <c r="S102" s="443"/>
      <c r="T102" s="421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2">
        <f ca="1"/>
        <v>1.8910084899185501E-2</v>
      </c>
      <c r="V102" s="422">
        <f ca="1"/>
        <v>4.3035989366301597E-2</v>
      </c>
      <c r="W102" s="423">
        <f ca="1"/>
        <v>4.3940165377010301E-3</v>
      </c>
      <c r="X102" s="424">
        <f ca="1"/>
        <v>4.3035989366301601</v>
      </c>
      <c r="Y102" s="425">
        <f t="shared" ca="1" si="5"/>
        <v>0.11841785389064301</v>
      </c>
      <c r="Z102" s="426">
        <f t="shared" ca="1" si="6"/>
        <v>-2.2392916706514021E-3</v>
      </c>
      <c r="AA102" s="425">
        <f t="shared" ca="1" si="7"/>
        <v>0.13002578383182134</v>
      </c>
      <c r="AB102" s="427">
        <f t="shared" ca="1" si="8"/>
        <v>4.1743157108159786E-3</v>
      </c>
      <c r="AC102" s="426">
        <f t="shared" ca="1" si="9"/>
        <v>-1.2293993056714409E-4</v>
      </c>
      <c r="AD102" s="79"/>
    </row>
    <row r="103" spans="1:30" customFormat="1" ht="14.4">
      <c r="A103" s="231"/>
      <c r="B103" s="271">
        <v>65</v>
      </c>
      <c r="C103" s="260" t="s">
        <v>153</v>
      </c>
      <c r="D103" s="261">
        <v>1</v>
      </c>
      <c r="E103" s="252"/>
      <c r="F103" s="237">
        <v>0.4</v>
      </c>
      <c r="G103" s="435">
        <v>100</v>
      </c>
      <c r="H103" s="381">
        <v>89</v>
      </c>
      <c r="I103" s="503">
        <f ca="1"/>
        <v>1.2915956913224299E-4</v>
      </c>
      <c r="J103" s="503">
        <f ca="1"/>
        <v>4.5712364287226999E-4</v>
      </c>
      <c r="K103" s="503">
        <f ca="1"/>
        <v>0.28254843333127</v>
      </c>
      <c r="L103" s="503">
        <f ca="1"/>
        <v>0.28254843333127</v>
      </c>
      <c r="M103" s="503">
        <f ca="1"/>
        <v>-1.08627673102535E-4</v>
      </c>
      <c r="N103" s="452" t="str">
        <f ca="1"/>
        <v>RWE_MMR.EUR.SU</v>
      </c>
      <c r="O103" s="405"/>
      <c r="P103" s="405"/>
      <c r="Q103" s="405"/>
      <c r="R103" s="452"/>
      <c r="S103" s="443"/>
      <c r="T103" s="421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2">
        <f ca="1"/>
        <v>9.5348704049636E-3</v>
      </c>
      <c r="V103" s="422">
        <f ca="1"/>
        <v>4.33821528587231E-2</v>
      </c>
      <c r="W103" s="423">
        <f ca="1"/>
        <v>2.1978785691006502E-3</v>
      </c>
      <c r="X103" s="424">
        <f ca="1"/>
        <v>4.3382152858723098</v>
      </c>
      <c r="Y103" s="425">
        <f t="shared" ca="1" si="5"/>
        <v>0.11841785389064301</v>
      </c>
      <c r="Z103" s="426">
        <f t="shared" ca="1" si="6"/>
        <v>-1.1290988904811958E-3</v>
      </c>
      <c r="AA103" s="425">
        <f t="shared" ca="1" si="7"/>
        <v>9.4182811110423328E-2</v>
      </c>
      <c r="AB103" s="427">
        <f t="shared" ca="1" si="8"/>
        <v>2.0879846406456175E-3</v>
      </c>
      <c r="AC103" s="426">
        <f t="shared" ca="1" si="9"/>
        <v>-4.4901044915652702E-5</v>
      </c>
      <c r="AD103" s="79"/>
    </row>
    <row r="104" spans="1:30" customFormat="1" ht="14.4">
      <c r="A104" s="231"/>
      <c r="B104" s="271">
        <v>66</v>
      </c>
      <c r="C104" s="260" t="s">
        <v>154</v>
      </c>
      <c r="D104" s="261">
        <v>1</v>
      </c>
      <c r="E104" s="252"/>
      <c r="F104" s="237">
        <v>0.4</v>
      </c>
      <c r="G104" s="435">
        <v>100</v>
      </c>
      <c r="H104" s="381">
        <v>90</v>
      </c>
      <c r="I104" s="503">
        <f ca="1"/>
        <v>1.9020420238618E-4</v>
      </c>
      <c r="J104" s="503">
        <f ca="1"/>
        <v>4.4521844082429497E-4</v>
      </c>
      <c r="K104" s="503">
        <f ca="1"/>
        <v>0.42721546311969599</v>
      </c>
      <c r="L104" s="503">
        <f ca="1"/>
        <v>0.42721546311969599</v>
      </c>
      <c r="M104" s="503">
        <f ca="1"/>
        <v>-2.82516206227457E-4</v>
      </c>
      <c r="N104" s="452" t="str">
        <f ca="1"/>
        <v>SAFEWAYPLC_MMR.EUR.SU</v>
      </c>
      <c r="O104" s="405"/>
      <c r="P104" s="405"/>
      <c r="Q104" s="405"/>
      <c r="R104" s="452"/>
      <c r="S104" s="443"/>
      <c r="T104" s="421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2">
        <f ca="1"/>
        <v>2.38479883048834E-2</v>
      </c>
      <c r="V104" s="422">
        <f ca="1"/>
        <v>4.3023949335796598E-2</v>
      </c>
      <c r="W104" s="423">
        <f ca="1"/>
        <v>5.5429565795442901E-3</v>
      </c>
      <c r="X104" s="424">
        <f ca="1"/>
        <v>4.3023949335796603</v>
      </c>
      <c r="Y104" s="425">
        <f t="shared" ca="1" si="5"/>
        <v>0.11841785389064301</v>
      </c>
      <c r="Z104" s="426">
        <f t="shared" ca="1" si="6"/>
        <v>-2.8240275946734453E-3</v>
      </c>
      <c r="AA104" s="425">
        <f t="shared" ca="1" si="7"/>
        <v>0.14240515437323201</v>
      </c>
      <c r="AB104" s="427">
        <f t="shared" ca="1" si="8"/>
        <v>5.2658087505670749E-3</v>
      </c>
      <c r="AC104" s="426">
        <f t="shared" ca="1" si="9"/>
        <v>-1.6980382280239797E-4</v>
      </c>
      <c r="AD104" s="79"/>
    </row>
    <row r="105" spans="1:30" customFormat="1" ht="14.4">
      <c r="A105" s="231"/>
      <c r="B105" s="271">
        <v>67</v>
      </c>
      <c r="C105" s="260" t="s">
        <v>155</v>
      </c>
      <c r="D105" s="261">
        <v>1</v>
      </c>
      <c r="E105" s="252"/>
      <c r="F105" s="237">
        <v>0.4</v>
      </c>
      <c r="G105" s="435">
        <v>100</v>
      </c>
      <c r="H105" s="381">
        <v>91</v>
      </c>
      <c r="I105" s="503">
        <f ca="1"/>
        <v>1.2554753570615001E-4</v>
      </c>
      <c r="J105" s="503">
        <f ca="1"/>
        <v>4.5748299960066298E-4</v>
      </c>
      <c r="K105" s="503">
        <f ca="1"/>
        <v>0.27443104075067398</v>
      </c>
      <c r="L105" s="503">
        <f ca="1"/>
        <v>0.27443104075067398</v>
      </c>
      <c r="M105" s="503">
        <f ca="1"/>
        <v>-1.01968019290344E-4</v>
      </c>
      <c r="N105" s="452" t="str">
        <f ca="1"/>
        <v>SANOFIAVENTIS_MMR.EUR.SU</v>
      </c>
      <c r="O105" s="405"/>
      <c r="P105" s="405"/>
      <c r="Q105" s="405"/>
      <c r="R105" s="452"/>
      <c r="S105" s="443"/>
      <c r="T105" s="421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2">
        <f ca="1"/>
        <v>9.0871959053918806E-3</v>
      </c>
      <c r="V105" s="422">
        <f ca="1"/>
        <v>4.3412189033435501E-2</v>
      </c>
      <c r="W105" s="423">
        <f ca="1"/>
        <v>2.0932360490720798E-3</v>
      </c>
      <c r="X105" s="424">
        <f ca="1"/>
        <v>4.3412189033435498</v>
      </c>
      <c r="Y105" s="425">
        <f t="shared" ca="1" si="5"/>
        <v>0.11841785389064301</v>
      </c>
      <c r="Z105" s="426">
        <f t="shared" ca="1" si="6"/>
        <v>-1.0760862370003449E-3</v>
      </c>
      <c r="AA105" s="425">
        <f t="shared" ca="1" si="7"/>
        <v>9.147701358355799E-2</v>
      </c>
      <c r="AB105" s="427">
        <f t="shared" ca="1" si="8"/>
        <v>1.9885742466184755E-3</v>
      </c>
      <c r="AC105" s="426">
        <f t="shared" ca="1" si="9"/>
        <v>-4.1563477163699376E-5</v>
      </c>
      <c r="AD105" s="79"/>
    </row>
    <row r="106" spans="1:30" customFormat="1" ht="14.4">
      <c r="A106" s="231"/>
      <c r="B106" s="271">
        <v>68</v>
      </c>
      <c r="C106" s="260" t="s">
        <v>156</v>
      </c>
      <c r="D106" s="261">
        <v>1</v>
      </c>
      <c r="E106" s="252"/>
      <c r="F106" s="237">
        <v>0.4</v>
      </c>
      <c r="G106" s="435">
        <v>100</v>
      </c>
      <c r="H106" s="381">
        <v>92</v>
      </c>
      <c r="I106" s="503">
        <f ca="1"/>
        <v>1.25803954502123E-4</v>
      </c>
      <c r="J106" s="503">
        <f ca="1"/>
        <v>4.5748637367964702E-4</v>
      </c>
      <c r="K106" s="503">
        <f ca="1"/>
        <v>0.27498951168809399</v>
      </c>
      <c r="L106" s="503">
        <f ca="1"/>
        <v>0.27498951168809399</v>
      </c>
      <c r="M106" s="503">
        <f ca="1"/>
        <v>-1.02282590012703E-4</v>
      </c>
      <c r="N106" s="452" t="str">
        <f ca="1"/>
        <v>SIEMENS_MMR.EUR.SU</v>
      </c>
      <c r="O106" s="405"/>
      <c r="P106" s="405"/>
      <c r="Q106" s="405"/>
      <c r="R106" s="452"/>
      <c r="S106" s="443"/>
      <c r="T106" s="421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2">
        <f ca="1"/>
        <v>9.0857416219375896E-3</v>
      </c>
      <c r="V106" s="422">
        <f ca="1"/>
        <v>4.3405153059885702E-2</v>
      </c>
      <c r="W106" s="423">
        <f ca="1"/>
        <v>2.0932403139788699E-3</v>
      </c>
      <c r="X106" s="424">
        <f ca="1"/>
        <v>4.3405153059885704</v>
      </c>
      <c r="Y106" s="425">
        <f t="shared" ca="1" si="5"/>
        <v>0.11841785389064301</v>
      </c>
      <c r="Z106" s="426">
        <f t="shared" ca="1" si="6"/>
        <v>-1.0759140238747412E-3</v>
      </c>
      <c r="AA106" s="425">
        <f t="shared" ca="1" si="7"/>
        <v>9.1663170562698001E-2</v>
      </c>
      <c r="AB106" s="427">
        <f t="shared" ca="1" si="8"/>
        <v>1.9885782982799263E-3</v>
      </c>
      <c r="AC106" s="426">
        <f t="shared" ca="1" si="9"/>
        <v>-4.1641394199013597E-5</v>
      </c>
      <c r="AD106" s="79"/>
    </row>
    <row r="107" spans="1:30" customFormat="1" ht="14.4">
      <c r="A107" s="231"/>
      <c r="B107" s="271">
        <v>69</v>
      </c>
      <c r="C107" s="260" t="s">
        <v>157</v>
      </c>
      <c r="D107" s="261">
        <v>1</v>
      </c>
      <c r="E107" s="252"/>
      <c r="F107" s="237">
        <v>0.4</v>
      </c>
      <c r="G107" s="435">
        <v>100</v>
      </c>
      <c r="H107" s="381">
        <v>93</v>
      </c>
      <c r="I107" s="503">
        <f ca="1"/>
        <v>1.48814143269215E-4</v>
      </c>
      <c r="J107" s="503">
        <f ca="1"/>
        <v>4.54133583628526E-4</v>
      </c>
      <c r="K107" s="503">
        <f ca="1"/>
        <v>0.32768803857268303</v>
      </c>
      <c r="L107" s="503">
        <f ca="1"/>
        <v>0.32768803857268303</v>
      </c>
      <c r="M107" s="503">
        <f ca="1"/>
        <v>-1.54618433235454E-4</v>
      </c>
      <c r="N107" s="452" t="str">
        <f ca="1"/>
        <v>SODEXHOALLIANCE_MMR.EUR.SU</v>
      </c>
      <c r="O107" s="405"/>
      <c r="P107" s="405"/>
      <c r="Q107" s="405"/>
      <c r="R107" s="452"/>
      <c r="S107" s="443"/>
      <c r="T107" s="421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2">
        <f ca="1"/>
        <v>1.31348330171918E-2</v>
      </c>
      <c r="V107" s="422">
        <f ca="1"/>
        <v>4.3283342451327499E-2</v>
      </c>
      <c r="W107" s="423">
        <f ca="1"/>
        <v>3.0346161533070198E-3</v>
      </c>
      <c r="X107" s="424">
        <f ca="1"/>
        <v>4.3283342451327496</v>
      </c>
      <c r="Y107" s="425">
        <f t="shared" ca="1" si="5"/>
        <v>0.11841785389064301</v>
      </c>
      <c r="Z107" s="426">
        <f t="shared" ca="1" si="6"/>
        <v>-1.5553987371078107E-3</v>
      </c>
      <c r="AA107" s="425">
        <f t="shared" ca="1" si="7"/>
        <v>0.10922934619089435</v>
      </c>
      <c r="AB107" s="427">
        <f t="shared" ca="1" si="8"/>
        <v>2.8828853456416689E-3</v>
      </c>
      <c r="AC107" s="426">
        <f t="shared" ca="1" si="9"/>
        <v>-7.1735461139721518E-5</v>
      </c>
      <c r="AD107" s="79"/>
    </row>
    <row r="108" spans="1:30" customFormat="1" ht="14.4">
      <c r="A108" s="231"/>
      <c r="B108" s="271">
        <v>70</v>
      </c>
      <c r="C108" s="260" t="s">
        <v>158</v>
      </c>
      <c r="D108" s="261">
        <v>1</v>
      </c>
      <c r="E108" s="252"/>
      <c r="F108" s="237">
        <v>0.4</v>
      </c>
      <c r="G108" s="435">
        <v>100</v>
      </c>
      <c r="H108" s="381">
        <v>94</v>
      </c>
      <c r="I108" s="503">
        <f ca="1"/>
        <v>1.28277332520743E-4</v>
      </c>
      <c r="J108" s="503">
        <f ca="1"/>
        <v>4.5710550640208701E-4</v>
      </c>
      <c r="K108" s="503">
        <f ca="1"/>
        <v>0.28062959365863699</v>
      </c>
      <c r="L108" s="503">
        <f ca="1"/>
        <v>0.28062959365863699</v>
      </c>
      <c r="M108" s="503">
        <f ca="1"/>
        <v>-1.0774546100642601E-4</v>
      </c>
      <c r="N108" s="452" t="str">
        <f ca="1"/>
        <v>SOLVAY_MMR.EUR.SU</v>
      </c>
      <c r="O108" s="405"/>
      <c r="P108" s="405"/>
      <c r="Q108" s="405"/>
      <c r="R108" s="452"/>
      <c r="S108" s="443"/>
      <c r="T108" s="421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2">
        <f ca="1"/>
        <v>9.53867002002186E-3</v>
      </c>
      <c r="V108" s="422">
        <f ca="1"/>
        <v>4.3400141371436697E-2</v>
      </c>
      <c r="W108" s="423">
        <f ca="1"/>
        <v>2.1978430757600299E-3</v>
      </c>
      <c r="X108" s="424">
        <f ca="1"/>
        <v>4.3400141371436698</v>
      </c>
      <c r="Y108" s="425">
        <f t="shared" ca="1" si="5"/>
        <v>0.11841785389064301</v>
      </c>
      <c r="Z108" s="426">
        <f t="shared" ca="1" si="6"/>
        <v>-1.1295488327420049E-3</v>
      </c>
      <c r="AA108" s="425">
        <f t="shared" ca="1" si="7"/>
        <v>9.3543197886212334E-2</v>
      </c>
      <c r="AB108" s="427">
        <f t="shared" ca="1" si="8"/>
        <v>2.0879509219720281E-3</v>
      </c>
      <c r="AC108" s="426">
        <f t="shared" ca="1" si="9"/>
        <v>-4.4613884862709372E-5</v>
      </c>
      <c r="AD108" s="79"/>
    </row>
    <row r="109" spans="1:30" customFormat="1" ht="14.4">
      <c r="A109" s="231"/>
      <c r="B109" s="271">
        <v>71</v>
      </c>
      <c r="C109" s="260" t="s">
        <v>159</v>
      </c>
      <c r="D109" s="261">
        <v>1</v>
      </c>
      <c r="E109" s="252"/>
      <c r="F109" s="237">
        <v>0.4</v>
      </c>
      <c r="G109" s="435">
        <v>100</v>
      </c>
      <c r="H109" s="381">
        <v>95</v>
      </c>
      <c r="I109" s="503">
        <f ca="1"/>
        <v>1.7466517303112999E-4</v>
      </c>
      <c r="J109" s="503">
        <f ca="1"/>
        <v>4.4889864594495398E-4</v>
      </c>
      <c r="K109" s="503">
        <f ca="1"/>
        <v>0.38909712606383801</v>
      </c>
      <c r="L109" s="503">
        <f ca="1"/>
        <v>0.38909712606383801</v>
      </c>
      <c r="M109" s="503">
        <f ca="1"/>
        <v>-2.3033405372050499E-4</v>
      </c>
      <c r="N109" s="452" t="str">
        <f ca="1"/>
        <v>STGOBAIN_MMR.EUR.SU</v>
      </c>
      <c r="O109" s="405"/>
      <c r="P109" s="405"/>
      <c r="Q109" s="405"/>
      <c r="R109" s="452"/>
      <c r="S109" s="443"/>
      <c r="T109" s="421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2">
        <f ca="1"/>
        <v>1.9411026966311799E-2</v>
      </c>
      <c r="V109" s="422">
        <f ca="1"/>
        <v>4.3153954478474497E-2</v>
      </c>
      <c r="W109" s="423">
        <f ca="1"/>
        <v>4.49808764941673E-3</v>
      </c>
      <c r="X109" s="424">
        <f ca="1"/>
        <v>4.3153954478474503</v>
      </c>
      <c r="Y109" s="425">
        <f t="shared" ca="1" si="5"/>
        <v>0.11841785389064301</v>
      </c>
      <c r="Z109" s="426">
        <f t="shared" ca="1" si="6"/>
        <v>-2.2986121551640416E-3</v>
      </c>
      <c r="AA109" s="425">
        <f t="shared" ca="1" si="7"/>
        <v>0.12969904202127933</v>
      </c>
      <c r="AB109" s="427">
        <f t="shared" ca="1" si="8"/>
        <v>4.2731832669458932E-3</v>
      </c>
      <c r="AC109" s="426">
        <f t="shared" ca="1" si="9"/>
        <v>-1.2587958010899317E-4</v>
      </c>
      <c r="AD109" s="79"/>
    </row>
    <row r="110" spans="1:30" customFormat="1" ht="14.4">
      <c r="A110" s="231"/>
      <c r="B110" s="271">
        <v>72</v>
      </c>
      <c r="C110" s="260" t="s">
        <v>160</v>
      </c>
      <c r="D110" s="261">
        <v>1</v>
      </c>
      <c r="E110" s="252"/>
      <c r="F110" s="237">
        <v>0.4</v>
      </c>
      <c r="G110" s="435">
        <v>100</v>
      </c>
      <c r="H110" s="381">
        <v>96</v>
      </c>
      <c r="I110" s="503">
        <f ca="1"/>
        <v>1.4106451905659999E-4</v>
      </c>
      <c r="J110" s="503">
        <f ca="1"/>
        <v>4.5523177849750198E-4</v>
      </c>
      <c r="K110" s="503">
        <f ca="1"/>
        <v>0.30987405914891297</v>
      </c>
      <c r="L110" s="503">
        <f ca="1"/>
        <v>0.30987405914891297</v>
      </c>
      <c r="M110" s="503">
        <f ca="1"/>
        <v>-1.36490520262478E-4</v>
      </c>
      <c r="N110" s="452" t="str">
        <f ca="1"/>
        <v>STMICRO_MMR.EUR.SU</v>
      </c>
      <c r="O110" s="405"/>
      <c r="P110" s="405"/>
      <c r="Q110" s="405"/>
      <c r="R110" s="452"/>
      <c r="S110" s="443"/>
      <c r="T110" s="421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2">
        <f ca="1"/>
        <v>1.1792758682262001E-2</v>
      </c>
      <c r="V110" s="422">
        <f ca="1"/>
        <v>4.3342497125587E-2</v>
      </c>
      <c r="W110" s="423">
        <f ca="1"/>
        <v>2.7208304699408302E-3</v>
      </c>
      <c r="X110" s="424">
        <f ca="1"/>
        <v>4.3342497125586998</v>
      </c>
      <c r="Y110" s="425">
        <f t="shared" ca="1" si="5"/>
        <v>0.11841785389064301</v>
      </c>
      <c r="Z110" s="426">
        <f t="shared" ca="1" si="6"/>
        <v>-1.3964731746037126E-3</v>
      </c>
      <c r="AA110" s="425">
        <f t="shared" ca="1" si="7"/>
        <v>0.10329135304963766</v>
      </c>
      <c r="AB110" s="427">
        <f t="shared" ca="1" si="8"/>
        <v>2.5847889464437885E-3</v>
      </c>
      <c r="AC110" s="426">
        <f t="shared" ca="1" si="9"/>
        <v>-6.0904500023935246E-5</v>
      </c>
      <c r="AD110" s="79"/>
    </row>
    <row r="111" spans="1:30" customFormat="1" ht="14.4">
      <c r="A111" s="231"/>
      <c r="B111" s="271">
        <v>73</v>
      </c>
      <c r="C111" s="260" t="s">
        <v>161</v>
      </c>
      <c r="D111" s="261">
        <v>1</v>
      </c>
      <c r="E111" s="252"/>
      <c r="F111" s="237">
        <v>0.4</v>
      </c>
      <c r="G111" s="435">
        <v>100</v>
      </c>
      <c r="H111" s="381">
        <v>97</v>
      </c>
      <c r="I111" s="503">
        <f ca="1"/>
        <v>1.8399718104236099E-4</v>
      </c>
      <c r="J111" s="503">
        <f ca="1"/>
        <v>4.4667226034695098E-4</v>
      </c>
      <c r="K111" s="503">
        <f ca="1"/>
        <v>0.41192882875565601</v>
      </c>
      <c r="L111" s="503">
        <f ca="1"/>
        <v>0.41192882875565601</v>
      </c>
      <c r="M111" s="503">
        <f ca="1"/>
        <v>-2.6146810543601398E-4</v>
      </c>
      <c r="N111" s="452" t="str">
        <f ca="1"/>
        <v>SUEDZUCKERAG_MMR.EUR.SU</v>
      </c>
      <c r="O111" s="405"/>
      <c r="P111" s="405"/>
      <c r="Q111" s="405"/>
      <c r="R111" s="452"/>
      <c r="S111" s="443"/>
      <c r="T111" s="421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2">
        <f ca="1"/>
        <v>2.2084963003683601E-2</v>
      </c>
      <c r="V111" s="422">
        <f ca="1"/>
        <v>4.3092417903654603E-2</v>
      </c>
      <c r="W111" s="423">
        <f ca="1"/>
        <v>5.1250229339789696E-3</v>
      </c>
      <c r="X111" s="424">
        <f ca="1"/>
        <v>4.3092417903654603</v>
      </c>
      <c r="Y111" s="425">
        <f t="shared" ca="1" si="5"/>
        <v>0.11841785389064301</v>
      </c>
      <c r="Z111" s="426">
        <f t="shared" ca="1" si="6"/>
        <v>-2.6152539221504585E-3</v>
      </c>
      <c r="AA111" s="425">
        <f t="shared" ca="1" si="7"/>
        <v>0.13730960958521868</v>
      </c>
      <c r="AB111" s="427">
        <f t="shared" ca="1" si="8"/>
        <v>4.8687717872800207E-3</v>
      </c>
      <c r="AC111" s="426">
        <f t="shared" ca="1" si="9"/>
        <v>-1.5162388238698976E-4</v>
      </c>
      <c r="AD111" s="79"/>
    </row>
    <row r="112" spans="1:30" customFormat="1" ht="14.4">
      <c r="A112" s="231"/>
      <c r="B112" s="271">
        <v>74</v>
      </c>
      <c r="C112" s="260" t="s">
        <v>162</v>
      </c>
      <c r="D112" s="261">
        <v>1</v>
      </c>
      <c r="E112" s="252"/>
      <c r="F112" s="237">
        <v>0.4</v>
      </c>
      <c r="G112" s="435">
        <v>100</v>
      </c>
      <c r="H112" s="381">
        <v>98</v>
      </c>
      <c r="I112" s="503">
        <f ca="1"/>
        <v>1.3959979036157701E-4</v>
      </c>
      <c r="J112" s="503">
        <f ca="1"/>
        <v>4.5562906519938402E-4</v>
      </c>
      <c r="K112" s="503">
        <f ca="1"/>
        <v>0.306389124452559</v>
      </c>
      <c r="L112" s="503">
        <f ca="1"/>
        <v>0.306389124452559</v>
      </c>
      <c r="M112" s="503">
        <f ca="1"/>
        <v>-1.3180494943203501E-4</v>
      </c>
      <c r="N112" s="452" t="str">
        <f ca="1"/>
        <v>SUEZLYONNAISE_MMR.EUR.SU</v>
      </c>
      <c r="O112" s="405"/>
      <c r="P112" s="405"/>
      <c r="Q112" s="405"/>
      <c r="R112" s="452"/>
      <c r="S112" s="443"/>
      <c r="T112" s="421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2">
        <f ca="1"/>
        <v>1.13366636512533E-2</v>
      </c>
      <c r="V112" s="422">
        <f ca="1"/>
        <v>4.3331059948294899E-2</v>
      </c>
      <c r="W112" s="423">
        <f ca="1"/>
        <v>2.6162904080308299E-3</v>
      </c>
      <c r="X112" s="424">
        <f ca="1"/>
        <v>4.3331059948294897</v>
      </c>
      <c r="Y112" s="425">
        <f t="shared" ca="1" si="5"/>
        <v>0.11841785389064301</v>
      </c>
      <c r="Z112" s="426">
        <f t="shared" ca="1" si="6"/>
        <v>-1.3424633798614744E-3</v>
      </c>
      <c r="AA112" s="425">
        <f t="shared" ca="1" si="7"/>
        <v>0.102129708150853</v>
      </c>
      <c r="AB112" s="427">
        <f t="shared" ca="1" si="8"/>
        <v>2.4854758876292882E-3</v>
      </c>
      <c r="AC112" s="426">
        <f t="shared" ca="1" si="9"/>
        <v>-5.7890507505344135E-5</v>
      </c>
      <c r="AD112" s="79"/>
    </row>
    <row r="113" spans="1:30" customFormat="1" ht="14.4">
      <c r="A113" s="231"/>
      <c r="B113" s="271">
        <v>75</v>
      </c>
      <c r="C113" s="260" t="s">
        <v>163</v>
      </c>
      <c r="D113" s="261">
        <v>1</v>
      </c>
      <c r="E113" s="252"/>
      <c r="F113" s="237">
        <v>0.4</v>
      </c>
      <c r="G113" s="435">
        <v>100</v>
      </c>
      <c r="H113" s="381">
        <v>99</v>
      </c>
      <c r="I113" s="503">
        <f ca="1"/>
        <v>1.72588263110795E-4</v>
      </c>
      <c r="J113" s="503">
        <f ca="1"/>
        <v>4.4925565199162E-4</v>
      </c>
      <c r="K113" s="503">
        <f ca="1"/>
        <v>0.38416492334750701</v>
      </c>
      <c r="L113" s="503">
        <f ca="1"/>
        <v>0.38416492334750701</v>
      </c>
      <c r="M113" s="503">
        <f ca="1"/>
        <v>-2.2432133443859399E-4</v>
      </c>
      <c r="N113" s="452" t="str">
        <f ca="1"/>
        <v>SVENSKACELLULOSAAB_MMR.EUR.SU</v>
      </c>
      <c r="O113" s="405"/>
      <c r="P113" s="405"/>
      <c r="Q113" s="405"/>
      <c r="R113" s="452"/>
      <c r="S113" s="443"/>
      <c r="T113" s="421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2">
        <f ca="1"/>
        <v>1.89730691407618E-2</v>
      </c>
      <c r="V113" s="422">
        <f ca="1"/>
        <v>4.31838619559268E-2</v>
      </c>
      <c r="W113" s="423">
        <f ca="1"/>
        <v>4.3935554351590004E-3</v>
      </c>
      <c r="X113" s="424">
        <f ca="1"/>
        <v>4.3183861955926801</v>
      </c>
      <c r="Y113" s="425">
        <f t="shared" ca="1" si="5"/>
        <v>0.11841785389064301</v>
      </c>
      <c r="Z113" s="426">
        <f t="shared" ca="1" si="6"/>
        <v>-2.2467501293678004E-3</v>
      </c>
      <c r="AA113" s="425">
        <f t="shared" ca="1" si="7"/>
        <v>0.128054974449169</v>
      </c>
      <c r="AB113" s="427">
        <f t="shared" ca="1" si="8"/>
        <v>4.1738776634010506E-3</v>
      </c>
      <c r="AC113" s="426">
        <f t="shared" ca="1" si="9"/>
        <v>-1.2147979420212844E-4</v>
      </c>
      <c r="AD113" s="79"/>
    </row>
    <row r="114" spans="1:30" customFormat="1" ht="14.4">
      <c r="A114" s="231"/>
      <c r="B114" s="271">
        <v>76</v>
      </c>
      <c r="C114" s="260" t="s">
        <v>164</v>
      </c>
      <c r="D114" s="261">
        <v>1</v>
      </c>
      <c r="E114" s="252"/>
      <c r="F114" s="237">
        <v>0.4</v>
      </c>
      <c r="G114" s="435">
        <v>100</v>
      </c>
      <c r="H114" s="381">
        <v>100</v>
      </c>
      <c r="I114" s="503">
        <f ca="1"/>
        <v>1.5860428374987501E-4</v>
      </c>
      <c r="J114" s="503">
        <f ca="1"/>
        <v>4.5271143359201598E-4</v>
      </c>
      <c r="K114" s="503">
        <f ca="1"/>
        <v>0.35034300435365101</v>
      </c>
      <c r="L114" s="503">
        <f ca="1"/>
        <v>0.35034300435365101</v>
      </c>
      <c r="M114" s="503">
        <f ca="1"/>
        <v>-1.7922600773516699E-4</v>
      </c>
      <c r="N114" s="452" t="str">
        <f ca="1"/>
        <v>SWISSRE_MMR.EUR.SU</v>
      </c>
      <c r="O114" s="405"/>
      <c r="P114" s="405"/>
      <c r="Q114" s="405"/>
      <c r="R114" s="452"/>
      <c r="S114" s="443"/>
      <c r="T114" s="421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2">
        <f ca="1"/>
        <v>1.49082273882715E-2</v>
      </c>
      <c r="V114" s="422">
        <f ca="1"/>
        <v>4.3174070391325703E-2</v>
      </c>
      <c r="W114" s="423">
        <f ca="1"/>
        <v>3.4530511608344399E-3</v>
      </c>
      <c r="X114" s="424">
        <f ca="1"/>
        <v>4.3174070391325703</v>
      </c>
      <c r="Y114" s="425">
        <f t="shared" ca="1" si="5"/>
        <v>0.11841785389064301</v>
      </c>
      <c r="Z114" s="426">
        <f t="shared" ca="1" si="6"/>
        <v>-1.7654002926328174E-3</v>
      </c>
      <c r="AA114" s="425">
        <f t="shared" ca="1" si="7"/>
        <v>0.116781001451217</v>
      </c>
      <c r="AB114" s="427">
        <f t="shared" ca="1" si="8"/>
        <v>3.2803986027927176E-3</v>
      </c>
      <c r="AC114" s="426">
        <f t="shared" ca="1" si="9"/>
        <v>-8.7049886213240554E-5</v>
      </c>
      <c r="AD114" s="79"/>
    </row>
    <row r="115" spans="1:30" customFormat="1" ht="14.4">
      <c r="A115" s="231"/>
      <c r="B115" s="271">
        <v>77</v>
      </c>
      <c r="C115" s="260" t="s">
        <v>165</v>
      </c>
      <c r="D115" s="261">
        <v>1</v>
      </c>
      <c r="E115" s="252"/>
      <c r="F115" s="237">
        <v>0.4</v>
      </c>
      <c r="G115" s="435">
        <v>100</v>
      </c>
      <c r="H115" s="381">
        <v>101</v>
      </c>
      <c r="I115" s="396"/>
      <c r="J115" s="396"/>
      <c r="K115" s="405"/>
      <c r="L115" s="405"/>
      <c r="M115" s="405"/>
      <c r="N115" s="452"/>
      <c r="O115" s="405"/>
      <c r="P115" s="405"/>
      <c r="Q115" s="405"/>
      <c r="R115" s="452"/>
      <c r="S115" s="443"/>
      <c r="T115" s="421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2"/>
      <c r="V115" s="422"/>
      <c r="W115" s="423"/>
      <c r="X115" s="424"/>
      <c r="Y115" s="425" t="str">
        <f t="shared" ca="1" si="5"/>
        <v/>
      </c>
      <c r="Z115" s="426" t="str">
        <f t="shared" ca="1" si="6"/>
        <v/>
      </c>
      <c r="AA115" s="425" t="str">
        <f t="shared" ca="1" si="7"/>
        <v/>
      </c>
      <c r="AB115" s="427" t="str">
        <f t="shared" ca="1" si="8"/>
        <v/>
      </c>
      <c r="AC115" s="426" t="str">
        <f t="shared" ca="1" si="9"/>
        <v/>
      </c>
      <c r="AD115" s="79"/>
    </row>
    <row r="116" spans="1:30" customFormat="1" ht="14.4">
      <c r="A116" s="231"/>
      <c r="B116" s="271">
        <v>78</v>
      </c>
      <c r="C116" s="260" t="s">
        <v>166</v>
      </c>
      <c r="D116" s="261">
        <v>1</v>
      </c>
      <c r="E116" s="252"/>
      <c r="F116" s="237">
        <v>0.4</v>
      </c>
      <c r="G116" s="435">
        <v>100</v>
      </c>
      <c r="H116" s="381">
        <v>102</v>
      </c>
      <c r="I116" s="396"/>
      <c r="J116" s="396"/>
      <c r="K116" s="405"/>
      <c r="L116" s="405"/>
      <c r="M116" s="405"/>
      <c r="N116" s="452"/>
      <c r="O116" s="405"/>
      <c r="P116" s="405"/>
      <c r="Q116" s="405"/>
      <c r="R116" s="452"/>
      <c r="S116" s="443"/>
      <c r="T116" s="421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2"/>
      <c r="V116" s="422"/>
      <c r="W116" s="423"/>
      <c r="X116" s="424"/>
      <c r="Y116" s="425" t="str">
        <f t="shared" ca="1" si="5"/>
        <v/>
      </c>
      <c r="Z116" s="426" t="str">
        <f t="shared" ca="1" si="6"/>
        <v/>
      </c>
      <c r="AA116" s="425" t="str">
        <f t="shared" ca="1" si="7"/>
        <v/>
      </c>
      <c r="AB116" s="427" t="str">
        <f t="shared" ca="1" si="8"/>
        <v/>
      </c>
      <c r="AC116" s="426" t="str">
        <f t="shared" ca="1" si="9"/>
        <v/>
      </c>
      <c r="AD116" s="79"/>
    </row>
    <row r="117" spans="1:30" customFormat="1" ht="14.4">
      <c r="A117" s="231"/>
      <c r="B117" s="271">
        <v>79</v>
      </c>
      <c r="C117" s="260" t="s">
        <v>167</v>
      </c>
      <c r="D117" s="261">
        <v>1</v>
      </c>
      <c r="E117" s="252"/>
      <c r="F117" s="237">
        <v>0.4</v>
      </c>
      <c r="G117" s="435">
        <v>100</v>
      </c>
      <c r="H117" s="381">
        <v>103</v>
      </c>
      <c r="I117" s="396"/>
      <c r="J117" s="396"/>
      <c r="K117" s="405"/>
      <c r="L117" s="405"/>
      <c r="M117" s="405"/>
      <c r="N117" s="452"/>
      <c r="O117" s="405"/>
      <c r="P117" s="405"/>
      <c r="Q117" s="405"/>
      <c r="R117" s="452"/>
      <c r="S117" s="443"/>
      <c r="T117" s="421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2"/>
      <c r="V117" s="422"/>
      <c r="W117" s="423"/>
      <c r="X117" s="424"/>
      <c r="Y117" s="425" t="str">
        <f t="shared" ca="1" si="5"/>
        <v/>
      </c>
      <c r="Z117" s="426" t="str">
        <f t="shared" ca="1" si="6"/>
        <v/>
      </c>
      <c r="AA117" s="425" t="str">
        <f t="shared" ca="1" si="7"/>
        <v/>
      </c>
      <c r="AB117" s="427" t="str">
        <f t="shared" ca="1" si="8"/>
        <v/>
      </c>
      <c r="AC117" s="426" t="str">
        <f t="shared" ca="1" si="9"/>
        <v/>
      </c>
      <c r="AD117" s="79"/>
    </row>
    <row r="118" spans="1:30" customFormat="1" ht="14.4">
      <c r="A118" s="231"/>
      <c r="B118" s="271">
        <v>80</v>
      </c>
      <c r="C118" s="260" t="s">
        <v>168</v>
      </c>
      <c r="D118" s="261">
        <v>1</v>
      </c>
      <c r="E118" s="252"/>
      <c r="F118" s="237">
        <v>0.4</v>
      </c>
      <c r="G118" s="435">
        <v>100</v>
      </c>
      <c r="H118" s="381">
        <v>104</v>
      </c>
      <c r="I118" s="396"/>
      <c r="J118" s="396"/>
      <c r="K118" s="405"/>
      <c r="L118" s="405"/>
      <c r="M118" s="405"/>
      <c r="N118" s="452"/>
      <c r="O118" s="405"/>
      <c r="P118" s="405"/>
      <c r="Q118" s="405"/>
      <c r="R118" s="452"/>
      <c r="S118" s="443"/>
      <c r="T118" s="421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2"/>
      <c r="V118" s="422"/>
      <c r="W118" s="423"/>
      <c r="X118" s="424"/>
      <c r="Y118" s="425" t="str">
        <f t="shared" ca="1" si="5"/>
        <v/>
      </c>
      <c r="Z118" s="426" t="str">
        <f t="shared" ca="1" si="6"/>
        <v/>
      </c>
      <c r="AA118" s="425" t="str">
        <f t="shared" ca="1" si="7"/>
        <v/>
      </c>
      <c r="AB118" s="427" t="str">
        <f t="shared" ca="1" si="8"/>
        <v/>
      </c>
      <c r="AC118" s="426" t="str">
        <f t="shared" ca="1" si="9"/>
        <v/>
      </c>
      <c r="AD118" s="79"/>
    </row>
    <row r="119" spans="1:30" customFormat="1" ht="14.4">
      <c r="A119" s="231"/>
      <c r="B119" s="271">
        <v>81</v>
      </c>
      <c r="C119" s="260" t="s">
        <v>169</v>
      </c>
      <c r="D119" s="261">
        <v>1</v>
      </c>
      <c r="E119" s="252"/>
      <c r="F119" s="237">
        <v>0.4</v>
      </c>
      <c r="G119" s="435">
        <v>100</v>
      </c>
      <c r="H119" s="381">
        <v>105</v>
      </c>
      <c r="I119" s="396"/>
      <c r="J119" s="396"/>
      <c r="K119" s="405"/>
      <c r="L119" s="405"/>
      <c r="M119" s="405"/>
      <c r="N119" s="452"/>
      <c r="O119" s="405"/>
      <c r="P119" s="405"/>
      <c r="Q119" s="405"/>
      <c r="R119" s="452"/>
      <c r="S119" s="443"/>
      <c r="T119" s="421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2"/>
      <c r="V119" s="422"/>
      <c r="W119" s="423"/>
      <c r="X119" s="424"/>
      <c r="Y119" s="425" t="str">
        <f t="shared" ca="1" si="5"/>
        <v/>
      </c>
      <c r="Z119" s="426" t="str">
        <f t="shared" ca="1" si="6"/>
        <v/>
      </c>
      <c r="AA119" s="425" t="str">
        <f t="shared" ca="1" si="7"/>
        <v/>
      </c>
      <c r="AB119" s="427" t="str">
        <f t="shared" ca="1" si="8"/>
        <v/>
      </c>
      <c r="AC119" s="426" t="str">
        <f t="shared" ca="1" si="9"/>
        <v/>
      </c>
      <c r="AD119" s="79"/>
    </row>
    <row r="120" spans="1:30" customFormat="1" ht="14.4">
      <c r="A120" s="231"/>
      <c r="B120" s="271">
        <v>82</v>
      </c>
      <c r="C120" s="260" t="s">
        <v>170</v>
      </c>
      <c r="D120" s="261">
        <v>1</v>
      </c>
      <c r="E120" s="252"/>
      <c r="F120" s="237">
        <v>0.4</v>
      </c>
      <c r="G120" s="435">
        <v>100</v>
      </c>
      <c r="H120" s="381">
        <v>106</v>
      </c>
      <c r="I120" s="396"/>
      <c r="J120" s="396"/>
      <c r="K120" s="405"/>
      <c r="L120" s="405"/>
      <c r="M120" s="405"/>
      <c r="N120" s="452"/>
      <c r="O120" s="405"/>
      <c r="P120" s="405"/>
      <c r="Q120" s="405"/>
      <c r="R120" s="452"/>
      <c r="S120" s="443"/>
      <c r="T120" s="421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2"/>
      <c r="V120" s="422"/>
      <c r="W120" s="423"/>
      <c r="X120" s="424"/>
      <c r="Y120" s="425" t="str">
        <f t="shared" ca="1" si="5"/>
        <v/>
      </c>
      <c r="Z120" s="426" t="str">
        <f t="shared" ca="1" si="6"/>
        <v/>
      </c>
      <c r="AA120" s="425" t="str">
        <f t="shared" ca="1" si="7"/>
        <v/>
      </c>
      <c r="AB120" s="427" t="str">
        <f t="shared" ca="1" si="8"/>
        <v/>
      </c>
      <c r="AC120" s="426" t="str">
        <f t="shared" ca="1" si="9"/>
        <v/>
      </c>
      <c r="AD120" s="79"/>
    </row>
    <row r="121" spans="1:30" customFormat="1" ht="14.4">
      <c r="A121" s="231"/>
      <c r="B121" s="271">
        <v>83</v>
      </c>
      <c r="C121" s="260" t="s">
        <v>171</v>
      </c>
      <c r="D121" s="261">
        <v>1</v>
      </c>
      <c r="E121" s="252"/>
      <c r="F121" s="237">
        <v>0.4</v>
      </c>
      <c r="G121" s="435">
        <v>100</v>
      </c>
      <c r="H121" s="381">
        <v>107</v>
      </c>
      <c r="I121" s="396"/>
      <c r="J121" s="396"/>
      <c r="K121" s="405"/>
      <c r="L121" s="405"/>
      <c r="M121" s="405"/>
      <c r="N121" s="452"/>
      <c r="O121" s="405"/>
      <c r="P121" s="405"/>
      <c r="Q121" s="405"/>
      <c r="R121" s="452"/>
      <c r="S121" s="443"/>
      <c r="T121" s="421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2"/>
      <c r="V121" s="422"/>
      <c r="W121" s="423"/>
      <c r="X121" s="424"/>
      <c r="Y121" s="425" t="str">
        <f t="shared" ca="1" si="5"/>
        <v/>
      </c>
      <c r="Z121" s="426" t="str">
        <f t="shared" ca="1" si="6"/>
        <v/>
      </c>
      <c r="AA121" s="425" t="str">
        <f t="shared" ca="1" si="7"/>
        <v/>
      </c>
      <c r="AB121" s="427" t="str">
        <f t="shared" ca="1" si="8"/>
        <v/>
      </c>
      <c r="AC121" s="426" t="str">
        <f t="shared" ca="1" si="9"/>
        <v/>
      </c>
      <c r="AD121" s="79"/>
    </row>
    <row r="122" spans="1:30" customFormat="1" ht="14.4">
      <c r="A122" s="231"/>
      <c r="B122" s="271">
        <v>84</v>
      </c>
      <c r="C122" s="260" t="s">
        <v>172</v>
      </c>
      <c r="D122" s="261">
        <v>1</v>
      </c>
      <c r="E122" s="252"/>
      <c r="F122" s="237">
        <v>0.4</v>
      </c>
      <c r="G122" s="435">
        <v>100</v>
      </c>
      <c r="H122" s="381">
        <v>108</v>
      </c>
      <c r="I122" s="396"/>
      <c r="J122" s="396"/>
      <c r="K122" s="405"/>
      <c r="L122" s="405"/>
      <c r="M122" s="405"/>
      <c r="N122" s="452"/>
      <c r="O122" s="405"/>
      <c r="P122" s="405"/>
      <c r="Q122" s="405"/>
      <c r="R122" s="452"/>
      <c r="S122" s="443"/>
      <c r="T122" s="421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2"/>
      <c r="V122" s="422"/>
      <c r="W122" s="423"/>
      <c r="X122" s="424"/>
      <c r="Y122" s="425" t="str">
        <f t="shared" ca="1" si="5"/>
        <v/>
      </c>
      <c r="Z122" s="426" t="str">
        <f t="shared" ca="1" si="6"/>
        <v/>
      </c>
      <c r="AA122" s="425" t="str">
        <f t="shared" ca="1" si="7"/>
        <v/>
      </c>
      <c r="AB122" s="427" t="str">
        <f t="shared" ca="1" si="8"/>
        <v/>
      </c>
      <c r="AC122" s="426" t="str">
        <f t="shared" ca="1" si="9"/>
        <v/>
      </c>
      <c r="AD122" s="79"/>
    </row>
    <row r="123" spans="1:30" customFormat="1" ht="14.4">
      <c r="A123" s="231"/>
      <c r="B123" s="271">
        <v>85</v>
      </c>
      <c r="C123" s="260" t="s">
        <v>173</v>
      </c>
      <c r="D123" s="261">
        <v>1</v>
      </c>
      <c r="E123" s="252"/>
      <c r="F123" s="237">
        <v>0.4</v>
      </c>
      <c r="G123" s="435">
        <v>100</v>
      </c>
      <c r="H123" s="381">
        <v>109</v>
      </c>
      <c r="I123" s="396"/>
      <c r="J123" s="396"/>
      <c r="K123" s="405"/>
      <c r="L123" s="405"/>
      <c r="M123" s="405"/>
      <c r="N123" s="452"/>
      <c r="O123" s="405"/>
      <c r="P123" s="405"/>
      <c r="Q123" s="405"/>
      <c r="R123" s="452"/>
      <c r="S123" s="443"/>
      <c r="T123" s="421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2"/>
      <c r="V123" s="422"/>
      <c r="W123" s="423"/>
      <c r="X123" s="424"/>
      <c r="Y123" s="425" t="str">
        <f t="shared" ca="1" si="5"/>
        <v/>
      </c>
      <c r="Z123" s="426" t="str">
        <f t="shared" ca="1" si="6"/>
        <v/>
      </c>
      <c r="AA123" s="425" t="str">
        <f t="shared" ca="1" si="7"/>
        <v/>
      </c>
      <c r="AB123" s="427" t="str">
        <f t="shared" ca="1" si="8"/>
        <v/>
      </c>
      <c r="AC123" s="426" t="str">
        <f t="shared" ca="1" si="9"/>
        <v/>
      </c>
      <c r="AD123" s="79"/>
    </row>
    <row r="124" spans="1:30" customFormat="1" ht="14.4">
      <c r="A124" s="231"/>
      <c r="B124" s="271">
        <v>86</v>
      </c>
      <c r="C124" s="260" t="s">
        <v>174</v>
      </c>
      <c r="D124" s="261">
        <v>1</v>
      </c>
      <c r="E124" s="252"/>
      <c r="F124" s="237">
        <v>0.4</v>
      </c>
      <c r="G124" s="435">
        <v>100</v>
      </c>
      <c r="H124" s="381">
        <v>110</v>
      </c>
      <c r="I124" s="396"/>
      <c r="J124" s="396"/>
      <c r="K124" s="405"/>
      <c r="L124" s="405"/>
      <c r="M124" s="405"/>
      <c r="N124" s="452"/>
      <c r="O124" s="405"/>
      <c r="P124" s="405"/>
      <c r="Q124" s="405"/>
      <c r="R124" s="452"/>
      <c r="S124" s="443"/>
      <c r="T124" s="421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2"/>
      <c r="V124" s="422"/>
      <c r="W124" s="423"/>
      <c r="X124" s="424"/>
      <c r="Y124" s="425" t="str">
        <f t="shared" ca="1" si="5"/>
        <v/>
      </c>
      <c r="Z124" s="426" t="str">
        <f t="shared" ca="1" si="6"/>
        <v/>
      </c>
      <c r="AA124" s="425" t="str">
        <f t="shared" ca="1" si="7"/>
        <v/>
      </c>
      <c r="AB124" s="427" t="str">
        <f t="shared" ca="1" si="8"/>
        <v/>
      </c>
      <c r="AC124" s="426" t="str">
        <f t="shared" ca="1" si="9"/>
        <v/>
      </c>
      <c r="AD124" s="79"/>
    </row>
    <row r="125" spans="1:30" customFormat="1" ht="14.4">
      <c r="A125" s="231"/>
      <c r="B125" s="271">
        <v>87</v>
      </c>
      <c r="C125" s="260" t="s">
        <v>175</v>
      </c>
      <c r="D125" s="261">
        <v>1</v>
      </c>
      <c r="E125" s="252"/>
      <c r="F125" s="237">
        <v>0.4</v>
      </c>
      <c r="G125" s="435">
        <v>100</v>
      </c>
      <c r="H125" s="381">
        <v>111</v>
      </c>
      <c r="I125" s="396"/>
      <c r="J125" s="396"/>
      <c r="K125" s="405"/>
      <c r="L125" s="405"/>
      <c r="M125" s="405"/>
      <c r="N125" s="452"/>
      <c r="O125" s="405"/>
      <c r="P125" s="405"/>
      <c r="Q125" s="405"/>
      <c r="R125" s="452"/>
      <c r="S125" s="443"/>
      <c r="T125" s="421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2"/>
      <c r="V125" s="422"/>
      <c r="W125" s="423"/>
      <c r="X125" s="424"/>
      <c r="Y125" s="425" t="str">
        <f t="shared" ca="1" si="5"/>
        <v/>
      </c>
      <c r="Z125" s="426" t="str">
        <f t="shared" ca="1" si="6"/>
        <v/>
      </c>
      <c r="AA125" s="425" t="str">
        <f t="shared" ca="1" si="7"/>
        <v/>
      </c>
      <c r="AB125" s="427" t="str">
        <f t="shared" ca="1" si="8"/>
        <v/>
      </c>
      <c r="AC125" s="426" t="str">
        <f t="shared" ca="1" si="9"/>
        <v/>
      </c>
      <c r="AD125" s="79"/>
    </row>
    <row r="126" spans="1:30" customFormat="1" ht="14.4">
      <c r="A126" s="231"/>
      <c r="B126" s="271">
        <v>88</v>
      </c>
      <c r="C126" s="260" t="s">
        <v>176</v>
      </c>
      <c r="D126" s="261">
        <v>1</v>
      </c>
      <c r="E126" s="252"/>
      <c r="F126" s="237">
        <v>0.4</v>
      </c>
      <c r="G126" s="435">
        <v>100</v>
      </c>
      <c r="H126" s="381">
        <v>112</v>
      </c>
      <c r="I126" s="396"/>
      <c r="J126" s="396"/>
      <c r="K126" s="405"/>
      <c r="L126" s="405"/>
      <c r="M126" s="405"/>
      <c r="N126" s="452"/>
      <c r="O126" s="405"/>
      <c r="P126" s="405"/>
      <c r="Q126" s="405"/>
      <c r="R126" s="452"/>
      <c r="S126" s="443"/>
      <c r="T126" s="421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2"/>
      <c r="V126" s="422"/>
      <c r="W126" s="423"/>
      <c r="X126" s="424"/>
      <c r="Y126" s="425" t="str">
        <f t="shared" ca="1" si="5"/>
        <v/>
      </c>
      <c r="Z126" s="426" t="str">
        <f t="shared" ca="1" si="6"/>
        <v/>
      </c>
      <c r="AA126" s="425" t="str">
        <f t="shared" ca="1" si="7"/>
        <v/>
      </c>
      <c r="AB126" s="427" t="str">
        <f t="shared" ca="1" si="8"/>
        <v/>
      </c>
      <c r="AC126" s="426" t="str">
        <f t="shared" ca="1" si="9"/>
        <v/>
      </c>
      <c r="AD126" s="79"/>
    </row>
    <row r="127" spans="1:30" customFormat="1" ht="14.4">
      <c r="A127" s="231"/>
      <c r="B127" s="271">
        <v>89</v>
      </c>
      <c r="C127" s="260" t="s">
        <v>177</v>
      </c>
      <c r="D127" s="261">
        <v>1</v>
      </c>
      <c r="E127" s="252"/>
      <c r="F127" s="237">
        <v>0.4</v>
      </c>
      <c r="G127" s="435">
        <v>100</v>
      </c>
      <c r="H127" s="381">
        <v>113</v>
      </c>
      <c r="I127" s="396"/>
      <c r="J127" s="396"/>
      <c r="K127" s="405"/>
      <c r="L127" s="405"/>
      <c r="M127" s="405"/>
      <c r="N127" s="452"/>
      <c r="O127" s="405"/>
      <c r="P127" s="405"/>
      <c r="Q127" s="405"/>
      <c r="R127" s="452"/>
      <c r="S127" s="443"/>
      <c r="T127" s="421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2"/>
      <c r="V127" s="422"/>
      <c r="W127" s="423"/>
      <c r="X127" s="424"/>
      <c r="Y127" s="425" t="str">
        <f t="shared" ca="1" si="5"/>
        <v/>
      </c>
      <c r="Z127" s="426" t="str">
        <f t="shared" ca="1" si="6"/>
        <v/>
      </c>
      <c r="AA127" s="425" t="str">
        <f t="shared" ca="1" si="7"/>
        <v/>
      </c>
      <c r="AB127" s="427" t="str">
        <f t="shared" ca="1" si="8"/>
        <v/>
      </c>
      <c r="AC127" s="426" t="str">
        <f t="shared" ca="1" si="9"/>
        <v/>
      </c>
      <c r="AD127" s="79"/>
    </row>
    <row r="128" spans="1:30" customFormat="1" ht="14.4">
      <c r="A128" s="231"/>
      <c r="B128" s="271">
        <v>90</v>
      </c>
      <c r="C128" s="260" t="s">
        <v>178</v>
      </c>
      <c r="D128" s="261">
        <v>1</v>
      </c>
      <c r="E128" s="252"/>
      <c r="F128" s="237">
        <v>0.4</v>
      </c>
      <c r="G128" s="435">
        <v>100</v>
      </c>
      <c r="H128" s="381">
        <v>114</v>
      </c>
      <c r="I128" s="396"/>
      <c r="J128" s="396"/>
      <c r="K128" s="405"/>
      <c r="L128" s="405"/>
      <c r="M128" s="405"/>
      <c r="N128" s="452"/>
      <c r="O128" s="405"/>
      <c r="P128" s="405"/>
      <c r="Q128" s="405"/>
      <c r="R128" s="452"/>
      <c r="S128" s="443"/>
      <c r="T128" s="421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2"/>
      <c r="V128" s="422"/>
      <c r="W128" s="423"/>
      <c r="X128" s="424"/>
      <c r="Y128" s="425" t="str">
        <f t="shared" ca="1" si="5"/>
        <v/>
      </c>
      <c r="Z128" s="426" t="str">
        <f t="shared" ca="1" si="6"/>
        <v/>
      </c>
      <c r="AA128" s="425" t="str">
        <f t="shared" ca="1" si="7"/>
        <v/>
      </c>
      <c r="AB128" s="427" t="str">
        <f t="shared" ca="1" si="8"/>
        <v/>
      </c>
      <c r="AC128" s="426" t="str">
        <f t="shared" ca="1" si="9"/>
        <v/>
      </c>
      <c r="AD128" s="79"/>
    </row>
    <row r="129" spans="1:30" customFormat="1" ht="14.4">
      <c r="A129" s="231"/>
      <c r="B129" s="271">
        <v>91</v>
      </c>
      <c r="C129" s="260" t="s">
        <v>179</v>
      </c>
      <c r="D129" s="261">
        <v>1</v>
      </c>
      <c r="E129" s="252"/>
      <c r="F129" s="237">
        <v>0.4</v>
      </c>
      <c r="G129" s="435">
        <v>100</v>
      </c>
      <c r="H129" s="381">
        <v>115</v>
      </c>
      <c r="I129" s="396"/>
      <c r="J129" s="396"/>
      <c r="K129" s="405"/>
      <c r="L129" s="405"/>
      <c r="M129" s="405"/>
      <c r="N129" s="452"/>
      <c r="O129" s="405"/>
      <c r="P129" s="405"/>
      <c r="Q129" s="405"/>
      <c r="R129" s="452"/>
      <c r="S129" s="443"/>
      <c r="T129" s="421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2"/>
      <c r="V129" s="422"/>
      <c r="W129" s="423"/>
      <c r="X129" s="424"/>
      <c r="Y129" s="425" t="str">
        <f t="shared" ca="1" si="5"/>
        <v/>
      </c>
      <c r="Z129" s="426" t="str">
        <f t="shared" ca="1" si="6"/>
        <v/>
      </c>
      <c r="AA129" s="425" t="str">
        <f t="shared" ca="1" si="7"/>
        <v/>
      </c>
      <c r="AB129" s="427" t="str">
        <f t="shared" ca="1" si="8"/>
        <v/>
      </c>
      <c r="AC129" s="426" t="str">
        <f t="shared" ca="1" si="9"/>
        <v/>
      </c>
      <c r="AD129" s="79"/>
    </row>
    <row r="130" spans="1:30" customFormat="1" ht="14.4">
      <c r="A130" s="231"/>
      <c r="B130" s="271">
        <v>92</v>
      </c>
      <c r="C130" s="260" t="s">
        <v>180</v>
      </c>
      <c r="D130" s="261">
        <v>1</v>
      </c>
      <c r="E130" s="252"/>
      <c r="F130" s="237">
        <v>0.4</v>
      </c>
      <c r="G130" s="435">
        <v>100</v>
      </c>
      <c r="H130" s="381">
        <v>116</v>
      </c>
      <c r="I130" s="396"/>
      <c r="J130" s="396"/>
      <c r="K130" s="405"/>
      <c r="L130" s="405"/>
      <c r="M130" s="405"/>
      <c r="N130" s="452"/>
      <c r="O130" s="405"/>
      <c r="P130" s="405"/>
      <c r="Q130" s="405"/>
      <c r="R130" s="452"/>
      <c r="S130" s="443"/>
      <c r="T130" s="421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2"/>
      <c r="V130" s="422"/>
      <c r="W130" s="423"/>
      <c r="X130" s="424"/>
      <c r="Y130" s="425" t="str">
        <f t="shared" ca="1" si="5"/>
        <v/>
      </c>
      <c r="Z130" s="426" t="str">
        <f t="shared" ca="1" si="6"/>
        <v/>
      </c>
      <c r="AA130" s="425" t="str">
        <f t="shared" ca="1" si="7"/>
        <v/>
      </c>
      <c r="AB130" s="427" t="str">
        <f t="shared" ca="1" si="8"/>
        <v/>
      </c>
      <c r="AC130" s="426" t="str">
        <f t="shared" ca="1" si="9"/>
        <v/>
      </c>
      <c r="AD130" s="79"/>
    </row>
    <row r="131" spans="1:30" customFormat="1" ht="14.4">
      <c r="A131" s="231"/>
      <c r="B131" s="271">
        <v>93</v>
      </c>
      <c r="C131" s="260" t="s">
        <v>181</v>
      </c>
      <c r="D131" s="261">
        <v>1</v>
      </c>
      <c r="E131" s="252"/>
      <c r="F131" s="237">
        <v>0.4</v>
      </c>
      <c r="G131" s="435">
        <v>100</v>
      </c>
      <c r="H131" s="381">
        <v>117</v>
      </c>
      <c r="I131" s="396"/>
      <c r="J131" s="396"/>
      <c r="K131" s="405"/>
      <c r="L131" s="405"/>
      <c r="M131" s="405"/>
      <c r="N131" s="452"/>
      <c r="O131" s="405"/>
      <c r="P131" s="405"/>
      <c r="Q131" s="405"/>
      <c r="R131" s="452"/>
      <c r="S131" s="443"/>
      <c r="T131" s="421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2"/>
      <c r="V131" s="422"/>
      <c r="W131" s="423"/>
      <c r="X131" s="424"/>
      <c r="Y131" s="425" t="str">
        <f t="shared" ca="1" si="5"/>
        <v/>
      </c>
      <c r="Z131" s="426" t="str">
        <f t="shared" ca="1" si="6"/>
        <v/>
      </c>
      <c r="AA131" s="425" t="str">
        <f t="shared" ca="1" si="7"/>
        <v/>
      </c>
      <c r="AB131" s="427" t="str">
        <f t="shared" ca="1" si="8"/>
        <v/>
      </c>
      <c r="AC131" s="426" t="str">
        <f t="shared" ca="1" si="9"/>
        <v/>
      </c>
      <c r="AD131" s="79"/>
    </row>
    <row r="132" spans="1:30" customFormat="1" ht="14.4">
      <c r="A132" s="231"/>
      <c r="B132" s="271">
        <v>94</v>
      </c>
      <c r="C132" s="260" t="s">
        <v>182</v>
      </c>
      <c r="D132" s="261">
        <v>1</v>
      </c>
      <c r="E132" s="252"/>
      <c r="F132" s="237">
        <v>0.4</v>
      </c>
      <c r="G132" s="435">
        <v>100</v>
      </c>
      <c r="H132" s="381">
        <v>118</v>
      </c>
      <c r="I132" s="396"/>
      <c r="J132" s="396"/>
      <c r="K132" s="405"/>
      <c r="L132" s="405"/>
      <c r="M132" s="405"/>
      <c r="N132" s="452"/>
      <c r="O132" s="405"/>
      <c r="P132" s="405"/>
      <c r="Q132" s="405"/>
      <c r="R132" s="452"/>
      <c r="S132" s="443"/>
      <c r="T132" s="421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2"/>
      <c r="V132" s="422"/>
      <c r="W132" s="423"/>
      <c r="X132" s="424"/>
      <c r="Y132" s="425" t="str">
        <f t="shared" ca="1" si="5"/>
        <v/>
      </c>
      <c r="Z132" s="426" t="str">
        <f t="shared" ca="1" si="6"/>
        <v/>
      </c>
      <c r="AA132" s="425" t="str">
        <f t="shared" ca="1" si="7"/>
        <v/>
      </c>
      <c r="AB132" s="427" t="str">
        <f t="shared" ca="1" si="8"/>
        <v/>
      </c>
      <c r="AC132" s="426" t="str">
        <f t="shared" ca="1" si="9"/>
        <v/>
      </c>
      <c r="AD132" s="79"/>
    </row>
    <row r="133" spans="1:30" customFormat="1" ht="14.4">
      <c r="A133" s="231"/>
      <c r="B133" s="271">
        <v>95</v>
      </c>
      <c r="C133" s="260" t="s">
        <v>183</v>
      </c>
      <c r="D133" s="261">
        <v>1</v>
      </c>
      <c r="E133" s="252"/>
      <c r="F133" s="237">
        <v>0.4</v>
      </c>
      <c r="G133" s="435">
        <v>100</v>
      </c>
      <c r="H133" s="381">
        <v>119</v>
      </c>
      <c r="I133" s="396"/>
      <c r="J133" s="396"/>
      <c r="K133" s="405"/>
      <c r="L133" s="405"/>
      <c r="M133" s="405"/>
      <c r="N133" s="452"/>
      <c r="O133" s="405"/>
      <c r="P133" s="405"/>
      <c r="Q133" s="405"/>
      <c r="R133" s="452"/>
      <c r="S133" s="443"/>
      <c r="T133" s="421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2"/>
      <c r="V133" s="422"/>
      <c r="W133" s="423"/>
      <c r="X133" s="424"/>
      <c r="Y133" s="425" t="str">
        <f t="shared" ca="1" si="5"/>
        <v/>
      </c>
      <c r="Z133" s="426" t="str">
        <f t="shared" ca="1" si="6"/>
        <v/>
      </c>
      <c r="AA133" s="425" t="str">
        <f t="shared" ca="1" si="7"/>
        <v/>
      </c>
      <c r="AB133" s="427" t="str">
        <f t="shared" ca="1" si="8"/>
        <v/>
      </c>
      <c r="AC133" s="426" t="str">
        <f t="shared" ca="1" si="9"/>
        <v/>
      </c>
      <c r="AD133" s="79"/>
    </row>
    <row r="134" spans="1:30" customFormat="1" ht="14.4">
      <c r="A134" s="231"/>
      <c r="B134" s="271">
        <v>96</v>
      </c>
      <c r="C134" s="260" t="s">
        <v>184</v>
      </c>
      <c r="D134" s="261">
        <v>1</v>
      </c>
      <c r="E134" s="252"/>
      <c r="F134" s="237">
        <v>0.4</v>
      </c>
      <c r="G134" s="435">
        <v>100</v>
      </c>
      <c r="H134" s="381">
        <v>120</v>
      </c>
      <c r="I134" s="396"/>
      <c r="J134" s="396"/>
      <c r="K134" s="405"/>
      <c r="L134" s="405"/>
      <c r="M134" s="405"/>
      <c r="N134" s="452"/>
      <c r="O134" s="405"/>
      <c r="P134" s="405"/>
      <c r="Q134" s="405"/>
      <c r="R134" s="452"/>
      <c r="S134" s="443"/>
      <c r="T134" s="421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2"/>
      <c r="V134" s="422"/>
      <c r="W134" s="423"/>
      <c r="X134" s="424"/>
      <c r="Y134" s="425" t="str">
        <f t="shared" ca="1" si="5"/>
        <v/>
      </c>
      <c r="Z134" s="426" t="str">
        <f t="shared" ca="1" si="6"/>
        <v/>
      </c>
      <c r="AA134" s="425" t="str">
        <f t="shared" ca="1" si="7"/>
        <v/>
      </c>
      <c r="AB134" s="427" t="str">
        <f t="shared" ca="1" si="8"/>
        <v/>
      </c>
      <c r="AC134" s="426" t="str">
        <f t="shared" ca="1" si="9"/>
        <v/>
      </c>
      <c r="AD134" s="79"/>
    </row>
    <row r="135" spans="1:30" customFormat="1" ht="14.4">
      <c r="A135" s="231"/>
      <c r="B135" s="271">
        <v>97</v>
      </c>
      <c r="C135" s="260" t="s">
        <v>185</v>
      </c>
      <c r="D135" s="261">
        <v>1</v>
      </c>
      <c r="E135" s="252"/>
      <c r="F135" s="237">
        <v>0.4</v>
      </c>
      <c r="G135" s="435">
        <v>100</v>
      </c>
      <c r="H135" s="381">
        <v>121</v>
      </c>
      <c r="I135" s="396"/>
      <c r="J135" s="396"/>
      <c r="K135" s="405"/>
      <c r="L135" s="405"/>
      <c r="M135" s="405"/>
      <c r="N135" s="452"/>
      <c r="O135" s="405"/>
      <c r="P135" s="405"/>
      <c r="Q135" s="405"/>
      <c r="R135" s="452"/>
      <c r="S135" s="443"/>
      <c r="T135" s="421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2"/>
      <c r="V135" s="422"/>
      <c r="W135" s="423"/>
      <c r="X135" s="424"/>
      <c r="Y135" s="425" t="str">
        <f t="shared" ca="1" si="5"/>
        <v/>
      </c>
      <c r="Z135" s="426" t="str">
        <f t="shared" ca="1" si="6"/>
        <v/>
      </c>
      <c r="AA135" s="425" t="str">
        <f t="shared" ca="1" si="7"/>
        <v/>
      </c>
      <c r="AB135" s="427" t="str">
        <f t="shared" ca="1" si="8"/>
        <v/>
      </c>
      <c r="AC135" s="426" t="str">
        <f t="shared" ca="1" si="9"/>
        <v/>
      </c>
      <c r="AD135" s="79"/>
    </row>
    <row r="136" spans="1:30" customFormat="1" ht="14.4">
      <c r="A136" s="231"/>
      <c r="B136" s="271">
        <v>98</v>
      </c>
      <c r="C136" s="260" t="s">
        <v>186</v>
      </c>
      <c r="D136" s="261">
        <v>1</v>
      </c>
      <c r="E136" s="252"/>
      <c r="F136" s="237">
        <v>0.4</v>
      </c>
      <c r="G136" s="435">
        <v>100</v>
      </c>
      <c r="H136" s="381">
        <v>122</v>
      </c>
      <c r="I136" s="396"/>
      <c r="J136" s="396"/>
      <c r="K136" s="405"/>
      <c r="L136" s="405"/>
      <c r="M136" s="405"/>
      <c r="N136" s="452"/>
      <c r="O136" s="405"/>
      <c r="P136" s="405"/>
      <c r="Q136" s="405"/>
      <c r="R136" s="452"/>
      <c r="S136" s="443"/>
      <c r="T136" s="421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2"/>
      <c r="V136" s="422"/>
      <c r="W136" s="423"/>
      <c r="X136" s="424"/>
      <c r="Y136" s="425" t="str">
        <f t="shared" ca="1" si="5"/>
        <v/>
      </c>
      <c r="Z136" s="426" t="str">
        <f t="shared" ca="1" si="6"/>
        <v/>
      </c>
      <c r="AA136" s="425" t="str">
        <f t="shared" ca="1" si="7"/>
        <v/>
      </c>
      <c r="AB136" s="427" t="str">
        <f t="shared" ca="1" si="8"/>
        <v/>
      </c>
      <c r="AC136" s="426" t="str">
        <f t="shared" ca="1" si="9"/>
        <v/>
      </c>
      <c r="AD136" s="79"/>
    </row>
    <row r="137" spans="1:30" customFormat="1" ht="14.4">
      <c r="A137" s="231"/>
      <c r="B137" s="271">
        <v>99</v>
      </c>
      <c r="C137" s="260" t="s">
        <v>187</v>
      </c>
      <c r="D137" s="261">
        <v>1</v>
      </c>
      <c r="E137" s="252"/>
      <c r="F137" s="237">
        <v>0.4</v>
      </c>
      <c r="G137" s="435">
        <v>100</v>
      </c>
      <c r="H137" s="381">
        <v>123</v>
      </c>
      <c r="I137" s="396"/>
      <c r="J137" s="396"/>
      <c r="K137" s="405"/>
      <c r="L137" s="405"/>
      <c r="M137" s="405"/>
      <c r="N137" s="452"/>
      <c r="O137" s="405"/>
      <c r="P137" s="405"/>
      <c r="Q137" s="405"/>
      <c r="R137" s="452"/>
      <c r="S137" s="443"/>
      <c r="T137" s="421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2"/>
      <c r="V137" s="422"/>
      <c r="W137" s="423"/>
      <c r="X137" s="424"/>
      <c r="Y137" s="425" t="str">
        <f t="shared" ca="1" si="5"/>
        <v/>
      </c>
      <c r="Z137" s="426" t="str">
        <f t="shared" ca="1" si="6"/>
        <v/>
      </c>
      <c r="AA137" s="425" t="str">
        <f t="shared" ca="1" si="7"/>
        <v/>
      </c>
      <c r="AB137" s="427" t="str">
        <f t="shared" ca="1" si="8"/>
        <v/>
      </c>
      <c r="AC137" s="426" t="str">
        <f t="shared" ca="1" si="9"/>
        <v/>
      </c>
      <c r="AD137" s="79"/>
    </row>
    <row r="138" spans="1:30" customFormat="1" ht="14.4">
      <c r="A138" s="231"/>
      <c r="B138" s="271">
        <v>100</v>
      </c>
      <c r="C138" s="260" t="s">
        <v>188</v>
      </c>
      <c r="D138" s="261">
        <v>1</v>
      </c>
      <c r="E138" s="252"/>
      <c r="F138" s="237">
        <v>0.4</v>
      </c>
      <c r="G138" s="435">
        <v>100</v>
      </c>
      <c r="H138" s="381">
        <v>124</v>
      </c>
      <c r="I138" s="396"/>
      <c r="J138" s="396"/>
      <c r="K138" s="405"/>
      <c r="L138" s="405"/>
      <c r="M138" s="405"/>
      <c r="N138" s="452"/>
      <c r="O138" s="405"/>
      <c r="P138" s="405"/>
      <c r="Q138" s="405"/>
      <c r="R138" s="452"/>
      <c r="S138" s="443"/>
      <c r="T138" s="421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2"/>
      <c r="V138" s="422"/>
      <c r="W138" s="423"/>
      <c r="X138" s="424"/>
      <c r="Y138" s="425" t="str">
        <f t="shared" ca="1" si="5"/>
        <v/>
      </c>
      <c r="Z138" s="426" t="str">
        <f t="shared" ca="1" si="6"/>
        <v/>
      </c>
      <c r="AA138" s="425" t="str">
        <f t="shared" ca="1" si="7"/>
        <v/>
      </c>
      <c r="AB138" s="427" t="str">
        <f t="shared" ca="1" si="8"/>
        <v/>
      </c>
      <c r="AC138" s="426" t="str">
        <f t="shared" ca="1" si="9"/>
        <v/>
      </c>
      <c r="AD138" s="79"/>
    </row>
    <row r="139" spans="1:30" customFormat="1" ht="14.4">
      <c r="A139" s="231"/>
      <c r="B139" s="271">
        <v>101</v>
      </c>
      <c r="C139" s="260"/>
      <c r="D139" s="261"/>
      <c r="E139" s="252"/>
      <c r="F139" s="237"/>
      <c r="G139" s="244"/>
      <c r="H139" s="381">
        <v>125</v>
      </c>
      <c r="I139" s="396"/>
      <c r="J139" s="396"/>
      <c r="K139" s="405"/>
      <c r="L139" s="405"/>
      <c r="M139" s="405"/>
      <c r="N139" s="452"/>
      <c r="O139" s="405"/>
      <c r="P139" s="405"/>
      <c r="Q139" s="405"/>
      <c r="R139" s="452"/>
      <c r="S139" s="443"/>
      <c r="T139" s="421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2"/>
      <c r="V139" s="422"/>
      <c r="W139" s="423"/>
      <c r="X139" s="424"/>
      <c r="Y139" s="425" t="str">
        <f t="shared" ca="1" si="5"/>
        <v/>
      </c>
      <c r="Z139" s="426" t="str">
        <f t="shared" ca="1" si="6"/>
        <v/>
      </c>
      <c r="AA139" s="425" t="str">
        <f t="shared" ca="1" si="7"/>
        <v/>
      </c>
      <c r="AB139" s="427" t="str">
        <f t="shared" ca="1" si="8"/>
        <v/>
      </c>
      <c r="AC139" s="426" t="str">
        <f t="shared" ca="1" si="9"/>
        <v/>
      </c>
      <c r="AD139" s="79"/>
    </row>
    <row r="140" spans="1:30" customFormat="1" ht="14.4">
      <c r="A140" s="231"/>
      <c r="B140" s="271">
        <v>102</v>
      </c>
      <c r="C140" s="260"/>
      <c r="D140" s="261"/>
      <c r="E140" s="252"/>
      <c r="F140" s="237"/>
      <c r="G140" s="244"/>
      <c r="H140" s="381">
        <v>126</v>
      </c>
      <c r="I140" s="396"/>
      <c r="J140" s="396"/>
      <c r="K140" s="405"/>
      <c r="L140" s="405"/>
      <c r="M140" s="396"/>
      <c r="N140" s="453"/>
      <c r="O140" s="396"/>
      <c r="P140" s="396"/>
      <c r="Q140" s="396"/>
      <c r="R140" s="453"/>
      <c r="S140" s="443"/>
      <c r="T140" s="421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2"/>
      <c r="V140" s="422"/>
      <c r="W140" s="423"/>
      <c r="X140" s="424"/>
      <c r="Y140" s="425" t="str">
        <f t="shared" ca="1" si="5"/>
        <v/>
      </c>
      <c r="Z140" s="426" t="str">
        <f t="shared" ca="1" si="6"/>
        <v/>
      </c>
      <c r="AA140" s="425" t="str">
        <f t="shared" ca="1" si="7"/>
        <v/>
      </c>
      <c r="AB140" s="427" t="str">
        <f t="shared" ca="1" si="8"/>
        <v/>
      </c>
      <c r="AC140" s="426" t="str">
        <f t="shared" ca="1" si="9"/>
        <v/>
      </c>
      <c r="AD140" s="79"/>
    </row>
    <row r="141" spans="1:30" customFormat="1" ht="14.4">
      <c r="A141" s="231"/>
      <c r="B141" s="271">
        <v>103</v>
      </c>
      <c r="C141" s="260"/>
      <c r="D141" s="261"/>
      <c r="E141" s="252"/>
      <c r="F141" s="237"/>
      <c r="G141" s="244"/>
      <c r="H141" s="381">
        <v>127</v>
      </c>
      <c r="I141" s="396"/>
      <c r="J141" s="396"/>
      <c r="K141" s="405"/>
      <c r="L141" s="405"/>
      <c r="M141" s="396"/>
      <c r="N141" s="453"/>
      <c r="O141" s="396"/>
      <c r="P141" s="396"/>
      <c r="Q141" s="396"/>
      <c r="R141" s="453"/>
      <c r="S141" s="443"/>
      <c r="T141" s="421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2"/>
      <c r="V141" s="422"/>
      <c r="W141" s="423"/>
      <c r="X141" s="424"/>
      <c r="Y141" s="425" t="str">
        <f t="shared" ca="1" si="5"/>
        <v/>
      </c>
      <c r="Z141" s="426" t="str">
        <f t="shared" ca="1" si="6"/>
        <v/>
      </c>
      <c r="AA141" s="425" t="str">
        <f t="shared" ca="1" si="7"/>
        <v/>
      </c>
      <c r="AB141" s="427" t="str">
        <f t="shared" ca="1" si="8"/>
        <v/>
      </c>
      <c r="AC141" s="426" t="str">
        <f t="shared" ca="1" si="9"/>
        <v/>
      </c>
      <c r="AD141" s="79"/>
    </row>
    <row r="142" spans="1:30" customFormat="1" ht="14.4">
      <c r="A142" s="231"/>
      <c r="B142" s="271">
        <v>104</v>
      </c>
      <c r="C142" s="260"/>
      <c r="D142" s="261"/>
      <c r="E142" s="252"/>
      <c r="F142" s="237"/>
      <c r="G142" s="244"/>
      <c r="H142" s="381">
        <v>128</v>
      </c>
      <c r="I142" s="396"/>
      <c r="J142" s="396"/>
      <c r="K142" s="405"/>
      <c r="L142" s="405"/>
      <c r="M142" s="396"/>
      <c r="N142" s="453"/>
      <c r="O142" s="396"/>
      <c r="P142" s="396"/>
      <c r="Q142" s="396"/>
      <c r="R142" s="453"/>
      <c r="S142" s="443"/>
      <c r="T142" s="421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2"/>
      <c r="V142" s="422"/>
      <c r="W142" s="423"/>
      <c r="X142" s="424"/>
      <c r="Y142" s="425" t="str">
        <f t="shared" ca="1" si="5"/>
        <v/>
      </c>
      <c r="Z142" s="426" t="str">
        <f t="shared" ca="1" si="6"/>
        <v/>
      </c>
      <c r="AA142" s="425" t="str">
        <f t="shared" ca="1" si="7"/>
        <v/>
      </c>
      <c r="AB142" s="427" t="str">
        <f t="shared" ca="1" si="8"/>
        <v/>
      </c>
      <c r="AC142" s="426" t="str">
        <f t="shared" ca="1" si="9"/>
        <v/>
      </c>
      <c r="AD142" s="79"/>
    </row>
    <row r="143" spans="1:30" customFormat="1" ht="14.4">
      <c r="A143" s="231"/>
      <c r="B143" s="271">
        <v>105</v>
      </c>
      <c r="C143" s="260"/>
      <c r="D143" s="261"/>
      <c r="E143" s="252"/>
      <c r="F143" s="237"/>
      <c r="G143" s="244"/>
      <c r="H143" s="381">
        <v>129</v>
      </c>
      <c r="I143" s="396"/>
      <c r="J143" s="396"/>
      <c r="K143" s="405"/>
      <c r="L143" s="405"/>
      <c r="M143" s="396"/>
      <c r="N143" s="453"/>
      <c r="O143" s="396"/>
      <c r="P143" s="396"/>
      <c r="Q143" s="396"/>
      <c r="R143" s="453"/>
      <c r="S143" s="443"/>
      <c r="T143" s="421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2"/>
      <c r="V143" s="422"/>
      <c r="W143" s="423"/>
      <c r="X143" s="424"/>
      <c r="Y143" s="425" t="str">
        <f t="shared" ca="1" si="5"/>
        <v/>
      </c>
      <c r="Z143" s="426" t="str">
        <f t="shared" ca="1" si="6"/>
        <v/>
      </c>
      <c r="AA143" s="425" t="str">
        <f t="shared" ca="1" si="7"/>
        <v/>
      </c>
      <c r="AB143" s="427" t="str">
        <f t="shared" ca="1" si="8"/>
        <v/>
      </c>
      <c r="AC143" s="426" t="str">
        <f t="shared" ca="1" si="9"/>
        <v/>
      </c>
      <c r="AD143" s="79"/>
    </row>
    <row r="144" spans="1:30" customFormat="1" ht="14.4">
      <c r="A144" s="231"/>
      <c r="B144" s="271">
        <v>106</v>
      </c>
      <c r="C144" s="260"/>
      <c r="D144" s="261"/>
      <c r="E144" s="252"/>
      <c r="F144" s="237"/>
      <c r="G144" s="244"/>
      <c r="H144" s="381">
        <v>130</v>
      </c>
      <c r="I144" s="396"/>
      <c r="J144" s="396"/>
      <c r="K144" s="405"/>
      <c r="L144" s="405"/>
      <c r="M144" s="396"/>
      <c r="N144" s="453"/>
      <c r="O144" s="396"/>
      <c r="P144" s="396"/>
      <c r="Q144" s="396"/>
      <c r="R144" s="453"/>
      <c r="S144" s="443"/>
      <c r="T144" s="421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2"/>
      <c r="V144" s="422"/>
      <c r="W144" s="423"/>
      <c r="X144" s="424"/>
      <c r="Y144" s="425" t="str">
        <f t="shared" ref="Y144:Y207" ca="1" si="10">IF($U$12,IF(T144="","",$U$13*D168/$C$18),"")</f>
        <v/>
      </c>
      <c r="Z144" s="426" t="str">
        <f t="shared" ref="Z144:Z207" ca="1" si="11">IF($U$12,IF(Y144="","",Y144*($Z$10-W144)*X144),"")</f>
        <v/>
      </c>
      <c r="AA144" s="425" t="str">
        <f t="shared" ref="AA144:AA207" ca="1" si="12">IF($U$12,IF(OR(T144="",L144=""),"",L144/($C$20-$C$19)),"")</f>
        <v/>
      </c>
      <c r="AB144" s="427" t="str">
        <f t="shared" ref="AB144:AB207" ca="1" si="13">IF($U$12,IF(W144="","",W144*$AC$10),"")</f>
        <v/>
      </c>
      <c r="AC144" s="426" t="str">
        <f t="shared" ref="AC144:AC207" ca="1" si="14">IF($U$12,IF(AA144="","",AA144*(AB144-W144)*X144),"")</f>
        <v/>
      </c>
      <c r="AD144" s="79"/>
    </row>
    <row r="145" spans="1:30" customFormat="1" ht="14.4">
      <c r="A145" s="231"/>
      <c r="B145" s="271">
        <v>107</v>
      </c>
      <c r="C145" s="260"/>
      <c r="D145" s="261"/>
      <c r="E145" s="252"/>
      <c r="F145" s="237"/>
      <c r="G145" s="244"/>
      <c r="H145" s="381">
        <v>131</v>
      </c>
      <c r="I145" s="396"/>
      <c r="J145" s="396"/>
      <c r="K145" s="405"/>
      <c r="L145" s="405"/>
      <c r="M145" s="396"/>
      <c r="N145" s="453"/>
      <c r="O145" s="396"/>
      <c r="P145" s="396"/>
      <c r="Q145" s="396"/>
      <c r="R145" s="453"/>
      <c r="S145" s="443"/>
      <c r="T145" s="421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2"/>
      <c r="V145" s="422"/>
      <c r="W145" s="423"/>
      <c r="X145" s="424"/>
      <c r="Y145" s="425" t="str">
        <f t="shared" ca="1" si="10"/>
        <v/>
      </c>
      <c r="Z145" s="426" t="str">
        <f t="shared" ca="1" si="11"/>
        <v/>
      </c>
      <c r="AA145" s="425" t="str">
        <f t="shared" ca="1" si="12"/>
        <v/>
      </c>
      <c r="AB145" s="427" t="str">
        <f t="shared" ca="1" si="13"/>
        <v/>
      </c>
      <c r="AC145" s="426" t="str">
        <f t="shared" ca="1" si="14"/>
        <v/>
      </c>
      <c r="AD145" s="79"/>
    </row>
    <row r="146" spans="1:30" customFormat="1" ht="14.4">
      <c r="A146" s="231"/>
      <c r="B146" s="271">
        <v>108</v>
      </c>
      <c r="C146" s="260"/>
      <c r="D146" s="261"/>
      <c r="E146" s="252"/>
      <c r="F146" s="237"/>
      <c r="G146" s="244"/>
      <c r="H146" s="381">
        <v>132</v>
      </c>
      <c r="I146" s="396"/>
      <c r="J146" s="396"/>
      <c r="K146" s="405"/>
      <c r="L146" s="405"/>
      <c r="M146" s="396"/>
      <c r="N146" s="453"/>
      <c r="O146" s="396"/>
      <c r="P146" s="396"/>
      <c r="Q146" s="396"/>
      <c r="R146" s="453"/>
      <c r="S146" s="443"/>
      <c r="T146" s="421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2"/>
      <c r="V146" s="422"/>
      <c r="W146" s="423"/>
      <c r="X146" s="424"/>
      <c r="Y146" s="425" t="str">
        <f t="shared" ca="1" si="10"/>
        <v/>
      </c>
      <c r="Z146" s="426" t="str">
        <f t="shared" ca="1" si="11"/>
        <v/>
      </c>
      <c r="AA146" s="425" t="str">
        <f t="shared" ca="1" si="12"/>
        <v/>
      </c>
      <c r="AB146" s="427" t="str">
        <f t="shared" ca="1" si="13"/>
        <v/>
      </c>
      <c r="AC146" s="426" t="str">
        <f t="shared" ca="1" si="14"/>
        <v/>
      </c>
      <c r="AD146" s="79"/>
    </row>
    <row r="147" spans="1:30" customFormat="1" ht="14.4">
      <c r="A147" s="231"/>
      <c r="B147" s="271">
        <v>109</v>
      </c>
      <c r="C147" s="260"/>
      <c r="D147" s="261"/>
      <c r="E147" s="252"/>
      <c r="F147" s="237"/>
      <c r="G147" s="244"/>
      <c r="H147" s="381">
        <v>133</v>
      </c>
      <c r="I147" s="396"/>
      <c r="J147" s="396"/>
      <c r="K147" s="405"/>
      <c r="L147" s="405"/>
      <c r="M147" s="396"/>
      <c r="N147" s="453"/>
      <c r="O147" s="396"/>
      <c r="P147" s="396"/>
      <c r="Q147" s="396"/>
      <c r="R147" s="453"/>
      <c r="S147" s="443"/>
      <c r="T147" s="421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2"/>
      <c r="V147" s="422"/>
      <c r="W147" s="423"/>
      <c r="X147" s="424"/>
      <c r="Y147" s="425" t="str">
        <f t="shared" ca="1" si="10"/>
        <v/>
      </c>
      <c r="Z147" s="426" t="str">
        <f t="shared" ca="1" si="11"/>
        <v/>
      </c>
      <c r="AA147" s="425" t="str">
        <f t="shared" ca="1" si="12"/>
        <v/>
      </c>
      <c r="AB147" s="427" t="str">
        <f t="shared" ca="1" si="13"/>
        <v/>
      </c>
      <c r="AC147" s="426" t="str">
        <f t="shared" ca="1" si="14"/>
        <v/>
      </c>
      <c r="AD147" s="79"/>
    </row>
    <row r="148" spans="1:30" customFormat="1" ht="14.4">
      <c r="A148" s="231"/>
      <c r="B148" s="271">
        <v>110</v>
      </c>
      <c r="C148" s="260"/>
      <c r="D148" s="261"/>
      <c r="E148" s="252"/>
      <c r="F148" s="237"/>
      <c r="G148" s="244"/>
      <c r="H148" s="381">
        <v>134</v>
      </c>
      <c r="I148" s="396"/>
      <c r="J148" s="396"/>
      <c r="K148" s="405"/>
      <c r="L148" s="405"/>
      <c r="M148" s="396"/>
      <c r="N148" s="453"/>
      <c r="O148" s="396"/>
      <c r="P148" s="396"/>
      <c r="Q148" s="396"/>
      <c r="R148" s="453"/>
      <c r="S148" s="443"/>
      <c r="T148" s="421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2"/>
      <c r="V148" s="422"/>
      <c r="W148" s="423"/>
      <c r="X148" s="424"/>
      <c r="Y148" s="425" t="str">
        <f t="shared" ca="1" si="10"/>
        <v/>
      </c>
      <c r="Z148" s="426" t="str">
        <f t="shared" ca="1" si="11"/>
        <v/>
      </c>
      <c r="AA148" s="425" t="str">
        <f t="shared" ca="1" si="12"/>
        <v/>
      </c>
      <c r="AB148" s="427" t="str">
        <f t="shared" ca="1" si="13"/>
        <v/>
      </c>
      <c r="AC148" s="426" t="str">
        <f t="shared" ca="1" si="14"/>
        <v/>
      </c>
      <c r="AD148" s="79"/>
    </row>
    <row r="149" spans="1:30" customFormat="1" ht="14.4">
      <c r="A149" s="231"/>
      <c r="B149" s="271">
        <v>111</v>
      </c>
      <c r="C149" s="260"/>
      <c r="D149" s="261"/>
      <c r="E149" s="252"/>
      <c r="F149" s="237"/>
      <c r="G149" s="244"/>
      <c r="H149" s="381">
        <v>135</v>
      </c>
      <c r="I149" s="396"/>
      <c r="J149" s="396"/>
      <c r="K149" s="405"/>
      <c r="L149" s="405"/>
      <c r="M149" s="396"/>
      <c r="N149" s="453"/>
      <c r="O149" s="396"/>
      <c r="P149" s="396"/>
      <c r="Q149" s="396"/>
      <c r="R149" s="453"/>
      <c r="S149" s="443"/>
      <c r="T149" s="421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2"/>
      <c r="V149" s="422"/>
      <c r="W149" s="423"/>
      <c r="X149" s="424"/>
      <c r="Y149" s="425" t="str">
        <f t="shared" ca="1" si="10"/>
        <v/>
      </c>
      <c r="Z149" s="426" t="str">
        <f t="shared" ca="1" si="11"/>
        <v/>
      </c>
      <c r="AA149" s="425" t="str">
        <f t="shared" ca="1" si="12"/>
        <v/>
      </c>
      <c r="AB149" s="427" t="str">
        <f t="shared" ca="1" si="13"/>
        <v/>
      </c>
      <c r="AC149" s="426" t="str">
        <f t="shared" ca="1" si="14"/>
        <v/>
      </c>
      <c r="AD149" s="79"/>
    </row>
    <row r="150" spans="1:30" customFormat="1" ht="14.4">
      <c r="A150" s="231"/>
      <c r="B150" s="271">
        <v>112</v>
      </c>
      <c r="C150" s="260"/>
      <c r="D150" s="261"/>
      <c r="E150" s="252"/>
      <c r="F150" s="237"/>
      <c r="G150" s="244"/>
      <c r="H150" s="381">
        <v>136</v>
      </c>
      <c r="I150" s="396"/>
      <c r="J150" s="396"/>
      <c r="K150" s="405"/>
      <c r="L150" s="405"/>
      <c r="M150" s="396"/>
      <c r="N150" s="453"/>
      <c r="O150" s="396"/>
      <c r="P150" s="396"/>
      <c r="Q150" s="396"/>
      <c r="R150" s="453"/>
      <c r="S150" s="443"/>
      <c r="T150" s="421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2"/>
      <c r="V150" s="422"/>
      <c r="W150" s="423"/>
      <c r="X150" s="424"/>
      <c r="Y150" s="425" t="str">
        <f t="shared" ca="1" si="10"/>
        <v/>
      </c>
      <c r="Z150" s="426" t="str">
        <f t="shared" ca="1" si="11"/>
        <v/>
      </c>
      <c r="AA150" s="425" t="str">
        <f t="shared" ca="1" si="12"/>
        <v/>
      </c>
      <c r="AB150" s="427" t="str">
        <f t="shared" ca="1" si="13"/>
        <v/>
      </c>
      <c r="AC150" s="426" t="str">
        <f t="shared" ca="1" si="14"/>
        <v/>
      </c>
      <c r="AD150" s="79"/>
    </row>
    <row r="151" spans="1:30" customFormat="1" ht="14.4">
      <c r="A151" s="231"/>
      <c r="B151" s="271">
        <v>113</v>
      </c>
      <c r="C151" s="260"/>
      <c r="D151" s="261"/>
      <c r="E151" s="252"/>
      <c r="F151" s="237"/>
      <c r="G151" s="244"/>
      <c r="H151" s="381">
        <v>137</v>
      </c>
      <c r="I151" s="396"/>
      <c r="J151" s="396"/>
      <c r="K151" s="405"/>
      <c r="L151" s="405"/>
      <c r="M151" s="396"/>
      <c r="N151" s="453"/>
      <c r="O151" s="396"/>
      <c r="P151" s="396"/>
      <c r="Q151" s="396"/>
      <c r="R151" s="453"/>
      <c r="S151" s="443"/>
      <c r="T151" s="421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2"/>
      <c r="V151" s="422"/>
      <c r="W151" s="423"/>
      <c r="X151" s="424"/>
      <c r="Y151" s="425" t="str">
        <f t="shared" ca="1" si="10"/>
        <v/>
      </c>
      <c r="Z151" s="426" t="str">
        <f t="shared" ca="1" si="11"/>
        <v/>
      </c>
      <c r="AA151" s="425" t="str">
        <f t="shared" ca="1" si="12"/>
        <v/>
      </c>
      <c r="AB151" s="427" t="str">
        <f t="shared" ca="1" si="13"/>
        <v/>
      </c>
      <c r="AC151" s="426" t="str">
        <f t="shared" ca="1" si="14"/>
        <v/>
      </c>
      <c r="AD151" s="79"/>
    </row>
    <row r="152" spans="1:30" customFormat="1" ht="14.4">
      <c r="A152" s="231"/>
      <c r="B152" s="271">
        <v>114</v>
      </c>
      <c r="C152" s="260"/>
      <c r="D152" s="261"/>
      <c r="E152" s="252"/>
      <c r="F152" s="237"/>
      <c r="G152" s="244"/>
      <c r="H152" s="381">
        <v>138</v>
      </c>
      <c r="I152" s="396"/>
      <c r="J152" s="396"/>
      <c r="K152" s="405"/>
      <c r="L152" s="405"/>
      <c r="M152" s="396"/>
      <c r="N152" s="453"/>
      <c r="O152" s="396"/>
      <c r="P152" s="396"/>
      <c r="Q152" s="396"/>
      <c r="R152" s="453"/>
      <c r="S152" s="443"/>
      <c r="T152" s="421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2"/>
      <c r="V152" s="422"/>
      <c r="W152" s="423"/>
      <c r="X152" s="424"/>
      <c r="Y152" s="425" t="str">
        <f t="shared" ca="1" si="10"/>
        <v/>
      </c>
      <c r="Z152" s="426" t="str">
        <f t="shared" ca="1" si="11"/>
        <v/>
      </c>
      <c r="AA152" s="425" t="str">
        <f t="shared" ca="1" si="12"/>
        <v/>
      </c>
      <c r="AB152" s="427" t="str">
        <f t="shared" ca="1" si="13"/>
        <v/>
      </c>
      <c r="AC152" s="426" t="str">
        <f t="shared" ca="1" si="14"/>
        <v/>
      </c>
      <c r="AD152" s="79"/>
    </row>
    <row r="153" spans="1:30" customFormat="1" ht="14.4">
      <c r="A153" s="231"/>
      <c r="B153" s="271">
        <v>115</v>
      </c>
      <c r="C153" s="260"/>
      <c r="D153" s="261"/>
      <c r="E153" s="252"/>
      <c r="F153" s="237"/>
      <c r="G153" s="244"/>
      <c r="H153" s="381">
        <v>139</v>
      </c>
      <c r="I153" s="396"/>
      <c r="J153" s="396"/>
      <c r="K153" s="405"/>
      <c r="L153" s="405"/>
      <c r="M153" s="396"/>
      <c r="N153" s="453"/>
      <c r="O153" s="396"/>
      <c r="P153" s="396"/>
      <c r="Q153" s="396"/>
      <c r="R153" s="453"/>
      <c r="S153" s="443"/>
      <c r="T153" s="421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2"/>
      <c r="V153" s="422"/>
      <c r="W153" s="423"/>
      <c r="X153" s="424"/>
      <c r="Y153" s="425" t="str">
        <f t="shared" ca="1" si="10"/>
        <v/>
      </c>
      <c r="Z153" s="426" t="str">
        <f t="shared" ca="1" si="11"/>
        <v/>
      </c>
      <c r="AA153" s="425" t="str">
        <f t="shared" ca="1" si="12"/>
        <v/>
      </c>
      <c r="AB153" s="427" t="str">
        <f t="shared" ca="1" si="13"/>
        <v/>
      </c>
      <c r="AC153" s="426" t="str">
        <f t="shared" ca="1" si="14"/>
        <v/>
      </c>
      <c r="AD153" s="79"/>
    </row>
    <row r="154" spans="1:30" customFormat="1" ht="14.4">
      <c r="A154" s="231"/>
      <c r="B154" s="271">
        <v>116</v>
      </c>
      <c r="C154" s="260"/>
      <c r="D154" s="261"/>
      <c r="E154" s="252"/>
      <c r="F154" s="237"/>
      <c r="G154" s="244"/>
      <c r="H154" s="381">
        <v>140</v>
      </c>
      <c r="I154" s="396"/>
      <c r="J154" s="396"/>
      <c r="K154" s="405"/>
      <c r="L154" s="405"/>
      <c r="M154" s="396"/>
      <c r="N154" s="453"/>
      <c r="O154" s="396"/>
      <c r="P154" s="396"/>
      <c r="Q154" s="396"/>
      <c r="R154" s="453"/>
      <c r="S154" s="443"/>
      <c r="T154" s="421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2"/>
      <c r="V154" s="422"/>
      <c r="W154" s="423"/>
      <c r="X154" s="424"/>
      <c r="Y154" s="425" t="str">
        <f t="shared" ca="1" si="10"/>
        <v/>
      </c>
      <c r="Z154" s="426" t="str">
        <f t="shared" ca="1" si="11"/>
        <v/>
      </c>
      <c r="AA154" s="425" t="str">
        <f t="shared" ca="1" si="12"/>
        <v/>
      </c>
      <c r="AB154" s="427" t="str">
        <f t="shared" ca="1" si="13"/>
        <v/>
      </c>
      <c r="AC154" s="426" t="str">
        <f t="shared" ca="1" si="14"/>
        <v/>
      </c>
      <c r="AD154" s="79"/>
    </row>
    <row r="155" spans="1:30" customFormat="1" ht="14.4">
      <c r="A155" s="231"/>
      <c r="B155" s="271">
        <v>117</v>
      </c>
      <c r="C155" s="260"/>
      <c r="D155" s="261"/>
      <c r="E155" s="252"/>
      <c r="F155" s="237"/>
      <c r="G155" s="244"/>
      <c r="H155" s="381">
        <v>141</v>
      </c>
      <c r="I155" s="396"/>
      <c r="J155" s="396"/>
      <c r="K155" s="405"/>
      <c r="L155" s="405"/>
      <c r="M155" s="396"/>
      <c r="N155" s="453"/>
      <c r="O155" s="396"/>
      <c r="P155" s="396"/>
      <c r="Q155" s="396"/>
      <c r="R155" s="453"/>
      <c r="S155" s="443"/>
      <c r="T155" s="421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2"/>
      <c r="V155" s="422"/>
      <c r="W155" s="423"/>
      <c r="X155" s="424"/>
      <c r="Y155" s="425" t="str">
        <f t="shared" ca="1" si="10"/>
        <v/>
      </c>
      <c r="Z155" s="426" t="str">
        <f t="shared" ca="1" si="11"/>
        <v/>
      </c>
      <c r="AA155" s="425" t="str">
        <f t="shared" ca="1" si="12"/>
        <v/>
      </c>
      <c r="AB155" s="427" t="str">
        <f t="shared" ca="1" si="13"/>
        <v/>
      </c>
      <c r="AC155" s="426" t="str">
        <f t="shared" ca="1" si="14"/>
        <v/>
      </c>
      <c r="AD155" s="79"/>
    </row>
    <row r="156" spans="1:30" customFormat="1" ht="14.4">
      <c r="A156" s="231"/>
      <c r="B156" s="271">
        <v>118</v>
      </c>
      <c r="C156" s="260"/>
      <c r="D156" s="261"/>
      <c r="E156" s="252"/>
      <c r="F156" s="237"/>
      <c r="G156" s="244"/>
      <c r="H156" s="381">
        <v>142</v>
      </c>
      <c r="I156" s="396"/>
      <c r="J156" s="396"/>
      <c r="K156" s="405"/>
      <c r="L156" s="405"/>
      <c r="M156" s="396"/>
      <c r="N156" s="453"/>
      <c r="O156" s="396"/>
      <c r="P156" s="396"/>
      <c r="Q156" s="396"/>
      <c r="R156" s="453"/>
      <c r="S156" s="443"/>
      <c r="T156" s="421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2"/>
      <c r="V156" s="422"/>
      <c r="W156" s="423"/>
      <c r="X156" s="424"/>
      <c r="Y156" s="425" t="str">
        <f t="shared" ca="1" si="10"/>
        <v/>
      </c>
      <c r="Z156" s="426" t="str">
        <f t="shared" ca="1" si="11"/>
        <v/>
      </c>
      <c r="AA156" s="425" t="str">
        <f t="shared" ca="1" si="12"/>
        <v/>
      </c>
      <c r="AB156" s="427" t="str">
        <f t="shared" ca="1" si="13"/>
        <v/>
      </c>
      <c r="AC156" s="426" t="str">
        <f t="shared" ca="1" si="14"/>
        <v/>
      </c>
      <c r="AD156" s="79"/>
    </row>
    <row r="157" spans="1:30" customFormat="1" ht="14.4">
      <c r="A157" s="231"/>
      <c r="B157" s="271">
        <v>119</v>
      </c>
      <c r="C157" s="260"/>
      <c r="D157" s="261"/>
      <c r="E157" s="252"/>
      <c r="F157" s="237"/>
      <c r="G157" s="244"/>
      <c r="H157" s="381">
        <v>143</v>
      </c>
      <c r="I157" s="396"/>
      <c r="J157" s="396"/>
      <c r="K157" s="405"/>
      <c r="L157" s="405"/>
      <c r="M157" s="396"/>
      <c r="N157" s="453"/>
      <c r="O157" s="396"/>
      <c r="P157" s="396"/>
      <c r="Q157" s="396"/>
      <c r="R157" s="453"/>
      <c r="S157" s="443"/>
      <c r="T157" s="421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2"/>
      <c r="V157" s="422"/>
      <c r="W157" s="423"/>
      <c r="X157" s="424"/>
      <c r="Y157" s="425" t="str">
        <f t="shared" ca="1" si="10"/>
        <v/>
      </c>
      <c r="Z157" s="426" t="str">
        <f t="shared" ca="1" si="11"/>
        <v/>
      </c>
      <c r="AA157" s="425" t="str">
        <f t="shared" ca="1" si="12"/>
        <v/>
      </c>
      <c r="AB157" s="427" t="str">
        <f t="shared" ca="1" si="13"/>
        <v/>
      </c>
      <c r="AC157" s="426" t="str">
        <f t="shared" ca="1" si="14"/>
        <v/>
      </c>
      <c r="AD157" s="79"/>
    </row>
    <row r="158" spans="1:30" customFormat="1" ht="14.4">
      <c r="A158" s="231"/>
      <c r="B158" s="271">
        <v>120</v>
      </c>
      <c r="C158" s="260"/>
      <c r="D158" s="261"/>
      <c r="E158" s="252"/>
      <c r="F158" s="237"/>
      <c r="G158" s="244"/>
      <c r="H158" s="381">
        <v>144</v>
      </c>
      <c r="I158" s="396"/>
      <c r="J158" s="396"/>
      <c r="K158" s="405"/>
      <c r="L158" s="405"/>
      <c r="M158" s="396"/>
      <c r="N158" s="453"/>
      <c r="O158" s="396"/>
      <c r="P158" s="396"/>
      <c r="Q158" s="396"/>
      <c r="R158" s="453"/>
      <c r="S158" s="443"/>
      <c r="T158" s="421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2"/>
      <c r="V158" s="422"/>
      <c r="W158" s="423"/>
      <c r="X158" s="424"/>
      <c r="Y158" s="425" t="str">
        <f t="shared" ca="1" si="10"/>
        <v/>
      </c>
      <c r="Z158" s="426" t="str">
        <f t="shared" ca="1" si="11"/>
        <v/>
      </c>
      <c r="AA158" s="425" t="str">
        <f t="shared" ca="1" si="12"/>
        <v/>
      </c>
      <c r="AB158" s="427" t="str">
        <f t="shared" ca="1" si="13"/>
        <v/>
      </c>
      <c r="AC158" s="426" t="str">
        <f t="shared" ca="1" si="14"/>
        <v/>
      </c>
      <c r="AD158" s="79"/>
    </row>
    <row r="159" spans="1:30" customFormat="1" ht="14.4">
      <c r="A159" s="231"/>
      <c r="B159" s="271">
        <v>121</v>
      </c>
      <c r="C159" s="260"/>
      <c r="D159" s="261"/>
      <c r="E159" s="252"/>
      <c r="F159" s="237"/>
      <c r="G159" s="244"/>
      <c r="H159" s="381">
        <v>145</v>
      </c>
      <c r="I159" s="396"/>
      <c r="J159" s="396"/>
      <c r="K159" s="405"/>
      <c r="L159" s="405"/>
      <c r="M159" s="396"/>
      <c r="N159" s="453"/>
      <c r="O159" s="396"/>
      <c r="P159" s="396"/>
      <c r="Q159" s="396"/>
      <c r="R159" s="453"/>
      <c r="S159" s="443"/>
      <c r="T159" s="421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2"/>
      <c r="V159" s="422"/>
      <c r="W159" s="423"/>
      <c r="X159" s="424"/>
      <c r="Y159" s="425" t="str">
        <f t="shared" ca="1" si="10"/>
        <v/>
      </c>
      <c r="Z159" s="426" t="str">
        <f t="shared" ca="1" si="11"/>
        <v/>
      </c>
      <c r="AA159" s="425" t="str">
        <f t="shared" ca="1" si="12"/>
        <v/>
      </c>
      <c r="AB159" s="427" t="str">
        <f t="shared" ca="1" si="13"/>
        <v/>
      </c>
      <c r="AC159" s="426" t="str">
        <f t="shared" ca="1" si="14"/>
        <v/>
      </c>
      <c r="AD159" s="79"/>
    </row>
    <row r="160" spans="1:30" customFormat="1" ht="14.4">
      <c r="A160" s="231"/>
      <c r="B160" s="271">
        <v>122</v>
      </c>
      <c r="C160" s="260"/>
      <c r="D160" s="261"/>
      <c r="E160" s="252"/>
      <c r="F160" s="237"/>
      <c r="G160" s="244"/>
      <c r="H160" s="381">
        <v>146</v>
      </c>
      <c r="I160" s="396"/>
      <c r="J160" s="396"/>
      <c r="K160" s="405"/>
      <c r="L160" s="405"/>
      <c r="M160" s="396"/>
      <c r="N160" s="453"/>
      <c r="O160" s="396"/>
      <c r="P160" s="396"/>
      <c r="Q160" s="396"/>
      <c r="R160" s="453"/>
      <c r="S160" s="443"/>
      <c r="T160" s="421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2"/>
      <c r="V160" s="422"/>
      <c r="W160" s="423"/>
      <c r="X160" s="424"/>
      <c r="Y160" s="425" t="str">
        <f t="shared" ca="1" si="10"/>
        <v/>
      </c>
      <c r="Z160" s="426" t="str">
        <f t="shared" ca="1" si="11"/>
        <v/>
      </c>
      <c r="AA160" s="425" t="str">
        <f t="shared" ca="1" si="12"/>
        <v/>
      </c>
      <c r="AB160" s="427" t="str">
        <f t="shared" ca="1" si="13"/>
        <v/>
      </c>
      <c r="AC160" s="426" t="str">
        <f t="shared" ca="1" si="14"/>
        <v/>
      </c>
      <c r="AD160" s="79"/>
    </row>
    <row r="161" spans="1:30" customFormat="1" ht="14.4">
      <c r="A161" s="231"/>
      <c r="B161" s="271">
        <v>123</v>
      </c>
      <c r="C161" s="260"/>
      <c r="D161" s="261"/>
      <c r="E161" s="252"/>
      <c r="F161" s="237"/>
      <c r="G161" s="244"/>
      <c r="H161" s="381">
        <v>147</v>
      </c>
      <c r="I161" s="396"/>
      <c r="J161" s="396"/>
      <c r="K161" s="405"/>
      <c r="L161" s="405"/>
      <c r="M161" s="396"/>
      <c r="N161" s="453"/>
      <c r="O161" s="396"/>
      <c r="P161" s="396"/>
      <c r="Q161" s="396"/>
      <c r="R161" s="453"/>
      <c r="S161" s="443"/>
      <c r="T161" s="421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2"/>
      <c r="V161" s="422"/>
      <c r="W161" s="423"/>
      <c r="X161" s="424"/>
      <c r="Y161" s="425" t="str">
        <f t="shared" ca="1" si="10"/>
        <v/>
      </c>
      <c r="Z161" s="426" t="str">
        <f t="shared" ca="1" si="11"/>
        <v/>
      </c>
      <c r="AA161" s="425" t="str">
        <f t="shared" ca="1" si="12"/>
        <v/>
      </c>
      <c r="AB161" s="427" t="str">
        <f t="shared" ca="1" si="13"/>
        <v/>
      </c>
      <c r="AC161" s="426" t="str">
        <f t="shared" ca="1" si="14"/>
        <v/>
      </c>
      <c r="AD161" s="79"/>
    </row>
    <row r="162" spans="1:30" customFormat="1" ht="14.4">
      <c r="A162" s="231"/>
      <c r="B162" s="271">
        <v>124</v>
      </c>
      <c r="C162" s="260"/>
      <c r="D162" s="261"/>
      <c r="E162" s="252"/>
      <c r="F162" s="237"/>
      <c r="G162" s="244"/>
      <c r="H162" s="381">
        <v>148</v>
      </c>
      <c r="I162" s="396"/>
      <c r="J162" s="396"/>
      <c r="K162" s="405"/>
      <c r="L162" s="405"/>
      <c r="M162" s="396"/>
      <c r="N162" s="453"/>
      <c r="O162" s="396"/>
      <c r="P162" s="396"/>
      <c r="Q162" s="396"/>
      <c r="R162" s="453"/>
      <c r="S162" s="443"/>
      <c r="T162" s="421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2"/>
      <c r="V162" s="422"/>
      <c r="W162" s="423"/>
      <c r="X162" s="424"/>
      <c r="Y162" s="425" t="str">
        <f t="shared" ca="1" si="10"/>
        <v/>
      </c>
      <c r="Z162" s="426" t="str">
        <f t="shared" ca="1" si="11"/>
        <v/>
      </c>
      <c r="AA162" s="425" t="str">
        <f t="shared" ca="1" si="12"/>
        <v/>
      </c>
      <c r="AB162" s="427" t="str">
        <f t="shared" ca="1" si="13"/>
        <v/>
      </c>
      <c r="AC162" s="426" t="str">
        <f t="shared" ca="1" si="14"/>
        <v/>
      </c>
      <c r="AD162" s="79"/>
    </row>
    <row r="163" spans="1:30" customFormat="1" ht="14.4">
      <c r="A163" s="231"/>
      <c r="B163" s="271">
        <v>125</v>
      </c>
      <c r="C163" s="260"/>
      <c r="D163" s="261"/>
      <c r="E163" s="252"/>
      <c r="F163" s="237"/>
      <c r="G163" s="244"/>
      <c r="H163" s="381">
        <v>149</v>
      </c>
      <c r="I163" s="396"/>
      <c r="J163" s="396"/>
      <c r="K163" s="405"/>
      <c r="L163" s="405"/>
      <c r="M163" s="405"/>
      <c r="N163" s="452"/>
      <c r="O163" s="405"/>
      <c r="P163" s="405"/>
      <c r="Q163" s="405"/>
      <c r="R163" s="452"/>
      <c r="S163" s="443"/>
      <c r="T163" s="421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2"/>
      <c r="V163" s="422"/>
      <c r="W163" s="423"/>
      <c r="X163" s="424"/>
      <c r="Y163" s="425" t="str">
        <f t="shared" ca="1" si="10"/>
        <v/>
      </c>
      <c r="Z163" s="426" t="str">
        <f t="shared" ca="1" si="11"/>
        <v/>
      </c>
      <c r="AA163" s="425" t="str">
        <f t="shared" ca="1" si="12"/>
        <v/>
      </c>
      <c r="AB163" s="427" t="str">
        <f t="shared" ca="1" si="13"/>
        <v/>
      </c>
      <c r="AC163" s="426" t="str">
        <f t="shared" ca="1" si="14"/>
        <v/>
      </c>
      <c r="AD163" s="79"/>
    </row>
    <row r="164" spans="1:30" customFormat="1" ht="14.4">
      <c r="A164" s="231"/>
      <c r="B164" s="271">
        <v>126</v>
      </c>
      <c r="C164" s="260"/>
      <c r="D164" s="261"/>
      <c r="E164" s="252"/>
      <c r="F164" s="237"/>
      <c r="G164" s="244"/>
      <c r="H164" s="381">
        <v>150</v>
      </c>
      <c r="I164" s="396"/>
      <c r="J164" s="396"/>
      <c r="K164" s="405"/>
      <c r="L164" s="405"/>
      <c r="M164" s="405"/>
      <c r="N164" s="452"/>
      <c r="O164" s="405"/>
      <c r="P164" s="405"/>
      <c r="Q164" s="405"/>
      <c r="R164" s="452"/>
      <c r="S164" s="443"/>
      <c r="T164" s="421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2"/>
      <c r="V164" s="422"/>
      <c r="W164" s="423"/>
      <c r="X164" s="424"/>
      <c r="Y164" s="425" t="str">
        <f t="shared" ca="1" si="10"/>
        <v/>
      </c>
      <c r="Z164" s="426" t="str">
        <f t="shared" ca="1" si="11"/>
        <v/>
      </c>
      <c r="AA164" s="425" t="str">
        <f t="shared" ca="1" si="12"/>
        <v/>
      </c>
      <c r="AB164" s="427" t="str">
        <f t="shared" ca="1" si="13"/>
        <v/>
      </c>
      <c r="AC164" s="426" t="str">
        <f t="shared" ca="1" si="14"/>
        <v/>
      </c>
      <c r="AD164" s="79"/>
    </row>
    <row r="165" spans="1:30" customFormat="1" ht="14.4">
      <c r="A165" s="231"/>
      <c r="B165" s="271">
        <v>127</v>
      </c>
      <c r="C165" s="260"/>
      <c r="D165" s="261"/>
      <c r="E165" s="252"/>
      <c r="F165" s="237"/>
      <c r="G165" s="244"/>
      <c r="H165" s="381">
        <v>151</v>
      </c>
      <c r="I165" s="396"/>
      <c r="J165" s="396"/>
      <c r="K165" s="405"/>
      <c r="L165" s="405"/>
      <c r="M165" s="405"/>
      <c r="N165" s="452"/>
      <c r="O165" s="405"/>
      <c r="P165" s="405"/>
      <c r="Q165" s="405"/>
      <c r="R165" s="452"/>
      <c r="S165" s="443"/>
      <c r="T165" s="421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2"/>
      <c r="V165" s="422"/>
      <c r="W165" s="423"/>
      <c r="X165" s="424"/>
      <c r="Y165" s="425" t="str">
        <f t="shared" ca="1" si="10"/>
        <v/>
      </c>
      <c r="Z165" s="426" t="str">
        <f t="shared" ca="1" si="11"/>
        <v/>
      </c>
      <c r="AA165" s="425" t="str">
        <f t="shared" ca="1" si="12"/>
        <v/>
      </c>
      <c r="AB165" s="427" t="str">
        <f t="shared" ca="1" si="13"/>
        <v/>
      </c>
      <c r="AC165" s="426" t="str">
        <f t="shared" ca="1" si="14"/>
        <v/>
      </c>
      <c r="AD165" s="79"/>
    </row>
    <row r="166" spans="1:30" customFormat="1" ht="14.4">
      <c r="A166" s="231"/>
      <c r="B166" s="271">
        <v>128</v>
      </c>
      <c r="C166" s="260"/>
      <c r="D166" s="261"/>
      <c r="E166" s="252"/>
      <c r="F166" s="237"/>
      <c r="G166" s="244"/>
      <c r="H166" s="381">
        <v>152</v>
      </c>
      <c r="I166" s="396"/>
      <c r="J166" s="396"/>
      <c r="K166" s="405"/>
      <c r="L166" s="405"/>
      <c r="M166" s="405"/>
      <c r="N166" s="452"/>
      <c r="O166" s="405"/>
      <c r="P166" s="405"/>
      <c r="Q166" s="405"/>
      <c r="R166" s="452"/>
      <c r="S166" s="443"/>
      <c r="T166" s="421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2"/>
      <c r="V166" s="422"/>
      <c r="W166" s="423"/>
      <c r="X166" s="424"/>
      <c r="Y166" s="425" t="str">
        <f t="shared" ca="1" si="10"/>
        <v/>
      </c>
      <c r="Z166" s="426" t="str">
        <f t="shared" ca="1" si="11"/>
        <v/>
      </c>
      <c r="AA166" s="425" t="str">
        <f t="shared" ca="1" si="12"/>
        <v/>
      </c>
      <c r="AB166" s="427" t="str">
        <f t="shared" ca="1" si="13"/>
        <v/>
      </c>
      <c r="AC166" s="426" t="str">
        <f t="shared" ca="1" si="14"/>
        <v/>
      </c>
      <c r="AD166" s="79"/>
    </row>
    <row r="167" spans="1:30" customFormat="1" ht="14.4">
      <c r="A167" s="231"/>
      <c r="B167" s="271">
        <v>129</v>
      </c>
      <c r="C167" s="260"/>
      <c r="D167" s="261"/>
      <c r="E167" s="252"/>
      <c r="F167" s="237"/>
      <c r="G167" s="244"/>
      <c r="H167" s="381">
        <v>153</v>
      </c>
      <c r="I167" s="396"/>
      <c r="J167" s="396"/>
      <c r="K167" s="405"/>
      <c r="L167" s="405"/>
      <c r="M167" s="405"/>
      <c r="N167" s="452"/>
      <c r="O167" s="405"/>
      <c r="P167" s="405"/>
      <c r="Q167" s="405"/>
      <c r="R167" s="452"/>
      <c r="S167" s="443"/>
      <c r="T167" s="421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2"/>
      <c r="V167" s="422"/>
      <c r="W167" s="423"/>
      <c r="X167" s="424"/>
      <c r="Y167" s="425" t="str">
        <f t="shared" ca="1" si="10"/>
        <v/>
      </c>
      <c r="Z167" s="426" t="str">
        <f t="shared" ca="1" si="11"/>
        <v/>
      </c>
      <c r="AA167" s="425" t="str">
        <f t="shared" ca="1" si="12"/>
        <v/>
      </c>
      <c r="AB167" s="427" t="str">
        <f t="shared" ca="1" si="13"/>
        <v/>
      </c>
      <c r="AC167" s="426" t="str">
        <f t="shared" ca="1" si="14"/>
        <v/>
      </c>
      <c r="AD167" s="79"/>
    </row>
    <row r="168" spans="1:30" customFormat="1" ht="14.4">
      <c r="A168" s="231"/>
      <c r="B168" s="271">
        <v>130</v>
      </c>
      <c r="C168" s="260"/>
      <c r="D168" s="261"/>
      <c r="E168" s="252"/>
      <c r="F168" s="237"/>
      <c r="G168" s="244"/>
      <c r="H168" s="381">
        <v>154</v>
      </c>
      <c r="I168" s="396"/>
      <c r="J168" s="396"/>
      <c r="K168" s="405"/>
      <c r="L168" s="405"/>
      <c r="M168" s="405"/>
      <c r="N168" s="452"/>
      <c r="O168" s="405"/>
      <c r="P168" s="405"/>
      <c r="Q168" s="405"/>
      <c r="R168" s="452"/>
      <c r="S168" s="443"/>
      <c r="T168" s="421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2"/>
      <c r="V168" s="422"/>
      <c r="W168" s="423"/>
      <c r="X168" s="424"/>
      <c r="Y168" s="425" t="str">
        <f t="shared" ca="1" si="10"/>
        <v/>
      </c>
      <c r="Z168" s="426" t="str">
        <f t="shared" ca="1" si="11"/>
        <v/>
      </c>
      <c r="AA168" s="425" t="str">
        <f t="shared" ca="1" si="12"/>
        <v/>
      </c>
      <c r="AB168" s="427" t="str">
        <f t="shared" ca="1" si="13"/>
        <v/>
      </c>
      <c r="AC168" s="426" t="str">
        <f t="shared" ca="1" si="14"/>
        <v/>
      </c>
      <c r="AD168" s="79"/>
    </row>
    <row r="169" spans="1:30" customFormat="1" ht="14.4">
      <c r="A169" s="231"/>
      <c r="B169" s="271">
        <v>131</v>
      </c>
      <c r="C169" s="260"/>
      <c r="D169" s="261"/>
      <c r="E169" s="252"/>
      <c r="F169" s="237"/>
      <c r="G169" s="244"/>
      <c r="H169" s="381">
        <v>155</v>
      </c>
      <c r="I169" s="396"/>
      <c r="J169" s="396"/>
      <c r="K169" s="405"/>
      <c r="L169" s="405"/>
      <c r="M169" s="405"/>
      <c r="N169" s="452"/>
      <c r="O169" s="405"/>
      <c r="P169" s="405"/>
      <c r="Q169" s="405"/>
      <c r="R169" s="452"/>
      <c r="S169" s="443"/>
      <c r="T169" s="421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2"/>
      <c r="V169" s="422"/>
      <c r="W169" s="423"/>
      <c r="X169" s="424"/>
      <c r="Y169" s="425" t="str">
        <f t="shared" ca="1" si="10"/>
        <v/>
      </c>
      <c r="Z169" s="426" t="str">
        <f t="shared" ca="1" si="11"/>
        <v/>
      </c>
      <c r="AA169" s="425" t="str">
        <f t="shared" ca="1" si="12"/>
        <v/>
      </c>
      <c r="AB169" s="427" t="str">
        <f t="shared" ca="1" si="13"/>
        <v/>
      </c>
      <c r="AC169" s="426" t="str">
        <f t="shared" ca="1" si="14"/>
        <v/>
      </c>
      <c r="AD169" s="79"/>
    </row>
    <row r="170" spans="1:30" customFormat="1" ht="14.4">
      <c r="A170" s="231"/>
      <c r="B170" s="271">
        <v>132</v>
      </c>
      <c r="C170" s="260"/>
      <c r="D170" s="261"/>
      <c r="E170" s="252"/>
      <c r="F170" s="237"/>
      <c r="G170" s="244"/>
      <c r="H170" s="381">
        <v>156</v>
      </c>
      <c r="I170" s="396"/>
      <c r="J170" s="396"/>
      <c r="K170" s="405"/>
      <c r="L170" s="405"/>
      <c r="M170" s="405"/>
      <c r="N170" s="452"/>
      <c r="O170" s="405"/>
      <c r="P170" s="405"/>
      <c r="Q170" s="405"/>
      <c r="R170" s="452"/>
      <c r="S170" s="443"/>
      <c r="T170" s="421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2"/>
      <c r="V170" s="422"/>
      <c r="W170" s="423"/>
      <c r="X170" s="424"/>
      <c r="Y170" s="425" t="str">
        <f t="shared" ca="1" si="10"/>
        <v/>
      </c>
      <c r="Z170" s="426" t="str">
        <f t="shared" ca="1" si="11"/>
        <v/>
      </c>
      <c r="AA170" s="425" t="str">
        <f t="shared" ca="1" si="12"/>
        <v/>
      </c>
      <c r="AB170" s="427" t="str">
        <f t="shared" ca="1" si="13"/>
        <v/>
      </c>
      <c r="AC170" s="426" t="str">
        <f t="shared" ca="1" si="14"/>
        <v/>
      </c>
      <c r="AD170" s="79"/>
    </row>
    <row r="171" spans="1:30" customFormat="1" ht="14.4">
      <c r="A171" s="231"/>
      <c r="B171" s="271">
        <v>133</v>
      </c>
      <c r="C171" s="260"/>
      <c r="D171" s="261"/>
      <c r="E171" s="252"/>
      <c r="F171" s="237"/>
      <c r="G171" s="244"/>
      <c r="H171" s="381">
        <v>157</v>
      </c>
      <c r="I171" s="396"/>
      <c r="J171" s="396"/>
      <c r="K171" s="405"/>
      <c r="L171" s="405"/>
      <c r="M171" s="405"/>
      <c r="N171" s="452"/>
      <c r="O171" s="405"/>
      <c r="P171" s="405"/>
      <c r="Q171" s="405"/>
      <c r="R171" s="452"/>
      <c r="S171" s="443"/>
      <c r="T171" s="421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2"/>
      <c r="V171" s="422"/>
      <c r="W171" s="423"/>
      <c r="X171" s="424"/>
      <c r="Y171" s="425" t="str">
        <f t="shared" ca="1" si="10"/>
        <v/>
      </c>
      <c r="Z171" s="426" t="str">
        <f t="shared" ca="1" si="11"/>
        <v/>
      </c>
      <c r="AA171" s="425" t="str">
        <f t="shared" ca="1" si="12"/>
        <v/>
      </c>
      <c r="AB171" s="427" t="str">
        <f t="shared" ca="1" si="13"/>
        <v/>
      </c>
      <c r="AC171" s="426" t="str">
        <f t="shared" ca="1" si="14"/>
        <v/>
      </c>
      <c r="AD171" s="79"/>
    </row>
    <row r="172" spans="1:30" customFormat="1" ht="14.4">
      <c r="A172" s="231"/>
      <c r="B172" s="271">
        <v>134</v>
      </c>
      <c r="C172" s="260"/>
      <c r="D172" s="261"/>
      <c r="E172" s="252"/>
      <c r="F172" s="237"/>
      <c r="G172" s="244"/>
      <c r="H172" s="381">
        <v>158</v>
      </c>
      <c r="I172" s="396"/>
      <c r="J172" s="396"/>
      <c r="K172" s="405"/>
      <c r="L172" s="405"/>
      <c r="M172" s="405"/>
      <c r="N172" s="452"/>
      <c r="O172" s="405"/>
      <c r="P172" s="405"/>
      <c r="Q172" s="405"/>
      <c r="R172" s="452"/>
      <c r="S172" s="443"/>
      <c r="T172" s="421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2"/>
      <c r="V172" s="422"/>
      <c r="W172" s="423"/>
      <c r="X172" s="424"/>
      <c r="Y172" s="425" t="str">
        <f t="shared" ca="1" si="10"/>
        <v/>
      </c>
      <c r="Z172" s="426" t="str">
        <f t="shared" ca="1" si="11"/>
        <v/>
      </c>
      <c r="AA172" s="425" t="str">
        <f t="shared" ca="1" si="12"/>
        <v/>
      </c>
      <c r="AB172" s="427" t="str">
        <f t="shared" ca="1" si="13"/>
        <v/>
      </c>
      <c r="AC172" s="426" t="str">
        <f t="shared" ca="1" si="14"/>
        <v/>
      </c>
      <c r="AD172" s="79"/>
    </row>
    <row r="173" spans="1:30" customFormat="1" ht="14.4">
      <c r="A173" s="231"/>
      <c r="B173" s="271">
        <v>135</v>
      </c>
      <c r="C173" s="260"/>
      <c r="D173" s="261"/>
      <c r="E173" s="252"/>
      <c r="F173" s="237"/>
      <c r="G173" s="244"/>
      <c r="H173" s="381">
        <v>159</v>
      </c>
      <c r="I173" s="396"/>
      <c r="J173" s="396"/>
      <c r="K173" s="405"/>
      <c r="L173" s="405"/>
      <c r="M173" s="405"/>
      <c r="N173" s="452"/>
      <c r="O173" s="405"/>
      <c r="P173" s="405"/>
      <c r="Q173" s="405"/>
      <c r="R173" s="452"/>
      <c r="S173" s="443"/>
      <c r="T173" s="421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2"/>
      <c r="V173" s="422"/>
      <c r="W173" s="423"/>
      <c r="X173" s="424"/>
      <c r="Y173" s="425" t="str">
        <f t="shared" ca="1" si="10"/>
        <v/>
      </c>
      <c r="Z173" s="426" t="str">
        <f t="shared" ca="1" si="11"/>
        <v/>
      </c>
      <c r="AA173" s="425" t="str">
        <f t="shared" ca="1" si="12"/>
        <v/>
      </c>
      <c r="AB173" s="427" t="str">
        <f t="shared" ca="1" si="13"/>
        <v/>
      </c>
      <c r="AC173" s="426" t="str">
        <f t="shared" ca="1" si="14"/>
        <v/>
      </c>
      <c r="AD173" s="79"/>
    </row>
    <row r="174" spans="1:30" customFormat="1" ht="14.4">
      <c r="A174" s="231"/>
      <c r="B174" s="271">
        <v>136</v>
      </c>
      <c r="C174" s="260"/>
      <c r="D174" s="261"/>
      <c r="E174" s="252"/>
      <c r="F174" s="237"/>
      <c r="G174" s="244"/>
      <c r="H174" s="381">
        <v>160</v>
      </c>
      <c r="I174" s="396"/>
      <c r="J174" s="396"/>
      <c r="K174" s="405"/>
      <c r="L174" s="405"/>
      <c r="M174" s="405"/>
      <c r="N174" s="452"/>
      <c r="O174" s="405"/>
      <c r="P174" s="405"/>
      <c r="Q174" s="405"/>
      <c r="R174" s="452"/>
      <c r="S174" s="443"/>
      <c r="T174" s="421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2"/>
      <c r="V174" s="422"/>
      <c r="W174" s="423"/>
      <c r="X174" s="424"/>
      <c r="Y174" s="425" t="str">
        <f t="shared" ca="1" si="10"/>
        <v/>
      </c>
      <c r="Z174" s="426" t="str">
        <f t="shared" ca="1" si="11"/>
        <v/>
      </c>
      <c r="AA174" s="425" t="str">
        <f t="shared" ca="1" si="12"/>
        <v/>
      </c>
      <c r="AB174" s="427" t="str">
        <f t="shared" ca="1" si="13"/>
        <v/>
      </c>
      <c r="AC174" s="426" t="str">
        <f t="shared" ca="1" si="14"/>
        <v/>
      </c>
      <c r="AD174" s="79"/>
    </row>
    <row r="175" spans="1:30" customFormat="1" ht="14.4">
      <c r="A175" s="231"/>
      <c r="B175" s="271">
        <v>137</v>
      </c>
      <c r="C175" s="260"/>
      <c r="D175" s="261"/>
      <c r="E175" s="252"/>
      <c r="F175" s="237"/>
      <c r="G175" s="244"/>
      <c r="H175" s="381">
        <v>161</v>
      </c>
      <c r="I175" s="396"/>
      <c r="J175" s="396"/>
      <c r="K175" s="405"/>
      <c r="L175" s="405"/>
      <c r="M175" s="405"/>
      <c r="N175" s="452"/>
      <c r="O175" s="405"/>
      <c r="P175" s="405"/>
      <c r="Q175" s="405"/>
      <c r="R175" s="452"/>
      <c r="S175" s="443"/>
      <c r="T175" s="421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2"/>
      <c r="V175" s="422"/>
      <c r="W175" s="423"/>
      <c r="X175" s="424"/>
      <c r="Y175" s="425" t="str">
        <f t="shared" ca="1" si="10"/>
        <v/>
      </c>
      <c r="Z175" s="426" t="str">
        <f t="shared" ca="1" si="11"/>
        <v/>
      </c>
      <c r="AA175" s="425" t="str">
        <f t="shared" ca="1" si="12"/>
        <v/>
      </c>
      <c r="AB175" s="427" t="str">
        <f t="shared" ca="1" si="13"/>
        <v/>
      </c>
      <c r="AC175" s="426" t="str">
        <f t="shared" ca="1" si="14"/>
        <v/>
      </c>
      <c r="AD175" s="79"/>
    </row>
    <row r="176" spans="1:30" customFormat="1" ht="14.4">
      <c r="A176" s="231"/>
      <c r="B176" s="271">
        <v>138</v>
      </c>
      <c r="C176" s="260"/>
      <c r="D176" s="261"/>
      <c r="E176" s="252"/>
      <c r="F176" s="237"/>
      <c r="G176" s="244"/>
      <c r="H176" s="381">
        <v>162</v>
      </c>
      <c r="I176" s="396"/>
      <c r="J176" s="396"/>
      <c r="K176" s="405"/>
      <c r="L176" s="405"/>
      <c r="M176" s="405"/>
      <c r="N176" s="452"/>
      <c r="O176" s="405"/>
      <c r="P176" s="405"/>
      <c r="Q176" s="405"/>
      <c r="R176" s="452"/>
      <c r="S176" s="443"/>
      <c r="T176" s="421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2"/>
      <c r="V176" s="422"/>
      <c r="W176" s="423"/>
      <c r="X176" s="424"/>
      <c r="Y176" s="425" t="str">
        <f t="shared" ca="1" si="10"/>
        <v/>
      </c>
      <c r="Z176" s="426" t="str">
        <f t="shared" ca="1" si="11"/>
        <v/>
      </c>
      <c r="AA176" s="425" t="str">
        <f t="shared" ca="1" si="12"/>
        <v/>
      </c>
      <c r="AB176" s="427" t="str">
        <f t="shared" ca="1" si="13"/>
        <v/>
      </c>
      <c r="AC176" s="426" t="str">
        <f t="shared" ca="1" si="14"/>
        <v/>
      </c>
      <c r="AD176" s="79"/>
    </row>
    <row r="177" spans="1:30" customFormat="1" ht="14.4">
      <c r="A177" s="231"/>
      <c r="B177" s="271">
        <v>139</v>
      </c>
      <c r="C177" s="260"/>
      <c r="D177" s="261"/>
      <c r="E177" s="252"/>
      <c r="F177" s="237"/>
      <c r="G177" s="244"/>
      <c r="H177" s="381">
        <v>163</v>
      </c>
      <c r="I177" s="396"/>
      <c r="J177" s="396"/>
      <c r="K177" s="405"/>
      <c r="L177" s="405"/>
      <c r="M177" s="405"/>
      <c r="N177" s="452"/>
      <c r="O177" s="405"/>
      <c r="P177" s="405"/>
      <c r="Q177" s="405"/>
      <c r="R177" s="452"/>
      <c r="S177" s="443"/>
      <c r="T177" s="421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2"/>
      <c r="V177" s="422"/>
      <c r="W177" s="423"/>
      <c r="X177" s="424"/>
      <c r="Y177" s="425" t="str">
        <f t="shared" ca="1" si="10"/>
        <v/>
      </c>
      <c r="Z177" s="426" t="str">
        <f t="shared" ca="1" si="11"/>
        <v/>
      </c>
      <c r="AA177" s="425" t="str">
        <f t="shared" ca="1" si="12"/>
        <v/>
      </c>
      <c r="AB177" s="427" t="str">
        <f t="shared" ca="1" si="13"/>
        <v/>
      </c>
      <c r="AC177" s="426" t="str">
        <f t="shared" ca="1" si="14"/>
        <v/>
      </c>
      <c r="AD177" s="79"/>
    </row>
    <row r="178" spans="1:30" customFormat="1" ht="14.4">
      <c r="A178" s="231"/>
      <c r="B178" s="271">
        <v>140</v>
      </c>
      <c r="C178" s="260"/>
      <c r="D178" s="261"/>
      <c r="E178" s="252"/>
      <c r="F178" s="237"/>
      <c r="G178" s="244"/>
      <c r="H178" s="381">
        <v>164</v>
      </c>
      <c r="I178" s="396"/>
      <c r="J178" s="396"/>
      <c r="K178" s="405"/>
      <c r="L178" s="405"/>
      <c r="M178" s="405"/>
      <c r="N178" s="452"/>
      <c r="O178" s="405"/>
      <c r="P178" s="405"/>
      <c r="Q178" s="405"/>
      <c r="R178" s="452"/>
      <c r="S178" s="443"/>
      <c r="T178" s="421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2"/>
      <c r="V178" s="422"/>
      <c r="W178" s="423"/>
      <c r="X178" s="424"/>
      <c r="Y178" s="425" t="str">
        <f t="shared" ca="1" si="10"/>
        <v/>
      </c>
      <c r="Z178" s="426" t="str">
        <f t="shared" ca="1" si="11"/>
        <v/>
      </c>
      <c r="AA178" s="425" t="str">
        <f t="shared" ca="1" si="12"/>
        <v/>
      </c>
      <c r="AB178" s="427" t="str">
        <f t="shared" ca="1" si="13"/>
        <v/>
      </c>
      <c r="AC178" s="426" t="str">
        <f t="shared" ca="1" si="14"/>
        <v/>
      </c>
      <c r="AD178" s="79"/>
    </row>
    <row r="179" spans="1:30" customFormat="1" ht="14.4">
      <c r="A179" s="231"/>
      <c r="B179" s="271">
        <v>141</v>
      </c>
      <c r="C179" s="260"/>
      <c r="D179" s="261"/>
      <c r="E179" s="252"/>
      <c r="F179" s="237"/>
      <c r="G179" s="244"/>
      <c r="H179" s="381">
        <v>165</v>
      </c>
      <c r="I179" s="396"/>
      <c r="J179" s="396"/>
      <c r="K179" s="405"/>
      <c r="L179" s="405"/>
      <c r="M179" s="405"/>
      <c r="N179" s="452"/>
      <c r="O179" s="405"/>
      <c r="P179" s="405"/>
      <c r="Q179" s="405"/>
      <c r="R179" s="452"/>
      <c r="S179" s="443"/>
      <c r="T179" s="421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2"/>
      <c r="V179" s="422"/>
      <c r="W179" s="423"/>
      <c r="X179" s="424"/>
      <c r="Y179" s="425" t="str">
        <f t="shared" ca="1" si="10"/>
        <v/>
      </c>
      <c r="Z179" s="426" t="str">
        <f t="shared" ca="1" si="11"/>
        <v/>
      </c>
      <c r="AA179" s="425" t="str">
        <f t="shared" ca="1" si="12"/>
        <v/>
      </c>
      <c r="AB179" s="427" t="str">
        <f t="shared" ca="1" si="13"/>
        <v/>
      </c>
      <c r="AC179" s="426" t="str">
        <f t="shared" ca="1" si="14"/>
        <v/>
      </c>
      <c r="AD179" s="79"/>
    </row>
    <row r="180" spans="1:30" customFormat="1" ht="14.4">
      <c r="A180" s="231"/>
      <c r="B180" s="271">
        <v>142</v>
      </c>
      <c r="C180" s="260"/>
      <c r="D180" s="261"/>
      <c r="E180" s="252"/>
      <c r="F180" s="237"/>
      <c r="G180" s="244"/>
      <c r="H180" s="381">
        <v>166</v>
      </c>
      <c r="I180" s="396"/>
      <c r="J180" s="396"/>
      <c r="K180" s="405"/>
      <c r="L180" s="405"/>
      <c r="M180" s="405"/>
      <c r="N180" s="452"/>
      <c r="O180" s="405"/>
      <c r="P180" s="405"/>
      <c r="Q180" s="405"/>
      <c r="R180" s="452"/>
      <c r="S180" s="443"/>
      <c r="T180" s="421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2"/>
      <c r="V180" s="422"/>
      <c r="W180" s="423"/>
      <c r="X180" s="424"/>
      <c r="Y180" s="425" t="str">
        <f t="shared" ca="1" si="10"/>
        <v/>
      </c>
      <c r="Z180" s="426" t="str">
        <f t="shared" ca="1" si="11"/>
        <v/>
      </c>
      <c r="AA180" s="425" t="str">
        <f t="shared" ca="1" si="12"/>
        <v/>
      </c>
      <c r="AB180" s="427" t="str">
        <f t="shared" ca="1" si="13"/>
        <v/>
      </c>
      <c r="AC180" s="426" t="str">
        <f t="shared" ca="1" si="14"/>
        <v/>
      </c>
      <c r="AD180" s="79"/>
    </row>
    <row r="181" spans="1:30" customFormat="1" ht="14.4">
      <c r="A181" s="231"/>
      <c r="B181" s="271">
        <v>143</v>
      </c>
      <c r="C181" s="260"/>
      <c r="D181" s="261"/>
      <c r="E181" s="252"/>
      <c r="F181" s="237"/>
      <c r="G181" s="244"/>
      <c r="H181" s="381">
        <v>167</v>
      </c>
      <c r="I181" s="396"/>
      <c r="J181" s="396"/>
      <c r="K181" s="405"/>
      <c r="L181" s="405"/>
      <c r="M181" s="405"/>
      <c r="N181" s="452"/>
      <c r="O181" s="405"/>
      <c r="P181" s="405"/>
      <c r="Q181" s="405"/>
      <c r="R181" s="452"/>
      <c r="S181" s="443"/>
      <c r="T181" s="421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2"/>
      <c r="V181" s="422"/>
      <c r="W181" s="423"/>
      <c r="X181" s="424"/>
      <c r="Y181" s="425" t="str">
        <f t="shared" ca="1" si="10"/>
        <v/>
      </c>
      <c r="Z181" s="426" t="str">
        <f t="shared" ca="1" si="11"/>
        <v/>
      </c>
      <c r="AA181" s="425" t="str">
        <f t="shared" ca="1" si="12"/>
        <v/>
      </c>
      <c r="AB181" s="427" t="str">
        <f t="shared" ca="1" si="13"/>
        <v/>
      </c>
      <c r="AC181" s="426" t="str">
        <f t="shared" ca="1" si="14"/>
        <v/>
      </c>
      <c r="AD181" s="79"/>
    </row>
    <row r="182" spans="1:30" customFormat="1" ht="14.4">
      <c r="A182" s="231"/>
      <c r="B182" s="271">
        <v>144</v>
      </c>
      <c r="C182" s="260"/>
      <c r="D182" s="261"/>
      <c r="E182" s="252"/>
      <c r="F182" s="237"/>
      <c r="G182" s="244"/>
      <c r="H182" s="381">
        <v>168</v>
      </c>
      <c r="I182" s="396"/>
      <c r="J182" s="396"/>
      <c r="K182" s="405"/>
      <c r="L182" s="405"/>
      <c r="M182" s="405"/>
      <c r="N182" s="452"/>
      <c r="O182" s="405"/>
      <c r="P182" s="405"/>
      <c r="Q182" s="405"/>
      <c r="R182" s="452"/>
      <c r="S182" s="443"/>
      <c r="T182" s="421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2"/>
      <c r="V182" s="422"/>
      <c r="W182" s="423"/>
      <c r="X182" s="424"/>
      <c r="Y182" s="425" t="str">
        <f t="shared" ca="1" si="10"/>
        <v/>
      </c>
      <c r="Z182" s="426" t="str">
        <f t="shared" ca="1" si="11"/>
        <v/>
      </c>
      <c r="AA182" s="425" t="str">
        <f t="shared" ca="1" si="12"/>
        <v/>
      </c>
      <c r="AB182" s="427" t="str">
        <f t="shared" ca="1" si="13"/>
        <v/>
      </c>
      <c r="AC182" s="426" t="str">
        <f t="shared" ca="1" si="14"/>
        <v/>
      </c>
      <c r="AD182" s="79"/>
    </row>
    <row r="183" spans="1:30" customFormat="1" ht="14.4">
      <c r="A183" s="231"/>
      <c r="B183" s="271">
        <v>145</v>
      </c>
      <c r="C183" s="260"/>
      <c r="D183" s="261"/>
      <c r="E183" s="252"/>
      <c r="F183" s="237"/>
      <c r="G183" s="244"/>
      <c r="H183" s="381">
        <v>169</v>
      </c>
      <c r="I183" s="396"/>
      <c r="J183" s="396"/>
      <c r="K183" s="405"/>
      <c r="L183" s="405"/>
      <c r="M183" s="405"/>
      <c r="N183" s="452"/>
      <c r="O183" s="405"/>
      <c r="P183" s="405"/>
      <c r="Q183" s="405"/>
      <c r="R183" s="452"/>
      <c r="S183" s="443"/>
      <c r="T183" s="421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2"/>
      <c r="V183" s="422"/>
      <c r="W183" s="423"/>
      <c r="X183" s="424"/>
      <c r="Y183" s="425" t="str">
        <f t="shared" ca="1" si="10"/>
        <v/>
      </c>
      <c r="Z183" s="426" t="str">
        <f t="shared" ca="1" si="11"/>
        <v/>
      </c>
      <c r="AA183" s="425" t="str">
        <f t="shared" ca="1" si="12"/>
        <v/>
      </c>
      <c r="AB183" s="427" t="str">
        <f t="shared" ca="1" si="13"/>
        <v/>
      </c>
      <c r="AC183" s="426" t="str">
        <f t="shared" ca="1" si="14"/>
        <v/>
      </c>
      <c r="AD183" s="79"/>
    </row>
    <row r="184" spans="1:30" customFormat="1" ht="14.4">
      <c r="A184" s="231"/>
      <c r="B184" s="271">
        <v>146</v>
      </c>
      <c r="C184" s="260"/>
      <c r="D184" s="261"/>
      <c r="E184" s="252"/>
      <c r="F184" s="237"/>
      <c r="G184" s="244"/>
      <c r="H184" s="381">
        <v>170</v>
      </c>
      <c r="I184" s="396"/>
      <c r="J184" s="396"/>
      <c r="K184" s="405"/>
      <c r="L184" s="405"/>
      <c r="M184" s="405"/>
      <c r="N184" s="452"/>
      <c r="O184" s="405"/>
      <c r="P184" s="405"/>
      <c r="Q184" s="405"/>
      <c r="R184" s="452"/>
      <c r="S184" s="443"/>
      <c r="T184" s="421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2"/>
      <c r="V184" s="422"/>
      <c r="W184" s="423"/>
      <c r="X184" s="424"/>
      <c r="Y184" s="425" t="str">
        <f t="shared" ca="1" si="10"/>
        <v/>
      </c>
      <c r="Z184" s="426" t="str">
        <f t="shared" ca="1" si="11"/>
        <v/>
      </c>
      <c r="AA184" s="425" t="str">
        <f t="shared" ca="1" si="12"/>
        <v/>
      </c>
      <c r="AB184" s="427" t="str">
        <f t="shared" ca="1" si="13"/>
        <v/>
      </c>
      <c r="AC184" s="426" t="str">
        <f t="shared" ca="1" si="14"/>
        <v/>
      </c>
      <c r="AD184" s="79"/>
    </row>
    <row r="185" spans="1:30" customFormat="1" ht="14.4">
      <c r="A185" s="231"/>
      <c r="B185" s="271">
        <v>147</v>
      </c>
      <c r="C185" s="260"/>
      <c r="D185" s="261"/>
      <c r="E185" s="252"/>
      <c r="F185" s="237"/>
      <c r="G185" s="244"/>
      <c r="H185" s="381">
        <v>171</v>
      </c>
      <c r="I185" s="396"/>
      <c r="J185" s="396"/>
      <c r="K185" s="405"/>
      <c r="L185" s="405"/>
      <c r="M185" s="405"/>
      <c r="N185" s="452"/>
      <c r="O185" s="405"/>
      <c r="P185" s="405"/>
      <c r="Q185" s="405"/>
      <c r="R185" s="452"/>
      <c r="S185" s="443"/>
      <c r="T185" s="421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2"/>
      <c r="V185" s="422"/>
      <c r="W185" s="423"/>
      <c r="X185" s="424"/>
      <c r="Y185" s="425" t="str">
        <f t="shared" ca="1" si="10"/>
        <v/>
      </c>
      <c r="Z185" s="426" t="str">
        <f t="shared" ca="1" si="11"/>
        <v/>
      </c>
      <c r="AA185" s="425" t="str">
        <f t="shared" ca="1" si="12"/>
        <v/>
      </c>
      <c r="AB185" s="427" t="str">
        <f t="shared" ca="1" si="13"/>
        <v/>
      </c>
      <c r="AC185" s="426" t="str">
        <f t="shared" ca="1" si="14"/>
        <v/>
      </c>
      <c r="AD185" s="79"/>
    </row>
    <row r="186" spans="1:30" customFormat="1" ht="14.4">
      <c r="A186" s="231"/>
      <c r="B186" s="271">
        <v>148</v>
      </c>
      <c r="C186" s="260"/>
      <c r="D186" s="261"/>
      <c r="E186" s="252"/>
      <c r="F186" s="237"/>
      <c r="G186" s="244"/>
      <c r="H186" s="381">
        <v>172</v>
      </c>
      <c r="I186" s="396"/>
      <c r="J186" s="396"/>
      <c r="K186" s="405"/>
      <c r="L186" s="405"/>
      <c r="M186" s="405"/>
      <c r="N186" s="452"/>
      <c r="O186" s="405"/>
      <c r="P186" s="405"/>
      <c r="Q186" s="405"/>
      <c r="R186" s="452"/>
      <c r="S186" s="443"/>
      <c r="T186" s="421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2"/>
      <c r="V186" s="422"/>
      <c r="W186" s="423"/>
      <c r="X186" s="424"/>
      <c r="Y186" s="425" t="str">
        <f t="shared" ca="1" si="10"/>
        <v/>
      </c>
      <c r="Z186" s="426" t="str">
        <f t="shared" ca="1" si="11"/>
        <v/>
      </c>
      <c r="AA186" s="425" t="str">
        <f t="shared" ca="1" si="12"/>
        <v/>
      </c>
      <c r="AB186" s="427" t="str">
        <f t="shared" ca="1" si="13"/>
        <v/>
      </c>
      <c r="AC186" s="426" t="str">
        <f t="shared" ca="1" si="14"/>
        <v/>
      </c>
      <c r="AD186" s="79"/>
    </row>
    <row r="187" spans="1:30" customFormat="1" ht="14.4">
      <c r="A187" s="231"/>
      <c r="B187" s="271">
        <v>149</v>
      </c>
      <c r="C187" s="260"/>
      <c r="D187" s="261"/>
      <c r="E187" s="252"/>
      <c r="F187" s="237"/>
      <c r="G187" s="244"/>
      <c r="H187" s="381">
        <v>173</v>
      </c>
      <c r="I187" s="396"/>
      <c r="J187" s="396"/>
      <c r="K187" s="405"/>
      <c r="L187" s="405"/>
      <c r="M187" s="405"/>
      <c r="N187" s="452"/>
      <c r="O187" s="405"/>
      <c r="P187" s="405"/>
      <c r="Q187" s="405"/>
      <c r="R187" s="452"/>
      <c r="S187" s="443"/>
      <c r="T187" s="421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2"/>
      <c r="V187" s="422"/>
      <c r="W187" s="423"/>
      <c r="X187" s="424"/>
      <c r="Y187" s="425" t="str">
        <f t="shared" ca="1" si="10"/>
        <v/>
      </c>
      <c r="Z187" s="426" t="str">
        <f t="shared" ca="1" si="11"/>
        <v/>
      </c>
      <c r="AA187" s="425" t="str">
        <f t="shared" ca="1" si="12"/>
        <v/>
      </c>
      <c r="AB187" s="427" t="str">
        <f t="shared" ca="1" si="13"/>
        <v/>
      </c>
      <c r="AC187" s="426" t="str">
        <f t="shared" ca="1" si="14"/>
        <v/>
      </c>
      <c r="AD187" s="79"/>
    </row>
    <row r="188" spans="1:30" customFormat="1" ht="14.4">
      <c r="A188" s="231"/>
      <c r="B188" s="271">
        <v>150</v>
      </c>
      <c r="C188" s="260"/>
      <c r="D188" s="261"/>
      <c r="E188" s="252"/>
      <c r="F188" s="237"/>
      <c r="G188" s="244"/>
      <c r="H188" s="381">
        <v>174</v>
      </c>
      <c r="I188" s="396"/>
      <c r="J188" s="396"/>
      <c r="K188" s="405"/>
      <c r="L188" s="405"/>
      <c r="M188" s="405"/>
      <c r="N188" s="452"/>
      <c r="O188" s="405"/>
      <c r="P188" s="405"/>
      <c r="Q188" s="405"/>
      <c r="R188" s="452"/>
      <c r="S188" s="443"/>
      <c r="T188" s="421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2"/>
      <c r="V188" s="422"/>
      <c r="W188" s="423"/>
      <c r="X188" s="424"/>
      <c r="Y188" s="425" t="str">
        <f t="shared" ca="1" si="10"/>
        <v/>
      </c>
      <c r="Z188" s="426" t="str">
        <f t="shared" ca="1" si="11"/>
        <v/>
      </c>
      <c r="AA188" s="425" t="str">
        <f t="shared" ca="1" si="12"/>
        <v/>
      </c>
      <c r="AB188" s="427" t="str">
        <f t="shared" ca="1" si="13"/>
        <v/>
      </c>
      <c r="AC188" s="426" t="str">
        <f t="shared" ca="1" si="14"/>
        <v/>
      </c>
      <c r="AD188" s="79"/>
    </row>
    <row r="189" spans="1:30" customFormat="1" ht="14.4">
      <c r="A189" s="231"/>
      <c r="B189" s="271">
        <v>151</v>
      </c>
      <c r="C189" s="260"/>
      <c r="D189" s="261"/>
      <c r="E189" s="252"/>
      <c r="F189" s="237"/>
      <c r="G189" s="244"/>
      <c r="H189" s="381">
        <v>175</v>
      </c>
      <c r="I189" s="396"/>
      <c r="J189" s="396"/>
      <c r="K189" s="405"/>
      <c r="L189" s="405"/>
      <c r="M189" s="405"/>
      <c r="N189" s="452"/>
      <c r="O189" s="405"/>
      <c r="P189" s="405"/>
      <c r="Q189" s="405"/>
      <c r="R189" s="452"/>
      <c r="S189" s="443"/>
      <c r="T189" s="421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2"/>
      <c r="V189" s="422"/>
      <c r="W189" s="423"/>
      <c r="X189" s="424"/>
      <c r="Y189" s="425" t="str">
        <f t="shared" ca="1" si="10"/>
        <v/>
      </c>
      <c r="Z189" s="426" t="str">
        <f t="shared" ca="1" si="11"/>
        <v/>
      </c>
      <c r="AA189" s="425" t="str">
        <f t="shared" ca="1" si="12"/>
        <v/>
      </c>
      <c r="AB189" s="427" t="str">
        <f t="shared" ca="1" si="13"/>
        <v/>
      </c>
      <c r="AC189" s="426" t="str">
        <f t="shared" ca="1" si="14"/>
        <v/>
      </c>
      <c r="AD189" s="79"/>
    </row>
    <row r="190" spans="1:30" customFormat="1" ht="14.4">
      <c r="A190" s="231"/>
      <c r="B190" s="271">
        <v>152</v>
      </c>
      <c r="C190" s="260"/>
      <c r="D190" s="261"/>
      <c r="E190" s="252"/>
      <c r="F190" s="237"/>
      <c r="G190" s="244"/>
      <c r="H190" s="381">
        <v>176</v>
      </c>
      <c r="I190" s="396"/>
      <c r="J190" s="396"/>
      <c r="K190" s="405"/>
      <c r="L190" s="405"/>
      <c r="M190" s="405"/>
      <c r="N190" s="452"/>
      <c r="O190" s="405"/>
      <c r="P190" s="405"/>
      <c r="Q190" s="405"/>
      <c r="R190" s="452"/>
      <c r="S190" s="443"/>
      <c r="T190" s="421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2"/>
      <c r="V190" s="422"/>
      <c r="W190" s="423"/>
      <c r="X190" s="424"/>
      <c r="Y190" s="425" t="str">
        <f t="shared" ca="1" si="10"/>
        <v/>
      </c>
      <c r="Z190" s="426" t="str">
        <f t="shared" ca="1" si="11"/>
        <v/>
      </c>
      <c r="AA190" s="425" t="str">
        <f t="shared" ca="1" si="12"/>
        <v/>
      </c>
      <c r="AB190" s="427" t="str">
        <f t="shared" ca="1" si="13"/>
        <v/>
      </c>
      <c r="AC190" s="426" t="str">
        <f t="shared" ca="1" si="14"/>
        <v/>
      </c>
      <c r="AD190" s="79"/>
    </row>
    <row r="191" spans="1:30" customFormat="1" ht="14.4">
      <c r="A191" s="231"/>
      <c r="B191" s="271">
        <v>153</v>
      </c>
      <c r="C191" s="260"/>
      <c r="D191" s="261"/>
      <c r="E191" s="252"/>
      <c r="F191" s="237"/>
      <c r="G191" s="244"/>
      <c r="H191" s="381">
        <v>177</v>
      </c>
      <c r="I191" s="396"/>
      <c r="J191" s="396"/>
      <c r="K191" s="405"/>
      <c r="L191" s="405"/>
      <c r="M191" s="405"/>
      <c r="N191" s="452"/>
      <c r="O191" s="405"/>
      <c r="P191" s="405"/>
      <c r="Q191" s="405"/>
      <c r="R191" s="452"/>
      <c r="S191" s="443"/>
      <c r="T191" s="421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2"/>
      <c r="V191" s="422"/>
      <c r="W191" s="423"/>
      <c r="X191" s="424"/>
      <c r="Y191" s="425" t="str">
        <f t="shared" ca="1" si="10"/>
        <v/>
      </c>
      <c r="Z191" s="426" t="str">
        <f t="shared" ca="1" si="11"/>
        <v/>
      </c>
      <c r="AA191" s="425" t="str">
        <f t="shared" ca="1" si="12"/>
        <v/>
      </c>
      <c r="AB191" s="427" t="str">
        <f t="shared" ca="1" si="13"/>
        <v/>
      </c>
      <c r="AC191" s="426" t="str">
        <f t="shared" ca="1" si="14"/>
        <v/>
      </c>
      <c r="AD191" s="79"/>
    </row>
    <row r="192" spans="1:30" customFormat="1" ht="14.4">
      <c r="A192" s="231"/>
      <c r="B192" s="271">
        <v>154</v>
      </c>
      <c r="C192" s="260"/>
      <c r="D192" s="261"/>
      <c r="E192" s="252"/>
      <c r="F192" s="237"/>
      <c r="G192" s="244"/>
      <c r="H192" s="381">
        <v>178</v>
      </c>
      <c r="I192" s="396"/>
      <c r="J192" s="396"/>
      <c r="K192" s="405"/>
      <c r="L192" s="405"/>
      <c r="M192" s="405"/>
      <c r="N192" s="452"/>
      <c r="O192" s="405"/>
      <c r="P192" s="405"/>
      <c r="Q192" s="405"/>
      <c r="R192" s="452"/>
      <c r="S192" s="443"/>
      <c r="T192" s="421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2"/>
      <c r="V192" s="422"/>
      <c r="W192" s="423"/>
      <c r="X192" s="424"/>
      <c r="Y192" s="425" t="str">
        <f t="shared" ca="1" si="10"/>
        <v/>
      </c>
      <c r="Z192" s="426" t="str">
        <f t="shared" ca="1" si="11"/>
        <v/>
      </c>
      <c r="AA192" s="425" t="str">
        <f t="shared" ca="1" si="12"/>
        <v/>
      </c>
      <c r="AB192" s="427" t="str">
        <f t="shared" ca="1" si="13"/>
        <v/>
      </c>
      <c r="AC192" s="426" t="str">
        <f t="shared" ca="1" si="14"/>
        <v/>
      </c>
      <c r="AD192" s="79"/>
    </row>
    <row r="193" spans="1:30" customFormat="1" ht="14.4">
      <c r="A193" s="231"/>
      <c r="B193" s="271">
        <v>155</v>
      </c>
      <c r="C193" s="260"/>
      <c r="D193" s="261"/>
      <c r="E193" s="252"/>
      <c r="F193" s="237"/>
      <c r="G193" s="244"/>
      <c r="H193" s="381">
        <v>179</v>
      </c>
      <c r="I193" s="396"/>
      <c r="J193" s="396"/>
      <c r="K193" s="405"/>
      <c r="L193" s="405"/>
      <c r="M193" s="405"/>
      <c r="N193" s="452"/>
      <c r="O193" s="405"/>
      <c r="P193" s="405"/>
      <c r="Q193" s="405"/>
      <c r="R193" s="452"/>
      <c r="S193" s="443"/>
      <c r="T193" s="421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2"/>
      <c r="V193" s="422"/>
      <c r="W193" s="423"/>
      <c r="X193" s="424"/>
      <c r="Y193" s="425" t="str">
        <f t="shared" ca="1" si="10"/>
        <v/>
      </c>
      <c r="Z193" s="426" t="str">
        <f t="shared" ca="1" si="11"/>
        <v/>
      </c>
      <c r="AA193" s="425" t="str">
        <f t="shared" ca="1" si="12"/>
        <v/>
      </c>
      <c r="AB193" s="427" t="str">
        <f t="shared" ca="1" si="13"/>
        <v/>
      </c>
      <c r="AC193" s="426" t="str">
        <f t="shared" ca="1" si="14"/>
        <v/>
      </c>
      <c r="AD193" s="79"/>
    </row>
    <row r="194" spans="1:30" customFormat="1" ht="14.4">
      <c r="A194" s="231"/>
      <c r="B194" s="271">
        <v>156</v>
      </c>
      <c r="C194" s="260"/>
      <c r="D194" s="261"/>
      <c r="E194" s="252"/>
      <c r="F194" s="237"/>
      <c r="G194" s="244"/>
      <c r="H194" s="381">
        <v>180</v>
      </c>
      <c r="I194" s="396"/>
      <c r="J194" s="396"/>
      <c r="K194" s="405"/>
      <c r="L194" s="405"/>
      <c r="M194" s="405"/>
      <c r="N194" s="452"/>
      <c r="O194" s="405"/>
      <c r="P194" s="405"/>
      <c r="Q194" s="405"/>
      <c r="R194" s="452"/>
      <c r="S194" s="443"/>
      <c r="T194" s="421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2"/>
      <c r="V194" s="422"/>
      <c r="W194" s="423"/>
      <c r="X194" s="424"/>
      <c r="Y194" s="425" t="str">
        <f t="shared" ca="1" si="10"/>
        <v/>
      </c>
      <c r="Z194" s="426" t="str">
        <f t="shared" ca="1" si="11"/>
        <v/>
      </c>
      <c r="AA194" s="425" t="str">
        <f t="shared" ca="1" si="12"/>
        <v/>
      </c>
      <c r="AB194" s="427" t="str">
        <f t="shared" ca="1" si="13"/>
        <v/>
      </c>
      <c r="AC194" s="426" t="str">
        <f t="shared" ca="1" si="14"/>
        <v/>
      </c>
      <c r="AD194" s="79"/>
    </row>
    <row r="195" spans="1:30" customFormat="1" ht="14.4">
      <c r="A195" s="231"/>
      <c r="B195" s="271">
        <v>157</v>
      </c>
      <c r="C195" s="260"/>
      <c r="D195" s="261"/>
      <c r="E195" s="252"/>
      <c r="F195" s="237"/>
      <c r="G195" s="244"/>
      <c r="H195" s="381">
        <v>181</v>
      </c>
      <c r="I195" s="396"/>
      <c r="J195" s="396"/>
      <c r="K195" s="405"/>
      <c r="L195" s="405"/>
      <c r="M195" s="405"/>
      <c r="N195" s="452"/>
      <c r="O195" s="405"/>
      <c r="P195" s="405"/>
      <c r="Q195" s="405"/>
      <c r="R195" s="452"/>
      <c r="S195" s="443"/>
      <c r="T195" s="421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2"/>
      <c r="V195" s="422"/>
      <c r="W195" s="423"/>
      <c r="X195" s="424"/>
      <c r="Y195" s="425" t="str">
        <f t="shared" ca="1" si="10"/>
        <v/>
      </c>
      <c r="Z195" s="426" t="str">
        <f t="shared" ca="1" si="11"/>
        <v/>
      </c>
      <c r="AA195" s="425" t="str">
        <f t="shared" ca="1" si="12"/>
        <v/>
      </c>
      <c r="AB195" s="427" t="str">
        <f t="shared" ca="1" si="13"/>
        <v/>
      </c>
      <c r="AC195" s="426" t="str">
        <f t="shared" ca="1" si="14"/>
        <v/>
      </c>
      <c r="AD195" s="79"/>
    </row>
    <row r="196" spans="1:30" customFormat="1" ht="14.4">
      <c r="A196" s="231"/>
      <c r="B196" s="271">
        <v>158</v>
      </c>
      <c r="C196" s="260"/>
      <c r="D196" s="261"/>
      <c r="E196" s="252"/>
      <c r="F196" s="237"/>
      <c r="G196" s="244"/>
      <c r="H196" s="381">
        <v>182</v>
      </c>
      <c r="I196" s="396"/>
      <c r="J196" s="396"/>
      <c r="K196" s="405"/>
      <c r="L196" s="405"/>
      <c r="M196" s="405"/>
      <c r="N196" s="452"/>
      <c r="O196" s="405"/>
      <c r="P196" s="405"/>
      <c r="Q196" s="405"/>
      <c r="R196" s="452"/>
      <c r="S196" s="443"/>
      <c r="T196" s="421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2"/>
      <c r="V196" s="422"/>
      <c r="W196" s="423"/>
      <c r="X196" s="424"/>
      <c r="Y196" s="425" t="str">
        <f t="shared" ca="1" si="10"/>
        <v/>
      </c>
      <c r="Z196" s="426" t="str">
        <f t="shared" ca="1" si="11"/>
        <v/>
      </c>
      <c r="AA196" s="425" t="str">
        <f t="shared" ca="1" si="12"/>
        <v/>
      </c>
      <c r="AB196" s="427" t="str">
        <f t="shared" ca="1" si="13"/>
        <v/>
      </c>
      <c r="AC196" s="426" t="str">
        <f t="shared" ca="1" si="14"/>
        <v/>
      </c>
      <c r="AD196" s="79"/>
    </row>
    <row r="197" spans="1:30" customFormat="1" ht="14.4">
      <c r="A197" s="231"/>
      <c r="B197" s="271">
        <v>159</v>
      </c>
      <c r="C197" s="260"/>
      <c r="D197" s="261"/>
      <c r="E197" s="252"/>
      <c r="F197" s="237"/>
      <c r="G197" s="244"/>
      <c r="H197" s="381">
        <v>183</v>
      </c>
      <c r="I197" s="396"/>
      <c r="J197" s="396"/>
      <c r="K197" s="405"/>
      <c r="L197" s="405"/>
      <c r="M197" s="405"/>
      <c r="N197" s="452"/>
      <c r="O197" s="405"/>
      <c r="P197" s="405"/>
      <c r="Q197" s="405"/>
      <c r="R197" s="452"/>
      <c r="S197" s="443"/>
      <c r="T197" s="421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2"/>
      <c r="V197" s="422"/>
      <c r="W197" s="423"/>
      <c r="X197" s="424"/>
      <c r="Y197" s="425" t="str">
        <f t="shared" ca="1" si="10"/>
        <v/>
      </c>
      <c r="Z197" s="426" t="str">
        <f t="shared" ca="1" si="11"/>
        <v/>
      </c>
      <c r="AA197" s="425" t="str">
        <f t="shared" ca="1" si="12"/>
        <v/>
      </c>
      <c r="AB197" s="427" t="str">
        <f t="shared" ca="1" si="13"/>
        <v/>
      </c>
      <c r="AC197" s="426" t="str">
        <f t="shared" ca="1" si="14"/>
        <v/>
      </c>
      <c r="AD197" s="79"/>
    </row>
    <row r="198" spans="1:30" customFormat="1" ht="14.4">
      <c r="A198" s="231"/>
      <c r="B198" s="271">
        <v>160</v>
      </c>
      <c r="C198" s="260"/>
      <c r="D198" s="261"/>
      <c r="E198" s="252"/>
      <c r="F198" s="237"/>
      <c r="G198" s="244"/>
      <c r="H198" s="381">
        <v>184</v>
      </c>
      <c r="I198" s="396"/>
      <c r="J198" s="396"/>
      <c r="K198" s="405"/>
      <c r="L198" s="405"/>
      <c r="M198" s="405"/>
      <c r="N198" s="452"/>
      <c r="O198" s="405"/>
      <c r="P198" s="405"/>
      <c r="Q198" s="405"/>
      <c r="R198" s="452"/>
      <c r="S198" s="443"/>
      <c r="T198" s="421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2"/>
      <c r="V198" s="422"/>
      <c r="W198" s="423"/>
      <c r="X198" s="424"/>
      <c r="Y198" s="425" t="str">
        <f t="shared" ca="1" si="10"/>
        <v/>
      </c>
      <c r="Z198" s="426" t="str">
        <f t="shared" ca="1" si="11"/>
        <v/>
      </c>
      <c r="AA198" s="425" t="str">
        <f t="shared" ca="1" si="12"/>
        <v/>
      </c>
      <c r="AB198" s="427" t="str">
        <f t="shared" ca="1" si="13"/>
        <v/>
      </c>
      <c r="AC198" s="426" t="str">
        <f t="shared" ca="1" si="14"/>
        <v/>
      </c>
      <c r="AD198" s="79"/>
    </row>
    <row r="199" spans="1:30" customFormat="1" ht="14.4">
      <c r="A199" s="231"/>
      <c r="B199" s="271">
        <v>161</v>
      </c>
      <c r="C199" s="260"/>
      <c r="D199" s="261"/>
      <c r="E199" s="252"/>
      <c r="F199" s="237"/>
      <c r="G199" s="244"/>
      <c r="H199" s="381">
        <v>185</v>
      </c>
      <c r="I199" s="396"/>
      <c r="J199" s="396"/>
      <c r="K199" s="405"/>
      <c r="L199" s="405"/>
      <c r="M199" s="405"/>
      <c r="N199" s="452"/>
      <c r="O199" s="405"/>
      <c r="P199" s="405"/>
      <c r="Q199" s="405"/>
      <c r="R199" s="452"/>
      <c r="S199" s="443"/>
      <c r="T199" s="421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2"/>
      <c r="V199" s="422"/>
      <c r="W199" s="423"/>
      <c r="X199" s="424"/>
      <c r="Y199" s="425" t="str">
        <f t="shared" ca="1" si="10"/>
        <v/>
      </c>
      <c r="Z199" s="426" t="str">
        <f t="shared" ca="1" si="11"/>
        <v/>
      </c>
      <c r="AA199" s="425" t="str">
        <f t="shared" ca="1" si="12"/>
        <v/>
      </c>
      <c r="AB199" s="427" t="str">
        <f t="shared" ca="1" si="13"/>
        <v/>
      </c>
      <c r="AC199" s="426" t="str">
        <f t="shared" ca="1" si="14"/>
        <v/>
      </c>
      <c r="AD199" s="79"/>
    </row>
    <row r="200" spans="1:30" customFormat="1" ht="14.4">
      <c r="A200" s="231"/>
      <c r="B200" s="271">
        <v>162</v>
      </c>
      <c r="C200" s="260"/>
      <c r="D200" s="261"/>
      <c r="E200" s="252"/>
      <c r="F200" s="237"/>
      <c r="G200" s="244"/>
      <c r="H200" s="381">
        <v>186</v>
      </c>
      <c r="I200" s="396"/>
      <c r="J200" s="396"/>
      <c r="K200" s="405"/>
      <c r="L200" s="405"/>
      <c r="M200" s="405"/>
      <c r="N200" s="452"/>
      <c r="O200" s="405"/>
      <c r="P200" s="405"/>
      <c r="Q200" s="405"/>
      <c r="R200" s="452"/>
      <c r="S200" s="443"/>
      <c r="T200" s="421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2"/>
      <c r="V200" s="422"/>
      <c r="W200" s="423"/>
      <c r="X200" s="424"/>
      <c r="Y200" s="425" t="str">
        <f t="shared" ca="1" si="10"/>
        <v/>
      </c>
      <c r="Z200" s="426" t="str">
        <f t="shared" ca="1" si="11"/>
        <v/>
      </c>
      <c r="AA200" s="425" t="str">
        <f t="shared" ca="1" si="12"/>
        <v/>
      </c>
      <c r="AB200" s="427" t="str">
        <f t="shared" ca="1" si="13"/>
        <v/>
      </c>
      <c r="AC200" s="426" t="str">
        <f t="shared" ca="1" si="14"/>
        <v/>
      </c>
      <c r="AD200" s="79"/>
    </row>
    <row r="201" spans="1:30" customFormat="1" ht="14.4">
      <c r="A201" s="231"/>
      <c r="B201" s="271">
        <v>163</v>
      </c>
      <c r="C201" s="260"/>
      <c r="D201" s="261"/>
      <c r="E201" s="252"/>
      <c r="F201" s="237"/>
      <c r="G201" s="244"/>
      <c r="H201" s="381">
        <v>187</v>
      </c>
      <c r="I201" s="396"/>
      <c r="J201" s="396"/>
      <c r="K201" s="405"/>
      <c r="L201" s="405"/>
      <c r="M201" s="405"/>
      <c r="N201" s="452"/>
      <c r="O201" s="405"/>
      <c r="P201" s="405"/>
      <c r="Q201" s="405"/>
      <c r="R201" s="452"/>
      <c r="S201" s="443"/>
      <c r="T201" s="421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2"/>
      <c r="V201" s="422"/>
      <c r="W201" s="423"/>
      <c r="X201" s="424"/>
      <c r="Y201" s="425" t="str">
        <f t="shared" ca="1" si="10"/>
        <v/>
      </c>
      <c r="Z201" s="426" t="str">
        <f t="shared" ca="1" si="11"/>
        <v/>
      </c>
      <c r="AA201" s="425" t="str">
        <f t="shared" ca="1" si="12"/>
        <v/>
      </c>
      <c r="AB201" s="427" t="str">
        <f t="shared" ca="1" si="13"/>
        <v/>
      </c>
      <c r="AC201" s="426" t="str">
        <f t="shared" ca="1" si="14"/>
        <v/>
      </c>
      <c r="AD201" s="79"/>
    </row>
    <row r="202" spans="1:30" customFormat="1" ht="14.4">
      <c r="A202" s="231"/>
      <c r="B202" s="271">
        <v>164</v>
      </c>
      <c r="C202" s="260"/>
      <c r="D202" s="261"/>
      <c r="E202" s="252"/>
      <c r="F202" s="237"/>
      <c r="G202" s="244"/>
      <c r="H202" s="381">
        <v>188</v>
      </c>
      <c r="I202" s="396"/>
      <c r="J202" s="396"/>
      <c r="K202" s="405"/>
      <c r="L202" s="405"/>
      <c r="M202" s="405"/>
      <c r="N202" s="452"/>
      <c r="O202" s="405"/>
      <c r="P202" s="405"/>
      <c r="Q202" s="405"/>
      <c r="R202" s="452"/>
      <c r="S202" s="443"/>
      <c r="T202" s="421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2"/>
      <c r="V202" s="422"/>
      <c r="W202" s="423"/>
      <c r="X202" s="424"/>
      <c r="Y202" s="425" t="str">
        <f t="shared" ca="1" si="10"/>
        <v/>
      </c>
      <c r="Z202" s="426" t="str">
        <f t="shared" ca="1" si="11"/>
        <v/>
      </c>
      <c r="AA202" s="425" t="str">
        <f t="shared" ca="1" si="12"/>
        <v/>
      </c>
      <c r="AB202" s="427" t="str">
        <f t="shared" ca="1" si="13"/>
        <v/>
      </c>
      <c r="AC202" s="426" t="str">
        <f t="shared" ca="1" si="14"/>
        <v/>
      </c>
      <c r="AD202" s="79"/>
    </row>
    <row r="203" spans="1:30" customFormat="1" ht="14.4">
      <c r="A203" s="231"/>
      <c r="B203" s="271">
        <v>165</v>
      </c>
      <c r="C203" s="260"/>
      <c r="D203" s="261"/>
      <c r="E203" s="252"/>
      <c r="F203" s="237"/>
      <c r="G203" s="244"/>
      <c r="H203" s="381">
        <v>189</v>
      </c>
      <c r="I203" s="396"/>
      <c r="J203" s="396"/>
      <c r="K203" s="405"/>
      <c r="L203" s="405"/>
      <c r="M203" s="405"/>
      <c r="N203" s="452"/>
      <c r="O203" s="405"/>
      <c r="P203" s="405"/>
      <c r="Q203" s="405"/>
      <c r="R203" s="452"/>
      <c r="S203" s="443"/>
      <c r="T203" s="421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2"/>
      <c r="V203" s="422"/>
      <c r="W203" s="423"/>
      <c r="X203" s="424"/>
      <c r="Y203" s="425" t="str">
        <f t="shared" ca="1" si="10"/>
        <v/>
      </c>
      <c r="Z203" s="426" t="str">
        <f t="shared" ca="1" si="11"/>
        <v/>
      </c>
      <c r="AA203" s="425" t="str">
        <f t="shared" ca="1" si="12"/>
        <v/>
      </c>
      <c r="AB203" s="427" t="str">
        <f t="shared" ca="1" si="13"/>
        <v/>
      </c>
      <c r="AC203" s="426" t="str">
        <f t="shared" ca="1" si="14"/>
        <v/>
      </c>
      <c r="AD203" s="79"/>
    </row>
    <row r="204" spans="1:30" customFormat="1" ht="14.4">
      <c r="A204" s="231"/>
      <c r="B204" s="271">
        <v>166</v>
      </c>
      <c r="C204" s="260"/>
      <c r="D204" s="261"/>
      <c r="E204" s="252"/>
      <c r="F204" s="237"/>
      <c r="G204" s="244"/>
      <c r="H204" s="381">
        <v>190</v>
      </c>
      <c r="I204" s="396"/>
      <c r="J204" s="396"/>
      <c r="K204" s="405"/>
      <c r="L204" s="405"/>
      <c r="M204" s="405"/>
      <c r="N204" s="452"/>
      <c r="O204" s="405"/>
      <c r="P204" s="405"/>
      <c r="Q204" s="405"/>
      <c r="R204" s="452"/>
      <c r="S204" s="443"/>
      <c r="T204" s="421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2"/>
      <c r="V204" s="422"/>
      <c r="W204" s="423"/>
      <c r="X204" s="424"/>
      <c r="Y204" s="425" t="str">
        <f t="shared" ca="1" si="10"/>
        <v/>
      </c>
      <c r="Z204" s="426" t="str">
        <f t="shared" ca="1" si="11"/>
        <v/>
      </c>
      <c r="AA204" s="425" t="str">
        <f t="shared" ca="1" si="12"/>
        <v/>
      </c>
      <c r="AB204" s="427" t="str">
        <f t="shared" ca="1" si="13"/>
        <v/>
      </c>
      <c r="AC204" s="426" t="str">
        <f t="shared" ca="1" si="14"/>
        <v/>
      </c>
      <c r="AD204" s="79"/>
    </row>
    <row r="205" spans="1:30" customFormat="1" ht="14.4">
      <c r="A205" s="231"/>
      <c r="B205" s="271">
        <v>167</v>
      </c>
      <c r="C205" s="260"/>
      <c r="D205" s="261"/>
      <c r="E205" s="252"/>
      <c r="F205" s="237"/>
      <c r="G205" s="244"/>
      <c r="H205" s="381">
        <v>191</v>
      </c>
      <c r="I205" s="396"/>
      <c r="J205" s="396"/>
      <c r="K205" s="405"/>
      <c r="L205" s="405"/>
      <c r="M205" s="405"/>
      <c r="N205" s="452"/>
      <c r="O205" s="405"/>
      <c r="P205" s="405"/>
      <c r="Q205" s="405"/>
      <c r="R205" s="452"/>
      <c r="S205" s="443"/>
      <c r="T205" s="421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2"/>
      <c r="V205" s="422"/>
      <c r="W205" s="423"/>
      <c r="X205" s="424"/>
      <c r="Y205" s="425" t="str">
        <f t="shared" ca="1" si="10"/>
        <v/>
      </c>
      <c r="Z205" s="426" t="str">
        <f t="shared" ca="1" si="11"/>
        <v/>
      </c>
      <c r="AA205" s="425" t="str">
        <f t="shared" ca="1" si="12"/>
        <v/>
      </c>
      <c r="AB205" s="427" t="str">
        <f t="shared" ca="1" si="13"/>
        <v/>
      </c>
      <c r="AC205" s="426" t="str">
        <f t="shared" ca="1" si="14"/>
        <v/>
      </c>
      <c r="AD205" s="79"/>
    </row>
    <row r="206" spans="1:30" customFormat="1" ht="14.4">
      <c r="A206" s="231"/>
      <c r="B206" s="271">
        <v>168</v>
      </c>
      <c r="C206" s="260"/>
      <c r="D206" s="261"/>
      <c r="E206" s="252"/>
      <c r="F206" s="237"/>
      <c r="G206" s="244"/>
      <c r="H206" s="381">
        <v>192</v>
      </c>
      <c r="I206" s="396"/>
      <c r="J206" s="396"/>
      <c r="K206" s="405"/>
      <c r="L206" s="405"/>
      <c r="M206" s="405"/>
      <c r="N206" s="452"/>
      <c r="O206" s="405"/>
      <c r="P206" s="405"/>
      <c r="Q206" s="405"/>
      <c r="R206" s="452"/>
      <c r="S206" s="443"/>
      <c r="T206" s="421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2"/>
      <c r="V206" s="422"/>
      <c r="W206" s="423"/>
      <c r="X206" s="424"/>
      <c r="Y206" s="425" t="str">
        <f t="shared" ca="1" si="10"/>
        <v/>
      </c>
      <c r="Z206" s="426" t="str">
        <f t="shared" ca="1" si="11"/>
        <v/>
      </c>
      <c r="AA206" s="425" t="str">
        <f t="shared" ca="1" si="12"/>
        <v/>
      </c>
      <c r="AB206" s="427" t="str">
        <f t="shared" ca="1" si="13"/>
        <v/>
      </c>
      <c r="AC206" s="426" t="str">
        <f t="shared" ca="1" si="14"/>
        <v/>
      </c>
      <c r="AD206" s="79"/>
    </row>
    <row r="207" spans="1:30" customFormat="1" ht="14.4">
      <c r="A207" s="231"/>
      <c r="B207" s="271">
        <v>169</v>
      </c>
      <c r="C207" s="260"/>
      <c r="D207" s="261"/>
      <c r="E207" s="252"/>
      <c r="F207" s="237"/>
      <c r="G207" s="244"/>
      <c r="H207" s="381">
        <v>193</v>
      </c>
      <c r="I207" s="396"/>
      <c r="J207" s="396"/>
      <c r="K207" s="405"/>
      <c r="L207" s="405"/>
      <c r="M207" s="405"/>
      <c r="N207" s="452"/>
      <c r="O207" s="405"/>
      <c r="P207" s="405"/>
      <c r="Q207" s="405"/>
      <c r="R207" s="452"/>
      <c r="S207" s="443"/>
      <c r="T207" s="421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2"/>
      <c r="V207" s="422"/>
      <c r="W207" s="423"/>
      <c r="X207" s="424"/>
      <c r="Y207" s="425" t="str">
        <f t="shared" ca="1" si="10"/>
        <v/>
      </c>
      <c r="Z207" s="426" t="str">
        <f t="shared" ca="1" si="11"/>
        <v/>
      </c>
      <c r="AA207" s="425" t="str">
        <f t="shared" ca="1" si="12"/>
        <v/>
      </c>
      <c r="AB207" s="427" t="str">
        <f t="shared" ca="1" si="13"/>
        <v/>
      </c>
      <c r="AC207" s="426" t="str">
        <f t="shared" ca="1" si="14"/>
        <v/>
      </c>
      <c r="AD207" s="79"/>
    </row>
    <row r="208" spans="1:30" customFormat="1" ht="14.4">
      <c r="A208" s="231"/>
      <c r="B208" s="271">
        <v>170</v>
      </c>
      <c r="C208" s="260"/>
      <c r="D208" s="261"/>
      <c r="E208" s="252"/>
      <c r="F208" s="237"/>
      <c r="G208" s="244"/>
      <c r="H208" s="381">
        <v>194</v>
      </c>
      <c r="I208" s="396"/>
      <c r="J208" s="396"/>
      <c r="K208" s="405"/>
      <c r="L208" s="405"/>
      <c r="M208" s="405"/>
      <c r="N208" s="452"/>
      <c r="O208" s="405"/>
      <c r="P208" s="405"/>
      <c r="Q208" s="405"/>
      <c r="R208" s="452"/>
      <c r="S208" s="443"/>
      <c r="T208" s="421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2"/>
      <c r="V208" s="422"/>
      <c r="W208" s="423"/>
      <c r="X208" s="424"/>
      <c r="Y208" s="425" t="str">
        <f t="shared" ref="Y208:Y271" ca="1" si="15">IF($U$12,IF(T208="","",$U$13*D232/$C$18),"")</f>
        <v/>
      </c>
      <c r="Z208" s="426" t="str">
        <f t="shared" ref="Z208:Z271" ca="1" si="16">IF($U$12,IF(Y208="","",Y208*($Z$10-W208)*X208),"")</f>
        <v/>
      </c>
      <c r="AA208" s="425" t="str">
        <f t="shared" ref="AA208:AA271" ca="1" si="17">IF($U$12,IF(OR(T208="",L208=""),"",L208/($C$20-$C$19)),"")</f>
        <v/>
      </c>
      <c r="AB208" s="427" t="str">
        <f t="shared" ref="AB208:AB271" ca="1" si="18">IF($U$12,IF(W208="","",W208*$AC$10),"")</f>
        <v/>
      </c>
      <c r="AC208" s="426" t="str">
        <f t="shared" ref="AC208:AC271" ca="1" si="19">IF($U$12,IF(AA208="","",AA208*(AB208-W208)*X208),"")</f>
        <v/>
      </c>
      <c r="AD208" s="79"/>
    </row>
    <row r="209" spans="1:30" customFormat="1" ht="14.4">
      <c r="A209" s="231"/>
      <c r="B209" s="271">
        <v>171</v>
      </c>
      <c r="C209" s="260"/>
      <c r="D209" s="261"/>
      <c r="E209" s="252"/>
      <c r="F209" s="237"/>
      <c r="G209" s="244"/>
      <c r="H209" s="381">
        <v>195</v>
      </c>
      <c r="I209" s="396"/>
      <c r="J209" s="396"/>
      <c r="K209" s="405"/>
      <c r="L209" s="405"/>
      <c r="M209" s="405"/>
      <c r="N209" s="452"/>
      <c r="O209" s="405"/>
      <c r="P209" s="405"/>
      <c r="Q209" s="405"/>
      <c r="R209" s="452"/>
      <c r="S209" s="443"/>
      <c r="T209" s="421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2"/>
      <c r="V209" s="422"/>
      <c r="W209" s="423"/>
      <c r="X209" s="424"/>
      <c r="Y209" s="425" t="str">
        <f t="shared" ca="1" si="15"/>
        <v/>
      </c>
      <c r="Z209" s="426" t="str">
        <f t="shared" ca="1" si="16"/>
        <v/>
      </c>
      <c r="AA209" s="425" t="str">
        <f t="shared" ca="1" si="17"/>
        <v/>
      </c>
      <c r="AB209" s="427" t="str">
        <f t="shared" ca="1" si="18"/>
        <v/>
      </c>
      <c r="AC209" s="426" t="str">
        <f t="shared" ca="1" si="19"/>
        <v/>
      </c>
      <c r="AD209" s="79"/>
    </row>
    <row r="210" spans="1:30" customFormat="1" ht="14.4">
      <c r="A210" s="231"/>
      <c r="B210" s="271">
        <v>172</v>
      </c>
      <c r="C210" s="260"/>
      <c r="D210" s="261"/>
      <c r="E210" s="252"/>
      <c r="F210" s="237"/>
      <c r="G210" s="244"/>
      <c r="H210" s="381">
        <v>196</v>
      </c>
      <c r="I210" s="396"/>
      <c r="J210" s="396"/>
      <c r="K210" s="405"/>
      <c r="L210" s="405"/>
      <c r="M210" s="405"/>
      <c r="N210" s="452"/>
      <c r="O210" s="405"/>
      <c r="P210" s="405"/>
      <c r="Q210" s="405"/>
      <c r="R210" s="452"/>
      <c r="S210" s="443"/>
      <c r="T210" s="421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2"/>
      <c r="V210" s="422"/>
      <c r="W210" s="423"/>
      <c r="X210" s="424"/>
      <c r="Y210" s="425" t="str">
        <f t="shared" ca="1" si="15"/>
        <v/>
      </c>
      <c r="Z210" s="426" t="str">
        <f t="shared" ca="1" si="16"/>
        <v/>
      </c>
      <c r="AA210" s="425" t="str">
        <f t="shared" ca="1" si="17"/>
        <v/>
      </c>
      <c r="AB210" s="427" t="str">
        <f t="shared" ca="1" si="18"/>
        <v/>
      </c>
      <c r="AC210" s="426" t="str">
        <f t="shared" ca="1" si="19"/>
        <v/>
      </c>
      <c r="AD210" s="79"/>
    </row>
    <row r="211" spans="1:30" customFormat="1" ht="14.4">
      <c r="A211" s="231"/>
      <c r="B211" s="271">
        <v>173</v>
      </c>
      <c r="C211" s="260"/>
      <c r="D211" s="261"/>
      <c r="E211" s="252"/>
      <c r="F211" s="237"/>
      <c r="G211" s="244"/>
      <c r="H211" s="381">
        <v>197</v>
      </c>
      <c r="I211" s="396"/>
      <c r="J211" s="396"/>
      <c r="K211" s="405"/>
      <c r="L211" s="405"/>
      <c r="M211" s="405"/>
      <c r="N211" s="452"/>
      <c r="O211" s="405"/>
      <c r="P211" s="405"/>
      <c r="Q211" s="405"/>
      <c r="R211" s="452"/>
      <c r="S211" s="443"/>
      <c r="T211" s="421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2"/>
      <c r="V211" s="422"/>
      <c r="W211" s="423"/>
      <c r="X211" s="424"/>
      <c r="Y211" s="425" t="str">
        <f t="shared" ca="1" si="15"/>
        <v/>
      </c>
      <c r="Z211" s="426" t="str">
        <f t="shared" ca="1" si="16"/>
        <v/>
      </c>
      <c r="AA211" s="425" t="str">
        <f t="shared" ca="1" si="17"/>
        <v/>
      </c>
      <c r="AB211" s="427" t="str">
        <f t="shared" ca="1" si="18"/>
        <v/>
      </c>
      <c r="AC211" s="426" t="str">
        <f t="shared" ca="1" si="19"/>
        <v/>
      </c>
      <c r="AD211" s="79"/>
    </row>
    <row r="212" spans="1:30" customFormat="1" ht="14.4">
      <c r="A212" s="231"/>
      <c r="B212" s="271">
        <v>174</v>
      </c>
      <c r="C212" s="260"/>
      <c r="D212" s="261"/>
      <c r="E212" s="252"/>
      <c r="F212" s="237"/>
      <c r="G212" s="244"/>
      <c r="H212" s="381">
        <v>198</v>
      </c>
      <c r="I212" s="396"/>
      <c r="J212" s="396"/>
      <c r="K212" s="405"/>
      <c r="L212" s="405"/>
      <c r="M212" s="405"/>
      <c r="N212" s="452"/>
      <c r="O212" s="405"/>
      <c r="P212" s="405"/>
      <c r="Q212" s="405"/>
      <c r="R212" s="452"/>
      <c r="S212" s="443"/>
      <c r="T212" s="421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2"/>
      <c r="V212" s="422"/>
      <c r="W212" s="423"/>
      <c r="X212" s="424"/>
      <c r="Y212" s="425" t="str">
        <f t="shared" ca="1" si="15"/>
        <v/>
      </c>
      <c r="Z212" s="426" t="str">
        <f t="shared" ca="1" si="16"/>
        <v/>
      </c>
      <c r="AA212" s="425" t="str">
        <f t="shared" ca="1" si="17"/>
        <v/>
      </c>
      <c r="AB212" s="427" t="str">
        <f t="shared" ca="1" si="18"/>
        <v/>
      </c>
      <c r="AC212" s="426" t="str">
        <f t="shared" ca="1" si="19"/>
        <v/>
      </c>
      <c r="AD212" s="79"/>
    </row>
    <row r="213" spans="1:30" customFormat="1" ht="14.4">
      <c r="A213" s="231"/>
      <c r="B213" s="271">
        <v>175</v>
      </c>
      <c r="C213" s="260"/>
      <c r="D213" s="261"/>
      <c r="E213" s="252"/>
      <c r="F213" s="237"/>
      <c r="G213" s="244"/>
      <c r="H213" s="381">
        <v>199</v>
      </c>
      <c r="I213" s="396"/>
      <c r="J213" s="396"/>
      <c r="K213" s="405"/>
      <c r="L213" s="405"/>
      <c r="M213" s="405"/>
      <c r="N213" s="452"/>
      <c r="O213" s="405"/>
      <c r="P213" s="405"/>
      <c r="Q213" s="405"/>
      <c r="R213" s="452"/>
      <c r="S213" s="443"/>
      <c r="T213" s="421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2"/>
      <c r="V213" s="422"/>
      <c r="W213" s="423"/>
      <c r="X213" s="424"/>
      <c r="Y213" s="425" t="str">
        <f t="shared" ca="1" si="15"/>
        <v/>
      </c>
      <c r="Z213" s="426" t="str">
        <f t="shared" ca="1" si="16"/>
        <v/>
      </c>
      <c r="AA213" s="425" t="str">
        <f t="shared" ca="1" si="17"/>
        <v/>
      </c>
      <c r="AB213" s="427" t="str">
        <f t="shared" ca="1" si="18"/>
        <v/>
      </c>
      <c r="AC213" s="426" t="str">
        <f t="shared" ca="1" si="19"/>
        <v/>
      </c>
      <c r="AD213" s="79"/>
    </row>
    <row r="214" spans="1:30" customFormat="1" ht="14.4">
      <c r="A214" s="231"/>
      <c r="B214" s="271">
        <v>176</v>
      </c>
      <c r="C214" s="260"/>
      <c r="D214" s="261"/>
      <c r="E214" s="252"/>
      <c r="F214" s="237"/>
      <c r="G214" s="244"/>
      <c r="H214" s="381">
        <v>200</v>
      </c>
      <c r="I214" s="396"/>
      <c r="J214" s="396"/>
      <c r="K214" s="405"/>
      <c r="L214" s="405"/>
      <c r="M214" s="405"/>
      <c r="N214" s="452"/>
      <c r="O214" s="405"/>
      <c r="P214" s="405"/>
      <c r="Q214" s="405"/>
      <c r="R214" s="452"/>
      <c r="S214" s="443"/>
      <c r="T214" s="421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2"/>
      <c r="V214" s="422"/>
      <c r="W214" s="423"/>
      <c r="X214" s="424"/>
      <c r="Y214" s="425" t="str">
        <f t="shared" ca="1" si="15"/>
        <v/>
      </c>
      <c r="Z214" s="426" t="str">
        <f t="shared" ca="1" si="16"/>
        <v/>
      </c>
      <c r="AA214" s="425" t="str">
        <f t="shared" ca="1" si="17"/>
        <v/>
      </c>
      <c r="AB214" s="427" t="str">
        <f t="shared" ca="1" si="18"/>
        <v/>
      </c>
      <c r="AC214" s="426" t="str">
        <f t="shared" ca="1" si="19"/>
        <v/>
      </c>
      <c r="AD214" s="79"/>
    </row>
    <row r="215" spans="1:30" customFormat="1" ht="14.4">
      <c r="A215" s="231"/>
      <c r="B215" s="271">
        <v>177</v>
      </c>
      <c r="C215" s="260"/>
      <c r="D215" s="261"/>
      <c r="E215" s="252"/>
      <c r="F215" s="237"/>
      <c r="G215" s="244"/>
      <c r="H215" s="381">
        <v>201</v>
      </c>
      <c r="I215" s="396"/>
      <c r="J215" s="396"/>
      <c r="K215" s="405"/>
      <c r="L215" s="405"/>
      <c r="M215" s="405"/>
      <c r="N215" s="452"/>
      <c r="O215" s="405"/>
      <c r="P215" s="405"/>
      <c r="Q215" s="405"/>
      <c r="R215" s="452"/>
      <c r="S215" s="443"/>
      <c r="T215" s="421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2"/>
      <c r="V215" s="422"/>
      <c r="W215" s="423"/>
      <c r="X215" s="424"/>
      <c r="Y215" s="425" t="str">
        <f t="shared" ca="1" si="15"/>
        <v/>
      </c>
      <c r="Z215" s="426" t="str">
        <f t="shared" ca="1" si="16"/>
        <v/>
      </c>
      <c r="AA215" s="425" t="str">
        <f t="shared" ca="1" si="17"/>
        <v/>
      </c>
      <c r="AB215" s="427" t="str">
        <f t="shared" ca="1" si="18"/>
        <v/>
      </c>
      <c r="AC215" s="426" t="str">
        <f t="shared" ca="1" si="19"/>
        <v/>
      </c>
      <c r="AD215" s="79"/>
    </row>
    <row r="216" spans="1:30" customFormat="1" ht="14.4">
      <c r="A216" s="231"/>
      <c r="B216" s="271">
        <v>178</v>
      </c>
      <c r="C216" s="260"/>
      <c r="D216" s="261"/>
      <c r="E216" s="252"/>
      <c r="F216" s="237"/>
      <c r="G216" s="244"/>
      <c r="H216" s="381">
        <v>202</v>
      </c>
      <c r="I216" s="396"/>
      <c r="J216" s="396"/>
      <c r="K216" s="405"/>
      <c r="L216" s="405"/>
      <c r="M216" s="405"/>
      <c r="N216" s="452"/>
      <c r="O216" s="405"/>
      <c r="P216" s="405"/>
      <c r="Q216" s="405"/>
      <c r="R216" s="452"/>
      <c r="S216" s="443"/>
      <c r="T216" s="421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2"/>
      <c r="V216" s="422"/>
      <c r="W216" s="423"/>
      <c r="X216" s="424"/>
      <c r="Y216" s="425" t="str">
        <f t="shared" ca="1" si="15"/>
        <v/>
      </c>
      <c r="Z216" s="426" t="str">
        <f t="shared" ca="1" si="16"/>
        <v/>
      </c>
      <c r="AA216" s="425" t="str">
        <f t="shared" ca="1" si="17"/>
        <v/>
      </c>
      <c r="AB216" s="427" t="str">
        <f t="shared" ca="1" si="18"/>
        <v/>
      </c>
      <c r="AC216" s="426" t="str">
        <f t="shared" ca="1" si="19"/>
        <v/>
      </c>
      <c r="AD216" s="79"/>
    </row>
    <row r="217" spans="1:30" customFormat="1" ht="14.4">
      <c r="A217" s="231"/>
      <c r="B217" s="271">
        <v>179</v>
      </c>
      <c r="C217" s="260"/>
      <c r="D217" s="261"/>
      <c r="E217" s="252"/>
      <c r="F217" s="237"/>
      <c r="G217" s="244"/>
      <c r="H217" s="381">
        <v>203</v>
      </c>
      <c r="I217" s="396"/>
      <c r="J217" s="396"/>
      <c r="K217" s="405"/>
      <c r="L217" s="405"/>
      <c r="M217" s="405"/>
      <c r="N217" s="452"/>
      <c r="O217" s="405"/>
      <c r="P217" s="405"/>
      <c r="Q217" s="405"/>
      <c r="R217" s="452"/>
      <c r="S217" s="443"/>
      <c r="T217" s="421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2"/>
      <c r="V217" s="422"/>
      <c r="W217" s="423"/>
      <c r="X217" s="424"/>
      <c r="Y217" s="425" t="str">
        <f t="shared" ca="1" si="15"/>
        <v/>
      </c>
      <c r="Z217" s="426" t="str">
        <f t="shared" ca="1" si="16"/>
        <v/>
      </c>
      <c r="AA217" s="425" t="str">
        <f t="shared" ca="1" si="17"/>
        <v/>
      </c>
      <c r="AB217" s="427" t="str">
        <f t="shared" ca="1" si="18"/>
        <v/>
      </c>
      <c r="AC217" s="426" t="str">
        <f t="shared" ca="1" si="19"/>
        <v/>
      </c>
      <c r="AD217" s="79"/>
    </row>
    <row r="218" spans="1:30" customFormat="1" ht="14.4">
      <c r="A218" s="231"/>
      <c r="B218" s="271">
        <v>180</v>
      </c>
      <c r="C218" s="260"/>
      <c r="D218" s="261"/>
      <c r="E218" s="252"/>
      <c r="F218" s="237"/>
      <c r="G218" s="244"/>
      <c r="H218" s="381">
        <v>204</v>
      </c>
      <c r="I218" s="396"/>
      <c r="J218" s="396"/>
      <c r="K218" s="405"/>
      <c r="L218" s="405"/>
      <c r="M218" s="405"/>
      <c r="N218" s="452"/>
      <c r="O218" s="405"/>
      <c r="P218" s="405"/>
      <c r="Q218" s="405"/>
      <c r="R218" s="452"/>
      <c r="S218" s="443"/>
      <c r="T218" s="421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2"/>
      <c r="V218" s="422"/>
      <c r="W218" s="423"/>
      <c r="X218" s="424"/>
      <c r="Y218" s="425" t="str">
        <f t="shared" ca="1" si="15"/>
        <v/>
      </c>
      <c r="Z218" s="426" t="str">
        <f t="shared" ca="1" si="16"/>
        <v/>
      </c>
      <c r="AA218" s="425" t="str">
        <f t="shared" ca="1" si="17"/>
        <v/>
      </c>
      <c r="AB218" s="427" t="str">
        <f t="shared" ca="1" si="18"/>
        <v/>
      </c>
      <c r="AC218" s="426" t="str">
        <f t="shared" ca="1" si="19"/>
        <v/>
      </c>
      <c r="AD218" s="79"/>
    </row>
    <row r="219" spans="1:30" customFormat="1" ht="14.4">
      <c r="A219" s="231"/>
      <c r="B219" s="271">
        <v>181</v>
      </c>
      <c r="C219" s="260"/>
      <c r="D219" s="261"/>
      <c r="E219" s="252"/>
      <c r="F219" s="237"/>
      <c r="G219" s="244"/>
      <c r="H219" s="381">
        <v>205</v>
      </c>
      <c r="I219" s="396"/>
      <c r="J219" s="396"/>
      <c r="K219" s="405"/>
      <c r="L219" s="405"/>
      <c r="M219" s="405"/>
      <c r="N219" s="452"/>
      <c r="O219" s="405"/>
      <c r="P219" s="405"/>
      <c r="Q219" s="405"/>
      <c r="R219" s="452"/>
      <c r="S219" s="443"/>
      <c r="T219" s="421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2"/>
      <c r="V219" s="422"/>
      <c r="W219" s="423"/>
      <c r="X219" s="424"/>
      <c r="Y219" s="425" t="str">
        <f t="shared" ca="1" si="15"/>
        <v/>
      </c>
      <c r="Z219" s="426" t="str">
        <f t="shared" ca="1" si="16"/>
        <v/>
      </c>
      <c r="AA219" s="425" t="str">
        <f t="shared" ca="1" si="17"/>
        <v/>
      </c>
      <c r="AB219" s="427" t="str">
        <f t="shared" ca="1" si="18"/>
        <v/>
      </c>
      <c r="AC219" s="426" t="str">
        <f t="shared" ca="1" si="19"/>
        <v/>
      </c>
      <c r="AD219" s="79"/>
    </row>
    <row r="220" spans="1:30" customFormat="1" ht="14.4">
      <c r="A220" s="231"/>
      <c r="B220" s="271">
        <v>182</v>
      </c>
      <c r="C220" s="260"/>
      <c r="D220" s="261"/>
      <c r="E220" s="252"/>
      <c r="F220" s="237"/>
      <c r="G220" s="244"/>
      <c r="H220" s="381">
        <v>206</v>
      </c>
      <c r="I220" s="396"/>
      <c r="J220" s="396"/>
      <c r="K220" s="405"/>
      <c r="L220" s="405"/>
      <c r="M220" s="405"/>
      <c r="N220" s="452"/>
      <c r="O220" s="405"/>
      <c r="P220" s="405"/>
      <c r="Q220" s="405"/>
      <c r="R220" s="452"/>
      <c r="S220" s="443"/>
      <c r="T220" s="421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2"/>
      <c r="V220" s="422"/>
      <c r="W220" s="423"/>
      <c r="X220" s="424"/>
      <c r="Y220" s="425" t="str">
        <f t="shared" ca="1" si="15"/>
        <v/>
      </c>
      <c r="Z220" s="426" t="str">
        <f t="shared" ca="1" si="16"/>
        <v/>
      </c>
      <c r="AA220" s="425" t="str">
        <f t="shared" ca="1" si="17"/>
        <v/>
      </c>
      <c r="AB220" s="427" t="str">
        <f t="shared" ca="1" si="18"/>
        <v/>
      </c>
      <c r="AC220" s="426" t="str">
        <f t="shared" ca="1" si="19"/>
        <v/>
      </c>
      <c r="AD220" s="79"/>
    </row>
    <row r="221" spans="1:30" customFormat="1" ht="14.4">
      <c r="A221" s="231"/>
      <c r="B221" s="271">
        <v>183</v>
      </c>
      <c r="C221" s="260"/>
      <c r="D221" s="261"/>
      <c r="E221" s="252"/>
      <c r="F221" s="237"/>
      <c r="G221" s="244"/>
      <c r="H221" s="381">
        <v>207</v>
      </c>
      <c r="I221" s="396"/>
      <c r="J221" s="396"/>
      <c r="K221" s="405"/>
      <c r="L221" s="405"/>
      <c r="M221" s="405"/>
      <c r="N221" s="452"/>
      <c r="O221" s="405"/>
      <c r="P221" s="405"/>
      <c r="Q221" s="405"/>
      <c r="R221" s="452"/>
      <c r="S221" s="443"/>
      <c r="T221" s="421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2"/>
      <c r="V221" s="422"/>
      <c r="W221" s="423"/>
      <c r="X221" s="424"/>
      <c r="Y221" s="425" t="str">
        <f t="shared" ca="1" si="15"/>
        <v/>
      </c>
      <c r="Z221" s="426" t="str">
        <f t="shared" ca="1" si="16"/>
        <v/>
      </c>
      <c r="AA221" s="425" t="str">
        <f t="shared" ca="1" si="17"/>
        <v/>
      </c>
      <c r="AB221" s="427" t="str">
        <f t="shared" ca="1" si="18"/>
        <v/>
      </c>
      <c r="AC221" s="426" t="str">
        <f t="shared" ca="1" si="19"/>
        <v/>
      </c>
      <c r="AD221" s="79"/>
    </row>
    <row r="222" spans="1:30" customFormat="1" ht="14.4">
      <c r="A222" s="231"/>
      <c r="B222" s="271">
        <v>184</v>
      </c>
      <c r="C222" s="260"/>
      <c r="D222" s="261"/>
      <c r="E222" s="252"/>
      <c r="F222" s="237"/>
      <c r="G222" s="244"/>
      <c r="H222" s="381">
        <v>208</v>
      </c>
      <c r="I222" s="396"/>
      <c r="J222" s="396"/>
      <c r="K222" s="405"/>
      <c r="L222" s="405"/>
      <c r="M222" s="405"/>
      <c r="N222" s="452"/>
      <c r="O222" s="405"/>
      <c r="P222" s="405"/>
      <c r="Q222" s="405"/>
      <c r="R222" s="452"/>
      <c r="S222" s="443"/>
      <c r="T222" s="421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2"/>
      <c r="V222" s="422"/>
      <c r="W222" s="423"/>
      <c r="X222" s="424"/>
      <c r="Y222" s="425" t="str">
        <f t="shared" ca="1" si="15"/>
        <v/>
      </c>
      <c r="Z222" s="426" t="str">
        <f t="shared" ca="1" si="16"/>
        <v/>
      </c>
      <c r="AA222" s="425" t="str">
        <f t="shared" ca="1" si="17"/>
        <v/>
      </c>
      <c r="AB222" s="427" t="str">
        <f t="shared" ca="1" si="18"/>
        <v/>
      </c>
      <c r="AC222" s="426" t="str">
        <f t="shared" ca="1" si="19"/>
        <v/>
      </c>
      <c r="AD222" s="79"/>
    </row>
    <row r="223" spans="1:30" customFormat="1" ht="14.4">
      <c r="A223" s="231"/>
      <c r="B223" s="271">
        <v>185</v>
      </c>
      <c r="C223" s="260"/>
      <c r="D223" s="261"/>
      <c r="E223" s="252"/>
      <c r="F223" s="237"/>
      <c r="G223" s="244"/>
      <c r="H223" s="381">
        <v>209</v>
      </c>
      <c r="I223" s="396"/>
      <c r="J223" s="396"/>
      <c r="K223" s="405"/>
      <c r="L223" s="405"/>
      <c r="M223" s="405"/>
      <c r="N223" s="452"/>
      <c r="O223" s="405"/>
      <c r="P223" s="405"/>
      <c r="Q223" s="405"/>
      <c r="R223" s="452"/>
      <c r="S223" s="443"/>
      <c r="T223" s="421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2"/>
      <c r="V223" s="422"/>
      <c r="W223" s="423"/>
      <c r="X223" s="424"/>
      <c r="Y223" s="425" t="str">
        <f t="shared" ca="1" si="15"/>
        <v/>
      </c>
      <c r="Z223" s="426" t="str">
        <f t="shared" ca="1" si="16"/>
        <v/>
      </c>
      <c r="AA223" s="425" t="str">
        <f t="shared" ca="1" si="17"/>
        <v/>
      </c>
      <c r="AB223" s="427" t="str">
        <f t="shared" ca="1" si="18"/>
        <v/>
      </c>
      <c r="AC223" s="426" t="str">
        <f t="shared" ca="1" si="19"/>
        <v/>
      </c>
      <c r="AD223" s="79"/>
    </row>
    <row r="224" spans="1:30" customFormat="1" ht="14.4">
      <c r="A224" s="231"/>
      <c r="B224" s="271">
        <v>186</v>
      </c>
      <c r="C224" s="260"/>
      <c r="D224" s="261"/>
      <c r="E224" s="252"/>
      <c r="F224" s="237"/>
      <c r="G224" s="244"/>
      <c r="H224" s="381">
        <v>210</v>
      </c>
      <c r="I224" s="396"/>
      <c r="J224" s="396"/>
      <c r="K224" s="405"/>
      <c r="L224" s="405"/>
      <c r="M224" s="405"/>
      <c r="N224" s="452"/>
      <c r="O224" s="405"/>
      <c r="P224" s="405"/>
      <c r="Q224" s="405"/>
      <c r="R224" s="452"/>
      <c r="S224" s="443"/>
      <c r="T224" s="421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2"/>
      <c r="V224" s="422"/>
      <c r="W224" s="423"/>
      <c r="X224" s="424"/>
      <c r="Y224" s="425" t="str">
        <f t="shared" ca="1" si="15"/>
        <v/>
      </c>
      <c r="Z224" s="426" t="str">
        <f t="shared" ca="1" si="16"/>
        <v/>
      </c>
      <c r="AA224" s="425" t="str">
        <f t="shared" ca="1" si="17"/>
        <v/>
      </c>
      <c r="AB224" s="427" t="str">
        <f t="shared" ca="1" si="18"/>
        <v/>
      </c>
      <c r="AC224" s="426" t="str">
        <f t="shared" ca="1" si="19"/>
        <v/>
      </c>
      <c r="AD224" s="79"/>
    </row>
    <row r="225" spans="1:30" customFormat="1" ht="14.4">
      <c r="A225" s="231"/>
      <c r="B225" s="271">
        <v>187</v>
      </c>
      <c r="C225" s="260"/>
      <c r="D225" s="261"/>
      <c r="E225" s="252"/>
      <c r="F225" s="237"/>
      <c r="G225" s="244"/>
      <c r="H225" s="381">
        <v>211</v>
      </c>
      <c r="I225" s="396"/>
      <c r="J225" s="396"/>
      <c r="K225" s="405"/>
      <c r="L225" s="405"/>
      <c r="M225" s="405"/>
      <c r="N225" s="452"/>
      <c r="O225" s="405"/>
      <c r="P225" s="405"/>
      <c r="Q225" s="405"/>
      <c r="R225" s="452"/>
      <c r="S225" s="443"/>
      <c r="T225" s="421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2"/>
      <c r="V225" s="422"/>
      <c r="W225" s="423"/>
      <c r="X225" s="424"/>
      <c r="Y225" s="425" t="str">
        <f t="shared" ca="1" si="15"/>
        <v/>
      </c>
      <c r="Z225" s="426" t="str">
        <f t="shared" ca="1" si="16"/>
        <v/>
      </c>
      <c r="AA225" s="425" t="str">
        <f t="shared" ca="1" si="17"/>
        <v/>
      </c>
      <c r="AB225" s="427" t="str">
        <f t="shared" ca="1" si="18"/>
        <v/>
      </c>
      <c r="AC225" s="426" t="str">
        <f t="shared" ca="1" si="19"/>
        <v/>
      </c>
      <c r="AD225" s="79"/>
    </row>
    <row r="226" spans="1:30" customFormat="1" ht="14.4">
      <c r="A226" s="231"/>
      <c r="B226" s="271">
        <v>188</v>
      </c>
      <c r="C226" s="260"/>
      <c r="D226" s="261"/>
      <c r="E226" s="252"/>
      <c r="F226" s="237"/>
      <c r="G226" s="244"/>
      <c r="H226" s="381">
        <v>212</v>
      </c>
      <c r="I226" s="396"/>
      <c r="J226" s="396"/>
      <c r="K226" s="405"/>
      <c r="L226" s="405"/>
      <c r="M226" s="405"/>
      <c r="N226" s="452"/>
      <c r="O226" s="405"/>
      <c r="P226" s="405"/>
      <c r="Q226" s="405"/>
      <c r="R226" s="452"/>
      <c r="S226" s="443"/>
      <c r="T226" s="421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2"/>
      <c r="V226" s="422"/>
      <c r="W226" s="423"/>
      <c r="X226" s="424"/>
      <c r="Y226" s="425" t="str">
        <f t="shared" ca="1" si="15"/>
        <v/>
      </c>
      <c r="Z226" s="426" t="str">
        <f t="shared" ca="1" si="16"/>
        <v/>
      </c>
      <c r="AA226" s="425" t="str">
        <f t="shared" ca="1" si="17"/>
        <v/>
      </c>
      <c r="AB226" s="427" t="str">
        <f t="shared" ca="1" si="18"/>
        <v/>
      </c>
      <c r="AC226" s="426" t="str">
        <f t="shared" ca="1" si="19"/>
        <v/>
      </c>
      <c r="AD226" s="79"/>
    </row>
    <row r="227" spans="1:30" customFormat="1" ht="14.4">
      <c r="A227" s="231"/>
      <c r="B227" s="271">
        <v>189</v>
      </c>
      <c r="C227" s="260"/>
      <c r="D227" s="261"/>
      <c r="E227" s="252"/>
      <c r="F227" s="237"/>
      <c r="G227" s="244"/>
      <c r="H227" s="381">
        <v>213</v>
      </c>
      <c r="I227" s="396"/>
      <c r="J227" s="396"/>
      <c r="K227" s="405"/>
      <c r="L227" s="405"/>
      <c r="M227" s="405"/>
      <c r="N227" s="452"/>
      <c r="O227" s="405"/>
      <c r="P227" s="405"/>
      <c r="Q227" s="405"/>
      <c r="R227" s="452"/>
      <c r="S227" s="443"/>
      <c r="T227" s="421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2"/>
      <c r="V227" s="422"/>
      <c r="W227" s="423"/>
      <c r="X227" s="424"/>
      <c r="Y227" s="425" t="str">
        <f t="shared" ca="1" si="15"/>
        <v/>
      </c>
      <c r="Z227" s="426" t="str">
        <f t="shared" ca="1" si="16"/>
        <v/>
      </c>
      <c r="AA227" s="425" t="str">
        <f t="shared" ca="1" si="17"/>
        <v/>
      </c>
      <c r="AB227" s="427" t="str">
        <f t="shared" ca="1" si="18"/>
        <v/>
      </c>
      <c r="AC227" s="426" t="str">
        <f t="shared" ca="1" si="19"/>
        <v/>
      </c>
      <c r="AD227" s="79"/>
    </row>
    <row r="228" spans="1:30" customFormat="1" ht="14.4">
      <c r="A228" s="231"/>
      <c r="B228" s="271">
        <v>190</v>
      </c>
      <c r="C228" s="260"/>
      <c r="D228" s="261"/>
      <c r="E228" s="252"/>
      <c r="F228" s="237"/>
      <c r="G228" s="244"/>
      <c r="H228" s="381">
        <v>214</v>
      </c>
      <c r="I228" s="396"/>
      <c r="J228" s="396"/>
      <c r="K228" s="405"/>
      <c r="L228" s="405"/>
      <c r="M228" s="405"/>
      <c r="N228" s="452"/>
      <c r="O228" s="405"/>
      <c r="P228" s="405"/>
      <c r="Q228" s="405"/>
      <c r="R228" s="452"/>
      <c r="S228" s="443"/>
      <c r="T228" s="421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2"/>
      <c r="V228" s="422"/>
      <c r="W228" s="423"/>
      <c r="X228" s="424"/>
      <c r="Y228" s="425" t="str">
        <f t="shared" ca="1" si="15"/>
        <v/>
      </c>
      <c r="Z228" s="426" t="str">
        <f t="shared" ca="1" si="16"/>
        <v/>
      </c>
      <c r="AA228" s="425" t="str">
        <f t="shared" ca="1" si="17"/>
        <v/>
      </c>
      <c r="AB228" s="427" t="str">
        <f t="shared" ca="1" si="18"/>
        <v/>
      </c>
      <c r="AC228" s="426" t="str">
        <f t="shared" ca="1" si="19"/>
        <v/>
      </c>
      <c r="AD228" s="79"/>
    </row>
    <row r="229" spans="1:30" customFormat="1" ht="14.4">
      <c r="A229" s="231"/>
      <c r="B229" s="271">
        <v>191</v>
      </c>
      <c r="C229" s="260"/>
      <c r="D229" s="261"/>
      <c r="E229" s="252"/>
      <c r="F229" s="237"/>
      <c r="G229" s="244"/>
      <c r="H229" s="381">
        <v>215</v>
      </c>
      <c r="I229" s="396"/>
      <c r="J229" s="396"/>
      <c r="K229" s="405"/>
      <c r="L229" s="405"/>
      <c r="M229" s="405"/>
      <c r="N229" s="452"/>
      <c r="O229" s="405"/>
      <c r="P229" s="405"/>
      <c r="Q229" s="405"/>
      <c r="R229" s="452"/>
      <c r="S229" s="443"/>
      <c r="T229" s="421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2"/>
      <c r="V229" s="422"/>
      <c r="W229" s="423"/>
      <c r="X229" s="424"/>
      <c r="Y229" s="425" t="str">
        <f t="shared" ca="1" si="15"/>
        <v/>
      </c>
      <c r="Z229" s="426" t="str">
        <f t="shared" ca="1" si="16"/>
        <v/>
      </c>
      <c r="AA229" s="425" t="str">
        <f t="shared" ca="1" si="17"/>
        <v/>
      </c>
      <c r="AB229" s="427" t="str">
        <f t="shared" ca="1" si="18"/>
        <v/>
      </c>
      <c r="AC229" s="426" t="str">
        <f t="shared" ca="1" si="19"/>
        <v/>
      </c>
      <c r="AD229" s="79"/>
    </row>
    <row r="230" spans="1:30" customFormat="1" ht="14.4">
      <c r="A230" s="231"/>
      <c r="B230" s="271">
        <v>192</v>
      </c>
      <c r="C230" s="260"/>
      <c r="D230" s="261"/>
      <c r="E230" s="252"/>
      <c r="F230" s="237"/>
      <c r="G230" s="244"/>
      <c r="H230" s="381">
        <v>216</v>
      </c>
      <c r="I230" s="396"/>
      <c r="J230" s="396"/>
      <c r="K230" s="405"/>
      <c r="L230" s="405"/>
      <c r="M230" s="405"/>
      <c r="N230" s="452"/>
      <c r="O230" s="405"/>
      <c r="P230" s="405"/>
      <c r="Q230" s="405"/>
      <c r="R230" s="452"/>
      <c r="S230" s="443"/>
      <c r="T230" s="421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2"/>
      <c r="V230" s="422"/>
      <c r="W230" s="423"/>
      <c r="X230" s="424"/>
      <c r="Y230" s="425" t="str">
        <f t="shared" ca="1" si="15"/>
        <v/>
      </c>
      <c r="Z230" s="426" t="str">
        <f t="shared" ca="1" si="16"/>
        <v/>
      </c>
      <c r="AA230" s="425" t="str">
        <f t="shared" ca="1" si="17"/>
        <v/>
      </c>
      <c r="AB230" s="427" t="str">
        <f t="shared" ca="1" si="18"/>
        <v/>
      </c>
      <c r="AC230" s="426" t="str">
        <f t="shared" ca="1" si="19"/>
        <v/>
      </c>
      <c r="AD230" s="79"/>
    </row>
    <row r="231" spans="1:30" customFormat="1" ht="14.4">
      <c r="A231" s="231"/>
      <c r="B231" s="271">
        <v>193</v>
      </c>
      <c r="C231" s="260"/>
      <c r="D231" s="261"/>
      <c r="E231" s="252"/>
      <c r="F231" s="237"/>
      <c r="G231" s="244"/>
      <c r="H231" s="381">
        <v>217</v>
      </c>
      <c r="I231" s="396"/>
      <c r="J231" s="396"/>
      <c r="K231" s="405"/>
      <c r="L231" s="405"/>
      <c r="M231" s="405"/>
      <c r="N231" s="452"/>
      <c r="O231" s="405"/>
      <c r="P231" s="405"/>
      <c r="Q231" s="405"/>
      <c r="R231" s="452"/>
      <c r="S231" s="443"/>
      <c r="T231" s="421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2"/>
      <c r="V231" s="422"/>
      <c r="W231" s="423"/>
      <c r="X231" s="424"/>
      <c r="Y231" s="425" t="str">
        <f t="shared" ca="1" si="15"/>
        <v/>
      </c>
      <c r="Z231" s="426" t="str">
        <f t="shared" ca="1" si="16"/>
        <v/>
      </c>
      <c r="AA231" s="425" t="str">
        <f t="shared" ca="1" si="17"/>
        <v/>
      </c>
      <c r="AB231" s="427" t="str">
        <f t="shared" ca="1" si="18"/>
        <v/>
      </c>
      <c r="AC231" s="426" t="str">
        <f t="shared" ca="1" si="19"/>
        <v/>
      </c>
      <c r="AD231" s="79"/>
    </row>
    <row r="232" spans="1:30" customFormat="1" ht="14.4">
      <c r="A232" s="231"/>
      <c r="B232" s="271">
        <v>194</v>
      </c>
      <c r="C232" s="260"/>
      <c r="D232" s="261"/>
      <c r="E232" s="252"/>
      <c r="F232" s="237"/>
      <c r="G232" s="244"/>
      <c r="H232" s="381">
        <v>218</v>
      </c>
      <c r="I232" s="396"/>
      <c r="J232" s="396"/>
      <c r="K232" s="405"/>
      <c r="L232" s="405"/>
      <c r="M232" s="405"/>
      <c r="N232" s="452"/>
      <c r="O232" s="405"/>
      <c r="P232" s="405"/>
      <c r="Q232" s="405"/>
      <c r="R232" s="452"/>
      <c r="S232" s="443"/>
      <c r="T232" s="421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2"/>
      <c r="V232" s="422"/>
      <c r="W232" s="423"/>
      <c r="X232" s="424"/>
      <c r="Y232" s="425" t="str">
        <f t="shared" ca="1" si="15"/>
        <v/>
      </c>
      <c r="Z232" s="426" t="str">
        <f t="shared" ca="1" si="16"/>
        <v/>
      </c>
      <c r="AA232" s="425" t="str">
        <f t="shared" ca="1" si="17"/>
        <v/>
      </c>
      <c r="AB232" s="427" t="str">
        <f t="shared" ca="1" si="18"/>
        <v/>
      </c>
      <c r="AC232" s="426" t="str">
        <f t="shared" ca="1" si="19"/>
        <v/>
      </c>
      <c r="AD232" s="79"/>
    </row>
    <row r="233" spans="1:30" customFormat="1" ht="14.4">
      <c r="A233" s="231"/>
      <c r="B233" s="271">
        <v>195</v>
      </c>
      <c r="C233" s="260"/>
      <c r="D233" s="261"/>
      <c r="E233" s="252"/>
      <c r="F233" s="237"/>
      <c r="G233" s="244"/>
      <c r="H233" s="381">
        <v>219</v>
      </c>
      <c r="I233" s="396"/>
      <c r="J233" s="396"/>
      <c r="K233" s="405"/>
      <c r="L233" s="405"/>
      <c r="M233" s="405"/>
      <c r="N233" s="452"/>
      <c r="O233" s="405"/>
      <c r="P233" s="405"/>
      <c r="Q233" s="405"/>
      <c r="R233" s="452"/>
      <c r="S233" s="443"/>
      <c r="T233" s="421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2"/>
      <c r="V233" s="422"/>
      <c r="W233" s="423"/>
      <c r="X233" s="424"/>
      <c r="Y233" s="425" t="str">
        <f t="shared" ca="1" si="15"/>
        <v/>
      </c>
      <c r="Z233" s="426" t="str">
        <f t="shared" ca="1" si="16"/>
        <v/>
      </c>
      <c r="AA233" s="425" t="str">
        <f t="shared" ca="1" si="17"/>
        <v/>
      </c>
      <c r="AB233" s="427" t="str">
        <f t="shared" ca="1" si="18"/>
        <v/>
      </c>
      <c r="AC233" s="426" t="str">
        <f t="shared" ca="1" si="19"/>
        <v/>
      </c>
      <c r="AD233" s="79"/>
    </row>
    <row r="234" spans="1:30" customFormat="1" ht="14.4">
      <c r="A234" s="231"/>
      <c r="B234" s="271">
        <v>196</v>
      </c>
      <c r="C234" s="260"/>
      <c r="D234" s="261"/>
      <c r="E234" s="252"/>
      <c r="F234" s="237"/>
      <c r="G234" s="244"/>
      <c r="H234" s="381">
        <v>220</v>
      </c>
      <c r="I234" s="396"/>
      <c r="J234" s="396"/>
      <c r="K234" s="405"/>
      <c r="L234" s="405"/>
      <c r="M234" s="405"/>
      <c r="N234" s="452"/>
      <c r="O234" s="405"/>
      <c r="P234" s="405"/>
      <c r="Q234" s="405"/>
      <c r="R234" s="452"/>
      <c r="S234" s="443"/>
      <c r="T234" s="421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2"/>
      <c r="V234" s="422"/>
      <c r="W234" s="423"/>
      <c r="X234" s="424"/>
      <c r="Y234" s="425" t="str">
        <f t="shared" ca="1" si="15"/>
        <v/>
      </c>
      <c r="Z234" s="426" t="str">
        <f t="shared" ca="1" si="16"/>
        <v/>
      </c>
      <c r="AA234" s="425" t="str">
        <f t="shared" ca="1" si="17"/>
        <v/>
      </c>
      <c r="AB234" s="427" t="str">
        <f t="shared" ca="1" si="18"/>
        <v/>
      </c>
      <c r="AC234" s="426" t="str">
        <f t="shared" ca="1" si="19"/>
        <v/>
      </c>
      <c r="AD234" s="79"/>
    </row>
    <row r="235" spans="1:30" customFormat="1" ht="14.4">
      <c r="A235" s="231"/>
      <c r="B235" s="271">
        <v>197</v>
      </c>
      <c r="C235" s="260"/>
      <c r="D235" s="261"/>
      <c r="E235" s="252"/>
      <c r="F235" s="237"/>
      <c r="G235" s="244"/>
      <c r="H235" s="381">
        <v>221</v>
      </c>
      <c r="I235" s="396"/>
      <c r="J235" s="396"/>
      <c r="K235" s="405"/>
      <c r="L235" s="405"/>
      <c r="M235" s="405"/>
      <c r="N235" s="452"/>
      <c r="O235" s="405"/>
      <c r="P235" s="405"/>
      <c r="Q235" s="405"/>
      <c r="R235" s="452"/>
      <c r="S235" s="443"/>
      <c r="T235" s="421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2"/>
      <c r="V235" s="422"/>
      <c r="W235" s="423"/>
      <c r="X235" s="424"/>
      <c r="Y235" s="425" t="str">
        <f t="shared" ca="1" si="15"/>
        <v/>
      </c>
      <c r="Z235" s="426" t="str">
        <f t="shared" ca="1" si="16"/>
        <v/>
      </c>
      <c r="AA235" s="425" t="str">
        <f t="shared" ca="1" si="17"/>
        <v/>
      </c>
      <c r="AB235" s="427" t="str">
        <f t="shared" ca="1" si="18"/>
        <v/>
      </c>
      <c r="AC235" s="426" t="str">
        <f t="shared" ca="1" si="19"/>
        <v/>
      </c>
      <c r="AD235" s="79"/>
    </row>
    <row r="236" spans="1:30" customFormat="1" ht="14.4">
      <c r="A236" s="231"/>
      <c r="B236" s="271">
        <v>198</v>
      </c>
      <c r="C236" s="260"/>
      <c r="D236" s="261"/>
      <c r="E236" s="252"/>
      <c r="F236" s="237"/>
      <c r="G236" s="244"/>
      <c r="H236" s="381">
        <v>222</v>
      </c>
      <c r="I236" s="396"/>
      <c r="J236" s="396"/>
      <c r="K236" s="405"/>
      <c r="L236" s="405"/>
      <c r="M236" s="405"/>
      <c r="N236" s="452"/>
      <c r="O236" s="405"/>
      <c r="P236" s="405"/>
      <c r="Q236" s="405"/>
      <c r="R236" s="452"/>
      <c r="S236" s="443"/>
      <c r="T236" s="421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2"/>
      <c r="V236" s="422"/>
      <c r="W236" s="423"/>
      <c r="X236" s="424"/>
      <c r="Y236" s="425" t="str">
        <f t="shared" ca="1" si="15"/>
        <v/>
      </c>
      <c r="Z236" s="426" t="str">
        <f t="shared" ca="1" si="16"/>
        <v/>
      </c>
      <c r="AA236" s="425" t="str">
        <f t="shared" ca="1" si="17"/>
        <v/>
      </c>
      <c r="AB236" s="427" t="str">
        <f t="shared" ca="1" si="18"/>
        <v/>
      </c>
      <c r="AC236" s="426" t="str">
        <f t="shared" ca="1" si="19"/>
        <v/>
      </c>
      <c r="AD236" s="79"/>
    </row>
    <row r="237" spans="1:30" customFormat="1" ht="14.4">
      <c r="A237" s="231"/>
      <c r="B237" s="271">
        <v>199</v>
      </c>
      <c r="C237" s="260"/>
      <c r="D237" s="261"/>
      <c r="E237" s="252"/>
      <c r="F237" s="237"/>
      <c r="G237" s="244"/>
      <c r="H237" s="381">
        <v>223</v>
      </c>
      <c r="I237" s="396"/>
      <c r="J237" s="396"/>
      <c r="K237" s="405"/>
      <c r="L237" s="405"/>
      <c r="M237" s="405"/>
      <c r="N237" s="452"/>
      <c r="O237" s="405"/>
      <c r="P237" s="405"/>
      <c r="Q237" s="405"/>
      <c r="R237" s="452"/>
      <c r="S237" s="443"/>
      <c r="T237" s="421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2"/>
      <c r="V237" s="422"/>
      <c r="W237" s="423"/>
      <c r="X237" s="424"/>
      <c r="Y237" s="425" t="str">
        <f t="shared" ca="1" si="15"/>
        <v/>
      </c>
      <c r="Z237" s="426" t="str">
        <f t="shared" ca="1" si="16"/>
        <v/>
      </c>
      <c r="AA237" s="425" t="str">
        <f t="shared" ca="1" si="17"/>
        <v/>
      </c>
      <c r="AB237" s="427" t="str">
        <f t="shared" ca="1" si="18"/>
        <v/>
      </c>
      <c r="AC237" s="426" t="str">
        <f t="shared" ca="1" si="19"/>
        <v/>
      </c>
      <c r="AD237" s="79"/>
    </row>
    <row r="238" spans="1:30" customFormat="1" ht="14.4">
      <c r="A238" s="231"/>
      <c r="B238" s="271">
        <v>200</v>
      </c>
      <c r="C238" s="260"/>
      <c r="D238" s="261"/>
      <c r="E238" s="252"/>
      <c r="F238" s="237"/>
      <c r="G238" s="244"/>
      <c r="H238" s="381">
        <v>224</v>
      </c>
      <c r="I238" s="396"/>
      <c r="J238" s="396"/>
      <c r="K238" s="405"/>
      <c r="L238" s="405"/>
      <c r="M238" s="405"/>
      <c r="N238" s="452"/>
      <c r="O238" s="405"/>
      <c r="P238" s="405"/>
      <c r="Q238" s="405"/>
      <c r="R238" s="452"/>
      <c r="S238" s="443"/>
      <c r="T238" s="421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2"/>
      <c r="V238" s="422"/>
      <c r="W238" s="423"/>
      <c r="X238" s="424"/>
      <c r="Y238" s="425" t="str">
        <f t="shared" ca="1" si="15"/>
        <v/>
      </c>
      <c r="Z238" s="426" t="str">
        <f t="shared" ca="1" si="16"/>
        <v/>
      </c>
      <c r="AA238" s="425" t="str">
        <f t="shared" ca="1" si="17"/>
        <v/>
      </c>
      <c r="AB238" s="427" t="str">
        <f t="shared" ca="1" si="18"/>
        <v/>
      </c>
      <c r="AC238" s="426" t="str">
        <f t="shared" ca="1" si="19"/>
        <v/>
      </c>
      <c r="AD238" s="79"/>
    </row>
    <row r="239" spans="1:30" customFormat="1" ht="14.4">
      <c r="A239" s="231"/>
      <c r="B239" s="271">
        <v>201</v>
      </c>
      <c r="C239" s="260"/>
      <c r="D239" s="261"/>
      <c r="E239" s="252"/>
      <c r="F239" s="237"/>
      <c r="G239" s="244"/>
      <c r="H239" s="381">
        <v>225</v>
      </c>
      <c r="I239" s="396"/>
      <c r="J239" s="396"/>
      <c r="K239" s="405"/>
      <c r="L239" s="405"/>
      <c r="M239" s="405"/>
      <c r="N239" s="452"/>
      <c r="O239" s="405"/>
      <c r="P239" s="405"/>
      <c r="Q239" s="405"/>
      <c r="R239" s="452"/>
      <c r="S239" s="443"/>
      <c r="T239" s="421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2"/>
      <c r="V239" s="422"/>
      <c r="W239" s="423"/>
      <c r="X239" s="424"/>
      <c r="Y239" s="425" t="str">
        <f t="shared" ca="1" si="15"/>
        <v/>
      </c>
      <c r="Z239" s="426" t="str">
        <f t="shared" ca="1" si="16"/>
        <v/>
      </c>
      <c r="AA239" s="425" t="str">
        <f t="shared" ca="1" si="17"/>
        <v/>
      </c>
      <c r="AB239" s="427" t="str">
        <f t="shared" ca="1" si="18"/>
        <v/>
      </c>
      <c r="AC239" s="426" t="str">
        <f t="shared" ca="1" si="19"/>
        <v/>
      </c>
      <c r="AD239" s="79"/>
    </row>
    <row r="240" spans="1:30" customFormat="1" ht="14.4">
      <c r="A240" s="231"/>
      <c r="B240" s="271">
        <v>202</v>
      </c>
      <c r="C240" s="260"/>
      <c r="D240" s="261"/>
      <c r="E240" s="252"/>
      <c r="F240" s="237"/>
      <c r="G240" s="244"/>
      <c r="H240" s="381">
        <v>226</v>
      </c>
      <c r="I240" s="396"/>
      <c r="J240" s="396"/>
      <c r="K240" s="405"/>
      <c r="L240" s="405"/>
      <c r="M240" s="405"/>
      <c r="N240" s="452"/>
      <c r="O240" s="405"/>
      <c r="P240" s="405"/>
      <c r="Q240" s="405"/>
      <c r="R240" s="452"/>
      <c r="S240" s="443"/>
      <c r="T240" s="421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2"/>
      <c r="V240" s="422"/>
      <c r="W240" s="423"/>
      <c r="X240" s="424"/>
      <c r="Y240" s="425" t="str">
        <f t="shared" ca="1" si="15"/>
        <v/>
      </c>
      <c r="Z240" s="426" t="str">
        <f t="shared" ca="1" si="16"/>
        <v/>
      </c>
      <c r="AA240" s="425" t="str">
        <f t="shared" ca="1" si="17"/>
        <v/>
      </c>
      <c r="AB240" s="427" t="str">
        <f t="shared" ca="1" si="18"/>
        <v/>
      </c>
      <c r="AC240" s="426" t="str">
        <f t="shared" ca="1" si="19"/>
        <v/>
      </c>
      <c r="AD240" s="79"/>
    </row>
    <row r="241" spans="1:30" customFormat="1" ht="14.4">
      <c r="A241" s="231"/>
      <c r="B241" s="271">
        <v>203</v>
      </c>
      <c r="C241" s="260"/>
      <c r="D241" s="261"/>
      <c r="E241" s="252"/>
      <c r="F241" s="237"/>
      <c r="G241" s="244"/>
      <c r="H241" s="381">
        <v>227</v>
      </c>
      <c r="I241" s="396"/>
      <c r="J241" s="396"/>
      <c r="K241" s="405"/>
      <c r="L241" s="405"/>
      <c r="M241" s="405"/>
      <c r="N241" s="452"/>
      <c r="O241" s="405"/>
      <c r="P241" s="405"/>
      <c r="Q241" s="405"/>
      <c r="R241" s="452"/>
      <c r="S241" s="443"/>
      <c r="T241" s="421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2"/>
      <c r="V241" s="422"/>
      <c r="W241" s="423"/>
      <c r="X241" s="424"/>
      <c r="Y241" s="425" t="str">
        <f t="shared" ca="1" si="15"/>
        <v/>
      </c>
      <c r="Z241" s="426" t="str">
        <f t="shared" ca="1" si="16"/>
        <v/>
      </c>
      <c r="AA241" s="425" t="str">
        <f t="shared" ca="1" si="17"/>
        <v/>
      </c>
      <c r="AB241" s="427" t="str">
        <f t="shared" ca="1" si="18"/>
        <v/>
      </c>
      <c r="AC241" s="426" t="str">
        <f t="shared" ca="1" si="19"/>
        <v/>
      </c>
      <c r="AD241" s="79"/>
    </row>
    <row r="242" spans="1:30" customFormat="1" ht="14.4">
      <c r="A242" s="231"/>
      <c r="B242" s="271">
        <v>204</v>
      </c>
      <c r="C242" s="260"/>
      <c r="D242" s="261"/>
      <c r="E242" s="252"/>
      <c r="F242" s="237"/>
      <c r="G242" s="244"/>
      <c r="H242" s="381">
        <v>228</v>
      </c>
      <c r="I242" s="396"/>
      <c r="J242" s="396"/>
      <c r="K242" s="405"/>
      <c r="L242" s="405"/>
      <c r="M242" s="405"/>
      <c r="N242" s="452"/>
      <c r="O242" s="405"/>
      <c r="P242" s="405"/>
      <c r="Q242" s="405"/>
      <c r="R242" s="452"/>
      <c r="S242" s="443"/>
      <c r="T242" s="421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2"/>
      <c r="V242" s="422"/>
      <c r="W242" s="423"/>
      <c r="X242" s="424"/>
      <c r="Y242" s="425" t="str">
        <f t="shared" ca="1" si="15"/>
        <v/>
      </c>
      <c r="Z242" s="426" t="str">
        <f t="shared" ca="1" si="16"/>
        <v/>
      </c>
      <c r="AA242" s="425" t="str">
        <f t="shared" ca="1" si="17"/>
        <v/>
      </c>
      <c r="AB242" s="427" t="str">
        <f t="shared" ca="1" si="18"/>
        <v/>
      </c>
      <c r="AC242" s="426" t="str">
        <f t="shared" ca="1" si="19"/>
        <v/>
      </c>
      <c r="AD242" s="79"/>
    </row>
    <row r="243" spans="1:30" customFormat="1" ht="14.4">
      <c r="A243" s="231"/>
      <c r="B243" s="271">
        <v>205</v>
      </c>
      <c r="C243" s="260"/>
      <c r="D243" s="261"/>
      <c r="E243" s="252"/>
      <c r="F243" s="237"/>
      <c r="G243" s="244"/>
      <c r="H243" s="381">
        <v>229</v>
      </c>
      <c r="I243" s="396"/>
      <c r="J243" s="396"/>
      <c r="K243" s="405"/>
      <c r="L243" s="405"/>
      <c r="M243" s="405"/>
      <c r="N243" s="452"/>
      <c r="O243" s="405"/>
      <c r="P243" s="405"/>
      <c r="Q243" s="405"/>
      <c r="R243" s="452"/>
      <c r="S243" s="443"/>
      <c r="T243" s="421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2"/>
      <c r="V243" s="422"/>
      <c r="W243" s="423"/>
      <c r="X243" s="424"/>
      <c r="Y243" s="425" t="str">
        <f t="shared" ca="1" si="15"/>
        <v/>
      </c>
      <c r="Z243" s="426" t="str">
        <f t="shared" ca="1" si="16"/>
        <v/>
      </c>
      <c r="AA243" s="425" t="str">
        <f t="shared" ca="1" si="17"/>
        <v/>
      </c>
      <c r="AB243" s="427" t="str">
        <f t="shared" ca="1" si="18"/>
        <v/>
      </c>
      <c r="AC243" s="426" t="str">
        <f t="shared" ca="1" si="19"/>
        <v/>
      </c>
      <c r="AD243" s="79"/>
    </row>
    <row r="244" spans="1:30" customFormat="1" ht="14.4">
      <c r="A244" s="231"/>
      <c r="B244" s="271">
        <v>206</v>
      </c>
      <c r="C244" s="260"/>
      <c r="D244" s="261"/>
      <c r="E244" s="252"/>
      <c r="F244" s="237"/>
      <c r="G244" s="244"/>
      <c r="H244" s="381">
        <v>230</v>
      </c>
      <c r="I244" s="396"/>
      <c r="J244" s="396"/>
      <c r="K244" s="405"/>
      <c r="L244" s="405"/>
      <c r="M244" s="405"/>
      <c r="N244" s="452"/>
      <c r="O244" s="405"/>
      <c r="P244" s="405"/>
      <c r="Q244" s="405"/>
      <c r="R244" s="452"/>
      <c r="S244" s="443"/>
      <c r="T244" s="421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2"/>
      <c r="V244" s="422"/>
      <c r="W244" s="423"/>
      <c r="X244" s="424"/>
      <c r="Y244" s="425" t="str">
        <f t="shared" ca="1" si="15"/>
        <v/>
      </c>
      <c r="Z244" s="426" t="str">
        <f t="shared" ca="1" si="16"/>
        <v/>
      </c>
      <c r="AA244" s="425" t="str">
        <f t="shared" ca="1" si="17"/>
        <v/>
      </c>
      <c r="AB244" s="427" t="str">
        <f t="shared" ca="1" si="18"/>
        <v/>
      </c>
      <c r="AC244" s="426" t="str">
        <f t="shared" ca="1" si="19"/>
        <v/>
      </c>
      <c r="AD244" s="79"/>
    </row>
    <row r="245" spans="1:30" customFormat="1" ht="14.4">
      <c r="A245" s="231"/>
      <c r="B245" s="271">
        <v>207</v>
      </c>
      <c r="C245" s="260"/>
      <c r="D245" s="261"/>
      <c r="E245" s="252"/>
      <c r="F245" s="237"/>
      <c r="G245" s="244"/>
      <c r="H245" s="381">
        <v>231</v>
      </c>
      <c r="I245" s="396"/>
      <c r="J245" s="396"/>
      <c r="K245" s="405"/>
      <c r="L245" s="405"/>
      <c r="M245" s="405"/>
      <c r="N245" s="452"/>
      <c r="O245" s="405"/>
      <c r="P245" s="405"/>
      <c r="Q245" s="405"/>
      <c r="R245" s="452"/>
      <c r="S245" s="443"/>
      <c r="T245" s="421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2"/>
      <c r="V245" s="422"/>
      <c r="W245" s="423"/>
      <c r="X245" s="424"/>
      <c r="Y245" s="425" t="str">
        <f t="shared" ca="1" si="15"/>
        <v/>
      </c>
      <c r="Z245" s="426" t="str">
        <f t="shared" ca="1" si="16"/>
        <v/>
      </c>
      <c r="AA245" s="425" t="str">
        <f t="shared" ca="1" si="17"/>
        <v/>
      </c>
      <c r="AB245" s="427" t="str">
        <f t="shared" ca="1" si="18"/>
        <v/>
      </c>
      <c r="AC245" s="426" t="str">
        <f t="shared" ca="1" si="19"/>
        <v/>
      </c>
      <c r="AD245" s="79"/>
    </row>
    <row r="246" spans="1:30" customFormat="1" ht="14.4">
      <c r="A246" s="231"/>
      <c r="B246" s="271">
        <v>208</v>
      </c>
      <c r="C246" s="260"/>
      <c r="D246" s="261"/>
      <c r="E246" s="252"/>
      <c r="F246" s="237"/>
      <c r="G246" s="244"/>
      <c r="H246" s="381">
        <v>232</v>
      </c>
      <c r="I246" s="396"/>
      <c r="J246" s="396"/>
      <c r="K246" s="405"/>
      <c r="L246" s="405"/>
      <c r="M246" s="405"/>
      <c r="N246" s="452"/>
      <c r="O246" s="405"/>
      <c r="P246" s="405"/>
      <c r="Q246" s="405"/>
      <c r="R246" s="452"/>
      <c r="S246" s="443"/>
      <c r="T246" s="421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2"/>
      <c r="V246" s="422"/>
      <c r="W246" s="423"/>
      <c r="X246" s="424"/>
      <c r="Y246" s="425" t="str">
        <f t="shared" ca="1" si="15"/>
        <v/>
      </c>
      <c r="Z246" s="426" t="str">
        <f t="shared" ca="1" si="16"/>
        <v/>
      </c>
      <c r="AA246" s="425" t="str">
        <f t="shared" ca="1" si="17"/>
        <v/>
      </c>
      <c r="AB246" s="427" t="str">
        <f t="shared" ca="1" si="18"/>
        <v/>
      </c>
      <c r="AC246" s="426" t="str">
        <f t="shared" ca="1" si="19"/>
        <v/>
      </c>
      <c r="AD246" s="79"/>
    </row>
    <row r="247" spans="1:30" customFormat="1" ht="14.4">
      <c r="A247" s="231"/>
      <c r="B247" s="271">
        <v>209</v>
      </c>
      <c r="C247" s="260"/>
      <c r="D247" s="261"/>
      <c r="E247" s="252"/>
      <c r="F247" s="237"/>
      <c r="G247" s="244"/>
      <c r="H247" s="381">
        <v>233</v>
      </c>
      <c r="I247" s="396"/>
      <c r="J247" s="396"/>
      <c r="K247" s="405"/>
      <c r="L247" s="405"/>
      <c r="M247" s="405"/>
      <c r="N247" s="452"/>
      <c r="O247" s="405"/>
      <c r="P247" s="405"/>
      <c r="Q247" s="405"/>
      <c r="R247" s="452"/>
      <c r="S247" s="443"/>
      <c r="T247" s="421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2"/>
      <c r="V247" s="422"/>
      <c r="W247" s="423"/>
      <c r="X247" s="424"/>
      <c r="Y247" s="425" t="str">
        <f t="shared" ca="1" si="15"/>
        <v/>
      </c>
      <c r="Z247" s="426" t="str">
        <f t="shared" ca="1" si="16"/>
        <v/>
      </c>
      <c r="AA247" s="425" t="str">
        <f t="shared" ca="1" si="17"/>
        <v/>
      </c>
      <c r="AB247" s="427" t="str">
        <f t="shared" ca="1" si="18"/>
        <v/>
      </c>
      <c r="AC247" s="426" t="str">
        <f t="shared" ca="1" si="19"/>
        <v/>
      </c>
      <c r="AD247" s="79"/>
    </row>
    <row r="248" spans="1:30" customFormat="1" ht="14.4">
      <c r="A248" s="231"/>
      <c r="B248" s="271">
        <v>210</v>
      </c>
      <c r="C248" s="260"/>
      <c r="D248" s="261"/>
      <c r="E248" s="252"/>
      <c r="F248" s="237"/>
      <c r="G248" s="244"/>
      <c r="H248" s="381">
        <v>234</v>
      </c>
      <c r="I248" s="396"/>
      <c r="J248" s="396"/>
      <c r="K248" s="405"/>
      <c r="L248" s="405"/>
      <c r="M248" s="405"/>
      <c r="N248" s="452"/>
      <c r="O248" s="405"/>
      <c r="P248" s="405"/>
      <c r="Q248" s="405"/>
      <c r="R248" s="452"/>
      <c r="S248" s="443"/>
      <c r="T248" s="421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2"/>
      <c r="V248" s="422"/>
      <c r="W248" s="423"/>
      <c r="X248" s="424"/>
      <c r="Y248" s="425" t="str">
        <f t="shared" ca="1" si="15"/>
        <v/>
      </c>
      <c r="Z248" s="426" t="str">
        <f t="shared" ca="1" si="16"/>
        <v/>
      </c>
      <c r="AA248" s="425" t="str">
        <f t="shared" ca="1" si="17"/>
        <v/>
      </c>
      <c r="AB248" s="427" t="str">
        <f t="shared" ca="1" si="18"/>
        <v/>
      </c>
      <c r="AC248" s="426" t="str">
        <f t="shared" ca="1" si="19"/>
        <v/>
      </c>
      <c r="AD248" s="79"/>
    </row>
    <row r="249" spans="1:30" customFormat="1" ht="14.4">
      <c r="A249" s="231"/>
      <c r="B249" s="271">
        <v>211</v>
      </c>
      <c r="C249" s="260"/>
      <c r="D249" s="261"/>
      <c r="E249" s="252"/>
      <c r="F249" s="237"/>
      <c r="G249" s="244"/>
      <c r="H249" s="381">
        <v>235</v>
      </c>
      <c r="I249" s="396"/>
      <c r="J249" s="396"/>
      <c r="K249" s="405"/>
      <c r="L249" s="405"/>
      <c r="M249" s="405"/>
      <c r="N249" s="452"/>
      <c r="O249" s="405"/>
      <c r="P249" s="405"/>
      <c r="Q249" s="405"/>
      <c r="R249" s="452"/>
      <c r="S249" s="443"/>
      <c r="T249" s="421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2"/>
      <c r="V249" s="422"/>
      <c r="W249" s="423"/>
      <c r="X249" s="424"/>
      <c r="Y249" s="425" t="str">
        <f t="shared" ca="1" si="15"/>
        <v/>
      </c>
      <c r="Z249" s="426" t="str">
        <f t="shared" ca="1" si="16"/>
        <v/>
      </c>
      <c r="AA249" s="425" t="str">
        <f t="shared" ca="1" si="17"/>
        <v/>
      </c>
      <c r="AB249" s="427" t="str">
        <f t="shared" ca="1" si="18"/>
        <v/>
      </c>
      <c r="AC249" s="426" t="str">
        <f t="shared" ca="1" si="19"/>
        <v/>
      </c>
      <c r="AD249" s="79"/>
    </row>
    <row r="250" spans="1:30" customFormat="1" ht="14.4">
      <c r="A250" s="231"/>
      <c r="B250" s="271">
        <v>212</v>
      </c>
      <c r="C250" s="260"/>
      <c r="D250" s="261"/>
      <c r="E250" s="252"/>
      <c r="F250" s="237"/>
      <c r="G250" s="244"/>
      <c r="H250" s="381">
        <v>236</v>
      </c>
      <c r="I250" s="396"/>
      <c r="J250" s="396"/>
      <c r="K250" s="405"/>
      <c r="L250" s="405"/>
      <c r="M250" s="405"/>
      <c r="N250" s="452"/>
      <c r="O250" s="405"/>
      <c r="P250" s="405"/>
      <c r="Q250" s="405"/>
      <c r="R250" s="452"/>
      <c r="S250" s="443"/>
      <c r="T250" s="421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2"/>
      <c r="V250" s="422"/>
      <c r="W250" s="423"/>
      <c r="X250" s="424"/>
      <c r="Y250" s="425" t="str">
        <f t="shared" ca="1" si="15"/>
        <v/>
      </c>
      <c r="Z250" s="426" t="str">
        <f t="shared" ca="1" si="16"/>
        <v/>
      </c>
      <c r="AA250" s="425" t="str">
        <f t="shared" ca="1" si="17"/>
        <v/>
      </c>
      <c r="AB250" s="427" t="str">
        <f t="shared" ca="1" si="18"/>
        <v/>
      </c>
      <c r="AC250" s="426" t="str">
        <f t="shared" ca="1" si="19"/>
        <v/>
      </c>
      <c r="AD250" s="79"/>
    </row>
    <row r="251" spans="1:30" customFormat="1" ht="14.4">
      <c r="A251" s="231"/>
      <c r="B251" s="271">
        <v>213</v>
      </c>
      <c r="C251" s="260"/>
      <c r="D251" s="261"/>
      <c r="E251" s="252"/>
      <c r="F251" s="237"/>
      <c r="G251" s="244"/>
      <c r="H251" s="381">
        <v>237</v>
      </c>
      <c r="I251" s="396"/>
      <c r="J251" s="396"/>
      <c r="K251" s="405"/>
      <c r="L251" s="405"/>
      <c r="M251" s="405"/>
      <c r="N251" s="452"/>
      <c r="O251" s="405"/>
      <c r="P251" s="405"/>
      <c r="Q251" s="405"/>
      <c r="R251" s="452"/>
      <c r="S251" s="443"/>
      <c r="T251" s="421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2"/>
      <c r="V251" s="422"/>
      <c r="W251" s="423"/>
      <c r="X251" s="424"/>
      <c r="Y251" s="425" t="str">
        <f t="shared" ca="1" si="15"/>
        <v/>
      </c>
      <c r="Z251" s="426" t="str">
        <f t="shared" ca="1" si="16"/>
        <v/>
      </c>
      <c r="AA251" s="425" t="str">
        <f t="shared" ca="1" si="17"/>
        <v/>
      </c>
      <c r="AB251" s="427" t="str">
        <f t="shared" ca="1" si="18"/>
        <v/>
      </c>
      <c r="AC251" s="426" t="str">
        <f t="shared" ca="1" si="19"/>
        <v/>
      </c>
      <c r="AD251" s="79"/>
    </row>
    <row r="252" spans="1:30" customFormat="1" ht="14.4">
      <c r="A252" s="231"/>
      <c r="B252" s="271">
        <v>214</v>
      </c>
      <c r="C252" s="260"/>
      <c r="D252" s="261"/>
      <c r="E252" s="252"/>
      <c r="F252" s="237"/>
      <c r="G252" s="244"/>
      <c r="H252" s="381">
        <v>238</v>
      </c>
      <c r="I252" s="396"/>
      <c r="J252" s="396"/>
      <c r="K252" s="405"/>
      <c r="L252" s="405"/>
      <c r="M252" s="405"/>
      <c r="N252" s="452"/>
      <c r="O252" s="405"/>
      <c r="P252" s="405"/>
      <c r="Q252" s="405"/>
      <c r="R252" s="452"/>
      <c r="S252" s="443"/>
      <c r="T252" s="421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2"/>
      <c r="V252" s="422"/>
      <c r="W252" s="423"/>
      <c r="X252" s="424"/>
      <c r="Y252" s="425" t="str">
        <f t="shared" ca="1" si="15"/>
        <v/>
      </c>
      <c r="Z252" s="426" t="str">
        <f t="shared" ca="1" si="16"/>
        <v/>
      </c>
      <c r="AA252" s="425" t="str">
        <f t="shared" ca="1" si="17"/>
        <v/>
      </c>
      <c r="AB252" s="427" t="str">
        <f t="shared" ca="1" si="18"/>
        <v/>
      </c>
      <c r="AC252" s="426" t="str">
        <f t="shared" ca="1" si="19"/>
        <v/>
      </c>
      <c r="AD252" s="79"/>
    </row>
    <row r="253" spans="1:30" customFormat="1" ht="14.4">
      <c r="A253" s="231"/>
      <c r="B253" s="271">
        <v>215</v>
      </c>
      <c r="C253" s="260"/>
      <c r="D253" s="261"/>
      <c r="E253" s="252"/>
      <c r="F253" s="237"/>
      <c r="G253" s="244"/>
      <c r="H253" s="381">
        <v>239</v>
      </c>
      <c r="I253" s="396"/>
      <c r="J253" s="396"/>
      <c r="K253" s="405"/>
      <c r="L253" s="405"/>
      <c r="M253" s="405"/>
      <c r="N253" s="452"/>
      <c r="O253" s="405"/>
      <c r="P253" s="405"/>
      <c r="Q253" s="405"/>
      <c r="R253" s="452"/>
      <c r="S253" s="443"/>
      <c r="T253" s="421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2"/>
      <c r="V253" s="422"/>
      <c r="W253" s="423"/>
      <c r="X253" s="424"/>
      <c r="Y253" s="425" t="str">
        <f t="shared" ca="1" si="15"/>
        <v/>
      </c>
      <c r="Z253" s="426" t="str">
        <f t="shared" ca="1" si="16"/>
        <v/>
      </c>
      <c r="AA253" s="425" t="str">
        <f t="shared" ca="1" si="17"/>
        <v/>
      </c>
      <c r="AB253" s="427" t="str">
        <f t="shared" ca="1" si="18"/>
        <v/>
      </c>
      <c r="AC253" s="426" t="str">
        <f t="shared" ca="1" si="19"/>
        <v/>
      </c>
      <c r="AD253" s="79"/>
    </row>
    <row r="254" spans="1:30" customFormat="1" ht="14.4">
      <c r="A254" s="231"/>
      <c r="B254" s="271">
        <v>216</v>
      </c>
      <c r="C254" s="260"/>
      <c r="D254" s="261"/>
      <c r="E254" s="252"/>
      <c r="F254" s="237"/>
      <c r="G254" s="244"/>
      <c r="H254" s="381">
        <v>240</v>
      </c>
      <c r="I254" s="396"/>
      <c r="J254" s="396"/>
      <c r="K254" s="405"/>
      <c r="L254" s="405"/>
      <c r="M254" s="405"/>
      <c r="N254" s="452"/>
      <c r="O254" s="405"/>
      <c r="P254" s="405"/>
      <c r="Q254" s="405"/>
      <c r="R254" s="452"/>
      <c r="S254" s="443"/>
      <c r="T254" s="421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2"/>
      <c r="V254" s="422"/>
      <c r="W254" s="423"/>
      <c r="X254" s="424"/>
      <c r="Y254" s="425" t="str">
        <f t="shared" ca="1" si="15"/>
        <v/>
      </c>
      <c r="Z254" s="426" t="str">
        <f t="shared" ca="1" si="16"/>
        <v/>
      </c>
      <c r="AA254" s="425" t="str">
        <f t="shared" ca="1" si="17"/>
        <v/>
      </c>
      <c r="AB254" s="427" t="str">
        <f t="shared" ca="1" si="18"/>
        <v/>
      </c>
      <c r="AC254" s="426" t="str">
        <f t="shared" ca="1" si="19"/>
        <v/>
      </c>
      <c r="AD254" s="79"/>
    </row>
    <row r="255" spans="1:30" customFormat="1" ht="14.4">
      <c r="A255" s="231"/>
      <c r="B255" s="271">
        <v>217</v>
      </c>
      <c r="C255" s="260"/>
      <c r="D255" s="261"/>
      <c r="E255" s="252"/>
      <c r="F255" s="237"/>
      <c r="G255" s="244"/>
      <c r="H255" s="381">
        <v>241</v>
      </c>
      <c r="I255" s="396"/>
      <c r="J255" s="396"/>
      <c r="K255" s="405"/>
      <c r="L255" s="405"/>
      <c r="M255" s="405"/>
      <c r="N255" s="452"/>
      <c r="O255" s="405"/>
      <c r="P255" s="405"/>
      <c r="Q255" s="405"/>
      <c r="R255" s="452"/>
      <c r="S255" s="443"/>
      <c r="T255" s="421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2"/>
      <c r="V255" s="422"/>
      <c r="W255" s="423"/>
      <c r="X255" s="424"/>
      <c r="Y255" s="425" t="str">
        <f t="shared" ca="1" si="15"/>
        <v/>
      </c>
      <c r="Z255" s="426" t="str">
        <f t="shared" ca="1" si="16"/>
        <v/>
      </c>
      <c r="AA255" s="425" t="str">
        <f t="shared" ca="1" si="17"/>
        <v/>
      </c>
      <c r="AB255" s="427" t="str">
        <f t="shared" ca="1" si="18"/>
        <v/>
      </c>
      <c r="AC255" s="426" t="str">
        <f t="shared" ca="1" si="19"/>
        <v/>
      </c>
      <c r="AD255" s="79"/>
    </row>
    <row r="256" spans="1:30" customFormat="1" ht="14.4">
      <c r="A256" s="231"/>
      <c r="B256" s="271">
        <v>218</v>
      </c>
      <c r="C256" s="260"/>
      <c r="D256" s="261"/>
      <c r="E256" s="252"/>
      <c r="F256" s="237"/>
      <c r="G256" s="244"/>
      <c r="H256" s="381">
        <v>242</v>
      </c>
      <c r="I256" s="396"/>
      <c r="J256" s="396"/>
      <c r="K256" s="405"/>
      <c r="L256" s="405"/>
      <c r="M256" s="405"/>
      <c r="N256" s="452"/>
      <c r="O256" s="405"/>
      <c r="P256" s="405"/>
      <c r="Q256" s="405"/>
      <c r="R256" s="452"/>
      <c r="S256" s="443"/>
      <c r="T256" s="421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2"/>
      <c r="V256" s="422"/>
      <c r="W256" s="423"/>
      <c r="X256" s="424"/>
      <c r="Y256" s="425" t="str">
        <f t="shared" ca="1" si="15"/>
        <v/>
      </c>
      <c r="Z256" s="426" t="str">
        <f t="shared" ca="1" si="16"/>
        <v/>
      </c>
      <c r="AA256" s="425" t="str">
        <f t="shared" ca="1" si="17"/>
        <v/>
      </c>
      <c r="AB256" s="427" t="str">
        <f t="shared" ca="1" si="18"/>
        <v/>
      </c>
      <c r="AC256" s="426" t="str">
        <f t="shared" ca="1" si="19"/>
        <v/>
      </c>
      <c r="AD256" s="79"/>
    </row>
    <row r="257" spans="1:30" customFormat="1" ht="14.4">
      <c r="A257" s="231"/>
      <c r="B257" s="271">
        <v>219</v>
      </c>
      <c r="C257" s="260"/>
      <c r="D257" s="261"/>
      <c r="E257" s="252"/>
      <c r="F257" s="237"/>
      <c r="G257" s="244"/>
      <c r="H257" s="381">
        <v>243</v>
      </c>
      <c r="I257" s="396"/>
      <c r="J257" s="396"/>
      <c r="K257" s="405"/>
      <c r="L257" s="405"/>
      <c r="M257" s="405"/>
      <c r="N257" s="452"/>
      <c r="O257" s="405"/>
      <c r="P257" s="405"/>
      <c r="Q257" s="405"/>
      <c r="R257" s="452"/>
      <c r="S257" s="443"/>
      <c r="T257" s="421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2"/>
      <c r="V257" s="422"/>
      <c r="W257" s="423"/>
      <c r="X257" s="424"/>
      <c r="Y257" s="425" t="str">
        <f t="shared" ca="1" si="15"/>
        <v/>
      </c>
      <c r="Z257" s="426" t="str">
        <f t="shared" ca="1" si="16"/>
        <v/>
      </c>
      <c r="AA257" s="425" t="str">
        <f t="shared" ca="1" si="17"/>
        <v/>
      </c>
      <c r="AB257" s="427" t="str">
        <f t="shared" ca="1" si="18"/>
        <v/>
      </c>
      <c r="AC257" s="426" t="str">
        <f t="shared" ca="1" si="19"/>
        <v/>
      </c>
      <c r="AD257" s="79"/>
    </row>
    <row r="258" spans="1:30" customFormat="1" ht="14.4">
      <c r="A258" s="231"/>
      <c r="B258" s="271">
        <v>220</v>
      </c>
      <c r="C258" s="260"/>
      <c r="D258" s="261"/>
      <c r="E258" s="252"/>
      <c r="F258" s="237"/>
      <c r="G258" s="244"/>
      <c r="H258" s="381">
        <v>244</v>
      </c>
      <c r="I258" s="396"/>
      <c r="J258" s="396"/>
      <c r="K258" s="405"/>
      <c r="L258" s="405"/>
      <c r="M258" s="405"/>
      <c r="N258" s="452"/>
      <c r="O258" s="405"/>
      <c r="P258" s="405"/>
      <c r="Q258" s="405"/>
      <c r="R258" s="452"/>
      <c r="S258" s="443"/>
      <c r="T258" s="421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2"/>
      <c r="V258" s="422"/>
      <c r="W258" s="423"/>
      <c r="X258" s="424"/>
      <c r="Y258" s="425" t="str">
        <f t="shared" ca="1" si="15"/>
        <v/>
      </c>
      <c r="Z258" s="426" t="str">
        <f t="shared" ca="1" si="16"/>
        <v/>
      </c>
      <c r="AA258" s="425" t="str">
        <f t="shared" ca="1" si="17"/>
        <v/>
      </c>
      <c r="AB258" s="427" t="str">
        <f t="shared" ca="1" si="18"/>
        <v/>
      </c>
      <c r="AC258" s="426" t="str">
        <f t="shared" ca="1" si="19"/>
        <v/>
      </c>
      <c r="AD258" s="79"/>
    </row>
    <row r="259" spans="1:30" customFormat="1" ht="14.4">
      <c r="A259" s="231"/>
      <c r="B259" s="271">
        <v>221</v>
      </c>
      <c r="C259" s="260"/>
      <c r="D259" s="261"/>
      <c r="E259" s="252"/>
      <c r="F259" s="237"/>
      <c r="G259" s="244"/>
      <c r="H259" s="381">
        <v>245</v>
      </c>
      <c r="I259" s="396"/>
      <c r="J259" s="396"/>
      <c r="K259" s="405"/>
      <c r="L259" s="405"/>
      <c r="M259" s="405"/>
      <c r="N259" s="452"/>
      <c r="O259" s="405"/>
      <c r="P259" s="405"/>
      <c r="Q259" s="405"/>
      <c r="R259" s="452"/>
      <c r="S259" s="443"/>
      <c r="T259" s="421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2"/>
      <c r="V259" s="422"/>
      <c r="W259" s="423"/>
      <c r="X259" s="424"/>
      <c r="Y259" s="425" t="str">
        <f t="shared" ca="1" si="15"/>
        <v/>
      </c>
      <c r="Z259" s="426" t="str">
        <f t="shared" ca="1" si="16"/>
        <v/>
      </c>
      <c r="AA259" s="425" t="str">
        <f t="shared" ca="1" si="17"/>
        <v/>
      </c>
      <c r="AB259" s="427" t="str">
        <f t="shared" ca="1" si="18"/>
        <v/>
      </c>
      <c r="AC259" s="426" t="str">
        <f t="shared" ca="1" si="19"/>
        <v/>
      </c>
      <c r="AD259" s="79"/>
    </row>
    <row r="260" spans="1:30" customFormat="1" ht="14.4">
      <c r="A260" s="231"/>
      <c r="B260" s="271">
        <v>222</v>
      </c>
      <c r="C260" s="260"/>
      <c r="D260" s="261"/>
      <c r="E260" s="252"/>
      <c r="F260" s="237"/>
      <c r="G260" s="244"/>
      <c r="H260" s="381">
        <v>246</v>
      </c>
      <c r="I260" s="396"/>
      <c r="J260" s="396"/>
      <c r="K260" s="405"/>
      <c r="L260" s="405"/>
      <c r="M260" s="405"/>
      <c r="N260" s="452"/>
      <c r="O260" s="405"/>
      <c r="P260" s="405"/>
      <c r="Q260" s="405"/>
      <c r="R260" s="452"/>
      <c r="S260" s="443"/>
      <c r="T260" s="421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2"/>
      <c r="V260" s="422"/>
      <c r="W260" s="423"/>
      <c r="X260" s="424"/>
      <c r="Y260" s="425" t="str">
        <f t="shared" ca="1" si="15"/>
        <v/>
      </c>
      <c r="Z260" s="426" t="str">
        <f t="shared" ca="1" si="16"/>
        <v/>
      </c>
      <c r="AA260" s="425" t="str">
        <f t="shared" ca="1" si="17"/>
        <v/>
      </c>
      <c r="AB260" s="427" t="str">
        <f t="shared" ca="1" si="18"/>
        <v/>
      </c>
      <c r="AC260" s="426" t="str">
        <f t="shared" ca="1" si="19"/>
        <v/>
      </c>
      <c r="AD260" s="79"/>
    </row>
    <row r="261" spans="1:30" customFormat="1" ht="14.4">
      <c r="A261" s="231"/>
      <c r="B261" s="271">
        <v>223</v>
      </c>
      <c r="C261" s="260"/>
      <c r="D261" s="261"/>
      <c r="E261" s="252"/>
      <c r="F261" s="237"/>
      <c r="G261" s="244"/>
      <c r="H261" s="381">
        <v>247</v>
      </c>
      <c r="I261" s="396"/>
      <c r="J261" s="396"/>
      <c r="K261" s="405"/>
      <c r="L261" s="405"/>
      <c r="M261" s="405"/>
      <c r="N261" s="452"/>
      <c r="O261" s="405"/>
      <c r="P261" s="405"/>
      <c r="Q261" s="405"/>
      <c r="R261" s="452"/>
      <c r="S261" s="443"/>
      <c r="T261" s="421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2"/>
      <c r="V261" s="422"/>
      <c r="W261" s="423"/>
      <c r="X261" s="424"/>
      <c r="Y261" s="425" t="str">
        <f t="shared" ca="1" si="15"/>
        <v/>
      </c>
      <c r="Z261" s="426" t="str">
        <f t="shared" ca="1" si="16"/>
        <v/>
      </c>
      <c r="AA261" s="425" t="str">
        <f t="shared" ca="1" si="17"/>
        <v/>
      </c>
      <c r="AB261" s="427" t="str">
        <f t="shared" ca="1" si="18"/>
        <v/>
      </c>
      <c r="AC261" s="426" t="str">
        <f t="shared" ca="1" si="19"/>
        <v/>
      </c>
      <c r="AD261" s="79"/>
    </row>
    <row r="262" spans="1:30" customFormat="1" ht="14.4">
      <c r="A262" s="231"/>
      <c r="B262" s="271">
        <v>224</v>
      </c>
      <c r="C262" s="260"/>
      <c r="D262" s="261"/>
      <c r="E262" s="252"/>
      <c r="F262" s="237"/>
      <c r="G262" s="244"/>
      <c r="H262" s="381">
        <v>248</v>
      </c>
      <c r="I262" s="396"/>
      <c r="J262" s="396"/>
      <c r="K262" s="405"/>
      <c r="L262" s="405"/>
      <c r="M262" s="405"/>
      <c r="N262" s="452"/>
      <c r="O262" s="405"/>
      <c r="P262" s="405"/>
      <c r="Q262" s="405"/>
      <c r="R262" s="452"/>
      <c r="S262" s="443"/>
      <c r="T262" s="421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2"/>
      <c r="V262" s="422"/>
      <c r="W262" s="423"/>
      <c r="X262" s="424"/>
      <c r="Y262" s="425" t="str">
        <f t="shared" ca="1" si="15"/>
        <v/>
      </c>
      <c r="Z262" s="426" t="str">
        <f t="shared" ca="1" si="16"/>
        <v/>
      </c>
      <c r="AA262" s="425" t="str">
        <f t="shared" ca="1" si="17"/>
        <v/>
      </c>
      <c r="AB262" s="427" t="str">
        <f t="shared" ca="1" si="18"/>
        <v/>
      </c>
      <c r="AC262" s="426" t="str">
        <f t="shared" ca="1" si="19"/>
        <v/>
      </c>
      <c r="AD262" s="79"/>
    </row>
    <row r="263" spans="1:30" customFormat="1" ht="14.4">
      <c r="A263" s="231"/>
      <c r="B263" s="271">
        <v>225</v>
      </c>
      <c r="C263" s="260"/>
      <c r="D263" s="261"/>
      <c r="E263" s="252"/>
      <c r="F263" s="237"/>
      <c r="G263" s="244"/>
      <c r="H263" s="381">
        <v>249</v>
      </c>
      <c r="I263" s="396"/>
      <c r="J263" s="396"/>
      <c r="K263" s="405"/>
      <c r="L263" s="405"/>
      <c r="M263" s="405"/>
      <c r="N263" s="452"/>
      <c r="O263" s="405"/>
      <c r="P263" s="405"/>
      <c r="Q263" s="405"/>
      <c r="R263" s="452"/>
      <c r="S263" s="443"/>
      <c r="T263" s="421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2"/>
      <c r="V263" s="422"/>
      <c r="W263" s="423"/>
      <c r="X263" s="424"/>
      <c r="Y263" s="425" t="str">
        <f t="shared" ca="1" si="15"/>
        <v/>
      </c>
      <c r="Z263" s="426" t="str">
        <f t="shared" ca="1" si="16"/>
        <v/>
      </c>
      <c r="AA263" s="425" t="str">
        <f t="shared" ca="1" si="17"/>
        <v/>
      </c>
      <c r="AB263" s="427" t="str">
        <f t="shared" ca="1" si="18"/>
        <v/>
      </c>
      <c r="AC263" s="426" t="str">
        <f t="shared" ca="1" si="19"/>
        <v/>
      </c>
      <c r="AD263" s="79"/>
    </row>
    <row r="264" spans="1:30" customFormat="1" ht="14.4">
      <c r="A264" s="231"/>
      <c r="B264" s="271">
        <v>226</v>
      </c>
      <c r="C264" s="260"/>
      <c r="D264" s="261"/>
      <c r="E264" s="252"/>
      <c r="F264" s="237"/>
      <c r="G264" s="244"/>
      <c r="H264" s="381">
        <v>250</v>
      </c>
      <c r="I264" s="396"/>
      <c r="J264" s="396"/>
      <c r="K264" s="405"/>
      <c r="L264" s="405"/>
      <c r="M264" s="405"/>
      <c r="N264" s="452"/>
      <c r="O264" s="405"/>
      <c r="P264" s="405"/>
      <c r="Q264" s="405"/>
      <c r="R264" s="452"/>
      <c r="S264" s="443"/>
      <c r="T264" s="421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2"/>
      <c r="V264" s="422"/>
      <c r="W264" s="423"/>
      <c r="X264" s="424"/>
      <c r="Y264" s="425" t="str">
        <f t="shared" ca="1" si="15"/>
        <v/>
      </c>
      <c r="Z264" s="426" t="str">
        <f t="shared" ca="1" si="16"/>
        <v/>
      </c>
      <c r="AA264" s="425" t="str">
        <f t="shared" ca="1" si="17"/>
        <v/>
      </c>
      <c r="AB264" s="427" t="str">
        <f t="shared" ca="1" si="18"/>
        <v/>
      </c>
      <c r="AC264" s="426" t="str">
        <f t="shared" ca="1" si="19"/>
        <v/>
      </c>
      <c r="AD264" s="79"/>
    </row>
    <row r="265" spans="1:30" customFormat="1" ht="14.4">
      <c r="A265" s="231"/>
      <c r="B265" s="271">
        <v>227</v>
      </c>
      <c r="C265" s="260"/>
      <c r="D265" s="261"/>
      <c r="E265" s="252"/>
      <c r="F265" s="237"/>
      <c r="G265" s="244"/>
      <c r="H265" s="381">
        <v>251</v>
      </c>
      <c r="I265" s="396"/>
      <c r="J265" s="396"/>
      <c r="K265" s="405"/>
      <c r="L265" s="405"/>
      <c r="M265" s="405"/>
      <c r="N265" s="452"/>
      <c r="O265" s="405"/>
      <c r="P265" s="405"/>
      <c r="Q265" s="405"/>
      <c r="R265" s="452"/>
      <c r="S265" s="443"/>
      <c r="T265" s="421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2"/>
      <c r="V265" s="422"/>
      <c r="W265" s="423"/>
      <c r="X265" s="424"/>
      <c r="Y265" s="425" t="str">
        <f t="shared" ca="1" si="15"/>
        <v/>
      </c>
      <c r="Z265" s="426" t="str">
        <f t="shared" ca="1" si="16"/>
        <v/>
      </c>
      <c r="AA265" s="425" t="str">
        <f t="shared" ca="1" si="17"/>
        <v/>
      </c>
      <c r="AB265" s="427" t="str">
        <f t="shared" ca="1" si="18"/>
        <v/>
      </c>
      <c r="AC265" s="426" t="str">
        <f t="shared" ca="1" si="19"/>
        <v/>
      </c>
      <c r="AD265" s="79"/>
    </row>
    <row r="266" spans="1:30" customFormat="1" ht="14.4">
      <c r="A266" s="231"/>
      <c r="B266" s="271">
        <v>228</v>
      </c>
      <c r="C266" s="260"/>
      <c r="D266" s="261"/>
      <c r="E266" s="252"/>
      <c r="F266" s="237"/>
      <c r="G266" s="244"/>
      <c r="H266" s="381">
        <v>252</v>
      </c>
      <c r="I266" s="396"/>
      <c r="J266" s="396"/>
      <c r="K266" s="405"/>
      <c r="L266" s="405"/>
      <c r="M266" s="405"/>
      <c r="N266" s="452"/>
      <c r="O266" s="405"/>
      <c r="P266" s="405"/>
      <c r="Q266" s="405"/>
      <c r="R266" s="452"/>
      <c r="S266" s="443"/>
      <c r="T266" s="421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2"/>
      <c r="V266" s="422"/>
      <c r="W266" s="423"/>
      <c r="X266" s="424"/>
      <c r="Y266" s="425" t="str">
        <f t="shared" ca="1" si="15"/>
        <v/>
      </c>
      <c r="Z266" s="426" t="str">
        <f t="shared" ca="1" si="16"/>
        <v/>
      </c>
      <c r="AA266" s="425" t="str">
        <f t="shared" ca="1" si="17"/>
        <v/>
      </c>
      <c r="AB266" s="427" t="str">
        <f t="shared" ca="1" si="18"/>
        <v/>
      </c>
      <c r="AC266" s="426" t="str">
        <f t="shared" ca="1" si="19"/>
        <v/>
      </c>
      <c r="AD266" s="79"/>
    </row>
    <row r="267" spans="1:30" customFormat="1" ht="14.4">
      <c r="A267" s="231"/>
      <c r="B267" s="271">
        <v>229</v>
      </c>
      <c r="C267" s="260"/>
      <c r="D267" s="261"/>
      <c r="E267" s="252"/>
      <c r="F267" s="237"/>
      <c r="G267" s="244"/>
      <c r="H267" s="381">
        <v>253</v>
      </c>
      <c r="I267" s="396"/>
      <c r="J267" s="396"/>
      <c r="K267" s="405"/>
      <c r="L267" s="405"/>
      <c r="M267" s="405"/>
      <c r="N267" s="452"/>
      <c r="O267" s="405"/>
      <c r="P267" s="405"/>
      <c r="Q267" s="405"/>
      <c r="R267" s="452"/>
      <c r="S267" s="443"/>
      <c r="T267" s="421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2"/>
      <c r="V267" s="422"/>
      <c r="W267" s="423"/>
      <c r="X267" s="424"/>
      <c r="Y267" s="425" t="str">
        <f t="shared" ca="1" si="15"/>
        <v/>
      </c>
      <c r="Z267" s="426" t="str">
        <f t="shared" ca="1" si="16"/>
        <v/>
      </c>
      <c r="AA267" s="425" t="str">
        <f t="shared" ca="1" si="17"/>
        <v/>
      </c>
      <c r="AB267" s="427" t="str">
        <f t="shared" ca="1" si="18"/>
        <v/>
      </c>
      <c r="AC267" s="426" t="str">
        <f t="shared" ca="1" si="19"/>
        <v/>
      </c>
      <c r="AD267" s="79"/>
    </row>
    <row r="268" spans="1:30" customFormat="1" ht="14.4">
      <c r="A268" s="231"/>
      <c r="B268" s="271">
        <v>230</v>
      </c>
      <c r="C268" s="260"/>
      <c r="D268" s="261"/>
      <c r="E268" s="252"/>
      <c r="F268" s="237"/>
      <c r="G268" s="244"/>
      <c r="H268" s="381">
        <v>254</v>
      </c>
      <c r="I268" s="396"/>
      <c r="J268" s="396"/>
      <c r="K268" s="405"/>
      <c r="L268" s="405"/>
      <c r="M268" s="405"/>
      <c r="N268" s="452"/>
      <c r="O268" s="405"/>
      <c r="P268" s="405"/>
      <c r="Q268" s="405"/>
      <c r="R268" s="452"/>
      <c r="S268" s="443"/>
      <c r="T268" s="421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2"/>
      <c r="V268" s="422"/>
      <c r="W268" s="423"/>
      <c r="X268" s="424"/>
      <c r="Y268" s="425" t="str">
        <f t="shared" ca="1" si="15"/>
        <v/>
      </c>
      <c r="Z268" s="426" t="str">
        <f t="shared" ca="1" si="16"/>
        <v/>
      </c>
      <c r="AA268" s="425" t="str">
        <f t="shared" ca="1" si="17"/>
        <v/>
      </c>
      <c r="AB268" s="427" t="str">
        <f t="shared" ca="1" si="18"/>
        <v/>
      </c>
      <c r="AC268" s="426" t="str">
        <f t="shared" ca="1" si="19"/>
        <v/>
      </c>
      <c r="AD268" s="79"/>
    </row>
    <row r="269" spans="1:30" customFormat="1" ht="14.4">
      <c r="A269" s="231"/>
      <c r="B269" s="271">
        <v>231</v>
      </c>
      <c r="C269" s="260"/>
      <c r="D269" s="261"/>
      <c r="E269" s="252"/>
      <c r="F269" s="237"/>
      <c r="G269" s="244"/>
      <c r="H269" s="381">
        <v>255</v>
      </c>
      <c r="I269" s="396"/>
      <c r="J269" s="396"/>
      <c r="K269" s="405"/>
      <c r="L269" s="405"/>
      <c r="M269" s="405"/>
      <c r="N269" s="452"/>
      <c r="O269" s="405"/>
      <c r="P269" s="405"/>
      <c r="Q269" s="405"/>
      <c r="R269" s="452"/>
      <c r="S269" s="443"/>
      <c r="T269" s="421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2"/>
      <c r="V269" s="422"/>
      <c r="W269" s="423"/>
      <c r="X269" s="424"/>
      <c r="Y269" s="425" t="str">
        <f t="shared" ca="1" si="15"/>
        <v/>
      </c>
      <c r="Z269" s="426" t="str">
        <f t="shared" ca="1" si="16"/>
        <v/>
      </c>
      <c r="AA269" s="425" t="str">
        <f t="shared" ca="1" si="17"/>
        <v/>
      </c>
      <c r="AB269" s="427" t="str">
        <f t="shared" ca="1" si="18"/>
        <v/>
      </c>
      <c r="AC269" s="426" t="str">
        <f t="shared" ca="1" si="19"/>
        <v/>
      </c>
      <c r="AD269" s="79"/>
    </row>
    <row r="270" spans="1:30" customFormat="1" ht="14.4">
      <c r="A270" s="231"/>
      <c r="B270" s="271">
        <v>232</v>
      </c>
      <c r="C270" s="260"/>
      <c r="D270" s="261"/>
      <c r="E270" s="252"/>
      <c r="F270" s="237"/>
      <c r="G270" s="244"/>
      <c r="H270" s="381">
        <v>256</v>
      </c>
      <c r="I270" s="396"/>
      <c r="J270" s="396"/>
      <c r="K270" s="405"/>
      <c r="L270" s="405"/>
      <c r="M270" s="405"/>
      <c r="N270" s="452"/>
      <c r="O270" s="405"/>
      <c r="P270" s="405"/>
      <c r="Q270" s="405"/>
      <c r="R270" s="452"/>
      <c r="S270" s="443"/>
      <c r="T270" s="421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2"/>
      <c r="V270" s="422"/>
      <c r="W270" s="423"/>
      <c r="X270" s="424"/>
      <c r="Y270" s="425" t="str">
        <f t="shared" ca="1" si="15"/>
        <v/>
      </c>
      <c r="Z270" s="426" t="str">
        <f t="shared" ca="1" si="16"/>
        <v/>
      </c>
      <c r="AA270" s="425" t="str">
        <f t="shared" ca="1" si="17"/>
        <v/>
      </c>
      <c r="AB270" s="427" t="str">
        <f t="shared" ca="1" si="18"/>
        <v/>
      </c>
      <c r="AC270" s="426" t="str">
        <f t="shared" ca="1" si="19"/>
        <v/>
      </c>
      <c r="AD270" s="79"/>
    </row>
    <row r="271" spans="1:30" customFormat="1" ht="14.4">
      <c r="A271" s="231"/>
      <c r="B271" s="271">
        <v>233</v>
      </c>
      <c r="C271" s="260"/>
      <c r="D271" s="261"/>
      <c r="E271" s="252"/>
      <c r="F271" s="237"/>
      <c r="G271" s="244"/>
      <c r="H271" s="381">
        <v>257</v>
      </c>
      <c r="I271" s="396"/>
      <c r="J271" s="396"/>
      <c r="K271" s="405"/>
      <c r="L271" s="405"/>
      <c r="M271" s="405"/>
      <c r="N271" s="452"/>
      <c r="O271" s="405"/>
      <c r="P271" s="405"/>
      <c r="Q271" s="405"/>
      <c r="R271" s="452"/>
      <c r="S271" s="443"/>
      <c r="T271" s="421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2"/>
      <c r="V271" s="422"/>
      <c r="W271" s="423"/>
      <c r="X271" s="424"/>
      <c r="Y271" s="425" t="str">
        <f t="shared" ca="1" si="15"/>
        <v/>
      </c>
      <c r="Z271" s="426" t="str">
        <f t="shared" ca="1" si="16"/>
        <v/>
      </c>
      <c r="AA271" s="425" t="str">
        <f t="shared" ca="1" si="17"/>
        <v/>
      </c>
      <c r="AB271" s="427" t="str">
        <f t="shared" ca="1" si="18"/>
        <v/>
      </c>
      <c r="AC271" s="426" t="str">
        <f t="shared" ca="1" si="19"/>
        <v/>
      </c>
      <c r="AD271" s="79"/>
    </row>
    <row r="272" spans="1:30" customFormat="1" ht="14.4">
      <c r="A272" s="231"/>
      <c r="B272" s="271">
        <v>234</v>
      </c>
      <c r="C272" s="260"/>
      <c r="D272" s="261"/>
      <c r="E272" s="252"/>
      <c r="F272" s="237"/>
      <c r="G272" s="244"/>
      <c r="H272" s="381">
        <v>258</v>
      </c>
      <c r="I272" s="396"/>
      <c r="J272" s="396"/>
      <c r="K272" s="405"/>
      <c r="L272" s="405"/>
      <c r="M272" s="405"/>
      <c r="N272" s="452"/>
      <c r="O272" s="405"/>
      <c r="P272" s="405"/>
      <c r="Q272" s="405"/>
      <c r="R272" s="452"/>
      <c r="S272" s="443"/>
      <c r="T272" s="421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2"/>
      <c r="V272" s="422"/>
      <c r="W272" s="423"/>
      <c r="X272" s="424"/>
      <c r="Y272" s="425" t="str">
        <f t="shared" ref="Y272:Y314" ca="1" si="20">IF($U$12,IF(T272="","",$U$13*D296/$C$18),"")</f>
        <v/>
      </c>
      <c r="Z272" s="426" t="str">
        <f t="shared" ref="Z272:Z314" ca="1" si="21">IF($U$12,IF(Y272="","",Y272*($Z$10-W272)*X272),"")</f>
        <v/>
      </c>
      <c r="AA272" s="425" t="str">
        <f t="shared" ref="AA272:AA313" ca="1" si="22">IF($U$12,IF(OR(T272="",L272=""),"",L272/($C$20-$C$19)),"")</f>
        <v/>
      </c>
      <c r="AB272" s="427" t="str">
        <f t="shared" ref="AB272:AB313" ca="1" si="23">IF($U$12,IF(W272="","",W272*$AC$10),"")</f>
        <v/>
      </c>
      <c r="AC272" s="426" t="str">
        <f t="shared" ref="AC272:AC313" ca="1" si="24">IF($U$12,IF(AA272="","",AA272*(AB272-W272)*X272),"")</f>
        <v/>
      </c>
      <c r="AD272" s="79"/>
    </row>
    <row r="273" spans="1:30" customFormat="1" ht="14.4">
      <c r="A273" s="231"/>
      <c r="B273" s="271">
        <v>235</v>
      </c>
      <c r="C273" s="260"/>
      <c r="D273" s="261"/>
      <c r="E273" s="252"/>
      <c r="F273" s="237"/>
      <c r="G273" s="244"/>
      <c r="H273" s="381">
        <v>259</v>
      </c>
      <c r="I273" s="396"/>
      <c r="J273" s="396"/>
      <c r="K273" s="405"/>
      <c r="L273" s="405"/>
      <c r="M273" s="405"/>
      <c r="N273" s="452"/>
      <c r="O273" s="405"/>
      <c r="P273" s="405"/>
      <c r="Q273" s="405"/>
      <c r="R273" s="452"/>
      <c r="S273" s="443"/>
      <c r="T273" s="421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2"/>
      <c r="V273" s="422"/>
      <c r="W273" s="423"/>
      <c r="X273" s="424"/>
      <c r="Y273" s="425" t="str">
        <f t="shared" ca="1" si="20"/>
        <v/>
      </c>
      <c r="Z273" s="426" t="str">
        <f t="shared" ca="1" si="21"/>
        <v/>
      </c>
      <c r="AA273" s="425" t="str">
        <f t="shared" ca="1" si="22"/>
        <v/>
      </c>
      <c r="AB273" s="427" t="str">
        <f t="shared" ca="1" si="23"/>
        <v/>
      </c>
      <c r="AC273" s="426" t="str">
        <f t="shared" ca="1" si="24"/>
        <v/>
      </c>
      <c r="AD273" s="79"/>
    </row>
    <row r="274" spans="1:30" customFormat="1" ht="14.4">
      <c r="A274" s="231"/>
      <c r="B274" s="271">
        <v>236</v>
      </c>
      <c r="C274" s="260"/>
      <c r="D274" s="261"/>
      <c r="E274" s="252"/>
      <c r="F274" s="237"/>
      <c r="G274" s="244"/>
      <c r="H274" s="381">
        <v>260</v>
      </c>
      <c r="I274" s="396"/>
      <c r="J274" s="396"/>
      <c r="K274" s="405"/>
      <c r="L274" s="405"/>
      <c r="M274" s="405"/>
      <c r="N274" s="452"/>
      <c r="O274" s="405"/>
      <c r="P274" s="405"/>
      <c r="Q274" s="405"/>
      <c r="R274" s="452"/>
      <c r="S274" s="443"/>
      <c r="T274" s="421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2"/>
      <c r="V274" s="422"/>
      <c r="W274" s="423"/>
      <c r="X274" s="424"/>
      <c r="Y274" s="425" t="str">
        <f t="shared" ca="1" si="20"/>
        <v/>
      </c>
      <c r="Z274" s="426" t="str">
        <f t="shared" ca="1" si="21"/>
        <v/>
      </c>
      <c r="AA274" s="425" t="str">
        <f t="shared" ca="1" si="22"/>
        <v/>
      </c>
      <c r="AB274" s="427" t="str">
        <f t="shared" ca="1" si="23"/>
        <v/>
      </c>
      <c r="AC274" s="426" t="str">
        <f t="shared" ca="1" si="24"/>
        <v/>
      </c>
      <c r="AD274" s="79"/>
    </row>
    <row r="275" spans="1:30" customFormat="1" ht="14.4">
      <c r="A275" s="231"/>
      <c r="B275" s="271">
        <v>237</v>
      </c>
      <c r="C275" s="260"/>
      <c r="D275" s="261"/>
      <c r="E275" s="252"/>
      <c r="F275" s="237"/>
      <c r="G275" s="244"/>
      <c r="H275" s="381">
        <v>261</v>
      </c>
      <c r="I275" s="396"/>
      <c r="J275" s="396"/>
      <c r="K275" s="405"/>
      <c r="L275" s="405"/>
      <c r="M275" s="405"/>
      <c r="N275" s="452"/>
      <c r="O275" s="405"/>
      <c r="P275" s="405"/>
      <c r="Q275" s="405"/>
      <c r="R275" s="452"/>
      <c r="S275" s="443"/>
      <c r="T275" s="421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2"/>
      <c r="V275" s="422"/>
      <c r="W275" s="423"/>
      <c r="X275" s="424"/>
      <c r="Y275" s="425" t="str">
        <f t="shared" ca="1" si="20"/>
        <v/>
      </c>
      <c r="Z275" s="426" t="str">
        <f t="shared" ca="1" si="21"/>
        <v/>
      </c>
      <c r="AA275" s="425" t="str">
        <f t="shared" ca="1" si="22"/>
        <v/>
      </c>
      <c r="AB275" s="427" t="str">
        <f t="shared" ca="1" si="23"/>
        <v/>
      </c>
      <c r="AC275" s="426" t="str">
        <f t="shared" ca="1" si="24"/>
        <v/>
      </c>
      <c r="AD275" s="79"/>
    </row>
    <row r="276" spans="1:30" customFormat="1" ht="14.4">
      <c r="A276" s="231"/>
      <c r="B276" s="271">
        <v>238</v>
      </c>
      <c r="C276" s="260"/>
      <c r="D276" s="261"/>
      <c r="E276" s="252"/>
      <c r="F276" s="237"/>
      <c r="G276" s="244"/>
      <c r="H276" s="381">
        <v>262</v>
      </c>
      <c r="I276" s="396"/>
      <c r="J276" s="396"/>
      <c r="K276" s="405"/>
      <c r="L276" s="405"/>
      <c r="M276" s="405"/>
      <c r="N276" s="452"/>
      <c r="O276" s="405"/>
      <c r="P276" s="405"/>
      <c r="Q276" s="405"/>
      <c r="R276" s="452"/>
      <c r="S276" s="443"/>
      <c r="T276" s="421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2"/>
      <c r="V276" s="422"/>
      <c r="W276" s="423"/>
      <c r="X276" s="424"/>
      <c r="Y276" s="425" t="str">
        <f t="shared" ca="1" si="20"/>
        <v/>
      </c>
      <c r="Z276" s="426" t="str">
        <f t="shared" ca="1" si="21"/>
        <v/>
      </c>
      <c r="AA276" s="425" t="str">
        <f t="shared" ca="1" si="22"/>
        <v/>
      </c>
      <c r="AB276" s="427" t="str">
        <f t="shared" ca="1" si="23"/>
        <v/>
      </c>
      <c r="AC276" s="426" t="str">
        <f t="shared" ca="1" si="24"/>
        <v/>
      </c>
      <c r="AD276" s="79"/>
    </row>
    <row r="277" spans="1:30" customFormat="1" ht="14.4">
      <c r="A277" s="231"/>
      <c r="B277" s="271">
        <v>239</v>
      </c>
      <c r="C277" s="260"/>
      <c r="D277" s="261"/>
      <c r="E277" s="252"/>
      <c r="F277" s="237"/>
      <c r="G277" s="244"/>
      <c r="H277" s="381">
        <v>263</v>
      </c>
      <c r="I277" s="396"/>
      <c r="J277" s="396"/>
      <c r="K277" s="405"/>
      <c r="L277" s="405"/>
      <c r="M277" s="405"/>
      <c r="N277" s="452"/>
      <c r="O277" s="405"/>
      <c r="P277" s="405"/>
      <c r="Q277" s="405"/>
      <c r="R277" s="452"/>
      <c r="S277" s="443"/>
      <c r="T277" s="421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2"/>
      <c r="V277" s="422"/>
      <c r="W277" s="423"/>
      <c r="X277" s="424"/>
      <c r="Y277" s="425" t="str">
        <f t="shared" ca="1" si="20"/>
        <v/>
      </c>
      <c r="Z277" s="426" t="str">
        <f t="shared" ca="1" si="21"/>
        <v/>
      </c>
      <c r="AA277" s="425" t="str">
        <f t="shared" ca="1" si="22"/>
        <v/>
      </c>
      <c r="AB277" s="427" t="str">
        <f t="shared" ca="1" si="23"/>
        <v/>
      </c>
      <c r="AC277" s="426" t="str">
        <f t="shared" ca="1" si="24"/>
        <v/>
      </c>
      <c r="AD277" s="79"/>
    </row>
    <row r="278" spans="1:30" customFormat="1" ht="14.4">
      <c r="A278" s="231"/>
      <c r="B278" s="271">
        <v>240</v>
      </c>
      <c r="C278" s="260"/>
      <c r="D278" s="261"/>
      <c r="E278" s="252"/>
      <c r="F278" s="237"/>
      <c r="G278" s="244"/>
      <c r="H278" s="381">
        <v>264</v>
      </c>
      <c r="I278" s="396"/>
      <c r="J278" s="396"/>
      <c r="K278" s="405"/>
      <c r="L278" s="405"/>
      <c r="M278" s="405"/>
      <c r="N278" s="452"/>
      <c r="O278" s="405"/>
      <c r="P278" s="405"/>
      <c r="Q278" s="405"/>
      <c r="R278" s="452"/>
      <c r="S278" s="443"/>
      <c r="T278" s="421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2"/>
      <c r="V278" s="422"/>
      <c r="W278" s="423"/>
      <c r="X278" s="424"/>
      <c r="Y278" s="425" t="str">
        <f t="shared" ca="1" si="20"/>
        <v/>
      </c>
      <c r="Z278" s="426" t="str">
        <f t="shared" ca="1" si="21"/>
        <v/>
      </c>
      <c r="AA278" s="425" t="str">
        <f t="shared" ca="1" si="22"/>
        <v/>
      </c>
      <c r="AB278" s="427" t="str">
        <f t="shared" ca="1" si="23"/>
        <v/>
      </c>
      <c r="AC278" s="426" t="str">
        <f t="shared" ca="1" si="24"/>
        <v/>
      </c>
      <c r="AD278" s="79"/>
    </row>
    <row r="279" spans="1:30" customFormat="1" ht="14.4">
      <c r="A279" s="231"/>
      <c r="B279" s="271">
        <v>241</v>
      </c>
      <c r="C279" s="260"/>
      <c r="D279" s="261"/>
      <c r="E279" s="252"/>
      <c r="F279" s="237"/>
      <c r="G279" s="244"/>
      <c r="H279" s="381">
        <v>265</v>
      </c>
      <c r="I279" s="396"/>
      <c r="J279" s="396"/>
      <c r="K279" s="405"/>
      <c r="L279" s="405"/>
      <c r="M279" s="405"/>
      <c r="N279" s="452"/>
      <c r="O279" s="405"/>
      <c r="P279" s="405"/>
      <c r="Q279" s="405"/>
      <c r="R279" s="452"/>
      <c r="S279" s="443"/>
      <c r="T279" s="421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2"/>
      <c r="V279" s="422"/>
      <c r="W279" s="423"/>
      <c r="X279" s="424"/>
      <c r="Y279" s="425" t="str">
        <f t="shared" ca="1" si="20"/>
        <v/>
      </c>
      <c r="Z279" s="426" t="str">
        <f t="shared" ca="1" si="21"/>
        <v/>
      </c>
      <c r="AA279" s="425" t="str">
        <f t="shared" ca="1" si="22"/>
        <v/>
      </c>
      <c r="AB279" s="427" t="str">
        <f t="shared" ca="1" si="23"/>
        <v/>
      </c>
      <c r="AC279" s="426" t="str">
        <f t="shared" ca="1" si="24"/>
        <v/>
      </c>
      <c r="AD279" s="79"/>
    </row>
    <row r="280" spans="1:30" customFormat="1" ht="14.4">
      <c r="A280" s="231"/>
      <c r="B280" s="271">
        <v>242</v>
      </c>
      <c r="C280" s="260"/>
      <c r="D280" s="261"/>
      <c r="E280" s="252"/>
      <c r="F280" s="237"/>
      <c r="G280" s="244"/>
      <c r="H280" s="381">
        <v>266</v>
      </c>
      <c r="I280" s="396"/>
      <c r="J280" s="396"/>
      <c r="K280" s="405"/>
      <c r="L280" s="405"/>
      <c r="M280" s="405"/>
      <c r="N280" s="452"/>
      <c r="O280" s="405"/>
      <c r="P280" s="405"/>
      <c r="Q280" s="405"/>
      <c r="R280" s="452"/>
      <c r="S280" s="443"/>
      <c r="T280" s="421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2"/>
      <c r="V280" s="422"/>
      <c r="W280" s="423"/>
      <c r="X280" s="424"/>
      <c r="Y280" s="425" t="str">
        <f t="shared" ca="1" si="20"/>
        <v/>
      </c>
      <c r="Z280" s="426" t="str">
        <f t="shared" ca="1" si="21"/>
        <v/>
      </c>
      <c r="AA280" s="425" t="str">
        <f t="shared" ca="1" si="22"/>
        <v/>
      </c>
      <c r="AB280" s="427" t="str">
        <f t="shared" ca="1" si="23"/>
        <v/>
      </c>
      <c r="AC280" s="426" t="str">
        <f t="shared" ca="1" si="24"/>
        <v/>
      </c>
      <c r="AD280" s="79"/>
    </row>
    <row r="281" spans="1:30" customFormat="1" ht="14.4">
      <c r="A281" s="231"/>
      <c r="B281" s="271">
        <v>243</v>
      </c>
      <c r="C281" s="260"/>
      <c r="D281" s="261"/>
      <c r="E281" s="252"/>
      <c r="F281" s="237"/>
      <c r="G281" s="244"/>
      <c r="H281" s="381">
        <v>267</v>
      </c>
      <c r="I281" s="396"/>
      <c r="J281" s="396"/>
      <c r="K281" s="405"/>
      <c r="L281" s="405"/>
      <c r="M281" s="405"/>
      <c r="N281" s="452"/>
      <c r="O281" s="405"/>
      <c r="P281" s="405"/>
      <c r="Q281" s="405"/>
      <c r="R281" s="452"/>
      <c r="S281" s="443"/>
      <c r="T281" s="421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2"/>
      <c r="V281" s="422"/>
      <c r="W281" s="423"/>
      <c r="X281" s="424"/>
      <c r="Y281" s="425" t="str">
        <f t="shared" ca="1" si="20"/>
        <v/>
      </c>
      <c r="Z281" s="426" t="str">
        <f t="shared" ca="1" si="21"/>
        <v/>
      </c>
      <c r="AA281" s="425" t="str">
        <f t="shared" ca="1" si="22"/>
        <v/>
      </c>
      <c r="AB281" s="427" t="str">
        <f t="shared" ca="1" si="23"/>
        <v/>
      </c>
      <c r="AC281" s="426" t="str">
        <f t="shared" ca="1" si="24"/>
        <v/>
      </c>
      <c r="AD281" s="79"/>
    </row>
    <row r="282" spans="1:30" customFormat="1" ht="14.4">
      <c r="A282" s="231"/>
      <c r="B282" s="271">
        <v>244</v>
      </c>
      <c r="C282" s="260"/>
      <c r="D282" s="261"/>
      <c r="E282" s="252"/>
      <c r="F282" s="237"/>
      <c r="G282" s="244"/>
      <c r="H282" s="381">
        <v>268</v>
      </c>
      <c r="I282" s="396"/>
      <c r="J282" s="396"/>
      <c r="K282" s="405"/>
      <c r="L282" s="405"/>
      <c r="M282" s="405"/>
      <c r="N282" s="452"/>
      <c r="O282" s="405"/>
      <c r="P282" s="405"/>
      <c r="Q282" s="405"/>
      <c r="R282" s="452"/>
      <c r="S282" s="443"/>
      <c r="T282" s="421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2"/>
      <c r="V282" s="422"/>
      <c r="W282" s="423"/>
      <c r="X282" s="424"/>
      <c r="Y282" s="425" t="str">
        <f t="shared" ca="1" si="20"/>
        <v/>
      </c>
      <c r="Z282" s="426" t="str">
        <f t="shared" ca="1" si="21"/>
        <v/>
      </c>
      <c r="AA282" s="425" t="str">
        <f t="shared" ca="1" si="22"/>
        <v/>
      </c>
      <c r="AB282" s="427" t="str">
        <f t="shared" ca="1" si="23"/>
        <v/>
      </c>
      <c r="AC282" s="426" t="str">
        <f t="shared" ca="1" si="24"/>
        <v/>
      </c>
      <c r="AD282" s="79"/>
    </row>
    <row r="283" spans="1:30" customFormat="1" ht="14.4">
      <c r="A283" s="231"/>
      <c r="B283" s="271">
        <v>245</v>
      </c>
      <c r="C283" s="260"/>
      <c r="D283" s="261"/>
      <c r="E283" s="252"/>
      <c r="F283" s="237"/>
      <c r="G283" s="244"/>
      <c r="H283" s="381">
        <v>269</v>
      </c>
      <c r="I283" s="396"/>
      <c r="J283" s="396"/>
      <c r="K283" s="405"/>
      <c r="L283" s="405"/>
      <c r="M283" s="405"/>
      <c r="N283" s="452"/>
      <c r="O283" s="405"/>
      <c r="P283" s="405"/>
      <c r="Q283" s="405"/>
      <c r="R283" s="452"/>
      <c r="S283" s="443"/>
      <c r="T283" s="421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2"/>
      <c r="V283" s="422"/>
      <c r="W283" s="423"/>
      <c r="X283" s="424"/>
      <c r="Y283" s="425" t="str">
        <f t="shared" ca="1" si="20"/>
        <v/>
      </c>
      <c r="Z283" s="426" t="str">
        <f t="shared" ca="1" si="21"/>
        <v/>
      </c>
      <c r="AA283" s="425" t="str">
        <f t="shared" ca="1" si="22"/>
        <v/>
      </c>
      <c r="AB283" s="427" t="str">
        <f t="shared" ca="1" si="23"/>
        <v/>
      </c>
      <c r="AC283" s="426" t="str">
        <f t="shared" ca="1" si="24"/>
        <v/>
      </c>
      <c r="AD283" s="79"/>
    </row>
    <row r="284" spans="1:30" customFormat="1" ht="14.4">
      <c r="A284" s="231"/>
      <c r="B284" s="271">
        <v>246</v>
      </c>
      <c r="C284" s="260"/>
      <c r="D284" s="261"/>
      <c r="E284" s="252"/>
      <c r="F284" s="237"/>
      <c r="G284" s="244"/>
      <c r="H284" s="381">
        <v>270</v>
      </c>
      <c r="I284" s="396"/>
      <c r="J284" s="396"/>
      <c r="K284" s="405"/>
      <c r="L284" s="405"/>
      <c r="M284" s="405"/>
      <c r="N284" s="452"/>
      <c r="O284" s="405"/>
      <c r="P284" s="405"/>
      <c r="Q284" s="405"/>
      <c r="R284" s="452"/>
      <c r="S284" s="443"/>
      <c r="T284" s="421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2"/>
      <c r="V284" s="422"/>
      <c r="W284" s="423"/>
      <c r="X284" s="424"/>
      <c r="Y284" s="425" t="str">
        <f t="shared" ca="1" si="20"/>
        <v/>
      </c>
      <c r="Z284" s="426" t="str">
        <f t="shared" ca="1" si="21"/>
        <v/>
      </c>
      <c r="AA284" s="425" t="str">
        <f t="shared" ca="1" si="22"/>
        <v/>
      </c>
      <c r="AB284" s="427" t="str">
        <f t="shared" ca="1" si="23"/>
        <v/>
      </c>
      <c r="AC284" s="426" t="str">
        <f t="shared" ca="1" si="24"/>
        <v/>
      </c>
      <c r="AD284" s="79"/>
    </row>
    <row r="285" spans="1:30" customFormat="1" ht="14.4">
      <c r="A285" s="231"/>
      <c r="B285" s="271">
        <v>247</v>
      </c>
      <c r="C285" s="260"/>
      <c r="D285" s="261"/>
      <c r="E285" s="252"/>
      <c r="F285" s="237"/>
      <c r="G285" s="244"/>
      <c r="H285" s="381">
        <v>271</v>
      </c>
      <c r="I285" s="396"/>
      <c r="J285" s="396"/>
      <c r="K285" s="405"/>
      <c r="L285" s="405"/>
      <c r="M285" s="405"/>
      <c r="N285" s="452"/>
      <c r="O285" s="405"/>
      <c r="P285" s="405"/>
      <c r="Q285" s="405"/>
      <c r="R285" s="452"/>
      <c r="S285" s="443"/>
      <c r="T285" s="421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2"/>
      <c r="V285" s="422"/>
      <c r="W285" s="423"/>
      <c r="X285" s="424"/>
      <c r="Y285" s="425" t="str">
        <f t="shared" ca="1" si="20"/>
        <v/>
      </c>
      <c r="Z285" s="426" t="str">
        <f t="shared" ca="1" si="21"/>
        <v/>
      </c>
      <c r="AA285" s="425" t="str">
        <f t="shared" ca="1" si="22"/>
        <v/>
      </c>
      <c r="AB285" s="427" t="str">
        <f t="shared" ca="1" si="23"/>
        <v/>
      </c>
      <c r="AC285" s="426" t="str">
        <f t="shared" ca="1" si="24"/>
        <v/>
      </c>
      <c r="AD285" s="79"/>
    </row>
    <row r="286" spans="1:30" customFormat="1" ht="14.4">
      <c r="A286" s="231"/>
      <c r="B286" s="271">
        <v>248</v>
      </c>
      <c r="C286" s="260"/>
      <c r="D286" s="261"/>
      <c r="E286" s="252"/>
      <c r="F286" s="237"/>
      <c r="G286" s="244"/>
      <c r="H286" s="381">
        <v>272</v>
      </c>
      <c r="I286" s="396"/>
      <c r="J286" s="396"/>
      <c r="K286" s="405"/>
      <c r="L286" s="405"/>
      <c r="M286" s="405"/>
      <c r="N286" s="452"/>
      <c r="O286" s="405"/>
      <c r="P286" s="405"/>
      <c r="Q286" s="405"/>
      <c r="R286" s="452"/>
      <c r="S286" s="443"/>
      <c r="T286" s="421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2"/>
      <c r="V286" s="422"/>
      <c r="W286" s="423"/>
      <c r="X286" s="424"/>
      <c r="Y286" s="425" t="str">
        <f t="shared" ca="1" si="20"/>
        <v/>
      </c>
      <c r="Z286" s="426" t="str">
        <f t="shared" ca="1" si="21"/>
        <v/>
      </c>
      <c r="AA286" s="425" t="str">
        <f t="shared" ca="1" si="22"/>
        <v/>
      </c>
      <c r="AB286" s="427" t="str">
        <f t="shared" ca="1" si="23"/>
        <v/>
      </c>
      <c r="AC286" s="426" t="str">
        <f t="shared" ca="1" si="24"/>
        <v/>
      </c>
      <c r="AD286" s="79"/>
    </row>
    <row r="287" spans="1:30" customFormat="1" ht="14.4">
      <c r="A287" s="231"/>
      <c r="B287" s="271">
        <v>249</v>
      </c>
      <c r="C287" s="260"/>
      <c r="D287" s="261"/>
      <c r="E287" s="252"/>
      <c r="F287" s="237"/>
      <c r="G287" s="244"/>
      <c r="H287" s="381">
        <v>273</v>
      </c>
      <c r="I287" s="396"/>
      <c r="J287" s="396"/>
      <c r="K287" s="405"/>
      <c r="L287" s="405"/>
      <c r="M287" s="405"/>
      <c r="N287" s="452"/>
      <c r="O287" s="405"/>
      <c r="P287" s="405"/>
      <c r="Q287" s="405"/>
      <c r="R287" s="452"/>
      <c r="S287" s="443"/>
      <c r="T287" s="421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2"/>
      <c r="V287" s="422"/>
      <c r="W287" s="423"/>
      <c r="X287" s="424"/>
      <c r="Y287" s="425" t="str">
        <f t="shared" ca="1" si="20"/>
        <v/>
      </c>
      <c r="Z287" s="426" t="str">
        <f t="shared" ca="1" si="21"/>
        <v/>
      </c>
      <c r="AA287" s="425" t="str">
        <f t="shared" ca="1" si="22"/>
        <v/>
      </c>
      <c r="AB287" s="427" t="str">
        <f t="shared" ca="1" si="23"/>
        <v/>
      </c>
      <c r="AC287" s="426" t="str">
        <f t="shared" ca="1" si="24"/>
        <v/>
      </c>
      <c r="AD287" s="79"/>
    </row>
    <row r="288" spans="1:30" customFormat="1" ht="14.4">
      <c r="A288" s="231"/>
      <c r="B288" s="271">
        <v>250</v>
      </c>
      <c r="C288" s="260"/>
      <c r="D288" s="261"/>
      <c r="E288" s="252"/>
      <c r="F288" s="237"/>
      <c r="G288" s="244"/>
      <c r="H288" s="381">
        <v>274</v>
      </c>
      <c r="I288" s="396"/>
      <c r="J288" s="396"/>
      <c r="K288" s="405"/>
      <c r="L288" s="405"/>
      <c r="M288" s="405"/>
      <c r="N288" s="452"/>
      <c r="O288" s="405"/>
      <c r="P288" s="405"/>
      <c r="Q288" s="405"/>
      <c r="R288" s="452"/>
      <c r="S288" s="443"/>
      <c r="T288" s="421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2"/>
      <c r="V288" s="422"/>
      <c r="W288" s="423"/>
      <c r="X288" s="424"/>
      <c r="Y288" s="425" t="str">
        <f t="shared" ca="1" si="20"/>
        <v/>
      </c>
      <c r="Z288" s="426" t="str">
        <f t="shared" ca="1" si="21"/>
        <v/>
      </c>
      <c r="AA288" s="425" t="str">
        <f t="shared" ca="1" si="22"/>
        <v/>
      </c>
      <c r="AB288" s="427" t="str">
        <f t="shared" ca="1" si="23"/>
        <v/>
      </c>
      <c r="AC288" s="426" t="str">
        <f t="shared" ca="1" si="24"/>
        <v/>
      </c>
      <c r="AD288" s="79"/>
    </row>
    <row r="289" spans="1:30" customFormat="1" ht="14.4">
      <c r="A289" s="231"/>
      <c r="B289" s="271">
        <v>251</v>
      </c>
      <c r="C289" s="260"/>
      <c r="D289" s="261"/>
      <c r="E289" s="252"/>
      <c r="F289" s="237"/>
      <c r="G289" s="244"/>
      <c r="H289" s="381">
        <v>275</v>
      </c>
      <c r="I289" s="396"/>
      <c r="J289" s="396"/>
      <c r="K289" s="405"/>
      <c r="L289" s="405"/>
      <c r="M289" s="405"/>
      <c r="N289" s="452"/>
      <c r="O289" s="405"/>
      <c r="P289" s="405"/>
      <c r="Q289" s="405"/>
      <c r="R289" s="452"/>
      <c r="S289" s="443"/>
      <c r="T289" s="421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2"/>
      <c r="V289" s="422"/>
      <c r="W289" s="423"/>
      <c r="X289" s="424"/>
      <c r="Y289" s="425" t="str">
        <f t="shared" ca="1" si="20"/>
        <v/>
      </c>
      <c r="Z289" s="426" t="str">
        <f t="shared" ca="1" si="21"/>
        <v/>
      </c>
      <c r="AA289" s="425" t="str">
        <f t="shared" ca="1" si="22"/>
        <v/>
      </c>
      <c r="AB289" s="427" t="str">
        <f t="shared" ca="1" si="23"/>
        <v/>
      </c>
      <c r="AC289" s="426" t="str">
        <f t="shared" ca="1" si="24"/>
        <v/>
      </c>
      <c r="AD289" s="79"/>
    </row>
    <row r="290" spans="1:30" customFormat="1" ht="14.4">
      <c r="A290" s="231"/>
      <c r="B290" s="271">
        <v>252</v>
      </c>
      <c r="C290" s="260"/>
      <c r="D290" s="261"/>
      <c r="E290" s="252"/>
      <c r="F290" s="237"/>
      <c r="G290" s="244"/>
      <c r="H290" s="381">
        <v>276</v>
      </c>
      <c r="I290" s="396"/>
      <c r="J290" s="396"/>
      <c r="K290" s="405"/>
      <c r="L290" s="405"/>
      <c r="M290" s="405"/>
      <c r="N290" s="452"/>
      <c r="O290" s="405"/>
      <c r="P290" s="405"/>
      <c r="Q290" s="405"/>
      <c r="R290" s="452"/>
      <c r="S290" s="443"/>
      <c r="T290" s="421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2"/>
      <c r="V290" s="422"/>
      <c r="W290" s="423"/>
      <c r="X290" s="424"/>
      <c r="Y290" s="425" t="str">
        <f t="shared" ca="1" si="20"/>
        <v/>
      </c>
      <c r="Z290" s="426" t="str">
        <f t="shared" ca="1" si="21"/>
        <v/>
      </c>
      <c r="AA290" s="425" t="str">
        <f t="shared" ca="1" si="22"/>
        <v/>
      </c>
      <c r="AB290" s="427" t="str">
        <f t="shared" ca="1" si="23"/>
        <v/>
      </c>
      <c r="AC290" s="426" t="str">
        <f t="shared" ca="1" si="24"/>
        <v/>
      </c>
      <c r="AD290" s="79"/>
    </row>
    <row r="291" spans="1:30" customFormat="1" ht="14.4">
      <c r="A291" s="231"/>
      <c r="B291" s="271">
        <v>253</v>
      </c>
      <c r="C291" s="260"/>
      <c r="D291" s="261"/>
      <c r="E291" s="252"/>
      <c r="F291" s="237"/>
      <c r="G291" s="244"/>
      <c r="H291" s="381">
        <v>277</v>
      </c>
      <c r="I291" s="396"/>
      <c r="J291" s="396"/>
      <c r="K291" s="405"/>
      <c r="L291" s="405"/>
      <c r="M291" s="405"/>
      <c r="N291" s="452"/>
      <c r="O291" s="405"/>
      <c r="P291" s="405"/>
      <c r="Q291" s="405"/>
      <c r="R291" s="452"/>
      <c r="S291" s="443"/>
      <c r="T291" s="421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2"/>
      <c r="V291" s="422"/>
      <c r="W291" s="423"/>
      <c r="X291" s="424"/>
      <c r="Y291" s="425" t="str">
        <f t="shared" ca="1" si="20"/>
        <v/>
      </c>
      <c r="Z291" s="426" t="str">
        <f t="shared" ca="1" si="21"/>
        <v/>
      </c>
      <c r="AA291" s="425" t="str">
        <f t="shared" ca="1" si="22"/>
        <v/>
      </c>
      <c r="AB291" s="427" t="str">
        <f t="shared" ca="1" si="23"/>
        <v/>
      </c>
      <c r="AC291" s="426" t="str">
        <f t="shared" ca="1" si="24"/>
        <v/>
      </c>
      <c r="AD291" s="79"/>
    </row>
    <row r="292" spans="1:30" customFormat="1" ht="14.4">
      <c r="A292" s="231"/>
      <c r="B292" s="271">
        <v>254</v>
      </c>
      <c r="C292" s="260"/>
      <c r="D292" s="261"/>
      <c r="E292" s="252"/>
      <c r="F292" s="237"/>
      <c r="G292" s="244"/>
      <c r="H292" s="381">
        <v>278</v>
      </c>
      <c r="I292" s="396"/>
      <c r="J292" s="396"/>
      <c r="K292" s="405"/>
      <c r="L292" s="405"/>
      <c r="M292" s="405"/>
      <c r="N292" s="452"/>
      <c r="O292" s="405"/>
      <c r="P292" s="405"/>
      <c r="Q292" s="405"/>
      <c r="R292" s="452"/>
      <c r="S292" s="443"/>
      <c r="T292" s="421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2"/>
      <c r="V292" s="422"/>
      <c r="W292" s="423"/>
      <c r="X292" s="424"/>
      <c r="Y292" s="425" t="str">
        <f t="shared" ca="1" si="20"/>
        <v/>
      </c>
      <c r="Z292" s="426" t="str">
        <f t="shared" ca="1" si="21"/>
        <v/>
      </c>
      <c r="AA292" s="425" t="str">
        <f t="shared" ca="1" si="22"/>
        <v/>
      </c>
      <c r="AB292" s="427" t="str">
        <f t="shared" ca="1" si="23"/>
        <v/>
      </c>
      <c r="AC292" s="426" t="str">
        <f t="shared" ca="1" si="24"/>
        <v/>
      </c>
      <c r="AD292" s="79"/>
    </row>
    <row r="293" spans="1:30" customFormat="1" ht="14.4">
      <c r="A293" s="231"/>
      <c r="B293" s="271">
        <v>255</v>
      </c>
      <c r="C293" s="260"/>
      <c r="D293" s="261"/>
      <c r="E293" s="252"/>
      <c r="F293" s="237"/>
      <c r="G293" s="244"/>
      <c r="H293" s="381">
        <v>279</v>
      </c>
      <c r="I293" s="396"/>
      <c r="J293" s="396"/>
      <c r="K293" s="405"/>
      <c r="L293" s="405"/>
      <c r="M293" s="405"/>
      <c r="N293" s="452"/>
      <c r="O293" s="405"/>
      <c r="P293" s="405"/>
      <c r="Q293" s="405"/>
      <c r="R293" s="452"/>
      <c r="S293" s="443"/>
      <c r="T293" s="421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2"/>
      <c r="V293" s="422"/>
      <c r="W293" s="423"/>
      <c r="X293" s="424"/>
      <c r="Y293" s="425" t="str">
        <f t="shared" ca="1" si="20"/>
        <v/>
      </c>
      <c r="Z293" s="426" t="str">
        <f t="shared" ca="1" si="21"/>
        <v/>
      </c>
      <c r="AA293" s="425" t="str">
        <f t="shared" ca="1" si="22"/>
        <v/>
      </c>
      <c r="AB293" s="427" t="str">
        <f t="shared" ca="1" si="23"/>
        <v/>
      </c>
      <c r="AC293" s="426" t="str">
        <f t="shared" ca="1" si="24"/>
        <v/>
      </c>
      <c r="AD293" s="79"/>
    </row>
    <row r="294" spans="1:30" customFormat="1" ht="14.4">
      <c r="A294" s="231"/>
      <c r="B294" s="271">
        <v>256</v>
      </c>
      <c r="C294" s="260"/>
      <c r="D294" s="261"/>
      <c r="E294" s="252"/>
      <c r="F294" s="237"/>
      <c r="G294" s="244"/>
      <c r="H294" s="381">
        <v>280</v>
      </c>
      <c r="I294" s="396"/>
      <c r="J294" s="396"/>
      <c r="K294" s="405"/>
      <c r="L294" s="405"/>
      <c r="M294" s="405"/>
      <c r="N294" s="452"/>
      <c r="O294" s="405"/>
      <c r="P294" s="405"/>
      <c r="Q294" s="405"/>
      <c r="R294" s="452"/>
      <c r="S294" s="443"/>
      <c r="T294" s="421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2"/>
      <c r="V294" s="422"/>
      <c r="W294" s="423"/>
      <c r="X294" s="424"/>
      <c r="Y294" s="425" t="str">
        <f t="shared" ca="1" si="20"/>
        <v/>
      </c>
      <c r="Z294" s="426" t="str">
        <f t="shared" ca="1" si="21"/>
        <v/>
      </c>
      <c r="AA294" s="425" t="str">
        <f t="shared" ca="1" si="22"/>
        <v/>
      </c>
      <c r="AB294" s="427" t="str">
        <f t="shared" ca="1" si="23"/>
        <v/>
      </c>
      <c r="AC294" s="426" t="str">
        <f t="shared" ca="1" si="24"/>
        <v/>
      </c>
      <c r="AD294" s="79"/>
    </row>
    <row r="295" spans="1:30" customFormat="1" ht="14.4">
      <c r="A295" s="231"/>
      <c r="B295" s="271">
        <v>257</v>
      </c>
      <c r="C295" s="260"/>
      <c r="D295" s="261"/>
      <c r="E295" s="252"/>
      <c r="F295" s="237"/>
      <c r="G295" s="244"/>
      <c r="H295" s="381">
        <v>281</v>
      </c>
      <c r="I295" s="396"/>
      <c r="J295" s="396"/>
      <c r="K295" s="405"/>
      <c r="L295" s="405"/>
      <c r="M295" s="405"/>
      <c r="N295" s="452"/>
      <c r="O295" s="405"/>
      <c r="P295" s="405"/>
      <c r="Q295" s="405"/>
      <c r="R295" s="452"/>
      <c r="S295" s="443"/>
      <c r="T295" s="421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2"/>
      <c r="V295" s="422"/>
      <c r="W295" s="423"/>
      <c r="X295" s="424"/>
      <c r="Y295" s="425" t="str">
        <f t="shared" ca="1" si="20"/>
        <v/>
      </c>
      <c r="Z295" s="426" t="str">
        <f t="shared" ca="1" si="21"/>
        <v/>
      </c>
      <c r="AA295" s="425" t="str">
        <f t="shared" ca="1" si="22"/>
        <v/>
      </c>
      <c r="AB295" s="427" t="str">
        <f t="shared" ca="1" si="23"/>
        <v/>
      </c>
      <c r="AC295" s="426" t="str">
        <f t="shared" ca="1" si="24"/>
        <v/>
      </c>
      <c r="AD295" s="79"/>
    </row>
    <row r="296" spans="1:30" customFormat="1" ht="14.4">
      <c r="A296" s="231"/>
      <c r="B296" s="271">
        <v>258</v>
      </c>
      <c r="C296" s="260"/>
      <c r="D296" s="261"/>
      <c r="E296" s="252"/>
      <c r="F296" s="237"/>
      <c r="G296" s="244"/>
      <c r="H296" s="381">
        <v>282</v>
      </c>
      <c r="I296" s="396"/>
      <c r="J296" s="396"/>
      <c r="K296" s="405"/>
      <c r="L296" s="405"/>
      <c r="M296" s="405"/>
      <c r="N296" s="452"/>
      <c r="O296" s="405"/>
      <c r="P296" s="405"/>
      <c r="Q296" s="405"/>
      <c r="R296" s="452"/>
      <c r="S296" s="443"/>
      <c r="T296" s="421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2"/>
      <c r="V296" s="422"/>
      <c r="W296" s="423"/>
      <c r="X296" s="424"/>
      <c r="Y296" s="425" t="str">
        <f t="shared" ca="1" si="20"/>
        <v/>
      </c>
      <c r="Z296" s="426" t="str">
        <f t="shared" ca="1" si="21"/>
        <v/>
      </c>
      <c r="AA296" s="425" t="str">
        <f t="shared" ca="1" si="22"/>
        <v/>
      </c>
      <c r="AB296" s="427" t="str">
        <f t="shared" ca="1" si="23"/>
        <v/>
      </c>
      <c r="AC296" s="426" t="str">
        <f t="shared" ca="1" si="24"/>
        <v/>
      </c>
      <c r="AD296" s="79"/>
    </row>
    <row r="297" spans="1:30" customFormat="1" ht="14.4">
      <c r="A297" s="231"/>
      <c r="B297" s="271">
        <v>259</v>
      </c>
      <c r="C297" s="260"/>
      <c r="D297" s="261"/>
      <c r="E297" s="252"/>
      <c r="F297" s="237"/>
      <c r="G297" s="244"/>
      <c r="H297" s="381">
        <v>283</v>
      </c>
      <c r="I297" s="396"/>
      <c r="J297" s="396"/>
      <c r="K297" s="405"/>
      <c r="L297" s="405"/>
      <c r="M297" s="405"/>
      <c r="N297" s="452"/>
      <c r="O297" s="405"/>
      <c r="P297" s="405"/>
      <c r="Q297" s="405"/>
      <c r="R297" s="452"/>
      <c r="S297" s="443"/>
      <c r="T297" s="421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2"/>
      <c r="V297" s="422"/>
      <c r="W297" s="423"/>
      <c r="X297" s="424"/>
      <c r="Y297" s="425" t="str">
        <f t="shared" ca="1" si="20"/>
        <v/>
      </c>
      <c r="Z297" s="426" t="str">
        <f t="shared" ca="1" si="21"/>
        <v/>
      </c>
      <c r="AA297" s="425" t="str">
        <f t="shared" ca="1" si="22"/>
        <v/>
      </c>
      <c r="AB297" s="427" t="str">
        <f t="shared" ca="1" si="23"/>
        <v/>
      </c>
      <c r="AC297" s="426" t="str">
        <f t="shared" ca="1" si="24"/>
        <v/>
      </c>
      <c r="AD297" s="79"/>
    </row>
    <row r="298" spans="1:30" customFormat="1" ht="14.4">
      <c r="A298" s="231"/>
      <c r="B298" s="271">
        <v>260</v>
      </c>
      <c r="C298" s="260"/>
      <c r="D298" s="261"/>
      <c r="E298" s="252"/>
      <c r="F298" s="237"/>
      <c r="G298" s="244"/>
      <c r="H298" s="381">
        <v>284</v>
      </c>
      <c r="I298" s="396"/>
      <c r="J298" s="396"/>
      <c r="K298" s="405"/>
      <c r="L298" s="405"/>
      <c r="M298" s="405"/>
      <c r="N298" s="452"/>
      <c r="O298" s="405"/>
      <c r="P298" s="405"/>
      <c r="Q298" s="405"/>
      <c r="R298" s="452"/>
      <c r="S298" s="443"/>
      <c r="T298" s="421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2"/>
      <c r="V298" s="422"/>
      <c r="W298" s="423"/>
      <c r="X298" s="424"/>
      <c r="Y298" s="425" t="str">
        <f t="shared" ca="1" si="20"/>
        <v/>
      </c>
      <c r="Z298" s="426" t="str">
        <f t="shared" ca="1" si="21"/>
        <v/>
      </c>
      <c r="AA298" s="425" t="str">
        <f t="shared" ca="1" si="22"/>
        <v/>
      </c>
      <c r="AB298" s="427" t="str">
        <f t="shared" ca="1" si="23"/>
        <v/>
      </c>
      <c r="AC298" s="426" t="str">
        <f t="shared" ca="1" si="24"/>
        <v/>
      </c>
      <c r="AD298" s="79"/>
    </row>
    <row r="299" spans="1:30" customFormat="1" ht="14.4">
      <c r="A299" s="231"/>
      <c r="B299" s="271">
        <v>261</v>
      </c>
      <c r="C299" s="260"/>
      <c r="D299" s="261"/>
      <c r="E299" s="252"/>
      <c r="F299" s="237"/>
      <c r="G299" s="244"/>
      <c r="H299" s="381">
        <v>285</v>
      </c>
      <c r="I299" s="396"/>
      <c r="J299" s="396"/>
      <c r="K299" s="405"/>
      <c r="L299" s="405"/>
      <c r="M299" s="405"/>
      <c r="N299" s="452"/>
      <c r="O299" s="405"/>
      <c r="P299" s="405"/>
      <c r="Q299" s="405"/>
      <c r="R299" s="452"/>
      <c r="S299" s="443"/>
      <c r="T299" s="421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2"/>
      <c r="V299" s="422"/>
      <c r="W299" s="423"/>
      <c r="X299" s="424"/>
      <c r="Y299" s="425" t="str">
        <f t="shared" ca="1" si="20"/>
        <v/>
      </c>
      <c r="Z299" s="426" t="str">
        <f t="shared" ca="1" si="21"/>
        <v/>
      </c>
      <c r="AA299" s="425" t="str">
        <f t="shared" ca="1" si="22"/>
        <v/>
      </c>
      <c r="AB299" s="427" t="str">
        <f t="shared" ca="1" si="23"/>
        <v/>
      </c>
      <c r="AC299" s="426" t="str">
        <f t="shared" ca="1" si="24"/>
        <v/>
      </c>
      <c r="AD299" s="79"/>
    </row>
    <row r="300" spans="1:30" customFormat="1" ht="14.4">
      <c r="A300" s="231"/>
      <c r="B300" s="271">
        <v>262</v>
      </c>
      <c r="C300" s="260"/>
      <c r="D300" s="261"/>
      <c r="E300" s="252"/>
      <c r="F300" s="237"/>
      <c r="G300" s="244"/>
      <c r="H300" s="381">
        <v>286</v>
      </c>
      <c r="I300" s="396"/>
      <c r="J300" s="396"/>
      <c r="K300" s="405"/>
      <c r="L300" s="405"/>
      <c r="M300" s="405"/>
      <c r="N300" s="452"/>
      <c r="O300" s="405"/>
      <c r="P300" s="405"/>
      <c r="Q300" s="405"/>
      <c r="R300" s="452"/>
      <c r="S300" s="443"/>
      <c r="T300" s="421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2"/>
      <c r="V300" s="422"/>
      <c r="W300" s="423"/>
      <c r="X300" s="424"/>
      <c r="Y300" s="425" t="str">
        <f t="shared" ca="1" si="20"/>
        <v/>
      </c>
      <c r="Z300" s="426" t="str">
        <f t="shared" ca="1" si="21"/>
        <v/>
      </c>
      <c r="AA300" s="425" t="str">
        <f t="shared" ca="1" si="22"/>
        <v/>
      </c>
      <c r="AB300" s="427" t="str">
        <f t="shared" ca="1" si="23"/>
        <v/>
      </c>
      <c r="AC300" s="426" t="str">
        <f t="shared" ca="1" si="24"/>
        <v/>
      </c>
      <c r="AD300" s="79"/>
    </row>
    <row r="301" spans="1:30" customFormat="1" ht="14.4">
      <c r="A301" s="231"/>
      <c r="B301" s="271">
        <v>263</v>
      </c>
      <c r="C301" s="260"/>
      <c r="D301" s="261"/>
      <c r="E301" s="252"/>
      <c r="F301" s="237"/>
      <c r="G301" s="244"/>
      <c r="H301" s="381">
        <v>287</v>
      </c>
      <c r="I301" s="396"/>
      <c r="J301" s="396"/>
      <c r="K301" s="405"/>
      <c r="L301" s="405"/>
      <c r="M301" s="405"/>
      <c r="N301" s="452"/>
      <c r="O301" s="405"/>
      <c r="P301" s="405"/>
      <c r="Q301" s="405"/>
      <c r="R301" s="452"/>
      <c r="S301" s="443"/>
      <c r="T301" s="421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2"/>
      <c r="V301" s="422"/>
      <c r="W301" s="423"/>
      <c r="X301" s="424"/>
      <c r="Y301" s="425" t="str">
        <f t="shared" ca="1" si="20"/>
        <v/>
      </c>
      <c r="Z301" s="426" t="str">
        <f t="shared" ca="1" si="21"/>
        <v/>
      </c>
      <c r="AA301" s="425" t="str">
        <f t="shared" ca="1" si="22"/>
        <v/>
      </c>
      <c r="AB301" s="427" t="str">
        <f t="shared" ca="1" si="23"/>
        <v/>
      </c>
      <c r="AC301" s="426" t="str">
        <f t="shared" ca="1" si="24"/>
        <v/>
      </c>
      <c r="AD301" s="79"/>
    </row>
    <row r="302" spans="1:30" customFormat="1" ht="14.4">
      <c r="A302" s="231"/>
      <c r="B302" s="271">
        <v>264</v>
      </c>
      <c r="C302" s="260"/>
      <c r="D302" s="261"/>
      <c r="E302" s="252"/>
      <c r="F302" s="237"/>
      <c r="G302" s="244"/>
      <c r="H302" s="381">
        <v>288</v>
      </c>
      <c r="I302" s="396"/>
      <c r="J302" s="396"/>
      <c r="K302" s="405"/>
      <c r="L302" s="405"/>
      <c r="M302" s="405"/>
      <c r="N302" s="452"/>
      <c r="O302" s="405"/>
      <c r="P302" s="405"/>
      <c r="Q302" s="405"/>
      <c r="R302" s="452"/>
      <c r="S302" s="443"/>
      <c r="T302" s="421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2"/>
      <c r="V302" s="422"/>
      <c r="W302" s="423"/>
      <c r="X302" s="424"/>
      <c r="Y302" s="425" t="str">
        <f t="shared" ca="1" si="20"/>
        <v/>
      </c>
      <c r="Z302" s="426" t="str">
        <f t="shared" ca="1" si="21"/>
        <v/>
      </c>
      <c r="AA302" s="425" t="str">
        <f t="shared" ca="1" si="22"/>
        <v/>
      </c>
      <c r="AB302" s="427" t="str">
        <f t="shared" ca="1" si="23"/>
        <v/>
      </c>
      <c r="AC302" s="426" t="str">
        <f t="shared" ca="1" si="24"/>
        <v/>
      </c>
      <c r="AD302" s="79"/>
    </row>
    <row r="303" spans="1:30" customFormat="1" ht="14.4">
      <c r="A303" s="231"/>
      <c r="B303" s="271">
        <v>265</v>
      </c>
      <c r="C303" s="260"/>
      <c r="D303" s="261"/>
      <c r="E303" s="252"/>
      <c r="F303" s="237"/>
      <c r="G303" s="244"/>
      <c r="H303" s="381">
        <v>289</v>
      </c>
      <c r="I303" s="396"/>
      <c r="J303" s="396"/>
      <c r="K303" s="405"/>
      <c r="L303" s="405"/>
      <c r="M303" s="405"/>
      <c r="N303" s="452"/>
      <c r="O303" s="405"/>
      <c r="P303" s="405"/>
      <c r="Q303" s="405"/>
      <c r="R303" s="452"/>
      <c r="S303" s="443"/>
      <c r="T303" s="421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2"/>
      <c r="V303" s="422"/>
      <c r="W303" s="423"/>
      <c r="X303" s="424"/>
      <c r="Y303" s="425" t="str">
        <f t="shared" ca="1" si="20"/>
        <v/>
      </c>
      <c r="Z303" s="426" t="str">
        <f t="shared" ca="1" si="21"/>
        <v/>
      </c>
      <c r="AA303" s="425" t="str">
        <f t="shared" ca="1" si="22"/>
        <v/>
      </c>
      <c r="AB303" s="427" t="str">
        <f t="shared" ca="1" si="23"/>
        <v/>
      </c>
      <c r="AC303" s="426" t="str">
        <f t="shared" ca="1" si="24"/>
        <v/>
      </c>
      <c r="AD303" s="79"/>
    </row>
    <row r="304" spans="1:30" customFormat="1" ht="14.4">
      <c r="A304" s="231"/>
      <c r="B304" s="271">
        <v>266</v>
      </c>
      <c r="C304" s="260"/>
      <c r="D304" s="261"/>
      <c r="E304" s="252"/>
      <c r="F304" s="237"/>
      <c r="G304" s="244"/>
      <c r="H304" s="381">
        <v>290</v>
      </c>
      <c r="I304" s="396"/>
      <c r="J304" s="396"/>
      <c r="K304" s="405"/>
      <c r="L304" s="405"/>
      <c r="M304" s="405"/>
      <c r="N304" s="452"/>
      <c r="O304" s="405"/>
      <c r="P304" s="405"/>
      <c r="Q304" s="405"/>
      <c r="R304" s="452"/>
      <c r="S304" s="443"/>
      <c r="T304" s="421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2"/>
      <c r="V304" s="422"/>
      <c r="W304" s="423"/>
      <c r="X304" s="424"/>
      <c r="Y304" s="425" t="str">
        <f t="shared" ca="1" si="20"/>
        <v/>
      </c>
      <c r="Z304" s="426" t="str">
        <f t="shared" ca="1" si="21"/>
        <v/>
      </c>
      <c r="AA304" s="425" t="str">
        <f t="shared" ca="1" si="22"/>
        <v/>
      </c>
      <c r="AB304" s="427" t="str">
        <f t="shared" ca="1" si="23"/>
        <v/>
      </c>
      <c r="AC304" s="426" t="str">
        <f t="shared" ca="1" si="24"/>
        <v/>
      </c>
      <c r="AD304" s="79"/>
    </row>
    <row r="305" spans="1:30" customFormat="1" ht="14.4">
      <c r="A305" s="231"/>
      <c r="B305" s="271">
        <v>267</v>
      </c>
      <c r="C305" s="260"/>
      <c r="D305" s="261"/>
      <c r="E305" s="252"/>
      <c r="F305" s="237"/>
      <c r="G305" s="244"/>
      <c r="H305" s="381">
        <v>291</v>
      </c>
      <c r="I305" s="396"/>
      <c r="J305" s="396"/>
      <c r="K305" s="405"/>
      <c r="L305" s="405"/>
      <c r="M305" s="405"/>
      <c r="N305" s="452"/>
      <c r="O305" s="405"/>
      <c r="P305" s="405"/>
      <c r="Q305" s="405"/>
      <c r="R305" s="452"/>
      <c r="S305" s="443"/>
      <c r="T305" s="421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2"/>
      <c r="V305" s="422"/>
      <c r="W305" s="423"/>
      <c r="X305" s="424"/>
      <c r="Y305" s="425" t="str">
        <f t="shared" ca="1" si="20"/>
        <v/>
      </c>
      <c r="Z305" s="426" t="str">
        <f t="shared" ca="1" si="21"/>
        <v/>
      </c>
      <c r="AA305" s="425" t="str">
        <f t="shared" ca="1" si="22"/>
        <v/>
      </c>
      <c r="AB305" s="427" t="str">
        <f t="shared" ca="1" si="23"/>
        <v/>
      </c>
      <c r="AC305" s="426" t="str">
        <f t="shared" ca="1" si="24"/>
        <v/>
      </c>
      <c r="AD305" s="79"/>
    </row>
    <row r="306" spans="1:30" customFormat="1" ht="14.4">
      <c r="A306" s="231"/>
      <c r="B306" s="271">
        <v>268</v>
      </c>
      <c r="C306" s="260"/>
      <c r="D306" s="261"/>
      <c r="E306" s="252"/>
      <c r="F306" s="237"/>
      <c r="G306" s="244"/>
      <c r="H306" s="381">
        <v>292</v>
      </c>
      <c r="I306" s="396"/>
      <c r="J306" s="396"/>
      <c r="K306" s="405"/>
      <c r="L306" s="405"/>
      <c r="M306" s="405"/>
      <c r="N306" s="452"/>
      <c r="O306" s="405"/>
      <c r="P306" s="405"/>
      <c r="Q306" s="405"/>
      <c r="R306" s="452"/>
      <c r="S306" s="443"/>
      <c r="T306" s="421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2"/>
      <c r="V306" s="422"/>
      <c r="W306" s="423"/>
      <c r="X306" s="424"/>
      <c r="Y306" s="425" t="str">
        <f t="shared" ca="1" si="20"/>
        <v/>
      </c>
      <c r="Z306" s="426" t="str">
        <f t="shared" ca="1" si="21"/>
        <v/>
      </c>
      <c r="AA306" s="425" t="str">
        <f t="shared" ca="1" si="22"/>
        <v/>
      </c>
      <c r="AB306" s="427" t="str">
        <f t="shared" ca="1" si="23"/>
        <v/>
      </c>
      <c r="AC306" s="426" t="str">
        <f t="shared" ca="1" si="24"/>
        <v/>
      </c>
      <c r="AD306" s="79"/>
    </row>
    <row r="307" spans="1:30" customFormat="1" ht="14.4">
      <c r="A307" s="231"/>
      <c r="B307" s="271">
        <v>269</v>
      </c>
      <c r="C307" s="260"/>
      <c r="D307" s="261"/>
      <c r="E307" s="252"/>
      <c r="F307" s="237"/>
      <c r="G307" s="244"/>
      <c r="H307" s="381">
        <v>293</v>
      </c>
      <c r="I307" s="396"/>
      <c r="J307" s="396"/>
      <c r="K307" s="405"/>
      <c r="L307" s="405"/>
      <c r="M307" s="405"/>
      <c r="N307" s="452"/>
      <c r="O307" s="405"/>
      <c r="P307" s="405"/>
      <c r="Q307" s="405"/>
      <c r="R307" s="452"/>
      <c r="S307" s="443"/>
      <c r="T307" s="421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2"/>
      <c r="V307" s="422"/>
      <c r="W307" s="423"/>
      <c r="X307" s="424"/>
      <c r="Y307" s="425" t="str">
        <f t="shared" ca="1" si="20"/>
        <v/>
      </c>
      <c r="Z307" s="426" t="str">
        <f t="shared" ca="1" si="21"/>
        <v/>
      </c>
      <c r="AA307" s="425" t="str">
        <f t="shared" ca="1" si="22"/>
        <v/>
      </c>
      <c r="AB307" s="427" t="str">
        <f t="shared" ca="1" si="23"/>
        <v/>
      </c>
      <c r="AC307" s="426" t="str">
        <f t="shared" ca="1" si="24"/>
        <v/>
      </c>
      <c r="AD307" s="79"/>
    </row>
    <row r="308" spans="1:30" customFormat="1" ht="14.4">
      <c r="A308" s="231"/>
      <c r="B308" s="271">
        <v>270</v>
      </c>
      <c r="C308" s="260"/>
      <c r="D308" s="261"/>
      <c r="E308" s="252"/>
      <c r="F308" s="237"/>
      <c r="G308" s="244"/>
      <c r="H308" s="381">
        <v>294</v>
      </c>
      <c r="I308" s="396"/>
      <c r="J308" s="396"/>
      <c r="K308" s="405"/>
      <c r="L308" s="405"/>
      <c r="M308" s="405"/>
      <c r="N308" s="452"/>
      <c r="O308" s="405"/>
      <c r="P308" s="405"/>
      <c r="Q308" s="405"/>
      <c r="R308" s="452"/>
      <c r="S308" s="443"/>
      <c r="T308" s="421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2"/>
      <c r="V308" s="422"/>
      <c r="W308" s="423"/>
      <c r="X308" s="424"/>
      <c r="Y308" s="425" t="str">
        <f t="shared" ca="1" si="20"/>
        <v/>
      </c>
      <c r="Z308" s="426" t="str">
        <f t="shared" ca="1" si="21"/>
        <v/>
      </c>
      <c r="AA308" s="425" t="str">
        <f t="shared" ca="1" si="22"/>
        <v/>
      </c>
      <c r="AB308" s="427" t="str">
        <f t="shared" ca="1" si="23"/>
        <v/>
      </c>
      <c r="AC308" s="426" t="str">
        <f t="shared" ca="1" si="24"/>
        <v/>
      </c>
      <c r="AD308" s="79"/>
    </row>
    <row r="309" spans="1:30" customFormat="1" ht="14.4">
      <c r="A309" s="231"/>
      <c r="B309" s="271">
        <v>271</v>
      </c>
      <c r="C309" s="260"/>
      <c r="D309" s="261"/>
      <c r="E309" s="252"/>
      <c r="F309" s="237"/>
      <c r="G309" s="244"/>
      <c r="H309" s="381">
        <v>295</v>
      </c>
      <c r="I309" s="396"/>
      <c r="J309" s="396"/>
      <c r="K309" s="405"/>
      <c r="L309" s="405"/>
      <c r="M309" s="405"/>
      <c r="N309" s="452"/>
      <c r="O309" s="405"/>
      <c r="P309" s="405"/>
      <c r="Q309" s="405"/>
      <c r="R309" s="452"/>
      <c r="S309" s="443"/>
      <c r="T309" s="421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2"/>
      <c r="V309" s="422"/>
      <c r="W309" s="423"/>
      <c r="X309" s="424"/>
      <c r="Y309" s="425" t="str">
        <f t="shared" ca="1" si="20"/>
        <v/>
      </c>
      <c r="Z309" s="426" t="str">
        <f t="shared" ca="1" si="21"/>
        <v/>
      </c>
      <c r="AA309" s="425" t="str">
        <f t="shared" ca="1" si="22"/>
        <v/>
      </c>
      <c r="AB309" s="427" t="str">
        <f t="shared" ca="1" si="23"/>
        <v/>
      </c>
      <c r="AC309" s="426" t="str">
        <f t="shared" ca="1" si="24"/>
        <v/>
      </c>
      <c r="AD309" s="79"/>
    </row>
    <row r="310" spans="1:30" customFormat="1" ht="14.4">
      <c r="A310" s="231"/>
      <c r="B310" s="271">
        <v>272</v>
      </c>
      <c r="C310" s="260"/>
      <c r="D310" s="261"/>
      <c r="E310" s="252"/>
      <c r="F310" s="237"/>
      <c r="G310" s="244"/>
      <c r="H310" s="381">
        <v>296</v>
      </c>
      <c r="I310" s="396"/>
      <c r="J310" s="396"/>
      <c r="K310" s="405"/>
      <c r="L310" s="405"/>
      <c r="M310" s="405"/>
      <c r="N310" s="452"/>
      <c r="O310" s="405"/>
      <c r="P310" s="405"/>
      <c r="Q310" s="405"/>
      <c r="R310" s="452"/>
      <c r="S310" s="443"/>
      <c r="T310" s="421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2"/>
      <c r="V310" s="422"/>
      <c r="W310" s="423"/>
      <c r="X310" s="424"/>
      <c r="Y310" s="425" t="str">
        <f t="shared" ca="1" si="20"/>
        <v/>
      </c>
      <c r="Z310" s="426" t="str">
        <f t="shared" ca="1" si="21"/>
        <v/>
      </c>
      <c r="AA310" s="425" t="str">
        <f t="shared" ca="1" si="22"/>
        <v/>
      </c>
      <c r="AB310" s="427" t="str">
        <f t="shared" ca="1" si="23"/>
        <v/>
      </c>
      <c r="AC310" s="426" t="str">
        <f t="shared" ca="1" si="24"/>
        <v/>
      </c>
      <c r="AD310" s="79"/>
    </row>
    <row r="311" spans="1:30" customFormat="1" ht="14.4">
      <c r="A311" s="231"/>
      <c r="B311" s="271">
        <v>273</v>
      </c>
      <c r="C311" s="260"/>
      <c r="D311" s="261"/>
      <c r="E311" s="252"/>
      <c r="F311" s="237"/>
      <c r="G311" s="244"/>
      <c r="H311" s="381">
        <v>297</v>
      </c>
      <c r="I311" s="396"/>
      <c r="J311" s="396"/>
      <c r="K311" s="405"/>
      <c r="L311" s="405"/>
      <c r="M311" s="405"/>
      <c r="N311" s="452"/>
      <c r="O311" s="405"/>
      <c r="P311" s="405"/>
      <c r="Q311" s="405"/>
      <c r="R311" s="452"/>
      <c r="S311" s="443"/>
      <c r="T311" s="421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2"/>
      <c r="V311" s="422"/>
      <c r="W311" s="423"/>
      <c r="X311" s="424"/>
      <c r="Y311" s="425" t="str">
        <f t="shared" ca="1" si="20"/>
        <v/>
      </c>
      <c r="Z311" s="426" t="str">
        <f t="shared" ca="1" si="21"/>
        <v/>
      </c>
      <c r="AA311" s="425" t="str">
        <f t="shared" ca="1" si="22"/>
        <v/>
      </c>
      <c r="AB311" s="427" t="str">
        <f t="shared" ca="1" si="23"/>
        <v/>
      </c>
      <c r="AC311" s="426" t="str">
        <f t="shared" ca="1" si="24"/>
        <v/>
      </c>
      <c r="AD311" s="79"/>
    </row>
    <row r="312" spans="1:30" customFormat="1" ht="14.4">
      <c r="A312" s="231"/>
      <c r="B312" s="271">
        <v>274</v>
      </c>
      <c r="C312" s="260"/>
      <c r="D312" s="261"/>
      <c r="E312" s="252"/>
      <c r="F312" s="237"/>
      <c r="G312" s="244"/>
      <c r="H312" s="381">
        <v>298</v>
      </c>
      <c r="I312" s="396"/>
      <c r="J312" s="396"/>
      <c r="K312" s="405"/>
      <c r="L312" s="405"/>
      <c r="M312" s="405"/>
      <c r="N312" s="452"/>
      <c r="O312" s="405"/>
      <c r="P312" s="405"/>
      <c r="Q312" s="405"/>
      <c r="R312" s="452"/>
      <c r="S312" s="443"/>
      <c r="T312" s="421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2"/>
      <c r="V312" s="422"/>
      <c r="W312" s="423"/>
      <c r="X312" s="424"/>
      <c r="Y312" s="425" t="str">
        <f t="shared" ca="1" si="20"/>
        <v/>
      </c>
      <c r="Z312" s="426" t="str">
        <f t="shared" ca="1" si="21"/>
        <v/>
      </c>
      <c r="AA312" s="425" t="str">
        <f t="shared" ca="1" si="22"/>
        <v/>
      </c>
      <c r="AB312" s="427" t="str">
        <f t="shared" ca="1" si="23"/>
        <v/>
      </c>
      <c r="AC312" s="426" t="str">
        <f t="shared" ca="1" si="24"/>
        <v/>
      </c>
      <c r="AD312" s="79"/>
    </row>
    <row r="313" spans="1:30" customFormat="1" ht="14.4">
      <c r="A313" s="231"/>
      <c r="B313" s="271">
        <v>275</v>
      </c>
      <c r="C313" s="260"/>
      <c r="D313" s="261"/>
      <c r="E313" s="252"/>
      <c r="F313" s="237"/>
      <c r="G313" s="244"/>
      <c r="H313" s="381">
        <v>299</v>
      </c>
      <c r="I313" s="396"/>
      <c r="J313" s="396"/>
      <c r="K313" s="405"/>
      <c r="L313" s="405"/>
      <c r="M313" s="405"/>
      <c r="N313" s="452"/>
      <c r="O313" s="405"/>
      <c r="P313" s="405"/>
      <c r="Q313" s="405"/>
      <c r="R313" s="452"/>
      <c r="S313" s="443"/>
      <c r="T313" s="421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2"/>
      <c r="V313" s="422"/>
      <c r="W313" s="423"/>
      <c r="X313" s="424"/>
      <c r="Y313" s="425" t="str">
        <f t="shared" ca="1" si="20"/>
        <v/>
      </c>
      <c r="Z313" s="426" t="str">
        <f t="shared" ca="1" si="21"/>
        <v/>
      </c>
      <c r="AA313" s="425" t="str">
        <f t="shared" ca="1" si="22"/>
        <v/>
      </c>
      <c r="AB313" s="427" t="str">
        <f t="shared" ca="1" si="23"/>
        <v/>
      </c>
      <c r="AC313" s="426" t="str">
        <f t="shared" ca="1" si="24"/>
        <v/>
      </c>
      <c r="AD313" s="79"/>
    </row>
    <row r="314" spans="1:30" customFormat="1" ht="15" thickBot="1">
      <c r="A314" s="231"/>
      <c r="B314" s="271">
        <v>276</v>
      </c>
      <c r="C314" s="260"/>
      <c r="D314" s="261"/>
      <c r="E314" s="252"/>
      <c r="F314" s="237"/>
      <c r="G314" s="244"/>
      <c r="H314" s="384">
        <v>300</v>
      </c>
      <c r="I314" s="406"/>
      <c r="J314" s="406"/>
      <c r="K314" s="407"/>
      <c r="L314" s="407"/>
      <c r="M314" s="407"/>
      <c r="N314" s="408"/>
      <c r="O314" s="407"/>
      <c r="P314" s="407"/>
      <c r="Q314" s="407"/>
      <c r="R314" s="408"/>
      <c r="S314" s="454"/>
      <c r="T314" s="429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8"/>
      <c r="V314" s="428"/>
      <c r="W314" s="429"/>
      <c r="X314" s="430"/>
      <c r="Y314" s="425" t="str">
        <f t="shared" ca="1" si="20"/>
        <v/>
      </c>
      <c r="Z314" s="426" t="str">
        <f t="shared" ca="1" si="21"/>
        <v/>
      </c>
      <c r="AA314" s="429"/>
      <c r="AB314" s="429"/>
      <c r="AC314" s="408"/>
      <c r="AD314" s="79"/>
    </row>
    <row r="315" spans="1:30" customFormat="1" ht="14.4">
      <c r="A315" s="231"/>
      <c r="B315" s="271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4">
      <c r="A316" s="231"/>
      <c r="B316" s="271">
        <v>278</v>
      </c>
      <c r="C316" s="260"/>
      <c r="D316" s="261"/>
      <c r="E316" s="252"/>
      <c r="F316" s="237"/>
      <c r="G316" s="244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4">
      <c r="A317" s="231"/>
      <c r="B317" s="271">
        <v>279</v>
      </c>
      <c r="C317" s="260"/>
      <c r="D317" s="261"/>
      <c r="E317" s="252"/>
      <c r="F317" s="237"/>
      <c r="G317" s="244"/>
      <c r="S317" s="444"/>
    </row>
    <row r="318" spans="1:30" customFormat="1" ht="14.4">
      <c r="A318" s="231"/>
      <c r="B318" s="271">
        <v>280</v>
      </c>
      <c r="C318" s="260"/>
      <c r="D318" s="261"/>
      <c r="E318" s="252"/>
      <c r="F318" s="237"/>
      <c r="G318" s="244"/>
      <c r="S318" s="444"/>
    </row>
    <row r="319" spans="1:30" customFormat="1" ht="14.4">
      <c r="A319" s="231"/>
      <c r="B319" s="271">
        <v>281</v>
      </c>
      <c r="C319" s="260"/>
      <c r="D319" s="261"/>
      <c r="E319" s="252"/>
      <c r="F319" s="237"/>
      <c r="G319" s="244"/>
      <c r="S319" s="444"/>
    </row>
    <row r="320" spans="1:30" customFormat="1" ht="14.4">
      <c r="A320" s="231"/>
      <c r="B320" s="271">
        <v>282</v>
      </c>
      <c r="C320" s="260"/>
      <c r="D320" s="261"/>
      <c r="E320" s="252"/>
      <c r="F320" s="237"/>
      <c r="G320" s="244"/>
      <c r="S320" s="444"/>
    </row>
    <row r="321" spans="1:19" customFormat="1" ht="14.4">
      <c r="A321" s="231"/>
      <c r="B321" s="271">
        <v>283</v>
      </c>
      <c r="C321" s="260"/>
      <c r="D321" s="261"/>
      <c r="E321" s="252"/>
      <c r="F321" s="237"/>
      <c r="G321" s="244"/>
      <c r="S321" s="444"/>
    </row>
    <row r="322" spans="1:19" customFormat="1" ht="14.4">
      <c r="A322" s="231"/>
      <c r="B322" s="271">
        <v>284</v>
      </c>
      <c r="C322" s="260"/>
      <c r="D322" s="261"/>
      <c r="E322" s="252"/>
      <c r="F322" s="237"/>
      <c r="G322" s="244"/>
      <c r="S322" s="444"/>
    </row>
    <row r="323" spans="1:19" customFormat="1" ht="14.4">
      <c r="A323" s="231"/>
      <c r="B323" s="271">
        <v>285</v>
      </c>
      <c r="C323" s="260"/>
      <c r="D323" s="261"/>
      <c r="E323" s="252"/>
      <c r="F323" s="237"/>
      <c r="G323" s="244"/>
      <c r="S323" s="444"/>
    </row>
    <row r="324" spans="1:19" customFormat="1" ht="14.4">
      <c r="A324" s="231"/>
      <c r="B324" s="271">
        <v>286</v>
      </c>
      <c r="C324" s="260"/>
      <c r="D324" s="261"/>
      <c r="E324" s="252"/>
      <c r="F324" s="237"/>
      <c r="G324" s="244"/>
      <c r="S324" s="444"/>
    </row>
    <row r="325" spans="1:19" customFormat="1" ht="14.4">
      <c r="A325" s="231"/>
      <c r="B325" s="271">
        <v>287</v>
      </c>
      <c r="C325" s="260"/>
      <c r="D325" s="261"/>
      <c r="E325" s="252"/>
      <c r="F325" s="237"/>
      <c r="G325" s="244"/>
      <c r="S325" s="444"/>
    </row>
    <row r="326" spans="1:19" customFormat="1" ht="14.4">
      <c r="A326" s="231"/>
      <c r="B326" s="271">
        <v>288</v>
      </c>
      <c r="C326" s="260"/>
      <c r="D326" s="261"/>
      <c r="E326" s="252"/>
      <c r="F326" s="237"/>
      <c r="G326" s="244"/>
      <c r="S326" s="444"/>
    </row>
    <row r="327" spans="1:19" customFormat="1" ht="14.4">
      <c r="A327" s="231"/>
      <c r="B327" s="271">
        <v>289</v>
      </c>
      <c r="C327" s="260"/>
      <c r="D327" s="261"/>
      <c r="E327" s="252"/>
      <c r="F327" s="237"/>
      <c r="G327" s="244"/>
      <c r="S327" s="444"/>
    </row>
    <row r="328" spans="1:19" customFormat="1" ht="14.4">
      <c r="A328" s="231"/>
      <c r="B328" s="271">
        <v>290</v>
      </c>
      <c r="C328" s="260"/>
      <c r="D328" s="261"/>
      <c r="E328" s="252"/>
      <c r="F328" s="237"/>
      <c r="G328" s="244"/>
    </row>
    <row r="329" spans="1:19" customFormat="1" ht="14.4">
      <c r="A329" s="231"/>
      <c r="B329" s="271">
        <v>291</v>
      </c>
      <c r="C329" s="260"/>
      <c r="D329" s="261"/>
      <c r="E329" s="252"/>
      <c r="F329" s="237"/>
      <c r="G329" s="244"/>
    </row>
    <row r="330" spans="1:19" customFormat="1" ht="14.4">
      <c r="A330" s="231"/>
      <c r="B330" s="271">
        <v>292</v>
      </c>
      <c r="C330" s="260"/>
      <c r="D330" s="261"/>
      <c r="E330" s="252"/>
      <c r="F330" s="237"/>
      <c r="G330" s="244"/>
    </row>
    <row r="331" spans="1:19" customFormat="1" ht="14.4">
      <c r="A331" s="231"/>
      <c r="B331" s="271">
        <v>293</v>
      </c>
      <c r="C331" s="260"/>
      <c r="D331" s="261"/>
      <c r="E331" s="252"/>
      <c r="F331" s="237"/>
      <c r="G331" s="244"/>
    </row>
    <row r="332" spans="1:19" customFormat="1" ht="14.4">
      <c r="A332" s="231"/>
      <c r="B332" s="271">
        <v>294</v>
      </c>
      <c r="C332" s="260"/>
      <c r="D332" s="261"/>
      <c r="E332" s="252"/>
      <c r="F332" s="237"/>
      <c r="G332" s="244"/>
    </row>
    <row r="333" spans="1:19" customFormat="1" ht="14.4">
      <c r="A333" s="231"/>
      <c r="B333" s="271">
        <v>295</v>
      </c>
      <c r="C333" s="260"/>
      <c r="D333" s="261"/>
      <c r="E333" s="252"/>
      <c r="F333" s="237"/>
      <c r="G333" s="244"/>
    </row>
    <row r="334" spans="1:19" customFormat="1" ht="14.4">
      <c r="A334" s="231"/>
      <c r="B334" s="271">
        <v>296</v>
      </c>
      <c r="C334" s="260"/>
      <c r="D334" s="261"/>
      <c r="E334" s="252"/>
      <c r="F334" s="237"/>
      <c r="G334" s="244"/>
    </row>
    <row r="335" spans="1:19" customFormat="1" ht="14.4">
      <c r="A335" s="231"/>
      <c r="B335" s="271">
        <v>297</v>
      </c>
      <c r="C335" s="260"/>
      <c r="D335" s="261"/>
      <c r="E335" s="252"/>
      <c r="F335" s="237"/>
      <c r="G335" s="244"/>
    </row>
    <row r="336" spans="1:19" customFormat="1" ht="14.4">
      <c r="A336" s="231"/>
      <c r="B336" s="271">
        <v>298</v>
      </c>
      <c r="C336" s="260"/>
      <c r="D336" s="261"/>
      <c r="E336" s="252"/>
      <c r="F336" s="237"/>
      <c r="G336" s="244"/>
    </row>
    <row r="337" spans="1:7" customFormat="1" ht="14.4">
      <c r="A337" s="231"/>
      <c r="B337" s="271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670560</xdr:colOff>
                    <xdr:row>5</xdr:row>
                    <xdr:rowOff>45720</xdr:rowOff>
                  </from>
                  <to>
                    <xdr:col>10</xdr:col>
                    <xdr:colOff>160020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312420</xdr:colOff>
                    <xdr:row>10</xdr:row>
                    <xdr:rowOff>114300</xdr:rowOff>
                  </from>
                  <to>
                    <xdr:col>6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312420</xdr:colOff>
                    <xdr:row>12</xdr:row>
                    <xdr:rowOff>152400</xdr:rowOff>
                  </from>
                  <to>
                    <xdr:col>6</xdr:col>
                    <xdr:colOff>274320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4140625"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09375" defaultRowHeight="10.199999999999999"/>
  <cols>
    <col min="1" max="1" width="2.88671875" style="276" customWidth="1"/>
    <col min="2" max="2" width="17" style="276" bestFit="1" customWidth="1"/>
    <col min="3" max="3" width="26.5546875" style="276" bestFit="1" customWidth="1"/>
    <col min="4" max="4" width="10.5546875" style="277" customWidth="1"/>
    <col min="5" max="14" width="9.88671875" style="277" customWidth="1"/>
    <col min="15" max="31" width="9.109375" style="79"/>
    <col min="32" max="16384" width="9.109375" style="276"/>
  </cols>
  <sheetData>
    <row r="1" spans="1:228" customFormat="1" ht="29.2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  <c r="AI1" s="273"/>
      <c r="AJ1" s="273"/>
      <c r="AK1" s="273"/>
      <c r="AL1" s="273"/>
      <c r="AM1" s="273"/>
      <c r="AN1" s="273"/>
      <c r="AO1" s="273"/>
      <c r="AP1" s="273"/>
      <c r="AQ1" s="273"/>
      <c r="AR1" s="273"/>
      <c r="AS1" s="273"/>
      <c r="AT1" s="273"/>
      <c r="AU1" s="273"/>
      <c r="AV1" s="273"/>
      <c r="AW1" s="273"/>
      <c r="AX1" s="273"/>
      <c r="AY1" s="273"/>
      <c r="AZ1" s="273"/>
      <c r="BA1" s="273"/>
      <c r="BB1" s="273"/>
      <c r="BC1" s="273"/>
      <c r="BD1" s="273"/>
      <c r="BE1" s="273"/>
      <c r="BF1" s="273"/>
      <c r="BG1" s="273"/>
      <c r="BH1" s="273"/>
      <c r="BI1" s="273"/>
      <c r="BJ1" s="273"/>
      <c r="BK1" s="273"/>
      <c r="BL1" s="273"/>
      <c r="BM1" s="273"/>
      <c r="BN1" s="273"/>
      <c r="BO1" s="273"/>
      <c r="BP1" s="273"/>
      <c r="BQ1" s="273"/>
      <c r="BR1" s="273"/>
      <c r="BS1" s="273"/>
      <c r="BT1" s="273"/>
      <c r="BU1" s="273"/>
      <c r="BV1" s="273"/>
      <c r="BW1" s="273"/>
      <c r="BX1" s="273"/>
      <c r="BY1" s="273"/>
      <c r="BZ1" s="273"/>
      <c r="CA1" s="273"/>
      <c r="CB1" s="273"/>
      <c r="CC1" s="273"/>
      <c r="CD1" s="273"/>
      <c r="CE1" s="273"/>
      <c r="CF1" s="273"/>
      <c r="CG1" s="273"/>
      <c r="CH1" s="273"/>
      <c r="CI1" s="273"/>
      <c r="CJ1" s="273"/>
      <c r="CK1" s="273"/>
      <c r="CL1" s="273"/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273"/>
      <c r="EY1" s="273"/>
      <c r="EZ1" s="273"/>
      <c r="FA1" s="273"/>
      <c r="FB1" s="273"/>
      <c r="FC1" s="273"/>
      <c r="FD1" s="273"/>
      <c r="FE1" s="273"/>
      <c r="FF1" s="273"/>
      <c r="FG1" s="273"/>
      <c r="FH1" s="273"/>
      <c r="FI1" s="273"/>
      <c r="FJ1" s="273"/>
      <c r="FK1" s="273"/>
      <c r="FL1" s="273"/>
      <c r="FM1" s="273"/>
      <c r="FN1" s="273"/>
      <c r="FO1" s="273"/>
      <c r="FP1" s="273"/>
      <c r="FQ1" s="273"/>
      <c r="FR1" s="273"/>
      <c r="FS1" s="273"/>
      <c r="FT1" s="273"/>
      <c r="FU1" s="273"/>
      <c r="FV1" s="273"/>
      <c r="FW1" s="273"/>
      <c r="FX1" s="273"/>
      <c r="FY1" s="273"/>
      <c r="FZ1" s="273"/>
      <c r="GA1" s="273"/>
      <c r="GB1" s="273"/>
      <c r="GC1" s="273"/>
      <c r="GD1" s="273"/>
      <c r="GE1" s="273"/>
      <c r="GF1" s="273"/>
      <c r="GG1" s="273"/>
      <c r="GH1" s="273"/>
      <c r="GI1" s="273"/>
      <c r="GJ1" s="273"/>
      <c r="GK1" s="273"/>
      <c r="GL1" s="273"/>
      <c r="GM1" s="273"/>
      <c r="GN1" s="273"/>
      <c r="GO1" s="273"/>
      <c r="GP1" s="273"/>
      <c r="GQ1" s="273"/>
      <c r="GR1" s="273"/>
      <c r="GS1" s="273"/>
      <c r="GT1" s="273"/>
      <c r="GU1" s="273"/>
      <c r="GV1" s="273"/>
      <c r="GW1" s="273"/>
      <c r="GX1" s="273"/>
      <c r="GY1" s="273"/>
      <c r="GZ1" s="273"/>
      <c r="HA1" s="273"/>
      <c r="HB1" s="273"/>
      <c r="HC1" s="273"/>
      <c r="HD1" s="273"/>
      <c r="HE1" s="273"/>
      <c r="HF1" s="273"/>
      <c r="HG1" s="273"/>
      <c r="HH1" s="273"/>
      <c r="HI1" s="273"/>
      <c r="HJ1" s="273"/>
      <c r="HK1" s="273"/>
      <c r="HL1" s="273"/>
      <c r="HM1" s="273"/>
      <c r="HN1" s="273"/>
      <c r="HO1" s="273"/>
      <c r="HP1" s="273"/>
      <c r="HQ1" s="273"/>
      <c r="HR1" s="273"/>
      <c r="HS1" s="273"/>
      <c r="HT1" s="273"/>
    </row>
    <row r="2" spans="1:228" customFormat="1" ht="54.75" customHeight="1">
      <c r="A2" s="273"/>
      <c r="B2" s="273"/>
      <c r="C2" s="274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</row>
    <row r="3" spans="1:228" customFormat="1" ht="36.75" customHeight="1">
      <c r="A3" s="273"/>
      <c r="B3" s="273"/>
      <c r="C3" s="273"/>
      <c r="D3" s="273"/>
      <c r="E3" s="273"/>
      <c r="F3" s="273"/>
      <c r="G3" s="273"/>
      <c r="H3" s="273"/>
      <c r="I3" s="275"/>
      <c r="J3" s="275"/>
      <c r="K3" s="275"/>
      <c r="L3" s="275"/>
      <c r="M3" s="275"/>
      <c r="N3" s="275"/>
      <c r="O3" s="275"/>
      <c r="P3" s="275"/>
      <c r="Q3" s="273"/>
      <c r="R3" s="273"/>
      <c r="S3" s="273"/>
      <c r="T3" s="273"/>
      <c r="U3" s="273"/>
      <c r="V3" s="273"/>
      <c r="W3" s="273"/>
      <c r="X3" s="273"/>
      <c r="Y3" s="273"/>
      <c r="Z3" s="273"/>
      <c r="AA3" s="273"/>
      <c r="AB3" s="275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273"/>
      <c r="AO3" s="273"/>
      <c r="AP3" s="273"/>
      <c r="AQ3" s="273"/>
      <c r="AR3" s="273"/>
      <c r="AS3" s="273"/>
      <c r="AT3" s="273"/>
      <c r="AU3" s="273"/>
      <c r="AV3" s="273"/>
      <c r="AW3" s="273"/>
      <c r="AX3" s="273"/>
      <c r="AY3" s="273"/>
      <c r="AZ3" s="273"/>
      <c r="BA3" s="273"/>
      <c r="BB3" s="273"/>
      <c r="BC3" s="273"/>
      <c r="BD3" s="273"/>
      <c r="BE3" s="273"/>
      <c r="BF3" s="273"/>
      <c r="BG3" s="273"/>
      <c r="BH3" s="273"/>
      <c r="BI3" s="273"/>
      <c r="BJ3" s="273"/>
      <c r="BK3" s="273"/>
      <c r="BL3" s="273"/>
      <c r="BM3" s="273"/>
      <c r="BN3" s="273"/>
      <c r="BO3" s="273"/>
      <c r="BP3" s="273"/>
      <c r="BQ3" s="273"/>
      <c r="BR3" s="273"/>
      <c r="BS3" s="273"/>
      <c r="BT3" s="273"/>
      <c r="BU3" s="273"/>
      <c r="BV3" s="273"/>
      <c r="BW3" s="273"/>
      <c r="BX3" s="273"/>
      <c r="BY3" s="273"/>
      <c r="BZ3" s="273"/>
      <c r="CA3" s="273"/>
      <c r="CB3" s="273"/>
      <c r="CC3" s="273"/>
      <c r="CD3" s="273"/>
      <c r="CE3" s="273"/>
      <c r="CF3" s="273"/>
      <c r="CG3" s="273"/>
      <c r="CH3" s="273"/>
      <c r="CI3" s="273"/>
      <c r="CJ3" s="273"/>
      <c r="CK3" s="273"/>
      <c r="CL3" s="273"/>
      <c r="CM3" s="273"/>
      <c r="CN3" s="273"/>
      <c r="CO3" s="273"/>
      <c r="CP3" s="273"/>
      <c r="CQ3" s="273"/>
      <c r="CR3" s="273"/>
      <c r="CS3" s="273"/>
      <c r="CT3" s="273"/>
      <c r="CU3" s="273"/>
      <c r="CV3" s="273"/>
      <c r="CW3" s="273"/>
      <c r="CX3" s="273"/>
      <c r="CY3" s="273"/>
      <c r="CZ3" s="273"/>
      <c r="DA3" s="273"/>
      <c r="DB3" s="273"/>
      <c r="DC3" s="273"/>
      <c r="DD3" s="273"/>
      <c r="DE3" s="273"/>
      <c r="DF3" s="273"/>
      <c r="DG3" s="273"/>
      <c r="DH3" s="273"/>
      <c r="DI3" s="273"/>
      <c r="DJ3" s="273"/>
      <c r="DK3" s="273"/>
      <c r="DL3" s="273"/>
      <c r="DM3" s="273"/>
      <c r="DN3" s="273"/>
      <c r="DO3" s="273"/>
      <c r="DP3" s="273"/>
      <c r="DQ3" s="273"/>
      <c r="DR3" s="273"/>
      <c r="DS3" s="273"/>
      <c r="DT3" s="273"/>
      <c r="DU3" s="273"/>
      <c r="DV3" s="273"/>
      <c r="DW3" s="273"/>
      <c r="DX3" s="273"/>
      <c r="DY3" s="273"/>
      <c r="DZ3" s="273"/>
      <c r="EA3" s="273"/>
      <c r="EB3" s="273"/>
      <c r="EC3" s="273"/>
      <c r="ED3" s="273"/>
      <c r="EE3" s="273"/>
      <c r="EF3" s="273"/>
      <c r="EG3" s="273"/>
      <c r="EH3" s="273"/>
      <c r="EI3" s="273"/>
      <c r="EJ3" s="273"/>
      <c r="EK3" s="273"/>
      <c r="EL3" s="273"/>
      <c r="EM3" s="273"/>
      <c r="EN3" s="273"/>
      <c r="EO3" s="273"/>
      <c r="EP3" s="273"/>
      <c r="EQ3" s="273"/>
      <c r="ER3" s="273"/>
      <c r="ES3" s="273"/>
      <c r="ET3" s="273"/>
      <c r="EU3" s="273"/>
      <c r="EV3" s="273"/>
      <c r="EW3" s="273"/>
      <c r="EX3" s="273"/>
      <c r="EY3" s="273"/>
      <c r="EZ3" s="273"/>
      <c r="FA3" s="273"/>
      <c r="FB3" s="273"/>
      <c r="FC3" s="273"/>
      <c r="FD3" s="273"/>
      <c r="FE3" s="273"/>
      <c r="FF3" s="273"/>
      <c r="FG3" s="273"/>
      <c r="FH3" s="273"/>
      <c r="FI3" s="273"/>
      <c r="FJ3" s="273"/>
      <c r="FK3" s="273"/>
      <c r="FL3" s="273"/>
      <c r="FM3" s="273"/>
      <c r="FN3" s="273"/>
      <c r="FO3" s="273"/>
      <c r="FP3" s="273"/>
      <c r="FQ3" s="273"/>
      <c r="FR3" s="273"/>
      <c r="FS3" s="273"/>
      <c r="FT3" s="273"/>
      <c r="FU3" s="273"/>
      <c r="FV3" s="273"/>
      <c r="FW3" s="273"/>
      <c r="FX3" s="273"/>
      <c r="FY3" s="273"/>
      <c r="FZ3" s="273"/>
      <c r="GA3" s="273"/>
      <c r="GB3" s="273"/>
      <c r="GC3" s="273"/>
      <c r="GD3" s="273"/>
      <c r="GE3" s="273"/>
      <c r="GF3" s="273"/>
      <c r="GG3" s="273"/>
      <c r="GH3" s="273"/>
      <c r="GI3" s="273"/>
      <c r="GJ3" s="273"/>
      <c r="GK3" s="273"/>
      <c r="GL3" s="273"/>
      <c r="GM3" s="273"/>
      <c r="GN3" s="273"/>
      <c r="GO3" s="273"/>
      <c r="GP3" s="273"/>
      <c r="GQ3" s="273"/>
      <c r="GR3" s="273"/>
      <c r="GS3" s="273"/>
      <c r="GT3" s="273"/>
      <c r="GU3" s="273"/>
      <c r="GV3" s="273"/>
      <c r="GW3" s="273"/>
      <c r="GX3" s="273"/>
      <c r="GY3" s="273"/>
      <c r="GZ3" s="273"/>
      <c r="HA3" s="273"/>
      <c r="HB3" s="273"/>
      <c r="HC3" s="273"/>
      <c r="HD3" s="273"/>
      <c r="HE3" s="273"/>
      <c r="HF3" s="273"/>
      <c r="HG3" s="273"/>
      <c r="HH3" s="273"/>
      <c r="HI3" s="273"/>
      <c r="HJ3" s="273"/>
      <c r="HK3" s="273"/>
      <c r="HL3" s="273"/>
      <c r="HM3" s="273"/>
      <c r="HN3" s="273"/>
      <c r="HO3" s="273"/>
      <c r="HP3" s="273"/>
      <c r="HQ3" s="273"/>
      <c r="HR3" s="273"/>
      <c r="HS3" s="273"/>
      <c r="HT3" s="273"/>
    </row>
    <row r="4" spans="1:228" ht="10.8" thickBot="1"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  <c r="AA4" s="276"/>
      <c r="AB4" s="276"/>
      <c r="AC4" s="276"/>
      <c r="AD4" s="276"/>
      <c r="AE4" s="276"/>
    </row>
    <row r="5" spans="1:228">
      <c r="B5" s="278" t="s">
        <v>432</v>
      </c>
      <c r="C5" s="279">
        <v>46828</v>
      </c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</row>
    <row r="6" spans="1:228">
      <c r="B6" s="280" t="s">
        <v>475</v>
      </c>
      <c r="C6" s="281">
        <v>5000</v>
      </c>
      <c r="D6" s="276"/>
      <c r="E6" s="499"/>
      <c r="F6" s="499"/>
      <c r="G6" s="499"/>
      <c r="H6" s="499"/>
      <c r="I6" s="499"/>
      <c r="J6" s="499"/>
      <c r="K6" s="499"/>
      <c r="L6" s="499"/>
      <c r="M6" s="499"/>
      <c r="N6" s="499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</row>
    <row r="7" spans="1:228" ht="10.8" thickBot="1">
      <c r="B7" s="282" t="s">
        <v>476</v>
      </c>
      <c r="C7" s="283" t="b">
        <v>0</v>
      </c>
      <c r="D7" s="276"/>
      <c r="E7" s="276"/>
      <c r="H7" s="284"/>
      <c r="O7" s="499"/>
      <c r="P7" s="499"/>
      <c r="Q7" s="499"/>
      <c r="R7" s="499"/>
      <c r="S7" s="499"/>
      <c r="T7" s="499"/>
      <c r="U7" s="499"/>
      <c r="V7" s="499"/>
      <c r="W7" s="499"/>
      <c r="X7" s="499"/>
      <c r="Y7" s="276"/>
      <c r="Z7" s="276"/>
      <c r="AA7" s="276"/>
      <c r="AB7" s="276"/>
      <c r="AC7" s="276"/>
      <c r="AD7" s="276"/>
      <c r="AE7" s="276"/>
    </row>
    <row r="8" spans="1:228" ht="10.8" thickBot="1">
      <c r="B8" s="282" t="s">
        <v>477</v>
      </c>
      <c r="C8" s="285">
        <v>0.3</v>
      </c>
      <c r="D8" s="286"/>
      <c r="E8" s="276"/>
      <c r="H8" s="284"/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6"/>
      <c r="AC8" s="276"/>
      <c r="AD8" s="276"/>
      <c r="AE8" s="276"/>
    </row>
    <row r="9" spans="1:228" ht="10.8" thickBot="1">
      <c r="B9" s="282" t="s">
        <v>478</v>
      </c>
      <c r="C9" s="287">
        <v>125</v>
      </c>
      <c r="D9" s="286"/>
      <c r="E9" s="276"/>
      <c r="H9" s="284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6"/>
      <c r="AA9" s="276"/>
      <c r="AB9" s="276"/>
      <c r="AC9" s="276"/>
      <c r="AD9" s="276"/>
      <c r="AE9" s="276"/>
    </row>
    <row r="10" spans="1:228" ht="10.8" thickBot="1">
      <c r="B10" s="288"/>
      <c r="C10" s="289"/>
      <c r="D10" s="286"/>
      <c r="E10" s="276"/>
      <c r="H10" s="284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</row>
    <row r="11" spans="1:228">
      <c r="B11" s="290" t="s">
        <v>82</v>
      </c>
      <c r="C11" s="291" t="s">
        <v>67</v>
      </c>
      <c r="D11" s="276"/>
      <c r="E11" s="276"/>
      <c r="H11" s="284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</row>
    <row r="12" spans="1:228">
      <c r="B12" s="292" t="s">
        <v>437</v>
      </c>
      <c r="C12" s="293">
        <v>-0.1</v>
      </c>
      <c r="D12" s="286"/>
      <c r="E12" s="276"/>
      <c r="H12" s="284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E12" s="276"/>
    </row>
    <row r="13" spans="1:228" ht="10.8" thickBot="1">
      <c r="B13" s="294" t="s">
        <v>439</v>
      </c>
      <c r="C13" s="238">
        <v>0.1</v>
      </c>
      <c r="E13" s="295"/>
      <c r="H13" s="284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</row>
    <row r="14" spans="1:228" ht="10.8" thickBot="1">
      <c r="B14" s="296"/>
      <c r="C14" s="297"/>
      <c r="E14" s="295"/>
      <c r="H14" s="284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</row>
    <row r="15" spans="1:228">
      <c r="B15" s="278" t="s">
        <v>458</v>
      </c>
      <c r="C15" s="298" t="s">
        <v>459</v>
      </c>
      <c r="E15" s="295"/>
      <c r="H15" s="284"/>
      <c r="O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C15" s="276"/>
      <c r="AD15" s="276"/>
      <c r="AE15" s="276"/>
    </row>
    <row r="16" spans="1:228">
      <c r="B16" s="280" t="s">
        <v>461</v>
      </c>
      <c r="C16" s="299" t="s">
        <v>479</v>
      </c>
      <c r="E16" s="295"/>
      <c r="H16" s="284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</row>
    <row r="17" spans="2:31" ht="10.8" thickBot="1">
      <c r="B17" s="282" t="s">
        <v>462</v>
      </c>
      <c r="C17" s="300"/>
      <c r="E17" s="295"/>
      <c r="H17" s="284"/>
      <c r="O17" s="276"/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C17" s="276"/>
      <c r="AD17" s="276"/>
      <c r="AE17" s="276"/>
    </row>
    <row r="18" spans="2:31" ht="10.8" thickBot="1">
      <c r="B18" s="288"/>
      <c r="C18" s="301"/>
      <c r="E18" s="295"/>
      <c r="H18" s="284"/>
      <c r="O18" s="276"/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C18" s="276"/>
      <c r="AD18" s="276"/>
      <c r="AE18" s="276"/>
    </row>
    <row r="19" spans="2:31" ht="10.8" thickBot="1">
      <c r="B19" s="290" t="s">
        <v>480</v>
      </c>
      <c r="C19" s="302"/>
      <c r="D19" s="303"/>
      <c r="E19" s="500" t="s">
        <v>481</v>
      </c>
      <c r="F19" s="500"/>
      <c r="G19" s="500"/>
      <c r="H19" s="500"/>
      <c r="I19" s="500"/>
      <c r="J19" s="500"/>
      <c r="K19" s="500"/>
      <c r="L19" s="500"/>
      <c r="M19" s="500"/>
      <c r="N19" s="501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</row>
    <row r="20" spans="2:31" ht="10.8" thickBot="1">
      <c r="B20" s="305"/>
      <c r="C20" s="306"/>
      <c r="D20" s="307" t="s">
        <v>482</v>
      </c>
      <c r="E20" s="308">
        <v>1</v>
      </c>
      <c r="F20" s="309">
        <v>2</v>
      </c>
      <c r="G20" s="308">
        <v>3</v>
      </c>
      <c r="H20" s="310">
        <v>4</v>
      </c>
      <c r="I20" s="310">
        <v>5</v>
      </c>
      <c r="J20" s="310">
        <v>6</v>
      </c>
      <c r="K20" s="310">
        <v>7</v>
      </c>
      <c r="L20" s="309">
        <v>8</v>
      </c>
      <c r="M20" s="310">
        <v>9</v>
      </c>
      <c r="N20" s="311">
        <v>10</v>
      </c>
      <c r="O20" s="276"/>
      <c r="P20" s="276"/>
      <c r="Q20" s="276"/>
      <c r="R20" s="276"/>
      <c r="S20" s="276"/>
      <c r="T20" s="276"/>
      <c r="U20" s="276"/>
      <c r="V20" s="276"/>
      <c r="W20" s="288"/>
      <c r="X20" s="276"/>
      <c r="Y20" s="276"/>
      <c r="Z20" s="276"/>
      <c r="AA20" s="276"/>
      <c r="AB20" s="276"/>
      <c r="AC20" s="276"/>
      <c r="AD20" s="276"/>
      <c r="AE20" s="276"/>
    </row>
    <row r="21" spans="2:31">
      <c r="B21" s="278" t="s">
        <v>465</v>
      </c>
      <c r="C21" s="312">
        <v>0.54</v>
      </c>
      <c r="D21" s="313" t="s">
        <v>465</v>
      </c>
      <c r="E21" s="314">
        <v>6.0999999999999999E-2</v>
      </c>
      <c r="F21" s="314">
        <v>6.0999999999999999E-2</v>
      </c>
      <c r="G21" s="314">
        <v>6.0999999999999999E-2</v>
      </c>
      <c r="H21" s="314">
        <v>6.0999999999999999E-2</v>
      </c>
      <c r="I21" s="315">
        <v>0.06</v>
      </c>
      <c r="J21" s="315">
        <v>0.06</v>
      </c>
      <c r="K21" s="316"/>
      <c r="L21" s="317"/>
      <c r="M21" s="316"/>
      <c r="N21" s="318"/>
      <c r="O21" s="276"/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C21" s="276"/>
      <c r="AD21" s="276"/>
      <c r="AE21" s="276"/>
    </row>
    <row r="22" spans="2:31" ht="10.8" thickBot="1">
      <c r="B22" s="282" t="s">
        <v>466</v>
      </c>
      <c r="C22" s="319">
        <v>0.84</v>
      </c>
      <c r="D22" s="313" t="s">
        <v>483</v>
      </c>
      <c r="E22" s="320">
        <v>0.111</v>
      </c>
      <c r="F22" s="320">
        <v>0.111</v>
      </c>
      <c r="G22" s="320">
        <v>0.111</v>
      </c>
      <c r="H22" s="320">
        <v>0.111</v>
      </c>
      <c r="I22" s="321">
        <v>0.11</v>
      </c>
      <c r="J22" s="321">
        <v>0.11</v>
      </c>
      <c r="K22" s="322"/>
      <c r="L22" s="323"/>
      <c r="M22" s="322"/>
      <c r="N22" s="324"/>
      <c r="O22" s="276"/>
      <c r="P22" s="276"/>
      <c r="Q22" s="325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</row>
    <row r="23" spans="2:31" ht="10.8" thickBot="1">
      <c r="B23" s="326"/>
      <c r="C23" s="327"/>
      <c r="D23" s="328" t="s">
        <v>484</v>
      </c>
      <c r="E23" s="329">
        <f t="shared" ref="E23:J23" si="0">0.166666666666667%*100</f>
        <v>0.16666666666666699</v>
      </c>
      <c r="F23" s="329">
        <f t="shared" si="0"/>
        <v>0.16666666666666699</v>
      </c>
      <c r="G23" s="329">
        <f t="shared" si="0"/>
        <v>0.16666666666666699</v>
      </c>
      <c r="H23" s="329">
        <f t="shared" si="0"/>
        <v>0.16666666666666699</v>
      </c>
      <c r="I23" s="329">
        <f t="shared" si="0"/>
        <v>0.16666666666666699</v>
      </c>
      <c r="J23" s="329">
        <f t="shared" si="0"/>
        <v>0.16666666666666699</v>
      </c>
      <c r="K23" s="322"/>
      <c r="L23" s="323"/>
      <c r="M23" s="322"/>
      <c r="N23" s="324"/>
      <c r="O23" s="276"/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C23" s="276"/>
      <c r="AD23" s="276"/>
      <c r="AE23" s="276"/>
    </row>
    <row r="24" spans="2:31" ht="10.8" thickBot="1">
      <c r="B24" s="326"/>
      <c r="C24" s="327"/>
      <c r="D24" s="330"/>
      <c r="E24" s="331"/>
      <c r="F24" s="332"/>
      <c r="G24" s="332"/>
      <c r="H24" s="332"/>
      <c r="I24" s="332"/>
      <c r="J24" s="332"/>
      <c r="K24" s="332"/>
      <c r="L24" s="332"/>
      <c r="M24" s="332"/>
      <c r="N24" s="126"/>
      <c r="O24" s="276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C24" s="276"/>
      <c r="AD24" s="276"/>
      <c r="AE24" s="276"/>
    </row>
    <row r="25" spans="2:31" ht="10.8" thickBot="1">
      <c r="B25" s="278" t="s">
        <v>485</v>
      </c>
      <c r="C25" s="333">
        <v>8.3836702003960026E-2</v>
      </c>
      <c r="D25" s="334"/>
      <c r="E25" s="498" t="s">
        <v>486</v>
      </c>
      <c r="F25" s="498"/>
      <c r="G25" s="498"/>
      <c r="H25" s="498"/>
      <c r="I25" s="498"/>
      <c r="J25" s="498"/>
      <c r="K25" s="498"/>
      <c r="L25" s="498"/>
      <c r="M25" s="498"/>
      <c r="N25" s="497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</row>
    <row r="26" spans="2:31" ht="10.8" thickBot="1">
      <c r="B26" s="282" t="s">
        <v>487</v>
      </c>
      <c r="C26" s="335" t="b">
        <v>1</v>
      </c>
      <c r="D26" s="307" t="s">
        <v>488</v>
      </c>
      <c r="E26" s="336">
        <v>1</v>
      </c>
      <c r="F26" s="59">
        <f t="shared" ref="F26:N26" si="1">E26+1</f>
        <v>2</v>
      </c>
      <c r="G26" s="337">
        <f t="shared" si="1"/>
        <v>3</v>
      </c>
      <c r="H26" s="338">
        <f t="shared" si="1"/>
        <v>4</v>
      </c>
      <c r="I26" s="338">
        <f t="shared" si="1"/>
        <v>5</v>
      </c>
      <c r="J26" s="338">
        <f t="shared" si="1"/>
        <v>6</v>
      </c>
      <c r="K26" s="338">
        <f t="shared" si="1"/>
        <v>7</v>
      </c>
      <c r="L26" s="59">
        <f t="shared" si="1"/>
        <v>8</v>
      </c>
      <c r="M26" s="338">
        <f t="shared" si="1"/>
        <v>9</v>
      </c>
      <c r="N26" s="339">
        <f t="shared" si="1"/>
        <v>10</v>
      </c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C26" s="276"/>
      <c r="AD26" s="276"/>
      <c r="AE26" s="276"/>
    </row>
    <row r="27" spans="2:31">
      <c r="B27" s="326"/>
      <c r="D27" s="340">
        <v>0</v>
      </c>
      <c r="E27" s="341">
        <v>1.9E-2</v>
      </c>
      <c r="F27" s="342">
        <v>2.1000000000000001E-2</v>
      </c>
      <c r="G27" s="343">
        <v>2.1999999999999999E-2</v>
      </c>
      <c r="H27" s="344">
        <v>2.1000000000000001E-2</v>
      </c>
      <c r="I27" s="343">
        <v>2.1999999999999999E-2</v>
      </c>
      <c r="J27" s="343">
        <v>2.1000000000000001E-2</v>
      </c>
      <c r="K27" s="317"/>
      <c r="L27" s="345"/>
      <c r="M27" s="317"/>
      <c r="N27" s="293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C27" s="276"/>
      <c r="AD27" s="276"/>
      <c r="AE27" s="276"/>
    </row>
    <row r="28" spans="2:31">
      <c r="B28" s="326"/>
      <c r="D28" s="346">
        <v>2.4E-2</v>
      </c>
      <c r="E28" s="341">
        <v>3.5999999999999997E-2</v>
      </c>
      <c r="F28" s="347">
        <v>0.04</v>
      </c>
      <c r="G28" s="348">
        <v>4.1000000000000002E-2</v>
      </c>
      <c r="H28" s="349">
        <v>0.04</v>
      </c>
      <c r="I28" s="349">
        <v>4.1000000000000002E-2</v>
      </c>
      <c r="J28" s="349">
        <v>0.04</v>
      </c>
      <c r="K28" s="350"/>
      <c r="L28" s="350"/>
      <c r="M28" s="350"/>
      <c r="N28" s="350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</row>
    <row r="29" spans="2:31">
      <c r="B29" s="326"/>
      <c r="D29" s="346">
        <v>4.9000000000000002E-2</v>
      </c>
      <c r="E29" s="341">
        <v>6.3E-2</v>
      </c>
      <c r="F29" s="347">
        <v>6.9000000000000006E-2</v>
      </c>
      <c r="G29" s="348">
        <v>7.0999999999999994E-2</v>
      </c>
      <c r="H29" s="349">
        <v>6.9000000000000006E-2</v>
      </c>
      <c r="I29" s="349">
        <v>7.0999999999999994E-2</v>
      </c>
      <c r="J29" s="349">
        <v>6.9000000000000006E-2</v>
      </c>
      <c r="K29" s="350"/>
      <c r="L29" s="350"/>
      <c r="M29" s="350"/>
      <c r="N29" s="350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C29" s="276"/>
      <c r="AD29" s="276"/>
      <c r="AE29" s="276"/>
    </row>
    <row r="30" spans="2:31">
      <c r="B30" s="326"/>
      <c r="D30" s="346">
        <v>6.5000000000000002E-2</v>
      </c>
      <c r="E30" s="341">
        <v>9.2999999999999999E-2</v>
      </c>
      <c r="F30" s="347">
        <v>0.107</v>
      </c>
      <c r="G30" s="348">
        <v>0.111</v>
      </c>
      <c r="H30" s="349">
        <v>0.108</v>
      </c>
      <c r="I30" s="349">
        <v>0.112</v>
      </c>
      <c r="J30" s="349">
        <v>0.108</v>
      </c>
      <c r="K30" s="350"/>
      <c r="L30" s="350"/>
      <c r="M30" s="350"/>
      <c r="N30" s="350"/>
      <c r="O30" s="276"/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</row>
    <row r="31" spans="2:31">
      <c r="B31" s="326"/>
      <c r="D31" s="346">
        <v>8.1000000000000003E-2</v>
      </c>
      <c r="E31" s="341">
        <v>0.13300000000000001</v>
      </c>
      <c r="F31" s="347">
        <v>0.14899999999999999</v>
      </c>
      <c r="G31" s="348">
        <v>0.154</v>
      </c>
      <c r="H31" s="349">
        <v>0.151</v>
      </c>
      <c r="I31" s="349">
        <v>0.154</v>
      </c>
      <c r="J31" s="349">
        <v>0.14899999999999999</v>
      </c>
      <c r="K31" s="350"/>
      <c r="L31" s="350"/>
      <c r="M31" s="350"/>
      <c r="N31" s="350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</row>
    <row r="32" spans="2:31">
      <c r="B32" s="326"/>
      <c r="D32" s="346">
        <v>9.8000000000000004E-2</v>
      </c>
      <c r="E32" s="341">
        <v>0.17399999999999999</v>
      </c>
      <c r="F32" s="347">
        <v>0.191</v>
      </c>
      <c r="G32" s="348">
        <v>0.19600000000000001</v>
      </c>
      <c r="H32" s="349">
        <v>0.19400000000000001</v>
      </c>
      <c r="I32" s="349">
        <v>0.19700000000000001</v>
      </c>
      <c r="J32" s="349">
        <v>0.191</v>
      </c>
      <c r="K32" s="350"/>
      <c r="L32" s="350"/>
      <c r="M32" s="350"/>
      <c r="N32" s="350"/>
      <c r="O32" s="276"/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C32" s="276"/>
      <c r="AD32" s="276"/>
      <c r="AE32" s="276"/>
    </row>
    <row r="33" spans="1:31" ht="10.8" thickBot="1">
      <c r="B33" s="351"/>
      <c r="C33" s="352"/>
      <c r="D33" s="353">
        <v>0.114</v>
      </c>
      <c r="E33" s="354">
        <v>0.214</v>
      </c>
      <c r="F33" s="355">
        <v>0.23200000000000001</v>
      </c>
      <c r="G33" s="356">
        <v>0.23799999999999999</v>
      </c>
      <c r="H33" s="357">
        <v>0.23499999999999999</v>
      </c>
      <c r="I33" s="356">
        <v>0.23899999999999999</v>
      </c>
      <c r="J33" s="356">
        <v>0.23200000000000001</v>
      </c>
      <c r="K33" s="323"/>
      <c r="L33" s="358"/>
      <c r="M33" s="323"/>
      <c r="N33" s="319"/>
      <c r="O33" s="276"/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C33" s="276"/>
      <c r="AD33" s="276"/>
      <c r="AE33" s="276"/>
    </row>
    <row r="34" spans="1:31" ht="10.8" thickBot="1"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C34" s="276"/>
      <c r="AD34" s="276"/>
      <c r="AE34" s="276"/>
    </row>
    <row r="35" spans="1:31" ht="10.8" thickBot="1">
      <c r="D35" s="359" t="s">
        <v>423</v>
      </c>
      <c r="E35" s="360" t="b">
        <v>1</v>
      </c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</row>
    <row r="36" spans="1:31" ht="10.8" thickBot="1">
      <c r="B36" s="361"/>
      <c r="C36" s="79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C36" s="276"/>
      <c r="AD36" s="276"/>
      <c r="AE36" s="276"/>
    </row>
    <row r="37" spans="1:31" ht="13.5" customHeight="1" thickBot="1">
      <c r="B37" s="361"/>
      <c r="C37" s="496" t="s">
        <v>480</v>
      </c>
      <c r="D37" s="497"/>
      <c r="E37" s="498" t="s">
        <v>489</v>
      </c>
      <c r="F37" s="498"/>
      <c r="G37" s="498"/>
      <c r="H37" s="498"/>
      <c r="I37" s="498"/>
      <c r="J37" s="498"/>
      <c r="K37" s="498"/>
      <c r="L37" s="498"/>
      <c r="M37" s="498"/>
      <c r="N37" s="497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</row>
    <row r="38" spans="1:31" ht="10.8" thickBot="1">
      <c r="B38" s="288"/>
      <c r="C38" s="362" t="s">
        <v>434</v>
      </c>
      <c r="D38" s="363" t="s">
        <v>490</v>
      </c>
      <c r="E38" s="277">
        <v>1</v>
      </c>
      <c r="F38" s="277">
        <f t="shared" ref="F38:N38" si="2">E38+1</f>
        <v>2</v>
      </c>
      <c r="G38" s="277">
        <f t="shared" si="2"/>
        <v>3</v>
      </c>
      <c r="H38" s="277">
        <f t="shared" si="2"/>
        <v>4</v>
      </c>
      <c r="I38" s="277">
        <f t="shared" si="2"/>
        <v>5</v>
      </c>
      <c r="J38" s="277">
        <f t="shared" si="2"/>
        <v>6</v>
      </c>
      <c r="K38" s="277">
        <f t="shared" si="2"/>
        <v>7</v>
      </c>
      <c r="L38" s="277">
        <f t="shared" si="2"/>
        <v>8</v>
      </c>
      <c r="M38" s="277">
        <f t="shared" si="2"/>
        <v>9</v>
      </c>
      <c r="N38" s="364">
        <f t="shared" si="2"/>
        <v>10</v>
      </c>
      <c r="O38" s="276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C38" s="276"/>
      <c r="AD38" s="276"/>
      <c r="AE38" s="276"/>
    </row>
    <row r="39" spans="1:31" ht="10.8" thickBot="1">
      <c r="A39" s="79"/>
      <c r="B39" s="362" t="s">
        <v>491</v>
      </c>
      <c r="C39" s="365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6" t="e">
        <f ca="1"/>
        <v>#NAME?</v>
      </c>
      <c r="E39" s="367" t="e">
        <f ca="1"/>
        <v>#NAME?</v>
      </c>
      <c r="F39" s="367" t="e">
        <f ca="1"/>
        <v>#NAME?</v>
      </c>
      <c r="G39" s="367" t="e">
        <f ca="1"/>
        <v>#NAME?</v>
      </c>
      <c r="H39" s="367" t="e">
        <f ca="1"/>
        <v>#NAME?</v>
      </c>
      <c r="I39" s="367" t="e">
        <f ca="1"/>
        <v>#NAME?</v>
      </c>
      <c r="J39" s="367" t="e">
        <f ca="1"/>
        <v>#NAME?</v>
      </c>
      <c r="K39" s="367" t="e">
        <f ca="1"/>
        <v>#NAME?</v>
      </c>
      <c r="L39" s="367" t="e">
        <f ca="1"/>
        <v>#NAME?</v>
      </c>
      <c r="M39" s="367" t="e">
        <f ca="1"/>
        <v>#NAME?</v>
      </c>
      <c r="N39" s="368" t="e">
        <f ca="1"/>
        <v>#NAME?</v>
      </c>
      <c r="O39" s="276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C39" s="276"/>
      <c r="AD39" s="276"/>
      <c r="AE39" s="276"/>
    </row>
    <row r="40" spans="1:31" ht="10.8" thickBot="1">
      <c r="B40" s="362" t="s">
        <v>492</v>
      </c>
      <c r="C40" s="369" t="e">
        <f ca="1"/>
        <v>#NAME?</v>
      </c>
      <c r="D40" s="370" t="e">
        <f ca="1"/>
        <v>#NAME?</v>
      </c>
      <c r="E40" s="371" t="e">
        <f ca="1"/>
        <v>#NAME?</v>
      </c>
      <c r="F40" s="371" t="e">
        <f ca="1"/>
        <v>#NAME?</v>
      </c>
      <c r="G40" s="371" t="e">
        <f ca="1"/>
        <v>#NAME?</v>
      </c>
      <c r="H40" s="371" t="e">
        <f ca="1"/>
        <v>#NAME?</v>
      </c>
      <c r="I40" s="371" t="e">
        <f ca="1"/>
        <v>#NAME?</v>
      </c>
      <c r="J40" s="371" t="e">
        <f ca="1"/>
        <v>#NAME?</v>
      </c>
      <c r="K40" s="371" t="e">
        <f ca="1"/>
        <v>#NAME?</v>
      </c>
      <c r="L40" s="371" t="e">
        <f ca="1"/>
        <v>#NAME?</v>
      </c>
      <c r="M40" s="371" t="e">
        <f ca="1"/>
        <v>#NAME?</v>
      </c>
      <c r="N40" s="372" t="e">
        <f ca="1"/>
        <v>#NAME?</v>
      </c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</row>
    <row r="41" spans="1:31">
      <c r="C41" s="373"/>
      <c r="D41" s="374" t="e" cm="1">
        <f t="array" aca="1" ref="D41" ca="1">GetTest2(E21:N23)</f>
        <v>#NAME?</v>
      </c>
      <c r="E41" s="374"/>
      <c r="F41" s="375"/>
      <c r="G41" s="374"/>
      <c r="H41" s="375"/>
      <c r="I41" s="373"/>
      <c r="J41" s="375"/>
      <c r="K41" s="373"/>
      <c r="L41" s="375"/>
      <c r="M41" s="373"/>
      <c r="N41" s="373"/>
      <c r="O41" s="276"/>
      <c r="P41" s="499"/>
      <c r="Q41" s="499"/>
      <c r="R41" s="499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C41" s="276"/>
      <c r="AD41" s="276"/>
      <c r="AE41" s="276"/>
    </row>
    <row r="42" spans="1:31">
      <c r="B42" s="276" t="e" cm="1">
        <f t="array" aca="1" ref="B42" ca="1">GetTest2(E21:N23,C21,C22,C26,D46:N345,Parameter_Date,C5,C11)</f>
        <v>#NAME?</v>
      </c>
      <c r="D42" s="374"/>
      <c r="E42" s="374"/>
      <c r="F42" s="375"/>
      <c r="G42" s="374"/>
      <c r="H42" s="375"/>
      <c r="I42" s="373"/>
      <c r="J42" s="375"/>
      <c r="K42" s="373"/>
      <c r="L42" s="375"/>
      <c r="M42" s="373"/>
      <c r="N42" s="373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C42" s="276"/>
      <c r="AD42" s="276"/>
      <c r="AE42" s="276"/>
    </row>
    <row r="43" spans="1:31" ht="10.8" thickBot="1">
      <c r="D43" s="276"/>
      <c r="E43" s="3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</row>
    <row r="44" spans="1:31" ht="10.8" thickBot="1">
      <c r="C44" s="327"/>
      <c r="D44" s="377"/>
      <c r="E44" s="496" t="s">
        <v>493</v>
      </c>
      <c r="F44" s="498"/>
      <c r="G44" s="498"/>
      <c r="H44" s="498"/>
      <c r="I44" s="498"/>
      <c r="J44" s="498"/>
      <c r="K44" s="498"/>
      <c r="L44" s="498"/>
      <c r="M44" s="498"/>
      <c r="N44" s="497"/>
      <c r="O44" s="276"/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C44" s="276"/>
      <c r="AD44" s="276"/>
      <c r="AE44" s="276"/>
    </row>
    <row r="45" spans="1:31" ht="10.8" thickBot="1">
      <c r="B45" s="307" t="s">
        <v>494</v>
      </c>
      <c r="C45" s="304" t="s">
        <v>495</v>
      </c>
      <c r="D45" s="362" t="s">
        <v>474</v>
      </c>
      <c r="E45" s="378">
        <v>1</v>
      </c>
      <c r="F45" s="379">
        <f t="shared" ref="F45:N45" si="3">E45+1</f>
        <v>2</v>
      </c>
      <c r="G45" s="379">
        <f t="shared" si="3"/>
        <v>3</v>
      </c>
      <c r="H45" s="379">
        <f t="shared" si="3"/>
        <v>4</v>
      </c>
      <c r="I45" s="379">
        <f t="shared" si="3"/>
        <v>5</v>
      </c>
      <c r="J45" s="379">
        <f t="shared" si="3"/>
        <v>6</v>
      </c>
      <c r="K45" s="379">
        <f t="shared" si="3"/>
        <v>7</v>
      </c>
      <c r="L45" s="379">
        <f t="shared" si="3"/>
        <v>8</v>
      </c>
      <c r="M45" s="379">
        <f t="shared" si="3"/>
        <v>9</v>
      </c>
      <c r="N45" s="380">
        <f t="shared" si="3"/>
        <v>10</v>
      </c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C45" s="276"/>
      <c r="AD45" s="276"/>
      <c r="AE45" s="276"/>
    </row>
    <row r="46" spans="1:31" ht="14.4">
      <c r="B46" s="381">
        <v>1</v>
      </c>
      <c r="C46" s="389" t="str" cm="1">
        <f t="array" aca="1" ref="C46" ca="1">IF(B46&lt;=$C$9,GetGetCDSName(B46),"")</f>
        <v>ABNAMRO_MMR.EUR.SU</v>
      </c>
      <c r="D46" s="349">
        <v>0</v>
      </c>
      <c r="E46" s="382">
        <v>0</v>
      </c>
      <c r="F46" s="301">
        <v>0</v>
      </c>
      <c r="G46" s="301">
        <v>1</v>
      </c>
      <c r="H46" s="301">
        <v>0</v>
      </c>
      <c r="I46" s="301">
        <v>0</v>
      </c>
      <c r="J46" s="301">
        <v>0</v>
      </c>
      <c r="K46" s="301"/>
      <c r="L46" s="301"/>
      <c r="M46" s="301"/>
      <c r="N46" s="383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</row>
    <row r="47" spans="1:31" ht="14.4">
      <c r="B47" s="381">
        <f t="shared" ref="B47:B110" si="4">B46+1</f>
        <v>2</v>
      </c>
      <c r="C47" s="389" t="str" cm="1">
        <f t="array" aca="1" ref="C47" ca="1">IF(B47&lt;=$C$9,GetGetCDSName(B47),"")</f>
        <v>ACCOR_MMR.EUR.SU</v>
      </c>
      <c r="D47" s="349">
        <v>0</v>
      </c>
      <c r="E47" s="382">
        <v>0</v>
      </c>
      <c r="F47" s="301">
        <v>0</v>
      </c>
      <c r="G47" s="301">
        <v>0</v>
      </c>
      <c r="H47" s="301">
        <v>0</v>
      </c>
      <c r="I47" s="301">
        <v>1</v>
      </c>
      <c r="J47" s="301">
        <v>1</v>
      </c>
      <c r="K47" s="301"/>
      <c r="L47" s="301"/>
      <c r="M47" s="301"/>
      <c r="N47" s="383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C47" s="276"/>
      <c r="AD47" s="276"/>
      <c r="AE47" s="276"/>
    </row>
    <row r="48" spans="1:31" ht="14.4">
      <c r="B48" s="381">
        <f t="shared" si="4"/>
        <v>3</v>
      </c>
      <c r="C48" s="389" t="str" cm="1">
        <f t="array" aca="1" ref="C48" ca="1">IF(B48&lt;=$C$9,GetGetCDSName(B48),"")</f>
        <v>ADECCO_MMR.EUR.SU</v>
      </c>
      <c r="D48" s="349">
        <v>0</v>
      </c>
      <c r="E48" s="382">
        <v>0</v>
      </c>
      <c r="F48" s="301">
        <v>0</v>
      </c>
      <c r="G48" s="301">
        <v>1</v>
      </c>
      <c r="H48" s="301">
        <v>0</v>
      </c>
      <c r="I48" s="301">
        <v>1</v>
      </c>
      <c r="J48" s="301">
        <v>0</v>
      </c>
      <c r="K48" s="301"/>
      <c r="L48" s="301"/>
      <c r="M48" s="301"/>
      <c r="N48" s="383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C48" s="276"/>
      <c r="AD48" s="276"/>
      <c r="AE48" s="276"/>
    </row>
    <row r="49" spans="2:31" ht="14.4">
      <c r="B49" s="381">
        <f t="shared" si="4"/>
        <v>4</v>
      </c>
      <c r="C49" s="389" t="str" cm="1">
        <f t="array" aca="1" ref="C49" ca="1">IF(B49&lt;=$C$9,GetGetCDSName(B49),"")</f>
        <v>AEGON_MMR.EUR.SU</v>
      </c>
      <c r="D49" s="349">
        <v>0</v>
      </c>
      <c r="E49" s="382">
        <v>0</v>
      </c>
      <c r="F49" s="301">
        <v>0</v>
      </c>
      <c r="G49" s="301">
        <v>0</v>
      </c>
      <c r="H49" s="301">
        <v>0</v>
      </c>
      <c r="I49" s="301">
        <v>0</v>
      </c>
      <c r="J49" s="301">
        <v>1</v>
      </c>
      <c r="K49" s="301"/>
      <c r="L49" s="301"/>
      <c r="M49" s="301"/>
      <c r="N49" s="383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C49" s="276"/>
      <c r="AD49" s="276"/>
      <c r="AE49" s="276"/>
    </row>
    <row r="50" spans="2:31" ht="14.4">
      <c r="B50" s="381">
        <f t="shared" si="4"/>
        <v>5</v>
      </c>
      <c r="C50" s="389" t="str" cm="1">
        <f t="array" aca="1" ref="C50" ca="1">IF(B50&lt;=$C$9,GetGetCDSName(B50),"")</f>
        <v>AKZONOBEL_MMR.EUR.SU</v>
      </c>
      <c r="D50" s="349">
        <v>0</v>
      </c>
      <c r="E50" s="382">
        <v>0</v>
      </c>
      <c r="F50" s="301">
        <v>0</v>
      </c>
      <c r="G50" s="301">
        <v>0</v>
      </c>
      <c r="H50" s="301">
        <v>1</v>
      </c>
      <c r="I50" s="301">
        <v>0</v>
      </c>
      <c r="J50" s="301">
        <v>0</v>
      </c>
      <c r="K50" s="301"/>
      <c r="L50" s="301"/>
      <c r="M50" s="301"/>
      <c r="N50" s="383"/>
      <c r="O50" s="276"/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C50" s="276"/>
      <c r="AD50" s="276"/>
      <c r="AE50" s="276"/>
    </row>
    <row r="51" spans="2:31" ht="14.4">
      <c r="B51" s="381">
        <f t="shared" si="4"/>
        <v>6</v>
      </c>
      <c r="C51" s="389" t="str" cm="1">
        <f t="array" aca="1" ref="C51" ca="1">IF(B51&lt;=$C$9,GetGetCDSName(B51),"")</f>
        <v>ALLIANZ_MMR.EUR.SU</v>
      </c>
      <c r="D51" s="349">
        <v>0</v>
      </c>
      <c r="E51" s="382">
        <v>1</v>
      </c>
      <c r="F51" s="301">
        <v>1</v>
      </c>
      <c r="G51" s="301">
        <v>0</v>
      </c>
      <c r="H51" s="301">
        <v>0</v>
      </c>
      <c r="I51" s="301">
        <v>0</v>
      </c>
      <c r="J51" s="301">
        <v>1</v>
      </c>
      <c r="K51" s="301"/>
      <c r="L51" s="301"/>
      <c r="M51" s="301"/>
      <c r="N51" s="383"/>
      <c r="O51" s="276"/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C51" s="276"/>
      <c r="AD51" s="276"/>
      <c r="AE51" s="276"/>
    </row>
    <row r="52" spans="2:31" ht="14.4">
      <c r="B52" s="381">
        <f t="shared" si="4"/>
        <v>7</v>
      </c>
      <c r="C52" s="389" t="str" cm="1">
        <f t="array" aca="1" ref="C52" ca="1">IF(B52&lt;=$C$9,GetGetCDSName(B52),"")</f>
        <v>ALTADIS_MMR.EUR.SU</v>
      </c>
      <c r="D52" s="349">
        <v>0</v>
      </c>
      <c r="E52" s="382">
        <v>0</v>
      </c>
      <c r="F52" s="301">
        <v>0</v>
      </c>
      <c r="G52" s="301">
        <v>1</v>
      </c>
      <c r="H52" s="301">
        <v>1</v>
      </c>
      <c r="I52" s="301">
        <v>1</v>
      </c>
      <c r="J52" s="301">
        <v>0</v>
      </c>
      <c r="K52" s="301"/>
      <c r="L52" s="301"/>
      <c r="M52" s="301"/>
      <c r="N52" s="383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</row>
    <row r="53" spans="2:31" ht="14.4">
      <c r="B53" s="381">
        <f t="shared" si="4"/>
        <v>8</v>
      </c>
      <c r="C53" s="389" t="str" cm="1">
        <f t="array" aca="1" ref="C53" ca="1">IF(B53&lt;=$C$9,GetGetCDSName(B53),"")</f>
        <v>ARCELORFINANCESCA_MMR.EUR.SU</v>
      </c>
      <c r="D53" s="349">
        <v>0</v>
      </c>
      <c r="E53" s="382">
        <v>1</v>
      </c>
      <c r="F53" s="301">
        <v>1</v>
      </c>
      <c r="G53" s="301">
        <v>0</v>
      </c>
      <c r="H53" s="301">
        <v>0</v>
      </c>
      <c r="I53" s="301">
        <v>1</v>
      </c>
      <c r="J53" s="301">
        <v>0</v>
      </c>
      <c r="K53" s="301"/>
      <c r="L53" s="301"/>
      <c r="M53" s="301"/>
      <c r="N53" s="383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</row>
    <row r="54" spans="2:31" ht="14.4">
      <c r="B54" s="381">
        <f t="shared" si="4"/>
        <v>9</v>
      </c>
      <c r="C54" s="389" t="str" cm="1">
        <f t="array" aca="1" ref="C54" ca="1">IF(B54&lt;=$C$9,GetGetCDSName(B54),"")</f>
        <v>AUCHAN_MMR.EUR.SU</v>
      </c>
      <c r="D54" s="349">
        <v>0</v>
      </c>
      <c r="E54" s="382">
        <v>0</v>
      </c>
      <c r="F54" s="301">
        <v>0</v>
      </c>
      <c r="G54" s="301">
        <v>0</v>
      </c>
      <c r="H54" s="301">
        <v>0</v>
      </c>
      <c r="I54" s="301">
        <v>0</v>
      </c>
      <c r="J54" s="301">
        <v>1</v>
      </c>
      <c r="K54" s="301"/>
      <c r="L54" s="301"/>
      <c r="M54" s="301"/>
      <c r="N54" s="383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</row>
    <row r="55" spans="2:31" ht="14.4">
      <c r="B55" s="381">
        <f t="shared" si="4"/>
        <v>10</v>
      </c>
      <c r="C55" s="389" t="str" cm="1">
        <f t="array" aca="1" ref="C55" ca="1">IF(B55&lt;=$C$9,GetGetCDSName(B55),"")</f>
        <v>AVIVA_MMR.EUR.SU</v>
      </c>
      <c r="D55" s="349">
        <v>0</v>
      </c>
      <c r="E55" s="382">
        <v>0</v>
      </c>
      <c r="F55" s="301">
        <v>0</v>
      </c>
      <c r="G55" s="301">
        <v>1</v>
      </c>
      <c r="H55" s="301">
        <v>1</v>
      </c>
      <c r="I55" s="301">
        <v>0</v>
      </c>
      <c r="J55" s="301">
        <v>0</v>
      </c>
      <c r="K55" s="301"/>
      <c r="L55" s="301"/>
      <c r="M55" s="301"/>
      <c r="N55" s="383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</row>
    <row r="56" spans="2:31" ht="14.4">
      <c r="B56" s="381">
        <f t="shared" si="4"/>
        <v>11</v>
      </c>
      <c r="C56" s="389" t="str" cm="1">
        <f t="array" aca="1" ref="C56" ca="1">IF(B56&lt;=$C$9,GetGetCDSName(B56),"")</f>
        <v>AXA_MMR.EUR.SU</v>
      </c>
      <c r="D56" s="349">
        <v>0</v>
      </c>
      <c r="E56" s="382">
        <v>1</v>
      </c>
      <c r="F56" s="301">
        <v>0</v>
      </c>
      <c r="G56" s="301">
        <v>0</v>
      </c>
      <c r="H56" s="301">
        <v>0</v>
      </c>
      <c r="I56" s="301">
        <v>0</v>
      </c>
      <c r="J56" s="301">
        <v>0</v>
      </c>
      <c r="K56" s="301"/>
      <c r="L56" s="301"/>
      <c r="M56" s="301"/>
      <c r="N56" s="383"/>
      <c r="O56" s="276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C56" s="276"/>
      <c r="AD56" s="276"/>
      <c r="AE56" s="276"/>
    </row>
    <row r="57" spans="2:31" ht="14.4">
      <c r="B57" s="381">
        <f t="shared" si="4"/>
        <v>12</v>
      </c>
      <c r="C57" s="389" t="str" cm="1">
        <f t="array" aca="1" ref="C57" ca="1">IF(B57&lt;=$C$9,GetGetCDSName(B57),"")</f>
        <v>BANCOESPIRITOSANTO_MMR.EUR.SU</v>
      </c>
      <c r="D57" s="349">
        <v>0</v>
      </c>
      <c r="E57" s="382">
        <v>0</v>
      </c>
      <c r="F57" s="301">
        <v>1</v>
      </c>
      <c r="G57" s="301">
        <v>0</v>
      </c>
      <c r="H57" s="301">
        <v>0</v>
      </c>
      <c r="I57" s="301">
        <v>0</v>
      </c>
      <c r="J57" s="301">
        <v>0</v>
      </c>
      <c r="K57" s="301"/>
      <c r="L57" s="301"/>
      <c r="M57" s="301"/>
      <c r="N57" s="383"/>
      <c r="O57" s="276"/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C57" s="276"/>
      <c r="AD57" s="276"/>
      <c r="AE57" s="276"/>
    </row>
    <row r="58" spans="2:31" ht="14.4">
      <c r="B58" s="381">
        <f t="shared" si="4"/>
        <v>13</v>
      </c>
      <c r="C58" s="389" t="str" cm="1">
        <f t="array" aca="1" ref="C58" ca="1">IF(B58&lt;=$C$9,GetGetCDSName(B58),"")</f>
        <v>BARCLAYS_MMR.EUR.SU</v>
      </c>
      <c r="D58" s="349">
        <v>0</v>
      </c>
      <c r="E58" s="382">
        <v>0</v>
      </c>
      <c r="F58" s="301">
        <v>0</v>
      </c>
      <c r="G58" s="301">
        <v>0</v>
      </c>
      <c r="H58" s="301">
        <v>1</v>
      </c>
      <c r="I58" s="301">
        <v>0</v>
      </c>
      <c r="J58" s="301">
        <v>0</v>
      </c>
      <c r="K58" s="301"/>
      <c r="L58" s="301"/>
      <c r="M58" s="301"/>
      <c r="N58" s="383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</row>
    <row r="59" spans="2:31" ht="14.4">
      <c r="B59" s="381">
        <f t="shared" si="4"/>
        <v>14</v>
      </c>
      <c r="C59" s="389" t="str" cm="1">
        <f t="array" aca="1" ref="C59" ca="1">IF(B59&lt;=$C$9,GetGetCDSName(B59),"")</f>
        <v>BASF_MMR.EUR.SU</v>
      </c>
      <c r="D59" s="349">
        <v>0</v>
      </c>
      <c r="E59" s="382">
        <v>0</v>
      </c>
      <c r="F59" s="301">
        <v>0</v>
      </c>
      <c r="G59" s="301">
        <v>0</v>
      </c>
      <c r="H59" s="301">
        <v>1</v>
      </c>
      <c r="I59" s="301">
        <v>1</v>
      </c>
      <c r="J59" s="301">
        <v>0</v>
      </c>
      <c r="K59" s="301"/>
      <c r="L59" s="301"/>
      <c r="M59" s="301"/>
      <c r="N59" s="383"/>
      <c r="O59" s="276"/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C59" s="276"/>
      <c r="AD59" s="276"/>
      <c r="AE59" s="276"/>
    </row>
    <row r="60" spans="2:31" ht="14.4">
      <c r="B60" s="381">
        <f t="shared" si="4"/>
        <v>15</v>
      </c>
      <c r="C60" s="389" t="str" cm="1">
        <f t="array" aca="1" ref="C60" ca="1">IF(B60&lt;=$C$9,GetGetCDSName(B60),"")</f>
        <v>BAT_MMR.EUR.SU</v>
      </c>
      <c r="D60" s="349">
        <v>0</v>
      </c>
      <c r="E60" s="382">
        <v>1</v>
      </c>
      <c r="F60" s="301">
        <v>0</v>
      </c>
      <c r="G60" s="301">
        <v>0</v>
      </c>
      <c r="H60" s="301">
        <v>1</v>
      </c>
      <c r="I60" s="301">
        <v>1</v>
      </c>
      <c r="J60" s="301">
        <v>0</v>
      </c>
      <c r="K60" s="301"/>
      <c r="L60" s="301"/>
      <c r="M60" s="301"/>
      <c r="N60" s="383"/>
      <c r="O60" s="276"/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C60" s="276"/>
      <c r="AD60" s="276"/>
      <c r="AE60" s="276"/>
    </row>
    <row r="61" spans="2:31" ht="14.4">
      <c r="B61" s="381">
        <f t="shared" si="4"/>
        <v>16</v>
      </c>
      <c r="C61" s="389" t="str" cm="1">
        <f t="array" aca="1" ref="C61" ca="1">IF(B61&lt;=$C$9,GetGetCDSName(B61),"")</f>
        <v>BAYER_MMR.EUR.SU</v>
      </c>
      <c r="D61" s="349">
        <v>0</v>
      </c>
      <c r="E61" s="382">
        <v>0</v>
      </c>
      <c r="F61" s="301">
        <v>0</v>
      </c>
      <c r="G61" s="301">
        <v>0</v>
      </c>
      <c r="H61" s="301">
        <v>0</v>
      </c>
      <c r="I61" s="301">
        <v>1</v>
      </c>
      <c r="J61" s="301">
        <v>0</v>
      </c>
      <c r="K61" s="301"/>
      <c r="L61" s="301"/>
      <c r="M61" s="301"/>
      <c r="N61" s="383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</row>
    <row r="62" spans="2:31" ht="14.4">
      <c r="B62" s="381">
        <f t="shared" si="4"/>
        <v>17</v>
      </c>
      <c r="C62" s="389" t="str" cm="1">
        <f t="array" aca="1" ref="C62" ca="1">IF(B62&lt;=$C$9,GetGetCDSName(B62),"")</f>
        <v>BBVA_MMR.EUR.SU</v>
      </c>
      <c r="D62" s="349">
        <v>0</v>
      </c>
      <c r="E62" s="382">
        <v>1</v>
      </c>
      <c r="F62" s="301">
        <v>0</v>
      </c>
      <c r="G62" s="301">
        <v>0</v>
      </c>
      <c r="H62" s="301">
        <v>0</v>
      </c>
      <c r="I62" s="301">
        <v>0</v>
      </c>
      <c r="J62" s="301">
        <v>0</v>
      </c>
      <c r="K62" s="301"/>
      <c r="L62" s="301"/>
      <c r="M62" s="301"/>
      <c r="N62" s="383"/>
      <c r="O62" s="276"/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C62" s="276"/>
      <c r="AD62" s="276"/>
      <c r="AE62" s="276"/>
    </row>
    <row r="63" spans="2:31" ht="14.4">
      <c r="B63" s="381">
        <f t="shared" si="4"/>
        <v>18</v>
      </c>
      <c r="C63" s="389" t="str" cm="1">
        <f t="array" aca="1" ref="C63" ca="1">IF(B63&lt;=$C$9,GetGetCDSName(B63),"")</f>
        <v>BERTELSMANNAG_MMR.EUR.SU</v>
      </c>
      <c r="D63" s="349">
        <v>0</v>
      </c>
      <c r="E63" s="382">
        <v>0</v>
      </c>
      <c r="F63" s="301">
        <v>1</v>
      </c>
      <c r="G63" s="301">
        <v>0</v>
      </c>
      <c r="H63" s="301">
        <v>0</v>
      </c>
      <c r="I63" s="301">
        <v>0</v>
      </c>
      <c r="J63" s="301">
        <v>0</v>
      </c>
      <c r="K63" s="301"/>
      <c r="L63" s="301"/>
      <c r="M63" s="301"/>
      <c r="N63" s="383"/>
      <c r="O63" s="276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C63" s="276"/>
      <c r="AD63" s="276"/>
      <c r="AE63" s="276"/>
    </row>
    <row r="64" spans="2:31" ht="14.4">
      <c r="B64" s="381">
        <f t="shared" si="4"/>
        <v>19</v>
      </c>
      <c r="C64" s="389" t="str" cm="1">
        <f t="array" aca="1" ref="C64" ca="1">IF(B64&lt;=$C$9,GetGetCDSName(B64),"")</f>
        <v>BMW_MMR.EUR.SU</v>
      </c>
      <c r="D64" s="349">
        <v>0</v>
      </c>
      <c r="E64" s="382">
        <v>0</v>
      </c>
      <c r="F64" s="301">
        <v>0</v>
      </c>
      <c r="G64" s="301">
        <v>1</v>
      </c>
      <c r="H64" s="301">
        <v>0</v>
      </c>
      <c r="I64" s="301">
        <v>0</v>
      </c>
      <c r="J64" s="301">
        <v>0</v>
      </c>
      <c r="K64" s="301"/>
      <c r="L64" s="301"/>
      <c r="M64" s="301"/>
      <c r="N64" s="383"/>
      <c r="O64" s="276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C64" s="276"/>
      <c r="AD64" s="276"/>
      <c r="AE64" s="276"/>
    </row>
    <row r="65" spans="2:31" ht="14.4">
      <c r="B65" s="381">
        <f t="shared" si="4"/>
        <v>20</v>
      </c>
      <c r="C65" s="389" t="str" cm="1">
        <f t="array" aca="1" ref="C65" ca="1">IF(B65&lt;=$C$9,GetGetCDSName(B65),"")</f>
        <v>BNPPARIBAS_MMR.EUR.SU</v>
      </c>
      <c r="D65" s="349">
        <v>0</v>
      </c>
      <c r="E65" s="382">
        <v>1</v>
      </c>
      <c r="F65" s="301">
        <v>0</v>
      </c>
      <c r="G65" s="301">
        <v>1</v>
      </c>
      <c r="H65" s="301">
        <v>1</v>
      </c>
      <c r="I65" s="301">
        <v>0</v>
      </c>
      <c r="J65" s="301">
        <v>0</v>
      </c>
      <c r="K65" s="301"/>
      <c r="L65" s="301"/>
      <c r="M65" s="301"/>
      <c r="N65" s="383"/>
      <c r="O65" s="276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C65" s="276"/>
      <c r="AD65" s="276"/>
      <c r="AE65" s="276"/>
    </row>
    <row r="66" spans="2:31" ht="14.4">
      <c r="B66" s="381">
        <f t="shared" si="4"/>
        <v>21</v>
      </c>
      <c r="C66" s="389" t="str" cm="1">
        <f t="array" aca="1" ref="C66" ca="1">IF(B66&lt;=$C$9,GetGetCDSName(B66),"")</f>
        <v>BRITISHTELECOM_MMR.EUR.SU</v>
      </c>
      <c r="D66" s="349">
        <v>0</v>
      </c>
      <c r="E66" s="382">
        <v>0</v>
      </c>
      <c r="F66" s="301">
        <v>1</v>
      </c>
      <c r="G66" s="301">
        <v>1</v>
      </c>
      <c r="H66" s="301">
        <v>0</v>
      </c>
      <c r="I66" s="301">
        <v>0</v>
      </c>
      <c r="J66" s="301">
        <v>1</v>
      </c>
      <c r="K66" s="301"/>
      <c r="L66" s="301"/>
      <c r="M66" s="301"/>
      <c r="N66" s="383"/>
      <c r="O66" s="276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C66" s="276"/>
      <c r="AD66" s="276"/>
      <c r="AE66" s="276"/>
    </row>
    <row r="67" spans="2:31" ht="14.4">
      <c r="B67" s="381">
        <f t="shared" si="4"/>
        <v>22</v>
      </c>
      <c r="C67" s="389" t="str" cm="1">
        <f t="array" aca="1" ref="C67" ca="1">IF(B67&lt;=$C$9,GetGetCDSName(B67),"")</f>
        <v>BSCH_MMR.EUR.SU</v>
      </c>
      <c r="D67" s="349">
        <v>0</v>
      </c>
      <c r="E67" s="382">
        <v>0</v>
      </c>
      <c r="F67" s="301">
        <v>0</v>
      </c>
      <c r="G67" s="301">
        <v>1</v>
      </c>
      <c r="H67" s="301">
        <v>0</v>
      </c>
      <c r="I67" s="301">
        <v>0</v>
      </c>
      <c r="J67" s="301">
        <v>1</v>
      </c>
      <c r="K67" s="301"/>
      <c r="L67" s="301"/>
      <c r="M67" s="301"/>
      <c r="N67" s="383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</row>
    <row r="68" spans="2:31" ht="14.4">
      <c r="B68" s="381">
        <f t="shared" si="4"/>
        <v>23</v>
      </c>
      <c r="C68" s="389" t="str" cm="1">
        <f t="array" aca="1" ref="C68" ca="1">IF(B68&lt;=$C$9,GetGetCDSName(B68),"")</f>
        <v>CADBURYSCHWEPPES_MMR.EUR.SU</v>
      </c>
      <c r="D68" s="349">
        <v>0</v>
      </c>
      <c r="E68" s="382">
        <v>0</v>
      </c>
      <c r="F68" s="301">
        <v>0</v>
      </c>
      <c r="G68" s="301">
        <v>0</v>
      </c>
      <c r="H68" s="301">
        <v>0</v>
      </c>
      <c r="I68" s="301">
        <v>0</v>
      </c>
      <c r="J68" s="301">
        <v>1</v>
      </c>
      <c r="K68" s="301"/>
      <c r="L68" s="301"/>
      <c r="M68" s="301"/>
      <c r="N68" s="383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6"/>
      <c r="AD68" s="276"/>
      <c r="AE68" s="276"/>
    </row>
    <row r="69" spans="2:31" ht="14.4">
      <c r="B69" s="381">
        <f t="shared" si="4"/>
        <v>24</v>
      </c>
      <c r="C69" s="389" t="str" cm="1">
        <f t="array" aca="1" ref="C69" ca="1">IF(B69&lt;=$C$9,GetGetCDSName(B69),"")</f>
        <v>CAPITALIA_MMR.EUR.SU</v>
      </c>
      <c r="D69" s="349">
        <v>0</v>
      </c>
      <c r="E69" s="382">
        <v>0</v>
      </c>
      <c r="F69" s="301">
        <v>1</v>
      </c>
      <c r="G69" s="301">
        <v>1</v>
      </c>
      <c r="H69" s="301">
        <v>0</v>
      </c>
      <c r="I69" s="301">
        <v>0</v>
      </c>
      <c r="J69" s="301">
        <v>0</v>
      </c>
      <c r="K69" s="301"/>
      <c r="L69" s="301"/>
      <c r="M69" s="301"/>
      <c r="N69" s="383"/>
      <c r="O69" s="276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C69" s="276"/>
      <c r="AD69" s="276"/>
      <c r="AE69" s="276"/>
    </row>
    <row r="70" spans="2:31" ht="14.4">
      <c r="B70" s="381">
        <f t="shared" si="4"/>
        <v>25</v>
      </c>
      <c r="C70" s="389" t="str" cm="1">
        <f t="array" aca="1" ref="C70" ca="1">IF(B70&lt;=$C$9,GetGetCDSName(B70),"")</f>
        <v>CARREFOUR_MMR.EUR.SU</v>
      </c>
      <c r="D70" s="349">
        <v>0</v>
      </c>
      <c r="E70" s="382">
        <v>0</v>
      </c>
      <c r="F70" s="301">
        <v>0</v>
      </c>
      <c r="G70" s="301">
        <v>0</v>
      </c>
      <c r="H70" s="301">
        <v>0</v>
      </c>
      <c r="I70" s="301">
        <v>1</v>
      </c>
      <c r="J70" s="301">
        <v>0</v>
      </c>
      <c r="K70" s="301"/>
      <c r="L70" s="301"/>
      <c r="M70" s="301"/>
      <c r="N70" s="383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</row>
    <row r="71" spans="2:31" ht="14.4">
      <c r="B71" s="381">
        <f t="shared" si="4"/>
        <v>26</v>
      </c>
      <c r="C71" s="389" t="str" cm="1">
        <f t="array" aca="1" ref="C71" ca="1">IF(B71&lt;=$C$9,GetGetCDSName(B71),"")</f>
        <v>CASINOGUICHARD_MMR.EUR.SU</v>
      </c>
      <c r="D71" s="349">
        <v>0</v>
      </c>
      <c r="E71" s="382">
        <v>1</v>
      </c>
      <c r="F71" s="301">
        <v>0</v>
      </c>
      <c r="G71" s="301">
        <v>0</v>
      </c>
      <c r="H71" s="301">
        <v>0</v>
      </c>
      <c r="I71" s="301">
        <v>1</v>
      </c>
      <c r="J71" s="301">
        <v>1</v>
      </c>
      <c r="K71" s="301"/>
      <c r="L71" s="301"/>
      <c r="M71" s="301"/>
      <c r="N71" s="383"/>
      <c r="O71" s="276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C71" s="276"/>
      <c r="AD71" s="276"/>
      <c r="AE71" s="276"/>
    </row>
    <row r="72" spans="2:31" ht="14.4">
      <c r="B72" s="381">
        <f t="shared" si="4"/>
        <v>27</v>
      </c>
      <c r="C72" s="389" t="str" cm="1">
        <f t="array" aca="1" ref="C72" ca="1">IF(B72&lt;=$C$9,GetGetCDSName(B72),"")</f>
        <v>CENTRICA_MMR.EUR.SU</v>
      </c>
      <c r="D72" s="349">
        <v>0</v>
      </c>
      <c r="E72" s="382">
        <v>0</v>
      </c>
      <c r="F72" s="301">
        <v>1</v>
      </c>
      <c r="G72" s="301">
        <v>0</v>
      </c>
      <c r="H72" s="301">
        <v>1</v>
      </c>
      <c r="I72" s="301">
        <v>0</v>
      </c>
      <c r="J72" s="301">
        <v>0</v>
      </c>
      <c r="K72" s="301"/>
      <c r="L72" s="301"/>
      <c r="M72" s="301"/>
      <c r="N72" s="383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C72" s="276"/>
      <c r="AD72" s="276"/>
      <c r="AE72" s="276"/>
    </row>
    <row r="73" spans="2:31" ht="14.4">
      <c r="B73" s="381">
        <f t="shared" si="4"/>
        <v>28</v>
      </c>
      <c r="C73" s="389" t="str" cm="1">
        <f t="array" aca="1" ref="C73" ca="1">IF(B73&lt;=$C$9,GetGetCDSName(B73),"")</f>
        <v>CIBASC_MMR.EUR.SU</v>
      </c>
      <c r="D73" s="349">
        <v>0</v>
      </c>
      <c r="E73" s="382">
        <v>1</v>
      </c>
      <c r="F73" s="301">
        <v>0</v>
      </c>
      <c r="G73" s="301">
        <v>0</v>
      </c>
      <c r="H73" s="301">
        <v>0</v>
      </c>
      <c r="I73" s="301">
        <v>0</v>
      </c>
      <c r="J73" s="301">
        <v>1</v>
      </c>
      <c r="K73" s="301"/>
      <c r="L73" s="301"/>
      <c r="M73" s="301"/>
      <c r="N73" s="383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</row>
    <row r="74" spans="2:31" ht="14.4">
      <c r="B74" s="381">
        <f t="shared" si="4"/>
        <v>29</v>
      </c>
      <c r="C74" s="389" t="str" cm="1">
        <f t="array" aca="1" ref="C74" ca="1">IF(B74&lt;=$C$9,GetGetCDSName(B74),"")</f>
        <v>COMMERZBANK_MMR.EUR.SU</v>
      </c>
      <c r="D74" s="349">
        <v>0</v>
      </c>
      <c r="E74" s="382">
        <v>1</v>
      </c>
      <c r="F74" s="301">
        <v>0</v>
      </c>
      <c r="G74" s="301">
        <v>0</v>
      </c>
      <c r="H74" s="301">
        <v>0</v>
      </c>
      <c r="I74" s="301">
        <v>0</v>
      </c>
      <c r="J74" s="301">
        <v>0</v>
      </c>
      <c r="K74" s="301"/>
      <c r="L74" s="301"/>
      <c r="M74" s="301"/>
      <c r="N74" s="383"/>
      <c r="O74" s="276"/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C74" s="276"/>
      <c r="AD74" s="276"/>
      <c r="AE74" s="276"/>
    </row>
    <row r="75" spans="2:31" ht="14.4">
      <c r="B75" s="381">
        <f t="shared" si="4"/>
        <v>30</v>
      </c>
      <c r="C75" s="389" t="str" cm="1">
        <f t="array" aca="1" ref="C75" ca="1">IF(B75&lt;=$C$9,GetGetCDSName(B75),"")</f>
        <v>COMPASS_MMR.EUR.SU</v>
      </c>
      <c r="D75" s="349">
        <v>0</v>
      </c>
      <c r="E75" s="382">
        <v>0</v>
      </c>
      <c r="F75" s="301">
        <v>1</v>
      </c>
      <c r="G75" s="301">
        <v>0</v>
      </c>
      <c r="H75" s="301">
        <v>0</v>
      </c>
      <c r="I75" s="301">
        <v>1</v>
      </c>
      <c r="J75" s="301">
        <v>1</v>
      </c>
      <c r="K75" s="301"/>
      <c r="L75" s="301"/>
      <c r="M75" s="301"/>
      <c r="N75" s="383"/>
      <c r="O75" s="276"/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C75" s="276"/>
      <c r="AD75" s="276"/>
      <c r="AE75" s="276"/>
    </row>
    <row r="76" spans="2:31" ht="14.4">
      <c r="B76" s="381">
        <f t="shared" si="4"/>
        <v>31</v>
      </c>
      <c r="C76" s="389" t="str" cm="1">
        <f t="array" aca="1" ref="C76" ca="1">IF(B76&lt;=$C$9,GetGetCDSName(B76),"")</f>
        <v>CONTINENTAL_MMR.EUR.SU</v>
      </c>
      <c r="D76" s="349">
        <v>0</v>
      </c>
      <c r="E76" s="382">
        <v>0</v>
      </c>
      <c r="F76" s="301">
        <v>0</v>
      </c>
      <c r="G76" s="301">
        <v>1</v>
      </c>
      <c r="H76" s="301">
        <v>1</v>
      </c>
      <c r="I76" s="301">
        <v>0</v>
      </c>
      <c r="J76" s="301">
        <v>1</v>
      </c>
      <c r="K76" s="301"/>
      <c r="L76" s="301"/>
      <c r="M76" s="301"/>
      <c r="N76" s="383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</row>
    <row r="77" spans="2:31" ht="14.4">
      <c r="B77" s="381">
        <f t="shared" si="4"/>
        <v>32</v>
      </c>
      <c r="C77" s="389" t="str" cm="1">
        <f t="array" aca="1" ref="C77" ca="1">IF(B77&lt;=$C$9,GetGetCDSName(B77),"")</f>
        <v>CREDITAGRICOLE_MMR.EUR.SU</v>
      </c>
      <c r="D77" s="349">
        <v>0</v>
      </c>
      <c r="E77" s="382">
        <v>0</v>
      </c>
      <c r="F77" s="301">
        <v>0</v>
      </c>
      <c r="G77" s="301">
        <v>1</v>
      </c>
      <c r="H77" s="301">
        <v>0</v>
      </c>
      <c r="I77" s="301">
        <v>0</v>
      </c>
      <c r="J77" s="301">
        <v>1</v>
      </c>
      <c r="K77" s="301"/>
      <c r="L77" s="301"/>
      <c r="M77" s="301"/>
      <c r="N77" s="383"/>
      <c r="O77" s="276"/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C77" s="276"/>
      <c r="AD77" s="276"/>
      <c r="AE77" s="276"/>
    </row>
    <row r="78" spans="2:31" ht="14.4">
      <c r="B78" s="381">
        <f t="shared" si="4"/>
        <v>33</v>
      </c>
      <c r="C78" s="389" t="str" cm="1">
        <f t="array" aca="1" ref="C78" ca="1">IF(B78&lt;=$C$9,GetGetCDSName(B78),"")</f>
        <v>CREDITSUISSEGROUP_MMR.EUR.SU</v>
      </c>
      <c r="D78" s="349">
        <v>0</v>
      </c>
      <c r="E78" s="382">
        <v>1</v>
      </c>
      <c r="F78" s="301">
        <v>0</v>
      </c>
      <c r="G78" s="301">
        <v>0</v>
      </c>
      <c r="H78" s="301">
        <v>1</v>
      </c>
      <c r="I78" s="301">
        <v>0</v>
      </c>
      <c r="J78" s="301">
        <v>0</v>
      </c>
      <c r="K78" s="301"/>
      <c r="L78" s="301"/>
      <c r="M78" s="301"/>
      <c r="N78" s="383"/>
      <c r="O78" s="276"/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C78" s="276"/>
      <c r="AD78" s="276"/>
      <c r="AE78" s="276"/>
    </row>
    <row r="79" spans="2:31" ht="14.4">
      <c r="B79" s="381">
        <f t="shared" si="4"/>
        <v>34</v>
      </c>
      <c r="C79" s="389" t="str" cm="1">
        <f t="array" aca="1" ref="C79" ca="1">IF(B79&lt;=$C$9,GetGetCDSName(B79),"")</f>
        <v>DAIMLERCHRYSLER_MMR.EUR.SU</v>
      </c>
      <c r="D79" s="349">
        <v>0</v>
      </c>
      <c r="E79" s="382">
        <v>1</v>
      </c>
      <c r="F79" s="301">
        <v>0</v>
      </c>
      <c r="G79" s="301">
        <v>1</v>
      </c>
      <c r="H79" s="301">
        <v>0</v>
      </c>
      <c r="I79" s="301">
        <v>0</v>
      </c>
      <c r="J79" s="301">
        <v>1</v>
      </c>
      <c r="K79" s="301"/>
      <c r="L79" s="301"/>
      <c r="M79" s="301"/>
      <c r="N79" s="383"/>
      <c r="O79" s="276"/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C79" s="276"/>
      <c r="AD79" s="276"/>
      <c r="AE79" s="276"/>
    </row>
    <row r="80" spans="2:31" ht="14.4">
      <c r="B80" s="381">
        <f t="shared" si="4"/>
        <v>35</v>
      </c>
      <c r="C80" s="389" t="str" cm="1">
        <f t="array" aca="1" ref="C80" ca="1">IF(B80&lt;=$C$9,GetGetCDSName(B80),"")</f>
        <v>DANONE_MMR.EUR.SU</v>
      </c>
      <c r="D80" s="349">
        <v>0</v>
      </c>
      <c r="E80" s="382">
        <v>0</v>
      </c>
      <c r="F80" s="301">
        <v>1</v>
      </c>
      <c r="G80" s="301">
        <v>1</v>
      </c>
      <c r="H80" s="301">
        <v>1</v>
      </c>
      <c r="I80" s="301">
        <v>0</v>
      </c>
      <c r="J80" s="301">
        <v>0</v>
      </c>
      <c r="K80" s="301"/>
      <c r="L80" s="301"/>
      <c r="M80" s="301"/>
      <c r="N80" s="383"/>
      <c r="O80" s="276"/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C80" s="276"/>
      <c r="AD80" s="276"/>
      <c r="AE80" s="276"/>
    </row>
    <row r="81" spans="2:31" ht="14.4">
      <c r="B81" s="381">
        <f t="shared" si="4"/>
        <v>36</v>
      </c>
      <c r="C81" s="389" t="str" cm="1">
        <f t="array" aca="1" ref="C81" ca="1">IF(B81&lt;=$C$9,GetGetCDSName(B81),"")</f>
        <v>DEUTSCHEBANK_MMR.EUR.SU</v>
      </c>
      <c r="D81" s="349">
        <v>0</v>
      </c>
      <c r="E81" s="382">
        <v>0</v>
      </c>
      <c r="F81" s="301">
        <v>1</v>
      </c>
      <c r="G81" s="301">
        <v>0</v>
      </c>
      <c r="H81" s="301">
        <v>0</v>
      </c>
      <c r="I81" s="301">
        <v>1</v>
      </c>
      <c r="J81" s="301">
        <v>0</v>
      </c>
      <c r="K81" s="301"/>
      <c r="L81" s="301"/>
      <c r="M81" s="301"/>
      <c r="N81" s="383"/>
      <c r="O81" s="276"/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C81" s="276"/>
      <c r="AD81" s="276"/>
      <c r="AE81" s="276"/>
    </row>
    <row r="82" spans="2:31" ht="14.4">
      <c r="B82" s="381">
        <f t="shared" si="4"/>
        <v>37</v>
      </c>
      <c r="C82" s="389" t="str" cm="1">
        <f t="array" aca="1" ref="C82" ca="1">IF(B82&lt;=$C$9,GetGetCDSName(B82),"")</f>
        <v>DEUTSCHEPOSTAG_MMR.EUR.SU</v>
      </c>
      <c r="D82" s="349">
        <v>0</v>
      </c>
      <c r="E82" s="382">
        <v>0</v>
      </c>
      <c r="F82" s="301">
        <v>0</v>
      </c>
      <c r="G82" s="301">
        <v>1</v>
      </c>
      <c r="H82" s="301">
        <v>0</v>
      </c>
      <c r="I82" s="301">
        <v>1</v>
      </c>
      <c r="J82" s="301">
        <v>0</v>
      </c>
      <c r="K82" s="301"/>
      <c r="L82" s="301"/>
      <c r="M82" s="301"/>
      <c r="N82" s="383"/>
      <c r="O82" s="276"/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</row>
    <row r="83" spans="2:31" ht="14.4">
      <c r="B83" s="381">
        <f t="shared" si="4"/>
        <v>38</v>
      </c>
      <c r="C83" s="389" t="str" cm="1">
        <f t="array" aca="1" ref="C83" ca="1">IF(B83&lt;=$C$9,GetGetCDSName(B83),"")</f>
        <v>DEUTSCHETELEKOM_MMR.EUR.SU</v>
      </c>
      <c r="D83" s="349">
        <v>0</v>
      </c>
      <c r="E83" s="382">
        <v>0</v>
      </c>
      <c r="F83" s="301">
        <v>1</v>
      </c>
      <c r="G83" s="301">
        <v>0</v>
      </c>
      <c r="H83" s="301">
        <v>0</v>
      </c>
      <c r="I83" s="301">
        <v>0</v>
      </c>
      <c r="J83" s="301">
        <v>1</v>
      </c>
      <c r="K83" s="301"/>
      <c r="L83" s="301"/>
      <c r="M83" s="301"/>
      <c r="N83" s="383"/>
      <c r="O83" s="276"/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C83" s="276"/>
      <c r="AD83" s="276"/>
      <c r="AE83" s="276"/>
    </row>
    <row r="84" spans="2:31" ht="14.4">
      <c r="B84" s="381">
        <f t="shared" si="4"/>
        <v>39</v>
      </c>
      <c r="C84" s="389" t="str" cm="1">
        <f t="array" aca="1" ref="C84" ca="1">IF(B84&lt;=$C$9,GetGetCDSName(B84),"")</f>
        <v>DIAGEO_MMR.EUR.SU</v>
      </c>
      <c r="D84" s="349">
        <v>0</v>
      </c>
      <c r="E84" s="382">
        <v>1</v>
      </c>
      <c r="F84" s="301">
        <v>0</v>
      </c>
      <c r="G84" s="301">
        <v>0</v>
      </c>
      <c r="H84" s="301">
        <v>0</v>
      </c>
      <c r="I84" s="301">
        <v>1</v>
      </c>
      <c r="J84" s="301">
        <v>0</v>
      </c>
      <c r="K84" s="301"/>
      <c r="L84" s="301"/>
      <c r="M84" s="301"/>
      <c r="N84" s="383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6"/>
    </row>
    <row r="85" spans="2:31" ht="14.4">
      <c r="B85" s="381">
        <f t="shared" si="4"/>
        <v>40</v>
      </c>
      <c r="C85" s="389" t="str" cm="1">
        <f t="array" aca="1" ref="C85" ca="1">IF(B85&lt;=$C$9,GetGetCDSName(B85),"")</f>
        <v>DIXONSGROUPPLC_MMR.EUR.SU</v>
      </c>
      <c r="D85" s="349">
        <v>0</v>
      </c>
      <c r="E85" s="382">
        <v>0</v>
      </c>
      <c r="F85" s="301">
        <v>0</v>
      </c>
      <c r="G85" s="301">
        <v>0</v>
      </c>
      <c r="H85" s="301">
        <v>1</v>
      </c>
      <c r="I85" s="301">
        <v>1</v>
      </c>
      <c r="J85" s="301">
        <v>1</v>
      </c>
      <c r="K85" s="301"/>
      <c r="L85" s="301"/>
      <c r="M85" s="301"/>
      <c r="N85" s="383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</row>
    <row r="86" spans="2:31" ht="14.4">
      <c r="B86" s="381">
        <f t="shared" si="4"/>
        <v>41</v>
      </c>
      <c r="C86" s="389" t="str" cm="1">
        <f t="array" aca="1" ref="C86" ca="1">IF(B86&lt;=$C$9,GetGetCDSName(B86),"")</f>
        <v>DSM_MMR.EUR.SU</v>
      </c>
      <c r="D86" s="349">
        <v>0</v>
      </c>
      <c r="E86" s="382">
        <v>0</v>
      </c>
      <c r="F86" s="301">
        <v>0</v>
      </c>
      <c r="G86" s="301">
        <v>0</v>
      </c>
      <c r="H86" s="301">
        <v>1</v>
      </c>
      <c r="I86" s="301">
        <v>0</v>
      </c>
      <c r="J86" s="301">
        <v>1</v>
      </c>
      <c r="K86" s="301"/>
      <c r="L86" s="301"/>
      <c r="M86" s="301"/>
      <c r="N86" s="383"/>
      <c r="O86" s="276"/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C86" s="276"/>
      <c r="AD86" s="276"/>
      <c r="AE86" s="276"/>
    </row>
    <row r="87" spans="2:31" ht="14.4">
      <c r="B87" s="381">
        <f t="shared" si="4"/>
        <v>42</v>
      </c>
      <c r="C87" s="389" t="str" cm="1">
        <f t="array" aca="1" ref="C87" ca="1">IF(B87&lt;=$C$9,GetGetCDSName(B87),"")</f>
        <v>EADS_MMR.EUR.SU</v>
      </c>
      <c r="D87" s="349">
        <v>0</v>
      </c>
      <c r="E87" s="382">
        <v>1</v>
      </c>
      <c r="F87" s="301">
        <v>0</v>
      </c>
      <c r="G87" s="301">
        <v>1</v>
      </c>
      <c r="H87" s="301">
        <v>0</v>
      </c>
      <c r="I87" s="301">
        <v>0</v>
      </c>
      <c r="J87" s="301">
        <v>0</v>
      </c>
      <c r="K87" s="301"/>
      <c r="L87" s="301"/>
      <c r="M87" s="301"/>
      <c r="N87" s="383"/>
      <c r="O87" s="276"/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C87" s="276"/>
      <c r="AD87" s="276"/>
      <c r="AE87" s="276"/>
    </row>
    <row r="88" spans="2:31" ht="14.4">
      <c r="B88" s="381">
        <f t="shared" si="4"/>
        <v>43</v>
      </c>
      <c r="C88" s="389" t="str" cm="1">
        <f t="array" aca="1" ref="C88" ca="1">IF(B88&lt;=$C$9,GetGetCDSName(B88),"")</f>
        <v>EDF_MMR.EUR.SU</v>
      </c>
      <c r="D88" s="349">
        <v>0</v>
      </c>
      <c r="E88" s="382">
        <v>0</v>
      </c>
      <c r="F88" s="301">
        <v>1</v>
      </c>
      <c r="G88" s="301">
        <v>0</v>
      </c>
      <c r="H88" s="301">
        <v>0</v>
      </c>
      <c r="I88" s="301">
        <v>0</v>
      </c>
      <c r="J88" s="301">
        <v>0</v>
      </c>
      <c r="K88" s="301"/>
      <c r="L88" s="301"/>
      <c r="M88" s="301"/>
      <c r="N88" s="383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</row>
    <row r="89" spans="2:31" ht="14.4">
      <c r="B89" s="381">
        <f t="shared" si="4"/>
        <v>44</v>
      </c>
      <c r="C89" s="389" t="str" cm="1">
        <f t="array" aca="1" ref="C89" ca="1">IF(B89&lt;=$C$9,GetGetCDSName(B89),"")</f>
        <v>EDISON_MMR.EUR.SU</v>
      </c>
      <c r="D89" s="349">
        <v>0</v>
      </c>
      <c r="E89" s="382">
        <v>1</v>
      </c>
      <c r="F89" s="301">
        <v>0</v>
      </c>
      <c r="G89" s="301">
        <v>0</v>
      </c>
      <c r="H89" s="301">
        <v>0</v>
      </c>
      <c r="I89" s="301">
        <v>0</v>
      </c>
      <c r="J89" s="301">
        <v>0</v>
      </c>
      <c r="K89" s="301"/>
      <c r="L89" s="301"/>
      <c r="M89" s="301"/>
      <c r="N89" s="383"/>
      <c r="O89" s="276"/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C89" s="276"/>
      <c r="AD89" s="276"/>
      <c r="AE89" s="276"/>
    </row>
    <row r="90" spans="2:31" ht="14.4">
      <c r="B90" s="381">
        <f t="shared" si="4"/>
        <v>45</v>
      </c>
      <c r="C90" s="389" t="str" cm="1">
        <f t="array" aca="1" ref="C90" ca="1">IF(B90&lt;=$C$9,GetGetCDSName(B90),"")</f>
        <v>ELECTRICITEDEPORTUGAL_MMR.EUR.SU</v>
      </c>
      <c r="D90" s="349">
        <v>0</v>
      </c>
      <c r="E90" s="382">
        <v>0</v>
      </c>
      <c r="F90" s="301">
        <v>0</v>
      </c>
      <c r="G90" s="301">
        <v>1</v>
      </c>
      <c r="H90" s="301">
        <v>0</v>
      </c>
      <c r="I90" s="301">
        <v>0</v>
      </c>
      <c r="J90" s="301">
        <v>0</v>
      </c>
      <c r="K90" s="301"/>
      <c r="L90" s="301"/>
      <c r="M90" s="301"/>
      <c r="N90" s="383"/>
      <c r="O90" s="276"/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C90" s="276"/>
      <c r="AD90" s="276"/>
      <c r="AE90" s="276"/>
    </row>
    <row r="91" spans="2:31" ht="14.4">
      <c r="B91" s="381">
        <f t="shared" si="4"/>
        <v>46</v>
      </c>
      <c r="C91" s="389" t="str" cm="1">
        <f t="array" aca="1" ref="C91" ca="1">IF(B91&lt;=$C$9,GetGetCDSName(B91),"")</f>
        <v>ELECTROLUX_MMR.EUR.SU</v>
      </c>
      <c r="D91" s="349">
        <v>0</v>
      </c>
      <c r="E91" s="382">
        <v>1</v>
      </c>
      <c r="F91" s="301">
        <v>1</v>
      </c>
      <c r="G91" s="301">
        <v>1</v>
      </c>
      <c r="H91" s="301">
        <v>0</v>
      </c>
      <c r="I91" s="301">
        <v>0</v>
      </c>
      <c r="J91" s="301">
        <v>0</v>
      </c>
      <c r="K91" s="301"/>
      <c r="L91" s="301"/>
      <c r="M91" s="301"/>
      <c r="N91" s="383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</row>
    <row r="92" spans="2:31" ht="14.4">
      <c r="B92" s="381">
        <f t="shared" si="4"/>
        <v>47</v>
      </c>
      <c r="C92" s="389" t="str" cm="1">
        <f t="array" aca="1" ref="C92" ca="1">IF(B92&lt;=$C$9,GetGetCDSName(B92),"")</f>
        <v>ENDESA_MMR.EUR.SU</v>
      </c>
      <c r="D92" s="349">
        <v>0</v>
      </c>
      <c r="E92" s="382">
        <v>0</v>
      </c>
      <c r="F92" s="301">
        <v>1</v>
      </c>
      <c r="G92" s="301">
        <v>0</v>
      </c>
      <c r="H92" s="301">
        <v>1</v>
      </c>
      <c r="I92" s="301">
        <v>1</v>
      </c>
      <c r="J92" s="301">
        <v>0</v>
      </c>
      <c r="K92" s="301"/>
      <c r="L92" s="301"/>
      <c r="M92" s="301"/>
      <c r="N92" s="383"/>
      <c r="O92" s="276"/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C92" s="276"/>
      <c r="AD92" s="276"/>
      <c r="AE92" s="276"/>
    </row>
    <row r="93" spans="2:31" ht="14.4">
      <c r="B93" s="381">
        <f t="shared" si="4"/>
        <v>48</v>
      </c>
      <c r="C93" s="389" t="str" cm="1">
        <f t="array" aca="1" ref="C93" ca="1">IF(B93&lt;=$C$9,GetGetCDSName(B93),"")</f>
        <v>ENEL_MMR.EUR.SU</v>
      </c>
      <c r="D93" s="349">
        <v>0</v>
      </c>
      <c r="E93" s="382">
        <v>1</v>
      </c>
      <c r="F93" s="301">
        <v>1</v>
      </c>
      <c r="G93" s="301">
        <v>1</v>
      </c>
      <c r="H93" s="301">
        <v>0</v>
      </c>
      <c r="I93" s="301">
        <v>0</v>
      </c>
      <c r="J93" s="301">
        <v>0</v>
      </c>
      <c r="K93" s="301"/>
      <c r="L93" s="301"/>
      <c r="M93" s="301"/>
      <c r="N93" s="383"/>
      <c r="O93" s="276"/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C93" s="276"/>
      <c r="AD93" s="276"/>
      <c r="AE93" s="276"/>
    </row>
    <row r="94" spans="2:31" ht="14.4">
      <c r="B94" s="381">
        <f t="shared" si="4"/>
        <v>49</v>
      </c>
      <c r="C94" s="389" t="str" cm="1">
        <f t="array" aca="1" ref="C94" ca="1">IF(B94&lt;=$C$9,GetGetCDSName(B94),"")</f>
        <v>ENERGIEBADENWUERTTEMBERG_MMR.EUR.SU</v>
      </c>
      <c r="D94" s="349">
        <v>0</v>
      </c>
      <c r="E94" s="382">
        <v>0</v>
      </c>
      <c r="F94" s="301">
        <v>1</v>
      </c>
      <c r="G94" s="301">
        <v>0</v>
      </c>
      <c r="H94" s="301">
        <v>0</v>
      </c>
      <c r="I94" s="301">
        <v>0</v>
      </c>
      <c r="J94" s="301">
        <v>1</v>
      </c>
      <c r="K94" s="301"/>
      <c r="L94" s="301"/>
      <c r="M94" s="301"/>
      <c r="N94" s="383"/>
      <c r="O94" s="276"/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C94" s="276"/>
      <c r="AD94" s="276"/>
      <c r="AE94" s="276"/>
    </row>
    <row r="95" spans="2:31" ht="14.4">
      <c r="B95" s="381">
        <f t="shared" si="4"/>
        <v>50</v>
      </c>
      <c r="C95" s="389" t="str" cm="1">
        <f t="array" aca="1" ref="C95" ca="1">IF(B95&lt;=$C$9,GetGetCDSName(B95),"")</f>
        <v>EON_MMR.EUR.SU</v>
      </c>
      <c r="D95" s="349">
        <v>0</v>
      </c>
      <c r="E95" s="382">
        <v>0</v>
      </c>
      <c r="F95" s="301">
        <v>0</v>
      </c>
      <c r="G95" s="301">
        <v>1</v>
      </c>
      <c r="H95" s="301">
        <v>0</v>
      </c>
      <c r="I95" s="301">
        <v>0</v>
      </c>
      <c r="J95" s="301">
        <v>0</v>
      </c>
      <c r="K95" s="301"/>
      <c r="L95" s="301"/>
      <c r="M95" s="301"/>
      <c r="N95" s="383"/>
      <c r="O95" s="276"/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C95" s="276"/>
      <c r="AD95" s="276"/>
      <c r="AE95" s="276"/>
    </row>
    <row r="96" spans="2:31" ht="14.4">
      <c r="B96" s="381">
        <f t="shared" si="4"/>
        <v>51</v>
      </c>
      <c r="C96" s="389" t="str" cm="1">
        <f t="array" aca="1" ref="C96" ca="1">IF(B96&lt;=$C$9,GetGetCDSName(B96),"")</f>
        <v>FORTUMOYJ_MMR.EUR.SU</v>
      </c>
      <c r="D96" s="349">
        <v>0</v>
      </c>
      <c r="E96" s="382">
        <v>0</v>
      </c>
      <c r="F96" s="301">
        <v>0</v>
      </c>
      <c r="G96" s="301">
        <v>0</v>
      </c>
      <c r="H96" s="301">
        <v>0</v>
      </c>
      <c r="I96" s="301">
        <v>1</v>
      </c>
      <c r="J96" s="301">
        <v>0</v>
      </c>
      <c r="K96" s="301"/>
      <c r="L96" s="301"/>
      <c r="M96" s="301"/>
      <c r="N96" s="383"/>
      <c r="O96" s="276"/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</row>
    <row r="97" spans="2:31" ht="14.4">
      <c r="B97" s="381">
        <f t="shared" si="4"/>
        <v>52</v>
      </c>
      <c r="C97" s="389" t="str" cm="1">
        <f t="array" aca="1" ref="C97" ca="1">IF(B97&lt;=$C$9,GetGetCDSName(B97),"")</f>
        <v>FRANCETELECOM_MMR.EUR.SU</v>
      </c>
      <c r="D97" s="349">
        <v>0</v>
      </c>
      <c r="E97" s="382">
        <v>1</v>
      </c>
      <c r="F97" s="301">
        <v>0</v>
      </c>
      <c r="G97" s="301">
        <v>0</v>
      </c>
      <c r="H97" s="301">
        <v>1</v>
      </c>
      <c r="I97" s="301">
        <v>0</v>
      </c>
      <c r="J97" s="301">
        <v>1</v>
      </c>
      <c r="K97" s="301"/>
      <c r="L97" s="301"/>
      <c r="M97" s="301"/>
      <c r="N97" s="383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</row>
    <row r="98" spans="2:31" ht="14.4">
      <c r="B98" s="381">
        <f t="shared" si="4"/>
        <v>53</v>
      </c>
      <c r="C98" s="389" t="str" cm="1">
        <f t="array" aca="1" ref="C98" ca="1">IF(B98&lt;=$C$9,GetGetCDSName(B98),"")</f>
        <v>GALLAHERGROUPPLC_MMR.EUR.SU</v>
      </c>
      <c r="D98" s="349">
        <v>0</v>
      </c>
      <c r="E98" s="382">
        <v>0</v>
      </c>
      <c r="F98" s="301">
        <v>0</v>
      </c>
      <c r="G98" s="301">
        <v>0</v>
      </c>
      <c r="H98" s="301">
        <v>1</v>
      </c>
      <c r="I98" s="301">
        <v>1</v>
      </c>
      <c r="J98" s="301">
        <v>1</v>
      </c>
      <c r="K98" s="301"/>
      <c r="L98" s="301"/>
      <c r="M98" s="301"/>
      <c r="N98" s="383"/>
      <c r="O98" s="276"/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C98" s="276"/>
      <c r="AD98" s="276"/>
      <c r="AE98" s="276"/>
    </row>
    <row r="99" spans="2:31" ht="14.4">
      <c r="B99" s="381">
        <f t="shared" si="4"/>
        <v>54</v>
      </c>
      <c r="C99" s="389" t="str" cm="1">
        <f t="array" aca="1" ref="C99" ca="1">IF(B99&lt;=$C$9,GetGetCDSName(B99),"")</f>
        <v>GASNATURALSDGSA_MMR.EUR.SU</v>
      </c>
      <c r="D99" s="349">
        <v>0</v>
      </c>
      <c r="E99" s="382">
        <v>1</v>
      </c>
      <c r="F99" s="301">
        <v>0</v>
      </c>
      <c r="G99" s="301">
        <v>0</v>
      </c>
      <c r="H99" s="301">
        <v>1</v>
      </c>
      <c r="I99" s="301">
        <v>0</v>
      </c>
      <c r="J99" s="301">
        <v>0</v>
      </c>
      <c r="K99" s="301"/>
      <c r="L99" s="301"/>
      <c r="M99" s="301"/>
      <c r="N99" s="383"/>
      <c r="O99" s="276"/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C99" s="276"/>
      <c r="AD99" s="276"/>
      <c r="AE99" s="276"/>
    </row>
    <row r="100" spans="2:31" ht="14.4">
      <c r="B100" s="381">
        <f t="shared" si="4"/>
        <v>55</v>
      </c>
      <c r="C100" s="389" t="str" cm="1">
        <f t="array" aca="1" ref="C100" ca="1">IF(B100&lt;=$C$9,GetGetCDSName(B100),"")</f>
        <v>GAZDEFRANCE_MMR.EUR.SU</v>
      </c>
      <c r="D100" s="349">
        <v>0</v>
      </c>
      <c r="E100" s="382">
        <v>0</v>
      </c>
      <c r="F100" s="301">
        <v>0</v>
      </c>
      <c r="G100" s="301">
        <v>0</v>
      </c>
      <c r="H100" s="301">
        <v>0</v>
      </c>
      <c r="I100" s="301">
        <v>1</v>
      </c>
      <c r="J100" s="301">
        <v>0</v>
      </c>
      <c r="K100" s="301"/>
      <c r="L100" s="301"/>
      <c r="M100" s="301"/>
      <c r="N100" s="383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</row>
    <row r="101" spans="2:31" ht="14.4">
      <c r="B101" s="381">
        <f t="shared" si="4"/>
        <v>56</v>
      </c>
      <c r="C101" s="389" t="str" cm="1">
        <f t="array" aca="1" ref="C101" ca="1">IF(B101&lt;=$C$9,GetGetCDSName(B101),"")</f>
        <v>GENERALI_MMR.EUR.SU</v>
      </c>
      <c r="D101" s="349">
        <v>0</v>
      </c>
      <c r="E101" s="382">
        <v>0</v>
      </c>
      <c r="F101" s="301">
        <v>0</v>
      </c>
      <c r="G101" s="301">
        <v>0</v>
      </c>
      <c r="H101" s="301">
        <v>1</v>
      </c>
      <c r="I101" s="301">
        <v>0</v>
      </c>
      <c r="J101" s="301">
        <v>0</v>
      </c>
      <c r="K101" s="301"/>
      <c r="L101" s="301"/>
      <c r="M101" s="301"/>
      <c r="N101" s="383"/>
      <c r="O101" s="276"/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C101" s="276"/>
      <c r="AD101" s="276"/>
      <c r="AE101" s="276"/>
    </row>
    <row r="102" spans="2:31" ht="14.4">
      <c r="B102" s="381">
        <f t="shared" si="4"/>
        <v>57</v>
      </c>
      <c r="C102" s="389" t="str" cm="1">
        <f t="array" aca="1" ref="C102" ca="1">IF(B102&lt;=$C$9,GetGetCDSName(B102),"")</f>
        <v>GKN HOLDINGS  PLC_MMR.EUR.SU</v>
      </c>
      <c r="D102" s="349">
        <v>0</v>
      </c>
      <c r="E102" s="382">
        <v>0</v>
      </c>
      <c r="F102" s="301">
        <v>0</v>
      </c>
      <c r="G102" s="301">
        <v>0</v>
      </c>
      <c r="H102" s="301">
        <v>0</v>
      </c>
      <c r="I102" s="301">
        <v>0</v>
      </c>
      <c r="J102" s="301">
        <v>1</v>
      </c>
      <c r="K102" s="301"/>
      <c r="L102" s="301"/>
      <c r="M102" s="301"/>
      <c r="N102" s="383"/>
      <c r="O102" s="276"/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C102" s="276"/>
      <c r="AD102" s="276"/>
      <c r="AE102" s="276"/>
    </row>
    <row r="103" spans="2:31" ht="14.4">
      <c r="B103" s="381">
        <f t="shared" si="4"/>
        <v>58</v>
      </c>
      <c r="C103" s="389" t="str" cm="1">
        <f t="array" aca="1" ref="C103" ca="1">IF(B103&lt;=$C$9,GetGetCDSName(B103),"")</f>
        <v>GLENCOREINTAG_MMR.EUR.SU</v>
      </c>
      <c r="D103" s="349">
        <v>0</v>
      </c>
      <c r="E103" s="382">
        <v>0</v>
      </c>
      <c r="F103" s="301">
        <v>0</v>
      </c>
      <c r="G103" s="301">
        <v>0</v>
      </c>
      <c r="H103" s="301">
        <v>1</v>
      </c>
      <c r="I103" s="301">
        <v>0</v>
      </c>
      <c r="J103" s="301">
        <v>0</v>
      </c>
      <c r="K103" s="301"/>
      <c r="L103" s="301"/>
      <c r="M103" s="301"/>
      <c r="N103" s="383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</row>
    <row r="104" spans="2:31" ht="14.4">
      <c r="B104" s="381">
        <f t="shared" si="4"/>
        <v>59</v>
      </c>
      <c r="C104" s="389" t="str" cm="1">
        <f t="array" aca="1" ref="C104" ca="1">IF(B104&lt;=$C$9,GetGetCDSName(B104),"")</f>
        <v>GREATUNIVERSALSTORES_MMR.EUR.SU</v>
      </c>
      <c r="D104" s="349">
        <v>0</v>
      </c>
      <c r="E104" s="382">
        <v>0</v>
      </c>
      <c r="F104" s="301">
        <v>1</v>
      </c>
      <c r="G104" s="301">
        <v>1</v>
      </c>
      <c r="H104" s="301">
        <v>0</v>
      </c>
      <c r="I104" s="301">
        <v>1</v>
      </c>
      <c r="J104" s="301">
        <v>0</v>
      </c>
      <c r="K104" s="301"/>
      <c r="L104" s="301"/>
      <c r="M104" s="301"/>
      <c r="N104" s="383"/>
      <c r="O104" s="276"/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C104" s="276"/>
      <c r="AD104" s="276"/>
      <c r="AE104" s="276"/>
    </row>
    <row r="105" spans="2:31" ht="14.4">
      <c r="B105" s="381">
        <f t="shared" si="4"/>
        <v>60</v>
      </c>
      <c r="C105" s="389" t="str" cm="1">
        <f t="array" aca="1" ref="C105" ca="1">IF(B105&lt;=$C$9,GetGetCDSName(B105),"")</f>
        <v>HANNOVERRUECK_MMR.EUR.SU</v>
      </c>
      <c r="D105" s="349">
        <v>0</v>
      </c>
      <c r="E105" s="382">
        <v>0</v>
      </c>
      <c r="F105" s="301">
        <v>1</v>
      </c>
      <c r="G105" s="301">
        <v>0</v>
      </c>
      <c r="H105" s="301">
        <v>0</v>
      </c>
      <c r="I105" s="301">
        <v>0</v>
      </c>
      <c r="J105" s="301">
        <v>1</v>
      </c>
      <c r="K105" s="301"/>
      <c r="L105" s="301"/>
      <c r="M105" s="301"/>
      <c r="N105" s="383"/>
      <c r="O105" s="276"/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C105" s="276"/>
      <c r="AD105" s="276"/>
      <c r="AE105" s="276"/>
    </row>
    <row r="106" spans="2:31" ht="14.4">
      <c r="B106" s="381">
        <f t="shared" si="4"/>
        <v>61</v>
      </c>
      <c r="C106" s="389" t="str" cm="1">
        <f t="array" aca="1" ref="C106" ca="1">IF(B106&lt;=$C$9,GetGetCDSName(B106),"")</f>
        <v>HELLENIC TELCOM_MMR.EUR.SU</v>
      </c>
      <c r="D106" s="349">
        <v>0</v>
      </c>
      <c r="E106" s="382">
        <v>0</v>
      </c>
      <c r="F106" s="301">
        <v>1</v>
      </c>
      <c r="G106" s="301">
        <v>0</v>
      </c>
      <c r="H106" s="301">
        <v>1</v>
      </c>
      <c r="I106" s="301">
        <v>0</v>
      </c>
      <c r="J106" s="301">
        <v>0</v>
      </c>
      <c r="K106" s="301"/>
      <c r="L106" s="301"/>
      <c r="M106" s="301"/>
      <c r="N106" s="383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</row>
    <row r="107" spans="2:31" ht="14.4">
      <c r="B107" s="381">
        <f t="shared" si="4"/>
        <v>62</v>
      </c>
      <c r="C107" s="389" t="str" cm="1">
        <f t="array" aca="1" ref="C107" ca="1">IF(B107&lt;=$C$9,GetGetCDSName(B107),"")</f>
        <v>HENKELKG_MMR.EUR.SU</v>
      </c>
      <c r="D107" s="349">
        <v>0</v>
      </c>
      <c r="E107" s="382">
        <v>1</v>
      </c>
      <c r="F107" s="301">
        <v>0</v>
      </c>
      <c r="G107" s="301">
        <v>0</v>
      </c>
      <c r="H107" s="301">
        <v>0</v>
      </c>
      <c r="I107" s="301">
        <v>0</v>
      </c>
      <c r="J107" s="301">
        <v>1</v>
      </c>
      <c r="K107" s="301"/>
      <c r="L107" s="301"/>
      <c r="M107" s="301"/>
      <c r="N107" s="383"/>
      <c r="O107" s="276"/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C107" s="276"/>
      <c r="AD107" s="276"/>
      <c r="AE107" s="276"/>
    </row>
    <row r="108" spans="2:31" ht="14.4">
      <c r="B108" s="381">
        <f t="shared" si="4"/>
        <v>63</v>
      </c>
      <c r="C108" s="389" t="str" cm="1">
        <f t="array" aca="1" ref="C108" ca="1">IF(B108&lt;=$C$9,GetGetCDSName(B108),"")</f>
        <v>IBERDROLA_MMR.EUR.SU</v>
      </c>
      <c r="D108" s="349">
        <v>0</v>
      </c>
      <c r="E108" s="382">
        <v>1</v>
      </c>
      <c r="F108" s="301">
        <v>1</v>
      </c>
      <c r="G108" s="301">
        <v>0</v>
      </c>
      <c r="H108" s="301">
        <v>1</v>
      </c>
      <c r="I108" s="301">
        <v>0</v>
      </c>
      <c r="J108" s="301">
        <v>0</v>
      </c>
      <c r="K108" s="301"/>
      <c r="L108" s="301"/>
      <c r="M108" s="301"/>
      <c r="N108" s="383"/>
      <c r="O108" s="276"/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C108" s="276"/>
      <c r="AD108" s="276"/>
      <c r="AE108" s="276"/>
    </row>
    <row r="109" spans="2:31" ht="14.4">
      <c r="B109" s="381">
        <f t="shared" si="4"/>
        <v>64</v>
      </c>
      <c r="C109" s="389" t="str" cm="1">
        <f t="array" aca="1" ref="C109" ca="1">IF(B109&lt;=$C$9,GetGetCDSName(B109),"")</f>
        <v>ICI_MMR.EUR.SU</v>
      </c>
      <c r="D109" s="349">
        <v>0</v>
      </c>
      <c r="E109" s="382">
        <v>1</v>
      </c>
      <c r="F109" s="301">
        <v>0</v>
      </c>
      <c r="G109" s="301">
        <v>0</v>
      </c>
      <c r="H109" s="301">
        <v>1</v>
      </c>
      <c r="I109" s="301">
        <v>0</v>
      </c>
      <c r="J109" s="301">
        <v>1</v>
      </c>
      <c r="K109" s="301"/>
      <c r="L109" s="301"/>
      <c r="M109" s="301"/>
      <c r="N109" s="383"/>
      <c r="O109" s="276"/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</row>
    <row r="110" spans="2:31" ht="14.4">
      <c r="B110" s="381">
        <f t="shared" si="4"/>
        <v>65</v>
      </c>
      <c r="C110" s="389" t="str" cm="1">
        <f t="array" aca="1" ref="C110" ca="1">IF(B110&lt;=$C$9,GetGetCDSName(B110),"")</f>
        <v>INTESA_MMR.EUR.SU</v>
      </c>
      <c r="D110" s="349">
        <v>0</v>
      </c>
      <c r="E110" s="382">
        <v>0</v>
      </c>
      <c r="F110" s="301">
        <v>1</v>
      </c>
      <c r="G110" s="301">
        <v>1</v>
      </c>
      <c r="H110" s="301">
        <v>0</v>
      </c>
      <c r="I110" s="301">
        <v>1</v>
      </c>
      <c r="J110" s="301">
        <v>0</v>
      </c>
      <c r="K110" s="301"/>
      <c r="L110" s="301"/>
      <c r="M110" s="301"/>
      <c r="N110" s="383"/>
      <c r="O110" s="276"/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C110" s="276"/>
      <c r="AD110" s="276"/>
      <c r="AE110" s="276"/>
    </row>
    <row r="111" spans="2:31" ht="14.4">
      <c r="B111" s="381">
        <f t="shared" ref="B111:B174" si="5">B110+1</f>
        <v>66</v>
      </c>
      <c r="C111" s="389" t="str" cm="1">
        <f t="array" aca="1" ref="C111" ca="1">IF(B111&lt;=$C$9,GetGetCDSName(B111),"")</f>
        <v>KINGFISHER_MMR.EUR.SU</v>
      </c>
      <c r="D111" s="349">
        <v>0</v>
      </c>
      <c r="E111" s="382">
        <v>1</v>
      </c>
      <c r="F111" s="301">
        <v>0</v>
      </c>
      <c r="G111" s="301">
        <v>1</v>
      </c>
      <c r="H111" s="301">
        <v>0</v>
      </c>
      <c r="I111" s="301">
        <v>1</v>
      </c>
      <c r="J111" s="301">
        <v>0</v>
      </c>
      <c r="K111" s="301"/>
      <c r="L111" s="301"/>
      <c r="M111" s="301"/>
      <c r="N111" s="383"/>
      <c r="O111" s="276"/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C111" s="276"/>
      <c r="AD111" s="276"/>
      <c r="AE111" s="276"/>
    </row>
    <row r="112" spans="2:31" ht="14.4">
      <c r="B112" s="381">
        <f t="shared" si="5"/>
        <v>67</v>
      </c>
      <c r="C112" s="389" t="str" cm="1">
        <f t="array" aca="1" ref="C112" ca="1">IF(B112&lt;=$C$9,GetGetCDSName(B112),"")</f>
        <v>KPN_MMR.EUR.SU</v>
      </c>
      <c r="D112" s="349">
        <v>0</v>
      </c>
      <c r="E112" s="382">
        <v>1</v>
      </c>
      <c r="F112" s="301">
        <v>0</v>
      </c>
      <c r="G112" s="301">
        <v>0</v>
      </c>
      <c r="H112" s="301">
        <v>1</v>
      </c>
      <c r="I112" s="301">
        <v>0</v>
      </c>
      <c r="J112" s="301">
        <v>1</v>
      </c>
      <c r="K112" s="301"/>
      <c r="L112" s="301"/>
      <c r="M112" s="301"/>
      <c r="N112" s="383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</row>
    <row r="113" spans="2:31" ht="14.4">
      <c r="B113" s="381">
        <f t="shared" si="5"/>
        <v>68</v>
      </c>
      <c r="C113" s="389" t="str" cm="1">
        <f t="array" aca="1" ref="C113" ca="1">IF(B113&lt;=$C$9,GetGetCDSName(B113),"")</f>
        <v>LAFARGE_MMR.EUR.SU</v>
      </c>
      <c r="D113" s="349">
        <v>0</v>
      </c>
      <c r="E113" s="382">
        <v>0</v>
      </c>
      <c r="F113" s="301">
        <v>1</v>
      </c>
      <c r="G113" s="301">
        <v>0</v>
      </c>
      <c r="H113" s="301">
        <v>1</v>
      </c>
      <c r="I113" s="301">
        <v>0</v>
      </c>
      <c r="J113" s="301">
        <v>1</v>
      </c>
      <c r="K113" s="301"/>
      <c r="L113" s="301"/>
      <c r="M113" s="301"/>
      <c r="N113" s="383"/>
      <c r="O113" s="276"/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C113" s="276"/>
      <c r="AD113" s="276"/>
      <c r="AE113" s="276"/>
    </row>
    <row r="114" spans="2:31" ht="14.4">
      <c r="B114" s="381">
        <f t="shared" si="5"/>
        <v>69</v>
      </c>
      <c r="C114" s="389" t="str" cm="1">
        <f t="array" aca="1" ref="C114" ca="1">IF(B114&lt;=$C$9,GetGetCDSName(B114),"")</f>
        <v>LINDE_MMR.EUR.SU</v>
      </c>
      <c r="D114" s="349">
        <v>0</v>
      </c>
      <c r="E114" s="382">
        <v>0</v>
      </c>
      <c r="F114" s="301">
        <v>0</v>
      </c>
      <c r="G114" s="301">
        <v>1</v>
      </c>
      <c r="H114" s="301">
        <v>0</v>
      </c>
      <c r="I114" s="301">
        <v>1</v>
      </c>
      <c r="J114" s="301">
        <v>1</v>
      </c>
      <c r="K114" s="301"/>
      <c r="L114" s="301"/>
      <c r="M114" s="301"/>
      <c r="N114" s="383"/>
      <c r="O114" s="276"/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C114" s="276"/>
      <c r="AD114" s="276"/>
      <c r="AE114" s="276"/>
    </row>
    <row r="115" spans="2:31" ht="14.4">
      <c r="B115" s="381">
        <f t="shared" si="5"/>
        <v>70</v>
      </c>
      <c r="C115" s="389" t="str" cm="1">
        <f t="array" aca="1" ref="C115" ca="1">IF(B115&lt;=$C$9,GetGetCDSName(B115),"")</f>
        <v>LUFTHANSA_MMR.EUR.SU</v>
      </c>
      <c r="D115" s="349">
        <v>0</v>
      </c>
      <c r="E115" s="382">
        <v>1</v>
      </c>
      <c r="F115" s="301">
        <v>0</v>
      </c>
      <c r="G115" s="301">
        <v>0</v>
      </c>
      <c r="H115" s="301">
        <v>0</v>
      </c>
      <c r="I115" s="301">
        <v>1</v>
      </c>
      <c r="J115" s="301">
        <v>1</v>
      </c>
      <c r="K115" s="301"/>
      <c r="L115" s="301"/>
      <c r="M115" s="301"/>
      <c r="N115" s="383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</row>
    <row r="116" spans="2:31" ht="14.4">
      <c r="B116" s="381">
        <f t="shared" si="5"/>
        <v>71</v>
      </c>
      <c r="C116" s="389" t="str" cm="1">
        <f t="array" aca="1" ref="C116" ca="1">IF(B116&lt;=$C$9,GetGetCDSName(B116),"")</f>
        <v>LVMH_MMR.EUR.SU</v>
      </c>
      <c r="D116" s="349">
        <v>0</v>
      </c>
      <c r="E116" s="382">
        <v>1</v>
      </c>
      <c r="F116" s="301">
        <v>1</v>
      </c>
      <c r="G116" s="301">
        <v>0</v>
      </c>
      <c r="H116" s="301">
        <v>0</v>
      </c>
      <c r="I116" s="301">
        <v>0</v>
      </c>
      <c r="J116" s="301">
        <v>1</v>
      </c>
      <c r="K116" s="301"/>
      <c r="L116" s="301"/>
      <c r="M116" s="301"/>
      <c r="N116" s="383"/>
      <c r="O116" s="276"/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C116" s="276"/>
      <c r="AD116" s="276"/>
      <c r="AE116" s="276"/>
    </row>
    <row r="117" spans="2:31" ht="14.4">
      <c r="B117" s="381">
        <f t="shared" si="5"/>
        <v>72</v>
      </c>
      <c r="C117" s="389" t="str" cm="1">
        <f t="array" aca="1" ref="C117" ca="1">IF(B117&lt;=$C$9,GetGetCDSName(B117),"")</f>
        <v>MARKSANDSPENCERPLC_MMR.EUR.SU</v>
      </c>
      <c r="D117" s="349">
        <v>0</v>
      </c>
      <c r="E117" s="382">
        <v>1</v>
      </c>
      <c r="F117" s="301">
        <v>1</v>
      </c>
      <c r="G117" s="301">
        <v>0</v>
      </c>
      <c r="H117" s="301">
        <v>0</v>
      </c>
      <c r="I117" s="301">
        <v>0</v>
      </c>
      <c r="J117" s="301">
        <v>0</v>
      </c>
      <c r="K117" s="301"/>
      <c r="L117" s="301"/>
      <c r="M117" s="301"/>
      <c r="N117" s="383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</row>
    <row r="118" spans="2:31" ht="14.4">
      <c r="B118" s="381">
        <f t="shared" si="5"/>
        <v>73</v>
      </c>
      <c r="C118" s="389" t="str" cm="1">
        <f t="array" aca="1" ref="C118" ca="1">IF(B118&lt;=$C$9,GetGetCDSName(B118),"")</f>
        <v>METRO_MMR.EUR.SU</v>
      </c>
      <c r="D118" s="349">
        <v>0</v>
      </c>
      <c r="E118" s="382">
        <v>0</v>
      </c>
      <c r="F118" s="301">
        <v>1</v>
      </c>
      <c r="G118" s="301">
        <v>0</v>
      </c>
      <c r="H118" s="301">
        <v>1</v>
      </c>
      <c r="I118" s="301">
        <v>0</v>
      </c>
      <c r="J118" s="301">
        <v>1</v>
      </c>
      <c r="K118" s="301"/>
      <c r="L118" s="301"/>
      <c r="M118" s="301"/>
      <c r="N118" s="383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</row>
    <row r="119" spans="2:31" ht="14.4">
      <c r="B119" s="381">
        <f t="shared" si="5"/>
        <v>74</v>
      </c>
      <c r="C119" s="389" t="str" cm="1">
        <f t="array" aca="1" ref="C119" ca="1">IF(B119&lt;=$C$9,GetGetCDSName(B119),"")</f>
        <v>MICHELIN_MMR.EUR.SU</v>
      </c>
      <c r="D119" s="349">
        <v>0</v>
      </c>
      <c r="E119" s="382">
        <v>1</v>
      </c>
      <c r="F119" s="301">
        <v>1</v>
      </c>
      <c r="G119" s="301">
        <v>0</v>
      </c>
      <c r="H119" s="301">
        <v>1</v>
      </c>
      <c r="I119" s="301">
        <v>0</v>
      </c>
      <c r="J119" s="301">
        <v>0</v>
      </c>
      <c r="K119" s="301"/>
      <c r="L119" s="301"/>
      <c r="M119" s="301"/>
      <c r="N119" s="383"/>
      <c r="O119" s="276"/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C119" s="276"/>
      <c r="AD119" s="276"/>
      <c r="AE119" s="276"/>
    </row>
    <row r="120" spans="2:31" ht="14.4">
      <c r="B120" s="381">
        <f t="shared" si="5"/>
        <v>75</v>
      </c>
      <c r="C120" s="389" t="str" cm="1">
        <f t="array" aca="1" ref="C120" ca="1">IF(B120&lt;=$C$9,GetGetCDSName(B120),"")</f>
        <v>MONTEDEIPASCHI_MMR.EUR.SU</v>
      </c>
      <c r="D120" s="349">
        <v>0</v>
      </c>
      <c r="E120" s="382">
        <v>0</v>
      </c>
      <c r="F120" s="301">
        <v>0</v>
      </c>
      <c r="G120" s="301">
        <v>0</v>
      </c>
      <c r="H120" s="301">
        <v>1</v>
      </c>
      <c r="I120" s="301">
        <v>0</v>
      </c>
      <c r="J120" s="301">
        <v>1</v>
      </c>
      <c r="K120" s="301"/>
      <c r="L120" s="301"/>
      <c r="M120" s="301"/>
      <c r="N120" s="383"/>
      <c r="O120" s="276"/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C120" s="276"/>
      <c r="AD120" s="276"/>
      <c r="AE120" s="276"/>
    </row>
    <row r="121" spans="2:31" ht="14.4">
      <c r="B121" s="381">
        <f t="shared" si="5"/>
        <v>76</v>
      </c>
      <c r="C121" s="389" t="str" cm="1">
        <f t="array" aca="1" ref="C121" ca="1">IF(B121&lt;=$C$9,GetGetCDSName(B121),"")</f>
        <v>MUNICHRE_MMR.EUR.SU</v>
      </c>
      <c r="D121" s="349">
        <v>0</v>
      </c>
      <c r="E121" s="382">
        <v>0</v>
      </c>
      <c r="F121" s="301">
        <v>0</v>
      </c>
      <c r="G121" s="301">
        <v>1</v>
      </c>
      <c r="H121" s="301">
        <v>1</v>
      </c>
      <c r="I121" s="301">
        <v>0</v>
      </c>
      <c r="J121" s="301">
        <v>1</v>
      </c>
      <c r="K121" s="301"/>
      <c r="L121" s="301"/>
      <c r="M121" s="301"/>
      <c r="N121" s="383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</row>
    <row r="122" spans="2:31" ht="14.4">
      <c r="B122" s="381">
        <f t="shared" si="5"/>
        <v>77</v>
      </c>
      <c r="C122" s="389" t="str" cm="1">
        <f t="array" aca="1" ref="C122" ca="1">IF(B122&lt;=$C$9,GetGetCDSName(B122),"")</f>
        <v>NATIONALGRIDTRANSCOPLC_MMR.EUR.SU</v>
      </c>
      <c r="D122" s="349">
        <v>0</v>
      </c>
      <c r="E122" s="382">
        <v>1</v>
      </c>
      <c r="F122" s="301">
        <v>0</v>
      </c>
      <c r="G122" s="301">
        <v>1</v>
      </c>
      <c r="H122" s="301">
        <v>0</v>
      </c>
      <c r="I122" s="301">
        <v>1</v>
      </c>
      <c r="J122" s="301">
        <v>0</v>
      </c>
      <c r="K122" s="301"/>
      <c r="L122" s="301"/>
      <c r="M122" s="301"/>
      <c r="N122" s="383"/>
      <c r="O122" s="276"/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C122" s="276"/>
      <c r="AD122" s="276"/>
      <c r="AE122" s="276"/>
    </row>
    <row r="123" spans="2:31" ht="14.4">
      <c r="B123" s="381">
        <f t="shared" si="5"/>
        <v>78</v>
      </c>
      <c r="C123" s="389" t="str" cm="1">
        <f t="array" aca="1" ref="C123" ca="1">IF(B123&lt;=$C$9,GetGetCDSName(B123),"")</f>
        <v>NEXTPLC_MMR.EUR.SU</v>
      </c>
      <c r="D123" s="349">
        <v>0</v>
      </c>
      <c r="E123" s="382">
        <v>0</v>
      </c>
      <c r="F123" s="301">
        <v>0</v>
      </c>
      <c r="G123" s="301">
        <v>0</v>
      </c>
      <c r="H123" s="301">
        <v>0</v>
      </c>
      <c r="I123" s="301">
        <v>1</v>
      </c>
      <c r="J123" s="301">
        <v>1</v>
      </c>
      <c r="K123" s="301"/>
      <c r="L123" s="301"/>
      <c r="M123" s="301"/>
      <c r="N123" s="383"/>
      <c r="O123" s="276"/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C123" s="276"/>
      <c r="AD123" s="276"/>
      <c r="AE123" s="276"/>
    </row>
    <row r="124" spans="2:31" ht="14.4">
      <c r="B124" s="381">
        <f t="shared" si="5"/>
        <v>79</v>
      </c>
      <c r="C124" s="389" t="str" cm="1">
        <f t="array" aca="1" ref="C124" ca="1">IF(B124&lt;=$C$9,GetGetCDSName(B124),"")</f>
        <v>PEARSON_MMR.EUR.SU</v>
      </c>
      <c r="D124" s="349">
        <v>0</v>
      </c>
      <c r="E124" s="382">
        <v>0</v>
      </c>
      <c r="F124" s="301">
        <v>0</v>
      </c>
      <c r="G124" s="301">
        <v>1</v>
      </c>
      <c r="H124" s="301">
        <v>0</v>
      </c>
      <c r="I124" s="301">
        <v>0</v>
      </c>
      <c r="J124" s="301">
        <v>1</v>
      </c>
      <c r="K124" s="301"/>
      <c r="L124" s="301"/>
      <c r="M124" s="301"/>
      <c r="N124" s="383"/>
      <c r="O124" s="276"/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C124" s="276"/>
      <c r="AD124" s="276"/>
      <c r="AE124" s="276"/>
    </row>
    <row r="125" spans="2:31" ht="14.4">
      <c r="B125" s="381">
        <f t="shared" si="5"/>
        <v>80</v>
      </c>
      <c r="C125" s="389" t="str" cm="1">
        <f t="array" aca="1" ref="C125" ca="1">IF(B125&lt;=$C$9,GetGetCDSName(B125),"")</f>
        <v>PEUGEOT_MMR.EUR.SU</v>
      </c>
      <c r="D125" s="349">
        <v>0</v>
      </c>
      <c r="E125" s="382">
        <v>1</v>
      </c>
      <c r="F125" s="301">
        <v>1</v>
      </c>
      <c r="G125" s="301">
        <v>0</v>
      </c>
      <c r="H125" s="301">
        <v>0</v>
      </c>
      <c r="I125" s="301">
        <v>0</v>
      </c>
      <c r="J125" s="301">
        <v>0</v>
      </c>
      <c r="K125" s="301"/>
      <c r="L125" s="301"/>
      <c r="M125" s="301"/>
      <c r="N125" s="383"/>
      <c r="O125" s="276"/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C125" s="276"/>
      <c r="AD125" s="276"/>
      <c r="AE125" s="276"/>
    </row>
    <row r="126" spans="2:31" ht="14.4">
      <c r="B126" s="381">
        <f t="shared" si="5"/>
        <v>81</v>
      </c>
      <c r="C126" s="389" t="str" cm="1">
        <f t="array" aca="1" ref="C126" ca="1">IF(B126&lt;=$C$9,GetGetCDSName(B126),"")</f>
        <v>PHILIPSELEC_MMR.EUR.SU</v>
      </c>
      <c r="D126" s="349">
        <v>0</v>
      </c>
      <c r="E126" s="382">
        <v>0</v>
      </c>
      <c r="F126" s="301">
        <v>0</v>
      </c>
      <c r="G126" s="301">
        <v>0</v>
      </c>
      <c r="H126" s="301">
        <v>1</v>
      </c>
      <c r="I126" s="301">
        <v>0</v>
      </c>
      <c r="J126" s="301">
        <v>1</v>
      </c>
      <c r="K126" s="301"/>
      <c r="L126" s="301"/>
      <c r="M126" s="301"/>
      <c r="N126" s="383"/>
      <c r="O126" s="276"/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C126" s="276"/>
      <c r="AD126" s="276"/>
      <c r="AE126" s="276"/>
    </row>
    <row r="127" spans="2:31" ht="14.4">
      <c r="B127" s="381">
        <f t="shared" si="5"/>
        <v>82</v>
      </c>
      <c r="C127" s="389" t="str" cm="1">
        <f t="array" aca="1" ref="C127" ca="1">IF(B127&lt;=$C$9,GetGetCDSName(B127),"")</f>
        <v>PINAULTPRINTEMPS_MMR.EUR.SU</v>
      </c>
      <c r="D127" s="349">
        <v>0</v>
      </c>
      <c r="E127" s="382">
        <v>0</v>
      </c>
      <c r="F127" s="301">
        <v>0</v>
      </c>
      <c r="G127" s="301">
        <v>1</v>
      </c>
      <c r="H127" s="301">
        <v>1</v>
      </c>
      <c r="I127" s="301">
        <v>0</v>
      </c>
      <c r="J127" s="301">
        <v>0</v>
      </c>
      <c r="K127" s="301"/>
      <c r="L127" s="301"/>
      <c r="M127" s="301"/>
      <c r="N127" s="383"/>
      <c r="O127" s="276"/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</row>
    <row r="128" spans="2:31" ht="14.4">
      <c r="B128" s="381">
        <f t="shared" si="5"/>
        <v>83</v>
      </c>
      <c r="C128" s="389" t="str" cm="1">
        <f t="array" aca="1" ref="C128" ca="1">IF(B128&lt;=$C$9,GetGetCDSName(B128),"")</f>
        <v>PORTUGALTELECOM_MMR.EUR.SU</v>
      </c>
      <c r="D128" s="349">
        <v>0</v>
      </c>
      <c r="E128" s="382">
        <v>0</v>
      </c>
      <c r="F128" s="301">
        <v>0</v>
      </c>
      <c r="G128" s="301">
        <v>1</v>
      </c>
      <c r="H128" s="301">
        <v>0</v>
      </c>
      <c r="I128" s="301">
        <v>1</v>
      </c>
      <c r="J128" s="301">
        <v>1</v>
      </c>
      <c r="K128" s="301"/>
      <c r="L128" s="301"/>
      <c r="M128" s="301"/>
      <c r="N128" s="383"/>
      <c r="O128" s="276"/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C128" s="276"/>
      <c r="AD128" s="276"/>
      <c r="AE128" s="276"/>
    </row>
    <row r="129" spans="2:31" ht="14.4">
      <c r="B129" s="381">
        <f t="shared" si="5"/>
        <v>84</v>
      </c>
      <c r="C129" s="389" t="str" cm="1">
        <f t="array" aca="1" ref="C129" ca="1">IF(B129&lt;=$C$9,GetGetCDSName(B129),"")</f>
        <v>REEDELSEVIER_MMR.EUR.SU</v>
      </c>
      <c r="D129" s="349">
        <v>0</v>
      </c>
      <c r="E129" s="382">
        <v>1</v>
      </c>
      <c r="F129" s="301">
        <v>0</v>
      </c>
      <c r="G129" s="301">
        <v>1</v>
      </c>
      <c r="H129" s="301">
        <v>1</v>
      </c>
      <c r="I129" s="301">
        <v>0</v>
      </c>
      <c r="J129" s="301">
        <v>0</v>
      </c>
      <c r="K129" s="301"/>
      <c r="L129" s="301"/>
      <c r="M129" s="301"/>
      <c r="N129" s="383"/>
      <c r="O129" s="276"/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C129" s="276"/>
      <c r="AD129" s="276"/>
      <c r="AE129" s="276"/>
    </row>
    <row r="130" spans="2:31" ht="14.4">
      <c r="B130" s="381">
        <f t="shared" si="5"/>
        <v>85</v>
      </c>
      <c r="C130" s="389" t="str" cm="1">
        <f t="array" aca="1" ref="C130" ca="1">IF(B130&lt;=$C$9,GetGetCDSName(B130),"")</f>
        <v>RENAULT_MMR.EUR.SU</v>
      </c>
      <c r="D130" s="349">
        <v>0</v>
      </c>
      <c r="E130" s="382">
        <v>0</v>
      </c>
      <c r="F130" s="301">
        <v>1</v>
      </c>
      <c r="G130" s="301">
        <v>0</v>
      </c>
      <c r="H130" s="301">
        <v>0</v>
      </c>
      <c r="I130" s="301">
        <v>1</v>
      </c>
      <c r="J130" s="301">
        <v>0</v>
      </c>
      <c r="K130" s="301"/>
      <c r="L130" s="301"/>
      <c r="M130" s="301"/>
      <c r="N130" s="383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</row>
    <row r="131" spans="2:31" ht="14.4">
      <c r="B131" s="381">
        <f t="shared" si="5"/>
        <v>86</v>
      </c>
      <c r="C131" s="389" t="str" cm="1">
        <f t="array" aca="1" ref="C131" ca="1">IF(B131&lt;=$C$9,GetGetCDSName(B131),"")</f>
        <v>REPSOL_MMR.EUR.SU</v>
      </c>
      <c r="D131" s="349">
        <v>0</v>
      </c>
      <c r="E131" s="382">
        <v>1</v>
      </c>
      <c r="F131" s="301">
        <v>0</v>
      </c>
      <c r="G131" s="301">
        <v>1</v>
      </c>
      <c r="H131" s="301">
        <v>0</v>
      </c>
      <c r="I131" s="301">
        <v>0</v>
      </c>
      <c r="J131" s="301">
        <v>0</v>
      </c>
      <c r="K131" s="301"/>
      <c r="L131" s="301"/>
      <c r="M131" s="301"/>
      <c r="N131" s="383"/>
      <c r="O131" s="276"/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C131" s="276"/>
      <c r="AD131" s="276"/>
      <c r="AE131" s="276"/>
    </row>
    <row r="132" spans="2:31" ht="14.4">
      <c r="B132" s="381">
        <f t="shared" si="5"/>
        <v>87</v>
      </c>
      <c r="C132" s="389" t="str" cm="1">
        <f t="array" aca="1" ref="C132" ca="1">IF(B132&lt;=$C$9,GetGetCDSName(B132),"")</f>
        <v>REUTERS_MMR.EUR.SU</v>
      </c>
      <c r="D132" s="349">
        <v>0</v>
      </c>
      <c r="E132" s="382">
        <v>1</v>
      </c>
      <c r="F132" s="301">
        <v>0</v>
      </c>
      <c r="G132" s="301">
        <v>0</v>
      </c>
      <c r="H132" s="301">
        <v>1</v>
      </c>
      <c r="I132" s="301">
        <v>0</v>
      </c>
      <c r="J132" s="301">
        <v>0</v>
      </c>
      <c r="K132" s="301"/>
      <c r="L132" s="301"/>
      <c r="M132" s="301"/>
      <c r="N132" s="383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</row>
    <row r="133" spans="2:31" ht="14.4">
      <c r="B133" s="381">
        <f t="shared" si="5"/>
        <v>88</v>
      </c>
      <c r="C133" s="389" t="str" cm="1">
        <f t="array" aca="1" ref="C133" ca="1">IF(B133&lt;=$C$9,GetGetCDSName(B133),"")</f>
        <v>ROYALBANKSCOTLAND_MMR.EUR.SU</v>
      </c>
      <c r="D133" s="349">
        <v>0</v>
      </c>
      <c r="E133" s="382">
        <v>0</v>
      </c>
      <c r="F133" s="301">
        <v>0</v>
      </c>
      <c r="G133" s="301">
        <v>1</v>
      </c>
      <c r="H133" s="301">
        <v>1</v>
      </c>
      <c r="I133" s="301">
        <v>1</v>
      </c>
      <c r="J133" s="301">
        <v>0</v>
      </c>
      <c r="K133" s="301"/>
      <c r="L133" s="301"/>
      <c r="M133" s="301"/>
      <c r="N133" s="383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</row>
    <row r="134" spans="2:31" ht="14.4">
      <c r="B134" s="381">
        <f t="shared" si="5"/>
        <v>89</v>
      </c>
      <c r="C134" s="389" t="str" cm="1">
        <f t="array" aca="1" ref="C134" ca="1">IF(B134&lt;=$C$9,GetGetCDSName(B134),"")</f>
        <v>RWE_MMR.EUR.SU</v>
      </c>
      <c r="D134" s="349">
        <v>0</v>
      </c>
      <c r="E134" s="382">
        <v>0</v>
      </c>
      <c r="F134" s="301">
        <v>0</v>
      </c>
      <c r="G134" s="301">
        <v>0</v>
      </c>
      <c r="H134" s="301">
        <v>1</v>
      </c>
      <c r="I134" s="301">
        <v>1</v>
      </c>
      <c r="J134" s="301">
        <v>0</v>
      </c>
      <c r="K134" s="301"/>
      <c r="L134" s="301"/>
      <c r="M134" s="301"/>
      <c r="N134" s="383"/>
      <c r="O134" s="276"/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C134" s="276"/>
      <c r="AD134" s="276"/>
      <c r="AE134" s="276"/>
    </row>
    <row r="135" spans="2:31" ht="14.4">
      <c r="B135" s="381">
        <f t="shared" si="5"/>
        <v>90</v>
      </c>
      <c r="C135" s="389" t="str" cm="1">
        <f t="array" aca="1" ref="C135" ca="1">IF(B135&lt;=$C$9,GetGetCDSName(B135),"")</f>
        <v>SAFEWAYPLC_MMR.EUR.SU</v>
      </c>
      <c r="D135" s="349">
        <v>0</v>
      </c>
      <c r="E135" s="382">
        <v>0</v>
      </c>
      <c r="F135" s="301">
        <v>1</v>
      </c>
      <c r="G135" s="301">
        <v>0</v>
      </c>
      <c r="H135" s="301">
        <v>1</v>
      </c>
      <c r="I135" s="301">
        <v>0</v>
      </c>
      <c r="J135" s="301">
        <v>0</v>
      </c>
      <c r="K135" s="301"/>
      <c r="L135" s="301"/>
      <c r="M135" s="301"/>
      <c r="N135" s="383"/>
      <c r="O135" s="276"/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C135" s="276"/>
      <c r="AD135" s="276"/>
      <c r="AE135" s="276"/>
    </row>
    <row r="136" spans="2:31" ht="14.4">
      <c r="B136" s="381">
        <f t="shared" si="5"/>
        <v>91</v>
      </c>
      <c r="C136" s="389" t="str" cm="1">
        <f t="array" aca="1" ref="C136" ca="1">IF(B136&lt;=$C$9,GetGetCDSName(B136),"")</f>
        <v>SANOFIAVENTIS_MMR.EUR.SU</v>
      </c>
      <c r="D136" s="349">
        <v>0</v>
      </c>
      <c r="E136" s="382">
        <v>0</v>
      </c>
      <c r="F136" s="301">
        <v>1</v>
      </c>
      <c r="G136" s="301">
        <v>1</v>
      </c>
      <c r="H136" s="301">
        <v>0</v>
      </c>
      <c r="I136" s="301">
        <v>0</v>
      </c>
      <c r="J136" s="301">
        <v>1</v>
      </c>
      <c r="K136" s="301"/>
      <c r="L136" s="301"/>
      <c r="M136" s="301"/>
      <c r="N136" s="383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</row>
    <row r="137" spans="2:31" ht="14.4">
      <c r="B137" s="381">
        <f t="shared" si="5"/>
        <v>92</v>
      </c>
      <c r="C137" s="389" t="str" cm="1">
        <f t="array" aca="1" ref="C137" ca="1">IF(B137&lt;=$C$9,GetGetCDSName(B137),"")</f>
        <v>SIEMENS_MMR.EUR.SU</v>
      </c>
      <c r="D137" s="349">
        <v>0</v>
      </c>
      <c r="E137" s="382">
        <v>0</v>
      </c>
      <c r="F137" s="301">
        <v>1</v>
      </c>
      <c r="G137" s="301">
        <v>0</v>
      </c>
      <c r="H137" s="301">
        <v>0</v>
      </c>
      <c r="I137" s="301">
        <v>1</v>
      </c>
      <c r="J137" s="301">
        <v>1</v>
      </c>
      <c r="K137" s="301"/>
      <c r="L137" s="301"/>
      <c r="M137" s="301"/>
      <c r="N137" s="383"/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</row>
    <row r="138" spans="2:31" ht="14.4">
      <c r="B138" s="381">
        <f t="shared" si="5"/>
        <v>93</v>
      </c>
      <c r="C138" s="389" t="str" cm="1">
        <f t="array" aca="1" ref="C138" ca="1">IF(B138&lt;=$C$9,GetGetCDSName(B138),"")</f>
        <v>SODEXHOALLIANCE_MMR.EUR.SU</v>
      </c>
      <c r="D138" s="349">
        <v>0</v>
      </c>
      <c r="E138" s="382">
        <v>1</v>
      </c>
      <c r="F138" s="301">
        <v>1</v>
      </c>
      <c r="G138" s="301">
        <v>0</v>
      </c>
      <c r="H138" s="301">
        <v>0</v>
      </c>
      <c r="I138" s="301">
        <v>1</v>
      </c>
      <c r="J138" s="301">
        <v>0</v>
      </c>
      <c r="K138" s="301"/>
      <c r="L138" s="301"/>
      <c r="M138" s="301"/>
      <c r="N138" s="383"/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</row>
    <row r="139" spans="2:31" ht="14.4">
      <c r="B139" s="381">
        <f t="shared" si="5"/>
        <v>94</v>
      </c>
      <c r="C139" s="389" t="str" cm="1">
        <f t="array" aca="1" ref="C139" ca="1">IF(B139&lt;=$C$9,GetGetCDSName(B139),"")</f>
        <v>SOLVAY_MMR.EUR.SU</v>
      </c>
      <c r="D139" s="349">
        <v>0</v>
      </c>
      <c r="E139" s="382">
        <v>1</v>
      </c>
      <c r="F139" s="301">
        <v>0</v>
      </c>
      <c r="G139" s="301">
        <v>0</v>
      </c>
      <c r="H139" s="301">
        <v>0</v>
      </c>
      <c r="I139" s="301">
        <v>1</v>
      </c>
      <c r="J139" s="301">
        <v>0</v>
      </c>
      <c r="K139" s="301"/>
      <c r="L139" s="301"/>
      <c r="M139" s="301"/>
      <c r="N139" s="383"/>
      <c r="O139" s="276"/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</row>
    <row r="140" spans="2:31" ht="14.4">
      <c r="B140" s="381">
        <f t="shared" si="5"/>
        <v>95</v>
      </c>
      <c r="C140" s="389" t="str" cm="1">
        <f t="array" aca="1" ref="C140" ca="1">IF(B140&lt;=$C$9,GetGetCDSName(B140),"")</f>
        <v>STGOBAIN_MMR.EUR.SU</v>
      </c>
      <c r="D140" s="349">
        <v>0</v>
      </c>
      <c r="E140" s="382">
        <v>1</v>
      </c>
      <c r="F140" s="301">
        <v>1</v>
      </c>
      <c r="G140" s="301">
        <v>0</v>
      </c>
      <c r="H140" s="301">
        <v>0</v>
      </c>
      <c r="I140" s="301">
        <v>1</v>
      </c>
      <c r="J140" s="301">
        <v>0</v>
      </c>
      <c r="K140" s="301"/>
      <c r="L140" s="301"/>
      <c r="M140" s="301"/>
      <c r="N140" s="383"/>
      <c r="O140" s="276"/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</row>
    <row r="141" spans="2:31" ht="14.4">
      <c r="B141" s="381">
        <f t="shared" si="5"/>
        <v>96</v>
      </c>
      <c r="C141" s="389" t="str" cm="1">
        <f t="array" aca="1" ref="C141" ca="1">IF(B141&lt;=$C$9,GetGetCDSName(B141),"")</f>
        <v>STMICRO_MMR.EUR.SU</v>
      </c>
      <c r="D141" s="349">
        <v>0</v>
      </c>
      <c r="E141" s="382">
        <v>0</v>
      </c>
      <c r="F141" s="301">
        <v>0</v>
      </c>
      <c r="G141" s="301">
        <v>0</v>
      </c>
      <c r="H141" s="301">
        <v>0</v>
      </c>
      <c r="I141" s="301">
        <v>0</v>
      </c>
      <c r="J141" s="301">
        <v>1</v>
      </c>
      <c r="K141" s="301"/>
      <c r="L141" s="301"/>
      <c r="M141" s="301"/>
      <c r="N141" s="383"/>
      <c r="O141" s="276"/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</row>
    <row r="142" spans="2:31" ht="14.4">
      <c r="B142" s="381">
        <f t="shared" si="5"/>
        <v>97</v>
      </c>
      <c r="C142" s="389" t="str" cm="1">
        <f t="array" aca="1" ref="C142" ca="1">IF(B142&lt;=$C$9,GetGetCDSName(B142),"")</f>
        <v>SUEDZUCKERAG_MMR.EUR.SU</v>
      </c>
      <c r="D142" s="349">
        <v>0</v>
      </c>
      <c r="E142" s="382">
        <v>1</v>
      </c>
      <c r="F142" s="301">
        <v>0</v>
      </c>
      <c r="G142" s="301">
        <v>0</v>
      </c>
      <c r="H142" s="301">
        <v>0</v>
      </c>
      <c r="I142" s="301">
        <v>0</v>
      </c>
      <c r="J142" s="301">
        <v>0</v>
      </c>
      <c r="K142" s="301"/>
      <c r="L142" s="301"/>
      <c r="M142" s="301"/>
      <c r="N142" s="383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</row>
    <row r="143" spans="2:31" ht="14.4">
      <c r="B143" s="381">
        <f t="shared" si="5"/>
        <v>98</v>
      </c>
      <c r="C143" s="389" t="str" cm="1">
        <f t="array" aca="1" ref="C143" ca="1">IF(B143&lt;=$C$9,GetGetCDSName(B143),"")</f>
        <v>SUEZLYONNAISE_MMR.EUR.SU</v>
      </c>
      <c r="D143" s="349">
        <v>0</v>
      </c>
      <c r="E143" s="382">
        <v>0</v>
      </c>
      <c r="F143" s="301">
        <v>0</v>
      </c>
      <c r="G143" s="301">
        <v>1</v>
      </c>
      <c r="H143" s="301">
        <v>0</v>
      </c>
      <c r="I143" s="301">
        <v>0</v>
      </c>
      <c r="J143" s="301">
        <v>0</v>
      </c>
      <c r="K143" s="301"/>
      <c r="L143" s="301"/>
      <c r="M143" s="301"/>
      <c r="N143" s="383"/>
      <c r="O143" s="276"/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</row>
    <row r="144" spans="2:31" ht="14.4">
      <c r="B144" s="381">
        <f t="shared" si="5"/>
        <v>99</v>
      </c>
      <c r="C144" s="389" t="str" cm="1">
        <f t="array" aca="1" ref="C144" ca="1">IF(B144&lt;=$C$9,GetGetCDSName(B144),"")</f>
        <v>SVENSKACELLULOSAAB_MMR.EUR.SU</v>
      </c>
      <c r="D144" s="349">
        <v>0</v>
      </c>
      <c r="E144" s="382">
        <v>0</v>
      </c>
      <c r="F144" s="301">
        <v>0</v>
      </c>
      <c r="G144" s="301">
        <v>0</v>
      </c>
      <c r="H144" s="301">
        <v>0</v>
      </c>
      <c r="I144" s="301">
        <v>1</v>
      </c>
      <c r="J144" s="301">
        <v>0</v>
      </c>
      <c r="K144" s="301"/>
      <c r="L144" s="301"/>
      <c r="M144" s="301"/>
      <c r="N144" s="383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</row>
    <row r="145" spans="2:31" ht="14.4">
      <c r="B145" s="381">
        <f t="shared" si="5"/>
        <v>100</v>
      </c>
      <c r="C145" s="389" t="str" cm="1">
        <f t="array" aca="1" ref="C145" ca="1">IF(B145&lt;=$C$9,GetGetCDSName(B145),"")</f>
        <v>SWISSRE_MMR.EUR.SU</v>
      </c>
      <c r="D145" s="349">
        <v>0</v>
      </c>
      <c r="E145" s="382">
        <v>0</v>
      </c>
      <c r="F145" s="301">
        <v>0</v>
      </c>
      <c r="G145" s="301">
        <v>1</v>
      </c>
      <c r="H145" s="301">
        <v>0</v>
      </c>
      <c r="I145" s="301">
        <v>1</v>
      </c>
      <c r="J145" s="301">
        <v>1</v>
      </c>
      <c r="K145" s="301"/>
      <c r="L145" s="301"/>
      <c r="M145" s="301"/>
      <c r="N145" s="383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</row>
    <row r="146" spans="2:31" ht="14.4">
      <c r="B146" s="381">
        <f t="shared" si="5"/>
        <v>101</v>
      </c>
      <c r="C146" s="389" t="str" cm="1">
        <f t="array" aca="1" ref="C146" ca="1">IF(B146&lt;=$C$9,GetGetCDSName(B146),"")</f>
        <v>TATE&amp;LYLE_MMR.EUR.SU</v>
      </c>
      <c r="D146" s="349">
        <v>0</v>
      </c>
      <c r="E146" s="382">
        <v>0</v>
      </c>
      <c r="F146" s="301">
        <v>1</v>
      </c>
      <c r="G146" s="301">
        <v>1</v>
      </c>
      <c r="H146" s="301">
        <v>0</v>
      </c>
      <c r="I146" s="301">
        <v>0</v>
      </c>
      <c r="J146" s="301">
        <v>0</v>
      </c>
      <c r="K146" s="301"/>
      <c r="L146" s="301"/>
      <c r="M146" s="301"/>
      <c r="N146" s="383"/>
      <c r="O146" s="276"/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</row>
    <row r="147" spans="2:31" ht="14.4">
      <c r="B147" s="381">
        <f t="shared" si="5"/>
        <v>102</v>
      </c>
      <c r="C147" s="389" t="str" cm="1">
        <f t="array" aca="1" ref="C147" ca="1">IF(B147&lt;=$C$9,GetGetCDSName(B147),"")</f>
        <v>TELECOMITALIA_MMR.EUR.SU</v>
      </c>
      <c r="D147" s="349">
        <v>0</v>
      </c>
      <c r="E147" s="382">
        <v>1</v>
      </c>
      <c r="F147" s="301">
        <v>1</v>
      </c>
      <c r="G147" s="301">
        <v>0</v>
      </c>
      <c r="H147" s="301">
        <v>0</v>
      </c>
      <c r="I147" s="301">
        <v>0</v>
      </c>
      <c r="J147" s="301">
        <v>0</v>
      </c>
      <c r="K147" s="301"/>
      <c r="L147" s="301"/>
      <c r="M147" s="301"/>
      <c r="N147" s="383"/>
      <c r="O147" s="276"/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</row>
    <row r="148" spans="2:31" ht="14.4">
      <c r="B148" s="381">
        <f t="shared" si="5"/>
        <v>103</v>
      </c>
      <c r="C148" s="389" t="str" cm="1">
        <f t="array" aca="1" ref="C148" ca="1">IF(B148&lt;=$C$9,GetGetCDSName(B148),"")</f>
        <v>TELEFONICA_MMR.EUR.SU</v>
      </c>
      <c r="D148" s="349">
        <v>0</v>
      </c>
      <c r="E148" s="382">
        <v>0</v>
      </c>
      <c r="F148" s="301">
        <v>0</v>
      </c>
      <c r="G148" s="301">
        <v>0</v>
      </c>
      <c r="H148" s="301">
        <v>1</v>
      </c>
      <c r="I148" s="301">
        <v>0</v>
      </c>
      <c r="J148" s="301">
        <v>0</v>
      </c>
      <c r="K148" s="301"/>
      <c r="L148" s="301"/>
      <c r="M148" s="301"/>
      <c r="N148" s="383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</row>
    <row r="149" spans="2:31" ht="14.4">
      <c r="B149" s="381">
        <f t="shared" si="5"/>
        <v>104</v>
      </c>
      <c r="C149" s="389" t="str" cm="1">
        <f t="array" aca="1" ref="C149" ca="1">IF(B149&lt;=$C$9,GetGetCDSName(B149),"")</f>
        <v>TELEKOMAUSTRIA_MMR.EUR.SU</v>
      </c>
      <c r="D149" s="349">
        <v>0</v>
      </c>
      <c r="E149" s="382">
        <v>0</v>
      </c>
      <c r="F149" s="301">
        <v>0</v>
      </c>
      <c r="G149" s="301">
        <v>0</v>
      </c>
      <c r="H149" s="301">
        <v>0</v>
      </c>
      <c r="I149" s="301">
        <v>0</v>
      </c>
      <c r="J149" s="301">
        <v>1</v>
      </c>
      <c r="K149" s="301"/>
      <c r="L149" s="301"/>
      <c r="M149" s="301"/>
      <c r="N149" s="383"/>
      <c r="O149" s="276"/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</row>
    <row r="150" spans="2:31" ht="14.4">
      <c r="B150" s="381">
        <f t="shared" si="5"/>
        <v>105</v>
      </c>
      <c r="C150" s="389" t="str" cm="1">
        <f t="array" aca="1" ref="C150" ca="1">IF(B150&lt;=$C$9,GetGetCDSName(B150),"")</f>
        <v>TELENOR_MMR.EUR.SU</v>
      </c>
      <c r="D150" s="349">
        <v>0</v>
      </c>
      <c r="E150" s="382">
        <v>0</v>
      </c>
      <c r="F150" s="301">
        <v>1</v>
      </c>
      <c r="G150" s="301">
        <v>0</v>
      </c>
      <c r="H150" s="301">
        <v>1</v>
      </c>
      <c r="I150" s="301">
        <v>1</v>
      </c>
      <c r="J150" s="301">
        <v>0</v>
      </c>
      <c r="K150" s="301"/>
      <c r="L150" s="301"/>
      <c r="M150" s="301"/>
      <c r="N150" s="383"/>
      <c r="O150" s="276"/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</row>
    <row r="151" spans="2:31" ht="14.4">
      <c r="B151" s="381">
        <f t="shared" si="5"/>
        <v>106</v>
      </c>
      <c r="C151" s="389" t="str" cm="1">
        <f t="array" aca="1" ref="C151" ca="1">IF(B151&lt;=$C$9,GetGetCDSName(B151),"")</f>
        <v>TELIA_MMR.EUR.SU</v>
      </c>
      <c r="D151" s="349">
        <v>0</v>
      </c>
      <c r="E151" s="382">
        <v>0</v>
      </c>
      <c r="F151" s="301">
        <v>0</v>
      </c>
      <c r="G151" s="301">
        <v>0</v>
      </c>
      <c r="H151" s="301">
        <v>0</v>
      </c>
      <c r="I151" s="301">
        <v>1</v>
      </c>
      <c r="J151" s="301">
        <v>0</v>
      </c>
      <c r="K151" s="301"/>
      <c r="L151" s="301"/>
      <c r="M151" s="301"/>
      <c r="N151" s="383"/>
      <c r="O151" s="276"/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</row>
    <row r="152" spans="2:31" ht="14.4">
      <c r="B152" s="381">
        <f t="shared" si="5"/>
        <v>107</v>
      </c>
      <c r="C152" s="389" t="str" cm="1">
        <f t="array" aca="1" ref="C152" ca="1">IF(B152&lt;=$C$9,GetGetCDSName(B152),"")</f>
        <v>TESCO_MMR.EUR.SU</v>
      </c>
      <c r="D152" s="349">
        <v>0</v>
      </c>
      <c r="E152" s="382">
        <v>0</v>
      </c>
      <c r="F152" s="301">
        <v>0</v>
      </c>
      <c r="G152" s="301">
        <v>1</v>
      </c>
      <c r="H152" s="301">
        <v>0</v>
      </c>
      <c r="I152" s="301">
        <v>0</v>
      </c>
      <c r="J152" s="301">
        <v>0</v>
      </c>
      <c r="K152" s="301"/>
      <c r="L152" s="301"/>
      <c r="M152" s="301"/>
      <c r="N152" s="383"/>
      <c r="O152" s="276"/>
      <c r="P152" s="276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C152" s="276"/>
      <c r="AD152" s="276"/>
      <c r="AE152" s="276"/>
    </row>
    <row r="153" spans="2:31" ht="14.4">
      <c r="B153" s="381">
        <f t="shared" si="5"/>
        <v>108</v>
      </c>
      <c r="C153" s="389" t="str" cm="1">
        <f t="array" aca="1" ref="C153" ca="1">IF(B153&lt;=$C$9,GetGetCDSName(B153),"")</f>
        <v>THYSSENKRUPPAG_MMR.EUR.SU</v>
      </c>
      <c r="D153" s="349">
        <v>0</v>
      </c>
      <c r="E153" s="382">
        <v>0</v>
      </c>
      <c r="F153" s="301">
        <v>0</v>
      </c>
      <c r="G153" s="301">
        <v>0</v>
      </c>
      <c r="H153" s="301">
        <v>1</v>
      </c>
      <c r="I153" s="301">
        <v>1</v>
      </c>
      <c r="J153" s="301">
        <v>1</v>
      </c>
      <c r="K153" s="301"/>
      <c r="L153" s="301"/>
      <c r="M153" s="301"/>
      <c r="N153" s="383"/>
      <c r="O153" s="276"/>
      <c r="P153" s="276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C153" s="276"/>
      <c r="AD153" s="276"/>
      <c r="AE153" s="276"/>
    </row>
    <row r="154" spans="2:31" ht="14.4">
      <c r="B154" s="381">
        <f t="shared" si="5"/>
        <v>109</v>
      </c>
      <c r="C154" s="389" t="str" cm="1">
        <f t="array" aca="1" ref="C154" ca="1">IF(B154&lt;=$C$9,GetGetCDSName(B154),"")</f>
        <v>UBS_MMR.EUR.SU</v>
      </c>
      <c r="D154" s="349">
        <v>0</v>
      </c>
      <c r="E154" s="382">
        <v>1</v>
      </c>
      <c r="F154" s="301">
        <v>0</v>
      </c>
      <c r="G154" s="301">
        <v>0</v>
      </c>
      <c r="H154" s="301">
        <v>0</v>
      </c>
      <c r="I154" s="301">
        <v>0</v>
      </c>
      <c r="J154" s="301">
        <v>0</v>
      </c>
      <c r="K154" s="301"/>
      <c r="L154" s="301"/>
      <c r="M154" s="301"/>
      <c r="N154" s="383"/>
      <c r="O154" s="276"/>
      <c r="P154" s="276"/>
      <c r="Q154" s="276"/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C154" s="276"/>
      <c r="AD154" s="276"/>
      <c r="AE154" s="276"/>
    </row>
    <row r="155" spans="2:31" ht="14.4">
      <c r="B155" s="381">
        <f t="shared" si="5"/>
        <v>110</v>
      </c>
      <c r="C155" s="389" t="str" cm="1">
        <f t="array" aca="1" ref="C155" ca="1">IF(B155&lt;=$C$9,GetGetCDSName(B155),"")</f>
        <v>UNICREDITOITALIANO_MMR.EUR.SU</v>
      </c>
      <c r="D155" s="349">
        <v>0</v>
      </c>
      <c r="E155" s="382">
        <v>1</v>
      </c>
      <c r="F155" s="301">
        <v>0</v>
      </c>
      <c r="G155" s="301">
        <v>0</v>
      </c>
      <c r="H155" s="301">
        <v>1</v>
      </c>
      <c r="I155" s="301">
        <v>1</v>
      </c>
      <c r="J155" s="301">
        <v>0</v>
      </c>
      <c r="K155" s="301"/>
      <c r="L155" s="301"/>
      <c r="M155" s="301"/>
      <c r="N155" s="383"/>
      <c r="O155" s="276"/>
      <c r="P155" s="276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C155" s="276"/>
      <c r="AD155" s="276"/>
      <c r="AE155" s="276"/>
    </row>
    <row r="156" spans="2:31" ht="14.4">
      <c r="B156" s="381">
        <f t="shared" si="5"/>
        <v>111</v>
      </c>
      <c r="C156" s="389" t="str" cm="1">
        <f t="array" aca="1" ref="C156" ca="1">IF(B156&lt;=$C$9,GetGetCDSName(B156),"")</f>
        <v>UNILEVER_MMR.EUR.SU</v>
      </c>
      <c r="D156" s="349">
        <v>0</v>
      </c>
      <c r="E156" s="382">
        <v>0</v>
      </c>
      <c r="F156" s="301">
        <v>0</v>
      </c>
      <c r="G156" s="301">
        <v>0</v>
      </c>
      <c r="H156" s="301">
        <v>0</v>
      </c>
      <c r="I156" s="301">
        <v>1</v>
      </c>
      <c r="J156" s="301">
        <v>1</v>
      </c>
      <c r="K156" s="301"/>
      <c r="L156" s="301"/>
      <c r="M156" s="301"/>
      <c r="N156" s="383"/>
      <c r="O156" s="276"/>
      <c r="P156" s="276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C156" s="276"/>
      <c r="AD156" s="276"/>
      <c r="AE156" s="276"/>
    </row>
    <row r="157" spans="2:31" ht="14.4">
      <c r="B157" s="381">
        <f t="shared" si="5"/>
        <v>112</v>
      </c>
      <c r="C157" s="389" t="str" cm="1">
        <f t="array" aca="1" ref="C157" ca="1">IF(B157&lt;=$C$9,GetGetCDSName(B157),"")</f>
        <v>UNIONFENOSA_MMR.EUR.SU</v>
      </c>
      <c r="D157" s="349">
        <v>0</v>
      </c>
      <c r="E157" s="382">
        <v>0</v>
      </c>
      <c r="F157" s="301">
        <v>0</v>
      </c>
      <c r="G157" s="301">
        <v>1</v>
      </c>
      <c r="H157" s="301">
        <v>1</v>
      </c>
      <c r="I157" s="301">
        <v>0</v>
      </c>
      <c r="J157" s="301">
        <v>0</v>
      </c>
      <c r="K157" s="301"/>
      <c r="L157" s="301"/>
      <c r="M157" s="301"/>
      <c r="N157" s="383"/>
      <c r="O157" s="276"/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</row>
    <row r="158" spans="2:31" ht="14.4">
      <c r="B158" s="381">
        <f t="shared" si="5"/>
        <v>113</v>
      </c>
      <c r="C158" s="389" t="str" cm="1">
        <f t="array" aca="1" ref="C158" ca="1">IF(B158&lt;=$C$9,GetGetCDSName(B158),"")</f>
        <v>UNITEDUTILITIES_MMR.EUR.SU</v>
      </c>
      <c r="D158" s="349">
        <v>0</v>
      </c>
      <c r="E158" s="382">
        <v>0</v>
      </c>
      <c r="F158" s="301">
        <v>0</v>
      </c>
      <c r="G158" s="301">
        <v>0</v>
      </c>
      <c r="H158" s="301">
        <v>0</v>
      </c>
      <c r="I158" s="301">
        <v>0</v>
      </c>
      <c r="J158" s="301">
        <v>1</v>
      </c>
      <c r="K158" s="301"/>
      <c r="L158" s="301"/>
      <c r="M158" s="301"/>
      <c r="N158" s="383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C158" s="276"/>
      <c r="AD158" s="276"/>
      <c r="AE158" s="276"/>
    </row>
    <row r="159" spans="2:31" ht="14.4">
      <c r="B159" s="381">
        <f t="shared" si="5"/>
        <v>114</v>
      </c>
      <c r="C159" s="389" t="str" cm="1">
        <f t="array" aca="1" ref="C159" ca="1">IF(B159&lt;=$C$9,GetGetCDSName(B159),"")</f>
        <v>UPMKYMMENE_MMR.EUR.SU</v>
      </c>
      <c r="D159" s="349">
        <v>0</v>
      </c>
      <c r="E159" s="382">
        <v>0</v>
      </c>
      <c r="F159" s="301">
        <v>1</v>
      </c>
      <c r="G159" s="301">
        <v>0</v>
      </c>
      <c r="H159" s="301">
        <v>0</v>
      </c>
      <c r="I159" s="301">
        <v>0</v>
      </c>
      <c r="J159" s="301">
        <v>0</v>
      </c>
      <c r="K159" s="301"/>
      <c r="L159" s="301"/>
      <c r="M159" s="301"/>
      <c r="N159" s="383"/>
      <c r="O159" s="276"/>
      <c r="P159" s="276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C159" s="276"/>
      <c r="AD159" s="276"/>
      <c r="AE159" s="276"/>
    </row>
    <row r="160" spans="2:31" ht="14.4">
      <c r="B160" s="381">
        <f t="shared" si="5"/>
        <v>115</v>
      </c>
      <c r="C160" s="389" t="str" cm="1">
        <f t="array" aca="1" ref="C160" ca="1">IF(B160&lt;=$C$9,GetGetCDSName(B160),"")</f>
        <v>VALEO_MMR.EUR.SU</v>
      </c>
      <c r="D160" s="349">
        <v>0</v>
      </c>
      <c r="E160" s="382">
        <v>0</v>
      </c>
      <c r="F160" s="301">
        <v>0</v>
      </c>
      <c r="G160" s="301">
        <v>1</v>
      </c>
      <c r="H160" s="301">
        <v>0</v>
      </c>
      <c r="I160" s="301">
        <v>0</v>
      </c>
      <c r="J160" s="301">
        <v>1</v>
      </c>
      <c r="K160" s="301"/>
      <c r="L160" s="301"/>
      <c r="M160" s="301"/>
      <c r="N160" s="383"/>
      <c r="O160" s="276"/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</row>
    <row r="161" spans="2:31" ht="14.4">
      <c r="B161" s="381">
        <f t="shared" si="5"/>
        <v>116</v>
      </c>
      <c r="C161" s="389" t="str" cm="1">
        <f t="array" aca="1" ref="C161" ca="1">IF(B161&lt;=$C$9,GetGetCDSName(B161),"")</f>
        <v>VATTENFALLAB_MMR.EUR.SU</v>
      </c>
      <c r="D161" s="349">
        <v>0</v>
      </c>
      <c r="E161" s="382">
        <v>0</v>
      </c>
      <c r="F161" s="301">
        <v>0</v>
      </c>
      <c r="G161" s="301">
        <v>0</v>
      </c>
      <c r="H161" s="301">
        <v>0</v>
      </c>
      <c r="I161" s="301">
        <v>0</v>
      </c>
      <c r="J161" s="301">
        <v>1</v>
      </c>
      <c r="K161" s="301"/>
      <c r="L161" s="301"/>
      <c r="M161" s="301"/>
      <c r="N161" s="383"/>
      <c r="O161" s="276"/>
      <c r="P161" s="276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C161" s="276"/>
      <c r="AD161" s="276"/>
      <c r="AE161" s="276"/>
    </row>
    <row r="162" spans="2:31" ht="14.4">
      <c r="B162" s="381">
        <f t="shared" si="5"/>
        <v>117</v>
      </c>
      <c r="C162" s="389" t="str" cm="1">
        <f t="array" aca="1" ref="C162" ca="1">IF(B162&lt;=$C$9,GetGetCDSName(B162),"")</f>
        <v>VEOLIAENVIRONNEMENT_MMR.EUR.SU</v>
      </c>
      <c r="D162" s="349">
        <v>0</v>
      </c>
      <c r="E162" s="382">
        <v>0</v>
      </c>
      <c r="F162" s="301">
        <v>0</v>
      </c>
      <c r="G162" s="301">
        <v>1</v>
      </c>
      <c r="H162" s="301">
        <v>0</v>
      </c>
      <c r="I162" s="301">
        <v>1</v>
      </c>
      <c r="J162" s="301">
        <v>0</v>
      </c>
      <c r="K162" s="301"/>
      <c r="L162" s="301"/>
      <c r="M162" s="301"/>
      <c r="N162" s="383"/>
      <c r="O162" s="276"/>
      <c r="P162" s="276"/>
      <c r="Q162" s="276"/>
      <c r="R162" s="276"/>
      <c r="S162" s="276"/>
      <c r="T162" s="276"/>
      <c r="U162" s="276"/>
      <c r="V162" s="276"/>
      <c r="W162" s="276"/>
      <c r="X162" s="276"/>
      <c r="Y162" s="276"/>
      <c r="Z162" s="276"/>
      <c r="AA162" s="276"/>
      <c r="AB162" s="276"/>
      <c r="AC162" s="276"/>
      <c r="AD162" s="276"/>
      <c r="AE162" s="276"/>
    </row>
    <row r="163" spans="2:31" ht="14.4">
      <c r="B163" s="381">
        <f t="shared" si="5"/>
        <v>118</v>
      </c>
      <c r="C163" s="389" t="str" cm="1">
        <f t="array" aca="1" ref="C163" ca="1">IF(B163&lt;=$C$9,GetGetCDSName(B163),"")</f>
        <v>VINCI_MMR.EUR.SU</v>
      </c>
      <c r="D163" s="349">
        <v>0</v>
      </c>
      <c r="E163" s="382">
        <v>0</v>
      </c>
      <c r="F163" s="301">
        <v>1</v>
      </c>
      <c r="G163" s="301">
        <v>0</v>
      </c>
      <c r="H163" s="301">
        <v>0</v>
      </c>
      <c r="I163" s="301">
        <v>0</v>
      </c>
      <c r="J163" s="301">
        <v>0</v>
      </c>
      <c r="K163" s="301"/>
      <c r="L163" s="301"/>
      <c r="M163" s="301"/>
      <c r="N163" s="383"/>
      <c r="O163" s="276"/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C163" s="276"/>
      <c r="AD163" s="276"/>
      <c r="AE163" s="276"/>
    </row>
    <row r="164" spans="2:31" ht="14.4">
      <c r="B164" s="381">
        <f t="shared" si="5"/>
        <v>119</v>
      </c>
      <c r="C164" s="389" t="str" cm="1">
        <f t="array" aca="1" ref="C164" ca="1">IF(B164&lt;=$C$9,GetGetCDSName(B164),"")</f>
        <v>VIVENDI_MMR.EUR.SU</v>
      </c>
      <c r="D164" s="349">
        <v>0</v>
      </c>
      <c r="E164" s="382">
        <v>0</v>
      </c>
      <c r="F164" s="301">
        <v>0</v>
      </c>
      <c r="G164" s="301">
        <v>1</v>
      </c>
      <c r="H164" s="301">
        <v>0</v>
      </c>
      <c r="I164" s="301">
        <v>0</v>
      </c>
      <c r="J164" s="301">
        <v>0</v>
      </c>
      <c r="K164" s="301"/>
      <c r="L164" s="301"/>
      <c r="M164" s="301"/>
      <c r="N164" s="383"/>
      <c r="O164" s="276"/>
      <c r="P164" s="276"/>
      <c r="Q164" s="276"/>
      <c r="R164" s="276"/>
      <c r="S164" s="276"/>
      <c r="T164" s="276"/>
      <c r="U164" s="276"/>
      <c r="V164" s="276"/>
      <c r="W164" s="276"/>
      <c r="X164" s="276"/>
      <c r="Y164" s="276"/>
      <c r="Z164" s="276"/>
      <c r="AA164" s="276"/>
      <c r="AB164" s="276"/>
      <c r="AC164" s="276"/>
      <c r="AD164" s="276"/>
      <c r="AE164" s="276"/>
    </row>
    <row r="165" spans="2:31" ht="14.4">
      <c r="B165" s="381">
        <f t="shared" si="5"/>
        <v>120</v>
      </c>
      <c r="C165" s="389" t="str" cm="1">
        <f t="array" aca="1" ref="C165" ca="1">IF(B165&lt;=$C$9,GetGetCDSName(B165),"")</f>
        <v>VODAFONE_MMR.EUR.SU</v>
      </c>
      <c r="D165" s="349">
        <v>0</v>
      </c>
      <c r="E165" s="382">
        <v>1</v>
      </c>
      <c r="F165" s="301">
        <v>0</v>
      </c>
      <c r="G165" s="301">
        <v>0</v>
      </c>
      <c r="H165" s="301">
        <v>0</v>
      </c>
      <c r="I165" s="301">
        <v>0</v>
      </c>
      <c r="J165" s="301">
        <v>0</v>
      </c>
      <c r="K165" s="301"/>
      <c r="L165" s="301"/>
      <c r="M165" s="301"/>
      <c r="N165" s="383"/>
      <c r="O165" s="276"/>
      <c r="P165" s="276"/>
      <c r="Q165" s="276"/>
      <c r="R165" s="276"/>
      <c r="S165" s="276"/>
      <c r="T165" s="276"/>
      <c r="U165" s="276"/>
      <c r="V165" s="276"/>
      <c r="W165" s="276"/>
      <c r="X165" s="276"/>
      <c r="Y165" s="276"/>
      <c r="Z165" s="276"/>
      <c r="AA165" s="276"/>
      <c r="AB165" s="276"/>
      <c r="AC165" s="276"/>
      <c r="AD165" s="276"/>
      <c r="AE165" s="276"/>
    </row>
    <row r="166" spans="2:31" ht="14.4">
      <c r="B166" s="381">
        <f t="shared" si="5"/>
        <v>121</v>
      </c>
      <c r="C166" s="389" t="str" cm="1">
        <f t="array" aca="1" ref="C166" ca="1">IF(B166&lt;=$C$9,GetGetCDSName(B166),"")</f>
        <v>VOLVO_MMR.EUR.SU</v>
      </c>
      <c r="D166" s="349">
        <v>0</v>
      </c>
      <c r="E166" s="382">
        <v>0</v>
      </c>
      <c r="F166" s="301">
        <v>0</v>
      </c>
      <c r="G166" s="301">
        <v>0</v>
      </c>
      <c r="H166" s="301">
        <v>1</v>
      </c>
      <c r="I166" s="301">
        <v>0</v>
      </c>
      <c r="J166" s="301">
        <v>1</v>
      </c>
      <c r="K166" s="301"/>
      <c r="L166" s="301"/>
      <c r="M166" s="301"/>
      <c r="N166" s="383"/>
      <c r="O166" s="276"/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C166" s="276"/>
      <c r="AD166" s="276"/>
      <c r="AE166" s="276"/>
    </row>
    <row r="167" spans="2:31" ht="14.4">
      <c r="B167" s="381">
        <f t="shared" si="5"/>
        <v>122</v>
      </c>
      <c r="C167" s="389" t="str" cm="1">
        <f t="array" aca="1" ref="C167" ca="1">IF(B167&lt;=$C$9,GetGetCDSName(B167),"")</f>
        <v>VW_MMR.EUR.SU</v>
      </c>
      <c r="D167" s="349">
        <v>0</v>
      </c>
      <c r="E167" s="382">
        <v>1</v>
      </c>
      <c r="F167" s="301">
        <v>0</v>
      </c>
      <c r="G167" s="301">
        <v>0</v>
      </c>
      <c r="H167" s="301">
        <v>0</v>
      </c>
      <c r="I167" s="301">
        <v>0</v>
      </c>
      <c r="J167" s="301">
        <v>0</v>
      </c>
      <c r="K167" s="301"/>
      <c r="L167" s="301"/>
      <c r="M167" s="301"/>
      <c r="N167" s="383"/>
      <c r="O167" s="276"/>
      <c r="P167" s="276"/>
      <c r="Q167" s="276"/>
      <c r="R167" s="276"/>
      <c r="S167" s="276"/>
      <c r="T167" s="276"/>
      <c r="U167" s="276"/>
      <c r="V167" s="276"/>
      <c r="W167" s="276"/>
      <c r="X167" s="276"/>
      <c r="Y167" s="276"/>
      <c r="Z167" s="276"/>
      <c r="AA167" s="276"/>
      <c r="AB167" s="276"/>
      <c r="AC167" s="276"/>
      <c r="AD167" s="276"/>
      <c r="AE167" s="276"/>
    </row>
    <row r="168" spans="2:31" ht="14.4">
      <c r="B168" s="381">
        <f t="shared" si="5"/>
        <v>123</v>
      </c>
      <c r="C168" s="389" t="str" cm="1">
        <f t="array" aca="1" ref="C168" ca="1">IF(B168&lt;=$C$9,GetGetCDSName(B168),"")</f>
        <v>WOLTERSKLUWERCVA_MMR.EUR.SU</v>
      </c>
      <c r="D168" s="349">
        <v>0</v>
      </c>
      <c r="E168" s="382">
        <v>0</v>
      </c>
      <c r="F168" s="301">
        <v>1</v>
      </c>
      <c r="G168" s="301">
        <v>0</v>
      </c>
      <c r="H168" s="301">
        <v>0</v>
      </c>
      <c r="I168" s="301">
        <v>0</v>
      </c>
      <c r="J168" s="301">
        <v>0</v>
      </c>
      <c r="K168" s="301"/>
      <c r="L168" s="301"/>
      <c r="M168" s="301"/>
      <c r="N168" s="383"/>
      <c r="O168" s="276"/>
      <c r="P168" s="276"/>
      <c r="Q168" s="276"/>
      <c r="R168" s="276"/>
      <c r="S168" s="276"/>
      <c r="T168" s="276"/>
      <c r="U168" s="276"/>
      <c r="V168" s="276"/>
      <c r="W168" s="276"/>
      <c r="X168" s="276"/>
      <c r="Y168" s="276"/>
      <c r="Z168" s="276"/>
      <c r="AA168" s="276"/>
      <c r="AB168" s="276"/>
      <c r="AC168" s="276"/>
      <c r="AD168" s="276"/>
      <c r="AE168" s="276"/>
    </row>
    <row r="169" spans="2:31" ht="14.4">
      <c r="B169" s="381">
        <f t="shared" si="5"/>
        <v>124</v>
      </c>
      <c r="C169" s="389" t="str" cm="1">
        <f t="array" aca="1" ref="C169" ca="1">IF(B169&lt;=$C$9,GetGetCDSName(B169),"")</f>
        <v>WPPGROUP_MMR.EUR.SU</v>
      </c>
      <c r="D169" s="349">
        <v>0</v>
      </c>
      <c r="E169" s="382">
        <v>1</v>
      </c>
      <c r="F169" s="301">
        <v>0</v>
      </c>
      <c r="G169" s="301">
        <v>1</v>
      </c>
      <c r="H169" s="301">
        <v>0</v>
      </c>
      <c r="I169" s="301">
        <v>1</v>
      </c>
      <c r="J169" s="301">
        <v>0</v>
      </c>
      <c r="K169" s="301"/>
      <c r="L169" s="301"/>
      <c r="M169" s="301"/>
      <c r="N169" s="383"/>
      <c r="O169" s="276"/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C169" s="276"/>
      <c r="AD169" s="276"/>
      <c r="AE169" s="276"/>
    </row>
    <row r="170" spans="2:31" ht="14.4">
      <c r="B170" s="381">
        <f t="shared" si="5"/>
        <v>125</v>
      </c>
      <c r="C170" s="389" t="str" cm="1">
        <f t="array" aca="1" ref="C170" ca="1">IF(B170&lt;=$C$9,GetGetCDSName(B170),"")</f>
        <v>ZURICHINSURANCE_MMR.EUR.SU</v>
      </c>
      <c r="D170" s="349">
        <v>0</v>
      </c>
      <c r="E170" s="382">
        <v>0</v>
      </c>
      <c r="F170" s="301">
        <v>0</v>
      </c>
      <c r="G170" s="301">
        <v>0</v>
      </c>
      <c r="H170" s="301">
        <v>1</v>
      </c>
      <c r="I170" s="301">
        <v>0</v>
      </c>
      <c r="J170" s="301">
        <v>0</v>
      </c>
      <c r="K170" s="301"/>
      <c r="L170" s="301"/>
      <c r="M170" s="301"/>
      <c r="N170" s="383"/>
      <c r="O170" s="276"/>
      <c r="P170" s="276"/>
      <c r="Q170" s="276"/>
      <c r="R170" s="276"/>
      <c r="S170" s="276"/>
      <c r="T170" s="276"/>
      <c r="U170" s="276"/>
      <c r="V170" s="276"/>
      <c r="W170" s="276"/>
      <c r="X170" s="276"/>
      <c r="Y170" s="276"/>
      <c r="Z170" s="276"/>
      <c r="AA170" s="276"/>
      <c r="AB170" s="276"/>
      <c r="AC170" s="276"/>
      <c r="AD170" s="276"/>
      <c r="AE170" s="276"/>
    </row>
    <row r="171" spans="2:31" ht="14.4">
      <c r="B171" s="381">
        <f t="shared" si="5"/>
        <v>126</v>
      </c>
      <c r="C171" s="389" t="str" cm="1">
        <f t="array" aca="1" ref="C171" ca="1">IF(B171&lt;=$C$9,GetGetCDSName(B171),"")</f>
        <v/>
      </c>
      <c r="D171" s="349"/>
      <c r="E171" s="382"/>
      <c r="F171" s="301"/>
      <c r="G171" s="301"/>
      <c r="H171" s="301"/>
      <c r="I171" s="301"/>
      <c r="J171" s="301"/>
      <c r="K171" s="301"/>
      <c r="L171" s="301"/>
      <c r="M171" s="301"/>
      <c r="N171" s="383"/>
      <c r="O171" s="276"/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C171" s="276"/>
      <c r="AD171" s="276"/>
      <c r="AE171" s="276"/>
    </row>
    <row r="172" spans="2:31" ht="14.4">
      <c r="B172" s="381">
        <f t="shared" si="5"/>
        <v>127</v>
      </c>
      <c r="C172" s="389" t="str" cm="1">
        <f t="array" aca="1" ref="C172" ca="1">IF(B172&lt;=$C$9,GetGetCDSName(B172),"")</f>
        <v/>
      </c>
      <c r="D172" s="349"/>
      <c r="E172" s="382"/>
      <c r="F172" s="301"/>
      <c r="G172" s="301"/>
      <c r="H172" s="301"/>
      <c r="I172" s="301"/>
      <c r="J172" s="301"/>
      <c r="K172" s="301"/>
      <c r="L172" s="301"/>
      <c r="M172" s="301"/>
      <c r="N172" s="383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</row>
    <row r="173" spans="2:31" ht="14.4">
      <c r="B173" s="381">
        <f t="shared" si="5"/>
        <v>128</v>
      </c>
      <c r="C173" s="389" t="str" cm="1">
        <f t="array" aca="1" ref="C173" ca="1">IF(B173&lt;=$C$9,GetGetCDSName(B173),"")</f>
        <v/>
      </c>
      <c r="D173" s="349"/>
      <c r="E173" s="382"/>
      <c r="F173" s="301"/>
      <c r="G173" s="301"/>
      <c r="H173" s="301"/>
      <c r="I173" s="301"/>
      <c r="J173" s="301"/>
      <c r="K173" s="301"/>
      <c r="L173" s="301"/>
      <c r="M173" s="301"/>
      <c r="N173" s="383"/>
      <c r="O173" s="276"/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C173" s="276"/>
      <c r="AD173" s="276"/>
      <c r="AE173" s="276"/>
    </row>
    <row r="174" spans="2:31" ht="14.4">
      <c r="B174" s="381">
        <f t="shared" si="5"/>
        <v>129</v>
      </c>
      <c r="C174" s="389" t="str" cm="1">
        <f t="array" aca="1" ref="C174" ca="1">IF(B174&lt;=$C$9,GetGetCDSName(B174),"")</f>
        <v/>
      </c>
      <c r="D174" s="349"/>
      <c r="E174" s="382"/>
      <c r="F174" s="301"/>
      <c r="G174" s="301"/>
      <c r="H174" s="301"/>
      <c r="I174" s="301"/>
      <c r="J174" s="301"/>
      <c r="K174" s="301"/>
      <c r="L174" s="301"/>
      <c r="M174" s="301"/>
      <c r="N174" s="383"/>
      <c r="O174" s="276"/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C174" s="276"/>
      <c r="AD174" s="276"/>
      <c r="AE174" s="276"/>
    </row>
    <row r="175" spans="2:31" ht="14.4">
      <c r="B175" s="381">
        <f t="shared" ref="B175:B238" si="6">B174+1</f>
        <v>130</v>
      </c>
      <c r="C175" s="389" t="str" cm="1">
        <f t="array" aca="1" ref="C175" ca="1">IF(B175&lt;=$C$9,GetGetCDSName(B175),"")</f>
        <v/>
      </c>
      <c r="D175" s="349"/>
      <c r="E175" s="382"/>
      <c r="F175" s="301"/>
      <c r="G175" s="301"/>
      <c r="H175" s="301"/>
      <c r="I175" s="301"/>
      <c r="J175" s="301"/>
      <c r="K175" s="301"/>
      <c r="L175" s="301"/>
      <c r="M175" s="301"/>
      <c r="N175" s="383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</row>
    <row r="176" spans="2:31" ht="14.4">
      <c r="B176" s="381">
        <f t="shared" si="6"/>
        <v>131</v>
      </c>
      <c r="C176" s="389" t="str" cm="1">
        <f t="array" aca="1" ref="C176" ca="1">IF(B176&lt;=$C$9,GetGetCDSName(B176),"")</f>
        <v/>
      </c>
      <c r="D176" s="349"/>
      <c r="E176" s="382"/>
      <c r="F176" s="301"/>
      <c r="G176" s="301"/>
      <c r="H176" s="301"/>
      <c r="I176" s="301"/>
      <c r="J176" s="301"/>
      <c r="K176" s="301"/>
      <c r="L176" s="301"/>
      <c r="M176" s="301"/>
      <c r="N176" s="383"/>
      <c r="O176" s="276"/>
      <c r="P176" s="276"/>
      <c r="Q176" s="276"/>
      <c r="R176" s="276"/>
      <c r="S176" s="276"/>
      <c r="T176" s="276"/>
      <c r="U176" s="276"/>
      <c r="V176" s="276"/>
      <c r="W176" s="276"/>
      <c r="X176" s="276"/>
      <c r="Y176" s="276"/>
      <c r="Z176" s="276"/>
      <c r="AA176" s="276"/>
      <c r="AB176" s="276"/>
      <c r="AC176" s="276"/>
      <c r="AD176" s="276"/>
      <c r="AE176" s="276"/>
    </row>
    <row r="177" spans="2:31" ht="14.4">
      <c r="B177" s="381">
        <f t="shared" si="6"/>
        <v>132</v>
      </c>
      <c r="C177" s="389" t="str" cm="1">
        <f t="array" aca="1" ref="C177" ca="1">IF(B177&lt;=$C$9,GetGetCDSName(B177),"")</f>
        <v/>
      </c>
      <c r="D177" s="349"/>
      <c r="E177" s="382"/>
      <c r="F177" s="301"/>
      <c r="G177" s="301"/>
      <c r="H177" s="301"/>
      <c r="I177" s="301"/>
      <c r="J177" s="301"/>
      <c r="K177" s="301"/>
      <c r="L177" s="301"/>
      <c r="M177" s="301"/>
      <c r="N177" s="383"/>
      <c r="O177" s="276"/>
      <c r="P177" s="276"/>
      <c r="Q177" s="276"/>
      <c r="R177" s="276"/>
      <c r="S177" s="276"/>
      <c r="T177" s="276"/>
      <c r="U177" s="276"/>
      <c r="V177" s="276"/>
      <c r="W177" s="276"/>
      <c r="X177" s="276"/>
      <c r="Y177" s="276"/>
      <c r="Z177" s="276"/>
      <c r="AA177" s="276"/>
      <c r="AB177" s="276"/>
      <c r="AC177" s="276"/>
      <c r="AD177" s="276"/>
      <c r="AE177" s="276"/>
    </row>
    <row r="178" spans="2:31" ht="14.4">
      <c r="B178" s="381">
        <f t="shared" si="6"/>
        <v>133</v>
      </c>
      <c r="C178" s="389" t="str" cm="1">
        <f t="array" aca="1" ref="C178" ca="1">IF(B178&lt;=$C$9,GetGetCDSName(B178),"")</f>
        <v/>
      </c>
      <c r="D178" s="349"/>
      <c r="E178" s="382"/>
      <c r="F178" s="301"/>
      <c r="G178" s="301"/>
      <c r="H178" s="301"/>
      <c r="I178" s="301"/>
      <c r="J178" s="301"/>
      <c r="K178" s="301"/>
      <c r="L178" s="301"/>
      <c r="M178" s="301"/>
      <c r="N178" s="383"/>
      <c r="O178" s="276"/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C178" s="276"/>
      <c r="AD178" s="276"/>
      <c r="AE178" s="276"/>
    </row>
    <row r="179" spans="2:31" ht="14.4">
      <c r="B179" s="381">
        <f t="shared" si="6"/>
        <v>134</v>
      </c>
      <c r="C179" s="389" t="str" cm="1">
        <f t="array" aca="1" ref="C179" ca="1">IF(B179&lt;=$C$9,GetGetCDSName(B179),"")</f>
        <v/>
      </c>
      <c r="D179" s="349"/>
      <c r="E179" s="382"/>
      <c r="F179" s="301"/>
      <c r="G179" s="301"/>
      <c r="H179" s="301"/>
      <c r="I179" s="301"/>
      <c r="J179" s="301"/>
      <c r="K179" s="301"/>
      <c r="L179" s="301"/>
      <c r="M179" s="301"/>
      <c r="N179" s="383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6"/>
      <c r="AB179" s="276"/>
      <c r="AC179" s="276"/>
      <c r="AD179" s="276"/>
      <c r="AE179" s="276"/>
    </row>
    <row r="180" spans="2:31" ht="14.4">
      <c r="B180" s="381">
        <f t="shared" si="6"/>
        <v>135</v>
      </c>
      <c r="C180" s="389" t="str" cm="1">
        <f t="array" aca="1" ref="C180" ca="1">IF(B180&lt;=$C$9,GetGetCDSName(B180),"")</f>
        <v/>
      </c>
      <c r="D180" s="349"/>
      <c r="E180" s="382"/>
      <c r="F180" s="301"/>
      <c r="G180" s="301"/>
      <c r="H180" s="301"/>
      <c r="I180" s="301"/>
      <c r="J180" s="301"/>
      <c r="K180" s="301"/>
      <c r="L180" s="301"/>
      <c r="M180" s="301"/>
      <c r="N180" s="383"/>
      <c r="O180" s="276"/>
      <c r="P180" s="276"/>
      <c r="Q180" s="276"/>
      <c r="R180" s="276"/>
      <c r="S180" s="276"/>
      <c r="T180" s="276"/>
      <c r="U180" s="276"/>
      <c r="V180" s="276"/>
      <c r="W180" s="276"/>
      <c r="X180" s="276"/>
      <c r="Y180" s="276"/>
      <c r="Z180" s="276"/>
      <c r="AA180" s="276"/>
      <c r="AB180" s="276"/>
      <c r="AC180" s="276"/>
      <c r="AD180" s="276"/>
      <c r="AE180" s="276"/>
    </row>
    <row r="181" spans="2:31" ht="14.4">
      <c r="B181" s="381">
        <f t="shared" si="6"/>
        <v>136</v>
      </c>
      <c r="C181" s="389" t="str" cm="1">
        <f t="array" aca="1" ref="C181" ca="1">IF(B181&lt;=$C$9,GetGetCDSName(B181),"")</f>
        <v/>
      </c>
      <c r="D181" s="349"/>
      <c r="E181" s="382"/>
      <c r="F181" s="301"/>
      <c r="G181" s="301"/>
      <c r="H181" s="301"/>
      <c r="I181" s="301"/>
      <c r="J181" s="301"/>
      <c r="K181" s="301"/>
      <c r="L181" s="301"/>
      <c r="M181" s="301"/>
      <c r="N181" s="383"/>
      <c r="O181" s="276"/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C181" s="276"/>
      <c r="AD181" s="276"/>
      <c r="AE181" s="276"/>
    </row>
    <row r="182" spans="2:31" ht="14.4">
      <c r="B182" s="381">
        <f t="shared" si="6"/>
        <v>137</v>
      </c>
      <c r="C182" s="389" t="str" cm="1">
        <f t="array" aca="1" ref="C182" ca="1">IF(B182&lt;=$C$9,GetGetCDSName(B182),"")</f>
        <v/>
      </c>
      <c r="D182" s="349"/>
      <c r="E182" s="382"/>
      <c r="F182" s="301"/>
      <c r="G182" s="301"/>
      <c r="H182" s="301"/>
      <c r="I182" s="301"/>
      <c r="J182" s="301"/>
      <c r="K182" s="301"/>
      <c r="L182" s="301"/>
      <c r="M182" s="301"/>
      <c r="N182" s="383"/>
      <c r="O182" s="276"/>
      <c r="P182" s="276"/>
      <c r="Q182" s="276"/>
      <c r="R182" s="276"/>
      <c r="S182" s="276"/>
      <c r="T182" s="276"/>
      <c r="U182" s="276"/>
      <c r="V182" s="276"/>
      <c r="W182" s="276"/>
      <c r="X182" s="276"/>
      <c r="Y182" s="276"/>
      <c r="Z182" s="276"/>
      <c r="AA182" s="276"/>
      <c r="AB182" s="276"/>
      <c r="AC182" s="276"/>
      <c r="AD182" s="276"/>
      <c r="AE182" s="276"/>
    </row>
    <row r="183" spans="2:31" ht="14.4">
      <c r="B183" s="381">
        <f t="shared" si="6"/>
        <v>138</v>
      </c>
      <c r="C183" s="389" t="str" cm="1">
        <f t="array" aca="1" ref="C183" ca="1">IF(B183&lt;=$C$9,GetGetCDSName(B183),"")</f>
        <v/>
      </c>
      <c r="D183" s="349"/>
      <c r="E183" s="382"/>
      <c r="F183" s="301"/>
      <c r="G183" s="301"/>
      <c r="H183" s="301"/>
      <c r="I183" s="301"/>
      <c r="J183" s="301"/>
      <c r="K183" s="301"/>
      <c r="L183" s="301"/>
      <c r="M183" s="301"/>
      <c r="N183" s="383"/>
      <c r="O183" s="276"/>
      <c r="P183" s="276"/>
      <c r="Q183" s="276"/>
      <c r="R183" s="276"/>
      <c r="S183" s="276"/>
      <c r="T183" s="276"/>
      <c r="U183" s="276"/>
      <c r="V183" s="276"/>
      <c r="W183" s="276"/>
      <c r="X183" s="276"/>
      <c r="Y183" s="276"/>
      <c r="Z183" s="276"/>
      <c r="AA183" s="276"/>
      <c r="AB183" s="276"/>
      <c r="AC183" s="276"/>
      <c r="AD183" s="276"/>
      <c r="AE183" s="276"/>
    </row>
    <row r="184" spans="2:31" ht="14.4">
      <c r="B184" s="381">
        <f t="shared" si="6"/>
        <v>139</v>
      </c>
      <c r="C184" s="389" t="str" cm="1">
        <f t="array" aca="1" ref="C184" ca="1">IF(B184&lt;=$C$9,GetGetCDSName(B184),"")</f>
        <v/>
      </c>
      <c r="D184" s="349"/>
      <c r="E184" s="382"/>
      <c r="F184" s="301"/>
      <c r="G184" s="301"/>
      <c r="H184" s="301"/>
      <c r="I184" s="301"/>
      <c r="J184" s="301"/>
      <c r="K184" s="301"/>
      <c r="L184" s="301"/>
      <c r="M184" s="301"/>
      <c r="N184" s="383"/>
      <c r="O184" s="276"/>
      <c r="P184" s="276"/>
      <c r="Q184" s="276"/>
      <c r="R184" s="276"/>
      <c r="S184" s="276"/>
      <c r="T184" s="276"/>
      <c r="U184" s="276"/>
      <c r="V184" s="276"/>
      <c r="W184" s="276"/>
      <c r="X184" s="276"/>
      <c r="Y184" s="276"/>
      <c r="Z184" s="276"/>
      <c r="AA184" s="276"/>
      <c r="AB184" s="276"/>
      <c r="AC184" s="276"/>
      <c r="AD184" s="276"/>
      <c r="AE184" s="276"/>
    </row>
    <row r="185" spans="2:31" ht="14.4">
      <c r="B185" s="381">
        <f t="shared" si="6"/>
        <v>140</v>
      </c>
      <c r="C185" s="389" t="str" cm="1">
        <f t="array" aca="1" ref="C185" ca="1">IF(B185&lt;=$C$9,GetGetCDSName(B185),"")</f>
        <v/>
      </c>
      <c r="D185" s="349"/>
      <c r="E185" s="382"/>
      <c r="F185" s="301"/>
      <c r="G185" s="301"/>
      <c r="H185" s="301"/>
      <c r="I185" s="301"/>
      <c r="J185" s="301"/>
      <c r="K185" s="301"/>
      <c r="L185" s="301"/>
      <c r="M185" s="301"/>
      <c r="N185" s="383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6"/>
      <c r="AB185" s="276"/>
      <c r="AC185" s="276"/>
      <c r="AD185" s="276"/>
      <c r="AE185" s="276"/>
    </row>
    <row r="186" spans="2:31" ht="14.4">
      <c r="B186" s="381">
        <f t="shared" si="6"/>
        <v>141</v>
      </c>
      <c r="C186" s="389" t="str" cm="1">
        <f t="array" aca="1" ref="C186" ca="1">IF(B186&lt;=$C$9,GetGetCDSName(B186),"")</f>
        <v/>
      </c>
      <c r="D186" s="349"/>
      <c r="E186" s="382"/>
      <c r="F186" s="301"/>
      <c r="G186" s="301"/>
      <c r="H186" s="301"/>
      <c r="I186" s="301"/>
      <c r="J186" s="301"/>
      <c r="K186" s="301"/>
      <c r="L186" s="301"/>
      <c r="M186" s="301"/>
      <c r="N186" s="383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6"/>
      <c r="AB186" s="276"/>
      <c r="AC186" s="276"/>
      <c r="AD186" s="276"/>
      <c r="AE186" s="276"/>
    </row>
    <row r="187" spans="2:31" ht="14.4">
      <c r="B187" s="381">
        <f t="shared" si="6"/>
        <v>142</v>
      </c>
      <c r="C187" s="389" t="str" cm="1">
        <f t="array" aca="1" ref="C187" ca="1">IF(B187&lt;=$C$9,GetGetCDSName(B187),"")</f>
        <v/>
      </c>
      <c r="D187" s="349"/>
      <c r="E187" s="382"/>
      <c r="F187" s="301"/>
      <c r="G187" s="301"/>
      <c r="H187" s="301"/>
      <c r="I187" s="301"/>
      <c r="J187" s="301"/>
      <c r="K187" s="301"/>
      <c r="L187" s="301"/>
      <c r="M187" s="301"/>
      <c r="N187" s="383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C187" s="276"/>
      <c r="AD187" s="276"/>
      <c r="AE187" s="276"/>
    </row>
    <row r="188" spans="2:31" ht="14.4">
      <c r="B188" s="381">
        <f t="shared" si="6"/>
        <v>143</v>
      </c>
      <c r="C188" s="389" t="str" cm="1">
        <f t="array" aca="1" ref="C188" ca="1">IF(B188&lt;=$C$9,GetGetCDSName(B188),"")</f>
        <v/>
      </c>
      <c r="D188" s="349"/>
      <c r="E188" s="382"/>
      <c r="F188" s="301"/>
      <c r="G188" s="301"/>
      <c r="H188" s="301"/>
      <c r="I188" s="301"/>
      <c r="J188" s="301"/>
      <c r="K188" s="301"/>
      <c r="L188" s="301"/>
      <c r="M188" s="301"/>
      <c r="N188" s="383"/>
      <c r="O188" s="276"/>
      <c r="P188" s="276"/>
      <c r="Q188" s="276"/>
      <c r="R188" s="276"/>
      <c r="S188" s="276"/>
      <c r="T188" s="276"/>
      <c r="U188" s="276"/>
      <c r="V188" s="276"/>
      <c r="W188" s="276"/>
      <c r="X188" s="276"/>
      <c r="Y188" s="276"/>
      <c r="Z188" s="276"/>
      <c r="AA188" s="276"/>
      <c r="AB188" s="276"/>
      <c r="AC188" s="276"/>
      <c r="AD188" s="276"/>
      <c r="AE188" s="276"/>
    </row>
    <row r="189" spans="2:31" ht="14.4">
      <c r="B189" s="381">
        <f t="shared" si="6"/>
        <v>144</v>
      </c>
      <c r="C189" s="389" t="str" cm="1">
        <f t="array" aca="1" ref="C189" ca="1">IF(B189&lt;=$C$9,GetGetCDSName(B189),"")</f>
        <v/>
      </c>
      <c r="D189" s="349"/>
      <c r="E189" s="382"/>
      <c r="F189" s="301"/>
      <c r="G189" s="301"/>
      <c r="H189" s="301"/>
      <c r="I189" s="301"/>
      <c r="J189" s="301"/>
      <c r="K189" s="301"/>
      <c r="L189" s="301"/>
      <c r="M189" s="301"/>
      <c r="N189" s="383"/>
      <c r="O189" s="276"/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276"/>
      <c r="AC189" s="276"/>
      <c r="AD189" s="276"/>
      <c r="AE189" s="276"/>
    </row>
    <row r="190" spans="2:31" ht="14.4">
      <c r="B190" s="381">
        <f t="shared" si="6"/>
        <v>145</v>
      </c>
      <c r="C190" s="389" t="str" cm="1">
        <f t="array" aca="1" ref="C190" ca="1">IF(B190&lt;=$C$9,GetGetCDSName(B190),"")</f>
        <v/>
      </c>
      <c r="D190" s="349"/>
      <c r="E190" s="382"/>
      <c r="F190" s="301"/>
      <c r="G190" s="301"/>
      <c r="H190" s="301"/>
      <c r="I190" s="301"/>
      <c r="J190" s="301"/>
      <c r="K190" s="301"/>
      <c r="L190" s="301"/>
      <c r="M190" s="301"/>
      <c r="N190" s="383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</row>
    <row r="191" spans="2:31" ht="14.4">
      <c r="B191" s="381">
        <f t="shared" si="6"/>
        <v>146</v>
      </c>
      <c r="C191" s="389" t="str" cm="1">
        <f t="array" aca="1" ref="C191" ca="1">IF(B191&lt;=$C$9,GetGetCDSName(B191),"")</f>
        <v/>
      </c>
      <c r="D191" s="349"/>
      <c r="E191" s="382"/>
      <c r="F191" s="301"/>
      <c r="G191" s="301"/>
      <c r="H191" s="301"/>
      <c r="I191" s="301"/>
      <c r="J191" s="301"/>
      <c r="K191" s="301"/>
      <c r="L191" s="301"/>
      <c r="M191" s="301"/>
      <c r="N191" s="383"/>
      <c r="O191" s="276"/>
      <c r="P191" s="276"/>
      <c r="Q191" s="276"/>
      <c r="R191" s="276"/>
      <c r="S191" s="276"/>
      <c r="T191" s="276"/>
      <c r="U191" s="276"/>
      <c r="V191" s="276"/>
      <c r="W191" s="276"/>
      <c r="X191" s="276"/>
      <c r="Y191" s="276"/>
      <c r="Z191" s="276"/>
      <c r="AA191" s="276"/>
      <c r="AB191" s="276"/>
      <c r="AC191" s="276"/>
      <c r="AD191" s="276"/>
      <c r="AE191" s="276"/>
    </row>
    <row r="192" spans="2:31" ht="14.4">
      <c r="B192" s="381">
        <f t="shared" si="6"/>
        <v>147</v>
      </c>
      <c r="C192" s="389" t="str" cm="1">
        <f t="array" aca="1" ref="C192" ca="1">IF(B192&lt;=$C$9,GetGetCDSName(B192),"")</f>
        <v/>
      </c>
      <c r="D192" s="349"/>
      <c r="E192" s="382"/>
      <c r="F192" s="301"/>
      <c r="G192" s="301"/>
      <c r="H192" s="301"/>
      <c r="I192" s="301"/>
      <c r="J192" s="301"/>
      <c r="K192" s="301"/>
      <c r="L192" s="301"/>
      <c r="M192" s="301"/>
      <c r="N192" s="383"/>
      <c r="O192" s="276"/>
      <c r="P192" s="276"/>
      <c r="Q192" s="276"/>
      <c r="R192" s="276"/>
      <c r="S192" s="276"/>
      <c r="T192" s="276"/>
      <c r="U192" s="276"/>
      <c r="V192" s="276"/>
      <c r="W192" s="276"/>
      <c r="X192" s="276"/>
      <c r="Y192" s="276"/>
      <c r="Z192" s="276"/>
      <c r="AA192" s="276"/>
      <c r="AB192" s="276"/>
      <c r="AC192" s="276"/>
      <c r="AD192" s="276"/>
      <c r="AE192" s="276"/>
    </row>
    <row r="193" spans="2:31" ht="14.4">
      <c r="B193" s="381">
        <f t="shared" si="6"/>
        <v>148</v>
      </c>
      <c r="C193" s="389" t="str" cm="1">
        <f t="array" aca="1" ref="C193" ca="1">IF(B193&lt;=$C$9,GetGetCDSName(B193),"")</f>
        <v/>
      </c>
      <c r="D193" s="349"/>
      <c r="E193" s="382"/>
      <c r="F193" s="301"/>
      <c r="G193" s="301"/>
      <c r="H193" s="301"/>
      <c r="I193" s="301"/>
      <c r="J193" s="301"/>
      <c r="K193" s="301"/>
      <c r="L193" s="301"/>
      <c r="M193" s="301"/>
      <c r="N193" s="383"/>
      <c r="O193" s="276"/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C193" s="276"/>
      <c r="AD193" s="276"/>
      <c r="AE193" s="276"/>
    </row>
    <row r="194" spans="2:31" ht="14.4">
      <c r="B194" s="381">
        <f t="shared" si="6"/>
        <v>149</v>
      </c>
      <c r="C194" s="389" t="str" cm="1">
        <f t="array" aca="1" ref="C194" ca="1">IF(B194&lt;=$C$9,GetGetCDSName(B194),"")</f>
        <v/>
      </c>
      <c r="D194" s="349"/>
      <c r="E194" s="382"/>
      <c r="F194" s="301"/>
      <c r="G194" s="301"/>
      <c r="H194" s="301"/>
      <c r="I194" s="301"/>
      <c r="J194" s="301"/>
      <c r="K194" s="301"/>
      <c r="L194" s="301"/>
      <c r="M194" s="301"/>
      <c r="N194" s="383"/>
      <c r="O194" s="276"/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276"/>
      <c r="AC194" s="276"/>
      <c r="AD194" s="276"/>
      <c r="AE194" s="276"/>
    </row>
    <row r="195" spans="2:31" ht="14.4">
      <c r="B195" s="381">
        <f t="shared" si="6"/>
        <v>150</v>
      </c>
      <c r="C195" s="389" t="str" cm="1">
        <f t="array" aca="1" ref="C195" ca="1">IF(B195&lt;=$C$9,GetGetCDSName(B195),"")</f>
        <v/>
      </c>
      <c r="D195" s="349"/>
      <c r="E195" s="382"/>
      <c r="F195" s="301"/>
      <c r="G195" s="301"/>
      <c r="H195" s="301"/>
      <c r="I195" s="301"/>
      <c r="J195" s="301"/>
      <c r="K195" s="301"/>
      <c r="L195" s="301"/>
      <c r="M195" s="301"/>
      <c r="N195" s="383"/>
      <c r="O195" s="276"/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276"/>
      <c r="AC195" s="276"/>
      <c r="AD195" s="276"/>
      <c r="AE195" s="276"/>
    </row>
    <row r="196" spans="2:31" ht="14.4">
      <c r="B196" s="381">
        <f t="shared" si="6"/>
        <v>151</v>
      </c>
      <c r="C196" s="389" t="str" cm="1">
        <f t="array" aca="1" ref="C196" ca="1">IF(B196&lt;=$C$9,GetGetCDSName(B196),"")</f>
        <v/>
      </c>
      <c r="D196" s="349"/>
      <c r="E196" s="382"/>
      <c r="F196" s="301"/>
      <c r="G196" s="301"/>
      <c r="H196" s="301"/>
      <c r="I196" s="301"/>
      <c r="J196" s="301"/>
      <c r="K196" s="301"/>
      <c r="L196" s="301"/>
      <c r="M196" s="301"/>
      <c r="N196" s="383"/>
      <c r="O196" s="276"/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C196" s="276"/>
      <c r="AD196" s="276"/>
      <c r="AE196" s="276"/>
    </row>
    <row r="197" spans="2:31" ht="14.4">
      <c r="B197" s="381">
        <f t="shared" si="6"/>
        <v>152</v>
      </c>
      <c r="C197" s="389" t="str" cm="1">
        <f t="array" aca="1" ref="C197" ca="1">IF(B197&lt;=$C$9,GetGetCDSName(B197),"")</f>
        <v/>
      </c>
      <c r="D197" s="349"/>
      <c r="E197" s="382"/>
      <c r="F197" s="301"/>
      <c r="G197" s="301"/>
      <c r="H197" s="301"/>
      <c r="I197" s="301"/>
      <c r="J197" s="301"/>
      <c r="K197" s="301"/>
      <c r="L197" s="301"/>
      <c r="M197" s="301"/>
      <c r="N197" s="383"/>
      <c r="O197" s="276"/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276"/>
      <c r="AC197" s="276"/>
      <c r="AD197" s="276"/>
      <c r="AE197" s="276"/>
    </row>
    <row r="198" spans="2:31" ht="14.4">
      <c r="B198" s="381">
        <f t="shared" si="6"/>
        <v>153</v>
      </c>
      <c r="C198" s="389" t="str" cm="1">
        <f t="array" aca="1" ref="C198" ca="1">IF(B198&lt;=$C$9,GetGetCDSName(B198),"")</f>
        <v/>
      </c>
      <c r="D198" s="349"/>
      <c r="E198" s="382"/>
      <c r="F198" s="301"/>
      <c r="G198" s="301"/>
      <c r="H198" s="301"/>
      <c r="I198" s="301"/>
      <c r="J198" s="301"/>
      <c r="K198" s="301"/>
      <c r="L198" s="301"/>
      <c r="M198" s="301"/>
      <c r="N198" s="383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6"/>
      <c r="AB198" s="276"/>
      <c r="AC198" s="276"/>
      <c r="AD198" s="276"/>
      <c r="AE198" s="276"/>
    </row>
    <row r="199" spans="2:31" ht="14.4">
      <c r="B199" s="381">
        <f t="shared" si="6"/>
        <v>154</v>
      </c>
      <c r="C199" s="389" t="str" cm="1">
        <f t="array" aca="1" ref="C199" ca="1">IF(B199&lt;=$C$9,GetGetCDSName(B199),"")</f>
        <v/>
      </c>
      <c r="D199" s="349"/>
      <c r="E199" s="382"/>
      <c r="F199" s="301"/>
      <c r="G199" s="301"/>
      <c r="H199" s="301"/>
      <c r="I199" s="301"/>
      <c r="J199" s="301"/>
      <c r="K199" s="301"/>
      <c r="L199" s="301"/>
      <c r="M199" s="301"/>
      <c r="N199" s="383"/>
      <c r="O199" s="276"/>
      <c r="P199" s="276"/>
      <c r="Q199" s="276"/>
      <c r="R199" s="276"/>
      <c r="S199" s="276"/>
      <c r="T199" s="276"/>
      <c r="U199" s="276"/>
      <c r="V199" s="276"/>
      <c r="W199" s="276"/>
      <c r="X199" s="276"/>
      <c r="Y199" s="276"/>
      <c r="Z199" s="276"/>
      <c r="AA199" s="276"/>
      <c r="AB199" s="276"/>
      <c r="AC199" s="276"/>
      <c r="AD199" s="276"/>
      <c r="AE199" s="276"/>
    </row>
    <row r="200" spans="2:31" ht="14.4">
      <c r="B200" s="381">
        <f t="shared" si="6"/>
        <v>155</v>
      </c>
      <c r="C200" s="389" t="str" cm="1">
        <f t="array" aca="1" ref="C200" ca="1">IF(B200&lt;=$C$9,GetGetCDSName(B200),"")</f>
        <v/>
      </c>
      <c r="D200" s="349"/>
      <c r="E200" s="382"/>
      <c r="F200" s="301"/>
      <c r="G200" s="301"/>
      <c r="H200" s="301"/>
      <c r="I200" s="301"/>
      <c r="J200" s="301"/>
      <c r="K200" s="301"/>
      <c r="L200" s="301"/>
      <c r="M200" s="301"/>
      <c r="N200" s="383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C200" s="276"/>
      <c r="AD200" s="276"/>
      <c r="AE200" s="276"/>
    </row>
    <row r="201" spans="2:31" ht="14.4">
      <c r="B201" s="381">
        <f t="shared" si="6"/>
        <v>156</v>
      </c>
      <c r="C201" s="389" t="str" cm="1">
        <f t="array" aca="1" ref="C201" ca="1">IF(B201&lt;=$C$9,GetGetCDSName(B201),"")</f>
        <v/>
      </c>
      <c r="D201" s="349"/>
      <c r="E201" s="382"/>
      <c r="F201" s="301"/>
      <c r="G201" s="301"/>
      <c r="H201" s="301"/>
      <c r="I201" s="301"/>
      <c r="J201" s="301"/>
      <c r="K201" s="301"/>
      <c r="L201" s="301"/>
      <c r="M201" s="301"/>
      <c r="N201" s="383"/>
      <c r="O201" s="276"/>
      <c r="P201" s="276"/>
      <c r="Q201" s="276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76"/>
    </row>
    <row r="202" spans="2:31" ht="14.4">
      <c r="B202" s="381">
        <f t="shared" si="6"/>
        <v>157</v>
      </c>
      <c r="C202" s="389" t="str" cm="1">
        <f t="array" aca="1" ref="C202" ca="1">IF(B202&lt;=$C$9,GetGetCDSName(B202),"")</f>
        <v/>
      </c>
      <c r="D202" s="349"/>
      <c r="E202" s="382"/>
      <c r="F202" s="301"/>
      <c r="G202" s="301"/>
      <c r="H202" s="301"/>
      <c r="I202" s="301"/>
      <c r="J202" s="301"/>
      <c r="K202" s="301"/>
      <c r="L202" s="301"/>
      <c r="M202" s="301"/>
      <c r="N202" s="383"/>
      <c r="O202" s="276"/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76"/>
    </row>
    <row r="203" spans="2:31" ht="14.4">
      <c r="B203" s="381">
        <f t="shared" si="6"/>
        <v>158</v>
      </c>
      <c r="C203" s="389" t="str" cm="1">
        <f t="array" aca="1" ref="C203" ca="1">IF(B203&lt;=$C$9,GetGetCDSName(B203),"")</f>
        <v/>
      </c>
      <c r="D203" s="349"/>
      <c r="E203" s="382"/>
      <c r="F203" s="301"/>
      <c r="G203" s="301"/>
      <c r="H203" s="301"/>
      <c r="I203" s="301"/>
      <c r="J203" s="301"/>
      <c r="K203" s="301"/>
      <c r="L203" s="301"/>
      <c r="M203" s="301"/>
      <c r="N203" s="383"/>
      <c r="O203" s="276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76"/>
    </row>
    <row r="204" spans="2:31" ht="14.4">
      <c r="B204" s="381">
        <f t="shared" si="6"/>
        <v>159</v>
      </c>
      <c r="C204" s="389" t="str" cm="1">
        <f t="array" aca="1" ref="C204" ca="1">IF(B204&lt;=$C$9,GetGetCDSName(B204),"")</f>
        <v/>
      </c>
      <c r="D204" s="349"/>
      <c r="E204" s="382"/>
      <c r="F204" s="301"/>
      <c r="G204" s="301"/>
      <c r="H204" s="301"/>
      <c r="I204" s="301"/>
      <c r="J204" s="301"/>
      <c r="K204" s="301"/>
      <c r="L204" s="301"/>
      <c r="M204" s="301"/>
      <c r="N204" s="383"/>
      <c r="O204" s="276"/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C204" s="276"/>
      <c r="AD204" s="276"/>
      <c r="AE204" s="276"/>
    </row>
    <row r="205" spans="2:31" ht="14.4">
      <c r="B205" s="381">
        <f t="shared" si="6"/>
        <v>160</v>
      </c>
      <c r="C205" s="389" t="str" cm="1">
        <f t="array" aca="1" ref="C205" ca="1">IF(B205&lt;=$C$9,GetGetCDSName(B205),"")</f>
        <v/>
      </c>
      <c r="D205" s="349"/>
      <c r="E205" s="382"/>
      <c r="F205" s="301"/>
      <c r="G205" s="301"/>
      <c r="H205" s="301"/>
      <c r="I205" s="301"/>
      <c r="J205" s="301"/>
      <c r="K205" s="301"/>
      <c r="L205" s="301"/>
      <c r="M205" s="301"/>
      <c r="N205" s="383"/>
      <c r="O205" s="276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76"/>
    </row>
    <row r="206" spans="2:31" ht="14.4">
      <c r="B206" s="381">
        <f t="shared" si="6"/>
        <v>161</v>
      </c>
      <c r="C206" s="389" t="str" cm="1">
        <f t="array" aca="1" ref="C206" ca="1">IF(B206&lt;=$C$9,GetGetCDSName(B206),"")</f>
        <v/>
      </c>
      <c r="D206" s="349"/>
      <c r="E206" s="382"/>
      <c r="F206" s="301"/>
      <c r="G206" s="301"/>
      <c r="H206" s="301"/>
      <c r="I206" s="301"/>
      <c r="J206" s="301"/>
      <c r="K206" s="301"/>
      <c r="L206" s="301"/>
      <c r="M206" s="301"/>
      <c r="N206" s="383"/>
      <c r="O206" s="276"/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C206" s="276"/>
      <c r="AD206" s="276"/>
      <c r="AE206" s="276"/>
    </row>
    <row r="207" spans="2:31" ht="14.4">
      <c r="B207" s="381">
        <f t="shared" si="6"/>
        <v>162</v>
      </c>
      <c r="C207" s="389" t="str" cm="1">
        <f t="array" aca="1" ref="C207" ca="1">IF(B207&lt;=$C$9,GetGetCDSName(B207),"")</f>
        <v/>
      </c>
      <c r="D207" s="349"/>
      <c r="E207" s="382"/>
      <c r="F207" s="301"/>
      <c r="G207" s="301"/>
      <c r="H207" s="301"/>
      <c r="I207" s="301"/>
      <c r="J207" s="301"/>
      <c r="K207" s="301"/>
      <c r="L207" s="301"/>
      <c r="M207" s="301"/>
      <c r="N207" s="383"/>
      <c r="O207" s="276"/>
      <c r="P207" s="276"/>
      <c r="Q207" s="276"/>
      <c r="R207" s="276"/>
      <c r="S207" s="276"/>
      <c r="T207" s="276"/>
      <c r="U207" s="276"/>
      <c r="V207" s="276"/>
      <c r="W207" s="276"/>
      <c r="X207" s="276"/>
      <c r="Y207" s="276"/>
      <c r="Z207" s="276"/>
      <c r="AA207" s="276"/>
      <c r="AB207" s="276"/>
      <c r="AC207" s="276"/>
      <c r="AD207" s="276"/>
      <c r="AE207" s="276"/>
    </row>
    <row r="208" spans="2:31" ht="14.4">
      <c r="B208" s="381">
        <f t="shared" si="6"/>
        <v>163</v>
      </c>
      <c r="C208" s="389" t="str" cm="1">
        <f t="array" aca="1" ref="C208" ca="1">IF(B208&lt;=$C$9,GetGetCDSName(B208),"")</f>
        <v/>
      </c>
      <c r="D208" s="349"/>
      <c r="E208" s="382"/>
      <c r="F208" s="301"/>
      <c r="G208" s="301"/>
      <c r="H208" s="301"/>
      <c r="I208" s="301"/>
      <c r="J208" s="301"/>
      <c r="K208" s="301"/>
      <c r="L208" s="301"/>
      <c r="M208" s="301"/>
      <c r="N208" s="383"/>
      <c r="O208" s="276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76"/>
    </row>
    <row r="209" spans="2:31" ht="14.4">
      <c r="B209" s="381">
        <f t="shared" si="6"/>
        <v>164</v>
      </c>
      <c r="C209" s="389" t="str" cm="1">
        <f t="array" aca="1" ref="C209" ca="1">IF(B209&lt;=$C$9,GetGetCDSName(B209),"")</f>
        <v/>
      </c>
      <c r="D209" s="349"/>
      <c r="E209" s="382"/>
      <c r="F209" s="301"/>
      <c r="G209" s="301"/>
      <c r="H209" s="301"/>
      <c r="I209" s="301"/>
      <c r="J209" s="301"/>
      <c r="K209" s="301"/>
      <c r="L209" s="301"/>
      <c r="M209" s="301"/>
      <c r="N209" s="383"/>
      <c r="O209" s="276"/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C209" s="276"/>
      <c r="AD209" s="276"/>
      <c r="AE209" s="276"/>
    </row>
    <row r="210" spans="2:31" ht="14.4">
      <c r="B210" s="381">
        <f t="shared" si="6"/>
        <v>165</v>
      </c>
      <c r="C210" s="389" t="str" cm="1">
        <f t="array" aca="1" ref="C210" ca="1">IF(B210&lt;=$C$9,GetGetCDSName(B210),"")</f>
        <v/>
      </c>
      <c r="D210" s="349"/>
      <c r="E210" s="382"/>
      <c r="F210" s="301"/>
      <c r="G210" s="301"/>
      <c r="H210" s="301"/>
      <c r="I210" s="301"/>
      <c r="J210" s="301"/>
      <c r="K210" s="301"/>
      <c r="L210" s="301"/>
      <c r="M210" s="301"/>
      <c r="N210" s="383"/>
      <c r="O210" s="276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76"/>
    </row>
    <row r="211" spans="2:31" ht="14.4">
      <c r="B211" s="381">
        <f t="shared" si="6"/>
        <v>166</v>
      </c>
      <c r="C211" s="389" t="str" cm="1">
        <f t="array" aca="1" ref="C211" ca="1">IF(B211&lt;=$C$9,GetGetCDSName(B211),"")</f>
        <v/>
      </c>
      <c r="D211" s="349"/>
      <c r="E211" s="382"/>
      <c r="F211" s="301"/>
      <c r="G211" s="301"/>
      <c r="H211" s="301"/>
      <c r="I211" s="301"/>
      <c r="J211" s="301"/>
      <c r="K211" s="301"/>
      <c r="L211" s="301"/>
      <c r="M211" s="301"/>
      <c r="N211" s="383"/>
      <c r="O211" s="276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76"/>
    </row>
    <row r="212" spans="2:31" ht="14.4">
      <c r="B212" s="381">
        <f t="shared" si="6"/>
        <v>167</v>
      </c>
      <c r="C212" s="389" t="str" cm="1">
        <f t="array" aca="1" ref="C212" ca="1">IF(B212&lt;=$C$9,GetGetCDSName(B212),"")</f>
        <v/>
      </c>
      <c r="D212" s="349"/>
      <c r="E212" s="382"/>
      <c r="F212" s="301"/>
      <c r="G212" s="301"/>
      <c r="H212" s="301"/>
      <c r="I212" s="301"/>
      <c r="J212" s="301"/>
      <c r="K212" s="301"/>
      <c r="L212" s="301"/>
      <c r="M212" s="301"/>
      <c r="N212" s="383"/>
      <c r="O212" s="276"/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C212" s="276"/>
      <c r="AD212" s="276"/>
      <c r="AE212" s="276"/>
    </row>
    <row r="213" spans="2:31" ht="14.4">
      <c r="B213" s="381">
        <f t="shared" si="6"/>
        <v>168</v>
      </c>
      <c r="C213" s="389" t="str" cm="1">
        <f t="array" aca="1" ref="C213" ca="1">IF(B213&lt;=$C$9,GetGetCDSName(B213),"")</f>
        <v/>
      </c>
      <c r="D213" s="349"/>
      <c r="E213" s="382"/>
      <c r="F213" s="301"/>
      <c r="G213" s="301"/>
      <c r="H213" s="301"/>
      <c r="I213" s="301"/>
      <c r="J213" s="301"/>
      <c r="K213" s="301"/>
      <c r="L213" s="301"/>
      <c r="M213" s="301"/>
      <c r="N213" s="383"/>
      <c r="O213" s="276"/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C213" s="276"/>
      <c r="AD213" s="276"/>
      <c r="AE213" s="276"/>
    </row>
    <row r="214" spans="2:31" ht="14.4">
      <c r="B214" s="381">
        <f t="shared" si="6"/>
        <v>169</v>
      </c>
      <c r="C214" s="389" t="str" cm="1">
        <f t="array" aca="1" ref="C214" ca="1">IF(B214&lt;=$C$9,GetGetCDSName(B214),"")</f>
        <v/>
      </c>
      <c r="D214" s="349"/>
      <c r="E214" s="382"/>
      <c r="F214" s="301"/>
      <c r="G214" s="301"/>
      <c r="H214" s="301"/>
      <c r="I214" s="301"/>
      <c r="J214" s="301"/>
      <c r="K214" s="301"/>
      <c r="L214" s="301"/>
      <c r="M214" s="301"/>
      <c r="N214" s="383"/>
      <c r="O214" s="276"/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C214" s="276"/>
      <c r="AD214" s="276"/>
      <c r="AE214" s="276"/>
    </row>
    <row r="215" spans="2:31" ht="14.4">
      <c r="B215" s="381">
        <f t="shared" si="6"/>
        <v>170</v>
      </c>
      <c r="C215" s="389" t="str" cm="1">
        <f t="array" aca="1" ref="C215" ca="1">IF(B215&lt;=$C$9,GetGetCDSName(B215),"")</f>
        <v/>
      </c>
      <c r="D215" s="349"/>
      <c r="E215" s="382"/>
      <c r="F215" s="301"/>
      <c r="G215" s="301"/>
      <c r="H215" s="301"/>
      <c r="I215" s="301"/>
      <c r="J215" s="301"/>
      <c r="K215" s="301"/>
      <c r="L215" s="301"/>
      <c r="M215" s="301"/>
      <c r="N215" s="383"/>
      <c r="O215" s="276"/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C215" s="276"/>
      <c r="AD215" s="276"/>
      <c r="AE215" s="276"/>
    </row>
    <row r="216" spans="2:31" ht="14.4">
      <c r="B216" s="381">
        <f t="shared" si="6"/>
        <v>171</v>
      </c>
      <c r="C216" s="389" t="str" cm="1">
        <f t="array" aca="1" ref="C216" ca="1">IF(B216&lt;=$C$9,GetGetCDSName(B216),"")</f>
        <v/>
      </c>
      <c r="D216" s="349"/>
      <c r="E216" s="382"/>
      <c r="F216" s="301"/>
      <c r="G216" s="301"/>
      <c r="H216" s="301"/>
      <c r="I216" s="301"/>
      <c r="J216" s="301"/>
      <c r="K216" s="301"/>
      <c r="L216" s="301"/>
      <c r="M216" s="301"/>
      <c r="N216" s="383"/>
      <c r="O216" s="276"/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C216" s="276"/>
      <c r="AD216" s="276"/>
      <c r="AE216" s="276"/>
    </row>
    <row r="217" spans="2:31" ht="14.4">
      <c r="B217" s="381">
        <f t="shared" si="6"/>
        <v>172</v>
      </c>
      <c r="C217" s="389" t="str" cm="1">
        <f t="array" aca="1" ref="C217" ca="1">IF(B217&lt;=$C$9,GetGetCDSName(B217),"")</f>
        <v/>
      </c>
      <c r="D217" s="349"/>
      <c r="E217" s="382"/>
      <c r="F217" s="301"/>
      <c r="G217" s="301"/>
      <c r="H217" s="301"/>
      <c r="I217" s="301"/>
      <c r="J217" s="301"/>
      <c r="K217" s="301"/>
      <c r="L217" s="301"/>
      <c r="M217" s="301"/>
      <c r="N217" s="383"/>
      <c r="O217" s="276"/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C217" s="276"/>
      <c r="AD217" s="276"/>
      <c r="AE217" s="276"/>
    </row>
    <row r="218" spans="2:31" ht="14.4">
      <c r="B218" s="381">
        <f t="shared" si="6"/>
        <v>173</v>
      </c>
      <c r="C218" s="389" t="str" cm="1">
        <f t="array" aca="1" ref="C218" ca="1">IF(B218&lt;=$C$9,GetGetCDSName(B218),"")</f>
        <v/>
      </c>
      <c r="D218" s="349"/>
      <c r="E218" s="382"/>
      <c r="F218" s="301"/>
      <c r="G218" s="301"/>
      <c r="H218" s="301"/>
      <c r="I218" s="301"/>
      <c r="J218" s="301"/>
      <c r="K218" s="301"/>
      <c r="L218" s="301"/>
      <c r="M218" s="301"/>
      <c r="N218" s="383"/>
      <c r="O218" s="276"/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C218" s="276"/>
      <c r="AD218" s="276"/>
      <c r="AE218" s="276"/>
    </row>
    <row r="219" spans="2:31" ht="14.4">
      <c r="B219" s="381">
        <f t="shared" si="6"/>
        <v>174</v>
      </c>
      <c r="C219" s="389" t="str" cm="1">
        <f t="array" aca="1" ref="C219" ca="1">IF(B219&lt;=$C$9,GetGetCDSName(B219),"")</f>
        <v/>
      </c>
      <c r="D219" s="349"/>
      <c r="E219" s="382"/>
      <c r="F219" s="301"/>
      <c r="G219" s="301"/>
      <c r="H219" s="301"/>
      <c r="I219" s="301"/>
      <c r="J219" s="301"/>
      <c r="K219" s="301"/>
      <c r="L219" s="301"/>
      <c r="M219" s="301"/>
      <c r="N219" s="383"/>
      <c r="O219" s="276"/>
      <c r="P219" s="276"/>
      <c r="Q219" s="276"/>
      <c r="R219" s="276"/>
      <c r="S219" s="276"/>
      <c r="T219" s="276"/>
      <c r="U219" s="276"/>
      <c r="V219" s="276"/>
      <c r="W219" s="276"/>
      <c r="X219" s="276"/>
      <c r="Y219" s="276"/>
      <c r="Z219" s="276"/>
      <c r="AA219" s="276"/>
      <c r="AB219" s="276"/>
      <c r="AC219" s="276"/>
      <c r="AD219" s="276"/>
      <c r="AE219" s="276"/>
    </row>
    <row r="220" spans="2:31" ht="14.4">
      <c r="B220" s="381">
        <f t="shared" si="6"/>
        <v>175</v>
      </c>
      <c r="C220" s="389" t="str" cm="1">
        <f t="array" aca="1" ref="C220" ca="1">IF(B220&lt;=$C$9,GetGetCDSName(B220),"")</f>
        <v/>
      </c>
      <c r="D220" s="349"/>
      <c r="E220" s="382"/>
      <c r="F220" s="301"/>
      <c r="G220" s="301"/>
      <c r="H220" s="301"/>
      <c r="I220" s="301"/>
      <c r="J220" s="301"/>
      <c r="K220" s="301"/>
      <c r="L220" s="301"/>
      <c r="M220" s="301"/>
      <c r="N220" s="383"/>
      <c r="O220" s="276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76"/>
    </row>
    <row r="221" spans="2:31" ht="14.4">
      <c r="B221" s="381">
        <f t="shared" si="6"/>
        <v>176</v>
      </c>
      <c r="C221" s="389" t="str" cm="1">
        <f t="array" aca="1" ref="C221" ca="1">IF(B221&lt;=$C$9,GetGetCDSName(B221),"")</f>
        <v/>
      </c>
      <c r="D221" s="349"/>
      <c r="E221" s="382"/>
      <c r="F221" s="301"/>
      <c r="G221" s="301"/>
      <c r="H221" s="301"/>
      <c r="I221" s="301"/>
      <c r="J221" s="301"/>
      <c r="K221" s="301"/>
      <c r="L221" s="301"/>
      <c r="M221" s="301"/>
      <c r="N221" s="383"/>
      <c r="O221" s="276"/>
      <c r="P221" s="276"/>
      <c r="Q221" s="276"/>
      <c r="R221" s="276"/>
      <c r="S221" s="276"/>
      <c r="T221" s="276"/>
      <c r="U221" s="276"/>
      <c r="V221" s="276"/>
      <c r="W221" s="276"/>
      <c r="X221" s="276"/>
      <c r="Y221" s="276"/>
      <c r="Z221" s="276"/>
      <c r="AA221" s="276"/>
      <c r="AB221" s="276"/>
      <c r="AC221" s="276"/>
      <c r="AD221" s="276"/>
      <c r="AE221" s="276"/>
    </row>
    <row r="222" spans="2:31" ht="14.4">
      <c r="B222" s="381">
        <f t="shared" si="6"/>
        <v>177</v>
      </c>
      <c r="C222" s="389" t="str" cm="1">
        <f t="array" aca="1" ref="C222" ca="1">IF(B222&lt;=$C$9,GetGetCDSName(B222),"")</f>
        <v/>
      </c>
      <c r="D222" s="349"/>
      <c r="E222" s="382"/>
      <c r="F222" s="301"/>
      <c r="G222" s="301"/>
      <c r="H222" s="301"/>
      <c r="I222" s="301"/>
      <c r="J222" s="301"/>
      <c r="K222" s="301"/>
      <c r="L222" s="301"/>
      <c r="M222" s="301"/>
      <c r="N222" s="383"/>
      <c r="O222" s="276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C222" s="276"/>
      <c r="AD222" s="276"/>
      <c r="AE222" s="276"/>
    </row>
    <row r="223" spans="2:31" ht="14.4">
      <c r="B223" s="381">
        <f t="shared" si="6"/>
        <v>178</v>
      </c>
      <c r="C223" s="389" t="str" cm="1">
        <f t="array" aca="1" ref="C223" ca="1">IF(B223&lt;=$C$9,GetGetCDSName(B223),"")</f>
        <v/>
      </c>
      <c r="D223" s="349"/>
      <c r="E223" s="382"/>
      <c r="F223" s="301"/>
      <c r="G223" s="301"/>
      <c r="H223" s="301"/>
      <c r="I223" s="301"/>
      <c r="J223" s="301"/>
      <c r="K223" s="301"/>
      <c r="L223" s="301"/>
      <c r="M223" s="301"/>
      <c r="N223" s="383"/>
      <c r="O223" s="276"/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C223" s="276"/>
      <c r="AD223" s="276"/>
      <c r="AE223" s="276"/>
    </row>
    <row r="224" spans="2:31" ht="14.4">
      <c r="B224" s="381">
        <f t="shared" si="6"/>
        <v>179</v>
      </c>
      <c r="C224" s="389" t="str" cm="1">
        <f t="array" aca="1" ref="C224" ca="1">IF(B224&lt;=$C$9,GetGetCDSName(B224),"")</f>
        <v/>
      </c>
      <c r="D224" s="349"/>
      <c r="E224" s="382"/>
      <c r="F224" s="301"/>
      <c r="G224" s="301"/>
      <c r="H224" s="301"/>
      <c r="I224" s="301"/>
      <c r="J224" s="301"/>
      <c r="K224" s="301"/>
      <c r="L224" s="301"/>
      <c r="M224" s="301"/>
      <c r="N224" s="383"/>
      <c r="O224" s="276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76"/>
    </row>
    <row r="225" spans="2:31" ht="14.4">
      <c r="B225" s="381">
        <f t="shared" si="6"/>
        <v>180</v>
      </c>
      <c r="C225" s="389" t="str" cm="1">
        <f t="array" aca="1" ref="C225" ca="1">IF(B225&lt;=$C$9,GetGetCDSName(B225),"")</f>
        <v/>
      </c>
      <c r="D225" s="349"/>
      <c r="E225" s="382"/>
      <c r="F225" s="301"/>
      <c r="G225" s="301"/>
      <c r="H225" s="301"/>
      <c r="I225" s="301"/>
      <c r="J225" s="301"/>
      <c r="K225" s="301"/>
      <c r="L225" s="301"/>
      <c r="M225" s="301"/>
      <c r="N225" s="383"/>
      <c r="O225" s="276"/>
      <c r="P225" s="276"/>
      <c r="Q225" s="276"/>
      <c r="R225" s="276"/>
      <c r="S225" s="276"/>
      <c r="T225" s="276"/>
      <c r="U225" s="276"/>
      <c r="V225" s="276"/>
      <c r="W225" s="276"/>
      <c r="X225" s="276"/>
      <c r="Y225" s="276"/>
      <c r="Z225" s="276"/>
      <c r="AA225" s="276"/>
      <c r="AB225" s="276"/>
      <c r="AC225" s="276"/>
      <c r="AD225" s="276"/>
      <c r="AE225" s="276"/>
    </row>
    <row r="226" spans="2:31" ht="14.4">
      <c r="B226" s="381">
        <f t="shared" si="6"/>
        <v>181</v>
      </c>
      <c r="C226" s="389" t="str" cm="1">
        <f t="array" aca="1" ref="C226" ca="1">IF(B226&lt;=$C$9,GetGetCDSName(B226),"")</f>
        <v/>
      </c>
      <c r="D226" s="349"/>
      <c r="E226" s="382"/>
      <c r="F226" s="301"/>
      <c r="G226" s="301"/>
      <c r="H226" s="301"/>
      <c r="I226" s="301"/>
      <c r="J226" s="301"/>
      <c r="K226" s="301"/>
      <c r="L226" s="301"/>
      <c r="M226" s="301"/>
      <c r="N226" s="383"/>
      <c r="O226" s="276"/>
      <c r="P226" s="276"/>
      <c r="Q226" s="276"/>
      <c r="R226" s="276"/>
      <c r="S226" s="276"/>
      <c r="T226" s="276"/>
      <c r="U226" s="276"/>
      <c r="V226" s="276"/>
      <c r="W226" s="276"/>
      <c r="X226" s="276"/>
      <c r="Y226" s="276"/>
      <c r="Z226" s="276"/>
      <c r="AA226" s="276"/>
      <c r="AB226" s="276"/>
      <c r="AC226" s="276"/>
      <c r="AD226" s="276"/>
      <c r="AE226" s="276"/>
    </row>
    <row r="227" spans="2:31" ht="14.4">
      <c r="B227" s="381">
        <f t="shared" si="6"/>
        <v>182</v>
      </c>
      <c r="C227" s="389" t="str" cm="1">
        <f t="array" aca="1" ref="C227" ca="1">IF(B227&lt;=$C$9,GetGetCDSName(B227),"")</f>
        <v/>
      </c>
      <c r="D227" s="349"/>
      <c r="E227" s="382"/>
      <c r="F227" s="301"/>
      <c r="G227" s="301"/>
      <c r="H227" s="301"/>
      <c r="I227" s="301"/>
      <c r="J227" s="301"/>
      <c r="K227" s="301"/>
      <c r="L227" s="301"/>
      <c r="M227" s="301"/>
      <c r="N227" s="383"/>
      <c r="O227" s="276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276"/>
      <c r="AC227" s="276"/>
      <c r="AD227" s="276"/>
      <c r="AE227" s="276"/>
    </row>
    <row r="228" spans="2:31" ht="14.4">
      <c r="B228" s="381">
        <f t="shared" si="6"/>
        <v>183</v>
      </c>
      <c r="C228" s="389" t="str" cm="1">
        <f t="array" aca="1" ref="C228" ca="1">IF(B228&lt;=$C$9,GetGetCDSName(B228),"")</f>
        <v/>
      </c>
      <c r="D228" s="349"/>
      <c r="E228" s="382"/>
      <c r="F228" s="301"/>
      <c r="G228" s="301"/>
      <c r="H228" s="301"/>
      <c r="I228" s="301"/>
      <c r="J228" s="301"/>
      <c r="K228" s="301"/>
      <c r="L228" s="301"/>
      <c r="M228" s="301"/>
      <c r="N228" s="383"/>
      <c r="O228" s="276"/>
      <c r="P228" s="276"/>
      <c r="Q228" s="276"/>
      <c r="R228" s="276"/>
      <c r="S228" s="276"/>
      <c r="T228" s="276"/>
      <c r="U228" s="276"/>
      <c r="V228" s="276"/>
      <c r="W228" s="276"/>
      <c r="X228" s="276"/>
      <c r="Y228" s="276"/>
      <c r="Z228" s="276"/>
      <c r="AA228" s="276"/>
      <c r="AB228" s="276"/>
      <c r="AC228" s="276"/>
      <c r="AD228" s="276"/>
      <c r="AE228" s="276"/>
    </row>
    <row r="229" spans="2:31" ht="14.4">
      <c r="B229" s="381">
        <f t="shared" si="6"/>
        <v>184</v>
      </c>
      <c r="C229" s="389" t="str" cm="1">
        <f t="array" aca="1" ref="C229" ca="1">IF(B229&lt;=$C$9,GetGetCDSName(B229),"")</f>
        <v/>
      </c>
      <c r="D229" s="349"/>
      <c r="E229" s="382"/>
      <c r="F229" s="301"/>
      <c r="G229" s="301"/>
      <c r="H229" s="301"/>
      <c r="I229" s="301"/>
      <c r="J229" s="301"/>
      <c r="K229" s="301"/>
      <c r="L229" s="301"/>
      <c r="M229" s="301"/>
      <c r="N229" s="383"/>
      <c r="O229" s="276"/>
      <c r="P229" s="276"/>
      <c r="Q229" s="276"/>
      <c r="R229" s="276"/>
      <c r="S229" s="276"/>
      <c r="T229" s="276"/>
      <c r="U229" s="276"/>
      <c r="V229" s="276"/>
      <c r="W229" s="276"/>
      <c r="X229" s="276"/>
      <c r="Y229" s="276"/>
      <c r="Z229" s="276"/>
      <c r="AA229" s="276"/>
      <c r="AB229" s="276"/>
      <c r="AC229" s="276"/>
      <c r="AD229" s="276"/>
      <c r="AE229" s="276"/>
    </row>
    <row r="230" spans="2:31" ht="14.4">
      <c r="B230" s="381">
        <f t="shared" si="6"/>
        <v>185</v>
      </c>
      <c r="C230" s="389" t="str" cm="1">
        <f t="array" aca="1" ref="C230" ca="1">IF(B230&lt;=$C$9,GetGetCDSName(B230),"")</f>
        <v/>
      </c>
      <c r="D230" s="349"/>
      <c r="E230" s="382"/>
      <c r="F230" s="301"/>
      <c r="G230" s="301"/>
      <c r="H230" s="301"/>
      <c r="I230" s="301"/>
      <c r="J230" s="301"/>
      <c r="K230" s="301"/>
      <c r="L230" s="301"/>
      <c r="M230" s="301"/>
      <c r="N230" s="383"/>
      <c r="O230" s="276"/>
      <c r="P230" s="276"/>
      <c r="Q230" s="276"/>
      <c r="R230" s="276"/>
      <c r="S230" s="276"/>
      <c r="T230" s="276"/>
      <c r="U230" s="276"/>
      <c r="V230" s="276"/>
      <c r="W230" s="276"/>
      <c r="X230" s="276"/>
      <c r="Y230" s="276"/>
      <c r="Z230" s="276"/>
      <c r="AA230" s="276"/>
      <c r="AB230" s="276"/>
      <c r="AC230" s="276"/>
      <c r="AD230" s="276"/>
      <c r="AE230" s="276"/>
    </row>
    <row r="231" spans="2:31" ht="14.4">
      <c r="B231" s="381">
        <f t="shared" si="6"/>
        <v>186</v>
      </c>
      <c r="C231" s="389" t="str" cm="1">
        <f t="array" aca="1" ref="C231" ca="1">IF(B231&lt;=$C$9,GetGetCDSName(B231),"")</f>
        <v/>
      </c>
      <c r="D231" s="349"/>
      <c r="E231" s="382"/>
      <c r="F231" s="301"/>
      <c r="G231" s="301"/>
      <c r="H231" s="301"/>
      <c r="I231" s="301"/>
      <c r="J231" s="301"/>
      <c r="K231" s="301"/>
      <c r="L231" s="301"/>
      <c r="M231" s="301"/>
      <c r="N231" s="383"/>
      <c r="O231" s="276"/>
      <c r="P231" s="276"/>
      <c r="Q231" s="276"/>
      <c r="R231" s="276"/>
      <c r="S231" s="276"/>
      <c r="T231" s="276"/>
      <c r="U231" s="276"/>
      <c r="V231" s="276"/>
      <c r="W231" s="276"/>
      <c r="X231" s="276"/>
      <c r="Y231" s="276"/>
      <c r="Z231" s="276"/>
      <c r="AA231" s="276"/>
      <c r="AB231" s="276"/>
      <c r="AC231" s="276"/>
      <c r="AD231" s="276"/>
      <c r="AE231" s="276"/>
    </row>
    <row r="232" spans="2:31" ht="14.4">
      <c r="B232" s="381">
        <f t="shared" si="6"/>
        <v>187</v>
      </c>
      <c r="C232" s="389" t="str" cm="1">
        <f t="array" aca="1" ref="C232" ca="1">IF(B232&lt;=$C$9,GetGetCDSName(B232),"")</f>
        <v/>
      </c>
      <c r="D232" s="349"/>
      <c r="E232" s="382"/>
      <c r="F232" s="301"/>
      <c r="G232" s="301"/>
      <c r="H232" s="301"/>
      <c r="I232" s="301"/>
      <c r="J232" s="301"/>
      <c r="K232" s="301"/>
      <c r="L232" s="301"/>
      <c r="M232" s="301"/>
      <c r="N232" s="383"/>
      <c r="O232" s="276"/>
      <c r="P232" s="276"/>
      <c r="Q232" s="276"/>
      <c r="R232" s="276"/>
      <c r="S232" s="276"/>
      <c r="T232" s="276"/>
      <c r="U232" s="276"/>
      <c r="V232" s="276"/>
      <c r="W232" s="276"/>
      <c r="X232" s="276"/>
      <c r="Y232" s="276"/>
      <c r="Z232" s="276"/>
      <c r="AA232" s="276"/>
      <c r="AB232" s="276"/>
      <c r="AC232" s="276"/>
      <c r="AD232" s="276"/>
      <c r="AE232" s="276"/>
    </row>
    <row r="233" spans="2:31" ht="14.4">
      <c r="B233" s="381">
        <f t="shared" si="6"/>
        <v>188</v>
      </c>
      <c r="C233" s="389" t="str" cm="1">
        <f t="array" aca="1" ref="C233" ca="1">IF(B233&lt;=$C$9,GetGetCDSName(B233),"")</f>
        <v/>
      </c>
      <c r="D233" s="349"/>
      <c r="E233" s="382"/>
      <c r="F233" s="301"/>
      <c r="G233" s="301"/>
      <c r="H233" s="301"/>
      <c r="I233" s="301"/>
      <c r="J233" s="301"/>
      <c r="K233" s="301"/>
      <c r="L233" s="301"/>
      <c r="M233" s="301"/>
      <c r="N233" s="383"/>
      <c r="O233" s="276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76"/>
    </row>
    <row r="234" spans="2:31" ht="14.4">
      <c r="B234" s="381">
        <f t="shared" si="6"/>
        <v>189</v>
      </c>
      <c r="C234" s="389" t="str" cm="1">
        <f t="array" aca="1" ref="C234" ca="1">IF(B234&lt;=$C$9,GetGetCDSName(B234),"")</f>
        <v/>
      </c>
      <c r="D234" s="349"/>
      <c r="E234" s="382"/>
      <c r="F234" s="301"/>
      <c r="G234" s="301"/>
      <c r="H234" s="301"/>
      <c r="I234" s="301"/>
      <c r="J234" s="301"/>
      <c r="K234" s="301"/>
      <c r="L234" s="301"/>
      <c r="M234" s="301"/>
      <c r="N234" s="383"/>
      <c r="O234" s="276"/>
      <c r="P234" s="276"/>
      <c r="Q234" s="276"/>
      <c r="R234" s="276"/>
      <c r="S234" s="276"/>
      <c r="T234" s="276"/>
      <c r="U234" s="276"/>
      <c r="V234" s="276"/>
      <c r="W234" s="276"/>
      <c r="X234" s="276"/>
      <c r="Y234" s="276"/>
      <c r="Z234" s="276"/>
      <c r="AA234" s="276"/>
      <c r="AB234" s="276"/>
      <c r="AC234" s="276"/>
      <c r="AD234" s="276"/>
      <c r="AE234" s="276"/>
    </row>
    <row r="235" spans="2:31" ht="14.4">
      <c r="B235" s="381">
        <f t="shared" si="6"/>
        <v>190</v>
      </c>
      <c r="C235" s="389" t="str" cm="1">
        <f t="array" aca="1" ref="C235" ca="1">IF(B235&lt;=$C$9,GetGetCDSName(B235),"")</f>
        <v/>
      </c>
      <c r="D235" s="349"/>
      <c r="E235" s="382"/>
      <c r="F235" s="301"/>
      <c r="G235" s="301"/>
      <c r="H235" s="301"/>
      <c r="I235" s="301"/>
      <c r="J235" s="301"/>
      <c r="K235" s="301"/>
      <c r="L235" s="301"/>
      <c r="M235" s="301"/>
      <c r="N235" s="383"/>
      <c r="O235" s="276"/>
      <c r="P235" s="276"/>
      <c r="Q235" s="276"/>
      <c r="R235" s="276"/>
      <c r="S235" s="276"/>
      <c r="T235" s="276"/>
      <c r="U235" s="276"/>
      <c r="V235" s="276"/>
      <c r="W235" s="276"/>
      <c r="X235" s="276"/>
      <c r="Y235" s="276"/>
      <c r="Z235" s="276"/>
      <c r="AA235" s="276"/>
      <c r="AB235" s="276"/>
      <c r="AC235" s="276"/>
      <c r="AD235" s="276"/>
      <c r="AE235" s="276"/>
    </row>
    <row r="236" spans="2:31" ht="14.4">
      <c r="B236" s="381">
        <f t="shared" si="6"/>
        <v>191</v>
      </c>
      <c r="C236" s="389" t="str" cm="1">
        <f t="array" aca="1" ref="C236" ca="1">IF(B236&lt;=$C$9,GetGetCDSName(B236),"")</f>
        <v/>
      </c>
      <c r="D236" s="349"/>
      <c r="E236" s="382"/>
      <c r="F236" s="301"/>
      <c r="G236" s="301"/>
      <c r="H236" s="301"/>
      <c r="I236" s="301"/>
      <c r="J236" s="301"/>
      <c r="K236" s="301"/>
      <c r="L236" s="301"/>
      <c r="M236" s="301"/>
      <c r="N236" s="383"/>
      <c r="O236" s="276"/>
      <c r="P236" s="276"/>
      <c r="Q236" s="276"/>
      <c r="R236" s="276"/>
      <c r="S236" s="276"/>
      <c r="T236" s="276"/>
      <c r="U236" s="276"/>
      <c r="V236" s="276"/>
      <c r="W236" s="276"/>
      <c r="X236" s="276"/>
      <c r="Y236" s="276"/>
      <c r="Z236" s="276"/>
      <c r="AA236" s="276"/>
      <c r="AB236" s="276"/>
      <c r="AC236" s="276"/>
      <c r="AD236" s="276"/>
      <c r="AE236" s="276"/>
    </row>
    <row r="237" spans="2:31" ht="14.4">
      <c r="B237" s="381">
        <f t="shared" si="6"/>
        <v>192</v>
      </c>
      <c r="C237" s="389" t="str" cm="1">
        <f t="array" aca="1" ref="C237" ca="1">IF(B237&lt;=$C$9,GetGetCDSName(B237),"")</f>
        <v/>
      </c>
      <c r="D237" s="349"/>
      <c r="E237" s="382"/>
      <c r="F237" s="301"/>
      <c r="G237" s="301"/>
      <c r="H237" s="301"/>
      <c r="I237" s="301"/>
      <c r="J237" s="301"/>
      <c r="K237" s="301"/>
      <c r="L237" s="301"/>
      <c r="M237" s="301"/>
      <c r="N237" s="383"/>
      <c r="O237" s="276"/>
      <c r="P237" s="276"/>
      <c r="Q237" s="276"/>
      <c r="R237" s="276"/>
      <c r="S237" s="276"/>
      <c r="T237" s="276"/>
      <c r="U237" s="276"/>
      <c r="V237" s="276"/>
      <c r="W237" s="276"/>
      <c r="X237" s="276"/>
      <c r="Y237" s="276"/>
      <c r="Z237" s="276"/>
      <c r="AA237" s="276"/>
      <c r="AB237" s="276"/>
      <c r="AC237" s="276"/>
      <c r="AD237" s="276"/>
      <c r="AE237" s="276"/>
    </row>
    <row r="238" spans="2:31" ht="14.4">
      <c r="B238" s="381">
        <f t="shared" si="6"/>
        <v>193</v>
      </c>
      <c r="C238" s="389" t="str" cm="1">
        <f t="array" aca="1" ref="C238" ca="1">IF(B238&lt;=$C$9,GetGetCDSName(B238),"")</f>
        <v/>
      </c>
      <c r="D238" s="349"/>
      <c r="E238" s="382"/>
      <c r="F238" s="301"/>
      <c r="G238" s="301"/>
      <c r="H238" s="301"/>
      <c r="I238" s="301"/>
      <c r="J238" s="301"/>
      <c r="K238" s="301"/>
      <c r="L238" s="301"/>
      <c r="M238" s="301"/>
      <c r="N238" s="383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  <c r="Z238" s="276"/>
      <c r="AA238" s="276"/>
      <c r="AB238" s="276"/>
      <c r="AC238" s="276"/>
      <c r="AD238" s="276"/>
      <c r="AE238" s="276"/>
    </row>
    <row r="239" spans="2:31" ht="14.4">
      <c r="B239" s="381">
        <f t="shared" ref="B239:B302" si="7">B238+1</f>
        <v>194</v>
      </c>
      <c r="C239" s="389" t="str" cm="1">
        <f t="array" aca="1" ref="C239" ca="1">IF(B239&lt;=$C$9,GetGetCDSName(B239),"")</f>
        <v/>
      </c>
      <c r="D239" s="349"/>
      <c r="E239" s="382"/>
      <c r="F239" s="301"/>
      <c r="G239" s="301"/>
      <c r="H239" s="301"/>
      <c r="I239" s="301"/>
      <c r="J239" s="301"/>
      <c r="K239" s="301"/>
      <c r="L239" s="301"/>
      <c r="M239" s="301"/>
      <c r="N239" s="383"/>
      <c r="O239" s="276"/>
      <c r="P239" s="276"/>
      <c r="Q239" s="276"/>
      <c r="R239" s="276"/>
      <c r="S239" s="276"/>
      <c r="T239" s="276"/>
      <c r="U239" s="276"/>
      <c r="V239" s="276"/>
      <c r="W239" s="276"/>
      <c r="X239" s="276"/>
      <c r="Y239" s="276"/>
      <c r="Z239" s="276"/>
      <c r="AA239" s="276"/>
      <c r="AB239" s="276"/>
      <c r="AC239" s="276"/>
      <c r="AD239" s="276"/>
      <c r="AE239" s="276"/>
    </row>
    <row r="240" spans="2:31" ht="14.4">
      <c r="B240" s="381">
        <f t="shared" si="7"/>
        <v>195</v>
      </c>
      <c r="C240" s="389" t="str" cm="1">
        <f t="array" aca="1" ref="C240" ca="1">IF(B240&lt;=$C$9,GetGetCDSName(B240),"")</f>
        <v/>
      </c>
      <c r="D240" s="349"/>
      <c r="E240" s="382"/>
      <c r="F240" s="301"/>
      <c r="G240" s="301"/>
      <c r="H240" s="301"/>
      <c r="I240" s="301"/>
      <c r="J240" s="301"/>
      <c r="K240" s="301"/>
      <c r="L240" s="301"/>
      <c r="M240" s="301"/>
      <c r="N240" s="383"/>
      <c r="O240" s="276"/>
      <c r="P240" s="276"/>
      <c r="Q240" s="276"/>
      <c r="R240" s="276"/>
      <c r="S240" s="276"/>
      <c r="T240" s="276"/>
      <c r="U240" s="276"/>
      <c r="V240" s="276"/>
      <c r="W240" s="276"/>
      <c r="X240" s="276"/>
      <c r="Y240" s="276"/>
      <c r="Z240" s="276"/>
      <c r="AA240" s="276"/>
      <c r="AB240" s="276"/>
      <c r="AC240" s="276"/>
      <c r="AD240" s="276"/>
      <c r="AE240" s="276"/>
    </row>
    <row r="241" spans="2:31" ht="14.4">
      <c r="B241" s="381">
        <f t="shared" si="7"/>
        <v>196</v>
      </c>
      <c r="C241" s="389" t="str" cm="1">
        <f t="array" aca="1" ref="C241" ca="1">IF(B241&lt;=$C$9,GetGetCDSName(B241),"")</f>
        <v/>
      </c>
      <c r="D241" s="349"/>
      <c r="E241" s="382"/>
      <c r="F241" s="301"/>
      <c r="G241" s="301"/>
      <c r="H241" s="301"/>
      <c r="I241" s="301"/>
      <c r="J241" s="301"/>
      <c r="K241" s="301"/>
      <c r="L241" s="301"/>
      <c r="M241" s="301"/>
      <c r="N241" s="383"/>
      <c r="O241" s="276"/>
      <c r="P241" s="276"/>
      <c r="Q241" s="276"/>
      <c r="R241" s="276"/>
      <c r="S241" s="276"/>
      <c r="T241" s="276"/>
      <c r="U241" s="276"/>
      <c r="V241" s="276"/>
      <c r="W241" s="276"/>
      <c r="X241" s="276"/>
      <c r="Y241" s="276"/>
      <c r="Z241" s="276"/>
      <c r="AA241" s="276"/>
      <c r="AB241" s="276"/>
      <c r="AC241" s="276"/>
      <c r="AD241" s="276"/>
      <c r="AE241" s="276"/>
    </row>
    <row r="242" spans="2:31" ht="14.4">
      <c r="B242" s="381">
        <f t="shared" si="7"/>
        <v>197</v>
      </c>
      <c r="C242" s="389" t="str" cm="1">
        <f t="array" aca="1" ref="C242" ca="1">IF(B242&lt;=$C$9,GetGetCDSName(B242),"")</f>
        <v/>
      </c>
      <c r="D242" s="349"/>
      <c r="E242" s="382"/>
      <c r="F242" s="301"/>
      <c r="G242" s="301"/>
      <c r="H242" s="301"/>
      <c r="I242" s="301"/>
      <c r="J242" s="301"/>
      <c r="K242" s="301"/>
      <c r="L242" s="301"/>
      <c r="M242" s="301"/>
      <c r="N242" s="383"/>
      <c r="O242" s="276"/>
      <c r="P242" s="276"/>
      <c r="Q242" s="276"/>
      <c r="R242" s="276"/>
      <c r="S242" s="276"/>
      <c r="T242" s="276"/>
      <c r="U242" s="276"/>
      <c r="V242" s="276"/>
      <c r="W242" s="276"/>
      <c r="X242" s="276"/>
      <c r="Y242" s="276"/>
      <c r="Z242" s="276"/>
      <c r="AA242" s="276"/>
      <c r="AB242" s="276"/>
      <c r="AC242" s="276"/>
      <c r="AD242" s="276"/>
      <c r="AE242" s="276"/>
    </row>
    <row r="243" spans="2:31" ht="14.4">
      <c r="B243" s="381">
        <f t="shared" si="7"/>
        <v>198</v>
      </c>
      <c r="C243" s="389" t="str" cm="1">
        <f t="array" aca="1" ref="C243" ca="1">IF(B243&lt;=$C$9,GetGetCDSName(B243),"")</f>
        <v/>
      </c>
      <c r="D243" s="349"/>
      <c r="E243" s="382"/>
      <c r="F243" s="301"/>
      <c r="G243" s="301"/>
      <c r="H243" s="301"/>
      <c r="I243" s="301"/>
      <c r="J243" s="301"/>
      <c r="K243" s="301"/>
      <c r="L243" s="301"/>
      <c r="M243" s="301"/>
      <c r="N243" s="383"/>
      <c r="O243" s="276"/>
      <c r="P243" s="276"/>
      <c r="Q243" s="276"/>
      <c r="R243" s="276"/>
      <c r="S243" s="276"/>
      <c r="T243" s="276"/>
      <c r="U243" s="276"/>
      <c r="V243" s="276"/>
      <c r="W243" s="276"/>
      <c r="X243" s="276"/>
      <c r="Y243" s="276"/>
      <c r="Z243" s="276"/>
      <c r="AA243" s="276"/>
      <c r="AB243" s="276"/>
      <c r="AC243" s="276"/>
      <c r="AD243" s="276"/>
      <c r="AE243" s="276"/>
    </row>
    <row r="244" spans="2:31" ht="14.4">
      <c r="B244" s="381">
        <f t="shared" si="7"/>
        <v>199</v>
      </c>
      <c r="C244" s="389" t="str" cm="1">
        <f t="array" aca="1" ref="C244" ca="1">IF(B244&lt;=$C$9,GetGetCDSName(B244),"")</f>
        <v/>
      </c>
      <c r="D244" s="349"/>
      <c r="E244" s="382"/>
      <c r="F244" s="301"/>
      <c r="G244" s="301"/>
      <c r="H244" s="301"/>
      <c r="I244" s="301"/>
      <c r="J244" s="301"/>
      <c r="K244" s="301"/>
      <c r="L244" s="301"/>
      <c r="M244" s="301"/>
      <c r="N244" s="383"/>
      <c r="O244" s="276"/>
      <c r="P244" s="276"/>
      <c r="Q244" s="276"/>
      <c r="R244" s="276"/>
      <c r="S244" s="276"/>
      <c r="T244" s="276"/>
      <c r="U244" s="276"/>
      <c r="V244" s="276"/>
      <c r="W244" s="276"/>
      <c r="X244" s="276"/>
      <c r="Y244" s="276"/>
      <c r="Z244" s="276"/>
      <c r="AA244" s="276"/>
      <c r="AB244" s="276"/>
      <c r="AC244" s="276"/>
      <c r="AD244" s="276"/>
      <c r="AE244" s="276"/>
    </row>
    <row r="245" spans="2:31" ht="14.4">
      <c r="B245" s="381">
        <f t="shared" si="7"/>
        <v>200</v>
      </c>
      <c r="C245" s="389" t="str" cm="1">
        <f t="array" aca="1" ref="C245" ca="1">IF(B245&lt;=$C$9,GetGetCDSName(B245),"")</f>
        <v/>
      </c>
      <c r="D245" s="349"/>
      <c r="E245" s="382"/>
      <c r="F245" s="301"/>
      <c r="G245" s="301"/>
      <c r="H245" s="301"/>
      <c r="I245" s="301"/>
      <c r="J245" s="301"/>
      <c r="K245" s="301"/>
      <c r="L245" s="301"/>
      <c r="M245" s="301"/>
      <c r="N245" s="383"/>
      <c r="O245" s="276"/>
      <c r="P245" s="276"/>
      <c r="Q245" s="276"/>
      <c r="R245" s="276"/>
      <c r="S245" s="276"/>
      <c r="T245" s="276"/>
      <c r="U245" s="276"/>
      <c r="V245" s="276"/>
      <c r="W245" s="276"/>
      <c r="X245" s="276"/>
      <c r="Y245" s="276"/>
      <c r="Z245" s="276"/>
      <c r="AA245" s="276"/>
      <c r="AB245" s="276"/>
      <c r="AC245" s="276"/>
      <c r="AD245" s="276"/>
      <c r="AE245" s="276"/>
    </row>
    <row r="246" spans="2:31" ht="14.4">
      <c r="B246" s="381">
        <f t="shared" si="7"/>
        <v>201</v>
      </c>
      <c r="C246" s="389" t="str" cm="1">
        <f t="array" aca="1" ref="C246" ca="1">IF(B246&lt;=$C$9,GetGetCDSName(B246),"")</f>
        <v/>
      </c>
      <c r="D246" s="349"/>
      <c r="E246" s="382"/>
      <c r="F246" s="301"/>
      <c r="G246" s="301"/>
      <c r="H246" s="301"/>
      <c r="I246" s="301"/>
      <c r="J246" s="301"/>
      <c r="K246" s="301"/>
      <c r="L246" s="301"/>
      <c r="M246" s="301"/>
      <c r="N246" s="383"/>
      <c r="O246" s="276"/>
      <c r="P246" s="276"/>
      <c r="Q246" s="276"/>
      <c r="R246" s="276"/>
      <c r="S246" s="276"/>
      <c r="T246" s="276"/>
      <c r="U246" s="276"/>
      <c r="V246" s="276"/>
      <c r="W246" s="276"/>
      <c r="X246" s="276"/>
      <c r="Y246" s="276"/>
      <c r="Z246" s="276"/>
      <c r="AA246" s="276"/>
      <c r="AB246" s="276"/>
      <c r="AC246" s="276"/>
      <c r="AD246" s="276"/>
      <c r="AE246" s="276"/>
    </row>
    <row r="247" spans="2:31" ht="14.4">
      <c r="B247" s="381">
        <f t="shared" si="7"/>
        <v>202</v>
      </c>
      <c r="C247" s="389" t="str" cm="1">
        <f t="array" aca="1" ref="C247" ca="1">IF(B247&lt;=$C$9,GetGetCDSName(B247),"")</f>
        <v/>
      </c>
      <c r="D247" s="349"/>
      <c r="E247" s="382"/>
      <c r="F247" s="301"/>
      <c r="G247" s="301"/>
      <c r="H247" s="301"/>
      <c r="I247" s="301"/>
      <c r="J247" s="301"/>
      <c r="K247" s="301"/>
      <c r="L247" s="301"/>
      <c r="M247" s="301"/>
      <c r="N247" s="383"/>
      <c r="O247" s="276"/>
      <c r="P247" s="276"/>
      <c r="Q247" s="276"/>
      <c r="R247" s="276"/>
      <c r="S247" s="276"/>
      <c r="T247" s="276"/>
      <c r="U247" s="276"/>
      <c r="V247" s="276"/>
      <c r="W247" s="276"/>
      <c r="X247" s="276"/>
      <c r="Y247" s="276"/>
      <c r="Z247" s="276"/>
      <c r="AA247" s="276"/>
      <c r="AB247" s="276"/>
      <c r="AC247" s="276"/>
      <c r="AD247" s="276"/>
      <c r="AE247" s="276"/>
    </row>
    <row r="248" spans="2:31" ht="14.4">
      <c r="B248" s="381">
        <f t="shared" si="7"/>
        <v>203</v>
      </c>
      <c r="C248" s="389" t="str" cm="1">
        <f t="array" aca="1" ref="C248" ca="1">IF(B248&lt;=$C$9,GetGetCDSName(B248),"")</f>
        <v/>
      </c>
      <c r="D248" s="349"/>
      <c r="E248" s="382"/>
      <c r="F248" s="301"/>
      <c r="G248" s="301"/>
      <c r="H248" s="301"/>
      <c r="I248" s="301"/>
      <c r="J248" s="301"/>
      <c r="K248" s="301"/>
      <c r="L248" s="301"/>
      <c r="M248" s="301"/>
      <c r="N248" s="383"/>
      <c r="O248" s="276"/>
      <c r="P248" s="276"/>
      <c r="Q248" s="276"/>
      <c r="R248" s="276"/>
      <c r="S248" s="276"/>
      <c r="T248" s="276"/>
      <c r="U248" s="276"/>
      <c r="V248" s="276"/>
      <c r="W248" s="276"/>
      <c r="X248" s="276"/>
      <c r="Y248" s="276"/>
      <c r="Z248" s="276"/>
      <c r="AA248" s="276"/>
      <c r="AB248" s="276"/>
      <c r="AC248" s="276"/>
      <c r="AD248" s="276"/>
      <c r="AE248" s="276"/>
    </row>
    <row r="249" spans="2:31" ht="14.4">
      <c r="B249" s="381">
        <f t="shared" si="7"/>
        <v>204</v>
      </c>
      <c r="C249" s="389" t="str" cm="1">
        <f t="array" aca="1" ref="C249" ca="1">IF(B249&lt;=$C$9,GetGetCDSName(B249),"")</f>
        <v/>
      </c>
      <c r="D249" s="349"/>
      <c r="E249" s="382"/>
      <c r="F249" s="301"/>
      <c r="G249" s="301"/>
      <c r="H249" s="301"/>
      <c r="I249" s="301"/>
      <c r="J249" s="301"/>
      <c r="K249" s="301"/>
      <c r="L249" s="301"/>
      <c r="M249" s="301"/>
      <c r="N249" s="383"/>
      <c r="O249" s="276"/>
      <c r="P249" s="276"/>
      <c r="Q249" s="276"/>
      <c r="R249" s="276"/>
      <c r="S249" s="276"/>
      <c r="T249" s="276"/>
      <c r="U249" s="276"/>
      <c r="V249" s="276"/>
      <c r="W249" s="276"/>
      <c r="X249" s="276"/>
      <c r="Y249" s="276"/>
      <c r="Z249" s="276"/>
      <c r="AA249" s="276"/>
      <c r="AB249" s="276"/>
      <c r="AC249" s="276"/>
      <c r="AD249" s="276"/>
      <c r="AE249" s="276"/>
    </row>
    <row r="250" spans="2:31" ht="14.4">
      <c r="B250" s="381">
        <f t="shared" si="7"/>
        <v>205</v>
      </c>
      <c r="C250" s="389" t="str" cm="1">
        <f t="array" aca="1" ref="C250" ca="1">IF(B250&lt;=$C$9,GetGetCDSName(B250),"")</f>
        <v/>
      </c>
      <c r="D250" s="349"/>
      <c r="E250" s="382"/>
      <c r="F250" s="301"/>
      <c r="G250" s="301"/>
      <c r="H250" s="301"/>
      <c r="I250" s="301"/>
      <c r="J250" s="301"/>
      <c r="K250" s="301"/>
      <c r="L250" s="301"/>
      <c r="M250" s="301"/>
      <c r="N250" s="383"/>
      <c r="O250" s="276"/>
      <c r="P250" s="276"/>
      <c r="Q250" s="276"/>
      <c r="R250" s="276"/>
      <c r="S250" s="276"/>
      <c r="T250" s="276"/>
      <c r="U250" s="276"/>
      <c r="V250" s="276"/>
      <c r="W250" s="276"/>
      <c r="X250" s="276"/>
      <c r="Y250" s="276"/>
      <c r="Z250" s="276"/>
      <c r="AA250" s="276"/>
      <c r="AB250" s="276"/>
      <c r="AC250" s="276"/>
      <c r="AD250" s="276"/>
      <c r="AE250" s="276"/>
    </row>
    <row r="251" spans="2:31" ht="14.4">
      <c r="B251" s="381">
        <f t="shared" si="7"/>
        <v>206</v>
      </c>
      <c r="C251" s="389" t="str" cm="1">
        <f t="array" aca="1" ref="C251" ca="1">IF(B251&lt;=$C$9,GetGetCDSName(B251),"")</f>
        <v/>
      </c>
      <c r="D251" s="349"/>
      <c r="E251" s="382"/>
      <c r="F251" s="301"/>
      <c r="G251" s="301"/>
      <c r="H251" s="301"/>
      <c r="I251" s="301"/>
      <c r="J251" s="301"/>
      <c r="K251" s="301"/>
      <c r="L251" s="301"/>
      <c r="M251" s="301"/>
      <c r="N251" s="383"/>
      <c r="O251" s="276"/>
      <c r="P251" s="276"/>
      <c r="Q251" s="276"/>
      <c r="R251" s="276"/>
      <c r="S251" s="276"/>
      <c r="T251" s="276"/>
      <c r="U251" s="276"/>
      <c r="V251" s="276"/>
      <c r="W251" s="276"/>
      <c r="X251" s="276"/>
      <c r="Y251" s="276"/>
      <c r="Z251" s="276"/>
      <c r="AA251" s="276"/>
      <c r="AB251" s="276"/>
      <c r="AC251" s="276"/>
      <c r="AD251" s="276"/>
      <c r="AE251" s="276"/>
    </row>
    <row r="252" spans="2:31" ht="14.4">
      <c r="B252" s="381">
        <f t="shared" si="7"/>
        <v>207</v>
      </c>
      <c r="C252" s="389" t="str" cm="1">
        <f t="array" aca="1" ref="C252" ca="1">IF(B252&lt;=$C$9,GetGetCDSName(B252),"")</f>
        <v/>
      </c>
      <c r="D252" s="349"/>
      <c r="E252" s="382"/>
      <c r="F252" s="301"/>
      <c r="G252" s="301"/>
      <c r="H252" s="301"/>
      <c r="I252" s="301"/>
      <c r="J252" s="301"/>
      <c r="K252" s="301"/>
      <c r="L252" s="301"/>
      <c r="M252" s="301"/>
      <c r="N252" s="383"/>
      <c r="O252" s="276"/>
      <c r="P252" s="276"/>
      <c r="Q252" s="276"/>
      <c r="R252" s="276"/>
      <c r="S252" s="276"/>
      <c r="T252" s="276"/>
      <c r="U252" s="276"/>
      <c r="V252" s="276"/>
      <c r="W252" s="276"/>
      <c r="X252" s="276"/>
      <c r="Y252" s="276"/>
      <c r="Z252" s="276"/>
      <c r="AA252" s="276"/>
      <c r="AB252" s="276"/>
      <c r="AC252" s="276"/>
      <c r="AD252" s="276"/>
      <c r="AE252" s="276"/>
    </row>
    <row r="253" spans="2:31" ht="14.4">
      <c r="B253" s="381">
        <f t="shared" si="7"/>
        <v>208</v>
      </c>
      <c r="C253" s="389" t="str" cm="1">
        <f t="array" aca="1" ref="C253" ca="1">IF(B253&lt;=$C$9,GetGetCDSName(B253),"")</f>
        <v/>
      </c>
      <c r="D253" s="349"/>
      <c r="E253" s="382"/>
      <c r="F253" s="301"/>
      <c r="G253" s="301"/>
      <c r="H253" s="301"/>
      <c r="I253" s="301"/>
      <c r="J253" s="301"/>
      <c r="K253" s="301"/>
      <c r="L253" s="301"/>
      <c r="M253" s="301"/>
      <c r="N253" s="383"/>
      <c r="O253" s="276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76"/>
    </row>
    <row r="254" spans="2:31" ht="14.4">
      <c r="B254" s="381">
        <f t="shared" si="7"/>
        <v>209</v>
      </c>
      <c r="C254" s="389" t="str" cm="1">
        <f t="array" aca="1" ref="C254" ca="1">IF(B254&lt;=$C$9,GetGetCDSName(B254),"")</f>
        <v/>
      </c>
      <c r="D254" s="349"/>
      <c r="E254" s="382"/>
      <c r="F254" s="301"/>
      <c r="G254" s="301"/>
      <c r="H254" s="301"/>
      <c r="I254" s="301"/>
      <c r="J254" s="301"/>
      <c r="K254" s="301"/>
      <c r="L254" s="301"/>
      <c r="M254" s="301"/>
      <c r="N254" s="383"/>
      <c r="O254" s="276"/>
      <c r="P254" s="276"/>
      <c r="Q254" s="276"/>
      <c r="R254" s="276"/>
      <c r="S254" s="276"/>
      <c r="T254" s="276"/>
      <c r="U254" s="276"/>
      <c r="V254" s="276"/>
      <c r="W254" s="276"/>
      <c r="X254" s="276"/>
      <c r="Y254" s="276"/>
      <c r="Z254" s="276"/>
      <c r="AA254" s="276"/>
      <c r="AB254" s="276"/>
      <c r="AC254" s="276"/>
      <c r="AD254" s="276"/>
      <c r="AE254" s="276"/>
    </row>
    <row r="255" spans="2:31" ht="14.4">
      <c r="B255" s="381">
        <f t="shared" si="7"/>
        <v>210</v>
      </c>
      <c r="C255" s="389" t="str" cm="1">
        <f t="array" aca="1" ref="C255" ca="1">IF(B255&lt;=$C$9,GetGetCDSName(B255),"")</f>
        <v/>
      </c>
      <c r="D255" s="349"/>
      <c r="E255" s="382"/>
      <c r="F255" s="301"/>
      <c r="G255" s="301"/>
      <c r="H255" s="301"/>
      <c r="I255" s="301"/>
      <c r="J255" s="301"/>
      <c r="K255" s="301"/>
      <c r="L255" s="301"/>
      <c r="M255" s="301"/>
      <c r="N255" s="383"/>
      <c r="O255" s="276"/>
      <c r="P255" s="276"/>
      <c r="Q255" s="276"/>
      <c r="R255" s="276"/>
      <c r="S255" s="276"/>
      <c r="T255" s="276"/>
      <c r="U255" s="276"/>
      <c r="V255" s="276"/>
      <c r="W255" s="276"/>
      <c r="X255" s="276"/>
      <c r="Y255" s="276"/>
      <c r="Z255" s="276"/>
      <c r="AA255" s="276"/>
      <c r="AB255" s="276"/>
      <c r="AC255" s="276"/>
      <c r="AD255" s="276"/>
      <c r="AE255" s="276"/>
    </row>
    <row r="256" spans="2:31" ht="14.4">
      <c r="B256" s="381">
        <f t="shared" si="7"/>
        <v>211</v>
      </c>
      <c r="C256" s="389" t="str" cm="1">
        <f t="array" aca="1" ref="C256" ca="1">IF(B256&lt;=$C$9,GetGetCDSName(B256),"")</f>
        <v/>
      </c>
      <c r="D256" s="349"/>
      <c r="E256" s="382"/>
      <c r="F256" s="301"/>
      <c r="G256" s="301"/>
      <c r="H256" s="301"/>
      <c r="I256" s="301"/>
      <c r="J256" s="301"/>
      <c r="K256" s="301"/>
      <c r="L256" s="301"/>
      <c r="M256" s="301"/>
      <c r="N256" s="383"/>
      <c r="O256" s="276"/>
      <c r="P256" s="276"/>
      <c r="Q256" s="276"/>
      <c r="R256" s="276"/>
      <c r="S256" s="276"/>
      <c r="T256" s="276"/>
      <c r="U256" s="276"/>
      <c r="V256" s="276"/>
      <c r="W256" s="276"/>
      <c r="X256" s="276"/>
      <c r="Y256" s="276"/>
      <c r="Z256" s="276"/>
      <c r="AA256" s="276"/>
      <c r="AB256" s="276"/>
      <c r="AC256" s="276"/>
      <c r="AD256" s="276"/>
      <c r="AE256" s="276"/>
    </row>
    <row r="257" spans="2:31" ht="14.4">
      <c r="B257" s="381">
        <f t="shared" si="7"/>
        <v>212</v>
      </c>
      <c r="C257" s="389" t="str" cm="1">
        <f t="array" aca="1" ref="C257" ca="1">IF(B257&lt;=$C$9,GetGetCDSName(B257),"")</f>
        <v/>
      </c>
      <c r="D257" s="349"/>
      <c r="E257" s="382"/>
      <c r="F257" s="301"/>
      <c r="G257" s="301"/>
      <c r="H257" s="301"/>
      <c r="I257" s="301"/>
      <c r="J257" s="301"/>
      <c r="K257" s="301"/>
      <c r="L257" s="301"/>
      <c r="M257" s="301"/>
      <c r="N257" s="383"/>
      <c r="O257" s="276"/>
      <c r="P257" s="276"/>
      <c r="Q257" s="276"/>
      <c r="R257" s="276"/>
      <c r="S257" s="276"/>
      <c r="T257" s="276"/>
      <c r="U257" s="276"/>
      <c r="V257" s="276"/>
      <c r="W257" s="276"/>
      <c r="X257" s="276"/>
      <c r="Y257" s="276"/>
      <c r="Z257" s="276"/>
      <c r="AA257" s="276"/>
      <c r="AB257" s="276"/>
      <c r="AC257" s="276"/>
      <c r="AD257" s="276"/>
      <c r="AE257" s="276"/>
    </row>
    <row r="258" spans="2:31" ht="14.4">
      <c r="B258" s="381">
        <f t="shared" si="7"/>
        <v>213</v>
      </c>
      <c r="C258" s="389" t="str" cm="1">
        <f t="array" aca="1" ref="C258" ca="1">IF(B258&lt;=$C$9,GetGetCDSName(B258),"")</f>
        <v/>
      </c>
      <c r="D258" s="349"/>
      <c r="E258" s="382"/>
      <c r="F258" s="301"/>
      <c r="G258" s="301"/>
      <c r="H258" s="301"/>
      <c r="I258" s="301"/>
      <c r="J258" s="301"/>
      <c r="K258" s="301"/>
      <c r="L258" s="301"/>
      <c r="M258" s="301"/>
      <c r="N258" s="383"/>
      <c r="O258" s="276"/>
      <c r="P258" s="276"/>
      <c r="Q258" s="276"/>
      <c r="R258" s="276"/>
      <c r="S258" s="276"/>
      <c r="T258" s="276"/>
      <c r="U258" s="276"/>
      <c r="V258" s="276"/>
      <c r="W258" s="276"/>
      <c r="X258" s="276"/>
      <c r="Y258" s="276"/>
      <c r="Z258" s="276"/>
      <c r="AA258" s="276"/>
      <c r="AB258" s="276"/>
      <c r="AC258" s="276"/>
      <c r="AD258" s="276"/>
      <c r="AE258" s="276"/>
    </row>
    <row r="259" spans="2:31" ht="14.4">
      <c r="B259" s="381">
        <f t="shared" si="7"/>
        <v>214</v>
      </c>
      <c r="C259" s="389" t="str" cm="1">
        <f t="array" aca="1" ref="C259" ca="1">IF(B259&lt;=$C$9,GetGetCDSName(B259),"")</f>
        <v/>
      </c>
      <c r="D259" s="349"/>
      <c r="E259" s="382"/>
      <c r="F259" s="301"/>
      <c r="G259" s="301"/>
      <c r="H259" s="301"/>
      <c r="I259" s="301"/>
      <c r="J259" s="301"/>
      <c r="K259" s="301"/>
      <c r="L259" s="301"/>
      <c r="M259" s="301"/>
      <c r="N259" s="383"/>
      <c r="O259" s="276"/>
      <c r="P259" s="276"/>
      <c r="Q259" s="276"/>
      <c r="R259" s="276"/>
      <c r="S259" s="276"/>
      <c r="T259" s="276"/>
      <c r="U259" s="276"/>
      <c r="V259" s="276"/>
      <c r="W259" s="276"/>
      <c r="X259" s="276"/>
      <c r="Y259" s="276"/>
      <c r="Z259" s="276"/>
      <c r="AA259" s="276"/>
      <c r="AB259" s="276"/>
      <c r="AC259" s="276"/>
      <c r="AD259" s="276"/>
      <c r="AE259" s="276"/>
    </row>
    <row r="260" spans="2:31" ht="14.4">
      <c r="B260" s="381">
        <f t="shared" si="7"/>
        <v>215</v>
      </c>
      <c r="C260" s="389" t="str" cm="1">
        <f t="array" aca="1" ref="C260" ca="1">IF(B260&lt;=$C$9,GetGetCDSName(B260),"")</f>
        <v/>
      </c>
      <c r="D260" s="349"/>
      <c r="E260" s="382"/>
      <c r="F260" s="301"/>
      <c r="G260" s="301"/>
      <c r="H260" s="301"/>
      <c r="I260" s="301"/>
      <c r="J260" s="301"/>
      <c r="K260" s="301"/>
      <c r="L260" s="301"/>
      <c r="M260" s="301"/>
      <c r="N260" s="383"/>
      <c r="O260" s="276"/>
      <c r="P260" s="276"/>
      <c r="Q260" s="276"/>
      <c r="R260" s="276"/>
      <c r="S260" s="276"/>
      <c r="T260" s="276"/>
      <c r="U260" s="276"/>
      <c r="V260" s="276"/>
      <c r="W260" s="276"/>
      <c r="X260" s="276"/>
      <c r="Y260" s="276"/>
      <c r="Z260" s="276"/>
      <c r="AA260" s="276"/>
      <c r="AB260" s="276"/>
      <c r="AC260" s="276"/>
      <c r="AD260" s="276"/>
      <c r="AE260" s="276"/>
    </row>
    <row r="261" spans="2:31" ht="14.4">
      <c r="B261" s="381">
        <f t="shared" si="7"/>
        <v>216</v>
      </c>
      <c r="C261" s="389" t="str" cm="1">
        <f t="array" aca="1" ref="C261" ca="1">IF(B261&lt;=$C$9,GetGetCDSName(B261),"")</f>
        <v/>
      </c>
      <c r="D261" s="349"/>
      <c r="E261" s="382"/>
      <c r="F261" s="301"/>
      <c r="G261" s="301"/>
      <c r="H261" s="301"/>
      <c r="I261" s="301"/>
      <c r="J261" s="301"/>
      <c r="K261" s="301"/>
      <c r="L261" s="301"/>
      <c r="M261" s="301"/>
      <c r="N261" s="383"/>
      <c r="O261" s="276"/>
      <c r="P261" s="276"/>
      <c r="Q261" s="276"/>
      <c r="R261" s="276"/>
      <c r="S261" s="276"/>
      <c r="T261" s="276"/>
      <c r="U261" s="276"/>
      <c r="V261" s="276"/>
      <c r="W261" s="276"/>
      <c r="X261" s="276"/>
      <c r="Y261" s="276"/>
      <c r="Z261" s="276"/>
      <c r="AA261" s="276"/>
      <c r="AB261" s="276"/>
      <c r="AC261" s="276"/>
      <c r="AD261" s="276"/>
      <c r="AE261" s="276"/>
    </row>
    <row r="262" spans="2:31" ht="14.4">
      <c r="B262" s="381">
        <f t="shared" si="7"/>
        <v>217</v>
      </c>
      <c r="C262" s="389" t="str" cm="1">
        <f t="array" aca="1" ref="C262" ca="1">IF(B262&lt;=$C$9,GetGetCDSName(B262),"")</f>
        <v/>
      </c>
      <c r="D262" s="349"/>
      <c r="E262" s="382"/>
      <c r="F262" s="301"/>
      <c r="G262" s="301"/>
      <c r="H262" s="301"/>
      <c r="I262" s="301"/>
      <c r="J262" s="301"/>
      <c r="K262" s="301"/>
      <c r="L262" s="301"/>
      <c r="M262" s="301"/>
      <c r="N262" s="383"/>
      <c r="O262" s="276"/>
      <c r="P262" s="276"/>
      <c r="Q262" s="276"/>
      <c r="R262" s="276"/>
      <c r="S262" s="276"/>
      <c r="T262" s="276"/>
      <c r="U262" s="276"/>
      <c r="V262" s="276"/>
      <c r="W262" s="276"/>
      <c r="X262" s="276"/>
      <c r="Y262" s="276"/>
      <c r="Z262" s="276"/>
      <c r="AA262" s="276"/>
      <c r="AB262" s="276"/>
      <c r="AC262" s="276"/>
      <c r="AD262" s="276"/>
      <c r="AE262" s="276"/>
    </row>
    <row r="263" spans="2:31" ht="14.4">
      <c r="B263" s="381">
        <f t="shared" si="7"/>
        <v>218</v>
      </c>
      <c r="C263" s="389" t="str" cm="1">
        <f t="array" aca="1" ref="C263" ca="1">IF(B263&lt;=$C$9,GetGetCDSName(B263),"")</f>
        <v/>
      </c>
      <c r="D263" s="349"/>
      <c r="E263" s="382"/>
      <c r="F263" s="301"/>
      <c r="G263" s="301"/>
      <c r="H263" s="301"/>
      <c r="I263" s="301"/>
      <c r="J263" s="301"/>
      <c r="K263" s="301"/>
      <c r="L263" s="301"/>
      <c r="M263" s="301"/>
      <c r="N263" s="383"/>
      <c r="O263" s="276"/>
      <c r="P263" s="276"/>
      <c r="Q263" s="276"/>
      <c r="R263" s="276"/>
      <c r="S263" s="276"/>
      <c r="T263" s="276"/>
      <c r="U263" s="276"/>
      <c r="V263" s="276"/>
      <c r="W263" s="276"/>
      <c r="X263" s="276"/>
      <c r="Y263" s="276"/>
      <c r="Z263" s="276"/>
      <c r="AA263" s="276"/>
      <c r="AB263" s="276"/>
      <c r="AC263" s="276"/>
      <c r="AD263" s="276"/>
      <c r="AE263" s="276"/>
    </row>
    <row r="264" spans="2:31" ht="14.4">
      <c r="B264" s="381">
        <f t="shared" si="7"/>
        <v>219</v>
      </c>
      <c r="C264" s="389" t="str" cm="1">
        <f t="array" aca="1" ref="C264" ca="1">IF(B264&lt;=$C$9,GetGetCDSName(B264),"")</f>
        <v/>
      </c>
      <c r="D264" s="349"/>
      <c r="E264" s="382"/>
      <c r="F264" s="301"/>
      <c r="G264" s="301"/>
      <c r="H264" s="301"/>
      <c r="I264" s="301"/>
      <c r="J264" s="301"/>
      <c r="K264" s="301"/>
      <c r="L264" s="301"/>
      <c r="M264" s="301"/>
      <c r="N264" s="383"/>
      <c r="O264" s="276"/>
      <c r="P264" s="276"/>
      <c r="Q264" s="276"/>
      <c r="R264" s="276"/>
      <c r="S264" s="276"/>
      <c r="T264" s="276"/>
      <c r="U264" s="276"/>
      <c r="V264" s="276"/>
      <c r="W264" s="276"/>
      <c r="X264" s="276"/>
      <c r="Y264" s="276"/>
      <c r="Z264" s="276"/>
      <c r="AA264" s="276"/>
      <c r="AB264" s="276"/>
      <c r="AC264" s="276"/>
      <c r="AD264" s="276"/>
      <c r="AE264" s="276"/>
    </row>
    <row r="265" spans="2:31" ht="14.4">
      <c r="B265" s="381">
        <f t="shared" si="7"/>
        <v>220</v>
      </c>
      <c r="C265" s="389" t="str" cm="1">
        <f t="array" aca="1" ref="C265" ca="1">IF(B265&lt;=$C$9,GetGetCDSName(B265),"")</f>
        <v/>
      </c>
      <c r="D265" s="349"/>
      <c r="E265" s="382"/>
      <c r="F265" s="301"/>
      <c r="G265" s="301"/>
      <c r="H265" s="301"/>
      <c r="I265" s="301"/>
      <c r="J265" s="301"/>
      <c r="K265" s="301"/>
      <c r="L265" s="301"/>
      <c r="M265" s="301"/>
      <c r="N265" s="383"/>
      <c r="O265" s="276"/>
      <c r="P265" s="276"/>
      <c r="Q265" s="276"/>
      <c r="R265" s="276"/>
      <c r="S265" s="276"/>
      <c r="T265" s="276"/>
      <c r="U265" s="276"/>
      <c r="V265" s="276"/>
      <c r="W265" s="276"/>
      <c r="X265" s="276"/>
      <c r="Y265" s="276"/>
      <c r="Z265" s="276"/>
      <c r="AA265" s="276"/>
      <c r="AB265" s="276"/>
      <c r="AC265" s="276"/>
      <c r="AD265" s="276"/>
      <c r="AE265" s="276"/>
    </row>
    <row r="266" spans="2:31" ht="14.4">
      <c r="B266" s="381">
        <f t="shared" si="7"/>
        <v>221</v>
      </c>
      <c r="C266" s="389" t="str" cm="1">
        <f t="array" aca="1" ref="C266" ca="1">IF(B266&lt;=$C$9,GetGetCDSName(B266),"")</f>
        <v/>
      </c>
      <c r="D266" s="349"/>
      <c r="E266" s="382"/>
      <c r="F266" s="301"/>
      <c r="G266" s="301"/>
      <c r="H266" s="301"/>
      <c r="I266" s="301"/>
      <c r="J266" s="301"/>
      <c r="K266" s="301"/>
      <c r="L266" s="301"/>
      <c r="M266" s="301"/>
      <c r="N266" s="383"/>
      <c r="O266" s="276"/>
      <c r="P266" s="276"/>
      <c r="Q266" s="276"/>
      <c r="R266" s="276"/>
      <c r="S266" s="276"/>
      <c r="T266" s="276"/>
      <c r="U266" s="276"/>
      <c r="V266" s="276"/>
      <c r="W266" s="276"/>
      <c r="X266" s="276"/>
      <c r="Y266" s="276"/>
      <c r="Z266" s="276"/>
      <c r="AA266" s="276"/>
      <c r="AB266" s="276"/>
      <c r="AC266" s="276"/>
      <c r="AD266" s="276"/>
      <c r="AE266" s="276"/>
    </row>
    <row r="267" spans="2:31" ht="14.4">
      <c r="B267" s="381">
        <f t="shared" si="7"/>
        <v>222</v>
      </c>
      <c r="C267" s="389" t="str" cm="1">
        <f t="array" aca="1" ref="C267" ca="1">IF(B267&lt;=$C$9,GetGetCDSName(B267),"")</f>
        <v/>
      </c>
      <c r="D267" s="349"/>
      <c r="E267" s="382"/>
      <c r="F267" s="301"/>
      <c r="G267" s="301"/>
      <c r="H267" s="301"/>
      <c r="I267" s="301"/>
      <c r="J267" s="301"/>
      <c r="K267" s="301"/>
      <c r="L267" s="301"/>
      <c r="M267" s="301"/>
      <c r="N267" s="383"/>
      <c r="O267" s="276"/>
      <c r="P267" s="276"/>
      <c r="Q267" s="276"/>
      <c r="R267" s="276"/>
      <c r="S267" s="276"/>
      <c r="T267" s="276"/>
      <c r="U267" s="276"/>
      <c r="V267" s="276"/>
      <c r="W267" s="276"/>
      <c r="X267" s="276"/>
      <c r="Y267" s="276"/>
      <c r="Z267" s="276"/>
      <c r="AA267" s="276"/>
      <c r="AB267" s="276"/>
      <c r="AC267" s="276"/>
      <c r="AD267" s="276"/>
      <c r="AE267" s="276"/>
    </row>
    <row r="268" spans="2:31" ht="14.4">
      <c r="B268" s="381">
        <f t="shared" si="7"/>
        <v>223</v>
      </c>
      <c r="C268" s="389" t="str" cm="1">
        <f t="array" aca="1" ref="C268" ca="1">IF(B268&lt;=$C$9,GetGetCDSName(B268),"")</f>
        <v/>
      </c>
      <c r="D268" s="349"/>
      <c r="E268" s="382"/>
      <c r="F268" s="301"/>
      <c r="G268" s="301"/>
      <c r="H268" s="301"/>
      <c r="I268" s="301"/>
      <c r="J268" s="301"/>
      <c r="K268" s="301"/>
      <c r="L268" s="301"/>
      <c r="M268" s="301"/>
      <c r="N268" s="383"/>
      <c r="O268" s="276"/>
      <c r="P268" s="276"/>
      <c r="Q268" s="276"/>
      <c r="R268" s="276"/>
      <c r="S268" s="276"/>
      <c r="T268" s="276"/>
      <c r="U268" s="276"/>
      <c r="V268" s="276"/>
      <c r="W268" s="276"/>
      <c r="X268" s="276"/>
      <c r="Y268" s="276"/>
      <c r="Z268" s="276"/>
      <c r="AA268" s="276"/>
      <c r="AB268" s="276"/>
      <c r="AC268" s="276"/>
      <c r="AD268" s="276"/>
      <c r="AE268" s="276"/>
    </row>
    <row r="269" spans="2:31" ht="14.4">
      <c r="B269" s="381">
        <f t="shared" si="7"/>
        <v>224</v>
      </c>
      <c r="C269" s="389" t="str" cm="1">
        <f t="array" aca="1" ref="C269" ca="1">IF(B269&lt;=$C$9,GetGetCDSName(B269),"")</f>
        <v/>
      </c>
      <c r="D269" s="349"/>
      <c r="E269" s="382"/>
      <c r="F269" s="301"/>
      <c r="G269" s="301"/>
      <c r="H269" s="301"/>
      <c r="I269" s="301"/>
      <c r="J269" s="301"/>
      <c r="K269" s="301"/>
      <c r="L269" s="301"/>
      <c r="M269" s="301"/>
      <c r="N269" s="383"/>
      <c r="O269" s="276"/>
      <c r="P269" s="276"/>
      <c r="Q269" s="276"/>
      <c r="R269" s="276"/>
      <c r="S269" s="276"/>
      <c r="T269" s="276"/>
      <c r="U269" s="276"/>
      <c r="V269" s="276"/>
      <c r="W269" s="276"/>
      <c r="X269" s="276"/>
      <c r="Y269" s="276"/>
      <c r="Z269" s="276"/>
      <c r="AA269" s="276"/>
      <c r="AB269" s="276"/>
      <c r="AC269" s="276"/>
      <c r="AD269" s="276"/>
      <c r="AE269" s="276"/>
    </row>
    <row r="270" spans="2:31" ht="14.4">
      <c r="B270" s="381">
        <f t="shared" si="7"/>
        <v>225</v>
      </c>
      <c r="C270" s="389" t="str" cm="1">
        <f t="array" aca="1" ref="C270" ca="1">IF(B270&lt;=$C$9,GetGetCDSName(B270),"")</f>
        <v/>
      </c>
      <c r="D270" s="349"/>
      <c r="E270" s="382"/>
      <c r="F270" s="301"/>
      <c r="G270" s="301"/>
      <c r="H270" s="301"/>
      <c r="I270" s="301"/>
      <c r="J270" s="301"/>
      <c r="K270" s="301"/>
      <c r="L270" s="301"/>
      <c r="M270" s="301"/>
      <c r="N270" s="383"/>
      <c r="O270" s="276"/>
      <c r="P270" s="276"/>
      <c r="Q270" s="276"/>
      <c r="R270" s="276"/>
      <c r="S270" s="276"/>
      <c r="T270" s="276"/>
      <c r="U270" s="276"/>
      <c r="V270" s="276"/>
      <c r="W270" s="276"/>
      <c r="X270" s="276"/>
      <c r="Y270" s="276"/>
      <c r="Z270" s="276"/>
      <c r="AA270" s="276"/>
      <c r="AB270" s="276"/>
      <c r="AC270" s="276"/>
      <c r="AD270" s="276"/>
      <c r="AE270" s="276"/>
    </row>
    <row r="271" spans="2:31" ht="14.4">
      <c r="B271" s="381">
        <f t="shared" si="7"/>
        <v>226</v>
      </c>
      <c r="C271" s="389" t="str" cm="1">
        <f t="array" aca="1" ref="C271" ca="1">IF(B271&lt;=$C$9,GetGetCDSName(B271),"")</f>
        <v/>
      </c>
      <c r="D271" s="349"/>
      <c r="E271" s="382"/>
      <c r="F271" s="301"/>
      <c r="G271" s="301"/>
      <c r="H271" s="301"/>
      <c r="I271" s="301"/>
      <c r="J271" s="301"/>
      <c r="K271" s="301"/>
      <c r="L271" s="301"/>
      <c r="M271" s="301"/>
      <c r="N271" s="383"/>
      <c r="O271" s="276"/>
      <c r="P271" s="276"/>
      <c r="Q271" s="276"/>
      <c r="R271" s="276"/>
      <c r="S271" s="276"/>
      <c r="T271" s="276"/>
      <c r="U271" s="276"/>
      <c r="V271" s="276"/>
      <c r="W271" s="276"/>
      <c r="X271" s="276"/>
      <c r="Y271" s="276"/>
      <c r="Z271" s="276"/>
      <c r="AA271" s="276"/>
      <c r="AB271" s="276"/>
      <c r="AC271" s="276"/>
      <c r="AD271" s="276"/>
      <c r="AE271" s="276"/>
    </row>
    <row r="272" spans="2:31" ht="14.4">
      <c r="B272" s="381">
        <f t="shared" si="7"/>
        <v>227</v>
      </c>
      <c r="C272" s="389" t="str" cm="1">
        <f t="array" aca="1" ref="C272" ca="1">IF(B272&lt;=$C$9,GetGetCDSName(B272),"")</f>
        <v/>
      </c>
      <c r="D272" s="349"/>
      <c r="E272" s="382"/>
      <c r="F272" s="301"/>
      <c r="G272" s="301"/>
      <c r="H272" s="301"/>
      <c r="I272" s="301"/>
      <c r="J272" s="301"/>
      <c r="K272" s="301"/>
      <c r="L272" s="301"/>
      <c r="M272" s="301"/>
      <c r="N272" s="383"/>
      <c r="O272" s="276"/>
      <c r="P272" s="276"/>
      <c r="Q272" s="276"/>
      <c r="R272" s="276"/>
      <c r="S272" s="276"/>
      <c r="T272" s="276"/>
      <c r="U272" s="276"/>
      <c r="V272" s="276"/>
      <c r="W272" s="276"/>
      <c r="X272" s="276"/>
      <c r="Y272" s="276"/>
      <c r="Z272" s="276"/>
      <c r="AA272" s="276"/>
      <c r="AB272" s="276"/>
      <c r="AC272" s="276"/>
      <c r="AD272" s="276"/>
      <c r="AE272" s="276"/>
    </row>
    <row r="273" spans="2:31" ht="14.4">
      <c r="B273" s="381">
        <f t="shared" si="7"/>
        <v>228</v>
      </c>
      <c r="C273" s="389" t="str" cm="1">
        <f t="array" aca="1" ref="C273" ca="1">IF(B273&lt;=$C$9,GetGetCDSName(B273),"")</f>
        <v/>
      </c>
      <c r="D273" s="349"/>
      <c r="E273" s="382"/>
      <c r="F273" s="301"/>
      <c r="G273" s="301"/>
      <c r="H273" s="301"/>
      <c r="I273" s="301"/>
      <c r="J273" s="301"/>
      <c r="K273" s="301"/>
      <c r="L273" s="301"/>
      <c r="M273" s="301"/>
      <c r="N273" s="383"/>
      <c r="O273" s="276"/>
      <c r="P273" s="276"/>
      <c r="Q273" s="276"/>
      <c r="R273" s="276"/>
      <c r="S273" s="276"/>
      <c r="T273" s="276"/>
      <c r="U273" s="276"/>
      <c r="V273" s="276"/>
      <c r="W273" s="276"/>
      <c r="X273" s="276"/>
      <c r="Y273" s="276"/>
      <c r="Z273" s="276"/>
      <c r="AA273" s="276"/>
      <c r="AB273" s="276"/>
      <c r="AC273" s="276"/>
      <c r="AD273" s="276"/>
      <c r="AE273" s="276"/>
    </row>
    <row r="274" spans="2:31" ht="14.4">
      <c r="B274" s="381">
        <f t="shared" si="7"/>
        <v>229</v>
      </c>
      <c r="C274" s="389" t="str" cm="1">
        <f t="array" aca="1" ref="C274" ca="1">IF(B274&lt;=$C$9,GetGetCDSName(B274),"")</f>
        <v/>
      </c>
      <c r="D274" s="349"/>
      <c r="E274" s="382"/>
      <c r="F274" s="301"/>
      <c r="G274" s="301"/>
      <c r="H274" s="301"/>
      <c r="I274" s="301"/>
      <c r="J274" s="301"/>
      <c r="K274" s="301"/>
      <c r="L274" s="301"/>
      <c r="M274" s="301"/>
      <c r="N274" s="383"/>
      <c r="O274" s="276"/>
      <c r="P274" s="276"/>
      <c r="Q274" s="276"/>
      <c r="R274" s="276"/>
      <c r="S274" s="276"/>
      <c r="T274" s="276"/>
      <c r="U274" s="276"/>
      <c r="V274" s="276"/>
      <c r="W274" s="276"/>
      <c r="X274" s="276"/>
      <c r="Y274" s="276"/>
      <c r="Z274" s="276"/>
      <c r="AA274" s="276"/>
      <c r="AB274" s="276"/>
      <c r="AC274" s="276"/>
      <c r="AD274" s="276"/>
      <c r="AE274" s="276"/>
    </row>
    <row r="275" spans="2:31" ht="14.4">
      <c r="B275" s="381">
        <f t="shared" si="7"/>
        <v>230</v>
      </c>
      <c r="C275" s="389" t="str" cm="1">
        <f t="array" aca="1" ref="C275" ca="1">IF(B275&lt;=$C$9,GetGetCDSName(B275),"")</f>
        <v/>
      </c>
      <c r="D275" s="349"/>
      <c r="E275" s="382"/>
      <c r="F275" s="301"/>
      <c r="G275" s="301"/>
      <c r="H275" s="301"/>
      <c r="I275" s="301"/>
      <c r="J275" s="301"/>
      <c r="K275" s="301"/>
      <c r="L275" s="301"/>
      <c r="M275" s="301"/>
      <c r="N275" s="383"/>
      <c r="O275" s="276"/>
      <c r="P275" s="276"/>
      <c r="Q275" s="276"/>
      <c r="R275" s="276"/>
      <c r="S275" s="276"/>
      <c r="T275" s="276"/>
      <c r="U275" s="276"/>
      <c r="V275" s="276"/>
      <c r="W275" s="276"/>
      <c r="X275" s="276"/>
      <c r="Y275" s="276"/>
      <c r="Z275" s="276"/>
      <c r="AA275" s="276"/>
      <c r="AB275" s="276"/>
      <c r="AC275" s="276"/>
      <c r="AD275" s="276"/>
      <c r="AE275" s="276"/>
    </row>
    <row r="276" spans="2:31" ht="14.4">
      <c r="B276" s="381">
        <f t="shared" si="7"/>
        <v>231</v>
      </c>
      <c r="C276" s="389" t="str" cm="1">
        <f t="array" aca="1" ref="C276" ca="1">IF(B276&lt;=$C$9,GetGetCDSName(B276),"")</f>
        <v/>
      </c>
      <c r="D276" s="349"/>
      <c r="E276" s="382"/>
      <c r="F276" s="301"/>
      <c r="G276" s="301"/>
      <c r="H276" s="301"/>
      <c r="I276" s="301"/>
      <c r="J276" s="301"/>
      <c r="K276" s="301"/>
      <c r="L276" s="301"/>
      <c r="M276" s="301"/>
      <c r="N276" s="383"/>
      <c r="O276" s="276"/>
      <c r="P276" s="276"/>
      <c r="Q276" s="276"/>
      <c r="R276" s="276"/>
      <c r="S276" s="276"/>
      <c r="T276" s="276"/>
      <c r="U276" s="276"/>
      <c r="V276" s="276"/>
      <c r="W276" s="276"/>
      <c r="X276" s="276"/>
      <c r="Y276" s="276"/>
      <c r="Z276" s="276"/>
      <c r="AA276" s="276"/>
      <c r="AB276" s="276"/>
      <c r="AC276" s="276"/>
      <c r="AD276" s="276"/>
      <c r="AE276" s="276"/>
    </row>
    <row r="277" spans="2:31" ht="14.4">
      <c r="B277" s="381">
        <f t="shared" si="7"/>
        <v>232</v>
      </c>
      <c r="C277" s="389" t="str" cm="1">
        <f t="array" aca="1" ref="C277" ca="1">IF(B277&lt;=$C$9,GetGetCDSName(B277),"")</f>
        <v/>
      </c>
      <c r="D277" s="349"/>
      <c r="E277" s="382"/>
      <c r="F277" s="301"/>
      <c r="G277" s="301"/>
      <c r="H277" s="301"/>
      <c r="I277" s="301"/>
      <c r="J277" s="301"/>
      <c r="K277" s="301"/>
      <c r="L277" s="301"/>
      <c r="M277" s="301"/>
      <c r="N277" s="383"/>
      <c r="O277" s="276"/>
      <c r="P277" s="276"/>
      <c r="Q277" s="276"/>
      <c r="R277" s="276"/>
      <c r="S277" s="276"/>
      <c r="T277" s="276"/>
      <c r="U277" s="276"/>
      <c r="V277" s="276"/>
      <c r="W277" s="276"/>
      <c r="X277" s="276"/>
      <c r="Y277" s="276"/>
      <c r="Z277" s="276"/>
      <c r="AA277" s="276"/>
      <c r="AB277" s="276"/>
      <c r="AC277" s="276"/>
      <c r="AD277" s="276"/>
      <c r="AE277" s="276"/>
    </row>
    <row r="278" spans="2:31" ht="14.4">
      <c r="B278" s="381">
        <f t="shared" si="7"/>
        <v>233</v>
      </c>
      <c r="C278" s="389" t="str" cm="1">
        <f t="array" aca="1" ref="C278" ca="1">IF(B278&lt;=$C$9,GetGetCDSName(B278),"")</f>
        <v/>
      </c>
      <c r="D278" s="349"/>
      <c r="E278" s="382"/>
      <c r="F278" s="301"/>
      <c r="G278" s="301"/>
      <c r="H278" s="301"/>
      <c r="I278" s="301"/>
      <c r="J278" s="301"/>
      <c r="K278" s="301"/>
      <c r="L278" s="301"/>
      <c r="M278" s="301"/>
      <c r="N278" s="383"/>
      <c r="O278" s="276"/>
      <c r="P278" s="276"/>
      <c r="Q278" s="276"/>
      <c r="R278" s="276"/>
      <c r="S278" s="276"/>
      <c r="T278" s="276"/>
      <c r="U278" s="276"/>
      <c r="V278" s="276"/>
      <c r="W278" s="276"/>
      <c r="X278" s="276"/>
      <c r="Y278" s="276"/>
      <c r="Z278" s="276"/>
      <c r="AA278" s="276"/>
      <c r="AB278" s="276"/>
      <c r="AC278" s="276"/>
      <c r="AD278" s="276"/>
      <c r="AE278" s="276"/>
    </row>
    <row r="279" spans="2:31" ht="14.4">
      <c r="B279" s="381">
        <f t="shared" si="7"/>
        <v>234</v>
      </c>
      <c r="C279" s="389" t="str" cm="1">
        <f t="array" aca="1" ref="C279" ca="1">IF(B279&lt;=$C$9,GetGetCDSName(B279),"")</f>
        <v/>
      </c>
      <c r="D279" s="349"/>
      <c r="E279" s="382"/>
      <c r="F279" s="301"/>
      <c r="G279" s="301"/>
      <c r="H279" s="301"/>
      <c r="I279" s="301"/>
      <c r="J279" s="301"/>
      <c r="K279" s="301"/>
      <c r="L279" s="301"/>
      <c r="M279" s="301"/>
      <c r="N279" s="383"/>
      <c r="O279" s="276"/>
      <c r="P279" s="276"/>
      <c r="Q279" s="276"/>
      <c r="R279" s="276"/>
      <c r="S279" s="276"/>
      <c r="T279" s="276"/>
      <c r="U279" s="276"/>
      <c r="V279" s="276"/>
      <c r="W279" s="276"/>
      <c r="X279" s="276"/>
      <c r="Y279" s="276"/>
      <c r="Z279" s="276"/>
      <c r="AA279" s="276"/>
      <c r="AB279" s="276"/>
      <c r="AC279" s="276"/>
      <c r="AD279" s="276"/>
      <c r="AE279" s="276"/>
    </row>
    <row r="280" spans="2:31" ht="14.4">
      <c r="B280" s="381">
        <f t="shared" si="7"/>
        <v>235</v>
      </c>
      <c r="C280" s="389" t="str" cm="1">
        <f t="array" aca="1" ref="C280" ca="1">IF(B280&lt;=$C$9,GetGetCDSName(B280),"")</f>
        <v/>
      </c>
      <c r="D280" s="349"/>
      <c r="E280" s="382"/>
      <c r="F280" s="301"/>
      <c r="G280" s="301"/>
      <c r="H280" s="301"/>
      <c r="I280" s="301"/>
      <c r="J280" s="301"/>
      <c r="K280" s="301"/>
      <c r="L280" s="301"/>
      <c r="M280" s="301"/>
      <c r="N280" s="383"/>
      <c r="O280" s="276"/>
      <c r="P280" s="276"/>
      <c r="Q280" s="276"/>
      <c r="R280" s="276"/>
      <c r="S280" s="276"/>
      <c r="T280" s="276"/>
      <c r="U280" s="276"/>
      <c r="V280" s="276"/>
      <c r="W280" s="276"/>
      <c r="X280" s="276"/>
      <c r="Y280" s="276"/>
      <c r="Z280" s="276"/>
      <c r="AA280" s="276"/>
      <c r="AB280" s="276"/>
      <c r="AC280" s="276"/>
      <c r="AD280" s="276"/>
      <c r="AE280" s="276"/>
    </row>
    <row r="281" spans="2:31" ht="14.4">
      <c r="B281" s="381">
        <f t="shared" si="7"/>
        <v>236</v>
      </c>
      <c r="C281" s="389" t="str" cm="1">
        <f t="array" aca="1" ref="C281" ca="1">IF(B281&lt;=$C$9,GetGetCDSName(B281),"")</f>
        <v/>
      </c>
      <c r="D281" s="349"/>
      <c r="E281" s="382"/>
      <c r="F281" s="301"/>
      <c r="G281" s="301"/>
      <c r="H281" s="301"/>
      <c r="I281" s="301"/>
      <c r="J281" s="301"/>
      <c r="K281" s="301"/>
      <c r="L281" s="301"/>
      <c r="M281" s="301"/>
      <c r="N281" s="383"/>
      <c r="O281" s="276"/>
      <c r="P281" s="276"/>
      <c r="Q281" s="276"/>
      <c r="R281" s="276"/>
      <c r="S281" s="276"/>
      <c r="T281" s="276"/>
      <c r="U281" s="276"/>
      <c r="V281" s="276"/>
      <c r="W281" s="276"/>
      <c r="X281" s="276"/>
      <c r="Y281" s="276"/>
      <c r="Z281" s="276"/>
      <c r="AA281" s="276"/>
      <c r="AB281" s="276"/>
      <c r="AC281" s="276"/>
      <c r="AD281" s="276"/>
      <c r="AE281" s="276"/>
    </row>
    <row r="282" spans="2:31" ht="14.4">
      <c r="B282" s="381">
        <f t="shared" si="7"/>
        <v>237</v>
      </c>
      <c r="C282" s="389" t="str" cm="1">
        <f t="array" aca="1" ref="C282" ca="1">IF(B282&lt;=$C$9,GetGetCDSName(B282),"")</f>
        <v/>
      </c>
      <c r="D282" s="349"/>
      <c r="E282" s="382"/>
      <c r="F282" s="301"/>
      <c r="G282" s="301"/>
      <c r="H282" s="301"/>
      <c r="I282" s="301"/>
      <c r="J282" s="301"/>
      <c r="K282" s="301"/>
      <c r="L282" s="301"/>
      <c r="M282" s="301"/>
      <c r="N282" s="383"/>
      <c r="O282" s="276"/>
      <c r="P282" s="276"/>
      <c r="Q282" s="276"/>
      <c r="R282" s="276"/>
      <c r="S282" s="276"/>
      <c r="T282" s="276"/>
      <c r="U282" s="276"/>
      <c r="V282" s="276"/>
      <c r="W282" s="276"/>
      <c r="X282" s="276"/>
      <c r="Y282" s="276"/>
      <c r="Z282" s="276"/>
      <c r="AA282" s="276"/>
      <c r="AB282" s="276"/>
      <c r="AC282" s="276"/>
      <c r="AD282" s="276"/>
      <c r="AE282" s="276"/>
    </row>
    <row r="283" spans="2:31" ht="14.4">
      <c r="B283" s="381">
        <f t="shared" si="7"/>
        <v>238</v>
      </c>
      <c r="C283" s="389" t="str" cm="1">
        <f t="array" aca="1" ref="C283" ca="1">IF(B283&lt;=$C$9,GetGetCDSName(B283),"")</f>
        <v/>
      </c>
      <c r="D283" s="349"/>
      <c r="E283" s="382"/>
      <c r="F283" s="301"/>
      <c r="G283" s="301"/>
      <c r="H283" s="301"/>
      <c r="I283" s="301"/>
      <c r="J283" s="301"/>
      <c r="K283" s="301"/>
      <c r="L283" s="301"/>
      <c r="M283" s="301"/>
      <c r="N283" s="383"/>
      <c r="O283" s="276"/>
      <c r="P283" s="276"/>
      <c r="Q283" s="276"/>
      <c r="R283" s="276"/>
      <c r="S283" s="276"/>
      <c r="T283" s="276"/>
      <c r="U283" s="276"/>
      <c r="V283" s="276"/>
      <c r="W283" s="276"/>
      <c r="X283" s="276"/>
      <c r="Y283" s="276"/>
      <c r="Z283" s="276"/>
      <c r="AA283" s="276"/>
      <c r="AB283" s="276"/>
      <c r="AC283" s="276"/>
      <c r="AD283" s="276"/>
      <c r="AE283" s="276"/>
    </row>
    <row r="284" spans="2:31" ht="14.4">
      <c r="B284" s="381">
        <f t="shared" si="7"/>
        <v>239</v>
      </c>
      <c r="C284" s="389" t="str" cm="1">
        <f t="array" aca="1" ref="C284" ca="1">IF(B284&lt;=$C$9,GetGetCDSName(B284),"")</f>
        <v/>
      </c>
      <c r="D284" s="349"/>
      <c r="E284" s="382"/>
      <c r="F284" s="301"/>
      <c r="G284" s="301"/>
      <c r="H284" s="301"/>
      <c r="I284" s="301"/>
      <c r="J284" s="301"/>
      <c r="K284" s="301"/>
      <c r="L284" s="301"/>
      <c r="M284" s="301"/>
      <c r="N284" s="383"/>
      <c r="O284" s="276"/>
      <c r="P284" s="276"/>
      <c r="Q284" s="276"/>
      <c r="R284" s="276"/>
      <c r="S284" s="276"/>
      <c r="T284" s="276"/>
      <c r="U284" s="276"/>
      <c r="V284" s="276"/>
      <c r="W284" s="276"/>
      <c r="X284" s="276"/>
      <c r="Y284" s="276"/>
      <c r="Z284" s="276"/>
      <c r="AA284" s="276"/>
      <c r="AB284" s="276"/>
      <c r="AC284" s="276"/>
      <c r="AD284" s="276"/>
      <c r="AE284" s="276"/>
    </row>
    <row r="285" spans="2:31" ht="14.4">
      <c r="B285" s="381">
        <f t="shared" si="7"/>
        <v>240</v>
      </c>
      <c r="C285" s="389" t="str" cm="1">
        <f t="array" aca="1" ref="C285" ca="1">IF(B285&lt;=$C$9,GetGetCDSName(B285),"")</f>
        <v/>
      </c>
      <c r="D285" s="349"/>
      <c r="E285" s="382"/>
      <c r="F285" s="301"/>
      <c r="G285" s="301"/>
      <c r="H285" s="301"/>
      <c r="I285" s="301"/>
      <c r="J285" s="301"/>
      <c r="K285" s="301"/>
      <c r="L285" s="301"/>
      <c r="M285" s="301"/>
      <c r="N285" s="383"/>
      <c r="O285" s="276"/>
      <c r="P285" s="276"/>
      <c r="Q285" s="276"/>
      <c r="R285" s="276"/>
      <c r="S285" s="276"/>
      <c r="T285" s="276"/>
      <c r="U285" s="276"/>
      <c r="V285" s="276"/>
      <c r="W285" s="276"/>
      <c r="X285" s="276"/>
      <c r="Y285" s="276"/>
      <c r="Z285" s="276"/>
      <c r="AA285" s="276"/>
      <c r="AB285" s="276"/>
      <c r="AC285" s="276"/>
      <c r="AD285" s="276"/>
      <c r="AE285" s="276"/>
    </row>
    <row r="286" spans="2:31" ht="14.4">
      <c r="B286" s="381">
        <f t="shared" si="7"/>
        <v>241</v>
      </c>
      <c r="C286" s="389" t="str" cm="1">
        <f t="array" aca="1" ref="C286" ca="1">IF(B286&lt;=$C$9,GetGetCDSName(B286),"")</f>
        <v/>
      </c>
      <c r="D286" s="349"/>
      <c r="E286" s="382"/>
      <c r="F286" s="301"/>
      <c r="G286" s="301"/>
      <c r="H286" s="301"/>
      <c r="I286" s="301"/>
      <c r="J286" s="301"/>
      <c r="K286" s="301"/>
      <c r="L286" s="301"/>
      <c r="M286" s="301"/>
      <c r="N286" s="383"/>
      <c r="O286" s="276"/>
      <c r="P286" s="276"/>
      <c r="Q286" s="276"/>
      <c r="R286" s="276"/>
      <c r="S286" s="276"/>
      <c r="T286" s="276"/>
      <c r="U286" s="276"/>
      <c r="V286" s="276"/>
      <c r="W286" s="276"/>
      <c r="X286" s="276"/>
      <c r="Y286" s="276"/>
      <c r="Z286" s="276"/>
      <c r="AA286" s="276"/>
      <c r="AB286" s="276"/>
      <c r="AC286" s="276"/>
      <c r="AD286" s="276"/>
      <c r="AE286" s="276"/>
    </row>
    <row r="287" spans="2:31" ht="14.4">
      <c r="B287" s="381">
        <f t="shared" si="7"/>
        <v>242</v>
      </c>
      <c r="C287" s="389" t="str" cm="1">
        <f t="array" aca="1" ref="C287" ca="1">IF(B287&lt;=$C$9,GetGetCDSName(B287),"")</f>
        <v/>
      </c>
      <c r="D287" s="349"/>
      <c r="E287" s="382"/>
      <c r="F287" s="301"/>
      <c r="G287" s="301"/>
      <c r="H287" s="301"/>
      <c r="I287" s="301"/>
      <c r="J287" s="301"/>
      <c r="K287" s="301"/>
      <c r="L287" s="301"/>
      <c r="M287" s="301"/>
      <c r="N287" s="383"/>
      <c r="O287" s="276"/>
      <c r="P287" s="276"/>
      <c r="Q287" s="276"/>
      <c r="R287" s="276"/>
      <c r="S287" s="276"/>
      <c r="T287" s="276"/>
      <c r="U287" s="276"/>
      <c r="V287" s="276"/>
      <c r="W287" s="276"/>
      <c r="X287" s="276"/>
      <c r="Y287" s="276"/>
      <c r="Z287" s="276"/>
      <c r="AA287" s="276"/>
      <c r="AB287" s="276"/>
      <c r="AC287" s="276"/>
      <c r="AD287" s="276"/>
      <c r="AE287" s="276"/>
    </row>
    <row r="288" spans="2:31" ht="14.4">
      <c r="B288" s="381">
        <f t="shared" si="7"/>
        <v>243</v>
      </c>
      <c r="C288" s="389" t="str" cm="1">
        <f t="array" aca="1" ref="C288" ca="1">IF(B288&lt;=$C$9,GetGetCDSName(B288),"")</f>
        <v/>
      </c>
      <c r="D288" s="349"/>
      <c r="E288" s="382"/>
      <c r="F288" s="301"/>
      <c r="G288" s="301"/>
      <c r="H288" s="301"/>
      <c r="I288" s="301"/>
      <c r="J288" s="301"/>
      <c r="K288" s="301"/>
      <c r="L288" s="301"/>
      <c r="M288" s="301"/>
      <c r="N288" s="383"/>
      <c r="O288" s="276"/>
      <c r="P288" s="276"/>
      <c r="Q288" s="276"/>
      <c r="R288" s="276"/>
      <c r="S288" s="276"/>
      <c r="T288" s="276"/>
      <c r="U288" s="276"/>
      <c r="V288" s="276"/>
      <c r="W288" s="276"/>
      <c r="X288" s="276"/>
      <c r="Y288" s="276"/>
      <c r="Z288" s="276"/>
      <c r="AA288" s="276"/>
      <c r="AB288" s="276"/>
      <c r="AC288" s="276"/>
      <c r="AD288" s="276"/>
      <c r="AE288" s="276"/>
    </row>
    <row r="289" spans="2:31" ht="14.4">
      <c r="B289" s="381">
        <f t="shared" si="7"/>
        <v>244</v>
      </c>
      <c r="C289" s="389" t="str" cm="1">
        <f t="array" aca="1" ref="C289" ca="1">IF(B289&lt;=$C$9,GetGetCDSName(B289),"")</f>
        <v/>
      </c>
      <c r="D289" s="349"/>
      <c r="E289" s="382"/>
      <c r="F289" s="301"/>
      <c r="G289" s="301"/>
      <c r="H289" s="301"/>
      <c r="I289" s="301"/>
      <c r="J289" s="301"/>
      <c r="K289" s="301"/>
      <c r="L289" s="301"/>
      <c r="M289" s="301"/>
      <c r="N289" s="383"/>
      <c r="O289" s="276"/>
      <c r="P289" s="276"/>
      <c r="Q289" s="276"/>
      <c r="R289" s="276"/>
      <c r="S289" s="276"/>
      <c r="T289" s="276"/>
      <c r="U289" s="276"/>
      <c r="V289" s="276"/>
      <c r="W289" s="276"/>
      <c r="X289" s="276"/>
      <c r="Y289" s="276"/>
      <c r="Z289" s="276"/>
      <c r="AA289" s="276"/>
      <c r="AB289" s="276"/>
      <c r="AC289" s="276"/>
      <c r="AD289" s="276"/>
      <c r="AE289" s="276"/>
    </row>
    <row r="290" spans="2:31" ht="14.4">
      <c r="B290" s="381">
        <f t="shared" si="7"/>
        <v>245</v>
      </c>
      <c r="C290" s="389" t="str" cm="1">
        <f t="array" aca="1" ref="C290" ca="1">IF(B290&lt;=$C$9,GetGetCDSName(B290),"")</f>
        <v/>
      </c>
      <c r="D290" s="349"/>
      <c r="E290" s="382"/>
      <c r="F290" s="301"/>
      <c r="G290" s="301"/>
      <c r="H290" s="301"/>
      <c r="I290" s="301"/>
      <c r="J290" s="301"/>
      <c r="K290" s="301"/>
      <c r="L290" s="301"/>
      <c r="M290" s="301"/>
      <c r="N290" s="383"/>
      <c r="O290" s="276"/>
      <c r="P290" s="276"/>
      <c r="Q290" s="276"/>
      <c r="R290" s="276"/>
      <c r="S290" s="276"/>
      <c r="T290" s="276"/>
      <c r="U290" s="276"/>
      <c r="V290" s="276"/>
      <c r="W290" s="276"/>
      <c r="X290" s="276"/>
      <c r="Y290" s="276"/>
      <c r="Z290" s="276"/>
      <c r="AA290" s="276"/>
      <c r="AB290" s="276"/>
      <c r="AC290" s="276"/>
      <c r="AD290" s="276"/>
      <c r="AE290" s="276"/>
    </row>
    <row r="291" spans="2:31" ht="14.4">
      <c r="B291" s="381">
        <f t="shared" si="7"/>
        <v>246</v>
      </c>
      <c r="C291" s="389" t="str" cm="1">
        <f t="array" aca="1" ref="C291" ca="1">IF(B291&lt;=$C$9,GetGetCDSName(B291),"")</f>
        <v/>
      </c>
      <c r="D291" s="349"/>
      <c r="E291" s="382"/>
      <c r="F291" s="301"/>
      <c r="G291" s="301"/>
      <c r="H291" s="301"/>
      <c r="I291" s="301"/>
      <c r="J291" s="301"/>
      <c r="K291" s="301"/>
      <c r="L291" s="301"/>
      <c r="M291" s="301"/>
      <c r="N291" s="383"/>
      <c r="O291" s="276"/>
      <c r="P291" s="276"/>
      <c r="Q291" s="276"/>
      <c r="R291" s="276"/>
      <c r="S291" s="276"/>
      <c r="T291" s="276"/>
      <c r="U291" s="276"/>
      <c r="V291" s="276"/>
      <c r="W291" s="276"/>
      <c r="X291" s="276"/>
      <c r="Y291" s="276"/>
      <c r="Z291" s="276"/>
      <c r="AA291" s="276"/>
      <c r="AB291" s="276"/>
      <c r="AC291" s="276"/>
      <c r="AD291" s="276"/>
      <c r="AE291" s="276"/>
    </row>
    <row r="292" spans="2:31" ht="14.4">
      <c r="B292" s="381">
        <f t="shared" si="7"/>
        <v>247</v>
      </c>
      <c r="C292" s="389" t="str" cm="1">
        <f t="array" aca="1" ref="C292" ca="1">IF(B292&lt;=$C$9,GetGetCDSName(B292),"")</f>
        <v/>
      </c>
      <c r="D292" s="349"/>
      <c r="E292" s="382"/>
      <c r="F292" s="301"/>
      <c r="G292" s="301"/>
      <c r="H292" s="301"/>
      <c r="I292" s="301"/>
      <c r="J292" s="301"/>
      <c r="K292" s="301"/>
      <c r="L292" s="301"/>
      <c r="M292" s="301"/>
      <c r="N292" s="383"/>
      <c r="O292" s="276"/>
      <c r="P292" s="276"/>
      <c r="Q292" s="276"/>
      <c r="R292" s="276"/>
      <c r="S292" s="276"/>
      <c r="T292" s="276"/>
      <c r="U292" s="276"/>
      <c r="V292" s="276"/>
      <c r="W292" s="276"/>
      <c r="X292" s="276"/>
      <c r="Y292" s="276"/>
      <c r="Z292" s="276"/>
      <c r="AA292" s="276"/>
      <c r="AB292" s="276"/>
      <c r="AC292" s="276"/>
      <c r="AD292" s="276"/>
      <c r="AE292" s="276"/>
    </row>
    <row r="293" spans="2:31" ht="14.4">
      <c r="B293" s="381">
        <f t="shared" si="7"/>
        <v>248</v>
      </c>
      <c r="C293" s="389" t="str" cm="1">
        <f t="array" aca="1" ref="C293" ca="1">IF(B293&lt;=$C$9,GetGetCDSName(B293),"")</f>
        <v/>
      </c>
      <c r="D293" s="349"/>
      <c r="E293" s="382"/>
      <c r="F293" s="301"/>
      <c r="G293" s="301"/>
      <c r="H293" s="301"/>
      <c r="I293" s="301"/>
      <c r="J293" s="301"/>
      <c r="K293" s="301"/>
      <c r="L293" s="301"/>
      <c r="M293" s="301"/>
      <c r="N293" s="383"/>
      <c r="O293" s="276"/>
      <c r="P293" s="276"/>
      <c r="Q293" s="276"/>
      <c r="R293" s="276"/>
      <c r="S293" s="276"/>
      <c r="T293" s="276"/>
      <c r="U293" s="276"/>
      <c r="V293" s="276"/>
      <c r="W293" s="276"/>
      <c r="X293" s="276"/>
      <c r="Y293" s="276"/>
      <c r="Z293" s="276"/>
      <c r="AA293" s="276"/>
      <c r="AB293" s="276"/>
      <c r="AC293" s="276"/>
      <c r="AD293" s="276"/>
      <c r="AE293" s="276"/>
    </row>
    <row r="294" spans="2:31" ht="14.4">
      <c r="B294" s="381">
        <f t="shared" si="7"/>
        <v>249</v>
      </c>
      <c r="C294" s="389" t="str" cm="1">
        <f t="array" aca="1" ref="C294" ca="1">IF(B294&lt;=$C$9,GetGetCDSName(B294),"")</f>
        <v/>
      </c>
      <c r="D294" s="349"/>
      <c r="E294" s="382"/>
      <c r="F294" s="301"/>
      <c r="G294" s="301"/>
      <c r="H294" s="301"/>
      <c r="I294" s="301"/>
      <c r="J294" s="301"/>
      <c r="K294" s="301"/>
      <c r="L294" s="301"/>
      <c r="M294" s="301"/>
      <c r="N294" s="383"/>
      <c r="O294" s="276"/>
      <c r="P294" s="276"/>
      <c r="Q294" s="276"/>
      <c r="R294" s="276"/>
      <c r="S294" s="276"/>
      <c r="T294" s="276"/>
      <c r="U294" s="276"/>
      <c r="V294" s="276"/>
      <c r="W294" s="276"/>
      <c r="X294" s="276"/>
      <c r="Y294" s="276"/>
      <c r="Z294" s="276"/>
      <c r="AA294" s="276"/>
      <c r="AB294" s="276"/>
      <c r="AC294" s="276"/>
      <c r="AD294" s="276"/>
      <c r="AE294" s="276"/>
    </row>
    <row r="295" spans="2:31" ht="14.4">
      <c r="B295" s="381">
        <f t="shared" si="7"/>
        <v>250</v>
      </c>
      <c r="C295" s="389" t="str" cm="1">
        <f t="array" aca="1" ref="C295" ca="1">IF(B295&lt;=$C$9,GetGetCDSName(B295),"")</f>
        <v/>
      </c>
      <c r="D295" s="349"/>
      <c r="E295" s="382"/>
      <c r="F295" s="301"/>
      <c r="G295" s="301"/>
      <c r="H295" s="301"/>
      <c r="I295" s="301"/>
      <c r="J295" s="301"/>
      <c r="K295" s="301"/>
      <c r="L295" s="301"/>
      <c r="M295" s="301"/>
      <c r="N295" s="383"/>
      <c r="O295" s="276"/>
      <c r="P295" s="276"/>
      <c r="Q295" s="276"/>
      <c r="R295" s="276"/>
      <c r="S295" s="276"/>
      <c r="T295" s="276"/>
      <c r="U295" s="276"/>
      <c r="V295" s="276"/>
      <c r="W295" s="276"/>
      <c r="X295" s="276"/>
      <c r="Y295" s="276"/>
      <c r="Z295" s="276"/>
      <c r="AA295" s="276"/>
      <c r="AB295" s="276"/>
      <c r="AC295" s="276"/>
      <c r="AD295" s="276"/>
      <c r="AE295" s="276"/>
    </row>
    <row r="296" spans="2:31" ht="14.4">
      <c r="B296" s="381">
        <f t="shared" si="7"/>
        <v>251</v>
      </c>
      <c r="C296" s="389" t="str" cm="1">
        <f t="array" aca="1" ref="C296" ca="1">IF(B296&lt;=$C$9,GetGetCDSName(B296),"")</f>
        <v/>
      </c>
      <c r="D296" s="349"/>
      <c r="E296" s="382"/>
      <c r="F296" s="301"/>
      <c r="G296" s="301"/>
      <c r="H296" s="301"/>
      <c r="I296" s="301"/>
      <c r="J296" s="301"/>
      <c r="K296" s="301"/>
      <c r="L296" s="301"/>
      <c r="M296" s="301"/>
      <c r="N296" s="383"/>
      <c r="O296" s="276"/>
      <c r="P296" s="276"/>
      <c r="Q296" s="276"/>
      <c r="R296" s="276"/>
      <c r="S296" s="276"/>
      <c r="T296" s="276"/>
      <c r="U296" s="276"/>
      <c r="V296" s="276"/>
      <c r="W296" s="276"/>
      <c r="X296" s="276"/>
      <c r="Y296" s="276"/>
      <c r="Z296" s="276"/>
      <c r="AA296" s="276"/>
      <c r="AB296" s="276"/>
      <c r="AC296" s="276"/>
      <c r="AD296" s="276"/>
      <c r="AE296" s="276"/>
    </row>
    <row r="297" spans="2:31" ht="14.4">
      <c r="B297" s="381">
        <f t="shared" si="7"/>
        <v>252</v>
      </c>
      <c r="C297" s="389" t="str" cm="1">
        <f t="array" aca="1" ref="C297" ca="1">IF(B297&lt;=$C$9,GetGetCDSName(B297),"")</f>
        <v/>
      </c>
      <c r="D297" s="349"/>
      <c r="E297" s="382"/>
      <c r="F297" s="301"/>
      <c r="G297" s="301"/>
      <c r="H297" s="301"/>
      <c r="I297" s="301"/>
      <c r="J297" s="301"/>
      <c r="K297" s="301"/>
      <c r="L297" s="301"/>
      <c r="M297" s="301"/>
      <c r="N297" s="383"/>
      <c r="O297" s="276"/>
      <c r="P297" s="276"/>
      <c r="Q297" s="276"/>
      <c r="R297" s="276"/>
      <c r="S297" s="276"/>
      <c r="T297" s="276"/>
      <c r="U297" s="276"/>
      <c r="V297" s="276"/>
      <c r="W297" s="276"/>
      <c r="X297" s="276"/>
      <c r="Y297" s="276"/>
      <c r="Z297" s="276"/>
      <c r="AA297" s="276"/>
      <c r="AB297" s="276"/>
      <c r="AC297" s="276"/>
      <c r="AD297" s="276"/>
      <c r="AE297" s="276"/>
    </row>
    <row r="298" spans="2:31" ht="14.4">
      <c r="B298" s="381">
        <f t="shared" si="7"/>
        <v>253</v>
      </c>
      <c r="C298" s="389" t="str" cm="1">
        <f t="array" aca="1" ref="C298" ca="1">IF(B298&lt;=$C$9,GetGetCDSName(B298),"")</f>
        <v/>
      </c>
      <c r="D298" s="349"/>
      <c r="E298" s="382"/>
      <c r="F298" s="301"/>
      <c r="G298" s="301"/>
      <c r="H298" s="301"/>
      <c r="I298" s="301"/>
      <c r="J298" s="301"/>
      <c r="K298" s="301"/>
      <c r="L298" s="301"/>
      <c r="M298" s="301"/>
      <c r="N298" s="383"/>
      <c r="O298" s="276"/>
      <c r="P298" s="276"/>
      <c r="Q298" s="276"/>
      <c r="R298" s="276"/>
      <c r="S298" s="276"/>
      <c r="T298" s="276"/>
      <c r="U298" s="276"/>
      <c r="V298" s="276"/>
      <c r="W298" s="276"/>
      <c r="X298" s="276"/>
      <c r="Y298" s="276"/>
      <c r="Z298" s="276"/>
      <c r="AA298" s="276"/>
      <c r="AB298" s="276"/>
      <c r="AC298" s="276"/>
      <c r="AD298" s="276"/>
      <c r="AE298" s="276"/>
    </row>
    <row r="299" spans="2:31" ht="14.4">
      <c r="B299" s="381">
        <f t="shared" si="7"/>
        <v>254</v>
      </c>
      <c r="C299" s="389" t="str" cm="1">
        <f t="array" aca="1" ref="C299" ca="1">IF(B299&lt;=$C$9,GetGetCDSName(B299),"")</f>
        <v/>
      </c>
      <c r="D299" s="349"/>
      <c r="E299" s="382"/>
      <c r="F299" s="301"/>
      <c r="G299" s="301"/>
      <c r="H299" s="301"/>
      <c r="I299" s="301"/>
      <c r="J299" s="301"/>
      <c r="K299" s="301"/>
      <c r="L299" s="301"/>
      <c r="M299" s="301"/>
      <c r="N299" s="383"/>
      <c r="O299" s="276"/>
      <c r="P299" s="276"/>
      <c r="Q299" s="276"/>
      <c r="R299" s="276"/>
      <c r="S299" s="276"/>
      <c r="T299" s="276"/>
      <c r="U299" s="276"/>
      <c r="V299" s="276"/>
      <c r="W299" s="276"/>
      <c r="X299" s="276"/>
      <c r="Y299" s="276"/>
      <c r="Z299" s="276"/>
      <c r="AA299" s="276"/>
      <c r="AB299" s="276"/>
      <c r="AC299" s="276"/>
      <c r="AD299" s="276"/>
      <c r="AE299" s="276"/>
    </row>
    <row r="300" spans="2:31" ht="14.4">
      <c r="B300" s="381">
        <f t="shared" si="7"/>
        <v>255</v>
      </c>
      <c r="C300" s="389" t="str" cm="1">
        <f t="array" aca="1" ref="C300" ca="1">IF(B300&lt;=$C$9,GetGetCDSName(B300),"")</f>
        <v/>
      </c>
      <c r="D300" s="349"/>
      <c r="E300" s="382"/>
      <c r="F300" s="301"/>
      <c r="G300" s="301"/>
      <c r="H300" s="301"/>
      <c r="I300" s="301"/>
      <c r="J300" s="301"/>
      <c r="K300" s="301"/>
      <c r="L300" s="301"/>
      <c r="M300" s="301"/>
      <c r="N300" s="383"/>
      <c r="O300" s="276"/>
      <c r="P300" s="276"/>
      <c r="Q300" s="276"/>
      <c r="R300" s="276"/>
      <c r="S300" s="276"/>
      <c r="T300" s="276"/>
      <c r="U300" s="276"/>
      <c r="V300" s="276"/>
      <c r="W300" s="276"/>
      <c r="X300" s="276"/>
      <c r="Y300" s="276"/>
      <c r="Z300" s="276"/>
      <c r="AA300" s="276"/>
      <c r="AB300" s="276"/>
      <c r="AC300" s="276"/>
      <c r="AD300" s="276"/>
      <c r="AE300" s="276"/>
    </row>
    <row r="301" spans="2:31" ht="14.4">
      <c r="B301" s="381">
        <f t="shared" si="7"/>
        <v>256</v>
      </c>
      <c r="C301" s="389" t="str" cm="1">
        <f t="array" aca="1" ref="C301" ca="1">IF(B301&lt;=$C$9,GetGetCDSName(B301),"")</f>
        <v/>
      </c>
      <c r="D301" s="349"/>
      <c r="E301" s="382"/>
      <c r="F301" s="301"/>
      <c r="G301" s="301"/>
      <c r="H301" s="301"/>
      <c r="I301" s="301"/>
      <c r="J301" s="301"/>
      <c r="K301" s="301"/>
      <c r="L301" s="301"/>
      <c r="M301" s="301"/>
      <c r="N301" s="383"/>
      <c r="O301" s="276"/>
      <c r="P301" s="276"/>
      <c r="Q301" s="276"/>
      <c r="R301" s="276"/>
      <c r="S301" s="276"/>
      <c r="T301" s="276"/>
      <c r="U301" s="276"/>
      <c r="V301" s="276"/>
      <c r="W301" s="276"/>
      <c r="X301" s="276"/>
      <c r="Y301" s="276"/>
      <c r="Z301" s="276"/>
      <c r="AA301" s="276"/>
      <c r="AB301" s="276"/>
      <c r="AC301" s="276"/>
      <c r="AD301" s="276"/>
      <c r="AE301" s="276"/>
    </row>
    <row r="302" spans="2:31" ht="14.4">
      <c r="B302" s="381">
        <f t="shared" si="7"/>
        <v>257</v>
      </c>
      <c r="C302" s="389" t="str" cm="1">
        <f t="array" aca="1" ref="C302" ca="1">IF(B302&lt;=$C$9,GetGetCDSName(B302),"")</f>
        <v/>
      </c>
      <c r="D302" s="349"/>
      <c r="E302" s="382"/>
      <c r="F302" s="301"/>
      <c r="G302" s="301"/>
      <c r="H302" s="301"/>
      <c r="I302" s="301"/>
      <c r="J302" s="301"/>
      <c r="K302" s="301"/>
      <c r="L302" s="301"/>
      <c r="M302" s="301"/>
      <c r="N302" s="383"/>
      <c r="O302" s="276"/>
      <c r="P302" s="276"/>
      <c r="Q302" s="276"/>
      <c r="R302" s="276"/>
      <c r="S302" s="276"/>
      <c r="T302" s="276"/>
      <c r="U302" s="276"/>
      <c r="V302" s="276"/>
      <c r="W302" s="276"/>
      <c r="X302" s="276"/>
      <c r="Y302" s="276"/>
      <c r="Z302" s="276"/>
      <c r="AA302" s="276"/>
      <c r="AB302" s="276"/>
      <c r="AC302" s="276"/>
      <c r="AD302" s="276"/>
      <c r="AE302" s="276"/>
    </row>
    <row r="303" spans="2:31" ht="14.4">
      <c r="B303" s="381">
        <f t="shared" ref="B303:B345" si="8">B302+1</f>
        <v>258</v>
      </c>
      <c r="C303" s="389" t="str" cm="1">
        <f t="array" aca="1" ref="C303" ca="1">IF(B303&lt;=$C$9,GetGetCDSName(B303),"")</f>
        <v/>
      </c>
      <c r="D303" s="349"/>
      <c r="E303" s="382"/>
      <c r="F303" s="301"/>
      <c r="G303" s="301"/>
      <c r="H303" s="301"/>
      <c r="I303" s="301"/>
      <c r="J303" s="301"/>
      <c r="K303" s="301"/>
      <c r="L303" s="301"/>
      <c r="M303" s="301"/>
      <c r="N303" s="383"/>
      <c r="O303" s="276"/>
      <c r="P303" s="276"/>
      <c r="Q303" s="276"/>
      <c r="R303" s="276"/>
      <c r="S303" s="276"/>
      <c r="T303" s="276"/>
      <c r="U303" s="276"/>
      <c r="V303" s="276"/>
      <c r="W303" s="276"/>
      <c r="X303" s="276"/>
      <c r="Y303" s="276"/>
      <c r="Z303" s="276"/>
      <c r="AA303" s="276"/>
      <c r="AB303" s="276"/>
      <c r="AC303" s="276"/>
      <c r="AD303" s="276"/>
      <c r="AE303" s="276"/>
    </row>
    <row r="304" spans="2:31" ht="14.4">
      <c r="B304" s="381">
        <f t="shared" si="8"/>
        <v>259</v>
      </c>
      <c r="C304" s="389" t="str" cm="1">
        <f t="array" aca="1" ref="C304" ca="1">IF(B304&lt;=$C$9,GetGetCDSName(B304),"")</f>
        <v/>
      </c>
      <c r="D304" s="349"/>
      <c r="E304" s="382"/>
      <c r="F304" s="301"/>
      <c r="G304" s="301"/>
      <c r="H304" s="301"/>
      <c r="I304" s="301"/>
      <c r="J304" s="301"/>
      <c r="K304" s="301"/>
      <c r="L304" s="301"/>
      <c r="M304" s="301"/>
      <c r="N304" s="383"/>
      <c r="O304" s="276"/>
      <c r="P304" s="276"/>
      <c r="Q304" s="276"/>
      <c r="R304" s="276"/>
      <c r="S304" s="276"/>
      <c r="T304" s="276"/>
      <c r="U304" s="276"/>
      <c r="V304" s="276"/>
      <c r="W304" s="276"/>
      <c r="X304" s="276"/>
      <c r="Y304" s="276"/>
      <c r="Z304" s="276"/>
      <c r="AA304" s="276"/>
      <c r="AB304" s="276"/>
      <c r="AC304" s="276"/>
      <c r="AD304" s="276"/>
      <c r="AE304" s="276"/>
    </row>
    <row r="305" spans="2:31" ht="14.4">
      <c r="B305" s="381">
        <f t="shared" si="8"/>
        <v>260</v>
      </c>
      <c r="C305" s="389" t="str" cm="1">
        <f t="array" aca="1" ref="C305" ca="1">IF(B305&lt;=$C$9,GetGetCDSName(B305),"")</f>
        <v/>
      </c>
      <c r="D305" s="349"/>
      <c r="E305" s="382"/>
      <c r="F305" s="301"/>
      <c r="G305" s="301"/>
      <c r="H305" s="301"/>
      <c r="I305" s="301"/>
      <c r="J305" s="301"/>
      <c r="K305" s="301"/>
      <c r="L305" s="301"/>
      <c r="M305" s="301"/>
      <c r="N305" s="383"/>
      <c r="O305" s="276"/>
      <c r="P305" s="276"/>
      <c r="Q305" s="276"/>
      <c r="R305" s="276"/>
      <c r="S305" s="276"/>
      <c r="T305" s="276"/>
      <c r="U305" s="276"/>
      <c r="V305" s="276"/>
      <c r="W305" s="276"/>
      <c r="X305" s="276"/>
      <c r="Y305" s="276"/>
      <c r="Z305" s="276"/>
      <c r="AA305" s="276"/>
      <c r="AB305" s="276"/>
      <c r="AC305" s="276"/>
      <c r="AD305" s="276"/>
      <c r="AE305" s="276"/>
    </row>
    <row r="306" spans="2:31" ht="14.4">
      <c r="B306" s="381">
        <f t="shared" si="8"/>
        <v>261</v>
      </c>
      <c r="C306" s="389" t="str" cm="1">
        <f t="array" aca="1" ref="C306" ca="1">IF(B306&lt;=$C$9,GetGetCDSName(B306),"")</f>
        <v/>
      </c>
      <c r="D306" s="349"/>
      <c r="E306" s="382"/>
      <c r="F306" s="301"/>
      <c r="G306" s="301"/>
      <c r="H306" s="301"/>
      <c r="I306" s="301"/>
      <c r="J306" s="301"/>
      <c r="K306" s="301"/>
      <c r="L306" s="301"/>
      <c r="M306" s="301"/>
      <c r="N306" s="383"/>
      <c r="O306" s="276"/>
      <c r="P306" s="276"/>
      <c r="Q306" s="276"/>
      <c r="R306" s="276"/>
      <c r="S306" s="276"/>
      <c r="T306" s="276"/>
      <c r="U306" s="276"/>
      <c r="V306" s="276"/>
      <c r="W306" s="276"/>
      <c r="X306" s="276"/>
      <c r="Y306" s="276"/>
      <c r="Z306" s="276"/>
      <c r="AA306" s="276"/>
      <c r="AB306" s="276"/>
      <c r="AC306" s="276"/>
      <c r="AD306" s="276"/>
      <c r="AE306" s="276"/>
    </row>
    <row r="307" spans="2:31" ht="14.4">
      <c r="B307" s="381">
        <f t="shared" si="8"/>
        <v>262</v>
      </c>
      <c r="C307" s="389" t="str" cm="1">
        <f t="array" aca="1" ref="C307" ca="1">IF(B307&lt;=$C$9,GetGetCDSName(B307),"")</f>
        <v/>
      </c>
      <c r="D307" s="349"/>
      <c r="E307" s="382"/>
      <c r="F307" s="301"/>
      <c r="G307" s="301"/>
      <c r="H307" s="301"/>
      <c r="I307" s="301"/>
      <c r="J307" s="301"/>
      <c r="K307" s="301"/>
      <c r="L307" s="301"/>
      <c r="M307" s="301"/>
      <c r="N307" s="383"/>
      <c r="O307" s="276"/>
      <c r="P307" s="276"/>
      <c r="Q307" s="276"/>
      <c r="R307" s="276"/>
      <c r="S307" s="276"/>
      <c r="T307" s="276"/>
      <c r="U307" s="276"/>
      <c r="V307" s="276"/>
      <c r="W307" s="276"/>
      <c r="X307" s="276"/>
      <c r="Y307" s="276"/>
      <c r="Z307" s="276"/>
      <c r="AA307" s="276"/>
      <c r="AB307" s="276"/>
      <c r="AC307" s="276"/>
      <c r="AD307" s="276"/>
      <c r="AE307" s="276"/>
    </row>
    <row r="308" spans="2:31" ht="14.4">
      <c r="B308" s="381">
        <f t="shared" si="8"/>
        <v>263</v>
      </c>
      <c r="C308" s="389" t="str" cm="1">
        <f t="array" aca="1" ref="C308" ca="1">IF(B308&lt;=$C$9,GetGetCDSName(B308),"")</f>
        <v/>
      </c>
      <c r="D308" s="349"/>
      <c r="E308" s="382"/>
      <c r="F308" s="301"/>
      <c r="G308" s="301"/>
      <c r="H308" s="301"/>
      <c r="I308" s="301"/>
      <c r="J308" s="301"/>
      <c r="K308" s="301"/>
      <c r="L308" s="301"/>
      <c r="M308" s="301"/>
      <c r="N308" s="383"/>
      <c r="O308" s="276"/>
      <c r="P308" s="276"/>
      <c r="Q308" s="276"/>
      <c r="R308" s="276"/>
      <c r="S308" s="276"/>
      <c r="T308" s="276"/>
      <c r="U308" s="276"/>
      <c r="V308" s="276"/>
      <c r="W308" s="276"/>
      <c r="X308" s="276"/>
      <c r="Y308" s="276"/>
      <c r="Z308" s="276"/>
      <c r="AA308" s="276"/>
      <c r="AB308" s="276"/>
      <c r="AC308" s="276"/>
      <c r="AD308" s="276"/>
      <c r="AE308" s="276"/>
    </row>
    <row r="309" spans="2:31" ht="14.4">
      <c r="B309" s="381">
        <f t="shared" si="8"/>
        <v>264</v>
      </c>
      <c r="C309" s="389" t="str" cm="1">
        <f t="array" aca="1" ref="C309" ca="1">IF(B309&lt;=$C$9,GetGetCDSName(B309),"")</f>
        <v/>
      </c>
      <c r="D309" s="349"/>
      <c r="E309" s="382"/>
      <c r="F309" s="301"/>
      <c r="G309" s="301"/>
      <c r="H309" s="301"/>
      <c r="I309" s="301"/>
      <c r="J309" s="301"/>
      <c r="K309" s="301"/>
      <c r="L309" s="301"/>
      <c r="M309" s="301"/>
      <c r="N309" s="383"/>
      <c r="O309" s="276"/>
      <c r="P309" s="276"/>
      <c r="Q309" s="276"/>
      <c r="R309" s="276"/>
      <c r="S309" s="276"/>
      <c r="T309" s="276"/>
      <c r="U309" s="276"/>
      <c r="V309" s="276"/>
      <c r="W309" s="276"/>
      <c r="X309" s="276"/>
      <c r="Y309" s="276"/>
      <c r="Z309" s="276"/>
      <c r="AA309" s="276"/>
      <c r="AB309" s="276"/>
      <c r="AC309" s="276"/>
      <c r="AD309" s="276"/>
      <c r="AE309" s="276"/>
    </row>
    <row r="310" spans="2:31" ht="14.4">
      <c r="B310" s="381">
        <f t="shared" si="8"/>
        <v>265</v>
      </c>
      <c r="C310" s="389" t="str" cm="1">
        <f t="array" aca="1" ref="C310" ca="1">IF(B310&lt;=$C$9,GetGetCDSName(B310),"")</f>
        <v/>
      </c>
      <c r="D310" s="349"/>
      <c r="E310" s="382"/>
      <c r="F310" s="301"/>
      <c r="G310" s="301"/>
      <c r="H310" s="301"/>
      <c r="I310" s="301"/>
      <c r="J310" s="301"/>
      <c r="K310" s="301"/>
      <c r="L310" s="301"/>
      <c r="M310" s="301"/>
      <c r="N310" s="383"/>
      <c r="O310" s="276"/>
      <c r="P310" s="276"/>
      <c r="Q310" s="276"/>
      <c r="R310" s="276"/>
      <c r="S310" s="276"/>
      <c r="T310" s="276"/>
      <c r="U310" s="276"/>
      <c r="V310" s="276"/>
      <c r="W310" s="276"/>
      <c r="X310" s="276"/>
      <c r="Y310" s="276"/>
      <c r="Z310" s="276"/>
      <c r="AA310" s="276"/>
      <c r="AB310" s="276"/>
      <c r="AC310" s="276"/>
      <c r="AD310" s="276"/>
      <c r="AE310" s="276"/>
    </row>
    <row r="311" spans="2:31" ht="14.4">
      <c r="B311" s="381">
        <f t="shared" si="8"/>
        <v>266</v>
      </c>
      <c r="C311" s="389" t="str" cm="1">
        <f t="array" aca="1" ref="C311" ca="1">IF(B311&lt;=$C$9,GetGetCDSName(B311),"")</f>
        <v/>
      </c>
      <c r="D311" s="349"/>
      <c r="E311" s="382"/>
      <c r="F311" s="301"/>
      <c r="G311" s="301"/>
      <c r="H311" s="301"/>
      <c r="I311" s="301"/>
      <c r="J311" s="301"/>
      <c r="K311" s="301"/>
      <c r="L311" s="301"/>
      <c r="M311" s="301"/>
      <c r="N311" s="383"/>
      <c r="O311" s="276"/>
      <c r="P311" s="276"/>
      <c r="Q311" s="276"/>
      <c r="R311" s="276"/>
      <c r="S311" s="276"/>
      <c r="T311" s="276"/>
      <c r="U311" s="276"/>
      <c r="V311" s="276"/>
      <c r="W311" s="276"/>
      <c r="X311" s="276"/>
      <c r="Y311" s="276"/>
      <c r="Z311" s="276"/>
      <c r="AA311" s="276"/>
      <c r="AB311" s="276"/>
      <c r="AC311" s="276"/>
      <c r="AD311" s="276"/>
      <c r="AE311" s="276"/>
    </row>
    <row r="312" spans="2:31" ht="14.4">
      <c r="B312" s="381">
        <f t="shared" si="8"/>
        <v>267</v>
      </c>
      <c r="C312" s="389" t="str" cm="1">
        <f t="array" aca="1" ref="C312" ca="1">IF(B312&lt;=$C$9,GetGetCDSName(B312),"")</f>
        <v/>
      </c>
      <c r="D312" s="349"/>
      <c r="E312" s="382"/>
      <c r="F312" s="301"/>
      <c r="G312" s="301"/>
      <c r="H312" s="301"/>
      <c r="I312" s="301"/>
      <c r="J312" s="301"/>
      <c r="K312" s="301"/>
      <c r="L312" s="301"/>
      <c r="M312" s="301"/>
      <c r="N312" s="383"/>
      <c r="O312" s="276"/>
      <c r="P312" s="276"/>
      <c r="Q312" s="276"/>
      <c r="R312" s="276"/>
      <c r="S312" s="276"/>
      <c r="T312" s="276"/>
      <c r="U312" s="276"/>
      <c r="V312" s="276"/>
      <c r="W312" s="276"/>
      <c r="X312" s="276"/>
      <c r="Y312" s="276"/>
      <c r="Z312" s="276"/>
      <c r="AA312" s="276"/>
      <c r="AB312" s="276"/>
      <c r="AC312" s="276"/>
      <c r="AD312" s="276"/>
      <c r="AE312" s="276"/>
    </row>
    <row r="313" spans="2:31" ht="14.4">
      <c r="B313" s="381">
        <f t="shared" si="8"/>
        <v>268</v>
      </c>
      <c r="C313" s="389" t="str" cm="1">
        <f t="array" aca="1" ref="C313" ca="1">IF(B313&lt;=$C$9,GetGetCDSName(B313),"")</f>
        <v/>
      </c>
      <c r="D313" s="349"/>
      <c r="E313" s="382"/>
      <c r="F313" s="301"/>
      <c r="G313" s="301"/>
      <c r="H313" s="301"/>
      <c r="I313" s="301"/>
      <c r="J313" s="301"/>
      <c r="K313" s="301"/>
      <c r="L313" s="301"/>
      <c r="M313" s="301"/>
      <c r="N313" s="383"/>
      <c r="O313" s="276"/>
      <c r="P313" s="276"/>
      <c r="Q313" s="276"/>
      <c r="R313" s="276"/>
      <c r="S313" s="276"/>
      <c r="T313" s="276"/>
      <c r="U313" s="276"/>
      <c r="V313" s="276"/>
      <c r="W313" s="276"/>
      <c r="X313" s="276"/>
      <c r="Y313" s="276"/>
      <c r="Z313" s="276"/>
      <c r="AA313" s="276"/>
      <c r="AB313" s="276"/>
      <c r="AC313" s="276"/>
      <c r="AD313" s="276"/>
      <c r="AE313" s="276"/>
    </row>
    <row r="314" spans="2:31" ht="14.4">
      <c r="B314" s="381">
        <f t="shared" si="8"/>
        <v>269</v>
      </c>
      <c r="C314" s="389" t="str" cm="1">
        <f t="array" aca="1" ref="C314" ca="1">IF(B314&lt;=$C$9,GetGetCDSName(B314),"")</f>
        <v/>
      </c>
      <c r="D314" s="349"/>
      <c r="E314" s="382"/>
      <c r="F314" s="301"/>
      <c r="G314" s="301"/>
      <c r="H314" s="301"/>
      <c r="I314" s="301"/>
      <c r="J314" s="301"/>
      <c r="K314" s="301"/>
      <c r="L314" s="301"/>
      <c r="M314" s="301"/>
      <c r="N314" s="383"/>
      <c r="O314" s="276"/>
      <c r="P314" s="276"/>
      <c r="Q314" s="276"/>
      <c r="R314" s="276"/>
      <c r="S314" s="276"/>
      <c r="T314" s="276"/>
      <c r="U314" s="276"/>
      <c r="V314" s="276"/>
      <c r="W314" s="276"/>
      <c r="X314" s="276"/>
      <c r="Y314" s="276"/>
      <c r="Z314" s="276"/>
      <c r="AA314" s="276"/>
      <c r="AB314" s="276"/>
      <c r="AC314" s="276"/>
      <c r="AD314" s="276"/>
      <c r="AE314" s="276"/>
    </row>
    <row r="315" spans="2:31" ht="14.4">
      <c r="B315" s="381">
        <f t="shared" si="8"/>
        <v>270</v>
      </c>
      <c r="C315" s="389" t="str" cm="1">
        <f t="array" aca="1" ref="C315" ca="1">IF(B315&lt;=$C$9,GetGetCDSName(B315),"")</f>
        <v/>
      </c>
      <c r="D315" s="349"/>
      <c r="E315" s="382"/>
      <c r="F315" s="301"/>
      <c r="G315" s="301"/>
      <c r="H315" s="301"/>
      <c r="I315" s="301"/>
      <c r="J315" s="301"/>
      <c r="K315" s="301"/>
      <c r="L315" s="301"/>
      <c r="M315" s="301"/>
      <c r="N315" s="383"/>
      <c r="O315" s="276"/>
      <c r="P315" s="276"/>
      <c r="Q315" s="276"/>
      <c r="R315" s="276"/>
      <c r="S315" s="276"/>
      <c r="T315" s="276"/>
      <c r="U315" s="276"/>
      <c r="V315" s="276"/>
      <c r="W315" s="276"/>
      <c r="X315" s="276"/>
      <c r="Y315" s="276"/>
      <c r="Z315" s="276"/>
      <c r="AA315" s="276"/>
      <c r="AB315" s="276"/>
      <c r="AC315" s="276"/>
      <c r="AD315" s="276"/>
      <c r="AE315" s="276"/>
    </row>
    <row r="316" spans="2:31" ht="14.4">
      <c r="B316" s="381">
        <f t="shared" si="8"/>
        <v>271</v>
      </c>
      <c r="C316" s="389" t="str" cm="1">
        <f t="array" aca="1" ref="C316" ca="1">IF(B316&lt;=$C$9,GetGetCDSName(B316),"")</f>
        <v/>
      </c>
      <c r="D316" s="349"/>
      <c r="E316" s="382"/>
      <c r="F316" s="301"/>
      <c r="G316" s="301"/>
      <c r="H316" s="301"/>
      <c r="I316" s="301"/>
      <c r="J316" s="301"/>
      <c r="K316" s="301"/>
      <c r="L316" s="301"/>
      <c r="M316" s="301"/>
      <c r="N316" s="383"/>
      <c r="O316" s="276"/>
      <c r="P316" s="276"/>
      <c r="Q316" s="276"/>
      <c r="R316" s="276"/>
      <c r="S316" s="276"/>
      <c r="T316" s="276"/>
      <c r="U316" s="276"/>
      <c r="V316" s="276"/>
      <c r="W316" s="276"/>
      <c r="X316" s="276"/>
      <c r="Y316" s="276"/>
      <c r="Z316" s="276"/>
      <c r="AA316" s="276"/>
      <c r="AB316" s="276"/>
      <c r="AC316" s="276"/>
      <c r="AD316" s="276"/>
      <c r="AE316" s="276"/>
    </row>
    <row r="317" spans="2:31" ht="14.4">
      <c r="B317" s="381">
        <f t="shared" si="8"/>
        <v>272</v>
      </c>
      <c r="C317" s="389" t="str" cm="1">
        <f t="array" aca="1" ref="C317" ca="1">IF(B317&lt;=$C$9,GetGetCDSName(B317),"")</f>
        <v/>
      </c>
      <c r="D317" s="349"/>
      <c r="E317" s="382"/>
      <c r="F317" s="301"/>
      <c r="G317" s="301"/>
      <c r="H317" s="301"/>
      <c r="I317" s="301"/>
      <c r="J317" s="301"/>
      <c r="K317" s="301"/>
      <c r="L317" s="301"/>
      <c r="M317" s="301"/>
      <c r="N317" s="383"/>
      <c r="O317" s="276"/>
      <c r="P317" s="276"/>
      <c r="Q317" s="276"/>
      <c r="R317" s="276"/>
      <c r="S317" s="276"/>
      <c r="T317" s="276"/>
      <c r="U317" s="276"/>
      <c r="V317" s="276"/>
      <c r="W317" s="276"/>
      <c r="X317" s="276"/>
      <c r="Y317" s="276"/>
      <c r="Z317" s="276"/>
      <c r="AA317" s="276"/>
      <c r="AB317" s="276"/>
      <c r="AC317" s="276"/>
      <c r="AD317" s="276"/>
      <c r="AE317" s="276"/>
    </row>
    <row r="318" spans="2:31" ht="14.4">
      <c r="B318" s="381">
        <f t="shared" si="8"/>
        <v>273</v>
      </c>
      <c r="C318" s="389" t="str" cm="1">
        <f t="array" aca="1" ref="C318" ca="1">IF(B318&lt;=$C$9,GetGetCDSName(B318),"")</f>
        <v/>
      </c>
      <c r="D318" s="349"/>
      <c r="E318" s="382"/>
      <c r="F318" s="301"/>
      <c r="G318" s="301"/>
      <c r="H318" s="301"/>
      <c r="I318" s="301"/>
      <c r="J318" s="301"/>
      <c r="K318" s="301"/>
      <c r="L318" s="301"/>
      <c r="M318" s="301"/>
      <c r="N318" s="383"/>
      <c r="O318" s="276"/>
      <c r="P318" s="276"/>
      <c r="Q318" s="276"/>
      <c r="R318" s="276"/>
      <c r="S318" s="276"/>
      <c r="T318" s="276"/>
      <c r="U318" s="276"/>
      <c r="V318" s="276"/>
      <c r="W318" s="276"/>
      <c r="X318" s="276"/>
      <c r="Y318" s="276"/>
      <c r="Z318" s="276"/>
      <c r="AA318" s="276"/>
      <c r="AB318" s="276"/>
      <c r="AC318" s="276"/>
      <c r="AD318" s="276"/>
      <c r="AE318" s="276"/>
    </row>
    <row r="319" spans="2:31" ht="14.4">
      <c r="B319" s="381">
        <f t="shared" si="8"/>
        <v>274</v>
      </c>
      <c r="C319" s="389" t="str" cm="1">
        <f t="array" aca="1" ref="C319" ca="1">IF(B319&lt;=$C$9,GetGetCDSName(B319),"")</f>
        <v/>
      </c>
      <c r="D319" s="349"/>
      <c r="E319" s="382"/>
      <c r="F319" s="301"/>
      <c r="G319" s="301"/>
      <c r="H319" s="301"/>
      <c r="I319" s="301"/>
      <c r="J319" s="301"/>
      <c r="K319" s="301"/>
      <c r="L319" s="301"/>
      <c r="M319" s="301"/>
      <c r="N319" s="383"/>
      <c r="O319" s="276"/>
      <c r="P319" s="276"/>
      <c r="Q319" s="276"/>
      <c r="R319" s="276"/>
      <c r="S319" s="276"/>
      <c r="T319" s="276"/>
      <c r="U319" s="276"/>
      <c r="V319" s="276"/>
      <c r="W319" s="276"/>
      <c r="X319" s="276"/>
      <c r="Y319" s="276"/>
      <c r="Z319" s="276"/>
      <c r="AA319" s="276"/>
      <c r="AB319" s="276"/>
      <c r="AC319" s="276"/>
      <c r="AD319" s="276"/>
      <c r="AE319" s="276"/>
    </row>
    <row r="320" spans="2:31" ht="14.4">
      <c r="B320" s="381">
        <f t="shared" si="8"/>
        <v>275</v>
      </c>
      <c r="C320" s="389" t="str" cm="1">
        <f t="array" aca="1" ref="C320" ca="1">IF(B320&lt;=$C$9,GetGetCDSName(B320),"")</f>
        <v/>
      </c>
      <c r="D320" s="349"/>
      <c r="E320" s="382"/>
      <c r="F320" s="301"/>
      <c r="G320" s="301"/>
      <c r="H320" s="301"/>
      <c r="I320" s="301"/>
      <c r="J320" s="301"/>
      <c r="K320" s="301"/>
      <c r="L320" s="301"/>
      <c r="M320" s="301"/>
      <c r="N320" s="383"/>
      <c r="O320" s="276"/>
      <c r="P320" s="276"/>
      <c r="Q320" s="276"/>
      <c r="R320" s="276"/>
      <c r="S320" s="276"/>
      <c r="T320" s="276"/>
      <c r="U320" s="276"/>
      <c r="V320" s="276"/>
      <c r="W320" s="276"/>
      <c r="X320" s="276"/>
      <c r="Y320" s="276"/>
      <c r="Z320" s="276"/>
      <c r="AA320" s="276"/>
      <c r="AB320" s="276"/>
      <c r="AC320" s="276"/>
      <c r="AD320" s="276"/>
      <c r="AE320" s="276"/>
    </row>
    <row r="321" spans="2:31" ht="14.4">
      <c r="B321" s="381">
        <f t="shared" si="8"/>
        <v>276</v>
      </c>
      <c r="C321" s="389" t="str" cm="1">
        <f t="array" aca="1" ref="C321" ca="1">IF(B321&lt;=$C$9,GetGetCDSName(B321),"")</f>
        <v/>
      </c>
      <c r="D321" s="349"/>
      <c r="E321" s="382"/>
      <c r="F321" s="301"/>
      <c r="G321" s="301"/>
      <c r="H321" s="301"/>
      <c r="I321" s="301"/>
      <c r="J321" s="301"/>
      <c r="K321" s="301"/>
      <c r="L321" s="301"/>
      <c r="M321" s="301"/>
      <c r="N321" s="383"/>
      <c r="O321" s="276"/>
      <c r="P321" s="276"/>
      <c r="Q321" s="276"/>
      <c r="R321" s="276"/>
      <c r="S321" s="276"/>
      <c r="T321" s="276"/>
      <c r="U321" s="276"/>
      <c r="V321" s="276"/>
      <c r="W321" s="276"/>
      <c r="X321" s="276"/>
      <c r="Y321" s="276"/>
      <c r="Z321" s="276"/>
      <c r="AA321" s="276"/>
      <c r="AB321" s="276"/>
      <c r="AC321" s="276"/>
      <c r="AD321" s="276"/>
      <c r="AE321" s="276"/>
    </row>
    <row r="322" spans="2:31" ht="14.4">
      <c r="B322" s="381">
        <f t="shared" si="8"/>
        <v>277</v>
      </c>
      <c r="C322" s="389" t="str" cm="1">
        <f t="array" aca="1" ref="C322" ca="1">IF(B322&lt;=$C$9,GetGetCDSName(B322),"")</f>
        <v/>
      </c>
      <c r="D322" s="349"/>
      <c r="E322" s="382"/>
      <c r="F322" s="301"/>
      <c r="G322" s="301"/>
      <c r="H322" s="301"/>
      <c r="I322" s="301"/>
      <c r="J322" s="301"/>
      <c r="K322" s="301"/>
      <c r="L322" s="301"/>
      <c r="M322" s="301"/>
      <c r="N322" s="383"/>
      <c r="O322" s="276"/>
      <c r="P322" s="276"/>
      <c r="Q322" s="276"/>
      <c r="R322" s="276"/>
      <c r="S322" s="276"/>
      <c r="T322" s="276"/>
      <c r="U322" s="276"/>
      <c r="V322" s="276"/>
      <c r="W322" s="276"/>
      <c r="X322" s="276"/>
      <c r="Y322" s="276"/>
      <c r="Z322" s="276"/>
      <c r="AA322" s="276"/>
      <c r="AB322" s="276"/>
      <c r="AC322" s="276"/>
      <c r="AD322" s="276"/>
      <c r="AE322" s="276"/>
    </row>
    <row r="323" spans="2:31" ht="14.4">
      <c r="B323" s="381">
        <f t="shared" si="8"/>
        <v>278</v>
      </c>
      <c r="C323" s="389" t="str" cm="1">
        <f t="array" aca="1" ref="C323" ca="1">IF(B323&lt;=$C$9,GetGetCDSName(B323),"")</f>
        <v/>
      </c>
      <c r="D323" s="349"/>
      <c r="E323" s="382"/>
      <c r="F323" s="301"/>
      <c r="G323" s="301"/>
      <c r="H323" s="301"/>
      <c r="I323" s="301"/>
      <c r="J323" s="301"/>
      <c r="K323" s="301"/>
      <c r="L323" s="301"/>
      <c r="M323" s="301"/>
      <c r="N323" s="383"/>
      <c r="O323" s="276"/>
      <c r="P323" s="276"/>
      <c r="Q323" s="276"/>
      <c r="R323" s="276"/>
      <c r="S323" s="276"/>
      <c r="T323" s="276"/>
      <c r="U323" s="276"/>
      <c r="V323" s="276"/>
      <c r="W323" s="276"/>
      <c r="X323" s="276"/>
      <c r="Y323" s="276"/>
      <c r="Z323" s="276"/>
      <c r="AA323" s="276"/>
      <c r="AB323" s="276"/>
      <c r="AC323" s="276"/>
      <c r="AD323" s="276"/>
      <c r="AE323" s="276"/>
    </row>
    <row r="324" spans="2:31" ht="14.4">
      <c r="B324" s="381">
        <f t="shared" si="8"/>
        <v>279</v>
      </c>
      <c r="C324" s="389" t="str" cm="1">
        <f t="array" aca="1" ref="C324" ca="1">IF(B324&lt;=$C$9,GetGetCDSName(B324),"")</f>
        <v/>
      </c>
      <c r="D324" s="349"/>
      <c r="E324" s="382"/>
      <c r="F324" s="301"/>
      <c r="G324" s="301"/>
      <c r="H324" s="301"/>
      <c r="I324" s="301"/>
      <c r="J324" s="301"/>
      <c r="K324" s="301"/>
      <c r="L324" s="301"/>
      <c r="M324" s="301"/>
      <c r="N324" s="383"/>
      <c r="O324" s="276"/>
      <c r="P324" s="276"/>
      <c r="Q324" s="276"/>
      <c r="R324" s="276"/>
      <c r="S324" s="276"/>
      <c r="T324" s="276"/>
      <c r="U324" s="276"/>
      <c r="V324" s="276"/>
      <c r="W324" s="276"/>
      <c r="X324" s="276"/>
      <c r="Y324" s="276"/>
      <c r="Z324" s="276"/>
      <c r="AA324" s="276"/>
      <c r="AB324" s="276"/>
      <c r="AC324" s="276"/>
      <c r="AD324" s="276"/>
      <c r="AE324" s="276"/>
    </row>
    <row r="325" spans="2:31" ht="14.4">
      <c r="B325" s="381">
        <f t="shared" si="8"/>
        <v>280</v>
      </c>
      <c r="C325" s="389" t="str" cm="1">
        <f t="array" aca="1" ref="C325" ca="1">IF(B325&lt;=$C$9,GetGetCDSName(B325),"")</f>
        <v/>
      </c>
      <c r="D325" s="349"/>
      <c r="E325" s="382"/>
      <c r="F325" s="301"/>
      <c r="G325" s="301"/>
      <c r="H325" s="301"/>
      <c r="I325" s="301"/>
      <c r="J325" s="301"/>
      <c r="K325" s="301"/>
      <c r="L325" s="301"/>
      <c r="M325" s="301"/>
      <c r="N325" s="383"/>
      <c r="O325" s="276"/>
      <c r="P325" s="276"/>
      <c r="Q325" s="276"/>
      <c r="R325" s="276"/>
      <c r="S325" s="276"/>
      <c r="T325" s="276"/>
      <c r="U325" s="276"/>
      <c r="V325" s="276"/>
      <c r="W325" s="276"/>
      <c r="X325" s="276"/>
      <c r="Y325" s="276"/>
      <c r="Z325" s="276"/>
      <c r="AA325" s="276"/>
      <c r="AB325" s="276"/>
      <c r="AC325" s="276"/>
      <c r="AD325" s="276"/>
      <c r="AE325" s="276"/>
    </row>
    <row r="326" spans="2:31" ht="14.4">
      <c r="B326" s="381">
        <f t="shared" si="8"/>
        <v>281</v>
      </c>
      <c r="C326" s="389" t="str" cm="1">
        <f t="array" aca="1" ref="C326" ca="1">IF(B326&lt;=$C$9,GetGetCDSName(B326),"")</f>
        <v/>
      </c>
      <c r="D326" s="349"/>
      <c r="E326" s="382"/>
      <c r="F326" s="301"/>
      <c r="G326" s="301"/>
      <c r="H326" s="301"/>
      <c r="I326" s="301"/>
      <c r="J326" s="301"/>
      <c r="K326" s="301"/>
      <c r="L326" s="301"/>
      <c r="M326" s="301"/>
      <c r="N326" s="383"/>
      <c r="O326" s="276"/>
      <c r="P326" s="276"/>
      <c r="Q326" s="276"/>
      <c r="R326" s="276"/>
      <c r="S326" s="276"/>
      <c r="T326" s="276"/>
      <c r="U326" s="276"/>
      <c r="V326" s="276"/>
      <c r="W326" s="276"/>
      <c r="X326" s="276"/>
      <c r="Y326" s="276"/>
      <c r="Z326" s="276"/>
      <c r="AA326" s="276"/>
      <c r="AB326" s="276"/>
      <c r="AC326" s="276"/>
      <c r="AD326" s="276"/>
      <c r="AE326" s="276"/>
    </row>
    <row r="327" spans="2:31" ht="14.4">
      <c r="B327" s="381">
        <f t="shared" si="8"/>
        <v>282</v>
      </c>
      <c r="C327" s="389" t="str" cm="1">
        <f t="array" aca="1" ref="C327" ca="1">IF(B327&lt;=$C$9,GetGetCDSName(B327),"")</f>
        <v/>
      </c>
      <c r="D327" s="349"/>
      <c r="E327" s="382"/>
      <c r="F327" s="301"/>
      <c r="G327" s="301"/>
      <c r="H327" s="301"/>
      <c r="I327" s="301"/>
      <c r="J327" s="301"/>
      <c r="K327" s="301"/>
      <c r="L327" s="301"/>
      <c r="M327" s="301"/>
      <c r="N327" s="383"/>
      <c r="O327" s="276"/>
      <c r="P327" s="276"/>
      <c r="Q327" s="276"/>
      <c r="R327" s="276"/>
      <c r="S327" s="276"/>
      <c r="T327" s="276"/>
      <c r="U327" s="276"/>
      <c r="V327" s="276"/>
      <c r="W327" s="276"/>
      <c r="X327" s="276"/>
      <c r="Y327" s="276"/>
      <c r="Z327" s="276"/>
      <c r="AA327" s="276"/>
      <c r="AB327" s="276"/>
      <c r="AC327" s="276"/>
      <c r="AD327" s="276"/>
      <c r="AE327" s="276"/>
    </row>
    <row r="328" spans="2:31" ht="14.4">
      <c r="B328" s="381">
        <f t="shared" si="8"/>
        <v>283</v>
      </c>
      <c r="C328" s="389" t="str" cm="1">
        <f t="array" aca="1" ref="C328" ca="1">IF(B328&lt;=$C$9,GetGetCDSName(B328),"")</f>
        <v/>
      </c>
      <c r="D328" s="349"/>
      <c r="E328" s="382"/>
      <c r="F328" s="301"/>
      <c r="G328" s="301"/>
      <c r="H328" s="301"/>
      <c r="I328" s="301"/>
      <c r="J328" s="301"/>
      <c r="K328" s="301"/>
      <c r="L328" s="301"/>
      <c r="M328" s="301"/>
      <c r="N328" s="383"/>
      <c r="O328" s="276"/>
      <c r="P328" s="276"/>
      <c r="Q328" s="276"/>
      <c r="R328" s="276"/>
      <c r="S328" s="276"/>
      <c r="T328" s="276"/>
      <c r="U328" s="276"/>
      <c r="V328" s="276"/>
      <c r="W328" s="276"/>
      <c r="X328" s="276"/>
      <c r="Y328" s="276"/>
      <c r="Z328" s="276"/>
      <c r="AA328" s="276"/>
      <c r="AB328" s="276"/>
      <c r="AC328" s="276"/>
      <c r="AD328" s="276"/>
      <c r="AE328" s="276"/>
    </row>
    <row r="329" spans="2:31" ht="14.4">
      <c r="B329" s="381">
        <f t="shared" si="8"/>
        <v>284</v>
      </c>
      <c r="C329" s="389" t="str" cm="1">
        <f t="array" aca="1" ref="C329" ca="1">IF(B329&lt;=$C$9,GetGetCDSName(B329),"")</f>
        <v/>
      </c>
      <c r="D329" s="349"/>
      <c r="E329" s="382"/>
      <c r="F329" s="301"/>
      <c r="G329" s="301"/>
      <c r="H329" s="301"/>
      <c r="I329" s="301"/>
      <c r="J329" s="301"/>
      <c r="K329" s="301"/>
      <c r="L329" s="301"/>
      <c r="M329" s="301"/>
      <c r="N329" s="383"/>
      <c r="O329" s="276"/>
      <c r="P329" s="276"/>
      <c r="Q329" s="276"/>
      <c r="R329" s="276"/>
      <c r="S329" s="276"/>
      <c r="T329" s="276"/>
      <c r="U329" s="276"/>
      <c r="V329" s="276"/>
      <c r="W329" s="276"/>
      <c r="X329" s="276"/>
      <c r="Y329" s="276"/>
      <c r="Z329" s="276"/>
      <c r="AA329" s="276"/>
      <c r="AB329" s="276"/>
      <c r="AC329" s="276"/>
      <c r="AD329" s="276"/>
      <c r="AE329" s="276"/>
    </row>
    <row r="330" spans="2:31" ht="14.4">
      <c r="B330" s="381">
        <f t="shared" si="8"/>
        <v>285</v>
      </c>
      <c r="C330" s="389" t="str" cm="1">
        <f t="array" aca="1" ref="C330" ca="1">IF(B330&lt;=$C$9,GetGetCDSName(B330),"")</f>
        <v/>
      </c>
      <c r="D330" s="349"/>
      <c r="E330" s="382"/>
      <c r="F330" s="301"/>
      <c r="G330" s="301"/>
      <c r="H330" s="301"/>
      <c r="I330" s="301"/>
      <c r="J330" s="301"/>
      <c r="K330" s="301"/>
      <c r="L330" s="301"/>
      <c r="M330" s="301"/>
      <c r="N330" s="383"/>
      <c r="O330" s="276"/>
      <c r="P330" s="276"/>
      <c r="Q330" s="276"/>
      <c r="R330" s="276"/>
      <c r="S330" s="276"/>
      <c r="T330" s="276"/>
      <c r="U330" s="276"/>
      <c r="V330" s="276"/>
      <c r="W330" s="276"/>
      <c r="X330" s="276"/>
      <c r="Y330" s="276"/>
      <c r="Z330" s="276"/>
      <c r="AA330" s="276"/>
      <c r="AB330" s="276"/>
      <c r="AC330" s="276"/>
      <c r="AD330" s="276"/>
      <c r="AE330" s="276"/>
    </row>
    <row r="331" spans="2:31" ht="14.4">
      <c r="B331" s="381">
        <f t="shared" si="8"/>
        <v>286</v>
      </c>
      <c r="C331" s="389" t="str" cm="1">
        <f t="array" aca="1" ref="C331" ca="1">IF(B331&lt;=$C$9,GetGetCDSName(B331),"")</f>
        <v/>
      </c>
      <c r="D331" s="349"/>
      <c r="E331" s="382"/>
      <c r="F331" s="301"/>
      <c r="G331" s="301"/>
      <c r="H331" s="301"/>
      <c r="I331" s="301"/>
      <c r="J331" s="301"/>
      <c r="K331" s="301"/>
      <c r="L331" s="301"/>
      <c r="M331" s="301"/>
      <c r="N331" s="383"/>
      <c r="O331" s="276"/>
      <c r="P331" s="276"/>
      <c r="Q331" s="276"/>
      <c r="R331" s="276"/>
      <c r="S331" s="276"/>
      <c r="T331" s="276"/>
      <c r="U331" s="276"/>
      <c r="V331" s="276"/>
      <c r="W331" s="276"/>
      <c r="X331" s="276"/>
      <c r="Y331" s="276"/>
      <c r="Z331" s="276"/>
      <c r="AA331" s="276"/>
      <c r="AB331" s="276"/>
      <c r="AC331" s="276"/>
      <c r="AD331" s="276"/>
      <c r="AE331" s="276"/>
    </row>
    <row r="332" spans="2:31" ht="14.4">
      <c r="B332" s="381">
        <f t="shared" si="8"/>
        <v>287</v>
      </c>
      <c r="C332" s="389" t="str" cm="1">
        <f t="array" aca="1" ref="C332" ca="1">IF(B332&lt;=$C$9,GetGetCDSName(B332),"")</f>
        <v/>
      </c>
      <c r="D332" s="349"/>
      <c r="E332" s="382"/>
      <c r="F332" s="301"/>
      <c r="G332" s="301"/>
      <c r="H332" s="301"/>
      <c r="I332" s="301"/>
      <c r="J332" s="301"/>
      <c r="K332" s="301"/>
      <c r="L332" s="301"/>
      <c r="M332" s="301"/>
      <c r="N332" s="383"/>
      <c r="O332" s="276"/>
      <c r="P332" s="276"/>
      <c r="Q332" s="276"/>
      <c r="R332" s="276"/>
      <c r="S332" s="276"/>
      <c r="T332" s="276"/>
      <c r="U332" s="276"/>
      <c r="V332" s="276"/>
      <c r="W332" s="276"/>
      <c r="X332" s="276"/>
      <c r="Y332" s="276"/>
      <c r="Z332" s="276"/>
      <c r="AA332" s="276"/>
      <c r="AB332" s="276"/>
      <c r="AC332" s="276"/>
      <c r="AD332" s="276"/>
      <c r="AE332" s="276"/>
    </row>
    <row r="333" spans="2:31" ht="14.4">
      <c r="B333" s="381">
        <f t="shared" si="8"/>
        <v>288</v>
      </c>
      <c r="C333" s="389" t="str" cm="1">
        <f t="array" aca="1" ref="C333" ca="1">IF(B333&lt;=$C$9,GetGetCDSName(B333),"")</f>
        <v/>
      </c>
      <c r="D333" s="349"/>
      <c r="E333" s="382"/>
      <c r="F333" s="301"/>
      <c r="G333" s="301"/>
      <c r="H333" s="301"/>
      <c r="I333" s="301"/>
      <c r="J333" s="301"/>
      <c r="K333" s="301"/>
      <c r="L333" s="301"/>
      <c r="M333" s="301"/>
      <c r="N333" s="383"/>
      <c r="O333" s="276"/>
      <c r="P333" s="276"/>
      <c r="Q333" s="276"/>
      <c r="R333" s="276"/>
      <c r="S333" s="276"/>
      <c r="T333" s="276"/>
      <c r="U333" s="276"/>
      <c r="V333" s="276"/>
      <c r="W333" s="276"/>
      <c r="X333" s="276"/>
      <c r="Y333" s="276"/>
      <c r="Z333" s="276"/>
      <c r="AA333" s="276"/>
      <c r="AB333" s="276"/>
      <c r="AC333" s="276"/>
      <c r="AD333" s="276"/>
      <c r="AE333" s="276"/>
    </row>
    <row r="334" spans="2:31" ht="14.4">
      <c r="B334" s="381">
        <f t="shared" si="8"/>
        <v>289</v>
      </c>
      <c r="C334" s="389" t="str" cm="1">
        <f t="array" aca="1" ref="C334" ca="1">IF(B334&lt;=$C$9,GetGetCDSName(B334),"")</f>
        <v/>
      </c>
      <c r="D334" s="349"/>
      <c r="E334" s="382"/>
      <c r="F334" s="301"/>
      <c r="G334" s="301"/>
      <c r="H334" s="301"/>
      <c r="I334" s="301"/>
      <c r="J334" s="301"/>
      <c r="K334" s="301"/>
      <c r="L334" s="301"/>
      <c r="M334" s="301"/>
      <c r="N334" s="383"/>
      <c r="O334" s="276"/>
      <c r="P334" s="276"/>
      <c r="Q334" s="276"/>
      <c r="R334" s="276"/>
      <c r="S334" s="276"/>
      <c r="T334" s="276"/>
      <c r="U334" s="276"/>
      <c r="V334" s="276"/>
      <c r="W334" s="276"/>
      <c r="X334" s="276"/>
      <c r="Y334" s="276"/>
      <c r="Z334" s="276"/>
      <c r="AA334" s="276"/>
      <c r="AB334" s="276"/>
      <c r="AC334" s="276"/>
      <c r="AD334" s="276"/>
      <c r="AE334" s="276"/>
    </row>
    <row r="335" spans="2:31" ht="14.4">
      <c r="B335" s="381">
        <f t="shared" si="8"/>
        <v>290</v>
      </c>
      <c r="C335" s="389" t="str" cm="1">
        <f t="array" aca="1" ref="C335" ca="1">IF(B335&lt;=$C$9,GetGetCDSName(B335),"")</f>
        <v/>
      </c>
      <c r="D335" s="349"/>
      <c r="E335" s="382"/>
      <c r="F335" s="301"/>
      <c r="G335" s="301"/>
      <c r="H335" s="301"/>
      <c r="I335" s="301"/>
      <c r="J335" s="301"/>
      <c r="K335" s="301"/>
      <c r="L335" s="301"/>
      <c r="M335" s="301"/>
      <c r="N335" s="383"/>
      <c r="O335" s="276"/>
      <c r="P335" s="276"/>
      <c r="Q335" s="276"/>
      <c r="R335" s="276"/>
      <c r="S335" s="276"/>
      <c r="T335" s="276"/>
      <c r="U335" s="276"/>
      <c r="V335" s="276"/>
      <c r="W335" s="276"/>
      <c r="X335" s="276"/>
      <c r="Y335" s="276"/>
      <c r="Z335" s="276"/>
      <c r="AA335" s="276"/>
      <c r="AB335" s="276"/>
      <c r="AC335" s="276"/>
      <c r="AD335" s="276"/>
      <c r="AE335" s="276"/>
    </row>
    <row r="336" spans="2:31" ht="14.4">
      <c r="B336" s="381">
        <f t="shared" si="8"/>
        <v>291</v>
      </c>
      <c r="C336" s="389" t="str" cm="1">
        <f t="array" aca="1" ref="C336" ca="1">IF(B336&lt;=$C$9,GetGetCDSName(B336),"")</f>
        <v/>
      </c>
      <c r="D336" s="349"/>
      <c r="E336" s="382"/>
      <c r="F336" s="301"/>
      <c r="G336" s="301"/>
      <c r="H336" s="301"/>
      <c r="I336" s="301"/>
      <c r="J336" s="301"/>
      <c r="K336" s="301"/>
      <c r="L336" s="301"/>
      <c r="M336" s="301"/>
      <c r="N336" s="383"/>
      <c r="O336" s="276"/>
      <c r="P336" s="276"/>
      <c r="Q336" s="276"/>
      <c r="R336" s="276"/>
      <c r="S336" s="276"/>
      <c r="T336" s="276"/>
      <c r="U336" s="276"/>
      <c r="V336" s="276"/>
      <c r="W336" s="276"/>
      <c r="X336" s="276"/>
      <c r="Y336" s="276"/>
      <c r="Z336" s="276"/>
      <c r="AA336" s="276"/>
      <c r="AB336" s="276"/>
      <c r="AC336" s="276"/>
      <c r="AD336" s="276"/>
      <c r="AE336" s="276"/>
    </row>
    <row r="337" spans="2:31" ht="14.4">
      <c r="B337" s="381">
        <f t="shared" si="8"/>
        <v>292</v>
      </c>
      <c r="C337" s="389" t="str" cm="1">
        <f t="array" aca="1" ref="C337" ca="1">IF(B337&lt;=$C$9,GetGetCDSName(B337),"")</f>
        <v/>
      </c>
      <c r="D337" s="349"/>
      <c r="E337" s="382"/>
      <c r="F337" s="301"/>
      <c r="G337" s="301"/>
      <c r="H337" s="301"/>
      <c r="I337" s="301"/>
      <c r="J337" s="301"/>
      <c r="K337" s="301"/>
      <c r="L337" s="301"/>
      <c r="M337" s="301"/>
      <c r="N337" s="383"/>
      <c r="O337" s="276"/>
      <c r="P337" s="276"/>
      <c r="Q337" s="276"/>
      <c r="R337" s="276"/>
      <c r="S337" s="276"/>
      <c r="T337" s="276"/>
      <c r="U337" s="276"/>
      <c r="V337" s="276"/>
      <c r="W337" s="276"/>
      <c r="X337" s="276"/>
      <c r="Y337" s="276"/>
      <c r="Z337" s="276"/>
      <c r="AA337" s="276"/>
      <c r="AB337" s="276"/>
      <c r="AC337" s="276"/>
      <c r="AD337" s="276"/>
      <c r="AE337" s="276"/>
    </row>
    <row r="338" spans="2:31" ht="14.4">
      <c r="B338" s="381">
        <f t="shared" si="8"/>
        <v>293</v>
      </c>
      <c r="C338" s="389" t="str" cm="1">
        <f t="array" aca="1" ref="C338" ca="1">IF(B338&lt;=$C$9,GetGetCDSName(B338),"")</f>
        <v/>
      </c>
      <c r="D338" s="349"/>
      <c r="E338" s="382"/>
      <c r="F338" s="301"/>
      <c r="G338" s="301"/>
      <c r="H338" s="301"/>
      <c r="I338" s="301"/>
      <c r="J338" s="301"/>
      <c r="K338" s="301"/>
      <c r="L338" s="301"/>
      <c r="M338" s="301"/>
      <c r="N338" s="383"/>
      <c r="O338" s="276"/>
      <c r="P338" s="276"/>
      <c r="Q338" s="276"/>
      <c r="R338" s="276"/>
      <c r="S338" s="276"/>
      <c r="T338" s="276"/>
      <c r="U338" s="276"/>
      <c r="V338" s="276"/>
      <c r="W338" s="276"/>
      <c r="X338" s="276"/>
      <c r="Y338" s="276"/>
      <c r="Z338" s="276"/>
      <c r="AA338" s="276"/>
      <c r="AB338" s="276"/>
      <c r="AC338" s="276"/>
      <c r="AD338" s="276"/>
      <c r="AE338" s="276"/>
    </row>
    <row r="339" spans="2:31" ht="14.4">
      <c r="B339" s="381">
        <f t="shared" si="8"/>
        <v>294</v>
      </c>
      <c r="C339" s="389" t="str" cm="1">
        <f t="array" aca="1" ref="C339" ca="1">IF(B339&lt;=$C$9,GetGetCDSName(B339),"")</f>
        <v/>
      </c>
      <c r="D339" s="349"/>
      <c r="E339" s="382"/>
      <c r="F339" s="301"/>
      <c r="G339" s="301"/>
      <c r="H339" s="301"/>
      <c r="I339" s="301"/>
      <c r="J339" s="301"/>
      <c r="K339" s="301"/>
      <c r="L339" s="301"/>
      <c r="M339" s="301"/>
      <c r="N339" s="383"/>
      <c r="O339" s="276"/>
      <c r="P339" s="276"/>
      <c r="Q339" s="276"/>
      <c r="R339" s="276"/>
      <c r="S339" s="276"/>
      <c r="T339" s="276"/>
      <c r="U339" s="276"/>
      <c r="V339" s="276"/>
      <c r="W339" s="276"/>
      <c r="X339" s="276"/>
      <c r="Y339" s="276"/>
      <c r="Z339" s="276"/>
      <c r="AA339" s="276"/>
      <c r="AB339" s="276"/>
      <c r="AC339" s="276"/>
      <c r="AD339" s="276"/>
      <c r="AE339" s="276"/>
    </row>
    <row r="340" spans="2:31" ht="14.4">
      <c r="B340" s="381">
        <f t="shared" si="8"/>
        <v>295</v>
      </c>
      <c r="C340" s="389" t="str" cm="1">
        <f t="array" aca="1" ref="C340" ca="1">IF(B340&lt;=$C$9,GetGetCDSName(B340),"")</f>
        <v/>
      </c>
      <c r="D340" s="349"/>
      <c r="E340" s="382"/>
      <c r="F340" s="301"/>
      <c r="G340" s="301"/>
      <c r="H340" s="301"/>
      <c r="I340" s="301"/>
      <c r="J340" s="301"/>
      <c r="K340" s="301"/>
      <c r="L340" s="301"/>
      <c r="M340" s="301"/>
      <c r="N340" s="383"/>
      <c r="O340" s="276"/>
      <c r="P340" s="276"/>
      <c r="Q340" s="276"/>
      <c r="R340" s="276"/>
      <c r="S340" s="276"/>
      <c r="T340" s="276"/>
      <c r="U340" s="276"/>
      <c r="V340" s="276"/>
      <c r="W340" s="276"/>
      <c r="X340" s="276"/>
      <c r="Y340" s="276"/>
      <c r="Z340" s="276"/>
      <c r="AA340" s="276"/>
      <c r="AB340" s="276"/>
      <c r="AC340" s="276"/>
      <c r="AD340" s="276"/>
      <c r="AE340" s="276"/>
    </row>
    <row r="341" spans="2:31" ht="14.4">
      <c r="B341" s="381">
        <f t="shared" si="8"/>
        <v>296</v>
      </c>
      <c r="C341" s="389" t="str" cm="1">
        <f t="array" aca="1" ref="C341" ca="1">IF(B341&lt;=$C$9,GetGetCDSName(B341),"")</f>
        <v/>
      </c>
      <c r="D341" s="349"/>
      <c r="E341" s="382"/>
      <c r="F341" s="301"/>
      <c r="G341" s="301"/>
      <c r="H341" s="301"/>
      <c r="I341" s="301"/>
      <c r="J341" s="301"/>
      <c r="K341" s="301"/>
      <c r="L341" s="301"/>
      <c r="M341" s="301"/>
      <c r="N341" s="383"/>
      <c r="O341" s="276"/>
      <c r="P341" s="276"/>
      <c r="Q341" s="276"/>
      <c r="R341" s="276"/>
      <c r="S341" s="276"/>
      <c r="T341" s="276"/>
      <c r="U341" s="276"/>
      <c r="V341" s="276"/>
      <c r="W341" s="276"/>
      <c r="X341" s="276"/>
      <c r="Y341" s="276"/>
      <c r="Z341" s="276"/>
      <c r="AA341" s="276"/>
      <c r="AB341" s="276"/>
      <c r="AC341" s="276"/>
      <c r="AD341" s="276"/>
      <c r="AE341" s="276"/>
    </row>
    <row r="342" spans="2:31" ht="14.4">
      <c r="B342" s="381">
        <f t="shared" si="8"/>
        <v>297</v>
      </c>
      <c r="C342" s="389" t="str" cm="1">
        <f t="array" aca="1" ref="C342" ca="1">IF(B342&lt;=$C$9,GetGetCDSName(B342),"")</f>
        <v/>
      </c>
      <c r="D342" s="349"/>
      <c r="E342" s="382"/>
      <c r="F342" s="301"/>
      <c r="G342" s="301"/>
      <c r="H342" s="301"/>
      <c r="I342" s="301"/>
      <c r="J342" s="301"/>
      <c r="K342" s="301"/>
      <c r="L342" s="301"/>
      <c r="M342" s="301"/>
      <c r="N342" s="383"/>
      <c r="O342" s="276"/>
      <c r="P342" s="276"/>
      <c r="Q342" s="276"/>
      <c r="R342" s="276"/>
      <c r="S342" s="276"/>
      <c r="T342" s="276"/>
      <c r="U342" s="276"/>
      <c r="V342" s="276"/>
      <c r="W342" s="276"/>
      <c r="X342" s="276"/>
      <c r="Y342" s="276"/>
      <c r="Z342" s="276"/>
      <c r="AA342" s="276"/>
      <c r="AB342" s="276"/>
      <c r="AC342" s="276"/>
      <c r="AD342" s="276"/>
      <c r="AE342" s="276"/>
    </row>
    <row r="343" spans="2:31" ht="14.4">
      <c r="B343" s="381">
        <f t="shared" si="8"/>
        <v>298</v>
      </c>
      <c r="C343" s="389" t="str" cm="1">
        <f t="array" aca="1" ref="C343" ca="1">IF(B343&lt;=$C$9,GetGetCDSName(B343),"")</f>
        <v/>
      </c>
      <c r="D343" s="349"/>
      <c r="E343" s="382"/>
      <c r="F343" s="301"/>
      <c r="G343" s="301"/>
      <c r="H343" s="301"/>
      <c r="I343" s="301"/>
      <c r="J343" s="301"/>
      <c r="K343" s="301"/>
      <c r="L343" s="301"/>
      <c r="M343" s="301"/>
      <c r="N343" s="383"/>
      <c r="O343" s="276"/>
      <c r="P343" s="276"/>
      <c r="Q343" s="276"/>
      <c r="R343" s="276"/>
      <c r="S343" s="276"/>
      <c r="T343" s="276"/>
      <c r="U343" s="276"/>
      <c r="V343" s="276"/>
      <c r="W343" s="276"/>
      <c r="X343" s="276"/>
      <c r="Y343" s="276"/>
      <c r="Z343" s="276"/>
      <c r="AA343" s="276"/>
      <c r="AB343" s="276"/>
      <c r="AC343" s="276"/>
      <c r="AD343" s="276"/>
      <c r="AE343" s="276"/>
    </row>
    <row r="344" spans="2:31" ht="14.4">
      <c r="B344" s="381">
        <f t="shared" si="8"/>
        <v>299</v>
      </c>
      <c r="C344" s="389" t="str" cm="1">
        <f t="array" aca="1" ref="C344" ca="1">IF(B344&lt;=$C$9,GetGetCDSName(B344),"")</f>
        <v/>
      </c>
      <c r="D344" s="349"/>
      <c r="E344" s="382"/>
      <c r="F344" s="301"/>
      <c r="G344" s="301"/>
      <c r="H344" s="301"/>
      <c r="I344" s="301"/>
      <c r="J344" s="301"/>
      <c r="K344" s="301"/>
      <c r="L344" s="301"/>
      <c r="M344" s="301"/>
      <c r="N344" s="383"/>
      <c r="O344" s="276"/>
      <c r="P344" s="276"/>
      <c r="Q344" s="276"/>
      <c r="R344" s="276"/>
      <c r="S344" s="276"/>
      <c r="T344" s="276"/>
      <c r="U344" s="276"/>
      <c r="V344" s="276"/>
      <c r="W344" s="276"/>
      <c r="X344" s="276"/>
      <c r="Y344" s="276"/>
      <c r="Z344" s="276"/>
      <c r="AA344" s="276"/>
      <c r="AB344" s="276"/>
      <c r="AC344" s="276"/>
      <c r="AD344" s="276"/>
      <c r="AE344" s="276"/>
    </row>
    <row r="345" spans="2:31" ht="15" thickBot="1">
      <c r="B345" s="384">
        <f t="shared" si="8"/>
        <v>300</v>
      </c>
      <c r="C345" s="389" t="str" cm="1">
        <f t="array" aca="1" ref="C345" ca="1">IF(B345&lt;=$C$9,GetGetCDSName(B345),"")</f>
        <v/>
      </c>
      <c r="D345" s="385"/>
      <c r="E345" s="386"/>
      <c r="F345" s="387"/>
      <c r="G345" s="387"/>
      <c r="H345" s="387"/>
      <c r="I345" s="387"/>
      <c r="J345" s="387"/>
      <c r="K345" s="387"/>
      <c r="L345" s="387"/>
      <c r="M345" s="387"/>
      <c r="N345" s="388"/>
      <c r="O345" s="276"/>
      <c r="P345" s="276"/>
      <c r="Q345" s="276"/>
      <c r="R345" s="276"/>
      <c r="S345" s="276"/>
      <c r="T345" s="276"/>
      <c r="U345" s="276"/>
      <c r="V345" s="276"/>
      <c r="W345" s="276"/>
      <c r="X345" s="276"/>
      <c r="Y345" s="276"/>
      <c r="Z345" s="276"/>
      <c r="AA345" s="276"/>
      <c r="AB345" s="276"/>
      <c r="AC345" s="276"/>
      <c r="AD345" s="276"/>
      <c r="AE345" s="276"/>
    </row>
    <row r="346" spans="2:31">
      <c r="O346" s="276"/>
      <c r="P346" s="276"/>
      <c r="Q346" s="276"/>
      <c r="R346" s="276"/>
      <c r="S346" s="276"/>
      <c r="T346" s="276"/>
      <c r="U346" s="276"/>
      <c r="V346" s="276"/>
      <c r="W346" s="276"/>
      <c r="X346" s="276"/>
      <c r="Y346" s="276"/>
      <c r="Z346" s="276"/>
      <c r="AA346" s="276"/>
      <c r="AB346" s="276"/>
      <c r="AC346" s="276"/>
      <c r="AD346" s="276"/>
      <c r="AE346" s="276"/>
    </row>
    <row r="347" spans="2:31">
      <c r="O347" s="276"/>
      <c r="P347" s="276"/>
      <c r="Q347" s="276"/>
      <c r="R347" s="276"/>
      <c r="S347" s="276"/>
      <c r="T347" s="276"/>
      <c r="U347" s="276"/>
      <c r="V347" s="276"/>
      <c r="W347" s="276"/>
      <c r="X347" s="276"/>
      <c r="Y347" s="276"/>
      <c r="Z347" s="276"/>
      <c r="AA347" s="276"/>
      <c r="AB347" s="276"/>
      <c r="AC347" s="276"/>
      <c r="AD347" s="276"/>
      <c r="AE347" s="276"/>
    </row>
    <row r="348" spans="2:31">
      <c r="O348" s="276"/>
      <c r="P348" s="276"/>
      <c r="Q348" s="276"/>
      <c r="R348" s="276"/>
      <c r="S348" s="276"/>
      <c r="T348" s="276"/>
      <c r="U348" s="276"/>
      <c r="V348" s="276"/>
      <c r="W348" s="276"/>
      <c r="X348" s="276"/>
      <c r="Y348" s="276"/>
      <c r="Z348" s="276"/>
      <c r="AA348" s="276"/>
      <c r="AB348" s="276"/>
      <c r="AC348" s="276"/>
      <c r="AD348" s="276"/>
      <c r="AE348" s="276"/>
    </row>
    <row r="349" spans="2:31">
      <c r="O349" s="276"/>
      <c r="P349" s="276"/>
      <c r="Q349" s="276"/>
      <c r="R349" s="276"/>
      <c r="S349" s="276"/>
      <c r="T349" s="276"/>
      <c r="U349" s="276"/>
      <c r="V349" s="276"/>
      <c r="W349" s="276"/>
      <c r="X349" s="276"/>
      <c r="Y349" s="276"/>
      <c r="Z349" s="276"/>
      <c r="AA349" s="276"/>
      <c r="AB349" s="276"/>
      <c r="AC349" s="276"/>
      <c r="AD349" s="276"/>
      <c r="AE349" s="276"/>
    </row>
    <row r="350" spans="2:31">
      <c r="O350" s="276"/>
      <c r="P350" s="276"/>
      <c r="Q350" s="276"/>
      <c r="R350" s="276"/>
      <c r="S350" s="276"/>
      <c r="T350" s="276"/>
      <c r="U350" s="276"/>
      <c r="V350" s="276"/>
      <c r="W350" s="276"/>
      <c r="X350" s="276"/>
      <c r="Y350" s="276"/>
      <c r="Z350" s="276"/>
      <c r="AA350" s="276"/>
      <c r="AB350" s="276"/>
      <c r="AC350" s="276"/>
      <c r="AD350" s="276"/>
      <c r="AE350" s="276"/>
    </row>
    <row r="351" spans="2:31">
      <c r="O351" s="276"/>
      <c r="P351" s="276"/>
      <c r="Q351" s="276"/>
      <c r="R351" s="276"/>
      <c r="S351" s="276"/>
      <c r="T351" s="276"/>
      <c r="U351" s="276"/>
      <c r="V351" s="276"/>
      <c r="W351" s="276"/>
      <c r="X351" s="276"/>
      <c r="Y351" s="276"/>
      <c r="Z351" s="276"/>
      <c r="AA351" s="276"/>
      <c r="AB351" s="276"/>
      <c r="AC351" s="276"/>
      <c r="AD351" s="276"/>
      <c r="AE351" s="276"/>
    </row>
    <row r="352" spans="2:31">
      <c r="O352" s="276"/>
      <c r="P352" s="276"/>
      <c r="Q352" s="276"/>
      <c r="R352" s="276"/>
      <c r="S352" s="276"/>
      <c r="T352" s="276"/>
      <c r="U352" s="276"/>
      <c r="V352" s="276"/>
      <c r="W352" s="276"/>
      <c r="X352" s="276"/>
      <c r="Y352" s="276"/>
      <c r="Z352" s="276"/>
      <c r="AA352" s="276"/>
      <c r="AB352" s="276"/>
      <c r="AC352" s="276"/>
      <c r="AD352" s="276"/>
      <c r="AE352" s="276"/>
    </row>
    <row r="353" spans="15:31">
      <c r="O353" s="276"/>
      <c r="P353" s="276"/>
      <c r="Q353" s="276"/>
      <c r="R353" s="276"/>
      <c r="S353" s="276"/>
      <c r="T353" s="276"/>
      <c r="U353" s="276"/>
      <c r="V353" s="276"/>
      <c r="W353" s="276"/>
      <c r="X353" s="276"/>
      <c r="Y353" s="276"/>
      <c r="Z353" s="276"/>
      <c r="AA353" s="276"/>
      <c r="AB353" s="276"/>
      <c r="AC353" s="276"/>
      <c r="AD353" s="276"/>
      <c r="AE353" s="276"/>
    </row>
    <row r="354" spans="15:31">
      <c r="O354" s="276"/>
      <c r="P354" s="276"/>
      <c r="Q354" s="276"/>
      <c r="R354" s="276"/>
      <c r="S354" s="276"/>
      <c r="T354" s="276"/>
      <c r="U354" s="276"/>
      <c r="V354" s="276"/>
      <c r="W354" s="276"/>
      <c r="X354" s="276"/>
      <c r="Y354" s="276"/>
      <c r="Z354" s="276"/>
      <c r="AA354" s="276"/>
      <c r="AB354" s="276"/>
      <c r="AC354" s="276"/>
      <c r="AD354" s="276"/>
      <c r="AE354" s="276"/>
    </row>
    <row r="355" spans="15:31">
      <c r="O355" s="276"/>
      <c r="P355" s="276"/>
      <c r="Q355" s="276"/>
      <c r="R355" s="276"/>
      <c r="S355" s="276"/>
      <c r="T355" s="276"/>
      <c r="U355" s="276"/>
      <c r="V355" s="276"/>
      <c r="W355" s="276"/>
      <c r="X355" s="276"/>
      <c r="Y355" s="276"/>
      <c r="Z355" s="276"/>
      <c r="AA355" s="276"/>
      <c r="AB355" s="276"/>
      <c r="AC355" s="276"/>
      <c r="AD355" s="276"/>
      <c r="AE355" s="276"/>
    </row>
    <row r="356" spans="15:31">
      <c r="O356" s="276"/>
      <c r="P356" s="276"/>
      <c r="Q356" s="276"/>
      <c r="R356" s="276"/>
      <c r="S356" s="276"/>
      <c r="T356" s="276"/>
      <c r="U356" s="276"/>
      <c r="V356" s="276"/>
      <c r="W356" s="276"/>
      <c r="X356" s="276"/>
      <c r="Y356" s="276"/>
      <c r="Z356" s="276"/>
      <c r="AA356" s="276"/>
      <c r="AB356" s="276"/>
      <c r="AC356" s="276"/>
      <c r="AD356" s="276"/>
      <c r="AE356" s="276"/>
    </row>
    <row r="357" spans="15:31">
      <c r="O357" s="276"/>
      <c r="P357" s="276"/>
      <c r="Q357" s="276"/>
      <c r="R357" s="276"/>
      <c r="S357" s="276"/>
      <c r="T357" s="276"/>
      <c r="U357" s="276"/>
      <c r="V357" s="276"/>
      <c r="W357" s="276"/>
      <c r="X357" s="276"/>
      <c r="Y357" s="276"/>
      <c r="Z357" s="276"/>
      <c r="AA357" s="276"/>
      <c r="AB357" s="276"/>
      <c r="AC357" s="276"/>
      <c r="AD357" s="276"/>
      <c r="AE357" s="276"/>
    </row>
    <row r="358" spans="15:31">
      <c r="O358" s="276"/>
      <c r="P358" s="276"/>
      <c r="Q358" s="276"/>
      <c r="R358" s="276"/>
      <c r="S358" s="276"/>
      <c r="T358" s="276"/>
      <c r="U358" s="276"/>
      <c r="V358" s="276"/>
      <c r="W358" s="276"/>
      <c r="X358" s="276"/>
      <c r="Y358" s="276"/>
      <c r="Z358" s="276"/>
      <c r="AA358" s="276"/>
      <c r="AB358" s="276"/>
      <c r="AC358" s="276"/>
      <c r="AD358" s="276"/>
      <c r="AE358" s="276"/>
    </row>
    <row r="359" spans="15:31">
      <c r="O359" s="276"/>
      <c r="P359" s="276"/>
      <c r="Q359" s="276"/>
      <c r="R359" s="276"/>
      <c r="S359" s="276"/>
      <c r="T359" s="276"/>
      <c r="U359" s="276"/>
      <c r="V359" s="276"/>
      <c r="W359" s="276"/>
      <c r="X359" s="276"/>
      <c r="Y359" s="276"/>
      <c r="Z359" s="276"/>
      <c r="AA359" s="276"/>
      <c r="AB359" s="276"/>
      <c r="AC359" s="276"/>
      <c r="AD359" s="276"/>
      <c r="AE359" s="276"/>
    </row>
    <row r="360" spans="15:31">
      <c r="O360" s="276"/>
      <c r="P360" s="276"/>
      <c r="Q360" s="276"/>
      <c r="R360" s="276"/>
      <c r="S360" s="276"/>
      <c r="T360" s="276"/>
      <c r="U360" s="276"/>
      <c r="V360" s="276"/>
      <c r="W360" s="276"/>
      <c r="X360" s="276"/>
      <c r="Y360" s="276"/>
      <c r="Z360" s="276"/>
      <c r="AA360" s="276"/>
      <c r="AB360" s="276"/>
      <c r="AC360" s="276"/>
      <c r="AD360" s="276"/>
      <c r="AE360" s="276"/>
    </row>
    <row r="361" spans="15:31">
      <c r="O361" s="276"/>
      <c r="P361" s="276"/>
      <c r="Q361" s="276"/>
      <c r="R361" s="276"/>
      <c r="S361" s="276"/>
      <c r="T361" s="276"/>
      <c r="U361" s="276"/>
      <c r="V361" s="276"/>
      <c r="W361" s="276"/>
      <c r="X361" s="276"/>
      <c r="Y361" s="276"/>
      <c r="Z361" s="276"/>
      <c r="AA361" s="276"/>
      <c r="AB361" s="276"/>
      <c r="AC361" s="276"/>
      <c r="AD361" s="276"/>
      <c r="AE361" s="276"/>
    </row>
    <row r="362" spans="15:31">
      <c r="O362" s="276"/>
      <c r="P362" s="276"/>
      <c r="Q362" s="276"/>
      <c r="R362" s="276"/>
      <c r="S362" s="276"/>
      <c r="T362" s="276"/>
      <c r="U362" s="276"/>
      <c r="V362" s="276"/>
      <c r="W362" s="276"/>
      <c r="X362" s="276"/>
      <c r="Y362" s="276"/>
      <c r="Z362" s="276"/>
      <c r="AA362" s="276"/>
      <c r="AB362" s="276"/>
      <c r="AC362" s="276"/>
      <c r="AD362" s="276"/>
      <c r="AE362" s="276"/>
    </row>
    <row r="363" spans="15:31">
      <c r="O363" s="276"/>
      <c r="P363" s="276"/>
      <c r="Q363" s="276"/>
      <c r="R363" s="276"/>
      <c r="S363" s="276"/>
      <c r="T363" s="276"/>
      <c r="U363" s="276"/>
      <c r="V363" s="276"/>
      <c r="W363" s="276"/>
      <c r="X363" s="276"/>
      <c r="Y363" s="276"/>
      <c r="Z363" s="276"/>
      <c r="AA363" s="276"/>
      <c r="AB363" s="276"/>
      <c r="AC363" s="276"/>
      <c r="AD363" s="276"/>
      <c r="AE363" s="276"/>
    </row>
    <row r="364" spans="15:31">
      <c r="O364" s="276"/>
      <c r="P364" s="276"/>
      <c r="Q364" s="276"/>
      <c r="R364" s="276"/>
      <c r="S364" s="276"/>
      <c r="T364" s="276"/>
      <c r="U364" s="276"/>
      <c r="V364" s="276"/>
      <c r="W364" s="276"/>
      <c r="X364" s="276"/>
      <c r="Y364" s="276"/>
      <c r="Z364" s="276"/>
      <c r="AA364" s="276"/>
      <c r="AB364" s="276"/>
      <c r="AC364" s="276"/>
      <c r="AD364" s="276"/>
      <c r="AE364" s="276"/>
    </row>
    <row r="365" spans="15:31">
      <c r="O365" s="276"/>
      <c r="P365" s="276"/>
      <c r="Q365" s="276"/>
      <c r="R365" s="276"/>
      <c r="S365" s="276"/>
      <c r="T365" s="276"/>
      <c r="U365" s="276"/>
      <c r="V365" s="276"/>
      <c r="W365" s="276"/>
      <c r="X365" s="276"/>
      <c r="Y365" s="276"/>
      <c r="Z365" s="276"/>
      <c r="AA365" s="276"/>
      <c r="AB365" s="276"/>
      <c r="AC365" s="276"/>
      <c r="AD365" s="276"/>
      <c r="AE365" s="276"/>
    </row>
    <row r="366" spans="15:31">
      <c r="O366" s="276"/>
      <c r="P366" s="276"/>
      <c r="Q366" s="276"/>
      <c r="R366" s="276"/>
      <c r="S366" s="276"/>
      <c r="T366" s="276"/>
      <c r="U366" s="276"/>
      <c r="V366" s="276"/>
      <c r="W366" s="276"/>
      <c r="X366" s="276"/>
      <c r="Y366" s="276"/>
      <c r="Z366" s="276"/>
      <c r="AA366" s="276"/>
      <c r="AB366" s="276"/>
      <c r="AC366" s="276"/>
      <c r="AD366" s="276"/>
      <c r="AE366" s="276"/>
    </row>
    <row r="367" spans="15:31">
      <c r="O367" s="276"/>
      <c r="P367" s="276"/>
      <c r="Q367" s="276"/>
      <c r="R367" s="276"/>
      <c r="S367" s="276"/>
      <c r="T367" s="276"/>
      <c r="U367" s="276"/>
      <c r="V367" s="276"/>
      <c r="W367" s="276"/>
      <c r="X367" s="276"/>
      <c r="Y367" s="276"/>
      <c r="Z367" s="276"/>
      <c r="AA367" s="276"/>
      <c r="AB367" s="276"/>
      <c r="AC367" s="276"/>
      <c r="AD367" s="276"/>
      <c r="AE367" s="276"/>
    </row>
    <row r="368" spans="15:31">
      <c r="O368" s="276"/>
      <c r="P368" s="276"/>
      <c r="Q368" s="276"/>
      <c r="R368" s="276"/>
      <c r="S368" s="276"/>
      <c r="T368" s="276"/>
      <c r="U368" s="276"/>
      <c r="V368" s="276"/>
      <c r="W368" s="276"/>
      <c r="X368" s="276"/>
      <c r="Y368" s="276"/>
      <c r="Z368" s="276"/>
      <c r="AA368" s="276"/>
      <c r="AB368" s="276"/>
      <c r="AC368" s="276"/>
      <c r="AD368" s="276"/>
      <c r="AE368" s="276"/>
    </row>
    <row r="369" spans="15:31">
      <c r="O369" s="276"/>
      <c r="P369" s="276"/>
      <c r="Q369" s="276"/>
      <c r="R369" s="276"/>
      <c r="S369" s="276"/>
      <c r="T369" s="276"/>
      <c r="U369" s="276"/>
      <c r="V369" s="276"/>
      <c r="W369" s="276"/>
      <c r="X369" s="276"/>
      <c r="Y369" s="276"/>
      <c r="Z369" s="276"/>
      <c r="AA369" s="276"/>
      <c r="AB369" s="276"/>
      <c r="AC369" s="276"/>
      <c r="AD369" s="276"/>
      <c r="AE369" s="276"/>
    </row>
    <row r="370" spans="15:31">
      <c r="O370" s="276"/>
      <c r="P370" s="276"/>
      <c r="Q370" s="276"/>
      <c r="R370" s="276"/>
      <c r="S370" s="276"/>
      <c r="T370" s="276"/>
      <c r="U370" s="276"/>
      <c r="V370" s="276"/>
      <c r="W370" s="276"/>
      <c r="X370" s="276"/>
      <c r="Y370" s="276"/>
      <c r="Z370" s="276"/>
      <c r="AA370" s="276"/>
      <c r="AB370" s="276"/>
      <c r="AC370" s="276"/>
      <c r="AD370" s="276"/>
      <c r="AE370" s="276"/>
    </row>
    <row r="371" spans="15:31">
      <c r="O371" s="276"/>
      <c r="P371" s="276"/>
      <c r="Q371" s="276"/>
      <c r="R371" s="276"/>
      <c r="S371" s="276"/>
      <c r="T371" s="276"/>
      <c r="U371" s="276"/>
      <c r="V371" s="276"/>
      <c r="W371" s="276"/>
      <c r="X371" s="276"/>
      <c r="Y371" s="276"/>
      <c r="Z371" s="276"/>
      <c r="AA371" s="276"/>
      <c r="AB371" s="276"/>
      <c r="AC371" s="276"/>
      <c r="AD371" s="276"/>
      <c r="AE371" s="276"/>
    </row>
    <row r="372" spans="15:31">
      <c r="O372" s="276"/>
      <c r="P372" s="276"/>
      <c r="Q372" s="276"/>
      <c r="R372" s="276"/>
      <c r="S372" s="276"/>
      <c r="T372" s="276"/>
      <c r="U372" s="276"/>
      <c r="V372" s="276"/>
      <c r="W372" s="276"/>
      <c r="X372" s="276"/>
      <c r="Y372" s="276"/>
      <c r="Z372" s="276"/>
      <c r="AA372" s="276"/>
      <c r="AB372" s="276"/>
      <c r="AC372" s="276"/>
      <c r="AD372" s="276"/>
      <c r="AE372" s="276"/>
    </row>
    <row r="373" spans="15:31">
      <c r="O373" s="276"/>
      <c r="P373" s="276"/>
      <c r="Q373" s="276"/>
      <c r="R373" s="276"/>
      <c r="S373" s="276"/>
      <c r="T373" s="276"/>
      <c r="U373" s="276"/>
      <c r="V373" s="276"/>
      <c r="W373" s="276"/>
      <c r="X373" s="276"/>
      <c r="Y373" s="276"/>
      <c r="Z373" s="276"/>
      <c r="AA373" s="276"/>
      <c r="AB373" s="276"/>
      <c r="AC373" s="276"/>
      <c r="AD373" s="276"/>
      <c r="AE373" s="276"/>
    </row>
    <row r="374" spans="15:31">
      <c r="O374" s="276"/>
      <c r="P374" s="276"/>
      <c r="Q374" s="276"/>
      <c r="R374" s="276"/>
      <c r="S374" s="276"/>
      <c r="T374" s="276"/>
      <c r="U374" s="276"/>
      <c r="V374" s="276"/>
      <c r="W374" s="276"/>
      <c r="X374" s="276"/>
      <c r="Y374" s="276"/>
      <c r="Z374" s="276"/>
      <c r="AA374" s="276"/>
      <c r="AB374" s="276"/>
      <c r="AC374" s="276"/>
      <c r="AD374" s="276"/>
      <c r="AE374" s="276"/>
    </row>
    <row r="375" spans="15:31">
      <c r="O375" s="276"/>
      <c r="P375" s="276"/>
      <c r="Q375" s="276"/>
      <c r="R375" s="276"/>
      <c r="S375" s="276"/>
      <c r="T375" s="276"/>
      <c r="U375" s="276"/>
      <c r="V375" s="276"/>
      <c r="W375" s="276"/>
      <c r="X375" s="276"/>
      <c r="Y375" s="276"/>
      <c r="Z375" s="276"/>
      <c r="AA375" s="276"/>
      <c r="AB375" s="276"/>
      <c r="AC375" s="276"/>
      <c r="AD375" s="276"/>
      <c r="AE375" s="276"/>
    </row>
    <row r="376" spans="15:31">
      <c r="O376" s="276"/>
      <c r="P376" s="276"/>
      <c r="Q376" s="276"/>
      <c r="R376" s="276"/>
      <c r="S376" s="276"/>
      <c r="T376" s="276"/>
      <c r="U376" s="276"/>
      <c r="V376" s="276"/>
      <c r="W376" s="276"/>
      <c r="X376" s="276"/>
      <c r="Y376" s="276"/>
      <c r="Z376" s="276"/>
      <c r="AA376" s="276"/>
      <c r="AB376" s="276"/>
      <c r="AC376" s="276"/>
      <c r="AD376" s="276"/>
      <c r="AE376" s="276"/>
    </row>
    <row r="377" spans="15:31">
      <c r="O377" s="276"/>
      <c r="P377" s="276"/>
      <c r="Q377" s="276"/>
      <c r="R377" s="276"/>
      <c r="S377" s="276"/>
      <c r="T377" s="276"/>
      <c r="U377" s="276"/>
      <c r="V377" s="276"/>
      <c r="W377" s="276"/>
      <c r="X377" s="276"/>
      <c r="Y377" s="276"/>
      <c r="Z377" s="276"/>
      <c r="AA377" s="276"/>
      <c r="AB377" s="276"/>
      <c r="AC377" s="276"/>
      <c r="AD377" s="276"/>
      <c r="AE377" s="276"/>
    </row>
    <row r="378" spans="15:31">
      <c r="O378" s="276"/>
      <c r="P378" s="276"/>
      <c r="Q378" s="276"/>
      <c r="R378" s="276"/>
      <c r="S378" s="276"/>
      <c r="T378" s="276"/>
      <c r="U378" s="276"/>
      <c r="V378" s="276"/>
      <c r="W378" s="276"/>
      <c r="X378" s="276"/>
      <c r="Y378" s="276"/>
      <c r="Z378" s="276"/>
      <c r="AA378" s="276"/>
      <c r="AB378" s="276"/>
      <c r="AC378" s="276"/>
      <c r="AD378" s="276"/>
      <c r="AE378" s="276"/>
    </row>
    <row r="379" spans="15:31">
      <c r="O379" s="276"/>
      <c r="P379" s="276"/>
      <c r="Q379" s="276"/>
      <c r="R379" s="276"/>
      <c r="S379" s="276"/>
      <c r="T379" s="276"/>
      <c r="U379" s="276"/>
      <c r="V379" s="276"/>
      <c r="W379" s="276"/>
      <c r="X379" s="276"/>
      <c r="Y379" s="276"/>
      <c r="Z379" s="276"/>
      <c r="AA379" s="276"/>
      <c r="AB379" s="276"/>
      <c r="AC379" s="276"/>
      <c r="AD379" s="276"/>
      <c r="AE379" s="276"/>
    </row>
    <row r="380" spans="15:31">
      <c r="O380" s="276"/>
      <c r="P380" s="276"/>
      <c r="Q380" s="276"/>
      <c r="R380" s="276"/>
      <c r="S380" s="276"/>
      <c r="T380" s="276"/>
      <c r="U380" s="276"/>
      <c r="V380" s="276"/>
      <c r="W380" s="276"/>
      <c r="X380" s="276"/>
      <c r="Y380" s="276"/>
      <c r="Z380" s="276"/>
      <c r="AA380" s="276"/>
      <c r="AB380" s="276"/>
      <c r="AC380" s="276"/>
      <c r="AD380" s="276"/>
      <c r="AE380" s="276"/>
    </row>
    <row r="381" spans="15:31">
      <c r="O381" s="276"/>
      <c r="P381" s="276"/>
      <c r="Q381" s="276"/>
      <c r="R381" s="276"/>
      <c r="S381" s="276"/>
      <c r="T381" s="276"/>
      <c r="U381" s="276"/>
      <c r="V381" s="276"/>
      <c r="W381" s="276"/>
      <c r="X381" s="276"/>
      <c r="Y381" s="276"/>
      <c r="Z381" s="276"/>
      <c r="AA381" s="276"/>
      <c r="AB381" s="276"/>
      <c r="AC381" s="276"/>
      <c r="AD381" s="276"/>
      <c r="AE381" s="276"/>
    </row>
    <row r="382" spans="15:31">
      <c r="O382" s="276"/>
      <c r="P382" s="276"/>
      <c r="Q382" s="276"/>
      <c r="R382" s="276"/>
      <c r="S382" s="276"/>
      <c r="T382" s="276"/>
      <c r="U382" s="276"/>
      <c r="V382" s="276"/>
      <c r="W382" s="276"/>
      <c r="X382" s="276"/>
      <c r="Y382" s="276"/>
      <c r="Z382" s="276"/>
      <c r="AA382" s="276"/>
      <c r="AB382" s="276"/>
      <c r="AC382" s="276"/>
      <c r="AD382" s="276"/>
      <c r="AE382" s="276"/>
    </row>
    <row r="383" spans="15:31">
      <c r="O383" s="276"/>
      <c r="P383" s="276"/>
      <c r="Q383" s="276"/>
      <c r="R383" s="276"/>
      <c r="S383" s="276"/>
      <c r="T383" s="276"/>
      <c r="U383" s="276"/>
      <c r="V383" s="276"/>
      <c r="W383" s="276"/>
      <c r="X383" s="276"/>
      <c r="Y383" s="276"/>
      <c r="Z383" s="276"/>
      <c r="AA383" s="276"/>
      <c r="AB383" s="276"/>
      <c r="AC383" s="276"/>
      <c r="AD383" s="276"/>
      <c r="AE383" s="276"/>
    </row>
    <row r="384" spans="15:31">
      <c r="O384" s="276"/>
      <c r="P384" s="276"/>
      <c r="Q384" s="276"/>
      <c r="R384" s="276"/>
      <c r="S384" s="276"/>
      <c r="T384" s="276"/>
      <c r="U384" s="276"/>
      <c r="V384" s="276"/>
      <c r="W384" s="276"/>
      <c r="X384" s="276"/>
      <c r="Y384" s="276"/>
      <c r="Z384" s="276"/>
      <c r="AA384" s="276"/>
      <c r="AB384" s="276"/>
      <c r="AC384" s="276"/>
      <c r="AD384" s="276"/>
      <c r="AE384" s="276"/>
    </row>
    <row r="385" spans="15:31">
      <c r="O385" s="276"/>
      <c r="P385" s="276"/>
      <c r="Q385" s="276"/>
      <c r="R385" s="276"/>
      <c r="S385" s="276"/>
      <c r="T385" s="276"/>
      <c r="U385" s="276"/>
      <c r="V385" s="276"/>
      <c r="W385" s="276"/>
      <c r="X385" s="276"/>
      <c r="Y385" s="276"/>
      <c r="Z385" s="276"/>
      <c r="AA385" s="276"/>
      <c r="AB385" s="276"/>
      <c r="AC385" s="276"/>
      <c r="AD385" s="276"/>
      <c r="AE385" s="276"/>
    </row>
    <row r="386" spans="15:31">
      <c r="O386" s="276"/>
      <c r="P386" s="276"/>
      <c r="Q386" s="276"/>
      <c r="R386" s="276"/>
      <c r="S386" s="276"/>
      <c r="T386" s="276"/>
      <c r="U386" s="276"/>
      <c r="V386" s="276"/>
      <c r="W386" s="276"/>
      <c r="X386" s="276"/>
      <c r="Y386" s="276"/>
      <c r="Z386" s="276"/>
      <c r="AA386" s="276"/>
      <c r="AB386" s="276"/>
      <c r="AC386" s="276"/>
      <c r="AD386" s="276"/>
      <c r="AE386" s="276"/>
    </row>
    <row r="387" spans="15:31">
      <c r="O387" s="276"/>
      <c r="P387" s="276"/>
      <c r="Q387" s="276"/>
      <c r="R387" s="276"/>
      <c r="S387" s="276"/>
      <c r="T387" s="276"/>
      <c r="U387" s="276"/>
      <c r="V387" s="276"/>
      <c r="W387" s="276"/>
      <c r="X387" s="276"/>
      <c r="Y387" s="276"/>
      <c r="Z387" s="276"/>
      <c r="AA387" s="276"/>
      <c r="AB387" s="276"/>
      <c r="AC387" s="276"/>
      <c r="AD387" s="276"/>
      <c r="AE387" s="276"/>
    </row>
    <row r="388" spans="15:31">
      <c r="O388" s="276"/>
      <c r="P388" s="276"/>
      <c r="Q388" s="276"/>
      <c r="R388" s="276"/>
      <c r="S388" s="276"/>
      <c r="T388" s="276"/>
      <c r="U388" s="276"/>
      <c r="V388" s="276"/>
      <c r="W388" s="276"/>
      <c r="X388" s="276"/>
      <c r="Y388" s="276"/>
      <c r="Z388" s="276"/>
      <c r="AA388" s="276"/>
      <c r="AB388" s="276"/>
      <c r="AC388" s="276"/>
      <c r="AD388" s="276"/>
      <c r="AE388" s="276"/>
    </row>
    <row r="389" spans="15:31">
      <c r="O389" s="276"/>
      <c r="P389" s="276"/>
      <c r="Q389" s="276"/>
      <c r="R389" s="276"/>
      <c r="S389" s="276"/>
      <c r="T389" s="276"/>
      <c r="U389" s="276"/>
      <c r="V389" s="276"/>
      <c r="W389" s="276"/>
      <c r="X389" s="276"/>
      <c r="Y389" s="276"/>
      <c r="Z389" s="276"/>
      <c r="AA389" s="276"/>
      <c r="AB389" s="276"/>
      <c r="AC389" s="276"/>
      <c r="AD389" s="276"/>
      <c r="AE389" s="276"/>
    </row>
    <row r="390" spans="15:31">
      <c r="O390" s="276"/>
      <c r="P390" s="276"/>
      <c r="Q390" s="276"/>
      <c r="R390" s="276"/>
      <c r="S390" s="276"/>
      <c r="T390" s="276"/>
      <c r="U390" s="276"/>
      <c r="V390" s="276"/>
      <c r="W390" s="276"/>
      <c r="X390" s="276"/>
      <c r="Y390" s="276"/>
      <c r="Z390" s="276"/>
      <c r="AA390" s="276"/>
      <c r="AB390" s="276"/>
      <c r="AC390" s="276"/>
      <c r="AD390" s="276"/>
      <c r="AE390" s="276"/>
    </row>
    <row r="391" spans="15:31">
      <c r="O391" s="276"/>
      <c r="P391" s="276"/>
      <c r="Q391" s="276"/>
      <c r="R391" s="276"/>
      <c r="S391" s="276"/>
      <c r="T391" s="276"/>
      <c r="U391" s="276"/>
      <c r="V391" s="276"/>
      <c r="W391" s="276"/>
      <c r="X391" s="276"/>
      <c r="Y391" s="276"/>
      <c r="Z391" s="276"/>
      <c r="AA391" s="276"/>
      <c r="AB391" s="276"/>
      <c r="AC391" s="276"/>
      <c r="AD391" s="276"/>
      <c r="AE391" s="276"/>
    </row>
    <row r="392" spans="15:31">
      <c r="O392" s="276"/>
      <c r="P392" s="276"/>
      <c r="Q392" s="276"/>
      <c r="R392" s="276"/>
      <c r="S392" s="276"/>
      <c r="T392" s="276"/>
      <c r="U392" s="276"/>
      <c r="V392" s="276"/>
      <c r="W392" s="276"/>
      <c r="X392" s="276"/>
      <c r="Y392" s="276"/>
      <c r="Z392" s="276"/>
      <c r="AA392" s="276"/>
      <c r="AB392" s="276"/>
      <c r="AC392" s="276"/>
      <c r="AD392" s="276"/>
      <c r="AE392" s="276"/>
    </row>
    <row r="393" spans="15:31">
      <c r="O393" s="276"/>
      <c r="P393" s="276"/>
      <c r="Q393" s="276"/>
      <c r="R393" s="276"/>
      <c r="S393" s="276"/>
      <c r="T393" s="276"/>
      <c r="U393" s="276"/>
      <c r="V393" s="276"/>
      <c r="W393" s="276"/>
      <c r="X393" s="276"/>
      <c r="Y393" s="276"/>
      <c r="Z393" s="276"/>
      <c r="AA393" s="276"/>
      <c r="AB393" s="276"/>
      <c r="AC393" s="276"/>
      <c r="AD393" s="276"/>
      <c r="AE393" s="276"/>
    </row>
    <row r="394" spans="15:31">
      <c r="O394" s="276"/>
      <c r="P394" s="276"/>
      <c r="Q394" s="276"/>
      <c r="R394" s="276"/>
      <c r="S394" s="276"/>
      <c r="T394" s="276"/>
      <c r="U394" s="276"/>
      <c r="V394" s="276"/>
      <c r="W394" s="276"/>
      <c r="X394" s="276"/>
      <c r="Y394" s="276"/>
      <c r="Z394" s="276"/>
      <c r="AA394" s="276"/>
      <c r="AB394" s="276"/>
      <c r="AC394" s="276"/>
      <c r="AD394" s="276"/>
      <c r="AE394" s="276"/>
    </row>
    <row r="395" spans="15:31">
      <c r="O395" s="276"/>
      <c r="P395" s="276"/>
      <c r="Q395" s="276"/>
      <c r="R395" s="276"/>
      <c r="S395" s="276"/>
      <c r="T395" s="276"/>
      <c r="U395" s="276"/>
      <c r="V395" s="276"/>
      <c r="W395" s="276"/>
      <c r="X395" s="276"/>
      <c r="Y395" s="276"/>
      <c r="Z395" s="276"/>
      <c r="AA395" s="276"/>
      <c r="AB395" s="276"/>
      <c r="AC395" s="276"/>
      <c r="AD395" s="276"/>
      <c r="AE395" s="276"/>
    </row>
    <row r="396" spans="15:31">
      <c r="O396" s="276"/>
      <c r="P396" s="276"/>
      <c r="Q396" s="276"/>
      <c r="R396" s="276"/>
      <c r="S396" s="276"/>
      <c r="T396" s="276"/>
      <c r="U396" s="276"/>
      <c r="V396" s="276"/>
      <c r="W396" s="276"/>
      <c r="X396" s="276"/>
      <c r="Y396" s="276"/>
      <c r="Z396" s="276"/>
      <c r="AA396" s="276"/>
      <c r="AB396" s="276"/>
      <c r="AC396" s="276"/>
      <c r="AD396" s="276"/>
      <c r="AE396" s="276"/>
    </row>
    <row r="397" spans="15:31">
      <c r="O397" s="276"/>
      <c r="P397" s="276"/>
      <c r="Q397" s="276"/>
      <c r="R397" s="276"/>
      <c r="S397" s="276"/>
      <c r="T397" s="276"/>
      <c r="U397" s="276"/>
      <c r="V397" s="276"/>
      <c r="W397" s="276"/>
      <c r="X397" s="276"/>
      <c r="Y397" s="276"/>
      <c r="Z397" s="276"/>
      <c r="AA397" s="276"/>
      <c r="AB397" s="276"/>
      <c r="AC397" s="276"/>
      <c r="AD397" s="276"/>
      <c r="AE397" s="276"/>
    </row>
    <row r="398" spans="15:31">
      <c r="O398" s="276"/>
      <c r="P398" s="276"/>
      <c r="Q398" s="276"/>
      <c r="R398" s="276"/>
      <c r="S398" s="276"/>
      <c r="T398" s="276"/>
      <c r="U398" s="276"/>
      <c r="V398" s="276"/>
      <c r="W398" s="276"/>
      <c r="X398" s="276"/>
      <c r="Y398" s="276"/>
      <c r="Z398" s="276"/>
      <c r="AA398" s="276"/>
      <c r="AB398" s="276"/>
      <c r="AC398" s="276"/>
      <c r="AD398" s="276"/>
      <c r="AE398" s="276"/>
    </row>
    <row r="399" spans="15:31">
      <c r="O399" s="276"/>
      <c r="P399" s="276"/>
      <c r="Q399" s="276"/>
      <c r="R399" s="276"/>
      <c r="S399" s="276"/>
      <c r="T399" s="276"/>
      <c r="U399" s="276"/>
      <c r="V399" s="276"/>
      <c r="W399" s="276"/>
      <c r="X399" s="276"/>
      <c r="Y399" s="276"/>
      <c r="Z399" s="276"/>
      <c r="AA399" s="276"/>
      <c r="AB399" s="276"/>
      <c r="AC399" s="276"/>
      <c r="AD399" s="276"/>
      <c r="AE399" s="276"/>
    </row>
    <row r="400" spans="15:31">
      <c r="O400" s="276"/>
      <c r="P400" s="276"/>
      <c r="Q400" s="276"/>
      <c r="R400" s="276"/>
      <c r="S400" s="276"/>
      <c r="T400" s="276"/>
      <c r="U400" s="276"/>
      <c r="V400" s="276"/>
      <c r="W400" s="276"/>
      <c r="X400" s="276"/>
      <c r="Y400" s="276"/>
      <c r="Z400" s="276"/>
      <c r="AA400" s="276"/>
      <c r="AB400" s="276"/>
      <c r="AC400" s="276"/>
      <c r="AD400" s="276"/>
      <c r="AE400" s="276"/>
    </row>
    <row r="401" spans="15:31">
      <c r="O401" s="276"/>
      <c r="P401" s="276"/>
      <c r="Q401" s="276"/>
      <c r="R401" s="276"/>
      <c r="S401" s="276"/>
      <c r="T401" s="276"/>
      <c r="U401" s="276"/>
      <c r="V401" s="276"/>
      <c r="W401" s="276"/>
      <c r="X401" s="276"/>
      <c r="Y401" s="276"/>
      <c r="Z401" s="276"/>
      <c r="AA401" s="276"/>
      <c r="AB401" s="276"/>
      <c r="AC401" s="276"/>
      <c r="AD401" s="276"/>
      <c r="AE401" s="276"/>
    </row>
    <row r="402" spans="15:31">
      <c r="O402" s="276"/>
      <c r="P402" s="276"/>
      <c r="Q402" s="276"/>
      <c r="R402" s="276"/>
      <c r="S402" s="276"/>
      <c r="T402" s="276"/>
      <c r="U402" s="276"/>
      <c r="V402" s="276"/>
      <c r="W402" s="276"/>
      <c r="X402" s="276"/>
      <c r="Y402" s="276"/>
      <c r="Z402" s="276"/>
      <c r="AA402" s="276"/>
      <c r="AB402" s="276"/>
      <c r="AC402" s="276"/>
      <c r="AD402" s="276"/>
      <c r="AE402" s="276"/>
    </row>
    <row r="403" spans="15:31">
      <c r="O403" s="276"/>
      <c r="P403" s="276"/>
      <c r="Q403" s="276"/>
      <c r="R403" s="276"/>
      <c r="S403" s="276"/>
      <c r="T403" s="276"/>
      <c r="U403" s="276"/>
      <c r="V403" s="276"/>
      <c r="W403" s="276"/>
      <c r="X403" s="276"/>
      <c r="Y403" s="276"/>
      <c r="Z403" s="276"/>
      <c r="AA403" s="276"/>
      <c r="AB403" s="276"/>
      <c r="AC403" s="276"/>
      <c r="AD403" s="276"/>
      <c r="AE403" s="276"/>
    </row>
    <row r="404" spans="15:31">
      <c r="O404" s="276"/>
      <c r="P404" s="276"/>
      <c r="Q404" s="276"/>
      <c r="R404" s="276"/>
      <c r="S404" s="276"/>
      <c r="T404" s="276"/>
      <c r="U404" s="276"/>
      <c r="V404" s="276"/>
      <c r="W404" s="276"/>
      <c r="X404" s="276"/>
      <c r="Y404" s="276"/>
      <c r="Z404" s="276"/>
      <c r="AA404" s="276"/>
      <c r="AB404" s="276"/>
      <c r="AC404" s="276"/>
      <c r="AD404" s="276"/>
      <c r="AE404" s="276"/>
    </row>
    <row r="405" spans="15:31">
      <c r="O405" s="276"/>
      <c r="P405" s="276"/>
      <c r="Q405" s="276"/>
      <c r="R405" s="276"/>
      <c r="S405" s="276"/>
      <c r="T405" s="276"/>
      <c r="U405" s="276"/>
      <c r="V405" s="276"/>
      <c r="W405" s="276"/>
      <c r="X405" s="276"/>
      <c r="Y405" s="276"/>
      <c r="Z405" s="276"/>
      <c r="AA405" s="276"/>
      <c r="AB405" s="276"/>
      <c r="AC405" s="276"/>
      <c r="AD405" s="276"/>
      <c r="AE405" s="276"/>
    </row>
    <row r="406" spans="15:31">
      <c r="O406" s="276"/>
      <c r="P406" s="276"/>
      <c r="Q406" s="276"/>
      <c r="R406" s="276"/>
      <c r="S406" s="276"/>
      <c r="T406" s="276"/>
      <c r="U406" s="276"/>
      <c r="V406" s="276"/>
      <c r="W406" s="276"/>
      <c r="X406" s="276"/>
      <c r="Y406" s="276"/>
      <c r="Z406" s="276"/>
      <c r="AA406" s="276"/>
      <c r="AB406" s="276"/>
      <c r="AC406" s="276"/>
      <c r="AD406" s="276"/>
      <c r="AE406" s="276"/>
    </row>
    <row r="407" spans="15:31">
      <c r="O407" s="276"/>
      <c r="P407" s="276"/>
      <c r="Q407" s="276"/>
      <c r="R407" s="276"/>
      <c r="S407" s="276"/>
      <c r="T407" s="276"/>
      <c r="U407" s="276"/>
      <c r="V407" s="276"/>
      <c r="W407" s="276"/>
      <c r="X407" s="276"/>
      <c r="Y407" s="276"/>
      <c r="Z407" s="276"/>
      <c r="AA407" s="276"/>
      <c r="AB407" s="276"/>
      <c r="AC407" s="276"/>
      <c r="AD407" s="276"/>
      <c r="AE407" s="276"/>
    </row>
    <row r="408" spans="15:31">
      <c r="O408" s="276"/>
      <c r="P408" s="276"/>
      <c r="Q408" s="276"/>
      <c r="R408" s="276"/>
      <c r="S408" s="276"/>
      <c r="T408" s="276"/>
      <c r="U408" s="276"/>
      <c r="V408" s="276"/>
      <c r="W408" s="276"/>
      <c r="X408" s="276"/>
      <c r="Y408" s="276"/>
      <c r="Z408" s="276"/>
      <c r="AA408" s="276"/>
      <c r="AB408" s="276"/>
      <c r="AC408" s="276"/>
      <c r="AD408" s="276"/>
      <c r="AE408" s="276"/>
    </row>
    <row r="409" spans="15:31">
      <c r="O409" s="276"/>
      <c r="P409" s="276"/>
      <c r="Q409" s="276"/>
      <c r="R409" s="276"/>
      <c r="S409" s="276"/>
      <c r="T409" s="276"/>
      <c r="U409" s="276"/>
      <c r="V409" s="276"/>
      <c r="W409" s="276"/>
      <c r="X409" s="276"/>
      <c r="Y409" s="276"/>
      <c r="Z409" s="276"/>
      <c r="AA409" s="276"/>
      <c r="AB409" s="276"/>
      <c r="AC409" s="276"/>
      <c r="AD409" s="276"/>
      <c r="AE409" s="276"/>
    </row>
    <row r="410" spans="15:31">
      <c r="O410" s="276"/>
      <c r="P410" s="276"/>
      <c r="Q410" s="276"/>
      <c r="R410" s="276"/>
      <c r="S410" s="276"/>
      <c r="T410" s="276"/>
      <c r="U410" s="276"/>
      <c r="V410" s="276"/>
      <c r="W410" s="276"/>
      <c r="X410" s="276"/>
      <c r="Y410" s="276"/>
      <c r="Z410" s="276"/>
      <c r="AA410" s="276"/>
      <c r="AB410" s="276"/>
      <c r="AC410" s="276"/>
      <c r="AD410" s="276"/>
      <c r="AE410" s="276"/>
    </row>
    <row r="411" spans="15:31">
      <c r="O411" s="276"/>
      <c r="P411" s="276"/>
      <c r="Q411" s="276"/>
      <c r="R411" s="276"/>
      <c r="S411" s="276"/>
      <c r="T411" s="276"/>
      <c r="U411" s="276"/>
      <c r="V411" s="276"/>
      <c r="W411" s="276"/>
      <c r="X411" s="276"/>
      <c r="Y411" s="276"/>
      <c r="Z411" s="276"/>
      <c r="AA411" s="276"/>
      <c r="AB411" s="276"/>
      <c r="AC411" s="276"/>
      <c r="AD411" s="276"/>
      <c r="AE411" s="276"/>
    </row>
    <row r="412" spans="15:31">
      <c r="O412" s="276"/>
      <c r="P412" s="276"/>
      <c r="Q412" s="276"/>
      <c r="R412" s="276"/>
      <c r="S412" s="276"/>
      <c r="T412" s="276"/>
      <c r="U412" s="276"/>
      <c r="V412" s="276"/>
      <c r="W412" s="276"/>
      <c r="X412" s="276"/>
      <c r="Y412" s="276"/>
      <c r="Z412" s="276"/>
      <c r="AA412" s="276"/>
      <c r="AB412" s="276"/>
      <c r="AC412" s="276"/>
      <c r="AD412" s="276"/>
      <c r="AE412" s="276"/>
    </row>
    <row r="413" spans="15:31">
      <c r="O413" s="276"/>
      <c r="P413" s="276"/>
      <c r="Q413" s="276"/>
      <c r="R413" s="276"/>
      <c r="S413" s="276"/>
      <c r="T413" s="276"/>
      <c r="U413" s="276"/>
      <c r="V413" s="276"/>
      <c r="W413" s="276"/>
      <c r="X413" s="276"/>
      <c r="Y413" s="276"/>
      <c r="Z413" s="276"/>
      <c r="AA413" s="276"/>
      <c r="AB413" s="276"/>
      <c r="AC413" s="276"/>
      <c r="AD413" s="276"/>
      <c r="AE413" s="276"/>
    </row>
    <row r="414" spans="15:31">
      <c r="O414" s="276"/>
      <c r="P414" s="276"/>
      <c r="Q414" s="276"/>
      <c r="R414" s="276"/>
      <c r="S414" s="276"/>
      <c r="T414" s="276"/>
      <c r="U414" s="276"/>
      <c r="V414" s="276"/>
      <c r="W414" s="276"/>
      <c r="X414" s="276"/>
      <c r="Y414" s="276"/>
      <c r="Z414" s="276"/>
      <c r="AA414" s="276"/>
      <c r="AB414" s="276"/>
      <c r="AC414" s="276"/>
      <c r="AD414" s="276"/>
      <c r="AE414" s="276"/>
    </row>
    <row r="415" spans="15:31">
      <c r="O415" s="276"/>
      <c r="P415" s="276"/>
      <c r="Q415" s="276"/>
      <c r="R415" s="276"/>
      <c r="S415" s="276"/>
      <c r="T415" s="276"/>
      <c r="U415" s="276"/>
      <c r="V415" s="276"/>
      <c r="W415" s="276"/>
      <c r="X415" s="276"/>
      <c r="Y415" s="276"/>
      <c r="Z415" s="276"/>
      <c r="AA415" s="276"/>
      <c r="AB415" s="276"/>
      <c r="AC415" s="276"/>
      <c r="AD415" s="276"/>
      <c r="AE415" s="276"/>
    </row>
    <row r="416" spans="15:31">
      <c r="O416" s="276"/>
      <c r="P416" s="276"/>
      <c r="Q416" s="276"/>
      <c r="R416" s="276"/>
      <c r="S416" s="276"/>
      <c r="T416" s="276"/>
      <c r="U416" s="276"/>
      <c r="V416" s="276"/>
      <c r="W416" s="276"/>
      <c r="X416" s="276"/>
      <c r="Y416" s="276"/>
      <c r="Z416" s="276"/>
      <c r="AA416" s="276"/>
      <c r="AB416" s="276"/>
      <c r="AC416" s="276"/>
      <c r="AD416" s="276"/>
      <c r="AE416" s="276"/>
    </row>
    <row r="417" spans="15:31">
      <c r="O417" s="276"/>
      <c r="P417" s="276"/>
      <c r="Q417" s="276"/>
      <c r="R417" s="276"/>
      <c r="S417" s="276"/>
      <c r="T417" s="276"/>
      <c r="U417" s="276"/>
      <c r="V417" s="276"/>
      <c r="W417" s="276"/>
      <c r="X417" s="276"/>
      <c r="Y417" s="276"/>
      <c r="Z417" s="276"/>
      <c r="AA417" s="276"/>
      <c r="AB417" s="276"/>
      <c r="AC417" s="276"/>
      <c r="AD417" s="276"/>
      <c r="AE417" s="276"/>
    </row>
    <row r="418" spans="15:31">
      <c r="O418" s="276"/>
      <c r="P418" s="276"/>
      <c r="Q418" s="276"/>
      <c r="R418" s="276"/>
      <c r="S418" s="276"/>
      <c r="T418" s="276"/>
      <c r="U418" s="276"/>
      <c r="V418" s="276"/>
      <c r="W418" s="276"/>
      <c r="X418" s="276"/>
      <c r="Y418" s="276"/>
      <c r="Z418" s="276"/>
      <c r="AA418" s="276"/>
      <c r="AB418" s="276"/>
      <c r="AC418" s="276"/>
      <c r="AD418" s="276"/>
      <c r="AE418" s="276"/>
    </row>
    <row r="419" spans="15:31">
      <c r="O419" s="276"/>
      <c r="P419" s="276"/>
      <c r="Q419" s="276"/>
      <c r="R419" s="276"/>
      <c r="S419" s="276"/>
      <c r="T419" s="276"/>
      <c r="U419" s="276"/>
      <c r="V419" s="276"/>
      <c r="W419" s="276"/>
      <c r="X419" s="276"/>
      <c r="Y419" s="276"/>
      <c r="Z419" s="276"/>
      <c r="AA419" s="276"/>
      <c r="AB419" s="276"/>
      <c r="AC419" s="276"/>
      <c r="AD419" s="276"/>
      <c r="AE419" s="276"/>
    </row>
    <row r="420" spans="15:31">
      <c r="O420" s="276"/>
      <c r="P420" s="276"/>
      <c r="Q420" s="276"/>
      <c r="R420" s="276"/>
      <c r="S420" s="276"/>
      <c r="T420" s="276"/>
      <c r="U420" s="276"/>
      <c r="V420" s="276"/>
      <c r="W420" s="276"/>
      <c r="X420" s="276"/>
      <c r="Y420" s="276"/>
      <c r="Z420" s="276"/>
      <c r="AA420" s="276"/>
      <c r="AB420" s="276"/>
      <c r="AC420" s="276"/>
      <c r="AD420" s="276"/>
      <c r="AE420" s="276"/>
    </row>
    <row r="421" spans="15:31">
      <c r="O421" s="276"/>
      <c r="P421" s="276"/>
      <c r="Q421" s="276"/>
      <c r="R421" s="276"/>
      <c r="S421" s="276"/>
      <c r="T421" s="276"/>
      <c r="U421" s="276"/>
      <c r="V421" s="276"/>
      <c r="W421" s="276"/>
      <c r="X421" s="276"/>
      <c r="Y421" s="276"/>
      <c r="Z421" s="276"/>
      <c r="AA421" s="276"/>
      <c r="AB421" s="276"/>
      <c r="AC421" s="276"/>
      <c r="AD421" s="276"/>
      <c r="AE421" s="276"/>
    </row>
    <row r="422" spans="15:31">
      <c r="O422" s="276"/>
      <c r="P422" s="276"/>
      <c r="Q422" s="276"/>
      <c r="R422" s="276"/>
      <c r="S422" s="276"/>
      <c r="T422" s="276"/>
      <c r="U422" s="276"/>
      <c r="V422" s="276"/>
      <c r="W422" s="276"/>
      <c r="X422" s="276"/>
      <c r="Y422" s="276"/>
      <c r="Z422" s="276"/>
      <c r="AA422" s="276"/>
      <c r="AB422" s="276"/>
      <c r="AC422" s="276"/>
      <c r="AD422" s="276"/>
      <c r="AE422" s="276"/>
    </row>
    <row r="423" spans="15:31">
      <c r="O423" s="276"/>
      <c r="P423" s="276"/>
      <c r="Q423" s="276"/>
      <c r="R423" s="276"/>
      <c r="S423" s="276"/>
      <c r="T423" s="276"/>
      <c r="U423" s="276"/>
      <c r="V423" s="276"/>
      <c r="W423" s="276"/>
      <c r="X423" s="276"/>
      <c r="Y423" s="276"/>
      <c r="Z423" s="276"/>
      <c r="AA423" s="276"/>
      <c r="AB423" s="276"/>
      <c r="AC423" s="276"/>
      <c r="AD423" s="276"/>
      <c r="AE423" s="276"/>
    </row>
    <row r="424" spans="15:31">
      <c r="O424" s="276"/>
      <c r="P424" s="276"/>
      <c r="Q424" s="276"/>
      <c r="R424" s="276"/>
      <c r="S424" s="276"/>
      <c r="T424" s="276"/>
      <c r="U424" s="276"/>
      <c r="V424" s="276"/>
      <c r="W424" s="276"/>
      <c r="X424" s="276"/>
      <c r="Y424" s="276"/>
      <c r="Z424" s="276"/>
      <c r="AA424" s="276"/>
      <c r="AB424" s="276"/>
      <c r="AC424" s="276"/>
      <c r="AD424" s="276"/>
      <c r="AE424" s="276"/>
    </row>
    <row r="425" spans="15:31">
      <c r="O425" s="276"/>
      <c r="P425" s="276"/>
      <c r="Q425" s="276"/>
      <c r="R425" s="276"/>
      <c r="S425" s="276"/>
      <c r="T425" s="276"/>
      <c r="U425" s="276"/>
      <c r="V425" s="276"/>
      <c r="W425" s="276"/>
      <c r="X425" s="276"/>
      <c r="Y425" s="276"/>
      <c r="Z425" s="276"/>
      <c r="AA425" s="276"/>
      <c r="AB425" s="276"/>
      <c r="AC425" s="276"/>
      <c r="AD425" s="276"/>
      <c r="AE425" s="276"/>
    </row>
    <row r="426" spans="15:31">
      <c r="O426" s="276"/>
      <c r="P426" s="276"/>
      <c r="Q426" s="276"/>
      <c r="R426" s="276"/>
      <c r="S426" s="276"/>
      <c r="T426" s="276"/>
      <c r="U426" s="276"/>
      <c r="V426" s="276"/>
      <c r="W426" s="276"/>
      <c r="X426" s="276"/>
      <c r="Y426" s="276"/>
      <c r="Z426" s="276"/>
      <c r="AA426" s="276"/>
      <c r="AB426" s="276"/>
      <c r="AC426" s="276"/>
      <c r="AD426" s="276"/>
      <c r="AE426" s="276"/>
    </row>
    <row r="427" spans="15:31">
      <c r="O427" s="276"/>
      <c r="P427" s="276"/>
      <c r="Q427" s="276"/>
      <c r="R427" s="276"/>
      <c r="S427" s="276"/>
      <c r="T427" s="276"/>
      <c r="U427" s="276"/>
      <c r="V427" s="276"/>
      <c r="W427" s="276"/>
      <c r="X427" s="276"/>
      <c r="Y427" s="276"/>
      <c r="Z427" s="276"/>
      <c r="AA427" s="276"/>
      <c r="AB427" s="276"/>
      <c r="AC427" s="276"/>
      <c r="AD427" s="276"/>
      <c r="AE427" s="276"/>
    </row>
    <row r="428" spans="15:31">
      <c r="O428" s="276"/>
      <c r="P428" s="276"/>
      <c r="Q428" s="276"/>
      <c r="R428" s="276"/>
      <c r="S428" s="276"/>
      <c r="T428" s="276"/>
      <c r="U428" s="276"/>
      <c r="V428" s="276"/>
      <c r="W428" s="276"/>
      <c r="X428" s="276"/>
      <c r="Y428" s="276"/>
      <c r="Z428" s="276"/>
      <c r="AA428" s="276"/>
      <c r="AB428" s="276"/>
      <c r="AC428" s="276"/>
      <c r="AD428" s="276"/>
      <c r="AE428" s="276"/>
    </row>
    <row r="429" spans="15:31">
      <c r="O429" s="276"/>
      <c r="P429" s="276"/>
      <c r="Q429" s="276"/>
      <c r="R429" s="276"/>
      <c r="S429" s="276"/>
      <c r="T429" s="276"/>
      <c r="U429" s="276"/>
      <c r="V429" s="276"/>
      <c r="W429" s="276"/>
      <c r="X429" s="276"/>
      <c r="Y429" s="276"/>
      <c r="Z429" s="276"/>
      <c r="AA429" s="276"/>
      <c r="AB429" s="276"/>
      <c r="AC429" s="276"/>
      <c r="AD429" s="276"/>
      <c r="AE429" s="276"/>
    </row>
    <row r="430" spans="15:31">
      <c r="O430" s="276"/>
      <c r="P430" s="276"/>
      <c r="Q430" s="276"/>
      <c r="R430" s="276"/>
      <c r="S430" s="276"/>
      <c r="T430" s="276"/>
      <c r="U430" s="276"/>
      <c r="V430" s="276"/>
      <c r="W430" s="276"/>
      <c r="X430" s="276"/>
      <c r="Y430" s="276"/>
      <c r="Z430" s="276"/>
      <c r="AA430" s="276"/>
      <c r="AB430" s="276"/>
      <c r="AC430" s="276"/>
      <c r="AD430" s="276"/>
      <c r="AE430" s="276"/>
    </row>
    <row r="431" spans="15:31">
      <c r="O431" s="276"/>
      <c r="P431" s="276"/>
      <c r="Q431" s="276"/>
      <c r="R431" s="276"/>
      <c r="S431" s="276"/>
      <c r="T431" s="276"/>
      <c r="U431" s="276"/>
      <c r="V431" s="276"/>
      <c r="W431" s="276"/>
      <c r="X431" s="276"/>
      <c r="Y431" s="276"/>
      <c r="Z431" s="276"/>
      <c r="AA431" s="276"/>
      <c r="AB431" s="276"/>
      <c r="AC431" s="276"/>
      <c r="AD431" s="276"/>
      <c r="AE431" s="276"/>
    </row>
    <row r="432" spans="15:31">
      <c r="O432" s="276"/>
      <c r="P432" s="276"/>
      <c r="Q432" s="276"/>
      <c r="R432" s="276"/>
      <c r="S432" s="276"/>
      <c r="T432" s="276"/>
      <c r="U432" s="276"/>
      <c r="V432" s="276"/>
      <c r="W432" s="276"/>
      <c r="X432" s="276"/>
      <c r="Y432" s="276"/>
      <c r="Z432" s="276"/>
      <c r="AA432" s="276"/>
      <c r="AB432" s="276"/>
      <c r="AC432" s="276"/>
      <c r="AD432" s="276"/>
      <c r="AE432" s="276"/>
    </row>
    <row r="433" spans="15:31">
      <c r="O433" s="276"/>
      <c r="P433" s="276"/>
      <c r="Q433" s="276"/>
      <c r="R433" s="276"/>
      <c r="S433" s="276"/>
      <c r="T433" s="276"/>
      <c r="U433" s="276"/>
      <c r="V433" s="276"/>
      <c r="W433" s="276"/>
      <c r="X433" s="276"/>
      <c r="Y433" s="276"/>
      <c r="Z433" s="276"/>
      <c r="AA433" s="276"/>
      <c r="AB433" s="276"/>
      <c r="AC433" s="276"/>
      <c r="AD433" s="276"/>
      <c r="AE433" s="276"/>
    </row>
    <row r="434" spans="15:31">
      <c r="O434" s="276"/>
      <c r="P434" s="276"/>
      <c r="Q434" s="276"/>
      <c r="R434" s="276"/>
      <c r="S434" s="276"/>
      <c r="T434" s="276"/>
      <c r="U434" s="276"/>
      <c r="V434" s="276"/>
      <c r="W434" s="276"/>
      <c r="X434" s="276"/>
      <c r="Y434" s="276"/>
      <c r="Z434" s="276"/>
      <c r="AA434" s="276"/>
      <c r="AB434" s="276"/>
      <c r="AC434" s="276"/>
      <c r="AD434" s="276"/>
      <c r="AE434" s="276"/>
    </row>
    <row r="435" spans="15:31">
      <c r="O435" s="276"/>
      <c r="P435" s="276"/>
      <c r="Q435" s="276"/>
      <c r="R435" s="276"/>
      <c r="S435" s="276"/>
      <c r="T435" s="276"/>
      <c r="U435" s="276"/>
      <c r="V435" s="276"/>
      <c r="W435" s="276"/>
      <c r="X435" s="276"/>
      <c r="Y435" s="276"/>
      <c r="Z435" s="276"/>
      <c r="AA435" s="276"/>
      <c r="AB435" s="276"/>
      <c r="AC435" s="276"/>
      <c r="AD435" s="276"/>
      <c r="AE435" s="276"/>
    </row>
    <row r="436" spans="15:31">
      <c r="O436" s="276"/>
      <c r="P436" s="276"/>
      <c r="Q436" s="276"/>
      <c r="R436" s="276"/>
      <c r="S436" s="276"/>
      <c r="T436" s="276"/>
      <c r="U436" s="276"/>
      <c r="V436" s="276"/>
      <c r="W436" s="276"/>
      <c r="X436" s="276"/>
      <c r="Y436" s="276"/>
      <c r="Z436" s="276"/>
      <c r="AA436" s="276"/>
      <c r="AB436" s="276"/>
      <c r="AC436" s="276"/>
      <c r="AD436" s="276"/>
      <c r="AE436" s="276"/>
    </row>
    <row r="437" spans="15:31">
      <c r="O437" s="276"/>
      <c r="P437" s="276"/>
      <c r="Q437" s="276"/>
      <c r="R437" s="276"/>
      <c r="S437" s="276"/>
      <c r="T437" s="276"/>
      <c r="U437" s="276"/>
      <c r="V437" s="276"/>
      <c r="W437" s="276"/>
      <c r="X437" s="276"/>
      <c r="Y437" s="276"/>
      <c r="Z437" s="276"/>
      <c r="AA437" s="276"/>
      <c r="AB437" s="276"/>
      <c r="AC437" s="276"/>
      <c r="AD437" s="276"/>
      <c r="AE437" s="276"/>
    </row>
    <row r="438" spans="15:31">
      <c r="O438" s="276"/>
      <c r="P438" s="276"/>
      <c r="Q438" s="276"/>
      <c r="R438" s="276"/>
      <c r="S438" s="276"/>
      <c r="T438" s="276"/>
      <c r="U438" s="276"/>
      <c r="V438" s="276"/>
      <c r="W438" s="276"/>
      <c r="X438" s="276"/>
      <c r="Y438" s="276"/>
      <c r="Z438" s="276"/>
      <c r="AA438" s="276"/>
      <c r="AB438" s="276"/>
      <c r="AC438" s="276"/>
      <c r="AD438" s="276"/>
      <c r="AE438" s="276"/>
    </row>
    <row r="439" spans="15:31">
      <c r="O439" s="276"/>
      <c r="P439" s="276"/>
      <c r="Q439" s="276"/>
      <c r="R439" s="276"/>
      <c r="S439" s="276"/>
      <c r="T439" s="276"/>
      <c r="U439" s="276"/>
      <c r="V439" s="276"/>
      <c r="W439" s="276"/>
      <c r="X439" s="276"/>
      <c r="Y439" s="276"/>
      <c r="Z439" s="276"/>
      <c r="AA439" s="276"/>
      <c r="AB439" s="276"/>
      <c r="AC439" s="276"/>
      <c r="AD439" s="276"/>
      <c r="AE439" s="276"/>
    </row>
    <row r="440" spans="15:31">
      <c r="O440" s="276"/>
      <c r="P440" s="276"/>
      <c r="Q440" s="276"/>
      <c r="R440" s="276"/>
      <c r="S440" s="276"/>
      <c r="T440" s="276"/>
      <c r="U440" s="276"/>
      <c r="V440" s="276"/>
      <c r="W440" s="276"/>
      <c r="X440" s="276"/>
      <c r="Y440" s="276"/>
      <c r="Z440" s="276"/>
      <c r="AA440" s="276"/>
      <c r="AB440" s="276"/>
      <c r="AC440" s="276"/>
      <c r="AD440" s="276"/>
      <c r="AE440" s="276"/>
    </row>
    <row r="441" spans="15:31">
      <c r="O441" s="276"/>
      <c r="P441" s="276"/>
      <c r="Q441" s="276"/>
      <c r="R441" s="276"/>
      <c r="S441" s="276"/>
      <c r="T441" s="276"/>
      <c r="U441" s="276"/>
      <c r="V441" s="276"/>
      <c r="W441" s="276"/>
      <c r="X441" s="276"/>
      <c r="Y441" s="276"/>
      <c r="Z441" s="276"/>
      <c r="AA441" s="276"/>
      <c r="AB441" s="276"/>
      <c r="AC441" s="276"/>
      <c r="AD441" s="276"/>
      <c r="AE441" s="276"/>
    </row>
    <row r="442" spans="15:31">
      <c r="O442" s="276"/>
      <c r="P442" s="276"/>
      <c r="Q442" s="276"/>
      <c r="R442" s="276"/>
      <c r="S442" s="276"/>
      <c r="T442" s="276"/>
      <c r="U442" s="276"/>
      <c r="V442" s="276"/>
      <c r="W442" s="276"/>
      <c r="X442" s="276"/>
      <c r="Y442" s="276"/>
      <c r="Z442" s="276"/>
      <c r="AA442" s="276"/>
      <c r="AB442" s="276"/>
      <c r="AC442" s="276"/>
      <c r="AD442" s="276"/>
      <c r="AE442" s="276"/>
    </row>
    <row r="443" spans="15:31">
      <c r="O443" s="276"/>
      <c r="P443" s="276"/>
      <c r="Q443" s="276"/>
      <c r="R443" s="276"/>
      <c r="S443" s="276"/>
      <c r="T443" s="276"/>
      <c r="U443" s="276"/>
      <c r="V443" s="276"/>
      <c r="W443" s="276"/>
      <c r="X443" s="276"/>
      <c r="Y443" s="276"/>
      <c r="Z443" s="276"/>
      <c r="AA443" s="276"/>
      <c r="AB443" s="276"/>
      <c r="AC443" s="276"/>
      <c r="AD443" s="276"/>
      <c r="AE443" s="276"/>
    </row>
    <row r="444" spans="15:31">
      <c r="O444" s="276"/>
      <c r="P444" s="276"/>
      <c r="Q444" s="276"/>
      <c r="R444" s="276"/>
      <c r="S444" s="276"/>
      <c r="T444" s="276"/>
      <c r="U444" s="276"/>
      <c r="V444" s="276"/>
      <c r="W444" s="276"/>
      <c r="X444" s="276"/>
      <c r="Y444" s="276"/>
      <c r="Z444" s="276"/>
      <c r="AA444" s="276"/>
      <c r="AB444" s="276"/>
      <c r="AC444" s="276"/>
      <c r="AD444" s="276"/>
      <c r="AE444" s="276"/>
    </row>
    <row r="445" spans="15:31"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</row>
    <row r="446" spans="15:31">
      <c r="O446" s="276"/>
      <c r="P446" s="276"/>
      <c r="Q446" s="276"/>
      <c r="R446" s="276"/>
      <c r="S446" s="276"/>
      <c r="T446" s="276"/>
      <c r="U446" s="276"/>
      <c r="V446" s="276"/>
      <c r="W446" s="276"/>
      <c r="X446" s="276"/>
      <c r="Y446" s="276"/>
      <c r="Z446" s="276"/>
      <c r="AA446" s="276"/>
      <c r="AB446" s="276"/>
      <c r="AC446" s="276"/>
      <c r="AD446" s="276"/>
      <c r="AE446" s="276"/>
    </row>
    <row r="447" spans="15:31">
      <c r="O447" s="276"/>
      <c r="P447" s="276"/>
      <c r="Q447" s="276"/>
      <c r="R447" s="276"/>
      <c r="S447" s="276"/>
      <c r="T447" s="276"/>
      <c r="U447" s="276"/>
      <c r="V447" s="276"/>
      <c r="W447" s="276"/>
      <c r="X447" s="276"/>
      <c r="Y447" s="276"/>
      <c r="Z447" s="276"/>
      <c r="AA447" s="276"/>
      <c r="AB447" s="276"/>
      <c r="AC447" s="276"/>
      <c r="AD447" s="276"/>
      <c r="AE447" s="276"/>
    </row>
    <row r="448" spans="15:31">
      <c r="O448" s="276"/>
      <c r="P448" s="276"/>
      <c r="Q448" s="276"/>
      <c r="R448" s="276"/>
      <c r="S448" s="276"/>
      <c r="T448" s="276"/>
      <c r="U448" s="276"/>
      <c r="V448" s="276"/>
      <c r="W448" s="276"/>
      <c r="X448" s="276"/>
      <c r="Y448" s="276"/>
      <c r="Z448" s="276"/>
      <c r="AA448" s="276"/>
      <c r="AB448" s="276"/>
      <c r="AC448" s="276"/>
      <c r="AD448" s="276"/>
      <c r="AE448" s="276"/>
    </row>
    <row r="449" spans="15:31">
      <c r="O449" s="276"/>
      <c r="P449" s="276"/>
      <c r="Q449" s="276"/>
      <c r="R449" s="276"/>
      <c r="S449" s="276"/>
      <c r="T449" s="276"/>
      <c r="U449" s="276"/>
      <c r="V449" s="276"/>
      <c r="W449" s="276"/>
      <c r="X449" s="276"/>
      <c r="Y449" s="276"/>
      <c r="Z449" s="276"/>
      <c r="AA449" s="276"/>
      <c r="AB449" s="276"/>
      <c r="AC449" s="276"/>
      <c r="AD449" s="276"/>
      <c r="AE449" s="276"/>
    </row>
    <row r="450" spans="15:31">
      <c r="O450" s="276"/>
      <c r="P450" s="276"/>
      <c r="Q450" s="276"/>
      <c r="R450" s="276"/>
      <c r="S450" s="276"/>
      <c r="T450" s="276"/>
      <c r="U450" s="276"/>
      <c r="V450" s="276"/>
      <c r="W450" s="276"/>
      <c r="X450" s="276"/>
      <c r="Y450" s="276"/>
      <c r="Z450" s="276"/>
      <c r="AA450" s="276"/>
      <c r="AB450" s="276"/>
      <c r="AC450" s="276"/>
      <c r="AD450" s="276"/>
      <c r="AE450" s="276"/>
    </row>
    <row r="451" spans="15:31">
      <c r="O451" s="276"/>
      <c r="P451" s="276"/>
      <c r="Q451" s="276"/>
      <c r="R451" s="276"/>
      <c r="S451" s="276"/>
      <c r="T451" s="276"/>
      <c r="U451" s="276"/>
      <c r="V451" s="276"/>
      <c r="W451" s="276"/>
      <c r="X451" s="276"/>
      <c r="Y451" s="276"/>
      <c r="Z451" s="276"/>
      <c r="AA451" s="276"/>
      <c r="AB451" s="276"/>
      <c r="AC451" s="276"/>
      <c r="AD451" s="276"/>
      <c r="AE451" s="276"/>
    </row>
    <row r="452" spans="15:31">
      <c r="O452" s="276"/>
      <c r="P452" s="276"/>
      <c r="Q452" s="276"/>
      <c r="R452" s="276"/>
      <c r="S452" s="276"/>
      <c r="T452" s="276"/>
      <c r="U452" s="276"/>
      <c r="V452" s="276"/>
      <c r="W452" s="276"/>
      <c r="X452" s="276"/>
      <c r="Y452" s="276"/>
      <c r="Z452" s="276"/>
      <c r="AA452" s="276"/>
      <c r="AB452" s="276"/>
      <c r="AC452" s="276"/>
      <c r="AD452" s="276"/>
      <c r="AE452" s="276"/>
    </row>
    <row r="453" spans="15:31">
      <c r="O453" s="276"/>
      <c r="P453" s="276"/>
      <c r="Q453" s="276"/>
      <c r="R453" s="276"/>
      <c r="S453" s="276"/>
      <c r="T453" s="276"/>
      <c r="U453" s="276"/>
      <c r="V453" s="276"/>
      <c r="W453" s="276"/>
      <c r="X453" s="276"/>
      <c r="Y453" s="276"/>
      <c r="Z453" s="276"/>
      <c r="AA453" s="276"/>
      <c r="AB453" s="276"/>
      <c r="AC453" s="276"/>
      <c r="AD453" s="276"/>
      <c r="AE453" s="276"/>
    </row>
    <row r="454" spans="15:31">
      <c r="O454" s="276"/>
      <c r="P454" s="276"/>
      <c r="Q454" s="276"/>
      <c r="R454" s="276"/>
      <c r="S454" s="276"/>
      <c r="T454" s="276"/>
      <c r="U454" s="276"/>
      <c r="V454" s="276"/>
      <c r="W454" s="276"/>
      <c r="X454" s="276"/>
      <c r="Y454" s="276"/>
      <c r="Z454" s="276"/>
      <c r="AA454" s="276"/>
      <c r="AB454" s="276"/>
      <c r="AC454" s="276"/>
      <c r="AD454" s="276"/>
      <c r="AE454" s="276"/>
    </row>
    <row r="455" spans="15:31">
      <c r="O455" s="276"/>
      <c r="P455" s="276"/>
      <c r="Q455" s="276"/>
      <c r="R455" s="276"/>
      <c r="S455" s="276"/>
      <c r="T455" s="276"/>
      <c r="U455" s="276"/>
      <c r="V455" s="276"/>
      <c r="W455" s="276"/>
      <c r="X455" s="276"/>
      <c r="Y455" s="276"/>
      <c r="Z455" s="276"/>
      <c r="AA455" s="276"/>
      <c r="AB455" s="276"/>
      <c r="AC455" s="276"/>
      <c r="AD455" s="276"/>
      <c r="AE455" s="276"/>
    </row>
    <row r="456" spans="15:31">
      <c r="O456" s="276"/>
      <c r="P456" s="276"/>
      <c r="Q456" s="276"/>
      <c r="R456" s="276"/>
      <c r="S456" s="276"/>
      <c r="T456" s="276"/>
      <c r="U456" s="276"/>
      <c r="V456" s="276"/>
      <c r="W456" s="276"/>
      <c r="X456" s="276"/>
      <c r="Y456" s="276"/>
      <c r="Z456" s="276"/>
      <c r="AA456" s="276"/>
      <c r="AB456" s="276"/>
      <c r="AC456" s="276"/>
      <c r="AD456" s="276"/>
      <c r="AE456" s="276"/>
    </row>
    <row r="457" spans="15:31">
      <c r="O457" s="276"/>
      <c r="P457" s="276"/>
      <c r="Q457" s="276"/>
      <c r="R457" s="276"/>
      <c r="S457" s="276"/>
      <c r="T457" s="276"/>
      <c r="U457" s="276"/>
      <c r="V457" s="276"/>
      <c r="W457" s="276"/>
      <c r="X457" s="276"/>
      <c r="Y457" s="276"/>
      <c r="Z457" s="276"/>
      <c r="AA457" s="276"/>
      <c r="AB457" s="276"/>
      <c r="AC457" s="276"/>
      <c r="AD457" s="276"/>
      <c r="AE457" s="276"/>
    </row>
    <row r="458" spans="15:31">
      <c r="O458" s="276"/>
      <c r="P458" s="276"/>
      <c r="Q458" s="276"/>
      <c r="R458" s="276"/>
      <c r="S458" s="276"/>
      <c r="T458" s="276"/>
      <c r="U458" s="276"/>
      <c r="V458" s="276"/>
      <c r="W458" s="276"/>
      <c r="X458" s="276"/>
      <c r="Y458" s="276"/>
      <c r="Z458" s="276"/>
      <c r="AA458" s="276"/>
      <c r="AB458" s="276"/>
      <c r="AC458" s="276"/>
      <c r="AD458" s="276"/>
      <c r="AE458" s="276"/>
    </row>
    <row r="459" spans="15:31">
      <c r="O459" s="276"/>
      <c r="P459" s="276"/>
      <c r="Q459" s="276"/>
      <c r="R459" s="276"/>
      <c r="S459" s="276"/>
      <c r="T459" s="276"/>
      <c r="U459" s="276"/>
      <c r="V459" s="276"/>
      <c r="W459" s="276"/>
      <c r="X459" s="276"/>
      <c r="Y459" s="276"/>
      <c r="Z459" s="276"/>
      <c r="AA459" s="276"/>
      <c r="AB459" s="276"/>
      <c r="AC459" s="276"/>
      <c r="AD459" s="276"/>
      <c r="AE459" s="276"/>
    </row>
    <row r="460" spans="15:31">
      <c r="O460" s="276"/>
      <c r="P460" s="276"/>
      <c r="Q460" s="276"/>
      <c r="R460" s="276"/>
      <c r="S460" s="276"/>
      <c r="T460" s="276"/>
      <c r="U460" s="276"/>
      <c r="V460" s="276"/>
      <c r="W460" s="276"/>
      <c r="X460" s="276"/>
      <c r="Y460" s="276"/>
      <c r="Z460" s="276"/>
      <c r="AA460" s="276"/>
      <c r="AB460" s="276"/>
      <c r="AC460" s="276"/>
      <c r="AD460" s="276"/>
      <c r="AE460" s="276"/>
    </row>
    <row r="461" spans="15:31">
      <c r="O461" s="276"/>
      <c r="P461" s="276"/>
      <c r="Q461" s="276"/>
      <c r="R461" s="276"/>
      <c r="S461" s="276"/>
      <c r="T461" s="276"/>
      <c r="U461" s="276"/>
      <c r="V461" s="276"/>
      <c r="W461" s="276"/>
      <c r="X461" s="276"/>
      <c r="Y461" s="276"/>
      <c r="Z461" s="276"/>
      <c r="AA461" s="276"/>
      <c r="AB461" s="276"/>
      <c r="AC461" s="276"/>
      <c r="AD461" s="276"/>
      <c r="AE461" s="276"/>
    </row>
    <row r="462" spans="15:31">
      <c r="O462" s="276"/>
      <c r="P462" s="276"/>
      <c r="Q462" s="276"/>
      <c r="R462" s="276"/>
      <c r="S462" s="276"/>
      <c r="T462" s="276"/>
      <c r="U462" s="276"/>
      <c r="V462" s="276"/>
      <c r="W462" s="276"/>
      <c r="X462" s="276"/>
      <c r="Y462" s="276"/>
      <c r="Z462" s="276"/>
      <c r="AA462" s="276"/>
      <c r="AB462" s="276"/>
      <c r="AC462" s="276"/>
      <c r="AD462" s="276"/>
      <c r="AE462" s="276"/>
    </row>
    <row r="463" spans="15:31">
      <c r="O463" s="276"/>
      <c r="P463" s="276"/>
      <c r="Q463" s="276"/>
      <c r="R463" s="276"/>
      <c r="S463" s="276"/>
      <c r="T463" s="276"/>
      <c r="U463" s="276"/>
      <c r="V463" s="276"/>
      <c r="W463" s="276"/>
      <c r="X463" s="276"/>
      <c r="Y463" s="276"/>
      <c r="Z463" s="276"/>
      <c r="AA463" s="276"/>
      <c r="AB463" s="276"/>
      <c r="AC463" s="276"/>
      <c r="AD463" s="276"/>
      <c r="AE463" s="276"/>
    </row>
    <row r="464" spans="15:31">
      <c r="O464" s="276"/>
      <c r="P464" s="276"/>
      <c r="Q464" s="276"/>
      <c r="R464" s="276"/>
      <c r="S464" s="276"/>
      <c r="T464" s="276"/>
      <c r="U464" s="276"/>
      <c r="V464" s="276"/>
      <c r="W464" s="276"/>
      <c r="X464" s="276"/>
      <c r="Y464" s="276"/>
      <c r="Z464" s="276"/>
      <c r="AA464" s="276"/>
      <c r="AB464" s="276"/>
      <c r="AC464" s="276"/>
      <c r="AD464" s="276"/>
      <c r="AE464" s="276"/>
    </row>
    <row r="465" spans="15:31">
      <c r="O465" s="276"/>
      <c r="P465" s="276"/>
      <c r="Q465" s="276"/>
      <c r="R465" s="276"/>
      <c r="S465" s="276"/>
      <c r="T465" s="276"/>
      <c r="U465" s="276"/>
      <c r="V465" s="276"/>
      <c r="W465" s="276"/>
      <c r="X465" s="276"/>
      <c r="Y465" s="276"/>
      <c r="Z465" s="276"/>
      <c r="AA465" s="276"/>
      <c r="AB465" s="276"/>
      <c r="AC465" s="276"/>
      <c r="AD465" s="276"/>
      <c r="AE465" s="276"/>
    </row>
    <row r="466" spans="15:31">
      <c r="O466" s="276"/>
      <c r="P466" s="276"/>
      <c r="Q466" s="276"/>
      <c r="R466" s="276"/>
      <c r="S466" s="276"/>
      <c r="T466" s="276"/>
      <c r="U466" s="276"/>
      <c r="V466" s="276"/>
      <c r="W466" s="276"/>
      <c r="X466" s="276"/>
      <c r="Y466" s="276"/>
      <c r="Z466" s="276"/>
      <c r="AA466" s="276"/>
      <c r="AB466" s="276"/>
      <c r="AC466" s="276"/>
      <c r="AD466" s="276"/>
      <c r="AE466" s="276"/>
    </row>
    <row r="467" spans="15:31">
      <c r="O467" s="276"/>
      <c r="P467" s="276"/>
      <c r="Q467" s="276"/>
      <c r="R467" s="276"/>
      <c r="S467" s="276"/>
      <c r="T467" s="276"/>
      <c r="U467" s="276"/>
      <c r="V467" s="276"/>
      <c r="W467" s="276"/>
      <c r="X467" s="276"/>
      <c r="Y467" s="276"/>
      <c r="Z467" s="276"/>
      <c r="AA467" s="276"/>
      <c r="AB467" s="276"/>
      <c r="AC467" s="276"/>
      <c r="AD467" s="276"/>
      <c r="AE467" s="276"/>
    </row>
    <row r="468" spans="15:31">
      <c r="O468" s="276"/>
      <c r="P468" s="276"/>
      <c r="Q468" s="276"/>
      <c r="R468" s="276"/>
      <c r="S468" s="276"/>
      <c r="T468" s="276"/>
      <c r="U468" s="276"/>
      <c r="V468" s="276"/>
      <c r="W468" s="276"/>
      <c r="X468" s="276"/>
      <c r="Y468" s="276"/>
      <c r="Z468" s="276"/>
      <c r="AA468" s="276"/>
      <c r="AB468" s="276"/>
      <c r="AC468" s="276"/>
      <c r="AD468" s="276"/>
      <c r="AE468" s="276"/>
    </row>
    <row r="469" spans="15:31">
      <c r="O469" s="276"/>
      <c r="P469" s="276"/>
      <c r="Q469" s="276"/>
      <c r="R469" s="276"/>
      <c r="S469" s="276"/>
      <c r="T469" s="276"/>
      <c r="U469" s="276"/>
      <c r="V469" s="276"/>
      <c r="W469" s="276"/>
      <c r="X469" s="276"/>
      <c r="Y469" s="276"/>
      <c r="Z469" s="276"/>
      <c r="AA469" s="276"/>
      <c r="AB469" s="276"/>
      <c r="AC469" s="276"/>
      <c r="AD469" s="276"/>
      <c r="AE469" s="276"/>
    </row>
    <row r="470" spans="15:31">
      <c r="O470" s="276"/>
      <c r="P470" s="276"/>
      <c r="Q470" s="276"/>
      <c r="R470" s="276"/>
      <c r="S470" s="276"/>
      <c r="T470" s="276"/>
      <c r="U470" s="276"/>
      <c r="V470" s="276"/>
      <c r="W470" s="276"/>
      <c r="X470" s="276"/>
      <c r="Y470" s="276"/>
      <c r="Z470" s="276"/>
      <c r="AA470" s="276"/>
      <c r="AB470" s="276"/>
      <c r="AC470" s="276"/>
      <c r="AD470" s="276"/>
      <c r="AE470" s="276"/>
    </row>
    <row r="471" spans="15:31">
      <c r="O471" s="276"/>
      <c r="P471" s="276"/>
      <c r="Q471" s="276"/>
      <c r="R471" s="276"/>
      <c r="S471" s="276"/>
      <c r="T471" s="276"/>
      <c r="U471" s="276"/>
      <c r="V471" s="276"/>
      <c r="W471" s="276"/>
      <c r="X471" s="276"/>
      <c r="Y471" s="276"/>
      <c r="Z471" s="276"/>
      <c r="AA471" s="276"/>
      <c r="AB471" s="276"/>
      <c r="AC471" s="276"/>
      <c r="AD471" s="276"/>
      <c r="AE471" s="276"/>
    </row>
    <row r="472" spans="15:31">
      <c r="O472" s="276"/>
      <c r="P472" s="276"/>
      <c r="Q472" s="276"/>
      <c r="R472" s="276"/>
      <c r="S472" s="276"/>
      <c r="T472" s="276"/>
      <c r="U472" s="276"/>
      <c r="V472" s="276"/>
      <c r="W472" s="276"/>
      <c r="X472" s="276"/>
      <c r="Y472" s="276"/>
      <c r="Z472" s="276"/>
      <c r="AA472" s="276"/>
      <c r="AB472" s="276"/>
      <c r="AC472" s="276"/>
      <c r="AD472" s="276"/>
      <c r="AE472" s="276"/>
    </row>
    <row r="473" spans="15:31">
      <c r="O473" s="276"/>
      <c r="P473" s="276"/>
      <c r="Q473" s="276"/>
      <c r="R473" s="276"/>
      <c r="S473" s="276"/>
      <c r="T473" s="276"/>
      <c r="U473" s="276"/>
      <c r="V473" s="276"/>
      <c r="W473" s="276"/>
      <c r="X473" s="276"/>
      <c r="Y473" s="276"/>
      <c r="Z473" s="276"/>
      <c r="AA473" s="276"/>
      <c r="AB473" s="276"/>
      <c r="AC473" s="276"/>
      <c r="AD473" s="276"/>
      <c r="AE473" s="276"/>
    </row>
    <row r="474" spans="15:31">
      <c r="O474" s="276"/>
      <c r="P474" s="276"/>
      <c r="Q474" s="276"/>
      <c r="R474" s="276"/>
      <c r="S474" s="276"/>
      <c r="T474" s="276"/>
      <c r="U474" s="276"/>
      <c r="V474" s="276"/>
      <c r="W474" s="276"/>
      <c r="X474" s="276"/>
      <c r="Y474" s="276"/>
      <c r="Z474" s="276"/>
      <c r="AA474" s="276"/>
      <c r="AB474" s="276"/>
      <c r="AC474" s="276"/>
      <c r="AD474" s="276"/>
      <c r="AE474" s="276"/>
    </row>
    <row r="475" spans="15:31">
      <c r="O475" s="276"/>
      <c r="P475" s="276"/>
      <c r="Q475" s="276"/>
      <c r="R475" s="276"/>
      <c r="S475" s="276"/>
      <c r="T475" s="276"/>
      <c r="U475" s="276"/>
      <c r="V475" s="276"/>
      <c r="W475" s="276"/>
      <c r="X475" s="276"/>
      <c r="Y475" s="276"/>
      <c r="Z475" s="276"/>
      <c r="AA475" s="276"/>
      <c r="AB475" s="276"/>
      <c r="AC475" s="276"/>
      <c r="AD475" s="276"/>
      <c r="AE475" s="276"/>
    </row>
    <row r="476" spans="15:31">
      <c r="O476" s="276"/>
      <c r="P476" s="276"/>
      <c r="Q476" s="276"/>
      <c r="R476" s="276"/>
      <c r="S476" s="276"/>
      <c r="T476" s="276"/>
      <c r="U476" s="276"/>
      <c r="V476" s="276"/>
      <c r="W476" s="276"/>
      <c r="X476" s="276"/>
      <c r="Y476" s="276"/>
      <c r="Z476" s="276"/>
      <c r="AA476" s="276"/>
      <c r="AB476" s="276"/>
      <c r="AC476" s="276"/>
      <c r="AD476" s="276"/>
      <c r="AE476" s="276"/>
    </row>
    <row r="477" spans="15:31">
      <c r="O477" s="276"/>
      <c r="P477" s="276"/>
      <c r="Q477" s="276"/>
      <c r="R477" s="276"/>
      <c r="S477" s="276"/>
      <c r="T477" s="276"/>
      <c r="U477" s="276"/>
      <c r="V477" s="276"/>
      <c r="W477" s="276"/>
      <c r="X477" s="276"/>
      <c r="Y477" s="276"/>
      <c r="Z477" s="276"/>
      <c r="AA477" s="276"/>
      <c r="AB477" s="276"/>
      <c r="AC477" s="276"/>
      <c r="AD477" s="276"/>
      <c r="AE477" s="276"/>
    </row>
    <row r="478" spans="15:31">
      <c r="O478" s="276"/>
      <c r="P478" s="276"/>
      <c r="Q478" s="276"/>
      <c r="R478" s="276"/>
      <c r="S478" s="276"/>
      <c r="T478" s="276"/>
      <c r="U478" s="276"/>
      <c r="V478" s="276"/>
      <c r="W478" s="276"/>
      <c r="X478" s="276"/>
      <c r="Y478" s="276"/>
      <c r="Z478" s="276"/>
      <c r="AA478" s="276"/>
      <c r="AB478" s="276"/>
      <c r="AC478" s="276"/>
      <c r="AD478" s="276"/>
      <c r="AE478" s="276"/>
    </row>
    <row r="479" spans="15:31">
      <c r="O479" s="276"/>
      <c r="P479" s="276"/>
      <c r="Q479" s="276"/>
      <c r="R479" s="276"/>
      <c r="S479" s="276"/>
      <c r="T479" s="276"/>
      <c r="U479" s="276"/>
      <c r="V479" s="276"/>
      <c r="W479" s="276"/>
      <c r="X479" s="276"/>
      <c r="Y479" s="276"/>
      <c r="Z479" s="276"/>
      <c r="AA479" s="276"/>
      <c r="AB479" s="276"/>
      <c r="AC479" s="276"/>
      <c r="AD479" s="276"/>
      <c r="AE479" s="276"/>
    </row>
    <row r="480" spans="15:31">
      <c r="O480" s="276"/>
      <c r="P480" s="276"/>
      <c r="Q480" s="276"/>
      <c r="R480" s="276"/>
      <c r="S480" s="276"/>
      <c r="T480" s="276"/>
      <c r="U480" s="276"/>
      <c r="V480" s="276"/>
      <c r="W480" s="276"/>
      <c r="X480" s="276"/>
      <c r="Y480" s="276"/>
      <c r="Z480" s="276"/>
      <c r="AA480" s="276"/>
      <c r="AB480" s="276"/>
      <c r="AC480" s="276"/>
      <c r="AD480" s="276"/>
      <c r="AE480" s="276"/>
    </row>
    <row r="481" spans="15:31">
      <c r="O481" s="276"/>
      <c r="P481" s="276"/>
      <c r="Q481" s="276"/>
      <c r="R481" s="276"/>
      <c r="S481" s="276"/>
      <c r="T481" s="276"/>
      <c r="U481" s="276"/>
      <c r="V481" s="276"/>
      <c r="W481" s="276"/>
      <c r="X481" s="276"/>
      <c r="Y481" s="276"/>
      <c r="Z481" s="276"/>
      <c r="AA481" s="276"/>
      <c r="AB481" s="276"/>
      <c r="AC481" s="276"/>
      <c r="AD481" s="276"/>
      <c r="AE481" s="276"/>
    </row>
    <row r="482" spans="15:31">
      <c r="O482" s="276"/>
      <c r="P482" s="276"/>
      <c r="Q482" s="276"/>
      <c r="R482" s="276"/>
      <c r="S482" s="276"/>
      <c r="T482" s="276"/>
      <c r="U482" s="276"/>
      <c r="V482" s="276"/>
      <c r="W482" s="276"/>
      <c r="X482" s="276"/>
      <c r="Y482" s="276"/>
      <c r="Z482" s="276"/>
      <c r="AA482" s="276"/>
      <c r="AB482" s="276"/>
      <c r="AC482" s="276"/>
      <c r="AD482" s="276"/>
      <c r="AE482" s="276"/>
    </row>
    <row r="483" spans="15:31">
      <c r="O483" s="276"/>
      <c r="P483" s="276"/>
      <c r="Q483" s="276"/>
      <c r="R483" s="276"/>
      <c r="S483" s="276"/>
      <c r="T483" s="276"/>
      <c r="U483" s="276"/>
      <c r="V483" s="276"/>
      <c r="W483" s="276"/>
      <c r="X483" s="276"/>
      <c r="Y483" s="276"/>
      <c r="Z483" s="276"/>
      <c r="AA483" s="276"/>
      <c r="AB483" s="276"/>
      <c r="AC483" s="276"/>
      <c r="AD483" s="276"/>
      <c r="AE483" s="276"/>
    </row>
    <row r="484" spans="15:31">
      <c r="O484" s="276"/>
      <c r="P484" s="276"/>
      <c r="Q484" s="276"/>
      <c r="R484" s="276"/>
      <c r="S484" s="276"/>
      <c r="T484" s="276"/>
      <c r="U484" s="276"/>
      <c r="V484" s="276"/>
      <c r="W484" s="276"/>
      <c r="X484" s="276"/>
      <c r="Y484" s="276"/>
      <c r="Z484" s="276"/>
      <c r="AA484" s="276"/>
      <c r="AB484" s="276"/>
      <c r="AC484" s="276"/>
      <c r="AD484" s="276"/>
      <c r="AE484" s="276"/>
    </row>
    <row r="485" spans="15:31">
      <c r="O485" s="276"/>
      <c r="P485" s="276"/>
      <c r="Q485" s="276"/>
      <c r="R485" s="276"/>
      <c r="S485" s="276"/>
      <c r="T485" s="276"/>
      <c r="U485" s="276"/>
      <c r="V485" s="276"/>
      <c r="W485" s="276"/>
      <c r="X485" s="276"/>
      <c r="Y485" s="276"/>
      <c r="Z485" s="276"/>
      <c r="AA485" s="276"/>
      <c r="AB485" s="276"/>
      <c r="AC485" s="276"/>
      <c r="AD485" s="276"/>
      <c r="AE485" s="276"/>
    </row>
    <row r="486" spans="15:31">
      <c r="O486" s="276"/>
      <c r="P486" s="276"/>
      <c r="Q486" s="276"/>
      <c r="R486" s="276"/>
      <c r="S486" s="276"/>
      <c r="T486" s="276"/>
      <c r="U486" s="276"/>
      <c r="V486" s="276"/>
      <c r="W486" s="276"/>
      <c r="X486" s="276"/>
      <c r="Y486" s="276"/>
      <c r="Z486" s="276"/>
      <c r="AA486" s="276"/>
      <c r="AB486" s="276"/>
      <c r="AC486" s="276"/>
      <c r="AD486" s="276"/>
      <c r="AE486" s="276"/>
    </row>
    <row r="487" spans="15:31">
      <c r="O487" s="276"/>
      <c r="P487" s="276"/>
      <c r="Q487" s="276"/>
      <c r="R487" s="276"/>
      <c r="S487" s="276"/>
      <c r="T487" s="276"/>
      <c r="U487" s="276"/>
      <c r="V487" s="276"/>
      <c r="W487" s="276"/>
      <c r="X487" s="276"/>
      <c r="Y487" s="276"/>
      <c r="Z487" s="276"/>
      <c r="AA487" s="276"/>
      <c r="AB487" s="276"/>
      <c r="AC487" s="276"/>
      <c r="AD487" s="276"/>
      <c r="AE487" s="276"/>
    </row>
    <row r="488" spans="15:31">
      <c r="O488" s="276"/>
      <c r="P488" s="276"/>
      <c r="Q488" s="276"/>
      <c r="R488" s="276"/>
      <c r="S488" s="276"/>
      <c r="T488" s="276"/>
      <c r="U488" s="276"/>
      <c r="V488" s="276"/>
      <c r="W488" s="276"/>
      <c r="X488" s="276"/>
      <c r="Y488" s="276"/>
      <c r="Z488" s="276"/>
      <c r="AA488" s="276"/>
      <c r="AB488" s="276"/>
      <c r="AC488" s="276"/>
      <c r="AD488" s="276"/>
      <c r="AE488" s="276"/>
    </row>
    <row r="489" spans="15:31">
      <c r="O489" s="276"/>
      <c r="P489" s="276"/>
      <c r="Q489" s="276"/>
      <c r="R489" s="276"/>
      <c r="S489" s="276"/>
      <c r="T489" s="276"/>
      <c r="U489" s="276"/>
      <c r="V489" s="276"/>
      <c r="W489" s="276"/>
      <c r="X489" s="276"/>
      <c r="Y489" s="276"/>
      <c r="Z489" s="276"/>
      <c r="AA489" s="276"/>
      <c r="AB489" s="276"/>
      <c r="AC489" s="276"/>
      <c r="AD489" s="276"/>
      <c r="AE489" s="276"/>
    </row>
    <row r="490" spans="15:31">
      <c r="O490" s="276"/>
      <c r="P490" s="276"/>
      <c r="Q490" s="276"/>
      <c r="R490" s="276"/>
      <c r="S490" s="276"/>
      <c r="T490" s="276"/>
      <c r="U490" s="276"/>
      <c r="V490" s="276"/>
      <c r="W490" s="276"/>
      <c r="X490" s="276"/>
      <c r="Y490" s="276"/>
      <c r="Z490" s="276"/>
      <c r="AA490" s="276"/>
      <c r="AB490" s="276"/>
      <c r="AC490" s="276"/>
      <c r="AD490" s="276"/>
      <c r="AE490" s="276"/>
    </row>
    <row r="491" spans="15:31">
      <c r="O491" s="276"/>
      <c r="P491" s="276"/>
      <c r="Q491" s="276"/>
      <c r="R491" s="276"/>
      <c r="S491" s="276"/>
      <c r="T491" s="276"/>
      <c r="U491" s="276"/>
      <c r="V491" s="276"/>
      <c r="W491" s="276"/>
      <c r="X491" s="276"/>
      <c r="Y491" s="276"/>
      <c r="Z491" s="276"/>
      <c r="AA491" s="276"/>
      <c r="AB491" s="276"/>
      <c r="AC491" s="276"/>
      <c r="AD491" s="276"/>
      <c r="AE491" s="276"/>
    </row>
    <row r="492" spans="15:31">
      <c r="O492" s="276"/>
      <c r="P492" s="276"/>
      <c r="Q492" s="276"/>
      <c r="R492" s="276"/>
      <c r="S492" s="276"/>
      <c r="T492" s="276"/>
      <c r="U492" s="276"/>
      <c r="V492" s="276"/>
      <c r="W492" s="276"/>
      <c r="X492" s="276"/>
      <c r="Y492" s="276"/>
      <c r="Z492" s="276"/>
      <c r="AA492" s="276"/>
      <c r="AB492" s="276"/>
      <c r="AC492" s="276"/>
      <c r="AD492" s="276"/>
      <c r="AE492" s="276"/>
    </row>
    <row r="493" spans="15:31">
      <c r="O493" s="276"/>
      <c r="P493" s="276"/>
      <c r="Q493" s="276"/>
      <c r="R493" s="276"/>
      <c r="S493" s="276"/>
      <c r="T493" s="276"/>
      <c r="U493" s="276"/>
      <c r="V493" s="276"/>
      <c r="W493" s="276"/>
      <c r="X493" s="276"/>
      <c r="Y493" s="276"/>
      <c r="Z493" s="276"/>
      <c r="AA493" s="276"/>
      <c r="AB493" s="276"/>
      <c r="AC493" s="276"/>
      <c r="AD493" s="276"/>
      <c r="AE493" s="276"/>
    </row>
    <row r="494" spans="15:31">
      <c r="O494" s="276"/>
      <c r="P494" s="276"/>
      <c r="Q494" s="276"/>
      <c r="R494" s="276"/>
      <c r="S494" s="276"/>
      <c r="T494" s="276"/>
      <c r="U494" s="276"/>
      <c r="V494" s="276"/>
      <c r="W494" s="276"/>
      <c r="X494" s="276"/>
      <c r="Y494" s="276"/>
      <c r="Z494" s="276"/>
      <c r="AA494" s="276"/>
      <c r="AB494" s="276"/>
      <c r="AC494" s="276"/>
      <c r="AD494" s="276"/>
      <c r="AE494" s="276"/>
    </row>
    <row r="495" spans="15:31">
      <c r="O495" s="276"/>
      <c r="P495" s="276"/>
      <c r="Q495" s="276"/>
      <c r="R495" s="276"/>
      <c r="S495" s="276"/>
      <c r="T495" s="276"/>
      <c r="U495" s="276"/>
      <c r="V495" s="276"/>
      <c r="W495" s="276"/>
      <c r="X495" s="276"/>
      <c r="Y495" s="276"/>
      <c r="Z495" s="276"/>
      <c r="AA495" s="276"/>
      <c r="AB495" s="276"/>
      <c r="AC495" s="276"/>
      <c r="AD495" s="276"/>
      <c r="AE495" s="276"/>
    </row>
    <row r="496" spans="15:31">
      <c r="O496" s="276"/>
      <c r="P496" s="276"/>
      <c r="Q496" s="276"/>
      <c r="R496" s="276"/>
      <c r="S496" s="276"/>
      <c r="T496" s="276"/>
      <c r="U496" s="276"/>
      <c r="V496" s="276"/>
      <c r="W496" s="276"/>
      <c r="X496" s="276"/>
      <c r="Y496" s="276"/>
      <c r="Z496" s="276"/>
      <c r="AA496" s="276"/>
      <c r="AB496" s="276"/>
      <c r="AC496" s="276"/>
      <c r="AD496" s="276"/>
      <c r="AE496" s="276"/>
    </row>
    <row r="497" spans="15:31">
      <c r="O497" s="276"/>
      <c r="P497" s="276"/>
      <c r="Q497" s="276"/>
      <c r="R497" s="276"/>
      <c r="S497" s="276"/>
      <c r="T497" s="276"/>
      <c r="U497" s="276"/>
      <c r="V497" s="276"/>
      <c r="W497" s="276"/>
      <c r="X497" s="276"/>
      <c r="Y497" s="276"/>
      <c r="Z497" s="276"/>
      <c r="AA497" s="276"/>
      <c r="AB497" s="276"/>
      <c r="AC497" s="276"/>
      <c r="AD497" s="276"/>
      <c r="AE497" s="276"/>
    </row>
    <row r="498" spans="15:31">
      <c r="O498" s="276"/>
      <c r="P498" s="276"/>
      <c r="Q498" s="276"/>
      <c r="R498" s="276"/>
      <c r="S498" s="276"/>
      <c r="T498" s="276"/>
      <c r="U498" s="276"/>
      <c r="V498" s="276"/>
      <c r="W498" s="276"/>
      <c r="X498" s="276"/>
      <c r="Y498" s="276"/>
      <c r="Z498" s="276"/>
      <c r="AA498" s="276"/>
      <c r="AB498" s="276"/>
      <c r="AC498" s="276"/>
      <c r="AD498" s="276"/>
      <c r="AE498" s="276"/>
    </row>
    <row r="499" spans="15:31">
      <c r="O499" s="276"/>
      <c r="P499" s="276"/>
      <c r="Q499" s="276"/>
      <c r="R499" s="276"/>
      <c r="S499" s="276"/>
      <c r="T499" s="276"/>
      <c r="U499" s="276"/>
      <c r="V499" s="276"/>
      <c r="W499" s="276"/>
      <c r="X499" s="276"/>
      <c r="Y499" s="276"/>
      <c r="Z499" s="276"/>
      <c r="AA499" s="276"/>
      <c r="AB499" s="276"/>
      <c r="AC499" s="276"/>
      <c r="AD499" s="276"/>
      <c r="AE499" s="276"/>
    </row>
    <row r="500" spans="15:31">
      <c r="O500" s="276"/>
      <c r="P500" s="276"/>
      <c r="Q500" s="276"/>
      <c r="R500" s="276"/>
      <c r="S500" s="276"/>
      <c r="T500" s="276"/>
      <c r="U500" s="276"/>
      <c r="V500" s="276"/>
      <c r="W500" s="276"/>
      <c r="X500" s="276"/>
      <c r="Y500" s="276"/>
      <c r="Z500" s="276"/>
      <c r="AA500" s="276"/>
      <c r="AB500" s="276"/>
      <c r="AC500" s="276"/>
      <c r="AD500" s="276"/>
      <c r="AE500" s="276"/>
    </row>
    <row r="501" spans="15:31">
      <c r="O501" s="276"/>
      <c r="P501" s="276"/>
      <c r="Q501" s="276"/>
      <c r="R501" s="276"/>
      <c r="S501" s="276"/>
      <c r="T501" s="276"/>
      <c r="U501" s="276"/>
      <c r="V501" s="276"/>
      <c r="W501" s="276"/>
      <c r="X501" s="276"/>
      <c r="Y501" s="276"/>
      <c r="Z501" s="276"/>
      <c r="AA501" s="276"/>
      <c r="AB501" s="276"/>
      <c r="AC501" s="276"/>
      <c r="AD501" s="276"/>
      <c r="AE501" s="276"/>
    </row>
    <row r="502" spans="15:31">
      <c r="O502" s="276"/>
      <c r="P502" s="276"/>
      <c r="Q502" s="276"/>
      <c r="R502" s="276"/>
      <c r="S502" s="276"/>
      <c r="T502" s="276"/>
      <c r="U502" s="276"/>
      <c r="V502" s="276"/>
      <c r="W502" s="276"/>
      <c r="X502" s="276"/>
      <c r="Y502" s="276"/>
      <c r="Z502" s="276"/>
      <c r="AA502" s="276"/>
      <c r="AB502" s="276"/>
      <c r="AC502" s="276"/>
      <c r="AD502" s="276"/>
      <c r="AE502" s="276"/>
    </row>
    <row r="503" spans="15:31">
      <c r="O503" s="276"/>
      <c r="P503" s="276"/>
      <c r="Q503" s="276"/>
      <c r="R503" s="276"/>
      <c r="S503" s="276"/>
      <c r="T503" s="276"/>
      <c r="U503" s="276"/>
      <c r="V503" s="276"/>
      <c r="W503" s="276"/>
      <c r="X503" s="276"/>
      <c r="Y503" s="276"/>
      <c r="Z503" s="276"/>
      <c r="AA503" s="276"/>
      <c r="AB503" s="276"/>
      <c r="AC503" s="276"/>
      <c r="AD503" s="276"/>
      <c r="AE503" s="276"/>
    </row>
    <row r="504" spans="15:31">
      <c r="O504" s="276"/>
      <c r="P504" s="276"/>
      <c r="Q504" s="276"/>
      <c r="R504" s="276"/>
      <c r="S504" s="276"/>
      <c r="T504" s="276"/>
      <c r="U504" s="276"/>
      <c r="V504" s="276"/>
      <c r="W504" s="276"/>
      <c r="X504" s="276"/>
      <c r="Y504" s="276"/>
      <c r="Z504" s="276"/>
      <c r="AA504" s="276"/>
      <c r="AB504" s="276"/>
      <c r="AC504" s="276"/>
      <c r="AD504" s="276"/>
      <c r="AE504" s="276"/>
    </row>
    <row r="505" spans="15:31">
      <c r="O505" s="276"/>
      <c r="P505" s="276"/>
      <c r="Q505" s="276"/>
      <c r="R505" s="276"/>
      <c r="S505" s="276"/>
      <c r="T505" s="276"/>
      <c r="U505" s="276"/>
      <c r="V505" s="276"/>
      <c r="W505" s="276"/>
      <c r="X505" s="276"/>
      <c r="Y505" s="276"/>
      <c r="Z505" s="276"/>
      <c r="AA505" s="276"/>
      <c r="AB505" s="276"/>
      <c r="AC505" s="276"/>
      <c r="AD505" s="276"/>
      <c r="AE505" s="276"/>
    </row>
    <row r="506" spans="15:31">
      <c r="O506" s="276"/>
      <c r="P506" s="276"/>
      <c r="Q506" s="276"/>
      <c r="R506" s="276"/>
      <c r="S506" s="276"/>
      <c r="T506" s="276"/>
      <c r="U506" s="276"/>
      <c r="V506" s="276"/>
      <c r="W506" s="276"/>
      <c r="X506" s="276"/>
      <c r="Y506" s="276"/>
      <c r="Z506" s="276"/>
      <c r="AA506" s="276"/>
      <c r="AB506" s="276"/>
      <c r="AC506" s="276"/>
      <c r="AD506" s="276"/>
      <c r="AE506" s="276"/>
    </row>
    <row r="507" spans="15:31">
      <c r="O507" s="276"/>
      <c r="P507" s="276"/>
      <c r="Q507" s="276"/>
      <c r="R507" s="276"/>
      <c r="S507" s="276"/>
      <c r="T507" s="276"/>
      <c r="U507" s="276"/>
      <c r="V507" s="276"/>
      <c r="W507" s="276"/>
      <c r="X507" s="276"/>
      <c r="Y507" s="276"/>
      <c r="Z507" s="276"/>
      <c r="AA507" s="276"/>
      <c r="AB507" s="276"/>
      <c r="AC507" s="276"/>
      <c r="AD507" s="276"/>
      <c r="AE507" s="276"/>
    </row>
    <row r="508" spans="15:31">
      <c r="O508" s="276"/>
      <c r="P508" s="276"/>
      <c r="Q508" s="276"/>
      <c r="R508" s="276"/>
      <c r="S508" s="276"/>
      <c r="T508" s="276"/>
      <c r="U508" s="276"/>
      <c r="V508" s="276"/>
      <c r="W508" s="276"/>
      <c r="X508" s="276"/>
      <c r="Y508" s="276"/>
      <c r="Z508" s="276"/>
      <c r="AA508" s="276"/>
      <c r="AB508" s="276"/>
      <c r="AC508" s="276"/>
      <c r="AD508" s="276"/>
      <c r="AE508" s="276"/>
    </row>
    <row r="509" spans="15:31">
      <c r="O509" s="276"/>
      <c r="P509" s="276"/>
      <c r="Q509" s="276"/>
      <c r="R509" s="276"/>
      <c r="S509" s="276"/>
      <c r="T509" s="276"/>
      <c r="U509" s="276"/>
      <c r="V509" s="276"/>
      <c r="W509" s="276"/>
      <c r="X509" s="276"/>
      <c r="Y509" s="276"/>
      <c r="Z509" s="276"/>
      <c r="AA509" s="276"/>
      <c r="AB509" s="276"/>
      <c r="AC509" s="276"/>
      <c r="AD509" s="276"/>
      <c r="AE509" s="276"/>
    </row>
    <row r="510" spans="15:31">
      <c r="O510" s="276"/>
      <c r="P510" s="276"/>
      <c r="Q510" s="276"/>
      <c r="R510" s="276"/>
      <c r="S510" s="276"/>
      <c r="T510" s="276"/>
      <c r="U510" s="276"/>
      <c r="V510" s="276"/>
      <c r="W510" s="276"/>
      <c r="X510" s="276"/>
      <c r="Y510" s="276"/>
      <c r="Z510" s="276"/>
      <c r="AA510" s="276"/>
      <c r="AB510" s="276"/>
      <c r="AC510" s="276"/>
      <c r="AD510" s="276"/>
      <c r="AE510" s="276"/>
    </row>
    <row r="511" spans="15:31">
      <c r="O511" s="276"/>
      <c r="P511" s="276"/>
      <c r="Q511" s="276"/>
      <c r="R511" s="276"/>
      <c r="S511" s="276"/>
      <c r="T511" s="276"/>
      <c r="U511" s="276"/>
      <c r="V511" s="276"/>
      <c r="W511" s="276"/>
      <c r="X511" s="276"/>
      <c r="Y511" s="276"/>
      <c r="Z511" s="276"/>
      <c r="AA511" s="276"/>
      <c r="AB511" s="276"/>
      <c r="AC511" s="276"/>
      <c r="AD511" s="276"/>
      <c r="AE511" s="276"/>
    </row>
    <row r="512" spans="15:31">
      <c r="O512" s="276"/>
      <c r="P512" s="276"/>
      <c r="Q512" s="276"/>
      <c r="R512" s="276"/>
      <c r="S512" s="276"/>
      <c r="T512" s="276"/>
      <c r="U512" s="276"/>
      <c r="V512" s="276"/>
      <c r="W512" s="276"/>
      <c r="X512" s="276"/>
      <c r="Y512" s="276"/>
      <c r="Z512" s="276"/>
      <c r="AA512" s="276"/>
      <c r="AB512" s="276"/>
      <c r="AC512" s="276"/>
      <c r="AD512" s="276"/>
      <c r="AE512" s="276"/>
    </row>
    <row r="513" spans="15:31">
      <c r="O513" s="276"/>
      <c r="P513" s="276"/>
      <c r="Q513" s="276"/>
      <c r="R513" s="276"/>
      <c r="S513" s="276"/>
      <c r="T513" s="276"/>
      <c r="U513" s="276"/>
      <c r="V513" s="276"/>
      <c r="W513" s="276"/>
      <c r="X513" s="276"/>
      <c r="Y513" s="276"/>
      <c r="Z513" s="276"/>
      <c r="AA513" s="276"/>
      <c r="AB513" s="276"/>
      <c r="AC513" s="276"/>
      <c r="AD513" s="276"/>
      <c r="AE513" s="276"/>
    </row>
    <row r="514" spans="15:31">
      <c r="O514" s="276"/>
      <c r="P514" s="276"/>
      <c r="Q514" s="276"/>
      <c r="R514" s="276"/>
      <c r="S514" s="276"/>
      <c r="T514" s="276"/>
      <c r="U514" s="276"/>
      <c r="V514" s="276"/>
      <c r="W514" s="276"/>
      <c r="X514" s="276"/>
      <c r="Y514" s="276"/>
      <c r="Z514" s="276"/>
      <c r="AA514" s="276"/>
      <c r="AB514" s="276"/>
      <c r="AC514" s="276"/>
      <c r="AD514" s="276"/>
      <c r="AE514" s="276"/>
    </row>
    <row r="515" spans="15:31">
      <c r="O515" s="276"/>
      <c r="P515" s="276"/>
      <c r="Q515" s="276"/>
      <c r="R515" s="276"/>
      <c r="S515" s="276"/>
      <c r="T515" s="276"/>
      <c r="U515" s="276"/>
      <c r="V515" s="276"/>
      <c r="W515" s="276"/>
      <c r="X515" s="276"/>
      <c r="Y515" s="276"/>
      <c r="Z515" s="276"/>
      <c r="AA515" s="276"/>
      <c r="AB515" s="276"/>
      <c r="AC515" s="276"/>
      <c r="AD515" s="276"/>
      <c r="AE515" s="276"/>
    </row>
    <row r="516" spans="15:31">
      <c r="O516" s="276"/>
      <c r="P516" s="276"/>
      <c r="Q516" s="276"/>
      <c r="R516" s="276"/>
      <c r="S516" s="276"/>
      <c r="T516" s="276"/>
      <c r="U516" s="276"/>
      <c r="V516" s="276"/>
      <c r="W516" s="276"/>
      <c r="X516" s="276"/>
      <c r="Y516" s="276"/>
      <c r="Z516" s="276"/>
      <c r="AA516" s="276"/>
      <c r="AB516" s="276"/>
      <c r="AC516" s="276"/>
      <c r="AD516" s="276"/>
      <c r="AE516" s="276"/>
    </row>
    <row r="517" spans="15:31">
      <c r="O517" s="276"/>
      <c r="P517" s="276"/>
      <c r="Q517" s="276"/>
      <c r="R517" s="276"/>
      <c r="S517" s="276"/>
      <c r="T517" s="276"/>
      <c r="U517" s="276"/>
      <c r="V517" s="276"/>
      <c r="W517" s="276"/>
      <c r="X517" s="276"/>
      <c r="Y517" s="276"/>
      <c r="Z517" s="276"/>
      <c r="AA517" s="276"/>
      <c r="AB517" s="276"/>
      <c r="AC517" s="276"/>
      <c r="AD517" s="276"/>
      <c r="AE517" s="276"/>
    </row>
    <row r="518" spans="15:31">
      <c r="O518" s="276"/>
      <c r="P518" s="276"/>
      <c r="Q518" s="276"/>
      <c r="R518" s="276"/>
      <c r="S518" s="276"/>
      <c r="T518" s="276"/>
      <c r="U518" s="276"/>
      <c r="V518" s="276"/>
      <c r="W518" s="276"/>
      <c r="X518" s="276"/>
      <c r="Y518" s="276"/>
      <c r="Z518" s="276"/>
      <c r="AA518" s="276"/>
      <c r="AB518" s="276"/>
      <c r="AC518" s="276"/>
      <c r="AD518" s="276"/>
      <c r="AE518" s="276"/>
    </row>
    <row r="519" spans="15:31">
      <c r="O519" s="276"/>
      <c r="P519" s="276"/>
      <c r="Q519" s="276"/>
      <c r="R519" s="276"/>
      <c r="S519" s="276"/>
      <c r="T519" s="276"/>
      <c r="U519" s="276"/>
      <c r="V519" s="276"/>
      <c r="W519" s="276"/>
      <c r="X519" s="276"/>
      <c r="Y519" s="276"/>
      <c r="Z519" s="276"/>
      <c r="AA519" s="276"/>
      <c r="AB519" s="276"/>
      <c r="AC519" s="276"/>
      <c r="AD519" s="276"/>
      <c r="AE519" s="276"/>
    </row>
    <row r="520" spans="15:31">
      <c r="O520" s="276"/>
      <c r="P520" s="276"/>
      <c r="Q520" s="276"/>
      <c r="R520" s="276"/>
      <c r="S520" s="276"/>
      <c r="T520" s="276"/>
      <c r="U520" s="276"/>
      <c r="V520" s="276"/>
      <c r="W520" s="276"/>
      <c r="X520" s="276"/>
      <c r="Y520" s="276"/>
      <c r="Z520" s="276"/>
      <c r="AA520" s="276"/>
      <c r="AB520" s="276"/>
      <c r="AC520" s="276"/>
      <c r="AD520" s="276"/>
      <c r="AE520" s="276"/>
    </row>
    <row r="521" spans="15:31">
      <c r="O521" s="276"/>
      <c r="P521" s="276"/>
      <c r="Q521" s="276"/>
      <c r="R521" s="276"/>
      <c r="S521" s="276"/>
      <c r="T521" s="276"/>
      <c r="U521" s="276"/>
      <c r="V521" s="276"/>
      <c r="W521" s="276"/>
      <c r="X521" s="276"/>
      <c r="Y521" s="276"/>
      <c r="Z521" s="276"/>
      <c r="AA521" s="276"/>
      <c r="AB521" s="276"/>
      <c r="AC521" s="276"/>
      <c r="AD521" s="276"/>
      <c r="AE521" s="276"/>
    </row>
    <row r="522" spans="15:31">
      <c r="O522" s="276"/>
      <c r="P522" s="276"/>
      <c r="Q522" s="276"/>
      <c r="R522" s="276"/>
      <c r="S522" s="276"/>
      <c r="T522" s="276"/>
      <c r="U522" s="276"/>
      <c r="V522" s="276"/>
      <c r="W522" s="276"/>
      <c r="X522" s="276"/>
      <c r="Y522" s="276"/>
      <c r="Z522" s="276"/>
      <c r="AA522" s="276"/>
      <c r="AB522" s="276"/>
      <c r="AC522" s="276"/>
      <c r="AD522" s="276"/>
      <c r="AE522" s="276"/>
    </row>
    <row r="523" spans="15:31">
      <c r="O523" s="276"/>
      <c r="P523" s="276"/>
      <c r="Q523" s="276"/>
      <c r="R523" s="276"/>
      <c r="S523" s="276"/>
      <c r="T523" s="276"/>
      <c r="U523" s="276"/>
      <c r="V523" s="276"/>
      <c r="W523" s="276"/>
      <c r="X523" s="276"/>
      <c r="Y523" s="276"/>
      <c r="Z523" s="276"/>
      <c r="AA523" s="276"/>
      <c r="AB523" s="276"/>
      <c r="AC523" s="276"/>
      <c r="AD523" s="276"/>
      <c r="AE523" s="276"/>
    </row>
    <row r="524" spans="15:31">
      <c r="O524" s="276"/>
      <c r="P524" s="276"/>
      <c r="Q524" s="276"/>
      <c r="R524" s="276"/>
      <c r="S524" s="276"/>
      <c r="T524" s="276"/>
      <c r="U524" s="276"/>
      <c r="V524" s="276"/>
      <c r="W524" s="276"/>
      <c r="X524" s="276"/>
      <c r="Y524" s="276"/>
      <c r="Z524" s="276"/>
      <c r="AA524" s="276"/>
      <c r="AB524" s="276"/>
      <c r="AC524" s="276"/>
      <c r="AD524" s="276"/>
      <c r="AE524" s="276"/>
    </row>
    <row r="525" spans="15:31">
      <c r="O525" s="276"/>
      <c r="P525" s="276"/>
      <c r="Q525" s="276"/>
      <c r="R525" s="276"/>
      <c r="S525" s="276"/>
      <c r="T525" s="276"/>
      <c r="U525" s="276"/>
      <c r="V525" s="276"/>
      <c r="W525" s="276"/>
      <c r="X525" s="276"/>
      <c r="Y525" s="276"/>
      <c r="Z525" s="276"/>
      <c r="AA525" s="276"/>
      <c r="AB525" s="276"/>
      <c r="AC525" s="276"/>
      <c r="AD525" s="276"/>
      <c r="AE525" s="276"/>
    </row>
    <row r="526" spans="15:31">
      <c r="O526" s="276"/>
      <c r="P526" s="276"/>
      <c r="Q526" s="276"/>
      <c r="R526" s="276"/>
      <c r="S526" s="276"/>
      <c r="T526" s="276"/>
      <c r="U526" s="276"/>
      <c r="V526" s="276"/>
      <c r="W526" s="276"/>
      <c r="X526" s="276"/>
      <c r="Y526" s="276"/>
      <c r="Z526" s="276"/>
      <c r="AA526" s="276"/>
      <c r="AB526" s="276"/>
      <c r="AC526" s="276"/>
      <c r="AD526" s="276"/>
      <c r="AE526" s="276"/>
    </row>
    <row r="527" spans="15:31">
      <c r="O527" s="276"/>
      <c r="P527" s="276"/>
      <c r="Q527" s="276"/>
      <c r="R527" s="276"/>
      <c r="S527" s="276"/>
      <c r="T527" s="276"/>
      <c r="U527" s="276"/>
      <c r="V527" s="276"/>
      <c r="W527" s="276"/>
      <c r="X527" s="276"/>
      <c r="Y527" s="276"/>
      <c r="Z527" s="276"/>
      <c r="AA527" s="276"/>
      <c r="AB527" s="276"/>
      <c r="AC527" s="276"/>
      <c r="AD527" s="276"/>
      <c r="AE527" s="276"/>
    </row>
    <row r="528" spans="15:31">
      <c r="O528" s="276"/>
      <c r="P528" s="276"/>
      <c r="Q528" s="276"/>
      <c r="R528" s="276"/>
      <c r="S528" s="276"/>
      <c r="T528" s="276"/>
      <c r="U528" s="276"/>
      <c r="V528" s="276"/>
      <c r="W528" s="276"/>
      <c r="X528" s="276"/>
      <c r="Y528" s="276"/>
      <c r="Z528" s="276"/>
      <c r="AA528" s="276"/>
      <c r="AB528" s="276"/>
      <c r="AC528" s="276"/>
      <c r="AD528" s="276"/>
      <c r="AE528" s="276"/>
    </row>
    <row r="529" spans="15:31">
      <c r="O529" s="276"/>
      <c r="P529" s="276"/>
      <c r="Q529" s="276"/>
      <c r="R529" s="276"/>
      <c r="S529" s="276"/>
      <c r="T529" s="276"/>
      <c r="U529" s="276"/>
      <c r="V529" s="276"/>
      <c r="W529" s="276"/>
      <c r="X529" s="276"/>
      <c r="Y529" s="276"/>
      <c r="Z529" s="276"/>
      <c r="AA529" s="276"/>
      <c r="AB529" s="276"/>
      <c r="AC529" s="276"/>
      <c r="AD529" s="276"/>
      <c r="AE529" s="276"/>
    </row>
    <row r="530" spans="15:31">
      <c r="O530" s="276"/>
      <c r="P530" s="276"/>
      <c r="Q530" s="276"/>
      <c r="R530" s="276"/>
      <c r="S530" s="276"/>
      <c r="T530" s="276"/>
      <c r="U530" s="276"/>
      <c r="V530" s="276"/>
      <c r="W530" s="276"/>
      <c r="X530" s="276"/>
      <c r="Y530" s="276"/>
      <c r="Z530" s="276"/>
      <c r="AA530" s="276"/>
      <c r="AB530" s="276"/>
      <c r="AC530" s="276"/>
      <c r="AD530" s="276"/>
      <c r="AE530" s="276"/>
    </row>
    <row r="531" spans="15:31">
      <c r="O531" s="276"/>
      <c r="P531" s="276"/>
      <c r="Q531" s="276"/>
      <c r="R531" s="276"/>
      <c r="S531" s="276"/>
      <c r="T531" s="276"/>
      <c r="U531" s="276"/>
      <c r="V531" s="276"/>
      <c r="W531" s="276"/>
      <c r="X531" s="276"/>
      <c r="Y531" s="276"/>
      <c r="Z531" s="276"/>
      <c r="AA531" s="276"/>
      <c r="AB531" s="276"/>
      <c r="AC531" s="276"/>
      <c r="AD531" s="276"/>
      <c r="AE531" s="276"/>
    </row>
    <row r="532" spans="15:31">
      <c r="O532" s="276"/>
      <c r="P532" s="276"/>
      <c r="Q532" s="276"/>
      <c r="R532" s="276"/>
      <c r="S532" s="276"/>
      <c r="T532" s="276"/>
      <c r="U532" s="276"/>
      <c r="V532" s="276"/>
      <c r="W532" s="276"/>
      <c r="X532" s="276"/>
      <c r="Y532" s="276"/>
      <c r="Z532" s="276"/>
      <c r="AA532" s="276"/>
      <c r="AB532" s="276"/>
      <c r="AC532" s="276"/>
      <c r="AD532" s="276"/>
      <c r="AE532" s="276"/>
    </row>
    <row r="533" spans="15:31">
      <c r="O533" s="276"/>
      <c r="P533" s="276"/>
      <c r="Q533" s="276"/>
      <c r="R533" s="276"/>
      <c r="S533" s="276"/>
      <c r="T533" s="276"/>
      <c r="U533" s="276"/>
      <c r="V533" s="276"/>
      <c r="W533" s="276"/>
      <c r="X533" s="276"/>
      <c r="Y533" s="276"/>
      <c r="Z533" s="276"/>
      <c r="AA533" s="276"/>
      <c r="AB533" s="276"/>
      <c r="AC533" s="276"/>
      <c r="AD533" s="276"/>
      <c r="AE533" s="276"/>
    </row>
    <row r="534" spans="15:31">
      <c r="O534" s="276"/>
      <c r="P534" s="276"/>
      <c r="Q534" s="276"/>
      <c r="R534" s="276"/>
      <c r="S534" s="276"/>
      <c r="T534" s="276"/>
      <c r="U534" s="276"/>
      <c r="V534" s="276"/>
      <c r="W534" s="276"/>
      <c r="X534" s="276"/>
      <c r="Y534" s="276"/>
      <c r="Z534" s="276"/>
      <c r="AA534" s="276"/>
      <c r="AB534" s="276"/>
      <c r="AC534" s="276"/>
      <c r="AD534" s="276"/>
      <c r="AE534" s="276"/>
    </row>
    <row r="535" spans="15:31">
      <c r="O535" s="276"/>
      <c r="P535" s="276"/>
      <c r="Q535" s="276"/>
      <c r="R535" s="276"/>
      <c r="S535" s="276"/>
      <c r="T535" s="276"/>
      <c r="U535" s="276"/>
      <c r="V535" s="276"/>
      <c r="W535" s="276"/>
      <c r="X535" s="276"/>
      <c r="Y535" s="276"/>
      <c r="Z535" s="276"/>
      <c r="AA535" s="276"/>
      <c r="AB535" s="276"/>
      <c r="AC535" s="276"/>
      <c r="AD535" s="276"/>
      <c r="AE535" s="276"/>
    </row>
    <row r="536" spans="15:31">
      <c r="O536" s="276"/>
      <c r="P536" s="276"/>
      <c r="Q536" s="276"/>
      <c r="R536" s="276"/>
      <c r="S536" s="276"/>
      <c r="T536" s="276"/>
      <c r="U536" s="276"/>
      <c r="V536" s="276"/>
      <c r="W536" s="276"/>
      <c r="X536" s="276"/>
      <c r="Y536" s="276"/>
      <c r="Z536" s="276"/>
      <c r="AA536" s="276"/>
      <c r="AB536" s="276"/>
      <c r="AC536" s="276"/>
      <c r="AD536" s="276"/>
      <c r="AE536" s="276"/>
    </row>
    <row r="537" spans="15:31">
      <c r="O537" s="276"/>
      <c r="P537" s="276"/>
      <c r="Q537" s="276"/>
      <c r="R537" s="276"/>
      <c r="S537" s="276"/>
      <c r="T537" s="276"/>
      <c r="U537" s="276"/>
      <c r="V537" s="276"/>
      <c r="W537" s="276"/>
      <c r="X537" s="276"/>
      <c r="Y537" s="276"/>
      <c r="Z537" s="276"/>
      <c r="AA537" s="276"/>
      <c r="AB537" s="276"/>
      <c r="AC537" s="276"/>
      <c r="AD537" s="276"/>
      <c r="AE537" s="276"/>
    </row>
    <row r="538" spans="15:31">
      <c r="O538" s="276"/>
      <c r="P538" s="276"/>
      <c r="Q538" s="276"/>
      <c r="R538" s="276"/>
      <c r="S538" s="276"/>
      <c r="T538" s="276"/>
      <c r="U538" s="276"/>
      <c r="V538" s="276"/>
      <c r="W538" s="276"/>
      <c r="X538" s="276"/>
      <c r="Y538" s="276"/>
      <c r="Z538" s="276"/>
      <c r="AA538" s="276"/>
      <c r="AB538" s="276"/>
      <c r="AC538" s="276"/>
      <c r="AD538" s="276"/>
      <c r="AE538" s="276"/>
    </row>
    <row r="539" spans="15:31">
      <c r="O539" s="276"/>
      <c r="P539" s="276"/>
      <c r="Q539" s="276"/>
      <c r="R539" s="276"/>
      <c r="S539" s="276"/>
      <c r="T539" s="276"/>
      <c r="U539" s="276"/>
      <c r="V539" s="276"/>
      <c r="W539" s="276"/>
      <c r="X539" s="276"/>
      <c r="Y539" s="276"/>
      <c r="Z539" s="276"/>
      <c r="AA539" s="276"/>
      <c r="AB539" s="276"/>
      <c r="AC539" s="276"/>
      <c r="AD539" s="276"/>
      <c r="AE539" s="276"/>
    </row>
    <row r="540" spans="15:31">
      <c r="O540" s="276"/>
      <c r="P540" s="276"/>
      <c r="Q540" s="276"/>
      <c r="R540" s="276"/>
      <c r="S540" s="276"/>
      <c r="T540" s="276"/>
      <c r="U540" s="276"/>
      <c r="V540" s="276"/>
      <c r="W540" s="276"/>
      <c r="X540" s="276"/>
      <c r="Y540" s="276"/>
      <c r="Z540" s="276"/>
      <c r="AA540" s="276"/>
      <c r="AB540" s="276"/>
      <c r="AC540" s="276"/>
      <c r="AD540" s="276"/>
      <c r="AE540" s="276"/>
    </row>
    <row r="541" spans="15:31">
      <c r="O541" s="276"/>
      <c r="P541" s="276"/>
      <c r="Q541" s="276"/>
      <c r="R541" s="276"/>
      <c r="S541" s="276"/>
      <c r="T541" s="276"/>
      <c r="U541" s="276"/>
      <c r="V541" s="276"/>
      <c r="W541" s="276"/>
      <c r="X541" s="276"/>
      <c r="Y541" s="276"/>
      <c r="Z541" s="276"/>
      <c r="AA541" s="276"/>
      <c r="AB541" s="276"/>
      <c r="AC541" s="276"/>
      <c r="AD541" s="276"/>
      <c r="AE541" s="276"/>
    </row>
    <row r="542" spans="15:31">
      <c r="O542" s="276"/>
      <c r="P542" s="276"/>
      <c r="Q542" s="276"/>
      <c r="R542" s="276"/>
      <c r="S542" s="276"/>
      <c r="T542" s="276"/>
      <c r="U542" s="276"/>
      <c r="V542" s="276"/>
      <c r="W542" s="276"/>
      <c r="X542" s="276"/>
      <c r="Y542" s="276"/>
      <c r="Z542" s="276"/>
      <c r="AA542" s="276"/>
      <c r="AB542" s="276"/>
      <c r="AC542" s="276"/>
      <c r="AD542" s="276"/>
      <c r="AE542" s="276"/>
    </row>
    <row r="543" spans="15:31">
      <c r="O543" s="276"/>
      <c r="P543" s="276"/>
      <c r="Q543" s="276"/>
      <c r="R543" s="276"/>
      <c r="S543" s="276"/>
      <c r="T543" s="276"/>
      <c r="U543" s="276"/>
      <c r="V543" s="276"/>
      <c r="W543" s="276"/>
      <c r="X543" s="276"/>
      <c r="Y543" s="276"/>
      <c r="Z543" s="276"/>
      <c r="AA543" s="276"/>
      <c r="AB543" s="276"/>
      <c r="AC543" s="276"/>
      <c r="AD543" s="276"/>
      <c r="AE543" s="276"/>
    </row>
    <row r="544" spans="15:31">
      <c r="O544" s="276"/>
      <c r="P544" s="276"/>
      <c r="Q544" s="276"/>
      <c r="R544" s="276"/>
      <c r="S544" s="276"/>
      <c r="T544" s="276"/>
      <c r="U544" s="276"/>
      <c r="V544" s="276"/>
      <c r="W544" s="276"/>
      <c r="X544" s="276"/>
      <c r="Y544" s="276"/>
      <c r="Z544" s="276"/>
      <c r="AA544" s="276"/>
      <c r="AB544" s="276"/>
      <c r="AC544" s="276"/>
      <c r="AD544" s="276"/>
      <c r="AE544" s="276"/>
    </row>
    <row r="545" spans="15:31">
      <c r="O545" s="276"/>
      <c r="P545" s="276"/>
      <c r="Q545" s="276"/>
      <c r="R545" s="276"/>
      <c r="S545" s="276"/>
      <c r="T545" s="276"/>
      <c r="U545" s="276"/>
      <c r="V545" s="276"/>
      <c r="W545" s="276"/>
      <c r="X545" s="276"/>
      <c r="Y545" s="276"/>
      <c r="Z545" s="276"/>
      <c r="AA545" s="276"/>
      <c r="AB545" s="276"/>
      <c r="AC545" s="276"/>
      <c r="AD545" s="276"/>
      <c r="AE545" s="276"/>
    </row>
    <row r="546" spans="15:31">
      <c r="O546" s="276"/>
      <c r="P546" s="276"/>
      <c r="Q546" s="276"/>
      <c r="R546" s="276"/>
      <c r="S546" s="276"/>
      <c r="T546" s="276"/>
      <c r="U546" s="276"/>
      <c r="V546" s="276"/>
      <c r="W546" s="276"/>
      <c r="X546" s="276"/>
      <c r="Y546" s="276"/>
      <c r="Z546" s="276"/>
      <c r="AA546" s="276"/>
      <c r="AB546" s="276"/>
      <c r="AC546" s="276"/>
      <c r="AD546" s="276"/>
      <c r="AE546" s="276"/>
    </row>
    <row r="547" spans="15:31">
      <c r="O547" s="276"/>
      <c r="P547" s="276"/>
      <c r="Q547" s="276"/>
      <c r="R547" s="276"/>
      <c r="S547" s="276"/>
      <c r="T547" s="276"/>
      <c r="U547" s="276"/>
      <c r="V547" s="276"/>
      <c r="W547" s="276"/>
      <c r="X547" s="276"/>
      <c r="Y547" s="276"/>
      <c r="Z547" s="276"/>
      <c r="AA547" s="276"/>
      <c r="AB547" s="276"/>
      <c r="AC547" s="276"/>
      <c r="AD547" s="276"/>
      <c r="AE547" s="276"/>
    </row>
    <row r="548" spans="15:31">
      <c r="O548" s="276"/>
      <c r="P548" s="276"/>
      <c r="Q548" s="276"/>
      <c r="R548" s="276"/>
      <c r="S548" s="276"/>
      <c r="T548" s="276"/>
      <c r="U548" s="276"/>
      <c r="V548" s="276"/>
      <c r="W548" s="276"/>
      <c r="X548" s="276"/>
      <c r="Y548" s="276"/>
      <c r="Z548" s="276"/>
      <c r="AA548" s="276"/>
      <c r="AB548" s="276"/>
      <c r="AC548" s="276"/>
      <c r="AD548" s="276"/>
      <c r="AE548" s="276"/>
    </row>
    <row r="549" spans="15:31">
      <c r="O549" s="276"/>
      <c r="P549" s="276"/>
      <c r="Q549" s="276"/>
      <c r="R549" s="276"/>
      <c r="S549" s="276"/>
      <c r="T549" s="276"/>
      <c r="U549" s="276"/>
      <c r="V549" s="276"/>
      <c r="W549" s="276"/>
      <c r="X549" s="276"/>
      <c r="Y549" s="276"/>
      <c r="Z549" s="276"/>
      <c r="AA549" s="276"/>
      <c r="AB549" s="276"/>
      <c r="AC549" s="276"/>
      <c r="AD549" s="276"/>
      <c r="AE549" s="276"/>
    </row>
    <row r="550" spans="15:31">
      <c r="O550" s="276"/>
      <c r="P550" s="276"/>
      <c r="Q550" s="276"/>
      <c r="R550" s="276"/>
      <c r="S550" s="276"/>
      <c r="T550" s="276"/>
      <c r="U550" s="276"/>
      <c r="V550" s="276"/>
      <c r="W550" s="276"/>
      <c r="X550" s="276"/>
      <c r="Y550" s="276"/>
      <c r="Z550" s="276"/>
      <c r="AA550" s="276"/>
      <c r="AB550" s="276"/>
      <c r="AC550" s="276"/>
      <c r="AD550" s="276"/>
      <c r="AE550" s="276"/>
    </row>
    <row r="551" spans="15:31">
      <c r="O551" s="276"/>
      <c r="P551" s="276"/>
      <c r="Q551" s="276"/>
      <c r="R551" s="276"/>
      <c r="S551" s="276"/>
      <c r="T551" s="276"/>
      <c r="U551" s="276"/>
      <c r="V551" s="276"/>
      <c r="W551" s="276"/>
      <c r="X551" s="276"/>
      <c r="Y551" s="276"/>
      <c r="Z551" s="276"/>
      <c r="AA551" s="276"/>
      <c r="AB551" s="276"/>
      <c r="AC551" s="276"/>
      <c r="AD551" s="276"/>
      <c r="AE551" s="276"/>
    </row>
    <row r="552" spans="15:31">
      <c r="O552" s="276"/>
      <c r="P552" s="276"/>
      <c r="Q552" s="276"/>
      <c r="R552" s="276"/>
      <c r="S552" s="276"/>
      <c r="T552" s="276"/>
      <c r="U552" s="276"/>
      <c r="V552" s="276"/>
      <c r="W552" s="276"/>
      <c r="X552" s="276"/>
      <c r="Y552" s="276"/>
      <c r="Z552" s="276"/>
      <c r="AA552" s="276"/>
      <c r="AB552" s="276"/>
      <c r="AC552" s="276"/>
      <c r="AD552" s="276"/>
      <c r="AE552" s="276"/>
    </row>
    <row r="553" spans="15:31">
      <c r="O553" s="276"/>
      <c r="P553" s="276"/>
      <c r="Q553" s="276"/>
      <c r="R553" s="276"/>
      <c r="S553" s="276"/>
      <c r="T553" s="276"/>
      <c r="U553" s="276"/>
      <c r="V553" s="276"/>
      <c r="W553" s="276"/>
      <c r="X553" s="276"/>
      <c r="Y553" s="276"/>
      <c r="Z553" s="276"/>
      <c r="AA553" s="276"/>
      <c r="AB553" s="276"/>
      <c r="AC553" s="276"/>
      <c r="AD553" s="276"/>
      <c r="AE553" s="276"/>
    </row>
    <row r="554" spans="15:31">
      <c r="O554" s="276"/>
      <c r="P554" s="276"/>
      <c r="Q554" s="276"/>
      <c r="R554" s="276"/>
      <c r="S554" s="276"/>
      <c r="T554" s="276"/>
      <c r="U554" s="276"/>
      <c r="V554" s="276"/>
      <c r="W554" s="276"/>
      <c r="X554" s="276"/>
      <c r="Y554" s="276"/>
      <c r="Z554" s="276"/>
      <c r="AA554" s="276"/>
      <c r="AB554" s="276"/>
      <c r="AC554" s="276"/>
      <c r="AD554" s="276"/>
      <c r="AE554" s="276"/>
    </row>
    <row r="555" spans="15:31">
      <c r="O555" s="276"/>
      <c r="P555" s="276"/>
      <c r="Q555" s="276"/>
      <c r="R555" s="276"/>
      <c r="S555" s="276"/>
      <c r="T555" s="276"/>
      <c r="U555" s="276"/>
      <c r="V555" s="276"/>
      <c r="W555" s="276"/>
      <c r="X555" s="276"/>
      <c r="Y555" s="276"/>
      <c r="Z555" s="276"/>
      <c r="AA555" s="276"/>
      <c r="AB555" s="276"/>
      <c r="AC555" s="276"/>
      <c r="AD555" s="276"/>
      <c r="AE555" s="276"/>
    </row>
    <row r="556" spans="15:31">
      <c r="O556" s="276"/>
      <c r="P556" s="276"/>
      <c r="Q556" s="276"/>
      <c r="R556" s="276"/>
      <c r="S556" s="276"/>
      <c r="T556" s="276"/>
      <c r="U556" s="276"/>
      <c r="V556" s="276"/>
      <c r="W556" s="276"/>
      <c r="X556" s="276"/>
      <c r="Y556" s="276"/>
      <c r="Z556" s="276"/>
      <c r="AA556" s="276"/>
      <c r="AB556" s="276"/>
      <c r="AC556" s="276"/>
      <c r="AD556" s="276"/>
      <c r="AE556" s="276"/>
    </row>
    <row r="557" spans="15:31">
      <c r="O557" s="276"/>
      <c r="P557" s="276"/>
      <c r="Q557" s="276"/>
      <c r="R557" s="276"/>
      <c r="S557" s="276"/>
      <c r="T557" s="276"/>
      <c r="U557" s="276"/>
      <c r="V557" s="276"/>
      <c r="W557" s="276"/>
      <c r="X557" s="276"/>
      <c r="Y557" s="276"/>
      <c r="Z557" s="276"/>
      <c r="AA557" s="276"/>
      <c r="AB557" s="276"/>
      <c r="AC557" s="276"/>
      <c r="AD557" s="276"/>
      <c r="AE557" s="276"/>
    </row>
    <row r="558" spans="15:31">
      <c r="O558" s="276"/>
      <c r="P558" s="276"/>
      <c r="Q558" s="276"/>
      <c r="R558" s="276"/>
      <c r="S558" s="276"/>
      <c r="T558" s="276"/>
      <c r="U558" s="276"/>
      <c r="V558" s="276"/>
      <c r="W558" s="276"/>
      <c r="X558" s="276"/>
      <c r="Y558" s="276"/>
      <c r="Z558" s="276"/>
      <c r="AA558" s="276"/>
      <c r="AB558" s="276"/>
      <c r="AC558" s="276"/>
      <c r="AD558" s="276"/>
      <c r="AE558" s="276"/>
    </row>
    <row r="559" spans="15:31">
      <c r="O559" s="276"/>
      <c r="P559" s="276"/>
      <c r="Q559" s="276"/>
      <c r="R559" s="276"/>
      <c r="S559" s="276"/>
      <c r="T559" s="276"/>
      <c r="U559" s="276"/>
      <c r="V559" s="276"/>
      <c r="W559" s="276"/>
      <c r="X559" s="276"/>
      <c r="Y559" s="276"/>
      <c r="Z559" s="276"/>
      <c r="AA559" s="276"/>
      <c r="AB559" s="276"/>
      <c r="AC559" s="276"/>
      <c r="AD559" s="276"/>
      <c r="AE559" s="276"/>
    </row>
    <row r="560" spans="15:31">
      <c r="O560" s="276"/>
      <c r="P560" s="276"/>
      <c r="Q560" s="276"/>
      <c r="R560" s="276"/>
      <c r="S560" s="276"/>
      <c r="T560" s="276"/>
      <c r="U560" s="276"/>
      <c r="V560" s="276"/>
      <c r="W560" s="276"/>
      <c r="X560" s="276"/>
      <c r="Y560" s="276"/>
      <c r="Z560" s="276"/>
      <c r="AA560" s="276"/>
      <c r="AB560" s="276"/>
      <c r="AC560" s="276"/>
      <c r="AD560" s="276"/>
      <c r="AE560" s="276"/>
    </row>
    <row r="561" spans="15:31">
      <c r="O561" s="276"/>
      <c r="P561" s="276"/>
      <c r="Q561" s="276"/>
      <c r="R561" s="276"/>
      <c r="S561" s="276"/>
      <c r="T561" s="276"/>
      <c r="U561" s="276"/>
      <c r="V561" s="276"/>
      <c r="W561" s="276"/>
      <c r="X561" s="276"/>
      <c r="Y561" s="276"/>
      <c r="Z561" s="276"/>
      <c r="AA561" s="276"/>
      <c r="AB561" s="276"/>
      <c r="AC561" s="276"/>
      <c r="AD561" s="276"/>
      <c r="AE561" s="276"/>
    </row>
    <row r="562" spans="15:31">
      <c r="O562" s="276"/>
      <c r="P562" s="276"/>
      <c r="Q562" s="276"/>
      <c r="R562" s="276"/>
      <c r="S562" s="276"/>
      <c r="T562" s="276"/>
      <c r="U562" s="276"/>
      <c r="V562" s="276"/>
      <c r="W562" s="276"/>
      <c r="X562" s="276"/>
      <c r="Y562" s="276"/>
      <c r="Z562" s="276"/>
      <c r="AA562" s="276"/>
      <c r="AB562" s="276"/>
      <c r="AC562" s="276"/>
      <c r="AD562" s="276"/>
      <c r="AE562" s="276"/>
    </row>
    <row r="563" spans="15:31">
      <c r="O563" s="276"/>
      <c r="P563" s="276"/>
      <c r="Q563" s="276"/>
      <c r="R563" s="276"/>
      <c r="S563" s="276"/>
      <c r="T563" s="276"/>
      <c r="U563" s="276"/>
      <c r="V563" s="276"/>
      <c r="W563" s="276"/>
      <c r="X563" s="276"/>
      <c r="Y563" s="276"/>
      <c r="Z563" s="276"/>
      <c r="AA563" s="276"/>
      <c r="AB563" s="276"/>
      <c r="AC563" s="276"/>
      <c r="AD563" s="276"/>
      <c r="AE563" s="276"/>
    </row>
    <row r="564" spans="15:31">
      <c r="O564" s="276"/>
      <c r="P564" s="276"/>
      <c r="Q564" s="276"/>
      <c r="R564" s="276"/>
      <c r="S564" s="276"/>
      <c r="T564" s="276"/>
      <c r="U564" s="276"/>
      <c r="V564" s="276"/>
      <c r="W564" s="276"/>
      <c r="X564" s="276"/>
      <c r="Y564" s="276"/>
      <c r="Z564" s="276"/>
      <c r="AA564" s="276"/>
      <c r="AB564" s="276"/>
      <c r="AC564" s="276"/>
      <c r="AD564" s="276"/>
      <c r="AE564" s="276"/>
    </row>
    <row r="565" spans="15:31">
      <c r="O565" s="276"/>
      <c r="P565" s="276"/>
      <c r="Q565" s="276"/>
      <c r="R565" s="276"/>
      <c r="S565" s="276"/>
      <c r="T565" s="276"/>
      <c r="U565" s="276"/>
      <c r="V565" s="276"/>
      <c r="W565" s="276"/>
      <c r="X565" s="276"/>
      <c r="Y565" s="276"/>
      <c r="Z565" s="276"/>
      <c r="AA565" s="276"/>
      <c r="AB565" s="276"/>
      <c r="AC565" s="276"/>
      <c r="AD565" s="276"/>
      <c r="AE565" s="276"/>
    </row>
    <row r="566" spans="15:31">
      <c r="O566" s="276"/>
      <c r="P566" s="276"/>
      <c r="Q566" s="276"/>
      <c r="R566" s="276"/>
      <c r="S566" s="276"/>
      <c r="T566" s="276"/>
      <c r="U566" s="276"/>
      <c r="V566" s="276"/>
      <c r="W566" s="276"/>
      <c r="X566" s="276"/>
      <c r="Y566" s="276"/>
      <c r="Z566" s="276"/>
      <c r="AA566" s="276"/>
      <c r="AB566" s="276"/>
      <c r="AC566" s="276"/>
      <c r="AD566" s="276"/>
      <c r="AE566" s="276"/>
    </row>
    <row r="567" spans="15:31">
      <c r="O567" s="276"/>
      <c r="P567" s="276"/>
      <c r="Q567" s="276"/>
      <c r="R567" s="276"/>
      <c r="S567" s="276"/>
      <c r="T567" s="276"/>
      <c r="U567" s="276"/>
      <c r="V567" s="276"/>
      <c r="W567" s="276"/>
      <c r="X567" s="276"/>
      <c r="Y567" s="276"/>
      <c r="Z567" s="276"/>
      <c r="AA567" s="276"/>
      <c r="AB567" s="276"/>
      <c r="AC567" s="276"/>
      <c r="AD567" s="276"/>
      <c r="AE567" s="276"/>
    </row>
    <row r="568" spans="15:31">
      <c r="O568" s="276"/>
      <c r="P568" s="276"/>
      <c r="Q568" s="276"/>
      <c r="R568" s="276"/>
      <c r="S568" s="276"/>
      <c r="T568" s="276"/>
      <c r="U568" s="276"/>
      <c r="V568" s="276"/>
      <c r="W568" s="276"/>
      <c r="X568" s="276"/>
      <c r="Y568" s="276"/>
      <c r="Z568" s="276"/>
      <c r="AA568" s="276"/>
      <c r="AB568" s="276"/>
      <c r="AC568" s="276"/>
      <c r="AD568" s="276"/>
      <c r="AE568" s="276"/>
    </row>
    <row r="569" spans="15:31">
      <c r="O569" s="276"/>
      <c r="P569" s="276"/>
      <c r="Q569" s="276"/>
      <c r="R569" s="276"/>
      <c r="S569" s="276"/>
      <c r="T569" s="276"/>
      <c r="U569" s="276"/>
      <c r="V569" s="276"/>
      <c r="W569" s="276"/>
      <c r="X569" s="276"/>
      <c r="Y569" s="276"/>
      <c r="Z569" s="276"/>
      <c r="AA569" s="276"/>
      <c r="AB569" s="276"/>
      <c r="AC569" s="276"/>
      <c r="AD569" s="276"/>
      <c r="AE569" s="276"/>
    </row>
    <row r="570" spans="15:31">
      <c r="O570" s="276"/>
      <c r="P570" s="276"/>
      <c r="Q570" s="276"/>
      <c r="R570" s="276"/>
      <c r="S570" s="276"/>
      <c r="T570" s="276"/>
      <c r="U570" s="276"/>
      <c r="V570" s="276"/>
      <c r="W570" s="276"/>
      <c r="X570" s="276"/>
      <c r="Y570" s="276"/>
      <c r="Z570" s="276"/>
      <c r="AA570" s="276"/>
      <c r="AB570" s="276"/>
      <c r="AC570" s="276"/>
      <c r="AD570" s="276"/>
      <c r="AE570" s="276"/>
    </row>
    <row r="571" spans="15:31">
      <c r="O571" s="276"/>
      <c r="P571" s="276"/>
      <c r="Q571" s="276"/>
      <c r="R571" s="276"/>
      <c r="S571" s="276"/>
      <c r="T571" s="276"/>
      <c r="U571" s="276"/>
      <c r="V571" s="276"/>
      <c r="W571" s="276"/>
      <c r="X571" s="276"/>
      <c r="Y571" s="276"/>
      <c r="Z571" s="276"/>
      <c r="AA571" s="276"/>
      <c r="AB571" s="276"/>
      <c r="AC571" s="276"/>
      <c r="AD571" s="276"/>
      <c r="AE571" s="276"/>
    </row>
    <row r="572" spans="15:31">
      <c r="O572" s="276"/>
      <c r="P572" s="276"/>
      <c r="Q572" s="276"/>
      <c r="R572" s="276"/>
      <c r="S572" s="276"/>
      <c r="T572" s="276"/>
      <c r="U572" s="276"/>
      <c r="V572" s="276"/>
      <c r="W572" s="276"/>
      <c r="X572" s="276"/>
      <c r="Y572" s="276"/>
      <c r="Z572" s="276"/>
      <c r="AA572" s="276"/>
      <c r="AB572" s="276"/>
      <c r="AC572" s="276"/>
      <c r="AD572" s="276"/>
      <c r="AE572" s="276"/>
    </row>
    <row r="573" spans="15:31">
      <c r="O573" s="276"/>
      <c r="P573" s="276"/>
      <c r="Q573" s="276"/>
      <c r="R573" s="276"/>
      <c r="S573" s="276"/>
      <c r="T573" s="276"/>
      <c r="U573" s="276"/>
      <c r="V573" s="276"/>
      <c r="W573" s="276"/>
      <c r="X573" s="276"/>
      <c r="Y573" s="276"/>
      <c r="Z573" s="276"/>
      <c r="AA573" s="276"/>
      <c r="AB573" s="276"/>
      <c r="AC573" s="276"/>
      <c r="AD573" s="276"/>
      <c r="AE573" s="276"/>
    </row>
    <row r="574" spans="15:31">
      <c r="O574" s="276"/>
      <c r="P574" s="276"/>
      <c r="Q574" s="276"/>
      <c r="R574" s="276"/>
      <c r="S574" s="276"/>
      <c r="T574" s="276"/>
      <c r="U574" s="276"/>
      <c r="V574" s="276"/>
      <c r="W574" s="276"/>
      <c r="X574" s="276"/>
      <c r="Y574" s="276"/>
      <c r="Z574" s="276"/>
      <c r="AA574" s="276"/>
      <c r="AB574" s="276"/>
      <c r="AC574" s="276"/>
      <c r="AD574" s="276"/>
      <c r="AE574" s="276"/>
    </row>
    <row r="575" spans="15:31">
      <c r="O575" s="276"/>
      <c r="P575" s="276"/>
      <c r="Q575" s="276"/>
      <c r="R575" s="276"/>
      <c r="S575" s="276"/>
      <c r="T575" s="276"/>
      <c r="U575" s="276"/>
      <c r="V575" s="276"/>
      <c r="W575" s="276"/>
      <c r="X575" s="276"/>
      <c r="Y575" s="276"/>
      <c r="Z575" s="276"/>
      <c r="AA575" s="276"/>
      <c r="AB575" s="276"/>
      <c r="AC575" s="276"/>
      <c r="AD575" s="276"/>
      <c r="AE575" s="276"/>
    </row>
    <row r="576" spans="15:31">
      <c r="O576" s="276"/>
      <c r="P576" s="276"/>
      <c r="Q576" s="276"/>
      <c r="R576" s="276"/>
      <c r="S576" s="276"/>
      <c r="T576" s="276"/>
      <c r="U576" s="276"/>
      <c r="V576" s="276"/>
      <c r="W576" s="276"/>
      <c r="X576" s="276"/>
      <c r="Y576" s="276"/>
      <c r="Z576" s="276"/>
      <c r="AA576" s="276"/>
      <c r="AB576" s="276"/>
      <c r="AC576" s="276"/>
      <c r="AD576" s="276"/>
      <c r="AE576" s="276"/>
    </row>
    <row r="577" spans="15:31">
      <c r="O577" s="276"/>
      <c r="P577" s="276"/>
      <c r="Q577" s="276"/>
      <c r="R577" s="276"/>
      <c r="S577" s="276"/>
      <c r="T577" s="276"/>
      <c r="U577" s="276"/>
      <c r="V577" s="276"/>
      <c r="W577" s="276"/>
      <c r="X577" s="276"/>
      <c r="Y577" s="276"/>
      <c r="Z577" s="276"/>
      <c r="AA577" s="276"/>
      <c r="AB577" s="276"/>
      <c r="AC577" s="276"/>
      <c r="AD577" s="276"/>
      <c r="AE577" s="276"/>
    </row>
    <row r="578" spans="15:31">
      <c r="O578" s="276"/>
      <c r="P578" s="276"/>
      <c r="Q578" s="276"/>
      <c r="R578" s="276"/>
      <c r="S578" s="276"/>
      <c r="T578" s="276"/>
      <c r="U578" s="276"/>
      <c r="V578" s="276"/>
      <c r="W578" s="276"/>
      <c r="X578" s="276"/>
      <c r="Y578" s="276"/>
      <c r="Z578" s="276"/>
      <c r="AA578" s="276"/>
      <c r="AB578" s="276"/>
      <c r="AC578" s="276"/>
      <c r="AD578" s="276"/>
      <c r="AE578" s="276"/>
    </row>
    <row r="579" spans="15:31">
      <c r="O579" s="276"/>
      <c r="P579" s="276"/>
      <c r="Q579" s="276"/>
      <c r="R579" s="276"/>
      <c r="S579" s="276"/>
      <c r="T579" s="276"/>
      <c r="U579" s="276"/>
      <c r="V579" s="276"/>
      <c r="W579" s="276"/>
      <c r="X579" s="276"/>
      <c r="Y579" s="276"/>
      <c r="Z579" s="276"/>
      <c r="AA579" s="276"/>
      <c r="AB579" s="276"/>
      <c r="AC579" s="276"/>
      <c r="AD579" s="276"/>
      <c r="AE579" s="276"/>
    </row>
    <row r="580" spans="15:31">
      <c r="O580" s="276"/>
      <c r="P580" s="276"/>
      <c r="Q580" s="276"/>
      <c r="R580" s="276"/>
      <c r="S580" s="276"/>
      <c r="T580" s="276"/>
      <c r="U580" s="276"/>
      <c r="V580" s="276"/>
      <c r="W580" s="276"/>
      <c r="X580" s="276"/>
      <c r="Y580" s="276"/>
      <c r="Z580" s="276"/>
      <c r="AA580" s="276"/>
      <c r="AB580" s="276"/>
      <c r="AC580" s="276"/>
      <c r="AD580" s="276"/>
      <c r="AE580" s="276"/>
    </row>
    <row r="581" spans="15:31">
      <c r="O581" s="276"/>
      <c r="P581" s="276"/>
      <c r="Q581" s="276"/>
      <c r="R581" s="276"/>
      <c r="S581" s="276"/>
      <c r="T581" s="276"/>
      <c r="U581" s="276"/>
      <c r="V581" s="276"/>
      <c r="W581" s="276"/>
      <c r="X581" s="276"/>
      <c r="Y581" s="276"/>
      <c r="Z581" s="276"/>
      <c r="AA581" s="276"/>
      <c r="AB581" s="276"/>
      <c r="AC581" s="276"/>
      <c r="AD581" s="276"/>
      <c r="AE581" s="276"/>
    </row>
    <row r="582" spans="15:31">
      <c r="O582" s="276"/>
      <c r="P582" s="276"/>
      <c r="Q582" s="276"/>
      <c r="R582" s="276"/>
      <c r="S582" s="276"/>
      <c r="T582" s="276"/>
      <c r="U582" s="276"/>
      <c r="V582" s="276"/>
      <c r="W582" s="276"/>
      <c r="X582" s="276"/>
      <c r="Y582" s="276"/>
      <c r="Z582" s="276"/>
      <c r="AA582" s="276"/>
      <c r="AB582" s="276"/>
      <c r="AC582" s="276"/>
      <c r="AD582" s="276"/>
      <c r="AE582" s="276"/>
    </row>
    <row r="583" spans="15:31">
      <c r="O583" s="276"/>
      <c r="P583" s="276"/>
      <c r="Q583" s="276"/>
      <c r="R583" s="276"/>
      <c r="S583" s="276"/>
      <c r="T583" s="276"/>
      <c r="U583" s="276"/>
      <c r="V583" s="276"/>
      <c r="W583" s="276"/>
      <c r="X583" s="276"/>
      <c r="Y583" s="276"/>
      <c r="Z583" s="276"/>
      <c r="AA583" s="276"/>
      <c r="AB583" s="276"/>
      <c r="AC583" s="276"/>
      <c r="AD583" s="276"/>
      <c r="AE583" s="276"/>
    </row>
    <row r="584" spans="15:31">
      <c r="O584" s="276"/>
      <c r="P584" s="276"/>
      <c r="Q584" s="276"/>
      <c r="R584" s="276"/>
      <c r="S584" s="276"/>
      <c r="T584" s="276"/>
      <c r="U584" s="276"/>
      <c r="V584" s="276"/>
      <c r="W584" s="276"/>
      <c r="X584" s="276"/>
      <c r="Y584" s="276"/>
      <c r="Z584" s="276"/>
      <c r="AA584" s="276"/>
      <c r="AB584" s="276"/>
      <c r="AC584" s="276"/>
      <c r="AD584" s="276"/>
      <c r="AE584" s="276"/>
    </row>
    <row r="585" spans="15:31">
      <c r="O585" s="276"/>
      <c r="P585" s="276"/>
      <c r="Q585" s="276"/>
      <c r="R585" s="276"/>
      <c r="S585" s="276"/>
      <c r="T585" s="276"/>
      <c r="U585" s="276"/>
      <c r="V585" s="276"/>
      <c r="W585" s="276"/>
      <c r="X585" s="276"/>
      <c r="Y585" s="276"/>
      <c r="Z585" s="276"/>
      <c r="AA585" s="276"/>
      <c r="AB585" s="276"/>
      <c r="AC585" s="276"/>
      <c r="AD585" s="276"/>
      <c r="AE585" s="276"/>
    </row>
    <row r="586" spans="15:31">
      <c r="O586" s="276"/>
      <c r="P586" s="276"/>
      <c r="Q586" s="276"/>
      <c r="R586" s="276"/>
      <c r="S586" s="276"/>
      <c r="T586" s="276"/>
      <c r="U586" s="276"/>
      <c r="V586" s="276"/>
      <c r="W586" s="276"/>
      <c r="X586" s="276"/>
      <c r="Y586" s="276"/>
      <c r="Z586" s="276"/>
      <c r="AA586" s="276"/>
      <c r="AB586" s="276"/>
      <c r="AC586" s="276"/>
      <c r="AD586" s="276"/>
      <c r="AE586" s="276"/>
    </row>
    <row r="587" spans="15:31">
      <c r="O587" s="276"/>
      <c r="P587" s="276"/>
      <c r="Q587" s="276"/>
      <c r="R587" s="276"/>
      <c r="S587" s="276"/>
      <c r="T587" s="276"/>
      <c r="U587" s="276"/>
      <c r="V587" s="276"/>
      <c r="W587" s="276"/>
      <c r="X587" s="276"/>
      <c r="Y587" s="276"/>
      <c r="Z587" s="276"/>
      <c r="AA587" s="276"/>
      <c r="AB587" s="276"/>
      <c r="AC587" s="276"/>
      <c r="AD587" s="276"/>
      <c r="AE587" s="276"/>
    </row>
    <row r="588" spans="15:31">
      <c r="O588" s="276"/>
      <c r="P588" s="276"/>
      <c r="Q588" s="276"/>
      <c r="R588" s="276"/>
      <c r="S588" s="276"/>
      <c r="T588" s="276"/>
      <c r="U588" s="276"/>
      <c r="V588" s="276"/>
      <c r="W588" s="276"/>
      <c r="X588" s="276"/>
      <c r="Y588" s="276"/>
      <c r="Z588" s="276"/>
      <c r="AA588" s="276"/>
      <c r="AB588" s="276"/>
      <c r="AC588" s="276"/>
      <c r="AD588" s="276"/>
      <c r="AE588" s="276"/>
    </row>
    <row r="589" spans="15:31">
      <c r="O589" s="276"/>
      <c r="P589" s="276"/>
      <c r="Q589" s="276"/>
      <c r="R589" s="276"/>
      <c r="S589" s="276"/>
      <c r="T589" s="276"/>
      <c r="U589" s="276"/>
      <c r="V589" s="276"/>
      <c r="W589" s="276"/>
      <c r="X589" s="276"/>
      <c r="Y589" s="276"/>
      <c r="Z589" s="276"/>
      <c r="AA589" s="276"/>
      <c r="AB589" s="276"/>
      <c r="AC589" s="276"/>
      <c r="AD589" s="276"/>
      <c r="AE589" s="276"/>
    </row>
    <row r="590" spans="15:31">
      <c r="O590" s="276"/>
      <c r="P590" s="276"/>
      <c r="Q590" s="276"/>
      <c r="R590" s="276"/>
      <c r="S590" s="276"/>
      <c r="T590" s="276"/>
      <c r="U590" s="276"/>
      <c r="V590" s="276"/>
      <c r="W590" s="276"/>
      <c r="X590" s="276"/>
      <c r="Y590" s="276"/>
      <c r="Z590" s="276"/>
      <c r="AA590" s="276"/>
      <c r="AB590" s="276"/>
      <c r="AC590" s="276"/>
      <c r="AD590" s="276"/>
      <c r="AE590" s="276"/>
    </row>
    <row r="591" spans="15:31">
      <c r="O591" s="276"/>
      <c r="P591" s="276"/>
      <c r="Q591" s="276"/>
      <c r="R591" s="276"/>
      <c r="S591" s="276"/>
      <c r="T591" s="276"/>
      <c r="U591" s="276"/>
      <c r="V591" s="276"/>
      <c r="W591" s="276"/>
      <c r="X591" s="276"/>
      <c r="Y591" s="276"/>
      <c r="Z591" s="276"/>
      <c r="AA591" s="276"/>
      <c r="AB591" s="276"/>
      <c r="AC591" s="276"/>
      <c r="AD591" s="276"/>
      <c r="AE591" s="276"/>
    </row>
    <row r="592" spans="15:31">
      <c r="O592" s="276"/>
      <c r="P592" s="276"/>
      <c r="Q592" s="276"/>
      <c r="R592" s="276"/>
      <c r="S592" s="276"/>
      <c r="T592" s="276"/>
      <c r="U592" s="276"/>
      <c r="V592" s="276"/>
      <c r="W592" s="276"/>
      <c r="X592" s="276"/>
      <c r="Y592" s="276"/>
      <c r="Z592" s="276"/>
      <c r="AA592" s="276"/>
      <c r="AB592" s="276"/>
      <c r="AC592" s="276"/>
      <c r="AD592" s="276"/>
      <c r="AE592" s="276"/>
    </row>
    <row r="593" spans="15:31">
      <c r="O593" s="276"/>
      <c r="P593" s="276"/>
      <c r="Q593" s="276"/>
      <c r="R593" s="276"/>
      <c r="S593" s="276"/>
      <c r="T593" s="276"/>
      <c r="U593" s="276"/>
      <c r="V593" s="276"/>
      <c r="W593" s="276"/>
      <c r="X593" s="276"/>
      <c r="Y593" s="276"/>
      <c r="Z593" s="276"/>
      <c r="AA593" s="276"/>
      <c r="AB593" s="276"/>
      <c r="AC593" s="276"/>
      <c r="AD593" s="276"/>
      <c r="AE593" s="276"/>
    </row>
    <row r="594" spans="15:31">
      <c r="O594" s="276"/>
      <c r="P594" s="276"/>
      <c r="Q594" s="276"/>
      <c r="R594" s="276"/>
      <c r="S594" s="276"/>
      <c r="T594" s="276"/>
      <c r="U594" s="276"/>
      <c r="V594" s="276"/>
      <c r="W594" s="276"/>
      <c r="X594" s="276"/>
      <c r="Y594" s="276"/>
      <c r="Z594" s="276"/>
      <c r="AA594" s="276"/>
      <c r="AB594" s="276"/>
      <c r="AC594" s="276"/>
      <c r="AD594" s="276"/>
      <c r="AE594" s="276"/>
    </row>
    <row r="595" spans="15:31">
      <c r="O595" s="276"/>
      <c r="P595" s="276"/>
      <c r="Q595" s="276"/>
      <c r="R595" s="276"/>
      <c r="S595" s="276"/>
      <c r="T595" s="276"/>
      <c r="U595" s="276"/>
      <c r="V595" s="276"/>
      <c r="W595" s="276"/>
      <c r="X595" s="276"/>
      <c r="Y595" s="276"/>
      <c r="Z595" s="276"/>
      <c r="AA595" s="276"/>
      <c r="AB595" s="276"/>
      <c r="AC595" s="276"/>
      <c r="AD595" s="276"/>
      <c r="AE595" s="276"/>
    </row>
    <row r="596" spans="15:31">
      <c r="O596" s="276"/>
      <c r="P596" s="276"/>
      <c r="Q596" s="276"/>
      <c r="R596" s="276"/>
      <c r="S596" s="276"/>
      <c r="T596" s="276"/>
      <c r="U596" s="276"/>
      <c r="V596" s="276"/>
      <c r="W596" s="276"/>
      <c r="X596" s="276"/>
      <c r="Y596" s="276"/>
      <c r="Z596" s="276"/>
      <c r="AA596" s="276"/>
      <c r="AB596" s="276"/>
      <c r="AC596" s="276"/>
      <c r="AD596" s="276"/>
      <c r="AE596" s="276"/>
    </row>
    <row r="597" spans="15:31">
      <c r="O597" s="276"/>
      <c r="P597" s="276"/>
      <c r="Q597" s="276"/>
      <c r="R597" s="276"/>
      <c r="S597" s="276"/>
      <c r="T597" s="276"/>
      <c r="U597" s="276"/>
      <c r="V597" s="276"/>
      <c r="W597" s="276"/>
      <c r="X597" s="276"/>
      <c r="Y597" s="276"/>
      <c r="Z597" s="276"/>
      <c r="AA597" s="276"/>
      <c r="AB597" s="276"/>
      <c r="AC597" s="276"/>
      <c r="AD597" s="276"/>
      <c r="AE597" s="276"/>
    </row>
    <row r="598" spans="15:31">
      <c r="O598" s="276"/>
      <c r="P598" s="276"/>
      <c r="Q598" s="276"/>
      <c r="R598" s="276"/>
      <c r="S598" s="276"/>
      <c r="T598" s="276"/>
      <c r="U598" s="276"/>
      <c r="V598" s="276"/>
      <c r="W598" s="276"/>
      <c r="X598" s="276"/>
      <c r="Y598" s="276"/>
      <c r="Z598" s="276"/>
      <c r="AA598" s="276"/>
      <c r="AB598" s="276"/>
      <c r="AC598" s="276"/>
      <c r="AD598" s="276"/>
      <c r="AE598" s="276"/>
    </row>
    <row r="599" spans="15:31">
      <c r="O599" s="276"/>
      <c r="P599" s="276"/>
      <c r="Q599" s="276"/>
      <c r="R599" s="276"/>
      <c r="S599" s="276"/>
      <c r="T599" s="276"/>
      <c r="U599" s="276"/>
      <c r="V599" s="276"/>
      <c r="W599" s="276"/>
      <c r="X599" s="276"/>
      <c r="Y599" s="276"/>
      <c r="Z599" s="276"/>
      <c r="AA599" s="276"/>
      <c r="AB599" s="276"/>
      <c r="AC599" s="276"/>
      <c r="AD599" s="276"/>
      <c r="AE599" s="276"/>
    </row>
    <row r="600" spans="15:31">
      <c r="O600" s="276"/>
      <c r="P600" s="276"/>
      <c r="Q600" s="276"/>
      <c r="R600" s="276"/>
      <c r="S600" s="276"/>
      <c r="T600" s="276"/>
      <c r="U600" s="276"/>
      <c r="V600" s="276"/>
      <c r="W600" s="276"/>
      <c r="X600" s="276"/>
      <c r="Y600" s="276"/>
      <c r="Z600" s="276"/>
      <c r="AA600" s="276"/>
      <c r="AB600" s="276"/>
      <c r="AC600" s="276"/>
      <c r="AD600" s="276"/>
      <c r="AE600" s="276"/>
    </row>
    <row r="601" spans="15:31">
      <c r="O601" s="276"/>
      <c r="P601" s="276"/>
      <c r="Q601" s="276"/>
      <c r="R601" s="276"/>
      <c r="S601" s="276"/>
      <c r="T601" s="276"/>
      <c r="U601" s="276"/>
      <c r="V601" s="276"/>
      <c r="W601" s="276"/>
      <c r="X601" s="276"/>
      <c r="Y601" s="276"/>
      <c r="Z601" s="276"/>
      <c r="AA601" s="276"/>
      <c r="AB601" s="276"/>
      <c r="AC601" s="276"/>
      <c r="AD601" s="276"/>
      <c r="AE601" s="276"/>
    </row>
    <row r="602" spans="15:31">
      <c r="O602" s="276"/>
      <c r="P602" s="276"/>
      <c r="Q602" s="276"/>
      <c r="R602" s="276"/>
      <c r="S602" s="276"/>
      <c r="T602" s="276"/>
      <c r="U602" s="276"/>
      <c r="V602" s="276"/>
      <c r="W602" s="276"/>
      <c r="X602" s="276"/>
      <c r="Y602" s="276"/>
      <c r="Z602" s="276"/>
      <c r="AA602" s="276"/>
      <c r="AB602" s="276"/>
      <c r="AC602" s="276"/>
      <c r="AD602" s="276"/>
      <c r="AE602" s="276"/>
    </row>
    <row r="603" spans="15:31">
      <c r="O603" s="276"/>
      <c r="P603" s="276"/>
      <c r="Q603" s="276"/>
      <c r="R603" s="276"/>
      <c r="S603" s="276"/>
      <c r="T603" s="276"/>
      <c r="U603" s="276"/>
      <c r="V603" s="276"/>
      <c r="W603" s="276"/>
      <c r="X603" s="276"/>
      <c r="Y603" s="276"/>
      <c r="Z603" s="276"/>
      <c r="AA603" s="276"/>
      <c r="AB603" s="276"/>
      <c r="AC603" s="276"/>
      <c r="AD603" s="276"/>
      <c r="AE603" s="276"/>
    </row>
    <row r="604" spans="15:31">
      <c r="O604" s="276"/>
      <c r="P604" s="276"/>
      <c r="Q604" s="276"/>
      <c r="R604" s="276"/>
      <c r="S604" s="276"/>
      <c r="T604" s="276"/>
      <c r="U604" s="276"/>
      <c r="V604" s="276"/>
      <c r="W604" s="276"/>
      <c r="X604" s="276"/>
      <c r="Y604" s="276"/>
      <c r="Z604" s="276"/>
      <c r="AA604" s="276"/>
      <c r="AB604" s="276"/>
      <c r="AC604" s="276"/>
      <c r="AD604" s="276"/>
      <c r="AE604" s="276"/>
    </row>
    <row r="605" spans="15:31">
      <c r="O605" s="276"/>
      <c r="P605" s="276"/>
      <c r="Q605" s="276"/>
      <c r="R605" s="276"/>
      <c r="S605" s="276"/>
      <c r="T605" s="276"/>
      <c r="U605" s="276"/>
      <c r="V605" s="276"/>
      <c r="W605" s="276"/>
      <c r="X605" s="276"/>
      <c r="Y605" s="276"/>
      <c r="Z605" s="276"/>
      <c r="AA605" s="276"/>
      <c r="AB605" s="276"/>
      <c r="AC605" s="276"/>
      <c r="AD605" s="276"/>
      <c r="AE605" s="276"/>
    </row>
    <row r="606" spans="15:31">
      <c r="O606" s="276"/>
      <c r="P606" s="276"/>
      <c r="Q606" s="276"/>
      <c r="R606" s="276"/>
      <c r="S606" s="276"/>
      <c r="T606" s="276"/>
      <c r="U606" s="276"/>
      <c r="V606" s="276"/>
      <c r="W606" s="276"/>
      <c r="X606" s="276"/>
      <c r="Y606" s="276"/>
      <c r="Z606" s="276"/>
      <c r="AA606" s="276"/>
      <c r="AB606" s="276"/>
      <c r="AC606" s="276"/>
      <c r="AD606" s="276"/>
      <c r="AE606" s="276"/>
    </row>
    <row r="607" spans="15:31">
      <c r="O607" s="276"/>
      <c r="P607" s="276"/>
      <c r="Q607" s="276"/>
      <c r="R607" s="276"/>
      <c r="S607" s="276"/>
      <c r="T607" s="276"/>
      <c r="U607" s="276"/>
      <c r="V607" s="276"/>
      <c r="W607" s="276"/>
      <c r="X607" s="276"/>
      <c r="Y607" s="276"/>
      <c r="Z607" s="276"/>
      <c r="AA607" s="276"/>
      <c r="AB607" s="276"/>
      <c r="AC607" s="276"/>
      <c r="AD607" s="276"/>
      <c r="AE607" s="276"/>
    </row>
    <row r="608" spans="15:31">
      <c r="O608" s="276"/>
      <c r="P608" s="276"/>
      <c r="Q608" s="276"/>
      <c r="R608" s="276"/>
      <c r="S608" s="276"/>
      <c r="T608" s="276"/>
      <c r="U608" s="276"/>
      <c r="V608" s="276"/>
      <c r="W608" s="276"/>
      <c r="X608" s="276"/>
      <c r="Y608" s="276"/>
      <c r="Z608" s="276"/>
      <c r="AA608" s="276"/>
      <c r="AB608" s="276"/>
      <c r="AC608" s="276"/>
      <c r="AD608" s="276"/>
      <c r="AE608" s="276"/>
    </row>
    <row r="609" spans="15:31">
      <c r="O609" s="276"/>
      <c r="P609" s="276"/>
      <c r="Q609" s="276"/>
      <c r="R609" s="276"/>
      <c r="S609" s="276"/>
      <c r="T609" s="276"/>
      <c r="U609" s="276"/>
      <c r="V609" s="276"/>
      <c r="W609" s="276"/>
      <c r="X609" s="276"/>
      <c r="Y609" s="276"/>
      <c r="Z609" s="276"/>
      <c r="AA609" s="276"/>
      <c r="AB609" s="276"/>
      <c r="AC609" s="276"/>
      <c r="AD609" s="276"/>
      <c r="AE609" s="276"/>
    </row>
    <row r="610" spans="15:31">
      <c r="O610" s="276"/>
      <c r="P610" s="276"/>
      <c r="Q610" s="276"/>
      <c r="R610" s="276"/>
      <c r="S610" s="276"/>
      <c r="T610" s="276"/>
      <c r="U610" s="276"/>
      <c r="V610" s="276"/>
      <c r="W610" s="276"/>
      <c r="X610" s="276"/>
      <c r="Y610" s="276"/>
      <c r="Z610" s="276"/>
      <c r="AA610" s="276"/>
      <c r="AB610" s="276"/>
      <c r="AC610" s="276"/>
      <c r="AD610" s="276"/>
      <c r="AE610" s="276"/>
    </row>
    <row r="611" spans="15:31">
      <c r="O611" s="276"/>
      <c r="P611" s="276"/>
      <c r="Q611" s="276"/>
      <c r="R611" s="276"/>
      <c r="S611" s="276"/>
      <c r="T611" s="276"/>
      <c r="U611" s="276"/>
      <c r="V611" s="276"/>
      <c r="W611" s="276"/>
      <c r="X611" s="276"/>
      <c r="Y611" s="276"/>
      <c r="Z611" s="276"/>
      <c r="AA611" s="276"/>
      <c r="AB611" s="276"/>
      <c r="AC611" s="276"/>
      <c r="AD611" s="276"/>
      <c r="AE611" s="276"/>
    </row>
    <row r="612" spans="15:31">
      <c r="O612" s="276"/>
      <c r="P612" s="276"/>
      <c r="Q612" s="276"/>
      <c r="R612" s="276"/>
      <c r="S612" s="276"/>
      <c r="T612" s="276"/>
      <c r="U612" s="276"/>
      <c r="V612" s="276"/>
      <c r="W612" s="276"/>
      <c r="X612" s="276"/>
      <c r="Y612" s="276"/>
      <c r="Z612" s="276"/>
      <c r="AA612" s="276"/>
      <c r="AB612" s="276"/>
      <c r="AC612" s="276"/>
      <c r="AD612" s="276"/>
      <c r="AE612" s="276"/>
    </row>
    <row r="613" spans="15:31">
      <c r="O613" s="276"/>
      <c r="P613" s="276"/>
      <c r="Q613" s="276"/>
      <c r="R613" s="276"/>
      <c r="S613" s="276"/>
      <c r="T613" s="276"/>
      <c r="U613" s="276"/>
      <c r="V613" s="276"/>
      <c r="W613" s="276"/>
      <c r="X613" s="276"/>
      <c r="Y613" s="276"/>
      <c r="Z613" s="276"/>
      <c r="AA613" s="276"/>
      <c r="AB613" s="276"/>
      <c r="AC613" s="276"/>
      <c r="AD613" s="276"/>
      <c r="AE613" s="276"/>
    </row>
    <row r="614" spans="15:31">
      <c r="O614" s="276"/>
      <c r="P614" s="276"/>
      <c r="Q614" s="276"/>
      <c r="R614" s="276"/>
      <c r="S614" s="276"/>
      <c r="T614" s="276"/>
      <c r="U614" s="276"/>
      <c r="V614" s="276"/>
      <c r="W614" s="276"/>
      <c r="X614" s="276"/>
      <c r="Y614" s="276"/>
      <c r="Z614" s="276"/>
      <c r="AA614" s="276"/>
      <c r="AB614" s="276"/>
      <c r="AC614" s="276"/>
      <c r="AD614" s="276"/>
      <c r="AE614" s="276"/>
    </row>
    <row r="615" spans="15:31">
      <c r="O615" s="276"/>
      <c r="P615" s="276"/>
      <c r="Q615" s="276"/>
      <c r="R615" s="276"/>
      <c r="S615" s="276"/>
      <c r="T615" s="276"/>
      <c r="U615" s="276"/>
      <c r="V615" s="276"/>
      <c r="W615" s="276"/>
      <c r="X615" s="276"/>
      <c r="Y615" s="276"/>
      <c r="Z615" s="276"/>
      <c r="AA615" s="276"/>
      <c r="AB615" s="276"/>
      <c r="AC615" s="276"/>
      <c r="AD615" s="276"/>
      <c r="AE615" s="276"/>
    </row>
    <row r="616" spans="15:31">
      <c r="O616" s="276"/>
      <c r="P616" s="276"/>
      <c r="Q616" s="276"/>
      <c r="R616" s="276"/>
      <c r="S616" s="276"/>
      <c r="T616" s="276"/>
      <c r="U616" s="276"/>
      <c r="V616" s="276"/>
      <c r="W616" s="276"/>
      <c r="X616" s="276"/>
      <c r="Y616" s="276"/>
      <c r="Z616" s="276"/>
      <c r="AA616" s="276"/>
      <c r="AB616" s="276"/>
      <c r="AC616" s="276"/>
      <c r="AD616" s="276"/>
      <c r="AE616" s="276"/>
    </row>
    <row r="617" spans="15:31">
      <c r="O617" s="276"/>
      <c r="P617" s="276"/>
      <c r="Q617" s="276"/>
      <c r="R617" s="276"/>
      <c r="S617" s="276"/>
      <c r="T617" s="276"/>
      <c r="U617" s="276"/>
      <c r="V617" s="276"/>
      <c r="W617" s="276"/>
      <c r="X617" s="276"/>
      <c r="Y617" s="276"/>
      <c r="Z617" s="276"/>
      <c r="AA617" s="276"/>
      <c r="AB617" s="276"/>
      <c r="AC617" s="276"/>
      <c r="AD617" s="276"/>
      <c r="AE617" s="276"/>
    </row>
    <row r="618" spans="15:31">
      <c r="O618" s="276"/>
      <c r="P618" s="276"/>
      <c r="Q618" s="276"/>
      <c r="R618" s="276"/>
      <c r="S618" s="276"/>
      <c r="T618" s="276"/>
      <c r="U618" s="276"/>
      <c r="V618" s="276"/>
      <c r="W618" s="276"/>
      <c r="X618" s="276"/>
      <c r="Y618" s="276"/>
      <c r="Z618" s="276"/>
      <c r="AA618" s="276"/>
      <c r="AB618" s="276"/>
      <c r="AC618" s="276"/>
      <c r="AD618" s="276"/>
      <c r="AE618" s="276"/>
    </row>
    <row r="619" spans="15:31">
      <c r="O619" s="276"/>
      <c r="P619" s="276"/>
      <c r="Q619" s="276"/>
      <c r="R619" s="276"/>
      <c r="S619" s="276"/>
      <c r="T619" s="276"/>
      <c r="U619" s="276"/>
      <c r="V619" s="276"/>
      <c r="W619" s="276"/>
      <c r="X619" s="276"/>
      <c r="Y619" s="276"/>
      <c r="Z619" s="276"/>
      <c r="AA619" s="276"/>
      <c r="AB619" s="276"/>
      <c r="AC619" s="276"/>
      <c r="AD619" s="276"/>
      <c r="AE619" s="276"/>
    </row>
    <row r="620" spans="15:31">
      <c r="O620" s="276"/>
      <c r="P620" s="276"/>
      <c r="Q620" s="276"/>
      <c r="R620" s="276"/>
      <c r="S620" s="276"/>
      <c r="T620" s="276"/>
      <c r="U620" s="276"/>
      <c r="V620" s="276"/>
      <c r="W620" s="276"/>
      <c r="X620" s="276"/>
      <c r="Y620" s="276"/>
      <c r="Z620" s="276"/>
      <c r="AA620" s="276"/>
      <c r="AB620" s="276"/>
      <c r="AC620" s="276"/>
      <c r="AD620" s="276"/>
      <c r="AE620" s="276"/>
    </row>
    <row r="621" spans="15:31">
      <c r="O621" s="276"/>
      <c r="P621" s="276"/>
      <c r="Q621" s="276"/>
      <c r="R621" s="276"/>
      <c r="S621" s="276"/>
      <c r="T621" s="276"/>
      <c r="U621" s="276"/>
      <c r="V621" s="276"/>
      <c r="W621" s="276"/>
      <c r="X621" s="276"/>
      <c r="Y621" s="276"/>
      <c r="Z621" s="276"/>
      <c r="AA621" s="276"/>
      <c r="AB621" s="276"/>
      <c r="AC621" s="276"/>
      <c r="AD621" s="276"/>
      <c r="AE621" s="276"/>
    </row>
    <row r="622" spans="15:31">
      <c r="O622" s="276"/>
      <c r="P622" s="276"/>
      <c r="Q622" s="276"/>
      <c r="R622" s="276"/>
      <c r="S622" s="276"/>
      <c r="T622" s="276"/>
      <c r="U622" s="276"/>
      <c r="V622" s="276"/>
      <c r="W622" s="276"/>
      <c r="X622" s="276"/>
      <c r="Y622" s="276"/>
      <c r="Z622" s="276"/>
      <c r="AA622" s="276"/>
      <c r="AB622" s="276"/>
      <c r="AC622" s="276"/>
      <c r="AD622" s="276"/>
      <c r="AE622" s="276"/>
    </row>
    <row r="623" spans="15:31">
      <c r="O623" s="276"/>
      <c r="P623" s="276"/>
      <c r="Q623" s="276"/>
      <c r="R623" s="276"/>
      <c r="S623" s="276"/>
      <c r="T623" s="276"/>
      <c r="U623" s="276"/>
      <c r="V623" s="276"/>
      <c r="W623" s="276"/>
      <c r="X623" s="276"/>
      <c r="Y623" s="276"/>
      <c r="Z623" s="276"/>
      <c r="AA623" s="276"/>
      <c r="AB623" s="276"/>
      <c r="AC623" s="276"/>
      <c r="AD623" s="276"/>
      <c r="AE623" s="276"/>
    </row>
    <row r="624" spans="15:31">
      <c r="O624" s="276"/>
      <c r="P624" s="276"/>
      <c r="Q624" s="276"/>
      <c r="R624" s="276"/>
      <c r="S624" s="276"/>
      <c r="T624" s="276"/>
      <c r="U624" s="276"/>
      <c r="V624" s="276"/>
      <c r="W624" s="276"/>
      <c r="X624" s="276"/>
      <c r="Y624" s="276"/>
      <c r="Z624" s="276"/>
      <c r="AA624" s="276"/>
      <c r="AB624" s="276"/>
      <c r="AC624" s="276"/>
      <c r="AD624" s="276"/>
      <c r="AE624" s="276"/>
    </row>
    <row r="625" spans="15:31">
      <c r="O625" s="276"/>
      <c r="P625" s="276"/>
      <c r="Q625" s="276"/>
      <c r="R625" s="276"/>
      <c r="S625" s="276"/>
      <c r="T625" s="276"/>
      <c r="U625" s="276"/>
      <c r="V625" s="276"/>
      <c r="W625" s="276"/>
      <c r="X625" s="276"/>
      <c r="Y625" s="276"/>
      <c r="Z625" s="276"/>
      <c r="AA625" s="276"/>
      <c r="AB625" s="276"/>
      <c r="AC625" s="276"/>
      <c r="AD625" s="276"/>
      <c r="AE625" s="276"/>
    </row>
    <row r="626" spans="15:31">
      <c r="O626" s="276"/>
      <c r="P626" s="276"/>
      <c r="Q626" s="276"/>
      <c r="R626" s="276"/>
      <c r="S626" s="276"/>
      <c r="T626" s="276"/>
      <c r="U626" s="276"/>
      <c r="V626" s="276"/>
      <c r="W626" s="276"/>
      <c r="X626" s="276"/>
      <c r="Y626" s="276"/>
      <c r="Z626" s="276"/>
      <c r="AA626" s="276"/>
      <c r="AB626" s="276"/>
      <c r="AC626" s="276"/>
      <c r="AD626" s="276"/>
      <c r="AE626" s="276"/>
    </row>
    <row r="627" spans="15:31">
      <c r="O627" s="276"/>
      <c r="P627" s="276"/>
      <c r="Q627" s="276"/>
      <c r="R627" s="276"/>
      <c r="S627" s="276"/>
      <c r="T627" s="276"/>
      <c r="U627" s="276"/>
      <c r="V627" s="276"/>
      <c r="W627" s="276"/>
      <c r="X627" s="276"/>
      <c r="Y627" s="276"/>
      <c r="Z627" s="276"/>
      <c r="AA627" s="276"/>
      <c r="AB627" s="276"/>
      <c r="AC627" s="276"/>
      <c r="AD627" s="276"/>
      <c r="AE627" s="276"/>
    </row>
    <row r="628" spans="15:31">
      <c r="O628" s="276"/>
      <c r="P628" s="276"/>
      <c r="Q628" s="276"/>
      <c r="R628" s="276"/>
      <c r="S628" s="276"/>
      <c r="T628" s="276"/>
      <c r="U628" s="276"/>
      <c r="V628" s="276"/>
      <c r="W628" s="276"/>
      <c r="X628" s="276"/>
      <c r="Y628" s="276"/>
      <c r="Z628" s="276"/>
      <c r="AA628" s="276"/>
      <c r="AB628" s="276"/>
      <c r="AC628" s="276"/>
      <c r="AD628" s="276"/>
      <c r="AE628" s="276"/>
    </row>
    <row r="629" spans="15:31">
      <c r="O629" s="276"/>
      <c r="P629" s="276"/>
      <c r="Q629" s="276"/>
      <c r="R629" s="276"/>
      <c r="S629" s="276"/>
      <c r="T629" s="276"/>
      <c r="U629" s="276"/>
      <c r="V629" s="276"/>
      <c r="W629" s="276"/>
      <c r="X629" s="276"/>
      <c r="Y629" s="276"/>
      <c r="Z629" s="276"/>
      <c r="AA629" s="276"/>
      <c r="AB629" s="276"/>
      <c r="AC629" s="276"/>
      <c r="AD629" s="276"/>
      <c r="AE629" s="276"/>
    </row>
    <row r="630" spans="15:31">
      <c r="O630" s="276"/>
      <c r="P630" s="276"/>
      <c r="Q630" s="276"/>
      <c r="R630" s="276"/>
      <c r="S630" s="276"/>
      <c r="T630" s="276"/>
      <c r="U630" s="276"/>
      <c r="V630" s="276"/>
      <c r="W630" s="276"/>
      <c r="X630" s="276"/>
      <c r="Y630" s="276"/>
      <c r="Z630" s="276"/>
      <c r="AA630" s="276"/>
      <c r="AB630" s="276"/>
      <c r="AC630" s="276"/>
      <c r="AD630" s="276"/>
      <c r="AE630" s="276"/>
    </row>
    <row r="631" spans="15:31">
      <c r="O631" s="276"/>
      <c r="P631" s="276"/>
      <c r="Q631" s="276"/>
      <c r="R631" s="276"/>
      <c r="S631" s="276"/>
      <c r="T631" s="276"/>
      <c r="U631" s="276"/>
      <c r="V631" s="276"/>
      <c r="W631" s="276"/>
      <c r="X631" s="276"/>
      <c r="Y631" s="276"/>
      <c r="Z631" s="276"/>
      <c r="AA631" s="276"/>
      <c r="AB631" s="276"/>
      <c r="AC631" s="276"/>
      <c r="AD631" s="276"/>
      <c r="AE631" s="276"/>
    </row>
    <row r="632" spans="15:31">
      <c r="O632" s="276"/>
      <c r="P632" s="276"/>
      <c r="Q632" s="276"/>
      <c r="R632" s="276"/>
      <c r="S632" s="276"/>
      <c r="T632" s="276"/>
      <c r="U632" s="276"/>
      <c r="V632" s="276"/>
      <c r="W632" s="276"/>
      <c r="X632" s="276"/>
      <c r="Y632" s="276"/>
      <c r="Z632" s="276"/>
      <c r="AA632" s="276"/>
      <c r="AB632" s="276"/>
      <c r="AC632" s="276"/>
      <c r="AD632" s="276"/>
      <c r="AE632" s="276"/>
    </row>
    <row r="633" spans="15:31">
      <c r="O633" s="276"/>
      <c r="P633" s="276"/>
      <c r="Q633" s="276"/>
      <c r="R633" s="276"/>
      <c r="S633" s="276"/>
      <c r="T633" s="276"/>
      <c r="U633" s="276"/>
      <c r="V633" s="276"/>
      <c r="W633" s="276"/>
      <c r="X633" s="276"/>
      <c r="Y633" s="276"/>
      <c r="Z633" s="276"/>
      <c r="AA633" s="276"/>
      <c r="AB633" s="276"/>
      <c r="AC633" s="276"/>
      <c r="AD633" s="276"/>
      <c r="AE633" s="276"/>
    </row>
    <row r="634" spans="15:31">
      <c r="O634" s="276"/>
      <c r="P634" s="276"/>
      <c r="Q634" s="276"/>
      <c r="R634" s="276"/>
      <c r="S634" s="276"/>
      <c r="T634" s="276"/>
      <c r="U634" s="276"/>
      <c r="V634" s="276"/>
      <c r="W634" s="276"/>
      <c r="X634" s="276"/>
      <c r="Y634" s="276"/>
      <c r="Z634" s="276"/>
      <c r="AA634" s="276"/>
      <c r="AB634" s="276"/>
      <c r="AC634" s="276"/>
      <c r="AD634" s="276"/>
      <c r="AE634" s="276"/>
    </row>
    <row r="635" spans="15:31">
      <c r="O635" s="276"/>
      <c r="P635" s="276"/>
      <c r="Q635" s="276"/>
      <c r="R635" s="276"/>
      <c r="S635" s="276"/>
      <c r="T635" s="276"/>
      <c r="U635" s="276"/>
      <c r="V635" s="276"/>
      <c r="W635" s="276"/>
      <c r="X635" s="276"/>
      <c r="Y635" s="276"/>
      <c r="Z635" s="276"/>
      <c r="AA635" s="276"/>
      <c r="AB635" s="276"/>
      <c r="AC635" s="276"/>
      <c r="AD635" s="276"/>
      <c r="AE635" s="276"/>
    </row>
    <row r="636" spans="15:31">
      <c r="O636" s="276"/>
      <c r="P636" s="276"/>
      <c r="Q636" s="276"/>
      <c r="R636" s="276"/>
      <c r="S636" s="276"/>
      <c r="T636" s="276"/>
      <c r="U636" s="276"/>
      <c r="V636" s="276"/>
      <c r="W636" s="276"/>
      <c r="X636" s="276"/>
      <c r="Y636" s="276"/>
      <c r="Z636" s="276"/>
      <c r="AA636" s="276"/>
      <c r="AB636" s="276"/>
      <c r="AC636" s="276"/>
      <c r="AD636" s="276"/>
      <c r="AE636" s="276"/>
    </row>
    <row r="637" spans="15:31">
      <c r="O637" s="276"/>
      <c r="P637" s="276"/>
      <c r="Q637" s="276"/>
      <c r="R637" s="276"/>
      <c r="S637" s="276"/>
      <c r="T637" s="276"/>
      <c r="U637" s="276"/>
      <c r="V637" s="276"/>
      <c r="W637" s="276"/>
      <c r="X637" s="276"/>
      <c r="Y637" s="276"/>
      <c r="Z637" s="276"/>
      <c r="AA637" s="276"/>
      <c r="AB637" s="276"/>
      <c r="AC637" s="276"/>
      <c r="AD637" s="276"/>
      <c r="AE637" s="276"/>
    </row>
    <row r="638" spans="15:31">
      <c r="O638" s="276"/>
      <c r="P638" s="276"/>
      <c r="Q638" s="276"/>
      <c r="R638" s="276"/>
      <c r="S638" s="276"/>
      <c r="T638" s="276"/>
      <c r="U638" s="276"/>
      <c r="V638" s="276"/>
      <c r="W638" s="276"/>
      <c r="X638" s="276"/>
      <c r="Y638" s="276"/>
      <c r="Z638" s="276"/>
      <c r="AA638" s="276"/>
      <c r="AB638" s="276"/>
      <c r="AC638" s="276"/>
      <c r="AD638" s="276"/>
      <c r="AE638" s="276"/>
    </row>
    <row r="639" spans="15:31">
      <c r="O639" s="276"/>
      <c r="P639" s="276"/>
      <c r="Q639" s="276"/>
      <c r="R639" s="276"/>
      <c r="S639" s="276"/>
      <c r="T639" s="276"/>
      <c r="U639" s="276"/>
      <c r="V639" s="276"/>
      <c r="W639" s="276"/>
      <c r="X639" s="276"/>
      <c r="Y639" s="276"/>
      <c r="Z639" s="276"/>
      <c r="AA639" s="276"/>
      <c r="AB639" s="276"/>
      <c r="AC639" s="276"/>
      <c r="AD639" s="276"/>
      <c r="AE639" s="276"/>
    </row>
    <row r="640" spans="15:31">
      <c r="O640" s="276"/>
      <c r="P640" s="276"/>
      <c r="Q640" s="276"/>
      <c r="R640" s="276"/>
      <c r="S640" s="276"/>
      <c r="T640" s="276"/>
      <c r="U640" s="276"/>
      <c r="V640" s="276"/>
      <c r="W640" s="276"/>
      <c r="X640" s="276"/>
      <c r="Y640" s="276"/>
      <c r="Z640" s="276"/>
      <c r="AA640" s="276"/>
      <c r="AB640" s="276"/>
      <c r="AC640" s="276"/>
      <c r="AD640" s="276"/>
      <c r="AE640" s="276"/>
    </row>
    <row r="641" spans="15:31">
      <c r="O641" s="276"/>
      <c r="P641" s="276"/>
      <c r="Q641" s="276"/>
      <c r="R641" s="276"/>
      <c r="S641" s="276"/>
      <c r="T641" s="276"/>
      <c r="U641" s="276"/>
      <c r="V641" s="276"/>
      <c r="W641" s="276"/>
      <c r="X641" s="276"/>
      <c r="Y641" s="276"/>
      <c r="Z641" s="276"/>
      <c r="AA641" s="276"/>
      <c r="AB641" s="276"/>
      <c r="AC641" s="276"/>
      <c r="AD641" s="276"/>
      <c r="AE641" s="276"/>
    </row>
    <row r="642" spans="15:31">
      <c r="O642" s="276"/>
      <c r="P642" s="276"/>
      <c r="Q642" s="276"/>
      <c r="R642" s="276"/>
      <c r="S642" s="276"/>
      <c r="T642" s="276"/>
      <c r="U642" s="276"/>
      <c r="V642" s="276"/>
      <c r="W642" s="276"/>
      <c r="X642" s="276"/>
      <c r="Y642" s="276"/>
      <c r="Z642" s="276"/>
      <c r="AA642" s="276"/>
      <c r="AB642" s="276"/>
      <c r="AC642" s="276"/>
      <c r="AD642" s="276"/>
      <c r="AE642" s="276"/>
    </row>
    <row r="643" spans="15:31">
      <c r="O643" s="276"/>
      <c r="P643" s="276"/>
      <c r="Q643" s="276"/>
      <c r="R643" s="276"/>
      <c r="S643" s="276"/>
      <c r="T643" s="276"/>
      <c r="U643" s="276"/>
      <c r="V643" s="276"/>
      <c r="W643" s="276"/>
      <c r="X643" s="276"/>
      <c r="Y643" s="276"/>
      <c r="Z643" s="276"/>
      <c r="AA643" s="276"/>
      <c r="AB643" s="276"/>
      <c r="AC643" s="276"/>
      <c r="AD643" s="276"/>
      <c r="AE643" s="276"/>
    </row>
    <row r="644" spans="15:31">
      <c r="O644" s="276"/>
      <c r="P644" s="276"/>
      <c r="Q644" s="276"/>
      <c r="R644" s="276"/>
      <c r="S644" s="276"/>
      <c r="T644" s="276"/>
      <c r="U644" s="276"/>
      <c r="V644" s="276"/>
      <c r="W644" s="276"/>
      <c r="X644" s="276"/>
      <c r="Y644" s="276"/>
      <c r="Z644" s="276"/>
      <c r="AA644" s="276"/>
      <c r="AB644" s="276"/>
      <c r="AC644" s="276"/>
      <c r="AD644" s="276"/>
      <c r="AE644" s="276"/>
    </row>
    <row r="645" spans="15:31">
      <c r="O645" s="276"/>
      <c r="P645" s="276"/>
      <c r="Q645" s="276"/>
      <c r="R645" s="276"/>
      <c r="S645" s="276"/>
      <c r="T645" s="276"/>
      <c r="U645" s="276"/>
      <c r="V645" s="276"/>
      <c r="W645" s="276"/>
      <c r="X645" s="276"/>
      <c r="Y645" s="276"/>
      <c r="Z645" s="276"/>
      <c r="AA645" s="276"/>
      <c r="AB645" s="276"/>
      <c r="AC645" s="276"/>
      <c r="AD645" s="276"/>
      <c r="AE645" s="276"/>
    </row>
    <row r="646" spans="15:31">
      <c r="O646" s="276"/>
      <c r="P646" s="276"/>
      <c r="Q646" s="276"/>
      <c r="R646" s="276"/>
      <c r="S646" s="276"/>
      <c r="T646" s="276"/>
      <c r="U646" s="276"/>
      <c r="V646" s="276"/>
      <c r="W646" s="276"/>
      <c r="X646" s="276"/>
      <c r="Y646" s="276"/>
      <c r="Z646" s="276"/>
      <c r="AA646" s="276"/>
      <c r="AB646" s="276"/>
      <c r="AC646" s="276"/>
      <c r="AD646" s="276"/>
      <c r="AE646" s="276"/>
    </row>
    <row r="647" spans="15:31">
      <c r="O647" s="276"/>
      <c r="P647" s="276"/>
      <c r="Q647" s="276"/>
      <c r="R647" s="276"/>
      <c r="S647" s="276"/>
      <c r="T647" s="276"/>
      <c r="U647" s="276"/>
      <c r="V647" s="276"/>
      <c r="W647" s="276"/>
      <c r="X647" s="276"/>
      <c r="Y647" s="276"/>
      <c r="Z647" s="276"/>
      <c r="AA647" s="276"/>
      <c r="AB647" s="276"/>
      <c r="AC647" s="276"/>
      <c r="AD647" s="276"/>
      <c r="AE647" s="276"/>
    </row>
    <row r="648" spans="15:31">
      <c r="O648" s="276"/>
      <c r="P648" s="276"/>
      <c r="Q648" s="276"/>
      <c r="R648" s="276"/>
      <c r="S648" s="276"/>
      <c r="T648" s="276"/>
      <c r="U648" s="276"/>
      <c r="V648" s="276"/>
      <c r="W648" s="276"/>
      <c r="X648" s="276"/>
      <c r="Y648" s="276"/>
      <c r="Z648" s="276"/>
      <c r="AA648" s="276"/>
      <c r="AB648" s="276"/>
      <c r="AC648" s="276"/>
      <c r="AD648" s="276"/>
      <c r="AE648" s="276"/>
    </row>
    <row r="649" spans="15:31">
      <c r="O649" s="276"/>
      <c r="P649" s="276"/>
      <c r="Q649" s="276"/>
      <c r="R649" s="276"/>
      <c r="S649" s="276"/>
      <c r="T649" s="276"/>
      <c r="U649" s="276"/>
      <c r="V649" s="276"/>
      <c r="W649" s="276"/>
      <c r="X649" s="276"/>
      <c r="Y649" s="276"/>
      <c r="Z649" s="276"/>
      <c r="AA649" s="276"/>
      <c r="AB649" s="276"/>
      <c r="AC649" s="276"/>
      <c r="AD649" s="276"/>
      <c r="AE649" s="276"/>
    </row>
    <row r="650" spans="15:31">
      <c r="O650" s="276"/>
      <c r="P650" s="276"/>
      <c r="Q650" s="276"/>
      <c r="R650" s="276"/>
      <c r="S650" s="276"/>
      <c r="T650" s="276"/>
      <c r="U650" s="276"/>
      <c r="V650" s="276"/>
      <c r="W650" s="276"/>
      <c r="X650" s="276"/>
      <c r="Y650" s="276"/>
      <c r="Z650" s="276"/>
      <c r="AA650" s="276"/>
      <c r="AB650" s="276"/>
      <c r="AC650" s="276"/>
      <c r="AD650" s="276"/>
      <c r="AE650" s="276"/>
    </row>
    <row r="651" spans="15:31">
      <c r="O651" s="276"/>
      <c r="P651" s="276"/>
      <c r="Q651" s="276"/>
      <c r="R651" s="276"/>
      <c r="S651" s="276"/>
      <c r="T651" s="276"/>
      <c r="U651" s="276"/>
      <c r="V651" s="276"/>
      <c r="W651" s="276"/>
      <c r="X651" s="276"/>
      <c r="Y651" s="276"/>
      <c r="Z651" s="276"/>
      <c r="AA651" s="276"/>
      <c r="AB651" s="276"/>
      <c r="AC651" s="276"/>
      <c r="AD651" s="276"/>
      <c r="AE651" s="276"/>
    </row>
    <row r="652" spans="15:31">
      <c r="O652" s="276"/>
      <c r="P652" s="276"/>
      <c r="Q652" s="276"/>
      <c r="R652" s="276"/>
      <c r="S652" s="276"/>
      <c r="T652" s="276"/>
      <c r="U652" s="276"/>
      <c r="V652" s="276"/>
      <c r="W652" s="276"/>
      <c r="X652" s="276"/>
      <c r="Y652" s="276"/>
      <c r="Z652" s="276"/>
      <c r="AA652" s="276"/>
      <c r="AB652" s="276"/>
      <c r="AC652" s="276"/>
      <c r="AD652" s="276"/>
      <c r="AE652" s="276"/>
    </row>
    <row r="653" spans="15:31">
      <c r="O653" s="276"/>
      <c r="P653" s="276"/>
      <c r="Q653" s="276"/>
      <c r="R653" s="276"/>
      <c r="S653" s="276"/>
      <c r="T653" s="276"/>
      <c r="U653" s="276"/>
      <c r="V653" s="276"/>
      <c r="W653" s="276"/>
      <c r="X653" s="276"/>
      <c r="Y653" s="276"/>
      <c r="Z653" s="276"/>
      <c r="AA653" s="276"/>
      <c r="AB653" s="276"/>
      <c r="AC653" s="276"/>
      <c r="AD653" s="276"/>
      <c r="AE653" s="276"/>
    </row>
    <row r="654" spans="15:31">
      <c r="O654" s="276"/>
      <c r="P654" s="276"/>
      <c r="Q654" s="276"/>
      <c r="R654" s="276"/>
      <c r="S654" s="276"/>
      <c r="T654" s="276"/>
      <c r="U654" s="276"/>
      <c r="V654" s="276"/>
      <c r="W654" s="276"/>
      <c r="X654" s="276"/>
      <c r="Y654" s="276"/>
      <c r="Z654" s="276"/>
      <c r="AA654" s="276"/>
      <c r="AB654" s="276"/>
      <c r="AC654" s="276"/>
      <c r="AD654" s="276"/>
      <c r="AE654" s="276"/>
    </row>
    <row r="655" spans="15:31">
      <c r="O655" s="276"/>
      <c r="P655" s="276"/>
      <c r="Q655" s="276"/>
      <c r="R655" s="276"/>
      <c r="S655" s="276"/>
      <c r="T655" s="276"/>
      <c r="U655" s="276"/>
      <c r="V655" s="276"/>
      <c r="W655" s="276"/>
      <c r="X655" s="276"/>
      <c r="Y655" s="276"/>
      <c r="Z655" s="276"/>
      <c r="AA655" s="276"/>
      <c r="AB655" s="276"/>
      <c r="AC655" s="276"/>
      <c r="AD655" s="276"/>
      <c r="AE655" s="276"/>
    </row>
    <row r="656" spans="15:31">
      <c r="O656" s="276"/>
      <c r="P656" s="276"/>
      <c r="Q656" s="276"/>
      <c r="R656" s="276"/>
      <c r="S656" s="276"/>
      <c r="T656" s="276"/>
      <c r="U656" s="276"/>
      <c r="V656" s="276"/>
      <c r="W656" s="276"/>
      <c r="X656" s="276"/>
      <c r="Y656" s="276"/>
      <c r="Z656" s="276"/>
      <c r="AA656" s="276"/>
      <c r="AB656" s="276"/>
      <c r="AC656" s="276"/>
      <c r="AD656" s="276"/>
      <c r="AE656" s="276"/>
    </row>
    <row r="657" spans="15:31">
      <c r="O657" s="276"/>
      <c r="P657" s="276"/>
      <c r="Q657" s="276"/>
      <c r="R657" s="276"/>
      <c r="S657" s="276"/>
      <c r="T657" s="276"/>
      <c r="U657" s="276"/>
      <c r="V657" s="276"/>
      <c r="W657" s="276"/>
      <c r="X657" s="276"/>
      <c r="Y657" s="276"/>
      <c r="Z657" s="276"/>
      <c r="AA657" s="276"/>
      <c r="AB657" s="276"/>
      <c r="AC657" s="276"/>
      <c r="AD657" s="276"/>
      <c r="AE657" s="276"/>
    </row>
    <row r="658" spans="15:31">
      <c r="O658" s="276"/>
      <c r="P658" s="276"/>
      <c r="Q658" s="276"/>
      <c r="R658" s="276"/>
      <c r="S658" s="276"/>
      <c r="T658" s="276"/>
      <c r="U658" s="276"/>
      <c r="V658" s="276"/>
      <c r="W658" s="276"/>
      <c r="X658" s="276"/>
      <c r="Y658" s="276"/>
      <c r="Z658" s="276"/>
      <c r="AA658" s="276"/>
      <c r="AB658" s="276"/>
      <c r="AC658" s="276"/>
      <c r="AD658" s="276"/>
      <c r="AE658" s="276"/>
    </row>
    <row r="659" spans="15:31">
      <c r="O659" s="276"/>
      <c r="P659" s="276"/>
      <c r="Q659" s="276"/>
      <c r="R659" s="276"/>
      <c r="S659" s="276"/>
      <c r="T659" s="276"/>
      <c r="U659" s="276"/>
      <c r="V659" s="276"/>
      <c r="W659" s="276"/>
      <c r="X659" s="276"/>
      <c r="Y659" s="276"/>
      <c r="Z659" s="276"/>
      <c r="AA659" s="276"/>
      <c r="AB659" s="276"/>
      <c r="AC659" s="276"/>
      <c r="AD659" s="276"/>
      <c r="AE659" s="276"/>
    </row>
    <row r="660" spans="15:31">
      <c r="O660" s="276"/>
      <c r="P660" s="276"/>
      <c r="Q660" s="276"/>
      <c r="R660" s="276"/>
      <c r="S660" s="276"/>
      <c r="T660" s="276"/>
      <c r="U660" s="276"/>
      <c r="V660" s="276"/>
      <c r="W660" s="276"/>
      <c r="X660" s="276"/>
      <c r="Y660" s="276"/>
      <c r="Z660" s="276"/>
      <c r="AA660" s="276"/>
      <c r="AB660" s="276"/>
      <c r="AC660" s="276"/>
      <c r="AD660" s="276"/>
      <c r="AE660" s="276"/>
    </row>
    <row r="661" spans="15:31">
      <c r="O661" s="276"/>
      <c r="P661" s="276"/>
      <c r="Q661" s="276"/>
      <c r="R661" s="276"/>
      <c r="S661" s="276"/>
      <c r="T661" s="276"/>
      <c r="U661" s="276"/>
      <c r="V661" s="276"/>
      <c r="W661" s="276"/>
      <c r="X661" s="276"/>
      <c r="Y661" s="276"/>
      <c r="Z661" s="276"/>
      <c r="AA661" s="276"/>
      <c r="AB661" s="276"/>
      <c r="AC661" s="276"/>
      <c r="AD661" s="276"/>
      <c r="AE661" s="276"/>
    </row>
    <row r="662" spans="15:31">
      <c r="O662" s="276"/>
      <c r="P662" s="276"/>
      <c r="Q662" s="276"/>
      <c r="R662" s="276"/>
      <c r="S662" s="276"/>
      <c r="T662" s="276"/>
      <c r="U662" s="276"/>
      <c r="V662" s="276"/>
      <c r="W662" s="276"/>
      <c r="X662" s="276"/>
      <c r="Y662" s="276"/>
      <c r="Z662" s="276"/>
      <c r="AA662" s="276"/>
      <c r="AB662" s="276"/>
      <c r="AC662" s="276"/>
      <c r="AD662" s="276"/>
      <c r="AE662" s="276"/>
    </row>
    <row r="663" spans="15:31">
      <c r="O663" s="276"/>
      <c r="P663" s="276"/>
      <c r="Q663" s="276"/>
      <c r="R663" s="276"/>
      <c r="S663" s="276"/>
      <c r="T663" s="276"/>
      <c r="U663" s="276"/>
      <c r="V663" s="276"/>
      <c r="W663" s="276"/>
      <c r="X663" s="276"/>
      <c r="Y663" s="276"/>
      <c r="Z663" s="276"/>
      <c r="AA663" s="276"/>
      <c r="AB663" s="276"/>
      <c r="AC663" s="276"/>
      <c r="AD663" s="276"/>
      <c r="AE663" s="276"/>
    </row>
    <row r="664" spans="15:31">
      <c r="O664" s="276"/>
      <c r="P664" s="276"/>
      <c r="Q664" s="276"/>
      <c r="R664" s="276"/>
      <c r="S664" s="276"/>
      <c r="T664" s="276"/>
      <c r="U664" s="276"/>
      <c r="V664" s="276"/>
      <c r="W664" s="276"/>
      <c r="X664" s="276"/>
      <c r="Y664" s="276"/>
      <c r="Z664" s="276"/>
      <c r="AA664" s="276"/>
      <c r="AB664" s="276"/>
      <c r="AC664" s="276"/>
      <c r="AD664" s="276"/>
      <c r="AE664" s="276"/>
    </row>
    <row r="665" spans="15:31">
      <c r="O665" s="276"/>
      <c r="P665" s="276"/>
      <c r="Q665" s="276"/>
      <c r="R665" s="276"/>
      <c r="S665" s="276"/>
      <c r="T665" s="276"/>
      <c r="U665" s="276"/>
      <c r="V665" s="276"/>
      <c r="W665" s="276"/>
      <c r="X665" s="276"/>
      <c r="Y665" s="276"/>
      <c r="Z665" s="276"/>
      <c r="AA665" s="276"/>
      <c r="AB665" s="276"/>
      <c r="AC665" s="276"/>
      <c r="AD665" s="276"/>
      <c r="AE665" s="276"/>
    </row>
    <row r="666" spans="15:31">
      <c r="O666" s="276"/>
      <c r="P666" s="276"/>
      <c r="Q666" s="276"/>
      <c r="R666" s="276"/>
      <c r="S666" s="276"/>
      <c r="T666" s="276"/>
      <c r="U666" s="276"/>
      <c r="V666" s="276"/>
      <c r="W666" s="276"/>
      <c r="X666" s="276"/>
      <c r="Y666" s="276"/>
      <c r="Z666" s="276"/>
      <c r="AA666" s="276"/>
      <c r="AB666" s="276"/>
      <c r="AC666" s="276"/>
      <c r="AD666" s="276"/>
      <c r="AE666" s="276"/>
    </row>
    <row r="667" spans="15:31">
      <c r="O667" s="276"/>
      <c r="P667" s="276"/>
      <c r="Q667" s="276"/>
      <c r="R667" s="276"/>
      <c r="S667" s="276"/>
      <c r="T667" s="276"/>
      <c r="U667" s="276"/>
      <c r="V667" s="276"/>
      <c r="W667" s="276"/>
      <c r="X667" s="276"/>
      <c r="Y667" s="276"/>
      <c r="Z667" s="276"/>
      <c r="AA667" s="276"/>
      <c r="AB667" s="276"/>
      <c r="AC667" s="276"/>
      <c r="AD667" s="276"/>
      <c r="AE667" s="276"/>
    </row>
    <row r="668" spans="15:31">
      <c r="O668" s="276"/>
      <c r="P668" s="276"/>
      <c r="Q668" s="276"/>
      <c r="R668" s="276"/>
      <c r="S668" s="276"/>
      <c r="T668" s="276"/>
      <c r="U668" s="276"/>
      <c r="V668" s="276"/>
      <c r="W668" s="276"/>
      <c r="X668" s="276"/>
      <c r="Y668" s="276"/>
      <c r="Z668" s="276"/>
      <c r="AA668" s="276"/>
      <c r="AB668" s="276"/>
      <c r="AC668" s="276"/>
      <c r="AD668" s="276"/>
      <c r="AE668" s="276"/>
    </row>
    <row r="669" spans="15:31">
      <c r="O669" s="276"/>
      <c r="P669" s="276"/>
      <c r="Q669" s="276"/>
      <c r="R669" s="276"/>
      <c r="S669" s="276"/>
      <c r="T669" s="276"/>
      <c r="U669" s="276"/>
      <c r="V669" s="276"/>
      <c r="W669" s="276"/>
      <c r="X669" s="276"/>
      <c r="Y669" s="276"/>
      <c r="Z669" s="276"/>
      <c r="AA669" s="276"/>
      <c r="AB669" s="276"/>
      <c r="AC669" s="276"/>
      <c r="AD669" s="276"/>
      <c r="AE669" s="276"/>
    </row>
    <row r="670" spans="15:31">
      <c r="O670" s="276"/>
      <c r="P670" s="276"/>
      <c r="Q670" s="276"/>
      <c r="R670" s="276"/>
      <c r="S670" s="276"/>
      <c r="T670" s="276"/>
      <c r="U670" s="276"/>
      <c r="V670" s="276"/>
      <c r="W670" s="276"/>
      <c r="X670" s="276"/>
      <c r="Y670" s="276"/>
      <c r="Z670" s="276"/>
      <c r="AA670" s="276"/>
      <c r="AB670" s="276"/>
      <c r="AC670" s="276"/>
      <c r="AD670" s="276"/>
      <c r="AE670" s="276"/>
    </row>
    <row r="671" spans="15:31">
      <c r="O671" s="276"/>
      <c r="P671" s="276"/>
      <c r="Q671" s="276"/>
      <c r="R671" s="276"/>
      <c r="S671" s="276"/>
      <c r="T671" s="276"/>
      <c r="U671" s="276"/>
      <c r="V671" s="276"/>
      <c r="W671" s="276"/>
      <c r="X671" s="276"/>
      <c r="Y671" s="276"/>
      <c r="Z671" s="276"/>
      <c r="AA671" s="276"/>
      <c r="AB671" s="276"/>
      <c r="AC671" s="276"/>
      <c r="AD671" s="276"/>
      <c r="AE671" s="276"/>
    </row>
    <row r="672" spans="15:31">
      <c r="O672" s="276"/>
      <c r="P672" s="276"/>
      <c r="Q672" s="276"/>
      <c r="R672" s="276"/>
      <c r="S672" s="276"/>
      <c r="T672" s="276"/>
      <c r="U672" s="276"/>
      <c r="V672" s="276"/>
      <c r="W672" s="276"/>
      <c r="X672" s="276"/>
      <c r="Y672" s="276"/>
      <c r="Z672" s="276"/>
      <c r="AA672" s="276"/>
      <c r="AB672" s="276"/>
      <c r="AC672" s="276"/>
      <c r="AD672" s="276"/>
      <c r="AE672" s="276"/>
    </row>
    <row r="673" spans="15:31">
      <c r="O673" s="276"/>
      <c r="P673" s="276"/>
      <c r="Q673" s="276"/>
      <c r="R673" s="276"/>
      <c r="S673" s="276"/>
      <c r="T673" s="276"/>
      <c r="U673" s="276"/>
      <c r="V673" s="276"/>
      <c r="W673" s="276"/>
      <c r="X673" s="276"/>
      <c r="Y673" s="276"/>
      <c r="Z673" s="276"/>
      <c r="AA673" s="276"/>
      <c r="AB673" s="276"/>
      <c r="AC673" s="276"/>
      <c r="AD673" s="276"/>
      <c r="AE673" s="276"/>
    </row>
    <row r="674" spans="15:31">
      <c r="O674" s="276"/>
      <c r="P674" s="276"/>
      <c r="Q674" s="276"/>
      <c r="R674" s="276"/>
      <c r="S674" s="276"/>
      <c r="T674" s="276"/>
      <c r="U674" s="276"/>
      <c r="V674" s="276"/>
      <c r="W674" s="276"/>
      <c r="X674" s="276"/>
      <c r="Y674" s="276"/>
      <c r="Z674" s="276"/>
      <c r="AA674" s="276"/>
      <c r="AB674" s="276"/>
      <c r="AC674" s="276"/>
      <c r="AD674" s="276"/>
      <c r="AE674" s="276"/>
    </row>
    <row r="675" spans="15:31">
      <c r="O675" s="276"/>
      <c r="P675" s="276"/>
      <c r="Q675" s="276"/>
      <c r="R675" s="276"/>
      <c r="S675" s="276"/>
      <c r="T675" s="276"/>
      <c r="U675" s="276"/>
      <c r="V675" s="276"/>
      <c r="W675" s="276"/>
      <c r="X675" s="276"/>
      <c r="Y675" s="276"/>
      <c r="Z675" s="276"/>
      <c r="AA675" s="276"/>
      <c r="AB675" s="276"/>
      <c r="AC675" s="276"/>
      <c r="AD675" s="276"/>
      <c r="AE675" s="276"/>
    </row>
    <row r="676" spans="15:31">
      <c r="O676" s="276"/>
      <c r="P676" s="276"/>
      <c r="Q676" s="276"/>
      <c r="R676" s="276"/>
      <c r="S676" s="276"/>
      <c r="T676" s="276"/>
      <c r="U676" s="276"/>
      <c r="V676" s="276"/>
      <c r="W676" s="276"/>
      <c r="X676" s="276"/>
      <c r="Y676" s="276"/>
      <c r="Z676" s="276"/>
      <c r="AA676" s="276"/>
      <c r="AB676" s="276"/>
      <c r="AC676" s="276"/>
      <c r="AD676" s="276"/>
      <c r="AE676" s="276"/>
    </row>
    <row r="677" spans="15:31">
      <c r="O677" s="276"/>
      <c r="P677" s="276"/>
      <c r="Q677" s="276"/>
      <c r="R677" s="276"/>
      <c r="S677" s="276"/>
      <c r="T677" s="276"/>
      <c r="U677" s="276"/>
      <c r="V677" s="276"/>
      <c r="W677" s="276"/>
      <c r="X677" s="276"/>
      <c r="Y677" s="276"/>
      <c r="Z677" s="276"/>
      <c r="AA677" s="276"/>
      <c r="AB677" s="276"/>
      <c r="AC677" s="276"/>
      <c r="AD677" s="276"/>
      <c r="AE677" s="276"/>
    </row>
    <row r="678" spans="15:31">
      <c r="O678" s="276"/>
      <c r="P678" s="276"/>
      <c r="Q678" s="276"/>
      <c r="R678" s="276"/>
      <c r="S678" s="276"/>
      <c r="T678" s="276"/>
      <c r="U678" s="276"/>
      <c r="V678" s="276"/>
      <c r="W678" s="276"/>
      <c r="X678" s="276"/>
      <c r="Y678" s="276"/>
      <c r="Z678" s="276"/>
      <c r="AA678" s="276"/>
      <c r="AB678" s="276"/>
      <c r="AC678" s="276"/>
      <c r="AD678" s="276"/>
      <c r="AE678" s="276"/>
    </row>
    <row r="679" spans="15:31">
      <c r="O679" s="276"/>
      <c r="P679" s="276"/>
      <c r="Q679" s="276"/>
      <c r="R679" s="276"/>
      <c r="S679" s="276"/>
      <c r="T679" s="276"/>
      <c r="U679" s="276"/>
      <c r="V679" s="276"/>
      <c r="W679" s="276"/>
      <c r="X679" s="276"/>
      <c r="Y679" s="276"/>
      <c r="Z679" s="276"/>
      <c r="AA679" s="276"/>
      <c r="AB679" s="276"/>
      <c r="AC679" s="276"/>
      <c r="AD679" s="276"/>
      <c r="AE679" s="276"/>
    </row>
    <row r="680" spans="15:31">
      <c r="O680" s="276"/>
      <c r="P680" s="276"/>
      <c r="Q680" s="276"/>
      <c r="R680" s="276"/>
      <c r="S680" s="276"/>
      <c r="T680" s="276"/>
      <c r="U680" s="276"/>
      <c r="V680" s="276"/>
      <c r="W680" s="276"/>
      <c r="X680" s="276"/>
      <c r="Y680" s="276"/>
      <c r="Z680" s="276"/>
      <c r="AA680" s="276"/>
      <c r="AB680" s="276"/>
      <c r="AC680" s="276"/>
      <c r="AD680" s="276"/>
      <c r="AE680" s="276"/>
    </row>
    <row r="681" spans="15:31">
      <c r="O681" s="276"/>
      <c r="P681" s="276"/>
      <c r="Q681" s="276"/>
      <c r="R681" s="276"/>
      <c r="S681" s="276"/>
      <c r="T681" s="276"/>
      <c r="U681" s="276"/>
      <c r="V681" s="276"/>
      <c r="W681" s="276"/>
      <c r="X681" s="276"/>
      <c r="Y681" s="276"/>
      <c r="Z681" s="276"/>
      <c r="AA681" s="276"/>
      <c r="AB681" s="276"/>
      <c r="AC681" s="276"/>
      <c r="AD681" s="276"/>
      <c r="AE681" s="276"/>
    </row>
    <row r="682" spans="15:31">
      <c r="O682" s="276"/>
      <c r="P682" s="276"/>
      <c r="Q682" s="276"/>
      <c r="R682" s="276"/>
      <c r="S682" s="276"/>
      <c r="T682" s="276"/>
      <c r="U682" s="276"/>
      <c r="V682" s="276"/>
      <c r="W682" s="276"/>
      <c r="X682" s="276"/>
      <c r="Y682" s="276"/>
      <c r="Z682" s="276"/>
      <c r="AA682" s="276"/>
      <c r="AB682" s="276"/>
      <c r="AC682" s="276"/>
      <c r="AD682" s="276"/>
      <c r="AE682" s="276"/>
    </row>
    <row r="683" spans="15:31">
      <c r="O683" s="276"/>
      <c r="P683" s="276"/>
      <c r="Q683" s="276"/>
      <c r="R683" s="276"/>
      <c r="S683" s="276"/>
      <c r="T683" s="276"/>
      <c r="U683" s="276"/>
      <c r="V683" s="276"/>
      <c r="W683" s="276"/>
      <c r="X683" s="276"/>
      <c r="Y683" s="276"/>
      <c r="Z683" s="276"/>
      <c r="AA683" s="276"/>
      <c r="AB683" s="276"/>
      <c r="AC683" s="276"/>
      <c r="AD683" s="276"/>
      <c r="AE683" s="276"/>
    </row>
    <row r="684" spans="15:31">
      <c r="O684" s="276"/>
      <c r="P684" s="276"/>
      <c r="Q684" s="276"/>
      <c r="R684" s="276"/>
      <c r="S684" s="276"/>
      <c r="T684" s="276"/>
      <c r="U684" s="276"/>
      <c r="V684" s="276"/>
      <c r="W684" s="276"/>
      <c r="X684" s="276"/>
      <c r="Y684" s="276"/>
      <c r="Z684" s="276"/>
      <c r="AA684" s="276"/>
      <c r="AB684" s="276"/>
      <c r="AC684" s="276"/>
      <c r="AD684" s="276"/>
      <c r="AE684" s="276"/>
    </row>
    <row r="685" spans="15:31">
      <c r="O685" s="276"/>
      <c r="P685" s="276"/>
      <c r="Q685" s="276"/>
      <c r="R685" s="276"/>
      <c r="S685" s="276"/>
      <c r="T685" s="276"/>
      <c r="U685" s="276"/>
      <c r="V685" s="276"/>
      <c r="W685" s="276"/>
      <c r="X685" s="276"/>
      <c r="Y685" s="276"/>
      <c r="Z685" s="276"/>
      <c r="AA685" s="276"/>
      <c r="AB685" s="276"/>
      <c r="AC685" s="276"/>
      <c r="AD685" s="276"/>
      <c r="AE685" s="276"/>
    </row>
    <row r="686" spans="15:31">
      <c r="O686" s="276"/>
      <c r="P686" s="276"/>
      <c r="Q686" s="276"/>
      <c r="R686" s="276"/>
      <c r="S686" s="276"/>
      <c r="T686" s="276"/>
      <c r="U686" s="276"/>
      <c r="V686" s="276"/>
      <c r="W686" s="276"/>
      <c r="X686" s="276"/>
      <c r="Y686" s="276"/>
      <c r="Z686" s="276"/>
      <c r="AA686" s="276"/>
      <c r="AB686" s="276"/>
      <c r="AC686" s="276"/>
      <c r="AD686" s="276"/>
      <c r="AE686" s="276"/>
    </row>
    <row r="687" spans="15:31">
      <c r="O687" s="276"/>
      <c r="P687" s="276"/>
      <c r="Q687" s="276"/>
      <c r="R687" s="276"/>
      <c r="S687" s="276"/>
      <c r="T687" s="276"/>
      <c r="U687" s="276"/>
      <c r="V687" s="276"/>
      <c r="W687" s="276"/>
      <c r="X687" s="276"/>
      <c r="Y687" s="276"/>
      <c r="Z687" s="276"/>
      <c r="AA687" s="276"/>
      <c r="AB687" s="276"/>
      <c r="AC687" s="276"/>
      <c r="AD687" s="276"/>
      <c r="AE687" s="276"/>
    </row>
    <row r="688" spans="15:31">
      <c r="O688" s="276"/>
      <c r="P688" s="276"/>
      <c r="Q688" s="276"/>
      <c r="R688" s="276"/>
      <c r="S688" s="276"/>
      <c r="T688" s="276"/>
      <c r="U688" s="276"/>
      <c r="V688" s="276"/>
      <c r="W688" s="276"/>
      <c r="X688" s="276"/>
      <c r="Y688" s="276"/>
      <c r="Z688" s="276"/>
      <c r="AA688" s="276"/>
      <c r="AB688" s="276"/>
      <c r="AC688" s="276"/>
      <c r="AD688" s="276"/>
      <c r="AE688" s="276"/>
    </row>
    <row r="689" spans="15:31">
      <c r="O689" s="276"/>
      <c r="P689" s="276"/>
      <c r="Q689" s="276"/>
      <c r="R689" s="276"/>
      <c r="S689" s="276"/>
      <c r="T689" s="276"/>
      <c r="U689" s="276"/>
      <c r="V689" s="276"/>
      <c r="W689" s="276"/>
      <c r="X689" s="276"/>
      <c r="Y689" s="276"/>
      <c r="Z689" s="276"/>
      <c r="AA689" s="276"/>
      <c r="AB689" s="276"/>
      <c r="AC689" s="276"/>
      <c r="AD689" s="276"/>
      <c r="AE689" s="276"/>
    </row>
    <row r="690" spans="15:31">
      <c r="O690" s="276"/>
      <c r="P690" s="276"/>
      <c r="Q690" s="276"/>
      <c r="R690" s="276"/>
      <c r="S690" s="276"/>
      <c r="T690" s="276"/>
      <c r="U690" s="276"/>
      <c r="V690" s="276"/>
      <c r="W690" s="276"/>
      <c r="X690" s="276"/>
      <c r="Y690" s="276"/>
      <c r="Z690" s="276"/>
      <c r="AA690" s="276"/>
      <c r="AB690" s="276"/>
      <c r="AC690" s="276"/>
      <c r="AD690" s="276"/>
      <c r="AE690" s="276"/>
    </row>
    <row r="691" spans="15:31">
      <c r="O691" s="276"/>
      <c r="P691" s="276"/>
      <c r="Q691" s="276"/>
      <c r="R691" s="276"/>
      <c r="S691" s="276"/>
      <c r="T691" s="276"/>
      <c r="U691" s="276"/>
      <c r="V691" s="276"/>
      <c r="W691" s="276"/>
      <c r="X691" s="276"/>
      <c r="Y691" s="276"/>
      <c r="Z691" s="276"/>
      <c r="AA691" s="276"/>
      <c r="AB691" s="276"/>
      <c r="AC691" s="276"/>
      <c r="AD691" s="276"/>
      <c r="AE691" s="276"/>
    </row>
    <row r="692" spans="15:31">
      <c r="O692" s="276"/>
      <c r="P692" s="276"/>
      <c r="Q692" s="276"/>
      <c r="R692" s="276"/>
      <c r="S692" s="276"/>
      <c r="T692" s="276"/>
      <c r="U692" s="276"/>
      <c r="V692" s="276"/>
      <c r="W692" s="276"/>
      <c r="X692" s="276"/>
      <c r="Y692" s="276"/>
      <c r="Z692" s="276"/>
      <c r="AA692" s="276"/>
      <c r="AB692" s="276"/>
      <c r="AC692" s="276"/>
      <c r="AD692" s="276"/>
      <c r="AE692" s="276"/>
    </row>
    <row r="693" spans="15:31">
      <c r="O693" s="276"/>
      <c r="P693" s="276"/>
      <c r="Q693" s="276"/>
      <c r="R693" s="276"/>
      <c r="S693" s="276"/>
      <c r="T693" s="276"/>
      <c r="U693" s="276"/>
      <c r="V693" s="276"/>
      <c r="W693" s="276"/>
      <c r="X693" s="276"/>
      <c r="Y693" s="276"/>
      <c r="Z693" s="276"/>
      <c r="AA693" s="276"/>
      <c r="AB693" s="276"/>
      <c r="AC693" s="276"/>
      <c r="AD693" s="276"/>
      <c r="AE693" s="276"/>
    </row>
    <row r="694" spans="15:31">
      <c r="O694" s="276"/>
      <c r="P694" s="276"/>
      <c r="Q694" s="276"/>
      <c r="R694" s="276"/>
      <c r="S694" s="276"/>
      <c r="T694" s="276"/>
      <c r="U694" s="276"/>
      <c r="V694" s="276"/>
      <c r="W694" s="276"/>
      <c r="X694" s="276"/>
      <c r="Y694" s="276"/>
      <c r="Z694" s="276"/>
      <c r="AA694" s="276"/>
      <c r="AB694" s="276"/>
      <c r="AC694" s="276"/>
      <c r="AD694" s="276"/>
      <c r="AE694" s="276"/>
    </row>
    <row r="695" spans="15:31">
      <c r="O695" s="276"/>
      <c r="P695" s="276"/>
      <c r="Q695" s="276"/>
      <c r="R695" s="276"/>
      <c r="S695" s="276"/>
      <c r="T695" s="276"/>
      <c r="U695" s="276"/>
      <c r="V695" s="276"/>
      <c r="W695" s="276"/>
      <c r="X695" s="276"/>
      <c r="Y695" s="276"/>
      <c r="Z695" s="276"/>
      <c r="AA695" s="276"/>
      <c r="AB695" s="276"/>
      <c r="AC695" s="276"/>
      <c r="AD695" s="276"/>
      <c r="AE695" s="276"/>
    </row>
    <row r="696" spans="15:31">
      <c r="O696" s="276"/>
      <c r="P696" s="276"/>
      <c r="Q696" s="276"/>
      <c r="R696" s="276"/>
      <c r="S696" s="276"/>
      <c r="T696" s="276"/>
      <c r="U696" s="276"/>
      <c r="V696" s="276"/>
      <c r="W696" s="276"/>
      <c r="X696" s="276"/>
      <c r="Y696" s="276"/>
      <c r="Z696" s="276"/>
      <c r="AA696" s="276"/>
      <c r="AB696" s="276"/>
      <c r="AC696" s="276"/>
      <c r="AD696" s="276"/>
      <c r="AE696" s="276"/>
    </row>
    <row r="697" spans="15:31">
      <c r="O697" s="276"/>
      <c r="P697" s="276"/>
      <c r="Q697" s="276"/>
      <c r="R697" s="276"/>
      <c r="S697" s="276"/>
      <c r="T697" s="276"/>
      <c r="U697" s="276"/>
      <c r="V697" s="276"/>
      <c r="W697" s="276"/>
      <c r="X697" s="276"/>
      <c r="Y697" s="276"/>
      <c r="Z697" s="276"/>
      <c r="AA697" s="276"/>
      <c r="AB697" s="276"/>
      <c r="AC697" s="276"/>
      <c r="AD697" s="276"/>
      <c r="AE697" s="276"/>
    </row>
    <row r="698" spans="15:31">
      <c r="O698" s="276"/>
      <c r="P698" s="276"/>
      <c r="Q698" s="276"/>
      <c r="R698" s="276"/>
      <c r="S698" s="276"/>
      <c r="T698" s="276"/>
      <c r="U698" s="276"/>
      <c r="V698" s="276"/>
      <c r="W698" s="276"/>
      <c r="X698" s="276"/>
      <c r="Y698" s="276"/>
      <c r="Z698" s="276"/>
      <c r="AA698" s="276"/>
      <c r="AB698" s="276"/>
      <c r="AC698" s="276"/>
      <c r="AD698" s="276"/>
      <c r="AE698" s="276"/>
    </row>
    <row r="699" spans="15:31">
      <c r="O699" s="276"/>
      <c r="P699" s="276"/>
      <c r="Q699" s="276"/>
      <c r="R699" s="276"/>
      <c r="S699" s="276"/>
      <c r="T699" s="276"/>
      <c r="U699" s="276"/>
      <c r="V699" s="276"/>
      <c r="W699" s="276"/>
      <c r="X699" s="276"/>
      <c r="Y699" s="276"/>
      <c r="Z699" s="276"/>
      <c r="AA699" s="276"/>
      <c r="AB699" s="276"/>
      <c r="AC699" s="276"/>
      <c r="AD699" s="276"/>
      <c r="AE699" s="276"/>
    </row>
    <row r="700" spans="15:31">
      <c r="O700" s="276"/>
      <c r="P700" s="276"/>
      <c r="Q700" s="276"/>
      <c r="R700" s="276"/>
      <c r="S700" s="276"/>
      <c r="T700" s="276"/>
      <c r="U700" s="276"/>
      <c r="V700" s="276"/>
      <c r="W700" s="276"/>
      <c r="X700" s="276"/>
      <c r="Y700" s="276"/>
      <c r="Z700" s="276"/>
      <c r="AA700" s="276"/>
      <c r="AB700" s="276"/>
      <c r="AC700" s="276"/>
      <c r="AD700" s="276"/>
      <c r="AE700" s="276"/>
    </row>
    <row r="701" spans="15:31">
      <c r="O701" s="276"/>
      <c r="P701" s="276"/>
      <c r="Q701" s="276"/>
      <c r="R701" s="276"/>
      <c r="S701" s="276"/>
      <c r="T701" s="276"/>
      <c r="U701" s="276"/>
      <c r="V701" s="276"/>
      <c r="W701" s="276"/>
      <c r="X701" s="276"/>
      <c r="Y701" s="276"/>
      <c r="Z701" s="276"/>
      <c r="AA701" s="276"/>
      <c r="AB701" s="276"/>
      <c r="AC701" s="276"/>
      <c r="AD701" s="276"/>
      <c r="AE701" s="276"/>
    </row>
    <row r="702" spans="15:31">
      <c r="O702" s="276"/>
      <c r="P702" s="276"/>
      <c r="Q702" s="276"/>
      <c r="R702" s="276"/>
      <c r="S702" s="276"/>
      <c r="T702" s="276"/>
      <c r="U702" s="276"/>
      <c r="V702" s="276"/>
      <c r="W702" s="276"/>
      <c r="X702" s="276"/>
      <c r="Y702" s="276"/>
      <c r="Z702" s="276"/>
      <c r="AA702" s="276"/>
      <c r="AB702" s="276"/>
      <c r="AC702" s="276"/>
      <c r="AD702" s="276"/>
      <c r="AE702" s="276"/>
    </row>
    <row r="703" spans="15:31">
      <c r="O703" s="276"/>
      <c r="P703" s="276"/>
      <c r="Q703" s="276"/>
      <c r="R703" s="276"/>
      <c r="S703" s="276"/>
      <c r="T703" s="276"/>
      <c r="U703" s="276"/>
      <c r="V703" s="276"/>
      <c r="W703" s="276"/>
      <c r="X703" s="276"/>
      <c r="Y703" s="276"/>
      <c r="Z703" s="276"/>
      <c r="AA703" s="276"/>
      <c r="AB703" s="276"/>
      <c r="AC703" s="276"/>
      <c r="AD703" s="276"/>
      <c r="AE703" s="276"/>
    </row>
    <row r="704" spans="15:31">
      <c r="O704" s="276"/>
      <c r="P704" s="276"/>
      <c r="Q704" s="276"/>
      <c r="R704" s="276"/>
      <c r="S704" s="276"/>
      <c r="T704" s="276"/>
      <c r="U704" s="276"/>
      <c r="V704" s="276"/>
      <c r="W704" s="276"/>
      <c r="X704" s="276"/>
      <c r="Y704" s="276"/>
      <c r="Z704" s="276"/>
      <c r="AA704" s="276"/>
      <c r="AB704" s="276"/>
      <c r="AC704" s="276"/>
      <c r="AD704" s="276"/>
      <c r="AE704" s="276"/>
    </row>
    <row r="705" spans="15:31">
      <c r="O705" s="276"/>
      <c r="P705" s="276"/>
      <c r="Q705" s="276"/>
      <c r="R705" s="276"/>
      <c r="S705" s="276"/>
      <c r="T705" s="276"/>
      <c r="U705" s="276"/>
      <c r="V705" s="276"/>
      <c r="W705" s="276"/>
      <c r="X705" s="276"/>
      <c r="Y705" s="276"/>
      <c r="Z705" s="276"/>
      <c r="AA705" s="276"/>
      <c r="AB705" s="276"/>
      <c r="AC705" s="276"/>
      <c r="AD705" s="276"/>
      <c r="AE705" s="276"/>
    </row>
    <row r="706" spans="15:31">
      <c r="O706" s="276"/>
      <c r="P706" s="276"/>
      <c r="Q706" s="276"/>
      <c r="R706" s="276"/>
      <c r="S706" s="276"/>
      <c r="T706" s="276"/>
      <c r="U706" s="276"/>
      <c r="V706" s="276"/>
      <c r="W706" s="276"/>
      <c r="X706" s="276"/>
      <c r="Y706" s="276"/>
      <c r="Z706" s="276"/>
      <c r="AA706" s="276"/>
      <c r="AB706" s="276"/>
      <c r="AC706" s="276"/>
      <c r="AD706" s="276"/>
      <c r="AE706" s="276"/>
    </row>
    <row r="707" spans="15:31">
      <c r="O707" s="276"/>
      <c r="P707" s="276"/>
      <c r="Q707" s="276"/>
      <c r="R707" s="276"/>
      <c r="S707" s="276"/>
      <c r="T707" s="276"/>
      <c r="U707" s="276"/>
      <c r="V707" s="276"/>
      <c r="W707" s="276"/>
      <c r="X707" s="276"/>
      <c r="Y707" s="276"/>
      <c r="Z707" s="276"/>
      <c r="AA707" s="276"/>
      <c r="AB707" s="276"/>
      <c r="AC707" s="276"/>
      <c r="AD707" s="276"/>
      <c r="AE707" s="276"/>
    </row>
    <row r="708" spans="15:31">
      <c r="O708" s="276"/>
      <c r="P708" s="276"/>
      <c r="Q708" s="276"/>
      <c r="R708" s="276"/>
      <c r="S708" s="276"/>
      <c r="T708" s="276"/>
      <c r="U708" s="276"/>
      <c r="V708" s="276"/>
      <c r="W708" s="276"/>
      <c r="X708" s="276"/>
      <c r="Y708" s="276"/>
      <c r="Z708" s="276"/>
      <c r="AA708" s="276"/>
      <c r="AB708" s="276"/>
      <c r="AC708" s="276"/>
      <c r="AD708" s="276"/>
      <c r="AE708" s="276"/>
    </row>
    <row r="709" spans="15:31">
      <c r="O709" s="276"/>
      <c r="P709" s="276"/>
      <c r="Q709" s="276"/>
      <c r="R709" s="276"/>
      <c r="S709" s="276"/>
      <c r="T709" s="276"/>
      <c r="U709" s="276"/>
      <c r="V709" s="276"/>
      <c r="W709" s="276"/>
      <c r="X709" s="276"/>
      <c r="Y709" s="276"/>
      <c r="Z709" s="276"/>
      <c r="AA709" s="276"/>
      <c r="AB709" s="276"/>
      <c r="AC709" s="276"/>
      <c r="AD709" s="276"/>
      <c r="AE709" s="276"/>
    </row>
    <row r="710" spans="15:31">
      <c r="O710" s="276"/>
      <c r="P710" s="276"/>
      <c r="Q710" s="276"/>
      <c r="R710" s="276"/>
      <c r="S710" s="276"/>
      <c r="T710" s="276"/>
      <c r="U710" s="276"/>
      <c r="V710" s="276"/>
      <c r="W710" s="276"/>
      <c r="X710" s="276"/>
      <c r="Y710" s="276"/>
      <c r="Z710" s="276"/>
      <c r="AA710" s="276"/>
      <c r="AB710" s="276"/>
      <c r="AC710" s="276"/>
      <c r="AD710" s="276"/>
      <c r="AE710" s="276"/>
    </row>
    <row r="711" spans="15:31">
      <c r="O711" s="276"/>
      <c r="P711" s="276"/>
      <c r="Q711" s="276"/>
      <c r="R711" s="276"/>
      <c r="S711" s="276"/>
      <c r="T711" s="276"/>
      <c r="U711" s="276"/>
      <c r="V711" s="276"/>
      <c r="W711" s="276"/>
      <c r="X711" s="276"/>
      <c r="Y711" s="276"/>
      <c r="Z711" s="276"/>
      <c r="AA711" s="276"/>
      <c r="AB711" s="276"/>
      <c r="AC711" s="276"/>
      <c r="AD711" s="276"/>
      <c r="AE711" s="276"/>
    </row>
    <row r="712" spans="15:31">
      <c r="O712" s="276"/>
      <c r="P712" s="276"/>
      <c r="Q712" s="276"/>
      <c r="R712" s="276"/>
      <c r="S712" s="276"/>
      <c r="T712" s="276"/>
      <c r="U712" s="276"/>
      <c r="V712" s="276"/>
      <c r="W712" s="276"/>
      <c r="X712" s="276"/>
      <c r="Y712" s="276"/>
      <c r="Z712" s="276"/>
      <c r="AA712" s="276"/>
      <c r="AB712" s="276"/>
      <c r="AC712" s="276"/>
      <c r="AD712" s="276"/>
      <c r="AE712" s="276"/>
    </row>
    <row r="713" spans="15:31">
      <c r="O713" s="276"/>
      <c r="P713" s="276"/>
      <c r="Q713" s="276"/>
      <c r="R713" s="276"/>
      <c r="S713" s="276"/>
      <c r="T713" s="276"/>
      <c r="U713" s="276"/>
      <c r="V713" s="276"/>
      <c r="W713" s="276"/>
      <c r="X713" s="276"/>
      <c r="Y713" s="276"/>
      <c r="Z713" s="276"/>
      <c r="AA713" s="276"/>
      <c r="AB713" s="276"/>
      <c r="AC713" s="276"/>
      <c r="AD713" s="276"/>
      <c r="AE713" s="276"/>
    </row>
    <row r="714" spans="15:31">
      <c r="O714" s="276"/>
      <c r="P714" s="276"/>
      <c r="Q714" s="276"/>
      <c r="R714" s="276"/>
      <c r="S714" s="276"/>
      <c r="T714" s="276"/>
      <c r="U714" s="276"/>
      <c r="V714" s="276"/>
      <c r="W714" s="276"/>
      <c r="X714" s="276"/>
      <c r="Y714" s="276"/>
      <c r="Z714" s="276"/>
      <c r="AA714" s="276"/>
      <c r="AB714" s="276"/>
      <c r="AC714" s="276"/>
      <c r="AD714" s="276"/>
      <c r="AE714" s="276"/>
    </row>
    <row r="715" spans="15:31">
      <c r="O715" s="276"/>
      <c r="P715" s="276"/>
      <c r="Q715" s="276"/>
      <c r="R715" s="276"/>
      <c r="S715" s="276"/>
      <c r="T715" s="276"/>
      <c r="U715" s="276"/>
      <c r="V715" s="276"/>
      <c r="W715" s="276"/>
      <c r="X715" s="276"/>
      <c r="Y715" s="276"/>
      <c r="Z715" s="276"/>
      <c r="AA715" s="276"/>
      <c r="AB715" s="276"/>
      <c r="AC715" s="276"/>
      <c r="AD715" s="276"/>
      <c r="AE715" s="276"/>
    </row>
    <row r="716" spans="15:31">
      <c r="O716" s="276"/>
      <c r="P716" s="276"/>
      <c r="Q716" s="276"/>
      <c r="R716" s="276"/>
      <c r="S716" s="276"/>
      <c r="T716" s="276"/>
      <c r="U716" s="276"/>
      <c r="V716" s="276"/>
      <c r="W716" s="276"/>
      <c r="X716" s="276"/>
      <c r="Y716" s="276"/>
      <c r="Z716" s="276"/>
      <c r="AA716" s="276"/>
      <c r="AB716" s="276"/>
      <c r="AC716" s="276"/>
      <c r="AD716" s="276"/>
      <c r="AE716" s="276"/>
    </row>
    <row r="717" spans="15:31">
      <c r="O717" s="276"/>
      <c r="P717" s="276"/>
      <c r="Q717" s="276"/>
      <c r="R717" s="276"/>
      <c r="S717" s="276"/>
      <c r="T717" s="276"/>
      <c r="U717" s="276"/>
      <c r="V717" s="276"/>
      <c r="W717" s="276"/>
      <c r="X717" s="276"/>
      <c r="Y717" s="276"/>
      <c r="Z717" s="276"/>
      <c r="AA717" s="276"/>
      <c r="AB717" s="276"/>
      <c r="AC717" s="276"/>
      <c r="AD717" s="276"/>
      <c r="AE717" s="276"/>
    </row>
    <row r="718" spans="15:31">
      <c r="O718" s="276"/>
      <c r="P718" s="276"/>
      <c r="Q718" s="276"/>
      <c r="R718" s="276"/>
      <c r="S718" s="276"/>
      <c r="T718" s="276"/>
      <c r="U718" s="276"/>
      <c r="V718" s="276"/>
      <c r="W718" s="276"/>
      <c r="X718" s="276"/>
      <c r="Y718" s="276"/>
      <c r="Z718" s="276"/>
      <c r="AA718" s="276"/>
      <c r="AB718" s="276"/>
      <c r="AC718" s="276"/>
      <c r="AD718" s="276"/>
      <c r="AE718" s="276"/>
    </row>
    <row r="719" spans="15:31">
      <c r="O719" s="276"/>
      <c r="P719" s="276"/>
      <c r="Q719" s="276"/>
      <c r="R719" s="276"/>
      <c r="S719" s="276"/>
      <c r="T719" s="276"/>
      <c r="U719" s="276"/>
      <c r="V719" s="276"/>
      <c r="W719" s="276"/>
      <c r="X719" s="276"/>
      <c r="Y719" s="276"/>
      <c r="Z719" s="276"/>
      <c r="AA719" s="276"/>
      <c r="AB719" s="276"/>
      <c r="AC719" s="276"/>
      <c r="AD719" s="276"/>
      <c r="AE719" s="276"/>
    </row>
    <row r="720" spans="15:31">
      <c r="O720" s="276"/>
      <c r="P720" s="276"/>
      <c r="Q720" s="276"/>
      <c r="R720" s="276"/>
      <c r="S720" s="276"/>
      <c r="T720" s="276"/>
      <c r="U720" s="276"/>
      <c r="V720" s="276"/>
      <c r="W720" s="276"/>
      <c r="X720" s="276"/>
      <c r="Y720" s="276"/>
      <c r="Z720" s="276"/>
      <c r="AA720" s="276"/>
      <c r="AB720" s="276"/>
      <c r="AC720" s="276"/>
      <c r="AD720" s="276"/>
      <c r="AE720" s="276"/>
    </row>
    <row r="721" spans="15:31">
      <c r="O721" s="276"/>
      <c r="P721" s="276"/>
      <c r="Q721" s="276"/>
      <c r="R721" s="276"/>
      <c r="S721" s="276"/>
      <c r="T721" s="276"/>
      <c r="U721" s="276"/>
      <c r="V721" s="276"/>
      <c r="W721" s="276"/>
      <c r="X721" s="276"/>
      <c r="Y721" s="276"/>
      <c r="Z721" s="276"/>
      <c r="AA721" s="276"/>
      <c r="AB721" s="276"/>
      <c r="AC721" s="276"/>
      <c r="AD721" s="276"/>
      <c r="AE721" s="276"/>
    </row>
    <row r="722" spans="15:31">
      <c r="O722" s="276"/>
      <c r="P722" s="276"/>
      <c r="Q722" s="276"/>
      <c r="R722" s="276"/>
      <c r="S722" s="276"/>
      <c r="T722" s="276"/>
      <c r="U722" s="276"/>
      <c r="V722" s="276"/>
      <c r="W722" s="276"/>
      <c r="X722" s="276"/>
      <c r="Y722" s="276"/>
      <c r="Z722" s="276"/>
      <c r="AA722" s="276"/>
      <c r="AB722" s="276"/>
      <c r="AC722" s="276"/>
      <c r="AD722" s="276"/>
      <c r="AE722" s="276"/>
    </row>
    <row r="723" spans="15:31">
      <c r="O723" s="276"/>
      <c r="P723" s="276"/>
      <c r="Q723" s="276"/>
      <c r="R723" s="276"/>
      <c r="S723" s="276"/>
      <c r="T723" s="276"/>
      <c r="U723" s="276"/>
      <c r="V723" s="276"/>
      <c r="W723" s="276"/>
      <c r="X723" s="276"/>
      <c r="Y723" s="276"/>
      <c r="Z723" s="276"/>
      <c r="AA723" s="276"/>
      <c r="AB723" s="276"/>
      <c r="AC723" s="276"/>
      <c r="AD723" s="276"/>
      <c r="AE723" s="276"/>
    </row>
    <row r="724" spans="15:31">
      <c r="O724" s="276"/>
      <c r="P724" s="276"/>
      <c r="Q724" s="276"/>
      <c r="R724" s="276"/>
      <c r="S724" s="276"/>
      <c r="T724" s="276"/>
      <c r="U724" s="276"/>
      <c r="V724" s="276"/>
      <c r="W724" s="276"/>
      <c r="X724" s="276"/>
      <c r="Y724" s="276"/>
      <c r="Z724" s="276"/>
      <c r="AA724" s="276"/>
      <c r="AB724" s="276"/>
      <c r="AC724" s="276"/>
      <c r="AD724" s="276"/>
      <c r="AE724" s="276"/>
    </row>
    <row r="725" spans="15:31">
      <c r="O725" s="276"/>
      <c r="P725" s="276"/>
      <c r="Q725" s="276"/>
      <c r="R725" s="276"/>
      <c r="S725" s="276"/>
      <c r="T725" s="276"/>
      <c r="U725" s="276"/>
      <c r="V725" s="276"/>
      <c r="W725" s="276"/>
      <c r="X725" s="276"/>
      <c r="Y725" s="276"/>
      <c r="Z725" s="276"/>
      <c r="AA725" s="276"/>
      <c r="AB725" s="276"/>
      <c r="AC725" s="276"/>
      <c r="AD725" s="276"/>
      <c r="AE725" s="276"/>
    </row>
    <row r="726" spans="15:31">
      <c r="O726" s="276"/>
      <c r="P726" s="276"/>
      <c r="Q726" s="276"/>
      <c r="R726" s="276"/>
      <c r="S726" s="276"/>
      <c r="T726" s="276"/>
      <c r="U726" s="276"/>
      <c r="V726" s="276"/>
      <c r="W726" s="276"/>
      <c r="X726" s="276"/>
      <c r="Y726" s="276"/>
      <c r="Z726" s="276"/>
      <c r="AA726" s="276"/>
      <c r="AB726" s="276"/>
      <c r="AC726" s="276"/>
      <c r="AD726" s="276"/>
      <c r="AE726" s="276"/>
    </row>
    <row r="727" spans="15:31">
      <c r="O727" s="276"/>
      <c r="P727" s="276"/>
      <c r="Q727" s="276"/>
      <c r="R727" s="276"/>
      <c r="S727" s="276"/>
      <c r="T727" s="276"/>
      <c r="U727" s="276"/>
      <c r="V727" s="276"/>
      <c r="W727" s="276"/>
      <c r="X727" s="276"/>
      <c r="Y727" s="276"/>
      <c r="Z727" s="276"/>
      <c r="AA727" s="276"/>
      <c r="AB727" s="276"/>
      <c r="AC727" s="276"/>
      <c r="AD727" s="276"/>
      <c r="AE727" s="276"/>
    </row>
    <row r="728" spans="15:31">
      <c r="O728" s="276"/>
      <c r="P728" s="276"/>
      <c r="Q728" s="276"/>
      <c r="R728" s="276"/>
      <c r="S728" s="276"/>
      <c r="T728" s="276"/>
      <c r="U728" s="276"/>
      <c r="V728" s="276"/>
      <c r="W728" s="276"/>
      <c r="X728" s="276"/>
      <c r="Y728" s="276"/>
      <c r="Z728" s="276"/>
      <c r="AA728" s="276"/>
      <c r="AB728" s="276"/>
      <c r="AC728" s="276"/>
      <c r="AD728" s="276"/>
      <c r="AE728" s="276"/>
    </row>
    <row r="729" spans="15:31">
      <c r="O729" s="276"/>
      <c r="P729" s="276"/>
      <c r="Q729" s="276"/>
      <c r="R729" s="276"/>
      <c r="S729" s="276"/>
      <c r="T729" s="276"/>
      <c r="U729" s="276"/>
      <c r="V729" s="276"/>
      <c r="W729" s="276"/>
      <c r="X729" s="276"/>
      <c r="Y729" s="276"/>
      <c r="Z729" s="276"/>
      <c r="AA729" s="276"/>
      <c r="AB729" s="276"/>
      <c r="AC729" s="276"/>
      <c r="AD729" s="276"/>
      <c r="AE729" s="276"/>
    </row>
    <row r="730" spans="15:31">
      <c r="O730" s="276"/>
      <c r="P730" s="276"/>
      <c r="Q730" s="276"/>
      <c r="R730" s="276"/>
      <c r="S730" s="276"/>
      <c r="T730" s="276"/>
      <c r="U730" s="276"/>
      <c r="V730" s="276"/>
      <c r="W730" s="276"/>
      <c r="X730" s="276"/>
      <c r="Y730" s="276"/>
      <c r="Z730" s="276"/>
      <c r="AA730" s="276"/>
      <c r="AB730" s="276"/>
      <c r="AC730" s="276"/>
      <c r="AD730" s="276"/>
      <c r="AE730" s="276"/>
    </row>
    <row r="731" spans="15:31">
      <c r="O731" s="276"/>
      <c r="P731" s="276"/>
      <c r="Q731" s="276"/>
      <c r="R731" s="276"/>
      <c r="S731" s="276"/>
      <c r="T731" s="276"/>
      <c r="U731" s="276"/>
      <c r="V731" s="276"/>
      <c r="W731" s="276"/>
      <c r="X731" s="276"/>
      <c r="Y731" s="276"/>
      <c r="Z731" s="276"/>
      <c r="AA731" s="276"/>
      <c r="AB731" s="276"/>
      <c r="AC731" s="276"/>
      <c r="AD731" s="276"/>
      <c r="AE731" s="276"/>
    </row>
    <row r="732" spans="15:31">
      <c r="O732" s="276"/>
      <c r="P732" s="276"/>
      <c r="Q732" s="276"/>
      <c r="R732" s="276"/>
      <c r="S732" s="276"/>
      <c r="T732" s="276"/>
      <c r="U732" s="276"/>
      <c r="V732" s="276"/>
      <c r="W732" s="276"/>
      <c r="X732" s="276"/>
      <c r="Y732" s="276"/>
      <c r="Z732" s="276"/>
      <c r="AA732" s="276"/>
      <c r="AB732" s="276"/>
      <c r="AC732" s="276"/>
      <c r="AD732" s="276"/>
      <c r="AE732" s="276"/>
    </row>
    <row r="733" spans="15:31">
      <c r="O733" s="276"/>
      <c r="P733" s="276"/>
      <c r="Q733" s="276"/>
      <c r="R733" s="276"/>
      <c r="S733" s="276"/>
      <c r="T733" s="276"/>
      <c r="U733" s="276"/>
      <c r="V733" s="276"/>
      <c r="W733" s="276"/>
      <c r="X733" s="276"/>
      <c r="Y733" s="276"/>
      <c r="Z733" s="276"/>
      <c r="AA733" s="276"/>
      <c r="AB733" s="276"/>
      <c r="AC733" s="276"/>
      <c r="AD733" s="276"/>
      <c r="AE733" s="276"/>
    </row>
    <row r="734" spans="15:31">
      <c r="O734" s="276"/>
      <c r="P734" s="276"/>
      <c r="Q734" s="276"/>
      <c r="R734" s="276"/>
      <c r="S734" s="276"/>
      <c r="T734" s="276"/>
      <c r="U734" s="276"/>
      <c r="V734" s="276"/>
      <c r="W734" s="276"/>
      <c r="X734" s="276"/>
      <c r="Y734" s="276"/>
      <c r="Z734" s="276"/>
      <c r="AA734" s="276"/>
      <c r="AB734" s="276"/>
      <c r="AC734" s="276"/>
      <c r="AD734" s="276"/>
      <c r="AE734" s="276"/>
    </row>
    <row r="735" spans="15:31">
      <c r="O735" s="276"/>
      <c r="P735" s="276"/>
      <c r="Q735" s="276"/>
      <c r="R735" s="276"/>
      <c r="S735" s="276"/>
      <c r="T735" s="276"/>
      <c r="U735" s="276"/>
      <c r="V735" s="276"/>
      <c r="W735" s="276"/>
      <c r="X735" s="276"/>
      <c r="Y735" s="276"/>
      <c r="Z735" s="276"/>
      <c r="AA735" s="276"/>
      <c r="AB735" s="276"/>
      <c r="AC735" s="276"/>
      <c r="AD735" s="276"/>
      <c r="AE735" s="276"/>
    </row>
    <row r="736" spans="15:31">
      <c r="O736" s="276"/>
      <c r="P736" s="276"/>
      <c r="Q736" s="276"/>
      <c r="R736" s="276"/>
      <c r="S736" s="276"/>
      <c r="T736" s="276"/>
      <c r="U736" s="276"/>
      <c r="V736" s="276"/>
      <c r="W736" s="276"/>
      <c r="X736" s="276"/>
      <c r="Y736" s="276"/>
      <c r="Z736" s="276"/>
      <c r="AA736" s="276"/>
      <c r="AB736" s="276"/>
      <c r="AC736" s="276"/>
      <c r="AD736" s="276"/>
      <c r="AE736" s="276"/>
    </row>
    <row r="737" spans="15:31">
      <c r="O737" s="276"/>
      <c r="P737" s="276"/>
      <c r="Q737" s="276"/>
      <c r="R737" s="276"/>
      <c r="S737" s="276"/>
      <c r="T737" s="276"/>
      <c r="U737" s="276"/>
      <c r="V737" s="276"/>
      <c r="W737" s="276"/>
      <c r="X737" s="276"/>
      <c r="Y737" s="276"/>
      <c r="Z737" s="276"/>
      <c r="AA737" s="276"/>
      <c r="AB737" s="276"/>
      <c r="AC737" s="276"/>
      <c r="AD737" s="276"/>
      <c r="AE737" s="276"/>
    </row>
    <row r="738" spans="15:31">
      <c r="O738" s="276"/>
      <c r="P738" s="276"/>
      <c r="Q738" s="276"/>
      <c r="R738" s="276"/>
      <c r="S738" s="276"/>
      <c r="T738" s="276"/>
      <c r="U738" s="276"/>
      <c r="V738" s="276"/>
      <c r="W738" s="276"/>
      <c r="X738" s="276"/>
      <c r="Y738" s="276"/>
      <c r="Z738" s="276"/>
      <c r="AA738" s="276"/>
      <c r="AB738" s="276"/>
      <c r="AC738" s="276"/>
      <c r="AD738" s="276"/>
      <c r="AE738" s="276"/>
    </row>
    <row r="739" spans="15:31">
      <c r="O739" s="276"/>
      <c r="P739" s="276"/>
      <c r="Q739" s="276"/>
      <c r="R739" s="276"/>
      <c r="S739" s="276"/>
      <c r="T739" s="276"/>
      <c r="U739" s="276"/>
      <c r="V739" s="276"/>
      <c r="W739" s="276"/>
      <c r="X739" s="276"/>
      <c r="Y739" s="276"/>
      <c r="Z739" s="276"/>
      <c r="AA739" s="276"/>
      <c r="AB739" s="276"/>
      <c r="AC739" s="276"/>
      <c r="AD739" s="276"/>
      <c r="AE739" s="276"/>
    </row>
    <row r="740" spans="15:31">
      <c r="O740" s="276"/>
      <c r="P740" s="276"/>
      <c r="Q740" s="276"/>
      <c r="R740" s="276"/>
      <c r="S740" s="276"/>
      <c r="T740" s="276"/>
      <c r="U740" s="276"/>
      <c r="V740" s="276"/>
      <c r="W740" s="276"/>
      <c r="X740" s="276"/>
      <c r="Y740" s="276"/>
      <c r="Z740" s="276"/>
      <c r="AA740" s="276"/>
      <c r="AB740" s="276"/>
      <c r="AC740" s="276"/>
      <c r="AD740" s="276"/>
      <c r="AE740" s="276"/>
    </row>
    <row r="741" spans="15:31">
      <c r="O741" s="276"/>
      <c r="P741" s="276"/>
      <c r="Q741" s="276"/>
      <c r="R741" s="276"/>
      <c r="S741" s="276"/>
      <c r="T741" s="276"/>
      <c r="U741" s="276"/>
      <c r="V741" s="276"/>
      <c r="W741" s="276"/>
      <c r="X741" s="276"/>
      <c r="Y741" s="276"/>
      <c r="Z741" s="276"/>
      <c r="AA741" s="276"/>
      <c r="AB741" s="276"/>
      <c r="AC741" s="276"/>
      <c r="AD741" s="276"/>
      <c r="AE741" s="276"/>
    </row>
    <row r="742" spans="15:31">
      <c r="O742" s="276"/>
      <c r="P742" s="276"/>
      <c r="Q742" s="276"/>
      <c r="R742" s="276"/>
      <c r="S742" s="276"/>
      <c r="T742" s="276"/>
      <c r="U742" s="276"/>
      <c r="V742" s="276"/>
      <c r="W742" s="276"/>
      <c r="X742" s="276"/>
      <c r="Y742" s="276"/>
      <c r="Z742" s="276"/>
      <c r="AA742" s="276"/>
      <c r="AB742" s="276"/>
      <c r="AC742" s="276"/>
      <c r="AD742" s="276"/>
      <c r="AE742" s="276"/>
    </row>
    <row r="743" spans="15:31">
      <c r="O743" s="276"/>
      <c r="P743" s="276"/>
      <c r="Q743" s="276"/>
      <c r="R743" s="276"/>
      <c r="S743" s="276"/>
      <c r="T743" s="276"/>
      <c r="U743" s="276"/>
      <c r="V743" s="276"/>
      <c r="W743" s="276"/>
      <c r="X743" s="276"/>
      <c r="Y743" s="276"/>
      <c r="Z743" s="276"/>
      <c r="AA743" s="276"/>
      <c r="AB743" s="276"/>
      <c r="AC743" s="276"/>
      <c r="AD743" s="276"/>
      <c r="AE743" s="276"/>
    </row>
    <row r="744" spans="15:31">
      <c r="O744" s="276"/>
      <c r="P744" s="276"/>
      <c r="Q744" s="276"/>
      <c r="R744" s="276"/>
      <c r="S744" s="276"/>
      <c r="T744" s="276"/>
      <c r="U744" s="276"/>
      <c r="V744" s="276"/>
      <c r="W744" s="276"/>
      <c r="X744" s="276"/>
      <c r="Y744" s="276"/>
      <c r="Z744" s="276"/>
      <c r="AA744" s="276"/>
      <c r="AB744" s="276"/>
      <c r="AC744" s="276"/>
      <c r="AD744" s="276"/>
      <c r="AE744" s="276"/>
    </row>
    <row r="745" spans="15:31">
      <c r="O745" s="276"/>
      <c r="P745" s="276"/>
      <c r="Q745" s="276"/>
      <c r="R745" s="276"/>
      <c r="S745" s="276"/>
      <c r="T745" s="276"/>
      <c r="U745" s="276"/>
      <c r="V745" s="276"/>
      <c r="W745" s="276"/>
      <c r="X745" s="276"/>
      <c r="Y745" s="276"/>
      <c r="Z745" s="276"/>
      <c r="AA745" s="276"/>
      <c r="AB745" s="276"/>
      <c r="AC745" s="276"/>
      <c r="AD745" s="276"/>
      <c r="AE745" s="276"/>
    </row>
    <row r="746" spans="15:31">
      <c r="O746" s="276"/>
      <c r="P746" s="276"/>
      <c r="Q746" s="276"/>
      <c r="R746" s="276"/>
      <c r="S746" s="276"/>
      <c r="T746" s="276"/>
      <c r="U746" s="276"/>
      <c r="V746" s="276"/>
      <c r="W746" s="276"/>
      <c r="X746" s="276"/>
      <c r="Y746" s="276"/>
      <c r="Z746" s="276"/>
      <c r="AA746" s="276"/>
      <c r="AB746" s="276"/>
      <c r="AC746" s="276"/>
      <c r="AD746" s="276"/>
      <c r="AE746" s="276"/>
    </row>
    <row r="747" spans="15:31">
      <c r="O747" s="276"/>
      <c r="P747" s="276"/>
      <c r="Q747" s="276"/>
      <c r="R747" s="276"/>
      <c r="S747" s="276"/>
      <c r="T747" s="276"/>
      <c r="U747" s="276"/>
      <c r="V747" s="276"/>
      <c r="W747" s="276"/>
      <c r="X747" s="276"/>
      <c r="Y747" s="276"/>
      <c r="Z747" s="276"/>
      <c r="AA747" s="276"/>
      <c r="AB747" s="276"/>
      <c r="AC747" s="276"/>
      <c r="AD747" s="276"/>
      <c r="AE747" s="276"/>
    </row>
    <row r="748" spans="15:31">
      <c r="O748" s="276"/>
      <c r="P748" s="276"/>
      <c r="Q748" s="276"/>
      <c r="R748" s="276"/>
      <c r="S748" s="276"/>
      <c r="T748" s="276"/>
      <c r="U748" s="276"/>
      <c r="V748" s="276"/>
      <c r="W748" s="276"/>
      <c r="X748" s="276"/>
      <c r="Y748" s="276"/>
      <c r="Z748" s="276"/>
      <c r="AA748" s="276"/>
      <c r="AB748" s="276"/>
      <c r="AC748" s="276"/>
      <c r="AD748" s="276"/>
      <c r="AE748" s="276"/>
    </row>
    <row r="749" spans="15:31">
      <c r="O749" s="276"/>
      <c r="P749" s="276"/>
      <c r="Q749" s="276"/>
      <c r="R749" s="276"/>
      <c r="S749" s="276"/>
      <c r="T749" s="276"/>
      <c r="U749" s="276"/>
      <c r="V749" s="276"/>
      <c r="W749" s="276"/>
      <c r="X749" s="276"/>
      <c r="Y749" s="276"/>
      <c r="Z749" s="276"/>
      <c r="AA749" s="276"/>
      <c r="AB749" s="276"/>
      <c r="AC749" s="276"/>
      <c r="AD749" s="276"/>
      <c r="AE749" s="276"/>
    </row>
    <row r="750" spans="15:31">
      <c r="O750" s="276"/>
      <c r="P750" s="276"/>
      <c r="Q750" s="276"/>
      <c r="R750" s="276"/>
      <c r="S750" s="276"/>
      <c r="T750" s="276"/>
      <c r="U750" s="276"/>
      <c r="V750" s="276"/>
      <c r="W750" s="276"/>
      <c r="X750" s="276"/>
      <c r="Y750" s="276"/>
      <c r="Z750" s="276"/>
      <c r="AA750" s="276"/>
      <c r="AB750" s="276"/>
      <c r="AC750" s="276"/>
      <c r="AD750" s="276"/>
      <c r="AE750" s="276"/>
    </row>
    <row r="751" spans="15:31">
      <c r="O751" s="276"/>
      <c r="P751" s="276"/>
      <c r="Q751" s="276"/>
      <c r="R751" s="276"/>
      <c r="S751" s="276"/>
      <c r="T751" s="276"/>
      <c r="U751" s="276"/>
      <c r="V751" s="276"/>
      <c r="W751" s="276"/>
      <c r="X751" s="276"/>
      <c r="Y751" s="276"/>
      <c r="Z751" s="276"/>
      <c r="AA751" s="276"/>
      <c r="AB751" s="276"/>
      <c r="AC751" s="276"/>
      <c r="AD751" s="276"/>
      <c r="AE751" s="276"/>
    </row>
    <row r="752" spans="15:31">
      <c r="O752" s="276"/>
      <c r="P752" s="276"/>
      <c r="Q752" s="276"/>
      <c r="R752" s="276"/>
      <c r="S752" s="276"/>
      <c r="T752" s="276"/>
      <c r="U752" s="276"/>
      <c r="V752" s="276"/>
      <c r="W752" s="276"/>
      <c r="X752" s="276"/>
      <c r="Y752" s="276"/>
      <c r="Z752" s="276"/>
      <c r="AA752" s="276"/>
      <c r="AB752" s="276"/>
      <c r="AC752" s="276"/>
      <c r="AD752" s="276"/>
      <c r="AE752" s="276"/>
    </row>
    <row r="753" spans="15:31">
      <c r="O753" s="276"/>
      <c r="P753" s="276"/>
      <c r="Q753" s="276"/>
      <c r="R753" s="276"/>
      <c r="S753" s="276"/>
      <c r="T753" s="276"/>
      <c r="U753" s="276"/>
      <c r="V753" s="276"/>
      <c r="W753" s="276"/>
      <c r="X753" s="276"/>
      <c r="Y753" s="276"/>
      <c r="Z753" s="276"/>
      <c r="AA753" s="276"/>
      <c r="AB753" s="276"/>
      <c r="AC753" s="276"/>
      <c r="AD753" s="276"/>
      <c r="AE753" s="276"/>
    </row>
    <row r="754" spans="15:31">
      <c r="O754" s="276"/>
      <c r="P754" s="276"/>
      <c r="Q754" s="276"/>
      <c r="R754" s="276"/>
      <c r="S754" s="276"/>
      <c r="T754" s="276"/>
      <c r="U754" s="276"/>
      <c r="V754" s="276"/>
      <c r="W754" s="276"/>
      <c r="X754" s="276"/>
      <c r="Y754" s="276"/>
      <c r="Z754" s="276"/>
      <c r="AA754" s="276"/>
      <c r="AB754" s="276"/>
      <c r="AC754" s="276"/>
      <c r="AD754" s="276"/>
      <c r="AE754" s="276"/>
    </row>
    <row r="755" spans="15:31">
      <c r="O755" s="276"/>
      <c r="P755" s="276"/>
      <c r="Q755" s="276"/>
      <c r="R755" s="276"/>
      <c r="S755" s="276"/>
      <c r="T755" s="276"/>
      <c r="U755" s="276"/>
      <c r="V755" s="276"/>
      <c r="W755" s="276"/>
      <c r="X755" s="276"/>
      <c r="Y755" s="276"/>
      <c r="Z755" s="276"/>
      <c r="AA755" s="276"/>
      <c r="AB755" s="276"/>
      <c r="AC755" s="276"/>
      <c r="AD755" s="276"/>
      <c r="AE755" s="276"/>
    </row>
    <row r="756" spans="15:31">
      <c r="O756" s="276"/>
      <c r="P756" s="276"/>
      <c r="Q756" s="276"/>
      <c r="R756" s="276"/>
      <c r="S756" s="276"/>
      <c r="T756" s="276"/>
      <c r="U756" s="276"/>
      <c r="V756" s="276"/>
      <c r="W756" s="276"/>
      <c r="X756" s="276"/>
      <c r="Y756" s="276"/>
      <c r="Z756" s="276"/>
      <c r="AA756" s="276"/>
      <c r="AB756" s="276"/>
      <c r="AC756" s="276"/>
      <c r="AD756" s="276"/>
      <c r="AE756" s="276"/>
    </row>
    <row r="757" spans="15:31">
      <c r="O757" s="276"/>
      <c r="P757" s="276"/>
      <c r="Q757" s="276"/>
      <c r="R757" s="276"/>
      <c r="S757" s="276"/>
      <c r="T757" s="276"/>
      <c r="U757" s="276"/>
      <c r="V757" s="276"/>
      <c r="W757" s="276"/>
      <c r="X757" s="276"/>
      <c r="Y757" s="276"/>
      <c r="Z757" s="276"/>
      <c r="AA757" s="276"/>
      <c r="AB757" s="276"/>
      <c r="AC757" s="276"/>
      <c r="AD757" s="276"/>
      <c r="AE757" s="276"/>
    </row>
    <row r="758" spans="15:31">
      <c r="O758" s="276"/>
      <c r="P758" s="276"/>
      <c r="Q758" s="276"/>
      <c r="R758" s="276"/>
      <c r="S758" s="276"/>
      <c r="T758" s="276"/>
      <c r="U758" s="276"/>
      <c r="V758" s="276"/>
      <c r="W758" s="276"/>
      <c r="X758" s="276"/>
      <c r="Y758" s="276"/>
      <c r="Z758" s="276"/>
      <c r="AA758" s="276"/>
      <c r="AB758" s="276"/>
      <c r="AC758" s="276"/>
      <c r="AD758" s="276"/>
      <c r="AE758" s="276"/>
    </row>
    <row r="759" spans="15:31">
      <c r="O759" s="276"/>
      <c r="P759" s="276"/>
      <c r="Q759" s="276"/>
      <c r="R759" s="276"/>
      <c r="S759" s="276"/>
      <c r="T759" s="276"/>
      <c r="U759" s="276"/>
      <c r="V759" s="276"/>
      <c r="W759" s="276"/>
      <c r="X759" s="276"/>
      <c r="Y759" s="276"/>
      <c r="Z759" s="276"/>
      <c r="AA759" s="276"/>
      <c r="AB759" s="276"/>
      <c r="AC759" s="276"/>
      <c r="AD759" s="276"/>
      <c r="AE759" s="276"/>
    </row>
    <row r="760" spans="15:31">
      <c r="O760" s="276"/>
      <c r="P760" s="276"/>
      <c r="Q760" s="276"/>
      <c r="R760" s="276"/>
      <c r="S760" s="276"/>
      <c r="T760" s="276"/>
      <c r="U760" s="276"/>
      <c r="V760" s="276"/>
      <c r="W760" s="276"/>
      <c r="X760" s="276"/>
      <c r="Y760" s="276"/>
      <c r="Z760" s="276"/>
      <c r="AA760" s="276"/>
      <c r="AB760" s="276"/>
      <c r="AC760" s="276"/>
      <c r="AD760" s="276"/>
      <c r="AE760" s="276"/>
    </row>
    <row r="761" spans="15:31">
      <c r="O761" s="276"/>
      <c r="P761" s="276"/>
      <c r="Q761" s="276"/>
      <c r="R761" s="276"/>
      <c r="S761" s="276"/>
      <c r="T761" s="276"/>
      <c r="U761" s="276"/>
      <c r="V761" s="276"/>
      <c r="W761" s="276"/>
      <c r="X761" s="276"/>
      <c r="Y761" s="276"/>
      <c r="Z761" s="276"/>
      <c r="AA761" s="276"/>
      <c r="AB761" s="276"/>
      <c r="AC761" s="276"/>
      <c r="AD761" s="276"/>
      <c r="AE761" s="276"/>
    </row>
    <row r="762" spans="15:31">
      <c r="O762" s="276"/>
      <c r="P762" s="276"/>
      <c r="Q762" s="276"/>
      <c r="R762" s="276"/>
      <c r="S762" s="276"/>
      <c r="T762" s="276"/>
      <c r="U762" s="276"/>
      <c r="V762" s="276"/>
      <c r="W762" s="276"/>
      <c r="X762" s="276"/>
      <c r="Y762" s="276"/>
      <c r="Z762" s="276"/>
      <c r="AA762" s="276"/>
      <c r="AB762" s="276"/>
      <c r="AC762" s="276"/>
      <c r="AD762" s="276"/>
      <c r="AE762" s="276"/>
    </row>
    <row r="763" spans="15:31">
      <c r="O763" s="276"/>
      <c r="P763" s="276"/>
      <c r="Q763" s="276"/>
      <c r="R763" s="276"/>
      <c r="S763" s="276"/>
      <c r="T763" s="276"/>
      <c r="U763" s="276"/>
      <c r="V763" s="276"/>
      <c r="W763" s="276"/>
      <c r="X763" s="276"/>
      <c r="Y763" s="276"/>
      <c r="Z763" s="276"/>
      <c r="AA763" s="276"/>
      <c r="AB763" s="276"/>
      <c r="AC763" s="276"/>
      <c r="AD763" s="276"/>
      <c r="AE763" s="276"/>
    </row>
    <row r="764" spans="15:31">
      <c r="O764" s="276"/>
      <c r="P764" s="276"/>
      <c r="Q764" s="276"/>
      <c r="R764" s="276"/>
      <c r="S764" s="276"/>
      <c r="T764" s="276"/>
      <c r="U764" s="276"/>
      <c r="V764" s="276"/>
      <c r="W764" s="276"/>
      <c r="X764" s="276"/>
      <c r="Y764" s="276"/>
      <c r="Z764" s="276"/>
      <c r="AA764" s="276"/>
      <c r="AB764" s="276"/>
      <c r="AC764" s="276"/>
      <c r="AD764" s="276"/>
      <c r="AE764" s="276"/>
    </row>
    <row r="765" spans="15:31">
      <c r="O765" s="276"/>
      <c r="P765" s="276"/>
      <c r="Q765" s="276"/>
      <c r="R765" s="276"/>
      <c r="S765" s="276"/>
      <c r="T765" s="276"/>
      <c r="U765" s="276"/>
      <c r="V765" s="276"/>
      <c r="W765" s="276"/>
      <c r="X765" s="276"/>
      <c r="Y765" s="276"/>
      <c r="Z765" s="276"/>
      <c r="AA765" s="276"/>
      <c r="AB765" s="276"/>
      <c r="AC765" s="276"/>
      <c r="AD765" s="276"/>
      <c r="AE765" s="276"/>
    </row>
    <row r="766" spans="15:31">
      <c r="O766" s="276"/>
      <c r="P766" s="276"/>
      <c r="Q766" s="276"/>
      <c r="R766" s="276"/>
      <c r="S766" s="276"/>
      <c r="T766" s="276"/>
      <c r="U766" s="276"/>
      <c r="V766" s="276"/>
      <c r="W766" s="276"/>
      <c r="X766" s="276"/>
      <c r="Y766" s="276"/>
      <c r="Z766" s="276"/>
      <c r="AA766" s="276"/>
      <c r="AB766" s="276"/>
      <c r="AC766" s="276"/>
      <c r="AD766" s="276"/>
      <c r="AE766" s="276"/>
    </row>
    <row r="767" spans="15:31">
      <c r="O767" s="276"/>
      <c r="P767" s="276"/>
      <c r="Q767" s="276"/>
      <c r="R767" s="276"/>
      <c r="S767" s="276"/>
      <c r="T767" s="276"/>
      <c r="U767" s="276"/>
      <c r="V767" s="276"/>
      <c r="W767" s="276"/>
      <c r="X767" s="276"/>
      <c r="Y767" s="276"/>
      <c r="Z767" s="276"/>
      <c r="AA767" s="276"/>
      <c r="AB767" s="276"/>
      <c r="AC767" s="276"/>
      <c r="AD767" s="276"/>
      <c r="AE767" s="276"/>
    </row>
    <row r="768" spans="15:31">
      <c r="O768" s="276"/>
      <c r="P768" s="276"/>
      <c r="Q768" s="276"/>
      <c r="R768" s="276"/>
      <c r="S768" s="276"/>
      <c r="T768" s="276"/>
      <c r="U768" s="276"/>
      <c r="V768" s="276"/>
      <c r="W768" s="276"/>
      <c r="X768" s="276"/>
      <c r="Y768" s="276"/>
      <c r="Z768" s="276"/>
      <c r="AA768" s="276"/>
      <c r="AB768" s="276"/>
      <c r="AC768" s="276"/>
      <c r="AD768" s="276"/>
      <c r="AE768" s="276"/>
    </row>
    <row r="769" spans="15:31">
      <c r="O769" s="276"/>
      <c r="P769" s="276"/>
      <c r="Q769" s="276"/>
      <c r="R769" s="276"/>
      <c r="S769" s="276"/>
      <c r="T769" s="276"/>
      <c r="U769" s="276"/>
      <c r="V769" s="276"/>
      <c r="W769" s="276"/>
      <c r="X769" s="276"/>
      <c r="Y769" s="276"/>
      <c r="Z769" s="276"/>
      <c r="AA769" s="276"/>
      <c r="AB769" s="276"/>
      <c r="AC769" s="276"/>
      <c r="AD769" s="276"/>
      <c r="AE769" s="276"/>
    </row>
    <row r="770" spans="15:31">
      <c r="O770" s="276"/>
      <c r="P770" s="276"/>
      <c r="Q770" s="276"/>
      <c r="R770" s="276"/>
      <c r="S770" s="276"/>
      <c r="T770" s="276"/>
      <c r="U770" s="276"/>
      <c r="V770" s="276"/>
      <c r="W770" s="276"/>
      <c r="X770" s="276"/>
      <c r="Y770" s="276"/>
      <c r="Z770" s="276"/>
      <c r="AA770" s="276"/>
      <c r="AB770" s="276"/>
      <c r="AC770" s="276"/>
      <c r="AD770" s="276"/>
      <c r="AE770" s="276"/>
    </row>
    <row r="771" spans="15:31">
      <c r="O771" s="276"/>
      <c r="P771" s="276"/>
      <c r="Q771" s="276"/>
      <c r="R771" s="276"/>
      <c r="S771" s="276"/>
      <c r="T771" s="276"/>
      <c r="U771" s="276"/>
      <c r="V771" s="276"/>
      <c r="W771" s="276"/>
      <c r="X771" s="276"/>
      <c r="Y771" s="276"/>
      <c r="Z771" s="276"/>
      <c r="AA771" s="276"/>
      <c r="AB771" s="276"/>
      <c r="AC771" s="276"/>
      <c r="AD771" s="276"/>
      <c r="AE771" s="276"/>
    </row>
    <row r="772" spans="15:31">
      <c r="O772" s="276"/>
      <c r="P772" s="276"/>
      <c r="Q772" s="276"/>
      <c r="R772" s="276"/>
      <c r="S772" s="276"/>
      <c r="T772" s="276"/>
      <c r="U772" s="276"/>
      <c r="V772" s="276"/>
      <c r="W772" s="276"/>
      <c r="X772" s="276"/>
      <c r="Y772" s="276"/>
      <c r="Z772" s="276"/>
      <c r="AA772" s="276"/>
      <c r="AB772" s="276"/>
      <c r="AC772" s="276"/>
      <c r="AD772" s="276"/>
      <c r="AE772" s="276"/>
    </row>
    <row r="773" spans="15:31">
      <c r="O773" s="276"/>
      <c r="P773" s="276"/>
      <c r="Q773" s="276"/>
      <c r="R773" s="276"/>
      <c r="S773" s="276"/>
      <c r="T773" s="276"/>
      <c r="U773" s="276"/>
      <c r="V773" s="276"/>
      <c r="W773" s="276"/>
      <c r="X773" s="276"/>
      <c r="Y773" s="276"/>
      <c r="Z773" s="276"/>
      <c r="AA773" s="276"/>
      <c r="AB773" s="276"/>
      <c r="AC773" s="276"/>
      <c r="AD773" s="276"/>
      <c r="AE773" s="276"/>
    </row>
    <row r="774" spans="15:31">
      <c r="O774" s="276"/>
      <c r="P774" s="276"/>
      <c r="Q774" s="276"/>
      <c r="R774" s="276"/>
      <c r="S774" s="276"/>
      <c r="T774" s="276"/>
      <c r="U774" s="276"/>
      <c r="V774" s="276"/>
      <c r="W774" s="276"/>
      <c r="X774" s="276"/>
      <c r="Y774" s="276"/>
      <c r="Z774" s="276"/>
      <c r="AA774" s="276"/>
      <c r="AB774" s="276"/>
      <c r="AC774" s="276"/>
      <c r="AD774" s="276"/>
      <c r="AE774" s="276"/>
    </row>
    <row r="775" spans="15:31">
      <c r="O775" s="276"/>
      <c r="P775" s="276"/>
      <c r="Q775" s="276"/>
      <c r="R775" s="276"/>
      <c r="S775" s="276"/>
      <c r="T775" s="276"/>
      <c r="U775" s="276"/>
      <c r="V775" s="276"/>
      <c r="W775" s="276"/>
      <c r="X775" s="276"/>
      <c r="Y775" s="276"/>
      <c r="Z775" s="276"/>
      <c r="AA775" s="276"/>
      <c r="AB775" s="276"/>
      <c r="AC775" s="276"/>
      <c r="AD775" s="276"/>
      <c r="AE775" s="276"/>
    </row>
    <row r="776" spans="15:31">
      <c r="O776" s="276"/>
      <c r="P776" s="276"/>
      <c r="Q776" s="276"/>
      <c r="R776" s="276"/>
      <c r="S776" s="276"/>
      <c r="T776" s="276"/>
      <c r="U776" s="276"/>
      <c r="V776" s="276"/>
      <c r="W776" s="276"/>
      <c r="X776" s="276"/>
      <c r="Y776" s="276"/>
      <c r="Z776" s="276"/>
      <c r="AA776" s="276"/>
      <c r="AB776" s="276"/>
      <c r="AC776" s="276"/>
      <c r="AD776" s="276"/>
      <c r="AE776" s="276"/>
    </row>
    <row r="777" spans="15:31">
      <c r="O777" s="276"/>
      <c r="P777" s="276"/>
      <c r="Q777" s="276"/>
      <c r="R777" s="276"/>
      <c r="S777" s="276"/>
      <c r="T777" s="276"/>
      <c r="U777" s="276"/>
      <c r="V777" s="276"/>
      <c r="W777" s="276"/>
      <c r="X777" s="276"/>
      <c r="Y777" s="276"/>
      <c r="Z777" s="276"/>
      <c r="AA777" s="276"/>
      <c r="AB777" s="276"/>
      <c r="AC777" s="276"/>
      <c r="AD777" s="276"/>
      <c r="AE777" s="276"/>
    </row>
    <row r="778" spans="15:31">
      <c r="O778" s="276"/>
      <c r="P778" s="276"/>
      <c r="Q778" s="276"/>
      <c r="R778" s="276"/>
      <c r="S778" s="276"/>
      <c r="T778" s="276"/>
      <c r="U778" s="276"/>
      <c r="V778" s="276"/>
      <c r="W778" s="276"/>
      <c r="X778" s="276"/>
      <c r="Y778" s="276"/>
      <c r="Z778" s="276"/>
      <c r="AA778" s="276"/>
      <c r="AB778" s="276"/>
      <c r="AC778" s="276"/>
      <c r="AD778" s="276"/>
      <c r="AE778" s="276"/>
    </row>
    <row r="779" spans="15:31">
      <c r="O779" s="276"/>
      <c r="P779" s="276"/>
      <c r="Q779" s="276"/>
      <c r="R779" s="276"/>
      <c r="S779" s="276"/>
      <c r="T779" s="276"/>
      <c r="U779" s="276"/>
      <c r="V779" s="276"/>
      <c r="W779" s="276"/>
      <c r="X779" s="276"/>
      <c r="Y779" s="276"/>
      <c r="Z779" s="276"/>
      <c r="AA779" s="276"/>
      <c r="AB779" s="276"/>
      <c r="AC779" s="276"/>
      <c r="AD779" s="276"/>
      <c r="AE779" s="276"/>
    </row>
    <row r="780" spans="15:31">
      <c r="O780" s="276"/>
      <c r="P780" s="276"/>
      <c r="Q780" s="276"/>
      <c r="R780" s="276"/>
      <c r="S780" s="276"/>
      <c r="T780" s="276"/>
      <c r="U780" s="276"/>
      <c r="V780" s="276"/>
      <c r="W780" s="276"/>
      <c r="X780" s="276"/>
      <c r="Y780" s="276"/>
      <c r="Z780" s="276"/>
      <c r="AA780" s="276"/>
      <c r="AB780" s="276"/>
      <c r="AC780" s="276"/>
      <c r="AD780" s="276"/>
      <c r="AE780" s="276"/>
    </row>
    <row r="781" spans="15:31">
      <c r="O781" s="276"/>
      <c r="P781" s="276"/>
      <c r="Q781" s="276"/>
      <c r="R781" s="276"/>
      <c r="S781" s="276"/>
      <c r="T781" s="276"/>
      <c r="U781" s="276"/>
      <c r="V781" s="276"/>
      <c r="W781" s="276"/>
      <c r="X781" s="276"/>
      <c r="Y781" s="276"/>
      <c r="Z781" s="276"/>
      <c r="AA781" s="276"/>
      <c r="AB781" s="276"/>
      <c r="AC781" s="276"/>
      <c r="AD781" s="276"/>
      <c r="AE781" s="276"/>
    </row>
    <row r="782" spans="15:31">
      <c r="O782" s="276"/>
      <c r="P782" s="276"/>
      <c r="Q782" s="276"/>
      <c r="R782" s="276"/>
      <c r="S782" s="276"/>
      <c r="T782" s="276"/>
      <c r="U782" s="276"/>
      <c r="V782" s="276"/>
      <c r="W782" s="276"/>
      <c r="X782" s="276"/>
      <c r="Y782" s="276"/>
      <c r="Z782" s="276"/>
      <c r="AA782" s="276"/>
      <c r="AB782" s="276"/>
      <c r="AC782" s="276"/>
      <c r="AD782" s="276"/>
      <c r="AE782" s="276"/>
    </row>
    <row r="783" spans="15:31">
      <c r="O783" s="276"/>
      <c r="P783" s="276"/>
      <c r="Q783" s="276"/>
      <c r="R783" s="276"/>
      <c r="S783" s="276"/>
      <c r="T783" s="276"/>
      <c r="U783" s="276"/>
      <c r="V783" s="276"/>
      <c r="W783" s="276"/>
      <c r="X783" s="276"/>
      <c r="Y783" s="276"/>
      <c r="Z783" s="276"/>
      <c r="AA783" s="276"/>
      <c r="AB783" s="276"/>
      <c r="AC783" s="276"/>
      <c r="AD783" s="276"/>
      <c r="AE783" s="276"/>
    </row>
    <row r="784" spans="15:31">
      <c r="O784" s="276"/>
      <c r="P784" s="276"/>
      <c r="Q784" s="276"/>
      <c r="R784" s="276"/>
      <c r="S784" s="276"/>
      <c r="T784" s="276"/>
      <c r="U784" s="276"/>
      <c r="V784" s="276"/>
      <c r="W784" s="276"/>
      <c r="X784" s="276"/>
      <c r="Y784" s="276"/>
      <c r="Z784" s="276"/>
      <c r="AA784" s="276"/>
      <c r="AB784" s="276"/>
      <c r="AC784" s="276"/>
      <c r="AD784" s="276"/>
      <c r="AE784" s="276"/>
    </row>
    <row r="785" spans="15:31">
      <c r="O785" s="276"/>
      <c r="P785" s="276"/>
      <c r="Q785" s="276"/>
      <c r="R785" s="276"/>
      <c r="S785" s="276"/>
      <c r="T785" s="276"/>
      <c r="U785" s="276"/>
      <c r="V785" s="276"/>
      <c r="W785" s="276"/>
      <c r="X785" s="276"/>
      <c r="Y785" s="276"/>
      <c r="Z785" s="276"/>
      <c r="AA785" s="276"/>
      <c r="AB785" s="276"/>
      <c r="AC785" s="276"/>
      <c r="AD785" s="276"/>
      <c r="AE785" s="276"/>
    </row>
    <row r="786" spans="15:31">
      <c r="O786" s="276"/>
      <c r="P786" s="276"/>
      <c r="Q786" s="276"/>
      <c r="R786" s="276"/>
      <c r="S786" s="276"/>
      <c r="T786" s="276"/>
      <c r="U786" s="276"/>
      <c r="V786" s="276"/>
      <c r="W786" s="276"/>
      <c r="X786" s="276"/>
      <c r="Y786" s="276"/>
      <c r="Z786" s="276"/>
      <c r="AA786" s="276"/>
      <c r="AB786" s="276"/>
      <c r="AC786" s="276"/>
      <c r="AD786" s="276"/>
      <c r="AE786" s="276"/>
    </row>
    <row r="787" spans="15:31">
      <c r="O787" s="276"/>
      <c r="P787" s="276"/>
      <c r="Q787" s="276"/>
      <c r="R787" s="276"/>
      <c r="S787" s="276"/>
      <c r="T787" s="276"/>
      <c r="U787" s="276"/>
      <c r="V787" s="276"/>
      <c r="W787" s="276"/>
      <c r="X787" s="276"/>
      <c r="Y787" s="276"/>
      <c r="Z787" s="276"/>
      <c r="AA787" s="276"/>
      <c r="AB787" s="276"/>
      <c r="AC787" s="276"/>
      <c r="AD787" s="276"/>
      <c r="AE787" s="276"/>
    </row>
    <row r="788" spans="15:31">
      <c r="O788" s="276"/>
      <c r="P788" s="276"/>
      <c r="Q788" s="276"/>
      <c r="R788" s="276"/>
      <c r="S788" s="276"/>
      <c r="T788" s="276"/>
      <c r="U788" s="276"/>
      <c r="V788" s="276"/>
      <c r="W788" s="276"/>
      <c r="X788" s="276"/>
      <c r="Y788" s="276"/>
      <c r="Z788" s="276"/>
      <c r="AA788" s="276"/>
      <c r="AB788" s="276"/>
      <c r="AC788" s="276"/>
      <c r="AD788" s="276"/>
      <c r="AE788" s="276"/>
    </row>
    <row r="789" spans="15:31">
      <c r="O789" s="276"/>
      <c r="P789" s="276"/>
      <c r="Q789" s="276"/>
      <c r="R789" s="276"/>
      <c r="S789" s="276"/>
      <c r="T789" s="276"/>
      <c r="U789" s="276"/>
      <c r="V789" s="276"/>
      <c r="W789" s="276"/>
      <c r="X789" s="276"/>
      <c r="Y789" s="276"/>
      <c r="Z789" s="276"/>
      <c r="AA789" s="276"/>
      <c r="AB789" s="276"/>
      <c r="AC789" s="276"/>
      <c r="AD789" s="276"/>
      <c r="AE789" s="276"/>
    </row>
    <row r="790" spans="15:31">
      <c r="O790" s="276"/>
      <c r="P790" s="276"/>
      <c r="Q790" s="276"/>
      <c r="R790" s="276"/>
      <c r="S790" s="276"/>
      <c r="T790" s="276"/>
      <c r="U790" s="276"/>
      <c r="V790" s="276"/>
      <c r="W790" s="276"/>
      <c r="X790" s="276"/>
      <c r="Y790" s="276"/>
      <c r="Z790" s="276"/>
      <c r="AA790" s="276"/>
      <c r="AB790" s="276"/>
      <c r="AC790" s="276"/>
      <c r="AD790" s="276"/>
      <c r="AE790" s="276"/>
    </row>
    <row r="791" spans="15:31">
      <c r="O791" s="276"/>
      <c r="P791" s="276"/>
      <c r="Q791" s="276"/>
      <c r="R791" s="276"/>
      <c r="S791" s="276"/>
      <c r="T791" s="276"/>
      <c r="U791" s="276"/>
      <c r="V791" s="276"/>
      <c r="W791" s="276"/>
      <c r="X791" s="276"/>
      <c r="Y791" s="276"/>
      <c r="Z791" s="276"/>
      <c r="AA791" s="276"/>
      <c r="AB791" s="276"/>
      <c r="AC791" s="276"/>
      <c r="AD791" s="276"/>
      <c r="AE791" s="276"/>
    </row>
    <row r="792" spans="15:31">
      <c r="O792" s="276"/>
      <c r="P792" s="276"/>
      <c r="Q792" s="276"/>
      <c r="R792" s="276"/>
      <c r="S792" s="276"/>
      <c r="T792" s="276"/>
      <c r="U792" s="276"/>
      <c r="V792" s="276"/>
      <c r="W792" s="276"/>
      <c r="X792" s="276"/>
      <c r="Y792" s="276"/>
      <c r="Z792" s="276"/>
      <c r="AA792" s="276"/>
      <c r="AB792" s="276"/>
      <c r="AC792" s="276"/>
      <c r="AD792" s="276"/>
      <c r="AE792" s="276"/>
    </row>
    <row r="793" spans="15:31">
      <c r="O793" s="276"/>
      <c r="P793" s="276"/>
      <c r="Q793" s="276"/>
      <c r="R793" s="276"/>
      <c r="S793" s="276"/>
      <c r="T793" s="276"/>
      <c r="U793" s="276"/>
      <c r="V793" s="276"/>
      <c r="W793" s="276"/>
      <c r="X793" s="276"/>
      <c r="Y793" s="276"/>
      <c r="Z793" s="276"/>
      <c r="AA793" s="276"/>
      <c r="AB793" s="276"/>
      <c r="AC793" s="276"/>
      <c r="AD793" s="276"/>
      <c r="AE793" s="276"/>
    </row>
    <row r="794" spans="15:31">
      <c r="O794" s="276"/>
      <c r="P794" s="276"/>
      <c r="Q794" s="276"/>
      <c r="R794" s="276"/>
      <c r="S794" s="276"/>
      <c r="T794" s="276"/>
      <c r="U794" s="276"/>
      <c r="V794" s="276"/>
      <c r="W794" s="276"/>
      <c r="X794" s="276"/>
      <c r="Y794" s="276"/>
      <c r="Z794" s="276"/>
      <c r="AA794" s="276"/>
      <c r="AB794" s="276"/>
      <c r="AC794" s="276"/>
      <c r="AD794" s="276"/>
      <c r="AE794" s="276"/>
    </row>
    <row r="795" spans="15:31">
      <c r="O795" s="276"/>
      <c r="P795" s="276"/>
      <c r="Q795" s="276"/>
      <c r="R795" s="276"/>
      <c r="S795" s="276"/>
      <c r="T795" s="276"/>
      <c r="U795" s="276"/>
      <c r="V795" s="276"/>
      <c r="W795" s="276"/>
      <c r="X795" s="276"/>
      <c r="Y795" s="276"/>
      <c r="Z795" s="276"/>
      <c r="AA795" s="276"/>
      <c r="AB795" s="276"/>
      <c r="AC795" s="276"/>
      <c r="AD795" s="276"/>
      <c r="AE795" s="276"/>
    </row>
    <row r="796" spans="15:31">
      <c r="O796" s="276"/>
      <c r="P796" s="276"/>
      <c r="Q796" s="276"/>
      <c r="R796" s="276"/>
      <c r="S796" s="276"/>
      <c r="T796" s="276"/>
      <c r="U796" s="276"/>
      <c r="V796" s="276"/>
      <c r="W796" s="276"/>
      <c r="X796" s="276"/>
      <c r="Y796" s="276"/>
      <c r="Z796" s="276"/>
      <c r="AA796" s="276"/>
      <c r="AB796" s="276"/>
      <c r="AC796" s="276"/>
      <c r="AD796" s="276"/>
      <c r="AE796" s="276"/>
    </row>
    <row r="797" spans="15:31">
      <c r="O797" s="276"/>
      <c r="P797" s="276"/>
      <c r="Q797" s="276"/>
      <c r="R797" s="276"/>
      <c r="S797" s="276"/>
      <c r="T797" s="276"/>
      <c r="U797" s="276"/>
      <c r="V797" s="276"/>
      <c r="W797" s="276"/>
      <c r="X797" s="276"/>
      <c r="Y797" s="276"/>
      <c r="Z797" s="276"/>
      <c r="AA797" s="276"/>
      <c r="AB797" s="276"/>
      <c r="AC797" s="276"/>
      <c r="AD797" s="276"/>
      <c r="AE797" s="276"/>
    </row>
    <row r="798" spans="15:31">
      <c r="O798" s="276"/>
      <c r="P798" s="276"/>
      <c r="Q798" s="276"/>
      <c r="R798" s="276"/>
      <c r="S798" s="276"/>
      <c r="T798" s="276"/>
      <c r="U798" s="276"/>
      <c r="V798" s="276"/>
      <c r="W798" s="276"/>
      <c r="X798" s="276"/>
      <c r="Y798" s="276"/>
      <c r="Z798" s="276"/>
      <c r="AA798" s="276"/>
      <c r="AB798" s="276"/>
      <c r="AC798" s="276"/>
      <c r="AD798" s="276"/>
      <c r="AE798" s="276"/>
    </row>
    <row r="799" spans="15:31">
      <c r="O799" s="276"/>
      <c r="P799" s="276"/>
      <c r="Q799" s="276"/>
      <c r="R799" s="276"/>
      <c r="S799" s="276"/>
      <c r="T799" s="276"/>
      <c r="U799" s="276"/>
      <c r="V799" s="276"/>
      <c r="W799" s="276"/>
      <c r="X799" s="276"/>
      <c r="Y799" s="276"/>
      <c r="Z799" s="276"/>
      <c r="AA799" s="276"/>
      <c r="AB799" s="276"/>
      <c r="AC799" s="276"/>
      <c r="AD799" s="276"/>
      <c r="AE799" s="276"/>
    </row>
    <row r="800" spans="15:31">
      <c r="O800" s="276"/>
      <c r="P800" s="276"/>
      <c r="Q800" s="276"/>
      <c r="R800" s="276"/>
      <c r="S800" s="276"/>
      <c r="T800" s="276"/>
      <c r="U800" s="276"/>
      <c r="V800" s="276"/>
      <c r="W800" s="276"/>
      <c r="X800" s="276"/>
      <c r="Y800" s="276"/>
      <c r="Z800" s="276"/>
      <c r="AA800" s="276"/>
      <c r="AB800" s="276"/>
      <c r="AC800" s="276"/>
      <c r="AD800" s="276"/>
      <c r="AE800" s="276"/>
    </row>
    <row r="801" spans="15:31">
      <c r="O801" s="276"/>
      <c r="P801" s="276"/>
      <c r="Q801" s="276"/>
      <c r="R801" s="276"/>
      <c r="S801" s="276"/>
      <c r="T801" s="276"/>
      <c r="U801" s="276"/>
      <c r="V801" s="276"/>
      <c r="W801" s="276"/>
      <c r="X801" s="276"/>
      <c r="Y801" s="276"/>
      <c r="Z801" s="276"/>
      <c r="AA801" s="276"/>
      <c r="AB801" s="276"/>
      <c r="AC801" s="276"/>
      <c r="AD801" s="276"/>
      <c r="AE801" s="276"/>
    </row>
    <row r="802" spans="15:31">
      <c r="O802" s="276"/>
      <c r="P802" s="276"/>
      <c r="Q802" s="276"/>
      <c r="R802" s="276"/>
      <c r="S802" s="276"/>
      <c r="T802" s="276"/>
      <c r="U802" s="276"/>
      <c r="V802" s="276"/>
      <c r="W802" s="276"/>
      <c r="X802" s="276"/>
      <c r="Y802" s="276"/>
      <c r="Z802" s="276"/>
      <c r="AA802" s="276"/>
      <c r="AB802" s="276"/>
      <c r="AC802" s="276"/>
      <c r="AD802" s="276"/>
      <c r="AE802" s="276"/>
    </row>
    <row r="803" spans="15:31">
      <c r="O803" s="276"/>
      <c r="P803" s="276"/>
      <c r="Q803" s="276"/>
      <c r="R803" s="276"/>
      <c r="S803" s="276"/>
      <c r="T803" s="276"/>
      <c r="U803" s="276"/>
      <c r="V803" s="276"/>
      <c r="W803" s="276"/>
      <c r="X803" s="276"/>
      <c r="Y803" s="276"/>
      <c r="Z803" s="276"/>
      <c r="AA803" s="276"/>
      <c r="AB803" s="276"/>
      <c r="AC803" s="276"/>
      <c r="AD803" s="276"/>
      <c r="AE803" s="276"/>
    </row>
    <row r="804" spans="15:31">
      <c r="O804" s="276"/>
      <c r="P804" s="276"/>
      <c r="Q804" s="276"/>
      <c r="R804" s="276"/>
      <c r="S804" s="276"/>
      <c r="T804" s="276"/>
      <c r="U804" s="276"/>
      <c r="V804" s="276"/>
      <c r="W804" s="276"/>
      <c r="X804" s="276"/>
      <c r="Y804" s="276"/>
      <c r="Z804" s="276"/>
      <c r="AA804" s="276"/>
      <c r="AB804" s="276"/>
      <c r="AC804" s="276"/>
      <c r="AD804" s="276"/>
      <c r="AE804" s="276"/>
    </row>
    <row r="805" spans="15:31">
      <c r="O805" s="276"/>
      <c r="P805" s="276"/>
      <c r="Q805" s="276"/>
      <c r="R805" s="276"/>
      <c r="S805" s="276"/>
      <c r="T805" s="276"/>
      <c r="U805" s="276"/>
      <c r="V805" s="276"/>
      <c r="W805" s="276"/>
      <c r="X805" s="276"/>
      <c r="Y805" s="276"/>
      <c r="Z805" s="276"/>
      <c r="AA805" s="276"/>
      <c r="AB805" s="276"/>
      <c r="AC805" s="276"/>
      <c r="AD805" s="276"/>
      <c r="AE805" s="276"/>
    </row>
    <row r="806" spans="15:31">
      <c r="O806" s="276"/>
      <c r="P806" s="276"/>
      <c r="Q806" s="276"/>
      <c r="R806" s="276"/>
      <c r="S806" s="276"/>
      <c r="T806" s="276"/>
      <c r="U806" s="276"/>
      <c r="V806" s="276"/>
      <c r="W806" s="276"/>
      <c r="X806" s="276"/>
      <c r="Y806" s="276"/>
      <c r="Z806" s="276"/>
      <c r="AA806" s="276"/>
      <c r="AB806" s="276"/>
      <c r="AC806" s="276"/>
      <c r="AD806" s="276"/>
      <c r="AE806" s="276"/>
    </row>
    <row r="807" spans="15:31">
      <c r="O807" s="276"/>
      <c r="P807" s="276"/>
      <c r="Q807" s="276"/>
      <c r="R807" s="276"/>
      <c r="S807" s="276"/>
      <c r="T807" s="276"/>
      <c r="U807" s="276"/>
      <c r="V807" s="276"/>
      <c r="W807" s="276"/>
      <c r="X807" s="276"/>
      <c r="Y807" s="276"/>
      <c r="Z807" s="276"/>
      <c r="AA807" s="276"/>
      <c r="AB807" s="276"/>
      <c r="AC807" s="276"/>
      <c r="AD807" s="276"/>
      <c r="AE807" s="276"/>
    </row>
    <row r="808" spans="15:31">
      <c r="O808" s="276"/>
      <c r="P808" s="276"/>
      <c r="Q808" s="276"/>
      <c r="R808" s="276"/>
      <c r="S808" s="276"/>
      <c r="T808" s="276"/>
      <c r="U808" s="276"/>
      <c r="V808" s="276"/>
      <c r="W808" s="276"/>
      <c r="X808" s="276"/>
      <c r="Y808" s="276"/>
      <c r="Z808" s="276"/>
      <c r="AA808" s="276"/>
      <c r="AB808" s="276"/>
      <c r="AC808" s="276"/>
      <c r="AD808" s="276"/>
      <c r="AE808" s="276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2024-06-14T12:21:33Z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