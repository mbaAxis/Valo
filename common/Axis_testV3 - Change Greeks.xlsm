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135" documentId="13_ncr:1_{96A894F5-CFE8-4362-BD9F-6231E9277BA9}" xr6:coauthVersionLast="47" xr6:coauthVersionMax="47" xr10:uidLastSave="{FF337F1B-F94F-4ADB-A537-DC64BF1E37D9}"/>
  <bookViews>
    <workbookView xWindow="-12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Bespoke'!$A$4:$O$37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C18" i="11"/>
  <c r="V10" i="11"/>
  <c r="P15" i="11" a="1"/>
  <c r="P15" i="11"/>
  <c r="U15" i="11"/>
  <c r="V15" i="11"/>
  <c r="V11" i="11"/>
  <c r="W15" i="11"/>
  <c r="Y15" i="11"/>
  <c r="Y11" i="11"/>
  <c r="V12" i="11"/>
  <c r="Y12" i="11"/>
  <c r="Q13" i="11"/>
  <c r="V13" i="11"/>
  <c r="Y13" i="11"/>
  <c r="X15" i="11"/>
  <c r="Z15" i="11"/>
  <c r="P16" i="11" a="1"/>
  <c r="P16" i="11"/>
  <c r="U16" i="11"/>
  <c r="V16" i="11"/>
  <c r="W16" i="11"/>
  <c r="X16" i="11"/>
  <c r="Y16" i="11"/>
  <c r="P17" i="11" a="1"/>
  <c r="P17" i="11"/>
  <c r="U17" i="11"/>
  <c r="V17" i="11"/>
  <c r="W17" i="11"/>
  <c r="X17" i="11"/>
  <c r="Y17" i="11"/>
  <c r="P18" i="11" a="1"/>
  <c r="P18" i="11"/>
  <c r="U18" i="11"/>
  <c r="V18" i="11"/>
  <c r="W18" i="11"/>
  <c r="X18" i="11"/>
  <c r="Y18" i="11"/>
  <c r="P19" i="11" a="1"/>
  <c r="P19" i="11"/>
  <c r="U19" i="11"/>
  <c r="V19" i="11"/>
  <c r="W19" i="11"/>
  <c r="X19" i="11"/>
  <c r="Y19" i="11"/>
  <c r="P20" i="11" a="1"/>
  <c r="P20" i="11"/>
  <c r="U20" i="11"/>
  <c r="V20" i="11"/>
  <c r="W20" i="11"/>
  <c r="X20" i="11"/>
  <c r="Y20" i="11"/>
  <c r="P21" i="11" a="1"/>
  <c r="P21" i="11"/>
  <c r="U21" i="11"/>
  <c r="V21" i="11"/>
  <c r="W21" i="11"/>
  <c r="X21" i="11"/>
  <c r="Y21" i="11"/>
  <c r="P22" i="11" a="1"/>
  <c r="P22" i="11"/>
  <c r="U22" i="11"/>
  <c r="V22" i="11"/>
  <c r="W22" i="11"/>
  <c r="X22" i="11"/>
  <c r="Y22" i="11"/>
  <c r="P23" i="11" a="1"/>
  <c r="P23" i="11"/>
  <c r="U23" i="11"/>
  <c r="V23" i="11"/>
  <c r="W23" i="11"/>
  <c r="X23" i="11"/>
  <c r="Y23" i="11"/>
  <c r="P24" i="11" a="1"/>
  <c r="P24" i="11"/>
  <c r="U24" i="11"/>
  <c r="V24" i="11"/>
  <c r="W24" i="11"/>
  <c r="X24" i="11"/>
  <c r="Y24" i="11"/>
  <c r="P25" i="11" a="1"/>
  <c r="P25" i="11"/>
  <c r="U25" i="11"/>
  <c r="V25" i="11"/>
  <c r="W25" i="11"/>
  <c r="X25" i="11"/>
  <c r="Y25" i="11"/>
  <c r="P26" i="11" a="1"/>
  <c r="P26" i="11"/>
  <c r="U26" i="11"/>
  <c r="V26" i="11"/>
  <c r="W26" i="11"/>
  <c r="X26" i="11"/>
  <c r="Y26" i="11"/>
  <c r="P27" i="11" a="1"/>
  <c r="P27" i="11"/>
  <c r="U27" i="11"/>
  <c r="V27" i="11"/>
  <c r="W27" i="11"/>
  <c r="X27" i="11"/>
  <c r="Y27" i="11"/>
  <c r="P28" i="11" a="1"/>
  <c r="P28" i="11"/>
  <c r="U28" i="11"/>
  <c r="V28" i="11"/>
  <c r="W28" i="11"/>
  <c r="X28" i="11"/>
  <c r="Y28" i="11"/>
  <c r="P29" i="11" a="1"/>
  <c r="P29" i="11"/>
  <c r="U29" i="11"/>
  <c r="V29" i="11"/>
  <c r="W29" i="11"/>
  <c r="X29" i="11"/>
  <c r="Y29" i="11"/>
  <c r="P30" i="11" a="1"/>
  <c r="P30" i="11"/>
  <c r="U30" i="11"/>
  <c r="V30" i="11"/>
  <c r="W30" i="11"/>
  <c r="X30" i="11"/>
  <c r="Y30" i="11"/>
  <c r="P31" i="11" a="1"/>
  <c r="P31" i="11"/>
  <c r="U31" i="11"/>
  <c r="V31" i="11"/>
  <c r="W31" i="11"/>
  <c r="X31" i="11"/>
  <c r="Y31" i="11"/>
  <c r="P32" i="11" a="1"/>
  <c r="P32" i="11"/>
  <c r="U32" i="11"/>
  <c r="V32" i="11"/>
  <c r="W32" i="11"/>
  <c r="X32" i="11"/>
  <c r="Y32" i="11"/>
  <c r="P33" i="11" a="1"/>
  <c r="P33" i="11"/>
  <c r="U33" i="11"/>
  <c r="V33" i="11"/>
  <c r="W33" i="11"/>
  <c r="X33" i="11"/>
  <c r="Y33" i="11"/>
  <c r="P34" i="11" a="1"/>
  <c r="P34" i="11"/>
  <c r="U34" i="11"/>
  <c r="V34" i="11"/>
  <c r="W34" i="11"/>
  <c r="X34" i="11"/>
  <c r="Y34" i="11"/>
  <c r="P35" i="11" a="1"/>
  <c r="P35" i="11"/>
  <c r="U35" i="11"/>
  <c r="V35" i="11"/>
  <c r="W35" i="11"/>
  <c r="X35" i="11"/>
  <c r="Y35" i="11"/>
  <c r="P36" i="11" a="1"/>
  <c r="P36" i="11"/>
  <c r="U36" i="11"/>
  <c r="V36" i="11"/>
  <c r="W36" i="11"/>
  <c r="X36" i="11"/>
  <c r="Y36" i="11"/>
  <c r="P37" i="11" a="1"/>
  <c r="P37" i="11"/>
  <c r="U37" i="11"/>
  <c r="V37" i="11"/>
  <c r="W37" i="11"/>
  <c r="X37" i="11"/>
  <c r="Y37" i="11"/>
  <c r="P38" i="11" a="1"/>
  <c r="P38" i="11"/>
  <c r="U38" i="11"/>
  <c r="V38" i="11"/>
  <c r="W38" i="11"/>
  <c r="X38" i="11"/>
  <c r="Y38" i="11"/>
  <c r="P39" i="11" a="1"/>
  <c r="P39" i="11"/>
  <c r="U39" i="11"/>
  <c r="V39" i="11"/>
  <c r="W39" i="11"/>
  <c r="X39" i="11"/>
  <c r="Y39" i="11"/>
  <c r="P40" i="11" a="1"/>
  <c r="P40" i="11"/>
  <c r="U40" i="11"/>
  <c r="V40" i="11"/>
  <c r="W40" i="11"/>
  <c r="X40" i="11"/>
  <c r="Y40" i="11"/>
  <c r="P41" i="11" a="1"/>
  <c r="P41" i="11"/>
  <c r="U41" i="11"/>
  <c r="V41" i="11"/>
  <c r="W41" i="11"/>
  <c r="X41" i="11"/>
  <c r="Y41" i="11"/>
  <c r="P42" i="11" a="1"/>
  <c r="P42" i="11"/>
  <c r="U42" i="11"/>
  <c r="V42" i="11"/>
  <c r="W42" i="11"/>
  <c r="X42" i="11"/>
  <c r="Y42" i="11"/>
  <c r="P43" i="11" a="1"/>
  <c r="P43" i="11"/>
  <c r="U43" i="11"/>
  <c r="V43" i="11"/>
  <c r="W43" i="11"/>
  <c r="X43" i="11"/>
  <c r="Y43" i="11"/>
  <c r="P44" i="11" a="1"/>
  <c r="P44" i="11"/>
  <c r="U44" i="11"/>
  <c r="V44" i="11"/>
  <c r="W44" i="11"/>
  <c r="X44" i="11"/>
  <c r="Y44" i="11"/>
  <c r="P45" i="11" a="1"/>
  <c r="P45" i="11"/>
  <c r="U45" i="11"/>
  <c r="V45" i="11"/>
  <c r="W45" i="11"/>
  <c r="X45" i="11"/>
  <c r="Y45" i="11"/>
  <c r="P46" i="11" a="1"/>
  <c r="P46" i="11"/>
  <c r="U46" i="11"/>
  <c r="V46" i="11"/>
  <c r="W46" i="11"/>
  <c r="X46" i="11"/>
  <c r="Y46" i="11"/>
  <c r="P47" i="11" a="1"/>
  <c r="P47" i="11"/>
  <c r="U47" i="11"/>
  <c r="V47" i="11"/>
  <c r="W47" i="11"/>
  <c r="X47" i="11"/>
  <c r="Y47" i="11"/>
  <c r="P48" i="11" a="1"/>
  <c r="P48" i="11"/>
  <c r="U48" i="11"/>
  <c r="V48" i="11"/>
  <c r="W48" i="11"/>
  <c r="X48" i="11"/>
  <c r="Y48" i="11"/>
  <c r="P49" i="11" a="1"/>
  <c r="P49" i="11"/>
  <c r="U49" i="11"/>
  <c r="V49" i="11"/>
  <c r="W49" i="11"/>
  <c r="X49" i="11"/>
  <c r="Y49" i="11"/>
  <c r="P50" i="11" a="1"/>
  <c r="P50" i="11"/>
  <c r="U50" i="11"/>
  <c r="V50" i="11"/>
  <c r="W50" i="11"/>
  <c r="X50" i="11"/>
  <c r="Y50" i="11"/>
  <c r="P51" i="11" a="1"/>
  <c r="P51" i="11"/>
  <c r="U51" i="11"/>
  <c r="V51" i="11"/>
  <c r="W51" i="11"/>
  <c r="X51" i="11"/>
  <c r="Y51" i="11"/>
  <c r="P52" i="11" a="1"/>
  <c r="P52" i="11"/>
  <c r="U52" i="11"/>
  <c r="V52" i="11"/>
  <c r="W52" i="11"/>
  <c r="X52" i="11"/>
  <c r="Y52" i="11"/>
  <c r="P53" i="11" a="1"/>
  <c r="P53" i="11"/>
  <c r="U53" i="11"/>
  <c r="V53" i="11"/>
  <c r="W53" i="11"/>
  <c r="X53" i="11"/>
  <c r="Y53" i="11"/>
  <c r="P54" i="11" a="1"/>
  <c r="P54" i="11"/>
  <c r="U54" i="11"/>
  <c r="V54" i="11"/>
  <c r="W54" i="11"/>
  <c r="X54" i="11"/>
  <c r="Y54" i="11"/>
  <c r="P55" i="11" a="1"/>
  <c r="P55" i="11"/>
  <c r="U55" i="11"/>
  <c r="V55" i="11"/>
  <c r="W55" i="11"/>
  <c r="X55" i="11"/>
  <c r="Y55" i="11"/>
  <c r="P56" i="11" a="1"/>
  <c r="P56" i="11"/>
  <c r="U56" i="11"/>
  <c r="V56" i="11"/>
  <c r="W56" i="11"/>
  <c r="X56" i="11"/>
  <c r="Y56" i="11"/>
  <c r="P57" i="11" a="1"/>
  <c r="P57" i="11"/>
  <c r="U57" i="11"/>
  <c r="V57" i="11"/>
  <c r="W57" i="11"/>
  <c r="X57" i="11"/>
  <c r="Y57" i="11"/>
  <c r="P58" i="11" a="1"/>
  <c r="P58" i="11"/>
  <c r="U58" i="11"/>
  <c r="V58" i="11"/>
  <c r="W58" i="11"/>
  <c r="X58" i="11"/>
  <c r="Y58" i="11"/>
  <c r="P59" i="11" a="1"/>
  <c r="P59" i="11"/>
  <c r="U59" i="11"/>
  <c r="V59" i="11"/>
  <c r="W59" i="11"/>
  <c r="X59" i="11"/>
  <c r="Y59" i="11"/>
  <c r="P60" i="11" a="1"/>
  <c r="P60" i="11"/>
  <c r="U60" i="11"/>
  <c r="V60" i="11"/>
  <c r="W60" i="11"/>
  <c r="X60" i="11"/>
  <c r="Y60" i="11"/>
  <c r="P61" i="11" a="1"/>
  <c r="P61" i="11"/>
  <c r="U61" i="11"/>
  <c r="V61" i="11"/>
  <c r="W61" i="11"/>
  <c r="X61" i="11"/>
  <c r="Y61" i="11"/>
  <c r="P62" i="11" a="1"/>
  <c r="P62" i="11"/>
  <c r="U62" i="11"/>
  <c r="V62" i="11"/>
  <c r="W62" i="11"/>
  <c r="X62" i="11"/>
  <c r="Y62" i="11"/>
  <c r="P63" i="11" a="1"/>
  <c r="P63" i="11"/>
  <c r="U63" i="11"/>
  <c r="V63" i="11"/>
  <c r="W63" i="11"/>
  <c r="X63" i="11"/>
  <c r="Y63" i="11"/>
  <c r="P64" i="11" a="1"/>
  <c r="P64" i="11"/>
  <c r="U64" i="11"/>
  <c r="V64" i="11"/>
  <c r="W64" i="11"/>
  <c r="X64" i="11"/>
  <c r="Y64" i="11"/>
  <c r="P65" i="11" a="1"/>
  <c r="P65" i="11"/>
  <c r="U65" i="11"/>
  <c r="V65" i="11"/>
  <c r="W65" i="11"/>
  <c r="X65" i="11"/>
  <c r="Y65" i="11"/>
  <c r="P66" i="11" a="1"/>
  <c r="P66" i="11"/>
  <c r="U66" i="11"/>
  <c r="V66" i="11"/>
  <c r="W66" i="11"/>
  <c r="X66" i="11"/>
  <c r="Y66" i="11"/>
  <c r="P67" i="11" a="1"/>
  <c r="P67" i="11"/>
  <c r="U67" i="11"/>
  <c r="V67" i="11"/>
  <c r="W67" i="11"/>
  <c r="X67" i="11"/>
  <c r="Y67" i="11"/>
  <c r="P68" i="11" a="1"/>
  <c r="P68" i="11"/>
  <c r="U68" i="11"/>
  <c r="V68" i="11"/>
  <c r="W68" i="11"/>
  <c r="X68" i="11"/>
  <c r="Y68" i="11"/>
  <c r="P69" i="11" a="1"/>
  <c r="P69" i="11"/>
  <c r="U69" i="11"/>
  <c r="V69" i="11"/>
  <c r="W69" i="11"/>
  <c r="X69" i="11"/>
  <c r="Y69" i="11"/>
  <c r="P70" i="11" a="1"/>
  <c r="P70" i="11"/>
  <c r="U70" i="11"/>
  <c r="V70" i="11"/>
  <c r="W70" i="11"/>
  <c r="X70" i="11"/>
  <c r="Y70" i="11"/>
  <c r="P71" i="11" a="1"/>
  <c r="P71" i="11"/>
  <c r="U71" i="11"/>
  <c r="V71" i="11"/>
  <c r="W71" i="11"/>
  <c r="X71" i="11"/>
  <c r="Y71" i="11"/>
  <c r="P72" i="11" a="1"/>
  <c r="P72" i="11"/>
  <c r="U72" i="11"/>
  <c r="V72" i="11"/>
  <c r="W72" i="11"/>
  <c r="X72" i="11"/>
  <c r="Y72" i="11"/>
  <c r="P73" i="11" a="1"/>
  <c r="P73" i="11"/>
  <c r="U73" i="11"/>
  <c r="V73" i="11"/>
  <c r="W73" i="11"/>
  <c r="X73" i="11"/>
  <c r="Y73" i="11"/>
  <c r="P74" i="11" a="1"/>
  <c r="P74" i="11"/>
  <c r="U74" i="11"/>
  <c r="V74" i="11"/>
  <c r="W74" i="11"/>
  <c r="X74" i="11"/>
  <c r="Y74" i="11"/>
  <c r="P75" i="11" a="1"/>
  <c r="P75" i="11"/>
  <c r="U75" i="11"/>
  <c r="V75" i="11"/>
  <c r="W75" i="11"/>
  <c r="X75" i="11"/>
  <c r="Y75" i="11"/>
  <c r="P76" i="11" a="1"/>
  <c r="P76" i="11"/>
  <c r="U76" i="11"/>
  <c r="V76" i="11"/>
  <c r="W76" i="11"/>
  <c r="X76" i="11"/>
  <c r="Y76" i="11"/>
  <c r="P77" i="11" a="1"/>
  <c r="P77" i="11"/>
  <c r="U77" i="11"/>
  <c r="V77" i="11"/>
  <c r="W77" i="11"/>
  <c r="X77" i="11"/>
  <c r="Y77" i="11"/>
  <c r="P78" i="11" a="1"/>
  <c r="P78" i="11"/>
  <c r="U78" i="11"/>
  <c r="V78" i="11"/>
  <c r="W78" i="11"/>
  <c r="X78" i="11"/>
  <c r="Y78" i="11"/>
  <c r="P79" i="11" a="1"/>
  <c r="P79" i="11"/>
  <c r="U79" i="11"/>
  <c r="V79" i="11"/>
  <c r="W79" i="11"/>
  <c r="X79" i="11"/>
  <c r="Y79" i="11"/>
  <c r="P80" i="11" a="1"/>
  <c r="P80" i="11"/>
  <c r="U80" i="11"/>
  <c r="V80" i="11"/>
  <c r="W80" i="11"/>
  <c r="X80" i="11"/>
  <c r="Y80" i="11"/>
  <c r="P81" i="11" a="1"/>
  <c r="P81" i="11"/>
  <c r="U81" i="11"/>
  <c r="V81" i="11"/>
  <c r="W81" i="11"/>
  <c r="X81" i="11"/>
  <c r="Y81" i="11"/>
  <c r="P82" i="11" a="1"/>
  <c r="P82" i="11"/>
  <c r="U82" i="11"/>
  <c r="V82" i="11"/>
  <c r="W82" i="11"/>
  <c r="X82" i="11"/>
  <c r="Y82" i="11"/>
  <c r="P83" i="11" a="1"/>
  <c r="P83" i="11"/>
  <c r="U83" i="11"/>
  <c r="V83" i="11"/>
  <c r="W83" i="11"/>
  <c r="X83" i="11"/>
  <c r="Y83" i="11"/>
  <c r="P84" i="11" a="1"/>
  <c r="P84" i="11"/>
  <c r="U84" i="11"/>
  <c r="V84" i="11"/>
  <c r="W84" i="11"/>
  <c r="X84" i="11"/>
  <c r="Y84" i="11"/>
  <c r="P85" i="11" a="1"/>
  <c r="P85" i="11"/>
  <c r="U85" i="11"/>
  <c r="V85" i="11"/>
  <c r="W85" i="11"/>
  <c r="X85" i="11"/>
  <c r="Y85" i="11"/>
  <c r="P86" i="11" a="1"/>
  <c r="P86" i="11"/>
  <c r="U86" i="11"/>
  <c r="V86" i="11"/>
  <c r="W86" i="11"/>
  <c r="X86" i="11"/>
  <c r="Y86" i="11"/>
  <c r="P87" i="11" a="1"/>
  <c r="P87" i="11"/>
  <c r="U87" i="11"/>
  <c r="V87" i="11"/>
  <c r="W87" i="11"/>
  <c r="X87" i="11"/>
  <c r="Y87" i="11"/>
  <c r="P88" i="11" a="1"/>
  <c r="P88" i="11"/>
  <c r="U88" i="11"/>
  <c r="V88" i="11"/>
  <c r="W88" i="11"/>
  <c r="X88" i="11"/>
  <c r="Y88" i="11"/>
  <c r="P89" i="11" a="1"/>
  <c r="P89" i="11"/>
  <c r="U89" i="11"/>
  <c r="V89" i="11"/>
  <c r="W89" i="11"/>
  <c r="X89" i="11"/>
  <c r="Y89" i="11"/>
  <c r="P90" i="11" a="1"/>
  <c r="P90" i="11"/>
  <c r="U90" i="11"/>
  <c r="V90" i="11"/>
  <c r="W90" i="11"/>
  <c r="X90" i="11"/>
  <c r="Y90" i="11"/>
  <c r="P91" i="11" a="1"/>
  <c r="P91" i="11"/>
  <c r="U91" i="11"/>
  <c r="V91" i="11"/>
  <c r="W91" i="11"/>
  <c r="X91" i="11"/>
  <c r="Y91" i="11"/>
  <c r="P92" i="11" a="1"/>
  <c r="P92" i="11"/>
  <c r="U92" i="11"/>
  <c r="V92" i="11"/>
  <c r="W92" i="11"/>
  <c r="X92" i="11"/>
  <c r="Y92" i="11"/>
  <c r="P93" i="11" a="1"/>
  <c r="P93" i="11"/>
  <c r="U93" i="11"/>
  <c r="V93" i="11"/>
  <c r="W93" i="11"/>
  <c r="X93" i="11"/>
  <c r="Y93" i="11"/>
  <c r="P94" i="11" a="1"/>
  <c r="P94" i="11"/>
  <c r="U94" i="11"/>
  <c r="V94" i="11"/>
  <c r="W94" i="11"/>
  <c r="X94" i="11"/>
  <c r="Y94" i="11"/>
  <c r="P95" i="11" a="1"/>
  <c r="P95" i="11"/>
  <c r="U95" i="11"/>
  <c r="V95" i="11"/>
  <c r="W95" i="11"/>
  <c r="X95" i="11"/>
  <c r="Y95" i="11"/>
  <c r="P96" i="11" a="1"/>
  <c r="P96" i="11"/>
  <c r="U96" i="11"/>
  <c r="V96" i="11"/>
  <c r="W96" i="11"/>
  <c r="X96" i="11"/>
  <c r="Y96" i="11"/>
  <c r="P97" i="11" a="1"/>
  <c r="P97" i="11"/>
  <c r="U97" i="11"/>
  <c r="V97" i="11"/>
  <c r="W97" i="11"/>
  <c r="X97" i="11"/>
  <c r="Y97" i="11"/>
  <c r="P98" i="11" a="1"/>
  <c r="P98" i="11"/>
  <c r="U98" i="11"/>
  <c r="V98" i="11"/>
  <c r="W98" i="11"/>
  <c r="X98" i="11"/>
  <c r="Y98" i="11"/>
  <c r="P99" i="11" a="1"/>
  <c r="P99" i="11"/>
  <c r="U99" i="11"/>
  <c r="V99" i="11"/>
  <c r="W99" i="11"/>
  <c r="X99" i="11"/>
  <c r="Y99" i="11"/>
  <c r="P100" i="11" a="1"/>
  <c r="P100" i="11"/>
  <c r="U100" i="11"/>
  <c r="V100" i="11"/>
  <c r="W100" i="11"/>
  <c r="X100" i="11"/>
  <c r="Y100" i="11"/>
  <c r="P101" i="11" a="1"/>
  <c r="P101" i="11"/>
  <c r="U101" i="11"/>
  <c r="V101" i="11"/>
  <c r="W101" i="11"/>
  <c r="X101" i="11"/>
  <c r="Y101" i="11"/>
  <c r="P102" i="11" a="1"/>
  <c r="P102" i="11"/>
  <c r="U102" i="11"/>
  <c r="V102" i="11"/>
  <c r="W102" i="11"/>
  <c r="X102" i="11"/>
  <c r="Y102" i="11"/>
  <c r="P103" i="11" a="1"/>
  <c r="P103" i="11"/>
  <c r="U103" i="11"/>
  <c r="V103" i="11"/>
  <c r="W103" i="11"/>
  <c r="X103" i="11"/>
  <c r="Y103" i="11"/>
  <c r="P104" i="11" a="1"/>
  <c r="P104" i="11"/>
  <c r="U104" i="11"/>
  <c r="V104" i="11"/>
  <c r="W104" i="11"/>
  <c r="X104" i="11"/>
  <c r="Y104" i="11"/>
  <c r="P105" i="11" a="1"/>
  <c r="P105" i="11"/>
  <c r="U105" i="11"/>
  <c r="V105" i="11"/>
  <c r="W105" i="11"/>
  <c r="X105" i="11"/>
  <c r="Y105" i="11"/>
  <c r="P106" i="11" a="1"/>
  <c r="P106" i="11"/>
  <c r="U106" i="11"/>
  <c r="V106" i="11"/>
  <c r="W106" i="11"/>
  <c r="X106" i="11"/>
  <c r="Y106" i="11"/>
  <c r="P107" i="11" a="1"/>
  <c r="P107" i="11"/>
  <c r="U107" i="11"/>
  <c r="V107" i="11"/>
  <c r="W107" i="11"/>
  <c r="X107" i="11"/>
  <c r="Y107" i="11"/>
  <c r="P108" i="11" a="1"/>
  <c r="P108" i="11"/>
  <c r="U108" i="11"/>
  <c r="V108" i="11"/>
  <c r="W108" i="11"/>
  <c r="X108" i="11"/>
  <c r="Y108" i="11"/>
  <c r="P109" i="11" a="1"/>
  <c r="P109" i="11"/>
  <c r="U109" i="11"/>
  <c r="V109" i="11"/>
  <c r="W109" i="11"/>
  <c r="X109" i="11"/>
  <c r="Y109" i="11"/>
  <c r="P110" i="11" a="1"/>
  <c r="P110" i="11"/>
  <c r="U110" i="11"/>
  <c r="V110" i="11"/>
  <c r="W110" i="11"/>
  <c r="X110" i="11"/>
  <c r="Y110" i="11"/>
  <c r="P111" i="11" a="1"/>
  <c r="P111" i="11"/>
  <c r="U111" i="11"/>
  <c r="V111" i="11"/>
  <c r="W111" i="11"/>
  <c r="X111" i="11"/>
  <c r="Y111" i="11"/>
  <c r="P112" i="11" a="1"/>
  <c r="P112" i="11"/>
  <c r="U112" i="11"/>
  <c r="V112" i="11"/>
  <c r="W112" i="11"/>
  <c r="X112" i="11"/>
  <c r="Y112" i="11"/>
  <c r="P113" i="11" a="1"/>
  <c r="P113" i="11"/>
  <c r="U113" i="11"/>
  <c r="V113" i="11"/>
  <c r="W113" i="11"/>
  <c r="X113" i="11"/>
  <c r="Y113" i="11"/>
  <c r="P114" i="11" a="1"/>
  <c r="P114" i="11"/>
  <c r="U114" i="11"/>
  <c r="V114" i="11"/>
  <c r="W114" i="11"/>
  <c r="X114" i="11"/>
  <c r="Y114" i="11"/>
  <c r="P115" i="11" a="1"/>
  <c r="P115" i="11"/>
  <c r="U115" i="11"/>
  <c r="V115" i="11"/>
  <c r="W115" i="11"/>
  <c r="X115" i="11"/>
  <c r="Y115" i="11"/>
  <c r="P116" i="11" a="1"/>
  <c r="P116" i="11"/>
  <c r="U116" i="11"/>
  <c r="V116" i="11"/>
  <c r="W116" i="11"/>
  <c r="X116" i="11"/>
  <c r="Y116" i="11"/>
  <c r="P117" i="11" a="1"/>
  <c r="P117" i="11"/>
  <c r="U117" i="11"/>
  <c r="V117" i="11"/>
  <c r="W117" i="11"/>
  <c r="X117" i="11"/>
  <c r="Y117" i="11"/>
  <c r="P118" i="11" a="1"/>
  <c r="P118" i="11"/>
  <c r="U118" i="11"/>
  <c r="V118" i="11"/>
  <c r="W118" i="11"/>
  <c r="X118" i="11"/>
  <c r="Y118" i="11"/>
  <c r="P119" i="11" a="1"/>
  <c r="P119" i="11"/>
  <c r="U119" i="11"/>
  <c r="V119" i="11"/>
  <c r="W119" i="11"/>
  <c r="X119" i="11"/>
  <c r="Y119" i="11"/>
  <c r="P120" i="11" a="1"/>
  <c r="P120" i="11"/>
  <c r="U120" i="11"/>
  <c r="V120" i="11"/>
  <c r="W120" i="11"/>
  <c r="X120" i="11"/>
  <c r="Y120" i="11"/>
  <c r="P121" i="11" a="1"/>
  <c r="P121" i="11"/>
  <c r="U121" i="11"/>
  <c r="V121" i="11"/>
  <c r="W121" i="11"/>
  <c r="X121" i="11"/>
  <c r="Y121" i="11"/>
  <c r="P122" i="11" a="1"/>
  <c r="P122" i="11"/>
  <c r="U122" i="11"/>
  <c r="V122" i="11"/>
  <c r="W122" i="11"/>
  <c r="X122" i="11"/>
  <c r="Y122" i="11"/>
  <c r="P123" i="11" a="1"/>
  <c r="P123" i="11"/>
  <c r="U123" i="11"/>
  <c r="V123" i="11"/>
  <c r="W123" i="11"/>
  <c r="X123" i="11"/>
  <c r="Y123" i="11"/>
  <c r="P124" i="11" a="1"/>
  <c r="P124" i="11"/>
  <c r="U124" i="11"/>
  <c r="V124" i="11"/>
  <c r="W124" i="11"/>
  <c r="X124" i="11"/>
  <c r="Y124" i="11"/>
  <c r="P125" i="11" a="1"/>
  <c r="P125" i="11"/>
  <c r="U125" i="11"/>
  <c r="V125" i="11"/>
  <c r="W125" i="11"/>
  <c r="X125" i="11"/>
  <c r="Y125" i="11"/>
  <c r="P126" i="11" a="1"/>
  <c r="P126" i="11"/>
  <c r="U126" i="11"/>
  <c r="V126" i="11"/>
  <c r="W126" i="11"/>
  <c r="X126" i="11"/>
  <c r="Y126" i="11"/>
  <c r="P127" i="11" a="1"/>
  <c r="P127" i="11"/>
  <c r="U127" i="11"/>
  <c r="V127" i="11"/>
  <c r="W127" i="11"/>
  <c r="X127" i="11"/>
  <c r="Y127" i="11"/>
  <c r="P128" i="11" a="1"/>
  <c r="P128" i="11"/>
  <c r="U128" i="11"/>
  <c r="V128" i="11"/>
  <c r="W128" i="11"/>
  <c r="X128" i="11"/>
  <c r="Y128" i="11"/>
  <c r="P129" i="11" a="1"/>
  <c r="P129" i="11"/>
  <c r="U129" i="11"/>
  <c r="V129" i="11"/>
  <c r="W129" i="11"/>
  <c r="X129" i="11"/>
  <c r="Y129" i="11"/>
  <c r="P130" i="11" a="1"/>
  <c r="P130" i="11"/>
  <c r="U130" i="11"/>
  <c r="V130" i="11"/>
  <c r="W130" i="11"/>
  <c r="X130" i="11"/>
  <c r="Y130" i="11"/>
  <c r="P131" i="11" a="1"/>
  <c r="P131" i="11"/>
  <c r="U131" i="11"/>
  <c r="V131" i="11"/>
  <c r="W131" i="11"/>
  <c r="X131" i="11"/>
  <c r="Y131" i="11"/>
  <c r="P132" i="11" a="1"/>
  <c r="P132" i="11"/>
  <c r="U132" i="11"/>
  <c r="V132" i="11"/>
  <c r="W132" i="11"/>
  <c r="X132" i="11"/>
  <c r="Y132" i="11"/>
  <c r="P133" i="11" a="1"/>
  <c r="P133" i="11"/>
  <c r="U133" i="11"/>
  <c r="V133" i="11"/>
  <c r="W133" i="11"/>
  <c r="X133" i="11"/>
  <c r="Y133" i="11"/>
  <c r="P134" i="11" a="1"/>
  <c r="P134" i="11"/>
  <c r="U134" i="11"/>
  <c r="V134" i="11"/>
  <c r="W134" i="11"/>
  <c r="X134" i="11"/>
  <c r="Y134" i="11"/>
  <c r="P135" i="11" a="1"/>
  <c r="P135" i="11"/>
  <c r="U135" i="11"/>
  <c r="V135" i="11"/>
  <c r="W135" i="11"/>
  <c r="X135" i="11"/>
  <c r="Y135" i="11"/>
  <c r="P136" i="11" a="1"/>
  <c r="P136" i="11"/>
  <c r="U136" i="11"/>
  <c r="V136" i="11"/>
  <c r="W136" i="11"/>
  <c r="X136" i="11"/>
  <c r="Y136" i="11"/>
  <c r="P137" i="11" a="1"/>
  <c r="P137" i="11"/>
  <c r="U137" i="11"/>
  <c r="V137" i="11"/>
  <c r="W137" i="11"/>
  <c r="X137" i="11"/>
  <c r="Y137" i="11"/>
  <c r="P138" i="11" a="1"/>
  <c r="P138" i="11"/>
  <c r="U138" i="11"/>
  <c r="V138" i="11"/>
  <c r="W138" i="11"/>
  <c r="X138" i="11"/>
  <c r="Y138" i="11"/>
  <c r="P139" i="11" a="1"/>
  <c r="P139" i="11"/>
  <c r="U139" i="11"/>
  <c r="V139" i="11"/>
  <c r="W139" i="11"/>
  <c r="X139" i="11"/>
  <c r="Y139" i="11"/>
  <c r="P140" i="11" a="1"/>
  <c r="P140" i="11"/>
  <c r="U140" i="11"/>
  <c r="V140" i="11"/>
  <c r="W140" i="11"/>
  <c r="X140" i="11"/>
  <c r="Y140" i="11"/>
  <c r="P141" i="11" a="1"/>
  <c r="P141" i="11"/>
  <c r="U141" i="11"/>
  <c r="V141" i="11"/>
  <c r="W141" i="11"/>
  <c r="X141" i="11"/>
  <c r="Y141" i="11"/>
  <c r="P142" i="11" a="1"/>
  <c r="P142" i="11"/>
  <c r="U142" i="11"/>
  <c r="V142" i="11"/>
  <c r="W142" i="11"/>
  <c r="X142" i="11"/>
  <c r="Y142" i="11"/>
  <c r="P143" i="11" a="1"/>
  <c r="P143" i="11"/>
  <c r="U143" i="11"/>
  <c r="V143" i="11"/>
  <c r="W143" i="11"/>
  <c r="X143" i="11"/>
  <c r="Y143" i="11"/>
  <c r="P144" i="11" a="1"/>
  <c r="P144" i="11"/>
  <c r="U144" i="11"/>
  <c r="V144" i="11"/>
  <c r="W144" i="11"/>
  <c r="X144" i="11"/>
  <c r="Y144" i="11"/>
  <c r="P145" i="11" a="1"/>
  <c r="P145" i="11"/>
  <c r="U145" i="11"/>
  <c r="V145" i="11"/>
  <c r="W145" i="11"/>
  <c r="X145" i="11"/>
  <c r="Y145" i="11"/>
  <c r="P146" i="11" a="1"/>
  <c r="P146" i="11"/>
  <c r="U146" i="11"/>
  <c r="V146" i="11"/>
  <c r="W146" i="11"/>
  <c r="X146" i="11"/>
  <c r="Y146" i="11"/>
  <c r="P147" i="11" a="1"/>
  <c r="P147" i="11"/>
  <c r="U147" i="11"/>
  <c r="V147" i="11"/>
  <c r="W147" i="11"/>
  <c r="X147" i="11"/>
  <c r="Y147" i="11"/>
  <c r="P148" i="11" a="1"/>
  <c r="P148" i="11"/>
  <c r="U148" i="11"/>
  <c r="V148" i="11"/>
  <c r="W148" i="11"/>
  <c r="X148" i="11"/>
  <c r="Y148" i="11"/>
  <c r="P149" i="11" a="1"/>
  <c r="P149" i="11"/>
  <c r="U149" i="11"/>
  <c r="V149" i="11"/>
  <c r="W149" i="11"/>
  <c r="X149" i="11"/>
  <c r="Y149" i="11"/>
  <c r="P150" i="11" a="1"/>
  <c r="P150" i="11"/>
  <c r="U150" i="11"/>
  <c r="V150" i="11"/>
  <c r="W150" i="11"/>
  <c r="X150" i="11"/>
  <c r="Y150" i="11"/>
  <c r="P151" i="11" a="1"/>
  <c r="P151" i="11"/>
  <c r="U151" i="11"/>
  <c r="V151" i="11"/>
  <c r="W151" i="11"/>
  <c r="X151" i="11"/>
  <c r="Y151" i="11"/>
  <c r="P152" i="11" a="1"/>
  <c r="P152" i="11"/>
  <c r="U152" i="11"/>
  <c r="V152" i="11"/>
  <c r="W152" i="11"/>
  <c r="X152" i="11"/>
  <c r="Y152" i="11"/>
  <c r="P153" i="11" a="1"/>
  <c r="P153" i="11"/>
  <c r="U153" i="11"/>
  <c r="V153" i="11"/>
  <c r="W153" i="11"/>
  <c r="X153" i="11"/>
  <c r="Y153" i="11"/>
  <c r="P154" i="11" a="1"/>
  <c r="P154" i="11"/>
  <c r="U154" i="11"/>
  <c r="V154" i="11"/>
  <c r="W154" i="11"/>
  <c r="X154" i="11"/>
  <c r="Y154" i="11"/>
  <c r="P155" i="11" a="1"/>
  <c r="P155" i="11"/>
  <c r="U155" i="11"/>
  <c r="V155" i="11"/>
  <c r="W155" i="11"/>
  <c r="X155" i="11"/>
  <c r="Y155" i="11"/>
  <c r="P156" i="11" a="1"/>
  <c r="P156" i="11"/>
  <c r="U156" i="11"/>
  <c r="V156" i="11"/>
  <c r="W156" i="11"/>
  <c r="X156" i="11"/>
  <c r="Y156" i="11"/>
  <c r="P157" i="11" a="1"/>
  <c r="P157" i="11"/>
  <c r="U157" i="11"/>
  <c r="V157" i="11"/>
  <c r="W157" i="11"/>
  <c r="X157" i="11"/>
  <c r="Y157" i="11"/>
  <c r="P158" i="11" a="1"/>
  <c r="P158" i="11"/>
  <c r="U158" i="11"/>
  <c r="V158" i="11"/>
  <c r="W158" i="11"/>
  <c r="X158" i="11"/>
  <c r="Y158" i="11"/>
  <c r="P159" i="11" a="1"/>
  <c r="P159" i="11"/>
  <c r="U159" i="11"/>
  <c r="V159" i="11"/>
  <c r="W159" i="11"/>
  <c r="X159" i="11"/>
  <c r="Y159" i="11"/>
  <c r="P160" i="11" a="1"/>
  <c r="P160" i="11"/>
  <c r="U160" i="11"/>
  <c r="V160" i="11"/>
  <c r="W160" i="11"/>
  <c r="X160" i="11"/>
  <c r="Y160" i="11"/>
  <c r="P161" i="11" a="1"/>
  <c r="P161" i="11"/>
  <c r="U161" i="11"/>
  <c r="V161" i="11"/>
  <c r="W161" i="11"/>
  <c r="X161" i="11"/>
  <c r="Y161" i="11"/>
  <c r="P162" i="11" a="1"/>
  <c r="P162" i="11"/>
  <c r="U162" i="11"/>
  <c r="V162" i="11"/>
  <c r="W162" i="11"/>
  <c r="X162" i="11"/>
  <c r="Y162" i="11"/>
  <c r="P163" i="11" a="1"/>
  <c r="P163" i="11"/>
  <c r="U163" i="11"/>
  <c r="V163" i="11"/>
  <c r="W163" i="11"/>
  <c r="X163" i="11"/>
  <c r="Y163" i="11"/>
  <c r="P164" i="11" a="1"/>
  <c r="P164" i="11"/>
  <c r="U164" i="11"/>
  <c r="V164" i="11"/>
  <c r="W164" i="11"/>
  <c r="X164" i="11"/>
  <c r="Y164" i="11"/>
  <c r="P165" i="11" a="1"/>
  <c r="P165" i="11"/>
  <c r="U165" i="11"/>
  <c r="V165" i="11"/>
  <c r="W165" i="11"/>
  <c r="X165" i="11"/>
  <c r="Y165" i="11"/>
  <c r="P166" i="11" a="1"/>
  <c r="P166" i="11"/>
  <c r="U166" i="11"/>
  <c r="V166" i="11"/>
  <c r="W166" i="11"/>
  <c r="X166" i="11"/>
  <c r="Y166" i="11"/>
  <c r="P167" i="11" a="1"/>
  <c r="P167" i="11"/>
  <c r="U167" i="11"/>
  <c r="V167" i="11"/>
  <c r="W167" i="11"/>
  <c r="X167" i="11"/>
  <c r="Y167" i="11"/>
  <c r="P168" i="11" a="1"/>
  <c r="P168" i="11"/>
  <c r="U168" i="11"/>
  <c r="V168" i="11"/>
  <c r="W168" i="11"/>
  <c r="X168" i="11"/>
  <c r="Y168" i="11"/>
  <c r="P169" i="11" a="1"/>
  <c r="P169" i="11"/>
  <c r="U169" i="11"/>
  <c r="V169" i="11"/>
  <c r="W169" i="11"/>
  <c r="X169" i="11"/>
  <c r="Y169" i="11"/>
  <c r="P170" i="11" a="1"/>
  <c r="P170" i="11"/>
  <c r="U170" i="11"/>
  <c r="V170" i="11"/>
  <c r="W170" i="11"/>
  <c r="X170" i="11"/>
  <c r="Y170" i="11"/>
  <c r="P171" i="11" a="1"/>
  <c r="P171" i="11"/>
  <c r="U171" i="11"/>
  <c r="V171" i="11"/>
  <c r="W171" i="11"/>
  <c r="X171" i="11"/>
  <c r="Y171" i="11"/>
  <c r="P172" i="11" a="1"/>
  <c r="P172" i="11"/>
  <c r="U172" i="11"/>
  <c r="V172" i="11"/>
  <c r="W172" i="11"/>
  <c r="X172" i="11"/>
  <c r="Y172" i="11"/>
  <c r="P173" i="11" a="1"/>
  <c r="P173" i="11"/>
  <c r="U173" i="11"/>
  <c r="V173" i="11"/>
  <c r="W173" i="11"/>
  <c r="X173" i="11"/>
  <c r="Y173" i="11"/>
  <c r="P174" i="11" a="1"/>
  <c r="P174" i="11"/>
  <c r="U174" i="11"/>
  <c r="V174" i="11"/>
  <c r="W174" i="11"/>
  <c r="X174" i="11"/>
  <c r="Y174" i="11"/>
  <c r="P175" i="11" a="1"/>
  <c r="P175" i="11"/>
  <c r="U175" i="11"/>
  <c r="V175" i="11"/>
  <c r="W175" i="11"/>
  <c r="X175" i="11"/>
  <c r="Y175" i="11"/>
  <c r="P176" i="11" a="1"/>
  <c r="P176" i="11"/>
  <c r="U176" i="11"/>
  <c r="V176" i="11"/>
  <c r="W176" i="11"/>
  <c r="X176" i="11"/>
  <c r="Y176" i="11"/>
  <c r="P177" i="11" a="1"/>
  <c r="P177" i="11"/>
  <c r="U177" i="11"/>
  <c r="V177" i="11"/>
  <c r="W177" i="11"/>
  <c r="X177" i="11"/>
  <c r="Y177" i="11"/>
  <c r="P178" i="11" a="1"/>
  <c r="P178" i="11"/>
  <c r="U178" i="11"/>
  <c r="V178" i="11"/>
  <c r="W178" i="11"/>
  <c r="X178" i="11"/>
  <c r="Y178" i="11"/>
  <c r="P179" i="11" a="1"/>
  <c r="P179" i="11"/>
  <c r="U179" i="11"/>
  <c r="V179" i="11"/>
  <c r="W179" i="11"/>
  <c r="X179" i="11"/>
  <c r="Y179" i="11"/>
  <c r="P180" i="11" a="1"/>
  <c r="P180" i="11"/>
  <c r="U180" i="11"/>
  <c r="V180" i="11"/>
  <c r="W180" i="11"/>
  <c r="X180" i="11"/>
  <c r="Y180" i="11"/>
  <c r="P181" i="11" a="1"/>
  <c r="P181" i="11"/>
  <c r="U181" i="11"/>
  <c r="V181" i="11"/>
  <c r="W181" i="11"/>
  <c r="X181" i="11"/>
  <c r="Y181" i="11"/>
  <c r="P182" i="11" a="1"/>
  <c r="P182" i="11"/>
  <c r="U182" i="11"/>
  <c r="V182" i="11"/>
  <c r="W182" i="11"/>
  <c r="X182" i="11"/>
  <c r="Y182" i="11"/>
  <c r="P183" i="11" a="1"/>
  <c r="P183" i="11"/>
  <c r="U183" i="11"/>
  <c r="V183" i="11"/>
  <c r="W183" i="11"/>
  <c r="X183" i="11"/>
  <c r="Y183" i="11"/>
  <c r="P184" i="11" a="1"/>
  <c r="P184" i="11"/>
  <c r="U184" i="11"/>
  <c r="V184" i="11"/>
  <c r="W184" i="11"/>
  <c r="X184" i="11"/>
  <c r="Y184" i="11"/>
  <c r="P185" i="11" a="1"/>
  <c r="P185" i="11"/>
  <c r="U185" i="11"/>
  <c r="V185" i="11"/>
  <c r="W185" i="11"/>
  <c r="X185" i="11"/>
  <c r="Y185" i="11"/>
  <c r="P186" i="11" a="1"/>
  <c r="P186" i="11"/>
  <c r="U186" i="11"/>
  <c r="V186" i="11"/>
  <c r="W186" i="11"/>
  <c r="X186" i="11"/>
  <c r="Y186" i="11"/>
  <c r="P187" i="11" a="1"/>
  <c r="P187" i="11"/>
  <c r="U187" i="11"/>
  <c r="V187" i="11"/>
  <c r="W187" i="11"/>
  <c r="X187" i="11"/>
  <c r="Y187" i="11"/>
  <c r="P188" i="11" a="1"/>
  <c r="P188" i="11"/>
  <c r="U188" i="11"/>
  <c r="V188" i="11"/>
  <c r="W188" i="11"/>
  <c r="X188" i="11"/>
  <c r="Y188" i="11"/>
  <c r="P189" i="11" a="1"/>
  <c r="P189" i="11"/>
  <c r="U189" i="11"/>
  <c r="V189" i="11"/>
  <c r="W189" i="11"/>
  <c r="X189" i="11"/>
  <c r="Y189" i="11"/>
  <c r="P190" i="11" a="1"/>
  <c r="P190" i="11"/>
  <c r="U190" i="11"/>
  <c r="V190" i="11"/>
  <c r="W190" i="11"/>
  <c r="X190" i="11"/>
  <c r="Y190" i="11"/>
  <c r="P191" i="11" a="1"/>
  <c r="P191" i="11"/>
  <c r="U191" i="11"/>
  <c r="V191" i="11"/>
  <c r="W191" i="11"/>
  <c r="X191" i="11"/>
  <c r="Y191" i="11"/>
  <c r="P192" i="11" a="1"/>
  <c r="P192" i="11"/>
  <c r="U192" i="11"/>
  <c r="V192" i="11"/>
  <c r="W192" i="11"/>
  <c r="X192" i="11"/>
  <c r="Y192" i="11"/>
  <c r="P193" i="11" a="1"/>
  <c r="P193" i="11"/>
  <c r="U193" i="11"/>
  <c r="V193" i="11"/>
  <c r="W193" i="11"/>
  <c r="X193" i="11"/>
  <c r="Y193" i="11"/>
  <c r="P194" i="11" a="1"/>
  <c r="P194" i="11"/>
  <c r="U194" i="11"/>
  <c r="V194" i="11"/>
  <c r="W194" i="11"/>
  <c r="X194" i="11"/>
  <c r="Y194" i="11"/>
  <c r="P195" i="11" a="1"/>
  <c r="P195" i="11"/>
  <c r="U195" i="11"/>
  <c r="V195" i="11"/>
  <c r="W195" i="11"/>
  <c r="X195" i="11"/>
  <c r="Y195" i="11"/>
  <c r="P196" i="11" a="1"/>
  <c r="P196" i="11"/>
  <c r="U196" i="11"/>
  <c r="V196" i="11"/>
  <c r="W196" i="11"/>
  <c r="X196" i="11"/>
  <c r="Y196" i="11"/>
  <c r="P197" i="11" a="1"/>
  <c r="P197" i="11"/>
  <c r="U197" i="11"/>
  <c r="V197" i="11"/>
  <c r="W197" i="11"/>
  <c r="X197" i="11"/>
  <c r="Y197" i="11"/>
  <c r="P198" i="11" a="1"/>
  <c r="P198" i="11"/>
  <c r="U198" i="11"/>
  <c r="V198" i="11"/>
  <c r="W198" i="11"/>
  <c r="X198" i="11"/>
  <c r="Y198" i="11"/>
  <c r="P199" i="11" a="1"/>
  <c r="P199" i="11"/>
  <c r="U199" i="11"/>
  <c r="V199" i="11"/>
  <c r="W199" i="11"/>
  <c r="X199" i="11"/>
  <c r="Y199" i="11"/>
  <c r="P200" i="11" a="1"/>
  <c r="P200" i="11"/>
  <c r="U200" i="11"/>
  <c r="V200" i="11"/>
  <c r="W200" i="11"/>
  <c r="X200" i="11"/>
  <c r="Y200" i="11"/>
  <c r="P201" i="11" a="1"/>
  <c r="P201" i="11"/>
  <c r="U201" i="11"/>
  <c r="V201" i="11"/>
  <c r="W201" i="11"/>
  <c r="X201" i="11"/>
  <c r="Y201" i="11"/>
  <c r="P202" i="11" a="1"/>
  <c r="P202" i="11"/>
  <c r="U202" i="11"/>
  <c r="V202" i="11"/>
  <c r="W202" i="11"/>
  <c r="X202" i="11"/>
  <c r="Y202" i="11"/>
  <c r="P203" i="11" a="1"/>
  <c r="P203" i="11"/>
  <c r="U203" i="11"/>
  <c r="V203" i="11"/>
  <c r="W203" i="11"/>
  <c r="X203" i="11"/>
  <c r="Y203" i="11"/>
  <c r="P204" i="11" a="1"/>
  <c r="P204" i="11"/>
  <c r="U204" i="11"/>
  <c r="V204" i="11"/>
  <c r="W204" i="11"/>
  <c r="X204" i="11"/>
  <c r="Y204" i="11"/>
  <c r="P205" i="11" a="1"/>
  <c r="P205" i="11"/>
  <c r="U205" i="11"/>
  <c r="V205" i="11"/>
  <c r="W205" i="11"/>
  <c r="X205" i="11"/>
  <c r="Y205" i="11"/>
  <c r="P206" i="11" a="1"/>
  <c r="P206" i="11"/>
  <c r="U206" i="11"/>
  <c r="V206" i="11"/>
  <c r="W206" i="11"/>
  <c r="X206" i="11"/>
  <c r="Y206" i="11"/>
  <c r="P207" i="11" a="1"/>
  <c r="P207" i="11"/>
  <c r="U207" i="11"/>
  <c r="V207" i="11"/>
  <c r="W207" i="11"/>
  <c r="X207" i="11"/>
  <c r="Y207" i="11"/>
  <c r="P208" i="11" a="1"/>
  <c r="P208" i="11"/>
  <c r="U208" i="11"/>
  <c r="V208" i="11"/>
  <c r="W208" i="11"/>
  <c r="X208" i="11"/>
  <c r="Y208" i="11"/>
  <c r="P209" i="11" a="1"/>
  <c r="P209" i="11"/>
  <c r="U209" i="11"/>
  <c r="V209" i="11"/>
  <c r="W209" i="11"/>
  <c r="X209" i="11"/>
  <c r="Y209" i="11"/>
  <c r="P210" i="11" a="1"/>
  <c r="P210" i="11"/>
  <c r="U210" i="11"/>
  <c r="V210" i="11"/>
  <c r="W210" i="11"/>
  <c r="X210" i="11"/>
  <c r="Y210" i="11"/>
  <c r="P211" i="11" a="1"/>
  <c r="P211" i="11"/>
  <c r="U211" i="11"/>
  <c r="V211" i="11"/>
  <c r="W211" i="11"/>
  <c r="X211" i="11"/>
  <c r="Y211" i="11"/>
  <c r="P212" i="11" a="1"/>
  <c r="P212" i="11"/>
  <c r="U212" i="11"/>
  <c r="V212" i="11"/>
  <c r="W212" i="11"/>
  <c r="X212" i="11"/>
  <c r="Y212" i="11"/>
  <c r="P213" i="11" a="1"/>
  <c r="P213" i="11"/>
  <c r="U213" i="11"/>
  <c r="V213" i="11"/>
  <c r="W213" i="11"/>
  <c r="X213" i="11"/>
  <c r="Y213" i="11"/>
  <c r="P214" i="11" a="1"/>
  <c r="P214" i="11"/>
  <c r="U214" i="11"/>
  <c r="V214" i="11"/>
  <c r="W214" i="11"/>
  <c r="X214" i="11"/>
  <c r="Y214" i="11"/>
  <c r="P215" i="11" a="1"/>
  <c r="P215" i="11"/>
  <c r="U215" i="11"/>
  <c r="V215" i="11"/>
  <c r="W215" i="11"/>
  <c r="X215" i="11"/>
  <c r="Y215" i="11"/>
  <c r="P216" i="11" a="1"/>
  <c r="P216" i="11"/>
  <c r="U216" i="11"/>
  <c r="V216" i="11"/>
  <c r="W216" i="11"/>
  <c r="X216" i="11"/>
  <c r="Y216" i="11"/>
  <c r="P217" i="11" a="1"/>
  <c r="P217" i="11"/>
  <c r="U217" i="11"/>
  <c r="V217" i="11"/>
  <c r="W217" i="11"/>
  <c r="X217" i="11"/>
  <c r="Y217" i="11"/>
  <c r="P218" i="11" a="1"/>
  <c r="P218" i="11"/>
  <c r="U218" i="11"/>
  <c r="V218" i="11"/>
  <c r="W218" i="11"/>
  <c r="X218" i="11"/>
  <c r="Y218" i="11"/>
  <c r="P219" i="11" a="1"/>
  <c r="P219" i="11"/>
  <c r="U219" i="11"/>
  <c r="V219" i="11"/>
  <c r="W219" i="11"/>
  <c r="X219" i="11"/>
  <c r="Y219" i="11"/>
  <c r="P220" i="11" a="1"/>
  <c r="P220" i="11"/>
  <c r="U220" i="11"/>
  <c r="V220" i="11"/>
  <c r="W220" i="11"/>
  <c r="X220" i="11"/>
  <c r="Y220" i="11"/>
  <c r="P221" i="11" a="1"/>
  <c r="P221" i="11"/>
  <c r="U221" i="11"/>
  <c r="V221" i="11"/>
  <c r="W221" i="11"/>
  <c r="X221" i="11"/>
  <c r="Y221" i="11"/>
  <c r="P222" i="11" a="1"/>
  <c r="P222" i="11"/>
  <c r="U222" i="11"/>
  <c r="V222" i="11"/>
  <c r="W222" i="11"/>
  <c r="X222" i="11"/>
  <c r="Y222" i="11"/>
  <c r="P223" i="11" a="1"/>
  <c r="P223" i="11"/>
  <c r="U223" i="11"/>
  <c r="V223" i="11"/>
  <c r="W223" i="11"/>
  <c r="X223" i="11"/>
  <c r="Y223" i="11"/>
  <c r="P224" i="11" a="1"/>
  <c r="P224" i="11"/>
  <c r="U224" i="11"/>
  <c r="V224" i="11"/>
  <c r="W224" i="11"/>
  <c r="X224" i="11"/>
  <c r="Y224" i="11"/>
  <c r="P225" i="11" a="1"/>
  <c r="P225" i="11"/>
  <c r="U225" i="11"/>
  <c r="V225" i="11"/>
  <c r="W225" i="11"/>
  <c r="X225" i="11"/>
  <c r="Y225" i="11"/>
  <c r="P226" i="11" a="1"/>
  <c r="P226" i="11"/>
  <c r="U226" i="11"/>
  <c r="V226" i="11"/>
  <c r="W226" i="11"/>
  <c r="X226" i="11"/>
  <c r="Y226" i="11"/>
  <c r="P227" i="11" a="1"/>
  <c r="P227" i="11"/>
  <c r="U227" i="11"/>
  <c r="V227" i="11"/>
  <c r="W227" i="11"/>
  <c r="X227" i="11"/>
  <c r="Y227" i="11"/>
  <c r="P228" i="11" a="1"/>
  <c r="P228" i="11"/>
  <c r="U228" i="11"/>
  <c r="V228" i="11"/>
  <c r="W228" i="11"/>
  <c r="X228" i="11"/>
  <c r="Y228" i="11"/>
  <c r="P229" i="11" a="1"/>
  <c r="P229" i="11"/>
  <c r="U229" i="11"/>
  <c r="V229" i="11"/>
  <c r="W229" i="11"/>
  <c r="X229" i="11"/>
  <c r="Y229" i="11"/>
  <c r="P230" i="11" a="1"/>
  <c r="P230" i="11"/>
  <c r="U230" i="11"/>
  <c r="V230" i="11"/>
  <c r="W230" i="11"/>
  <c r="X230" i="11"/>
  <c r="Y230" i="11"/>
  <c r="P231" i="11" a="1"/>
  <c r="P231" i="11"/>
  <c r="U231" i="11"/>
  <c r="V231" i="11"/>
  <c r="W231" i="11"/>
  <c r="X231" i="11"/>
  <c r="Y231" i="11"/>
  <c r="P232" i="11" a="1"/>
  <c r="P232" i="11"/>
  <c r="U232" i="11"/>
  <c r="V232" i="11"/>
  <c r="W232" i="11"/>
  <c r="X232" i="11"/>
  <c r="Y232" i="11"/>
  <c r="P233" i="11" a="1"/>
  <c r="P233" i="11"/>
  <c r="U233" i="11"/>
  <c r="V233" i="11"/>
  <c r="W233" i="11"/>
  <c r="X233" i="11"/>
  <c r="Y233" i="11"/>
  <c r="P234" i="11" a="1"/>
  <c r="P234" i="11"/>
  <c r="U234" i="11"/>
  <c r="V234" i="11"/>
  <c r="W234" i="11"/>
  <c r="X234" i="11"/>
  <c r="Y234" i="11"/>
  <c r="P235" i="11" a="1"/>
  <c r="P235" i="11"/>
  <c r="U235" i="11"/>
  <c r="V235" i="11"/>
  <c r="W235" i="11"/>
  <c r="X235" i="11"/>
  <c r="Y235" i="11"/>
  <c r="P236" i="11" a="1"/>
  <c r="P236" i="11"/>
  <c r="U236" i="11"/>
  <c r="V236" i="11"/>
  <c r="W236" i="11"/>
  <c r="X236" i="11"/>
  <c r="Y236" i="11"/>
  <c r="P237" i="11" a="1"/>
  <c r="P237" i="11"/>
  <c r="U237" i="11"/>
  <c r="V237" i="11"/>
  <c r="W237" i="11"/>
  <c r="X237" i="11"/>
  <c r="Y237" i="11"/>
  <c r="P238" i="11" a="1"/>
  <c r="P238" i="11"/>
  <c r="U238" i="11"/>
  <c r="V238" i="11"/>
  <c r="W238" i="11"/>
  <c r="X238" i="11"/>
  <c r="Y238" i="11"/>
  <c r="P239" i="11" a="1"/>
  <c r="P239" i="11"/>
  <c r="U239" i="11"/>
  <c r="V239" i="11"/>
  <c r="W239" i="11"/>
  <c r="X239" i="11"/>
  <c r="Y239" i="11"/>
  <c r="P240" i="11" a="1"/>
  <c r="P240" i="11"/>
  <c r="U240" i="11"/>
  <c r="V240" i="11"/>
  <c r="W240" i="11"/>
  <c r="X240" i="11"/>
  <c r="Y240" i="11"/>
  <c r="P241" i="11" a="1"/>
  <c r="P241" i="11"/>
  <c r="U241" i="11"/>
  <c r="V241" i="11"/>
  <c r="W241" i="11"/>
  <c r="X241" i="11"/>
  <c r="Y241" i="11"/>
  <c r="P242" i="11" a="1"/>
  <c r="P242" i="11"/>
  <c r="U242" i="11"/>
  <c r="V242" i="11"/>
  <c r="W242" i="11"/>
  <c r="X242" i="11"/>
  <c r="Y242" i="11"/>
  <c r="P243" i="11" a="1"/>
  <c r="P243" i="11"/>
  <c r="U243" i="11"/>
  <c r="V243" i="11"/>
  <c r="W243" i="11"/>
  <c r="X243" i="11"/>
  <c r="Y243" i="11"/>
  <c r="P244" i="11" a="1"/>
  <c r="P244" i="11"/>
  <c r="U244" i="11"/>
  <c r="V244" i="11"/>
  <c r="W244" i="11"/>
  <c r="X244" i="11"/>
  <c r="Y244" i="11"/>
  <c r="P245" i="11" a="1"/>
  <c r="P245" i="11"/>
  <c r="U245" i="11"/>
  <c r="V245" i="11"/>
  <c r="W245" i="11"/>
  <c r="X245" i="11"/>
  <c r="Y245" i="11"/>
  <c r="P246" i="11" a="1"/>
  <c r="P246" i="11"/>
  <c r="U246" i="11"/>
  <c r="V246" i="11"/>
  <c r="W246" i="11"/>
  <c r="X246" i="11"/>
  <c r="Y246" i="11"/>
  <c r="P247" i="11" a="1"/>
  <c r="P247" i="11"/>
  <c r="U247" i="11"/>
  <c r="V247" i="11"/>
  <c r="W247" i="11"/>
  <c r="X247" i="11"/>
  <c r="Y247" i="11"/>
  <c r="P248" i="11" a="1"/>
  <c r="P248" i="11"/>
  <c r="U248" i="11"/>
  <c r="V248" i="11"/>
  <c r="W248" i="11"/>
  <c r="X248" i="11"/>
  <c r="Y248" i="11"/>
  <c r="P249" i="11" a="1"/>
  <c r="P249" i="11"/>
  <c r="U249" i="11"/>
  <c r="V249" i="11"/>
  <c r="W249" i="11"/>
  <c r="X249" i="11"/>
  <c r="Y249" i="11"/>
  <c r="P250" i="11" a="1"/>
  <c r="P250" i="11"/>
  <c r="U250" i="11"/>
  <c r="V250" i="11"/>
  <c r="W250" i="11"/>
  <c r="X250" i="11"/>
  <c r="Y250" i="11"/>
  <c r="P251" i="11" a="1"/>
  <c r="P251" i="11"/>
  <c r="U251" i="11"/>
  <c r="V251" i="11"/>
  <c r="W251" i="11"/>
  <c r="X251" i="11"/>
  <c r="Y251" i="11"/>
  <c r="P252" i="11" a="1"/>
  <c r="P252" i="11"/>
  <c r="U252" i="11"/>
  <c r="V252" i="11"/>
  <c r="W252" i="11"/>
  <c r="X252" i="11"/>
  <c r="Y252" i="11"/>
  <c r="P253" i="11" a="1"/>
  <c r="P253" i="11"/>
  <c r="U253" i="11"/>
  <c r="V253" i="11"/>
  <c r="W253" i="11"/>
  <c r="X253" i="11"/>
  <c r="Y253" i="11"/>
  <c r="P254" i="11" a="1"/>
  <c r="P254" i="11"/>
  <c r="U254" i="11"/>
  <c r="V254" i="11"/>
  <c r="W254" i="11"/>
  <c r="X254" i="11"/>
  <c r="Y254" i="11"/>
  <c r="P255" i="11" a="1"/>
  <c r="P255" i="11"/>
  <c r="U255" i="11"/>
  <c r="V255" i="11"/>
  <c r="W255" i="11"/>
  <c r="X255" i="11"/>
  <c r="Y255" i="11"/>
  <c r="P256" i="11" a="1"/>
  <c r="P256" i="11"/>
  <c r="U256" i="11"/>
  <c r="V256" i="11"/>
  <c r="W256" i="11"/>
  <c r="X256" i="11"/>
  <c r="Y256" i="11"/>
  <c r="P257" i="11" a="1"/>
  <c r="P257" i="11"/>
  <c r="U257" i="11"/>
  <c r="V257" i="11"/>
  <c r="W257" i="11"/>
  <c r="X257" i="11"/>
  <c r="Y257" i="11"/>
  <c r="P258" i="11" a="1"/>
  <c r="P258" i="11"/>
  <c r="U258" i="11"/>
  <c r="V258" i="11"/>
  <c r="W258" i="11"/>
  <c r="X258" i="11"/>
  <c r="Y258" i="11"/>
  <c r="P259" i="11" a="1"/>
  <c r="P259" i="11"/>
  <c r="U259" i="11"/>
  <c r="V259" i="11"/>
  <c r="W259" i="11"/>
  <c r="X259" i="11"/>
  <c r="Y259" i="11"/>
  <c r="P260" i="11" a="1"/>
  <c r="P260" i="11"/>
  <c r="U260" i="11"/>
  <c r="V260" i="11"/>
  <c r="W260" i="11"/>
  <c r="X260" i="11"/>
  <c r="Y260" i="11"/>
  <c r="P261" i="11" a="1"/>
  <c r="P261" i="11"/>
  <c r="U261" i="11"/>
  <c r="V261" i="11"/>
  <c r="W261" i="11"/>
  <c r="X261" i="11"/>
  <c r="Y261" i="11"/>
  <c r="P262" i="11" a="1"/>
  <c r="P262" i="11"/>
  <c r="U262" i="11"/>
  <c r="V262" i="11"/>
  <c r="W262" i="11"/>
  <c r="X262" i="11"/>
  <c r="Y262" i="11"/>
  <c r="P263" i="11" a="1"/>
  <c r="P263" i="11"/>
  <c r="U263" i="11"/>
  <c r="V263" i="11"/>
  <c r="W263" i="11"/>
  <c r="X263" i="11"/>
  <c r="Y263" i="11"/>
  <c r="P264" i="11" a="1"/>
  <c r="P264" i="11"/>
  <c r="U264" i="11"/>
  <c r="V264" i="11"/>
  <c r="W264" i="11"/>
  <c r="X264" i="11"/>
  <c r="Y264" i="11"/>
  <c r="P265" i="11" a="1"/>
  <c r="P265" i="11"/>
  <c r="U265" i="11"/>
  <c r="V265" i="11"/>
  <c r="W265" i="11"/>
  <c r="X265" i="11"/>
  <c r="Y265" i="11"/>
  <c r="P266" i="11" a="1"/>
  <c r="P266" i="11"/>
  <c r="U266" i="11"/>
  <c r="V266" i="11"/>
  <c r="W266" i="11"/>
  <c r="X266" i="11"/>
  <c r="Y266" i="11"/>
  <c r="P267" i="11" a="1"/>
  <c r="P267" i="11"/>
  <c r="U267" i="11"/>
  <c r="V267" i="11"/>
  <c r="W267" i="11"/>
  <c r="X267" i="11"/>
  <c r="Y267" i="11"/>
  <c r="P268" i="11" a="1"/>
  <c r="P268" i="11"/>
  <c r="U268" i="11"/>
  <c r="V268" i="11"/>
  <c r="W268" i="11"/>
  <c r="X268" i="11"/>
  <c r="Y268" i="11"/>
  <c r="P269" i="11" a="1"/>
  <c r="P269" i="11"/>
  <c r="U269" i="11"/>
  <c r="V269" i="11"/>
  <c r="W269" i="11"/>
  <c r="X269" i="11"/>
  <c r="Y269" i="11"/>
  <c r="P270" i="11" a="1"/>
  <c r="P270" i="11"/>
  <c r="U270" i="11"/>
  <c r="V270" i="11"/>
  <c r="W270" i="11"/>
  <c r="X270" i="11"/>
  <c r="Y270" i="11"/>
  <c r="P271" i="11" a="1"/>
  <c r="P271" i="11"/>
  <c r="U271" i="11"/>
  <c r="V271" i="11"/>
  <c r="W271" i="11"/>
  <c r="X271" i="11"/>
  <c r="Y271" i="11"/>
  <c r="P272" i="11" a="1"/>
  <c r="P272" i="11"/>
  <c r="U272" i="11"/>
  <c r="V272" i="11"/>
  <c r="W272" i="11"/>
  <c r="X272" i="11"/>
  <c r="Y272" i="11"/>
  <c r="P273" i="11" a="1"/>
  <c r="P273" i="11"/>
  <c r="U273" i="11"/>
  <c r="V273" i="11"/>
  <c r="W273" i="11"/>
  <c r="X273" i="11"/>
  <c r="Y273" i="11"/>
  <c r="P274" i="11" a="1"/>
  <c r="P274" i="11"/>
  <c r="U274" i="11"/>
  <c r="V274" i="11"/>
  <c r="W274" i="11"/>
  <c r="X274" i="11"/>
  <c r="Y274" i="11"/>
  <c r="P275" i="11" a="1"/>
  <c r="P275" i="11"/>
  <c r="U275" i="11"/>
  <c r="V275" i="11"/>
  <c r="W275" i="11"/>
  <c r="X275" i="11"/>
  <c r="Y275" i="11"/>
  <c r="P276" i="11" a="1"/>
  <c r="P276" i="11"/>
  <c r="U276" i="11"/>
  <c r="V276" i="11"/>
  <c r="W276" i="11"/>
  <c r="X276" i="11"/>
  <c r="Y276" i="11"/>
  <c r="P277" i="11" a="1"/>
  <c r="P277" i="11"/>
  <c r="U277" i="11"/>
  <c r="V277" i="11"/>
  <c r="W277" i="11"/>
  <c r="X277" i="11"/>
  <c r="Y277" i="11"/>
  <c r="P278" i="11" a="1"/>
  <c r="P278" i="11"/>
  <c r="U278" i="11"/>
  <c r="V278" i="11"/>
  <c r="W278" i="11"/>
  <c r="X278" i="11"/>
  <c r="Y278" i="11"/>
  <c r="P279" i="11" a="1"/>
  <c r="P279" i="11"/>
  <c r="U279" i="11"/>
  <c r="V279" i="11"/>
  <c r="W279" i="11"/>
  <c r="X279" i="11"/>
  <c r="Y279" i="11"/>
  <c r="P280" i="11" a="1"/>
  <c r="P280" i="11"/>
  <c r="U280" i="11"/>
  <c r="V280" i="11"/>
  <c r="W280" i="11"/>
  <c r="X280" i="11"/>
  <c r="Y280" i="11"/>
  <c r="P281" i="11" a="1"/>
  <c r="P281" i="11"/>
  <c r="U281" i="11"/>
  <c r="V281" i="11"/>
  <c r="W281" i="11"/>
  <c r="X281" i="11"/>
  <c r="Y281" i="11"/>
  <c r="P282" i="11" a="1"/>
  <c r="P282" i="11"/>
  <c r="U282" i="11"/>
  <c r="V282" i="11"/>
  <c r="W282" i="11"/>
  <c r="X282" i="11"/>
  <c r="Y282" i="11"/>
  <c r="P283" i="11" a="1"/>
  <c r="P283" i="11"/>
  <c r="U283" i="11"/>
  <c r="V283" i="11"/>
  <c r="W283" i="11"/>
  <c r="X283" i="11"/>
  <c r="Y283" i="11"/>
  <c r="P284" i="11" a="1"/>
  <c r="P284" i="11"/>
  <c r="U284" i="11"/>
  <c r="V284" i="11"/>
  <c r="W284" i="11"/>
  <c r="X284" i="11"/>
  <c r="Y284" i="11"/>
  <c r="P285" i="11" a="1"/>
  <c r="P285" i="11"/>
  <c r="U285" i="11"/>
  <c r="V285" i="11"/>
  <c r="W285" i="11"/>
  <c r="X285" i="11"/>
  <c r="Y285" i="11"/>
  <c r="P286" i="11" a="1"/>
  <c r="P286" i="11"/>
  <c r="U286" i="11"/>
  <c r="V286" i="11"/>
  <c r="W286" i="11"/>
  <c r="X286" i="11"/>
  <c r="Y286" i="11"/>
  <c r="P287" i="11" a="1"/>
  <c r="P287" i="11"/>
  <c r="U287" i="11"/>
  <c r="V287" i="11"/>
  <c r="W287" i="11"/>
  <c r="X287" i="11"/>
  <c r="Y287" i="11"/>
  <c r="P288" i="11" a="1"/>
  <c r="P288" i="11"/>
  <c r="U288" i="11"/>
  <c r="V288" i="11"/>
  <c r="W288" i="11"/>
  <c r="X288" i="11"/>
  <c r="Y288" i="11"/>
  <c r="P289" i="11" a="1"/>
  <c r="P289" i="11"/>
  <c r="U289" i="11"/>
  <c r="V289" i="11"/>
  <c r="W289" i="11"/>
  <c r="X289" i="11"/>
  <c r="Y289" i="11"/>
  <c r="P290" i="11" a="1"/>
  <c r="P290" i="11"/>
  <c r="U290" i="11"/>
  <c r="V290" i="11"/>
  <c r="W290" i="11"/>
  <c r="X290" i="11"/>
  <c r="Y290" i="11"/>
  <c r="P291" i="11" a="1"/>
  <c r="P291" i="11"/>
  <c r="U291" i="11"/>
  <c r="V291" i="11"/>
  <c r="W291" i="11"/>
  <c r="X291" i="11"/>
  <c r="Y291" i="11"/>
  <c r="P292" i="11" a="1"/>
  <c r="P292" i="11"/>
  <c r="U292" i="11"/>
  <c r="V292" i="11"/>
  <c r="W292" i="11"/>
  <c r="X292" i="11"/>
  <c r="Y292" i="11"/>
  <c r="P293" i="11" a="1"/>
  <c r="P293" i="11"/>
  <c r="U293" i="11"/>
  <c r="V293" i="11"/>
  <c r="W293" i="11"/>
  <c r="X293" i="11"/>
  <c r="Y293" i="11"/>
  <c r="P294" i="11" a="1"/>
  <c r="P294" i="11"/>
  <c r="U294" i="11"/>
  <c r="V294" i="11"/>
  <c r="W294" i="11"/>
  <c r="X294" i="11"/>
  <c r="Y294" i="11"/>
  <c r="P295" i="11" a="1"/>
  <c r="P295" i="11"/>
  <c r="U295" i="11"/>
  <c r="V295" i="11"/>
  <c r="W295" i="11"/>
  <c r="X295" i="11"/>
  <c r="Y295" i="11"/>
  <c r="P296" i="11" a="1"/>
  <c r="P296" i="11"/>
  <c r="U296" i="11"/>
  <c r="V296" i="11"/>
  <c r="W296" i="11"/>
  <c r="X296" i="11"/>
  <c r="Y296" i="11"/>
  <c r="P297" i="11" a="1"/>
  <c r="P297" i="11"/>
  <c r="U297" i="11"/>
  <c r="V297" i="11"/>
  <c r="W297" i="11"/>
  <c r="X297" i="11"/>
  <c r="Y297" i="11"/>
  <c r="P298" i="11" a="1"/>
  <c r="P298" i="11"/>
  <c r="U298" i="11"/>
  <c r="V298" i="11"/>
  <c r="W298" i="11"/>
  <c r="X298" i="11"/>
  <c r="Y298" i="11"/>
  <c r="P299" i="11" a="1"/>
  <c r="P299" i="11"/>
  <c r="U299" i="11"/>
  <c r="V299" i="11"/>
  <c r="W299" i="11"/>
  <c r="X299" i="11"/>
  <c r="Y299" i="11"/>
  <c r="P300" i="11" a="1"/>
  <c r="P300" i="11"/>
  <c r="U300" i="11"/>
  <c r="V300" i="11"/>
  <c r="W300" i="11"/>
  <c r="X300" i="11"/>
  <c r="Y300" i="11"/>
  <c r="P301" i="11" a="1"/>
  <c r="P301" i="11"/>
  <c r="U301" i="11"/>
  <c r="V301" i="11"/>
  <c r="W301" i="11"/>
  <c r="X301" i="11"/>
  <c r="Y301" i="11"/>
  <c r="P302" i="11" a="1"/>
  <c r="P302" i="11"/>
  <c r="U302" i="11"/>
  <c r="V302" i="11"/>
  <c r="W302" i="11"/>
  <c r="X302" i="11"/>
  <c r="Y302" i="11"/>
  <c r="P303" i="11" a="1"/>
  <c r="P303" i="11"/>
  <c r="U303" i="11"/>
  <c r="V303" i="11"/>
  <c r="W303" i="11"/>
  <c r="X303" i="11"/>
  <c r="Y303" i="11"/>
  <c r="P304" i="11" a="1"/>
  <c r="P304" i="11"/>
  <c r="U304" i="11"/>
  <c r="V304" i="11"/>
  <c r="W304" i="11"/>
  <c r="X304" i="11"/>
  <c r="Y304" i="11"/>
  <c r="P305" i="11" a="1"/>
  <c r="P305" i="11"/>
  <c r="U305" i="11"/>
  <c r="V305" i="11"/>
  <c r="W305" i="11"/>
  <c r="X305" i="11"/>
  <c r="Y305" i="11"/>
  <c r="P306" i="11" a="1"/>
  <c r="P306" i="11"/>
  <c r="U306" i="11"/>
  <c r="V306" i="11"/>
  <c r="W306" i="11"/>
  <c r="X306" i="11"/>
  <c r="Y306" i="11"/>
  <c r="P307" i="11" a="1"/>
  <c r="P307" i="11"/>
  <c r="U307" i="11"/>
  <c r="V307" i="11"/>
  <c r="W307" i="11"/>
  <c r="X307" i="11"/>
  <c r="Y307" i="11"/>
  <c r="P308" i="11" a="1"/>
  <c r="P308" i="11"/>
  <c r="U308" i="11"/>
  <c r="V308" i="11"/>
  <c r="W308" i="11"/>
  <c r="X308" i="11"/>
  <c r="Y308" i="11"/>
  <c r="P309" i="11" a="1"/>
  <c r="P309" i="11"/>
  <c r="U309" i="11"/>
  <c r="V309" i="11"/>
  <c r="W309" i="11"/>
  <c r="X309" i="11"/>
  <c r="Y309" i="11"/>
  <c r="P310" i="11" a="1"/>
  <c r="P310" i="11"/>
  <c r="U310" i="11"/>
  <c r="V310" i="11"/>
  <c r="W310" i="11"/>
  <c r="X310" i="11"/>
  <c r="Y310" i="11"/>
  <c r="P311" i="11" a="1"/>
  <c r="P311" i="11"/>
  <c r="U311" i="11"/>
  <c r="V311" i="11"/>
  <c r="W311" i="11"/>
  <c r="X311" i="11"/>
  <c r="Y311" i="11"/>
  <c r="P312" i="11" a="1"/>
  <c r="P312" i="11"/>
  <c r="U312" i="11"/>
  <c r="V312" i="11"/>
  <c r="W312" i="11"/>
  <c r="X312" i="11"/>
  <c r="Y312" i="11"/>
  <c r="P313" i="11" a="1"/>
  <c r="P313" i="11"/>
  <c r="U313" i="11"/>
  <c r="V313" i="11"/>
  <c r="W313" i="11"/>
  <c r="X313" i="11"/>
  <c r="Y313" i="11"/>
  <c r="O314" i="11"/>
  <c r="P314" i="11" a="1"/>
  <c r="P314" i="11"/>
  <c r="U314" i="11"/>
  <c r="V314" i="11"/>
  <c r="F15" i="8" a="1"/>
  <c r="F15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/>
  <c r="E7" i="3"/>
  <c r="C9" i="8" l="1"/>
  <c r="F11" i="8"/>
  <c r="F10" i="8"/>
  <c r="I7" i="7" a="1"/>
  <c r="I7" i="7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<sst xmlns="http://schemas.openxmlformats.org/spreadsheetml/2006/main" count="2154" uniqueCount="509">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</sst>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1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165" fontId="44" fillId="0" borderId="4" xfId="5" applyNumberFormat="1" applyFont="1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4390958019E-2"/>
          <c:y val="0.1337661898975587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2.2317762024300016E-3</c:v>
                </c:pt>
                <c:pt idx="1">
                  <c:v>2.2317762024303784E-3</c:v>
                </c:pt>
                <c:pt idx="2">
                  <c:v>2.231776202431686E-3</c:v>
                </c:pt>
                <c:pt idx="3">
                  <c:v>2.2317762024295635E-3</c:v>
                </c:pt>
                <c:pt idx="4">
                  <c:v>2.2317762024303793E-3</c:v>
                </c:pt>
                <c:pt idx="5">
                  <c:v>2.2317762024295618E-3</c:v>
                </c:pt>
                <c:pt idx="6">
                  <c:v>4.6413557742230648E-3</c:v>
                </c:pt>
                <c:pt idx="7">
                  <c:v>4.6413557742230648E-3</c:v>
                </c:pt>
                <c:pt idx="8">
                  <c:v>4.64135577422324E-3</c:v>
                </c:pt>
                <c:pt idx="9">
                  <c:v>4.6413557742230648E-3</c:v>
                </c:pt>
                <c:pt idx="10">
                  <c:v>4.6413557742241507E-3</c:v>
                </c:pt>
                <c:pt idx="11">
                  <c:v>4.6413557742230648E-3</c:v>
                </c:pt>
                <c:pt idx="12">
                  <c:v>5.479519765866951E-3</c:v>
                </c:pt>
                <c:pt idx="13">
                  <c:v>5.4795197658679268E-3</c:v>
                </c:pt>
                <c:pt idx="14">
                  <c:v>5.4795197658653108E-3</c:v>
                </c:pt>
                <c:pt idx="15">
                  <c:v>5.4795197658669657E-3</c:v>
                </c:pt>
                <c:pt idx="16">
                  <c:v>5.4795197658679268E-3</c:v>
                </c:pt>
                <c:pt idx="17">
                  <c:v>5.4795197658655996E-3</c:v>
                </c:pt>
                <c:pt idx="18">
                  <c:v>5.4795197658666188E-3</c:v>
                </c:pt>
                <c:pt idx="19">
                  <c:v>5.4795197658679268E-3</c:v>
                </c:pt>
                <c:pt idx="20">
                  <c:v>5.4795197658665459E-3</c:v>
                </c:pt>
                <c:pt idx="21">
                  <c:v>5.4795197658653108E-3</c:v>
                </c:pt>
                <c:pt idx="22">
                  <c:v>5.479519765866951E-3</c:v>
                </c:pt>
                <c:pt idx="23">
                  <c:v>5.479519765866604E-3</c:v>
                </c:pt>
                <c:pt idx="24">
                  <c:v>7.3854763092055607E-3</c:v>
                </c:pt>
                <c:pt idx="25">
                  <c:v>7.3854763092050966E-3</c:v>
                </c:pt>
                <c:pt idx="26">
                  <c:v>7.3854763092050966E-3</c:v>
                </c:pt>
                <c:pt idx="27">
                  <c:v>7.3854763092055607E-3</c:v>
                </c:pt>
                <c:pt idx="28">
                  <c:v>7.3854763092064055E-3</c:v>
                </c:pt>
                <c:pt idx="29">
                  <c:v>7.3854763092042084E-3</c:v>
                </c:pt>
                <c:pt idx="30">
                  <c:v>7.3854763092064055E-3</c:v>
                </c:pt>
                <c:pt idx="31">
                  <c:v>7.3854763092050966E-3</c:v>
                </c:pt>
                <c:pt idx="32">
                  <c:v>7.3854763092043099E-3</c:v>
                </c:pt>
                <c:pt idx="33">
                  <c:v>7.3854763092064055E-3</c:v>
                </c:pt>
                <c:pt idx="34">
                  <c:v>7.3854763092055607E-3</c:v>
                </c:pt>
                <c:pt idx="35">
                  <c:v>7.3854763092050585E-3</c:v>
                </c:pt>
                <c:pt idx="36">
                  <c:v>9.160474348529405E-3</c:v>
                </c:pt>
                <c:pt idx="37">
                  <c:v>9.1604743485303244E-3</c:v>
                </c:pt>
                <c:pt idx="38">
                  <c:v>9.1604743485303244E-3</c:v>
                </c:pt>
                <c:pt idx="39">
                  <c:v>9.1604743485307564E-3</c:v>
                </c:pt>
                <c:pt idx="40">
                  <c:v>9.1604743485303244E-3</c:v>
                </c:pt>
                <c:pt idx="41">
                  <c:v>9.160474348529405E-3</c:v>
                </c:pt>
                <c:pt idx="42">
                  <c:v>9.1604743485303244E-3</c:v>
                </c:pt>
                <c:pt idx="43">
                  <c:v>9.1604743485290165E-3</c:v>
                </c:pt>
                <c:pt idx="44">
                  <c:v>9.1604743485299775E-3</c:v>
                </c:pt>
                <c:pt idx="45">
                  <c:v>9.1604743485316324E-3</c:v>
                </c:pt>
                <c:pt idx="46">
                  <c:v>9.1604743485307564E-3</c:v>
                </c:pt>
                <c:pt idx="47">
                  <c:v>9.1604743485289679E-3</c:v>
                </c:pt>
                <c:pt idx="48">
                  <c:v>9.1604743485294553E-3</c:v>
                </c:pt>
                <c:pt idx="49">
                  <c:v>9.1604743485315838E-3</c:v>
                </c:pt>
                <c:pt idx="50">
                  <c:v>9.1604743485290633E-3</c:v>
                </c:pt>
                <c:pt idx="51">
                  <c:v>9.1604743485307078E-3</c:v>
                </c:pt>
                <c:pt idx="52">
                  <c:v>9.1604743485290633E-3</c:v>
                </c:pt>
                <c:pt idx="53">
                  <c:v>9.1604743485307078E-3</c:v>
                </c:pt>
                <c:pt idx="54">
                  <c:v>9.1604743485276599E-3</c:v>
                </c:pt>
                <c:pt idx="55">
                  <c:v>9.1604743485316793E-3</c:v>
                </c:pt>
                <c:pt idx="56">
                  <c:v>9.1604743485298127E-3</c:v>
                </c:pt>
                <c:pt idx="57">
                  <c:v>9.160474348530373E-3</c:v>
                </c:pt>
                <c:pt idx="58">
                  <c:v>9.1604743485293547E-3</c:v>
                </c:pt>
                <c:pt idx="59">
                  <c:v>9.1604743485302776E-3</c:v>
                </c:pt>
                <c:pt idx="60">
                  <c:v>9.4327519268304245E-3</c:v>
                </c:pt>
                <c:pt idx="61">
                  <c:v>9.4327519268293507E-3</c:v>
                </c:pt>
                <c:pt idx="62">
                  <c:v>9.4327519268307576E-3</c:v>
                </c:pt>
                <c:pt idx="63">
                  <c:v>9.4327519268316735E-3</c:v>
                </c:pt>
                <c:pt idx="64">
                  <c:v>9.4327519268307576E-3</c:v>
                </c:pt>
                <c:pt idx="65">
                  <c:v>9.4327519268303222E-3</c:v>
                </c:pt>
                <c:pt idx="66">
                  <c:v>9.4327519268293507E-3</c:v>
                </c:pt>
                <c:pt idx="67">
                  <c:v>9.4327519268307576E-3</c:v>
                </c:pt>
                <c:pt idx="68">
                  <c:v>9.4327519268306813E-3</c:v>
                </c:pt>
                <c:pt idx="69">
                  <c:v>9.4327519268307576E-3</c:v>
                </c:pt>
                <c:pt idx="70">
                  <c:v>9.4327519268289708E-3</c:v>
                </c:pt>
                <c:pt idx="71">
                  <c:v>9.4327519268306587E-3</c:v>
                </c:pt>
                <c:pt idx="72">
                  <c:v>9.4327519268304245E-3</c:v>
                </c:pt>
                <c:pt idx="73">
                  <c:v>9.4327519268306587E-3</c:v>
                </c:pt>
                <c:pt idx="74">
                  <c:v>9.4327519268294496E-3</c:v>
                </c:pt>
                <c:pt idx="75">
                  <c:v>9.4327519268316735E-3</c:v>
                </c:pt>
                <c:pt idx="76">
                  <c:v>9.4327519268307576E-3</c:v>
                </c:pt>
                <c:pt idx="77">
                  <c:v>9.4327519268289708E-3</c:v>
                </c:pt>
                <c:pt idx="78">
                  <c:v>9.4327519268306587E-3</c:v>
                </c:pt>
                <c:pt idx="79">
                  <c:v>9.4327519268307576E-3</c:v>
                </c:pt>
                <c:pt idx="80">
                  <c:v>9.432751926832128E-3</c:v>
                </c:pt>
                <c:pt idx="81">
                  <c:v>9.4327519268294496E-3</c:v>
                </c:pt>
                <c:pt idx="82">
                  <c:v>9.4327519268303222E-3</c:v>
                </c:pt>
                <c:pt idx="83">
                  <c:v>9.4327519268293507E-3</c:v>
                </c:pt>
                <c:pt idx="84">
                  <c:v>1.0144278183725201E-2</c:v>
                </c:pt>
                <c:pt idx="85">
                  <c:v>1.0144278183723833E-2</c:v>
                </c:pt>
                <c:pt idx="86">
                  <c:v>1.0144278183726556E-2</c:v>
                </c:pt>
                <c:pt idx="87">
                  <c:v>1.0144278183723739E-2</c:v>
                </c:pt>
                <c:pt idx="88">
                  <c:v>1.0144278183725248E-2</c:v>
                </c:pt>
                <c:pt idx="89">
                  <c:v>1.0144278183723739E-2</c:v>
                </c:pt>
                <c:pt idx="90">
                  <c:v>1.0144278183725142E-2</c:v>
                </c:pt>
                <c:pt idx="91">
                  <c:v>1.0144278183725248E-2</c:v>
                </c:pt>
                <c:pt idx="92">
                  <c:v>1.0144278183724202E-2</c:v>
                </c:pt>
                <c:pt idx="93">
                  <c:v>1.0144278183725248E-2</c:v>
                </c:pt>
                <c:pt idx="94">
                  <c:v>1.0144278183725092E-2</c:v>
                </c:pt>
                <c:pt idx="95">
                  <c:v>1.0144278183725142E-2</c:v>
                </c:pt>
                <c:pt idx="96">
                  <c:v>1.014427818372385E-2</c:v>
                </c:pt>
                <c:pt idx="97">
                  <c:v>1.014427818372645E-2</c:v>
                </c:pt>
                <c:pt idx="98">
                  <c:v>1.0144278183725142E-2</c:v>
                </c:pt>
                <c:pt idx="99">
                  <c:v>1.014427818372385E-2</c:v>
                </c:pt>
                <c:pt idx="100">
                  <c:v>1.0144278183725142E-2</c:v>
                </c:pt>
                <c:pt idx="101">
                  <c:v>1.0144278183725201E-2</c:v>
                </c:pt>
                <c:pt idx="102">
                  <c:v>1.014427818372645E-2</c:v>
                </c:pt>
                <c:pt idx="103">
                  <c:v>1.0144278183725142E-2</c:v>
                </c:pt>
                <c:pt idx="104">
                  <c:v>1.0144278183724244E-2</c:v>
                </c:pt>
                <c:pt idx="105">
                  <c:v>1.0144278183723833E-2</c:v>
                </c:pt>
                <c:pt idx="106">
                  <c:v>1.0144278183726553E-2</c:v>
                </c:pt>
                <c:pt idx="107">
                  <c:v>1.0144278183723833E-2</c:v>
                </c:pt>
                <c:pt idx="108">
                  <c:v>1.0144278183726553E-2</c:v>
                </c:pt>
                <c:pt idx="109">
                  <c:v>1.0144278183723833E-2</c:v>
                </c:pt>
                <c:pt idx="110">
                  <c:v>1.014427818372645E-2</c:v>
                </c:pt>
                <c:pt idx="111">
                  <c:v>1.014427818372385E-2</c:v>
                </c:pt>
                <c:pt idx="112">
                  <c:v>1.0144278183725142E-2</c:v>
                </c:pt>
                <c:pt idx="113">
                  <c:v>1.0144278183725201E-2</c:v>
                </c:pt>
                <c:pt idx="114">
                  <c:v>1.0144278183725142E-2</c:v>
                </c:pt>
                <c:pt idx="115">
                  <c:v>1.0144278183725142E-2</c:v>
                </c:pt>
                <c:pt idx="116">
                  <c:v>1.0144278183724244E-2</c:v>
                </c:pt>
                <c:pt idx="117">
                  <c:v>1.0144278183725142E-2</c:v>
                </c:pt>
                <c:pt idx="118">
                  <c:v>1.014427818372385E-2</c:v>
                </c:pt>
                <c:pt idx="119">
                  <c:v>1.0144278183723833E-2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3.0567603901299201E-4</c:v>
                </c:pt>
                <c:pt idx="1">
                  <c:v>4.9514825690033515E-4</c:v>
                </c:pt>
                <c:pt idx="2">
                  <c:v>6.845845640893744E-4</c:v>
                </c:pt>
                <c:pt idx="3">
                  <c:v>8.6787583730196793E-4</c:v>
                </c:pt>
                <c:pt idx="4">
                  <c:v>1.0572415013757608E-3</c:v>
                </c:pt>
                <c:pt idx="5">
                  <c:v>1.2404644230314954E-3</c:v>
                </c:pt>
                <c:pt idx="6">
                  <c:v>1.6340951857874986E-3</c:v>
                </c:pt>
                <c:pt idx="7">
                  <c:v>2.027570810923307E-3</c:v>
                </c:pt>
                <c:pt idx="8">
                  <c:v>2.382834856520577E-3</c:v>
                </c:pt>
                <c:pt idx="9">
                  <c:v>2.7760153886363659E-3</c:v>
                </c:pt>
                <c:pt idx="10">
                  <c:v>3.1563651344286292E-3</c:v>
                </c:pt>
                <c:pt idx="11">
                  <c:v>3.5492408030587397E-3</c:v>
                </c:pt>
                <c:pt idx="12">
                  <c:v>3.9979127716890384E-3</c:v>
                </c:pt>
                <c:pt idx="13">
                  <c:v>4.4613282366897655E-3</c:v>
                </c:pt>
                <c:pt idx="14">
                  <c:v>4.924528085783475E-3</c:v>
                </c:pt>
                <c:pt idx="15">
                  <c:v>5.3725808036912959E-3</c:v>
                </c:pt>
                <c:pt idx="16">
                  <c:v>5.8353566692037617E-3</c:v>
                </c:pt>
                <c:pt idx="17">
                  <c:v>6.2829992682472691E-3</c:v>
                </c:pt>
                <c:pt idx="18">
                  <c:v>6.7453515382657203E-3</c:v>
                </c:pt>
                <c:pt idx="19">
                  <c:v>7.2074886870561183E-3</c:v>
                </c:pt>
                <c:pt idx="20">
                  <c:v>7.6247180679348547E-3</c:v>
                </c:pt>
                <c:pt idx="21">
                  <c:v>8.086446068938713E-3</c:v>
                </c:pt>
                <c:pt idx="22">
                  <c:v>8.5330750697656388E-3</c:v>
                </c:pt>
                <c:pt idx="23">
                  <c:v>8.9943804344239098E-3</c:v>
                </c:pt>
                <c:pt idx="24">
                  <c:v>9.5957635207785108E-3</c:v>
                </c:pt>
                <c:pt idx="25">
                  <c:v>1.021680931858493E-2</c:v>
                </c:pt>
                <c:pt idx="26">
                  <c:v>1.0837465681584058E-2</c:v>
                </c:pt>
                <c:pt idx="27">
                  <c:v>1.1437730307788163E-2</c:v>
                </c:pt>
                <c:pt idx="28">
                  <c:v>1.2057621076475566E-2</c:v>
                </c:pt>
                <c:pt idx="29">
                  <c:v>1.2657145262057745E-2</c:v>
                </c:pt>
                <c:pt idx="30">
                  <c:v>1.327627138081211E-2</c:v>
                </c:pt>
                <c:pt idx="31">
                  <c:v>1.3895009268518721E-2</c:v>
                </c:pt>
                <c:pt idx="32">
                  <c:v>1.4453535805757034E-2</c:v>
                </c:pt>
                <c:pt idx="33">
                  <c:v>1.5071535474565745E-2</c:v>
                </c:pt>
                <c:pt idx="34">
                  <c:v>1.5669230692575087E-2</c:v>
                </c:pt>
                <c:pt idx="35">
                  <c:v>1.6286468044167113E-2</c:v>
                </c:pt>
                <c:pt idx="36">
                  <c:v>1.7026842651751917E-2</c:v>
                </c:pt>
                <c:pt idx="37">
                  <c:v>1.7791311016887801E-2</c:v>
                </c:pt>
                <c:pt idx="38">
                  <c:v>1.8555184847089623E-2</c:v>
                </c:pt>
                <c:pt idx="39">
                  <c:v>1.9293851945061058E-2</c:v>
                </c:pt>
                <c:pt idx="40">
                  <c:v>2.0056557233682382E-2</c:v>
                </c:pt>
                <c:pt idx="41">
                  <c:v>2.0794094350256254E-2</c:v>
                </c:pt>
                <c:pt idx="42">
                  <c:v>2.1555632884882048E-2</c:v>
                </c:pt>
                <c:pt idx="43">
                  <c:v>2.2316579163133121E-2</c:v>
                </c:pt>
                <c:pt idx="44">
                  <c:v>2.3027896367310396E-2</c:v>
                </c:pt>
                <c:pt idx="45">
                  <c:v>2.3787697651063033E-2</c:v>
                </c:pt>
                <c:pt idx="46">
                  <c:v>2.4522426590731117E-2</c:v>
                </c:pt>
                <c:pt idx="47">
                  <c:v>2.5281065562910765E-2</c:v>
                </c:pt>
                <c:pt idx="48">
                  <c:v>2.6014670545607799E-2</c:v>
                </c:pt>
                <c:pt idx="49">
                  <c:v>2.6772148984269495E-2</c:v>
                </c:pt>
                <c:pt idx="50">
                  <c:v>2.752903832413478E-2</c:v>
                </c:pt>
                <c:pt idx="51">
                  <c:v>2.8260951409854962E-2</c:v>
                </c:pt>
                <c:pt idx="52">
                  <c:v>2.9016682892714973E-2</c:v>
                </c:pt>
                <c:pt idx="53">
                  <c:v>2.9747476329037292E-2</c:v>
                </c:pt>
                <c:pt idx="54">
                  <c:v>3.0502051726132073E-2</c:v>
                </c:pt>
                <c:pt idx="55">
                  <c:v>3.1256040282156339E-2</c:v>
                </c:pt>
                <c:pt idx="56">
                  <c:v>3.1936558180939767E-2</c:v>
                </c:pt>
                <c:pt idx="57">
                  <c:v>3.2689431106495248E-2</c:v>
                </c:pt>
                <c:pt idx="58">
                  <c:v>3.3417460313771907E-2</c:v>
                </c:pt>
                <c:pt idx="59">
                  <c:v>3.4169181526461201E-2</c:v>
                </c:pt>
                <c:pt idx="60">
                  <c:v>3.4917694824076806E-2</c:v>
                </c:pt>
                <c:pt idx="61">
                  <c:v>3.5690549149770989E-2</c:v>
                </c:pt>
                <c:pt idx="62">
                  <c:v>3.6462784560575279E-2</c:v>
                </c:pt>
                <c:pt idx="63">
                  <c:v>3.7209520329106516E-2</c:v>
                </c:pt>
                <c:pt idx="64">
                  <c:v>3.7980539321953222E-2</c:v>
                </c:pt>
                <c:pt idx="65">
                  <c:v>3.8726098839323542E-2</c:v>
                </c:pt>
                <c:pt idx="66">
                  <c:v>3.9495903330302728E-2</c:v>
                </c:pt>
                <c:pt idx="67">
                  <c:v>4.0265091348751558E-2</c:v>
                </c:pt>
                <c:pt idx="68">
                  <c:v>4.0959312356387167E-2</c:v>
                </c:pt>
                <c:pt idx="69">
                  <c:v>4.1727328451995782E-2</c:v>
                </c:pt>
                <c:pt idx="70">
                  <c:v>4.2469984229462909E-2</c:v>
                </c:pt>
                <c:pt idx="71">
                  <c:v>4.3236790553339621E-2</c:v>
                </c:pt>
                <c:pt idx="72">
                  <c:v>4.3978276506409619E-2</c:v>
                </c:pt>
                <c:pt idx="73">
                  <c:v>4.4743874964175423E-2</c:v>
                </c:pt>
                <c:pt idx="74">
                  <c:v>4.5508860317673538E-2</c:v>
                </c:pt>
                <c:pt idx="75">
                  <c:v>4.6248585429818689E-2</c:v>
                </c:pt>
                <c:pt idx="76">
                  <c:v>4.7012365785581434E-2</c:v>
                </c:pt>
                <c:pt idx="77">
                  <c:v>4.7750925689685531E-2</c:v>
                </c:pt>
                <c:pt idx="78">
                  <c:v>4.8513502945813913E-2</c:v>
                </c:pt>
                <c:pt idx="79">
                  <c:v>4.9275469517104376E-2</c:v>
                </c:pt>
                <c:pt idx="80">
                  <c:v>4.9963172898096708E-2</c:v>
                </c:pt>
                <c:pt idx="81">
                  <c:v>5.072397854903099E-2</c:v>
                </c:pt>
                <c:pt idx="82">
                  <c:v>5.1459661974712856E-2</c:v>
                </c:pt>
                <c:pt idx="83">
                  <c:v>5.2219269211739805E-2</c:v>
                </c:pt>
                <c:pt idx="84">
                  <c:v>5.3009176963373816E-2</c:v>
                </c:pt>
                <c:pt idx="85">
                  <c:v>5.3824723365603289E-2</c:v>
                </c:pt>
                <c:pt idx="86">
                  <c:v>5.4639567421075119E-2</c:v>
                </c:pt>
                <c:pt idx="87">
                  <c:v>5.542745802649085E-2</c:v>
                </c:pt>
                <c:pt idx="88">
                  <c:v>5.6240921810417621E-2</c:v>
                </c:pt>
                <c:pt idx="89">
                  <c:v>5.7027477800975501E-2</c:v>
                </c:pt>
                <c:pt idx="90">
                  <c:v>5.7839563651411408E-2</c:v>
                </c:pt>
                <c:pt idx="91">
                  <c:v>5.8650950135309077E-2</c:v>
                </c:pt>
                <c:pt idx="92">
                  <c:v>5.9409356496255006E-2</c:v>
                </c:pt>
                <c:pt idx="93">
                  <c:v>6.0219391078026874E-2</c:v>
                </c:pt>
                <c:pt idx="94">
                  <c:v>6.1002631297740306E-2</c:v>
                </c:pt>
                <c:pt idx="95">
                  <c:v>6.1811293754777119E-2</c:v>
                </c:pt>
                <c:pt idx="96">
                  <c:v>6.2593207236962156E-2</c:v>
                </c:pt>
                <c:pt idx="97">
                  <c:v>6.3400499893518258E-2</c:v>
                </c:pt>
                <c:pt idx="98">
                  <c:v>6.4207097311424044E-2</c:v>
                </c:pt>
                <c:pt idx="99">
                  <c:v>6.498701406193963E-2</c:v>
                </c:pt>
                <c:pt idx="100">
                  <c:v>6.5792245177352604E-2</c:v>
                </c:pt>
                <c:pt idx="101">
                  <c:v>6.657084081999376E-2</c:v>
                </c:pt>
                <c:pt idx="102">
                  <c:v>6.7374707947305934E-2</c:v>
                </c:pt>
                <c:pt idx="103">
                  <c:v>6.817788278602599E-2</c:v>
                </c:pt>
                <c:pt idx="104">
                  <c:v>6.8902736486562088E-2</c:v>
                </c:pt>
                <c:pt idx="105">
                  <c:v>6.9704595390483792E-2</c:v>
                </c:pt>
                <c:pt idx="106">
                  <c:v>7.0479930367804422E-2</c:v>
                </c:pt>
                <c:pt idx="107">
                  <c:v>7.1280430995844024E-2</c:v>
                </c:pt>
                <c:pt idx="108">
                  <c:v>7.2054452626396204E-2</c:v>
                </c:pt>
                <c:pt idx="109">
                  <c:v>7.2853597279349258E-2</c:v>
                </c:pt>
                <c:pt idx="110">
                  <c:v>7.3652053710694942E-2</c:v>
                </c:pt>
                <c:pt idx="111">
                  <c:v>7.4424098762587376E-2</c:v>
                </c:pt>
                <c:pt idx="112">
                  <c:v>7.522120268152932E-2</c:v>
                </c:pt>
                <c:pt idx="113">
                  <c:v>7.5991939959487165E-2</c:v>
                </c:pt>
                <c:pt idx="114">
                  <c:v>7.6787693657058065E-2</c:v>
                </c:pt>
                <c:pt idx="115">
                  <c:v>7.7582762053304721E-2</c:v>
                </c:pt>
                <c:pt idx="116">
                  <c:v>7.8300299806500551E-2</c:v>
                </c:pt>
                <c:pt idx="117">
                  <c:v>7.9094065549676906E-2</c:v>
                </c:pt>
                <c:pt idx="118">
                  <c:v>7.9861575072204372E-2</c:v>
                </c:pt>
                <c:pt idx="119">
                  <c:v>8.0653996248575055E-2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45443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75" t="s">
        <v>21</v>
      </c>
      <c r="D5" s="476"/>
      <c r="F5" s="473" t="s">
        <v>23</v>
      </c>
      <c r="G5" s="474"/>
      <c r="I5" s="473" t="s">
        <v>22</v>
      </c>
      <c r="J5" s="474"/>
      <c r="R5" s="475" t="s">
        <v>39</v>
      </c>
      <c r="S5" s="476"/>
      <c r="U5" s="473" t="s">
        <v>40</v>
      </c>
      <c r="V5" s="474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75" t="s">
        <v>21</v>
      </c>
      <c r="C20" s="477"/>
      <c r="D20" s="477"/>
      <c r="E20" s="477"/>
      <c r="F20" s="477"/>
      <c r="G20" s="477"/>
      <c r="H20" s="477"/>
      <c r="I20" s="477"/>
      <c r="J20" s="476"/>
      <c r="L20" s="475" t="s">
        <v>23</v>
      </c>
      <c r="M20" s="476"/>
      <c r="O20" s="475" t="s">
        <v>22</v>
      </c>
      <c r="P20" s="476"/>
      <c r="R20" s="478" t="s">
        <v>39</v>
      </c>
      <c r="S20" s="479"/>
      <c r="T20" s="479"/>
      <c r="U20" s="479"/>
      <c r="V20" s="479"/>
      <c r="W20" s="479"/>
      <c r="X20" s="480"/>
      <c r="Z20" s="473" t="s">
        <v>40</v>
      </c>
      <c r="AA20" s="474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45443</v>
      </c>
      <c r="D7" s="110"/>
      <c r="E7" s="111"/>
      <c r="F7" s="484" t="s">
        <v>48</v>
      </c>
      <c r="G7" s="485"/>
      <c r="H7" s="485"/>
      <c r="I7" s="485"/>
      <c r="J7" s="485"/>
      <c r="K7" s="485"/>
      <c r="L7" s="485"/>
      <c r="M7" s="485"/>
      <c r="N7" s="485"/>
      <c r="O7" s="485"/>
      <c r="P7" s="485"/>
      <c r="Q7" s="486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1" t="s">
        <v>68</v>
      </c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3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4" t="s">
        <v>72</v>
      </c>
      <c r="H2" s="485"/>
      <c r="I2" s="485"/>
      <c r="J2" s="145" t="b">
        <v>1</v>
      </c>
    </row>
    <row r="3" spans="1:50" ht="15.75" thickBot="1">
      <c r="J3" s="99"/>
    </row>
    <row r="4" spans="1:50" ht="15.75" thickBot="1">
      <c r="G4" s="484" t="s">
        <v>73</v>
      </c>
      <c r="H4" s="485"/>
      <c r="I4" s="486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90" t="b">
        <v>1</v>
      </c>
      <c r="D6" s="491"/>
      <c r="E6" s="85"/>
      <c r="F6" s="85"/>
      <c r="G6" s="484" t="s">
        <v>74</v>
      </c>
      <c r="H6" s="485"/>
      <c r="I6" s="486"/>
      <c r="J6" s="140" t="s">
        <v>422</v>
      </c>
      <c r="K6" s="85"/>
      <c r="L6" s="93"/>
      <c r="M6" s="472">
        <v>1E-4</v>
      </c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</row>
    <row r="7" spans="1:50" s="79" customFormat="1" ht="13.5" customHeight="1" thickBot="1">
      <c r="B7" s="147" t="s">
        <v>71</v>
      </c>
      <c r="C7" s="492">
        <f ca="1">GetCDSRefDate(Parameter_Date,C6)</f>
        <v>45463</v>
      </c>
      <c r="D7" s="493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84" t="s">
        <v>76</v>
      </c>
      <c r="F9" s="485"/>
      <c r="G9" s="485"/>
      <c r="H9" s="485"/>
      <c r="I9" s="485"/>
      <c r="J9" s="485"/>
      <c r="K9" s="485"/>
      <c r="L9" s="485"/>
      <c r="M9" s="486"/>
      <c r="N9" s="487" t="s">
        <v>77</v>
      </c>
      <c r="O9" s="488"/>
      <c r="P9" s="488"/>
      <c r="Q9" s="488"/>
      <c r="R9" s="488"/>
      <c r="S9" s="488"/>
      <c r="T9" s="488"/>
      <c r="U9" s="488"/>
      <c r="V9" s="489"/>
      <c r="W9" s="487" t="s">
        <v>78</v>
      </c>
      <c r="X9" s="488"/>
      <c r="Y9" s="488"/>
      <c r="Z9" s="488"/>
      <c r="AA9" s="488"/>
      <c r="AB9" s="488"/>
      <c r="AC9" s="488"/>
      <c r="AD9" s="488"/>
      <c r="AE9" s="489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1.2404644230314954E-3</v>
      </c>
      <c r="P12" s="133">
        <f ca="1"/>
        <v>3.5492408030587397E-3</v>
      </c>
      <c r="Q12" s="133">
        <f ca="1"/>
        <v>8.9943804344239098E-3</v>
      </c>
      <c r="R12" s="133">
        <f ca="1"/>
        <v>1.6286468044167113E-2</v>
      </c>
      <c r="S12" s="133">
        <f ca="1"/>
        <v>0</v>
      </c>
      <c r="T12" s="133">
        <f ca="1"/>
        <v>3.4169181526461201E-2</v>
      </c>
      <c r="U12" s="133">
        <f ca="1"/>
        <v>5.2219269211739805E-2</v>
      </c>
      <c r="V12" s="134">
        <f ca="1"/>
        <v>8.0653996248575166E-2</v>
      </c>
      <c r="W12" s="132">
        <f ca="1"/>
        <v>0</v>
      </c>
      <c r="X12" s="133">
        <f ca="1"/>
        <v>1.3336669369672371E-3</v>
      </c>
      <c r="Y12" s="133">
        <f ca="1"/>
        <v>3.7153020907715328E-3</v>
      </c>
      <c r="Z12" s="133">
        <f ca="1"/>
        <v>9.3246605911830871E-3</v>
      </c>
      <c r="AA12" s="133">
        <f ca="1"/>
        <v>1.6778201866425868E-2</v>
      </c>
      <c r="AB12" s="133">
        <f ca="1"/>
        <v>0</v>
      </c>
      <c r="AC12" s="133">
        <f ca="1"/>
        <v>3.497370527708088E-2</v>
      </c>
      <c r="AD12" s="133">
        <f ca="1"/>
        <v>5.3347721915079527E-2</v>
      </c>
      <c r="AE12" s="134">
        <f ca="1"/>
        <v>8.2184963427782365E-2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7.4632789407114153E-4</v>
      </c>
      <c r="P13" s="162">
        <f ca="1"/>
        <v>1.9517662836812111E-3</v>
      </c>
      <c r="Q13" s="162">
        <f ca="1"/>
        <v>5.5517055427475315E-3</v>
      </c>
      <c r="R13" s="162">
        <f ca="1"/>
        <v>1.1951386701627986E-2</v>
      </c>
      <c r="S13" s="162">
        <f ca="1"/>
        <v>0</v>
      </c>
      <c r="T13" s="162">
        <f ca="1"/>
        <v>3.119792553123546E-2</v>
      </c>
      <c r="U13" s="162">
        <f ca="1"/>
        <v>5.190576589777629E-2</v>
      </c>
      <c r="V13" s="138">
        <f ca="1"/>
        <v>9.1346547776644971E-2</v>
      </c>
      <c r="W13" s="137">
        <f ca="1"/>
        <v>0</v>
      </c>
      <c r="X13" s="162">
        <f ca="1"/>
        <v>8.3957855043315099E-4</v>
      </c>
      <c r="Y13" s="162">
        <f ca="1"/>
        <v>2.1180937949525358E-3</v>
      </c>
      <c r="Z13" s="162">
        <f ca="1"/>
        <v>5.8831330665836123E-3</v>
      </c>
      <c r="AA13" s="162">
        <f ca="1"/>
        <v>1.2445287522782289E-2</v>
      </c>
      <c r="AB13" s="162">
        <f ca="1"/>
        <v>0</v>
      </c>
      <c r="AC13" s="162">
        <f ca="1"/>
        <v>3.2004924297095672E-2</v>
      </c>
      <c r="AD13" s="162">
        <f ca="1"/>
        <v>5.3036753296084926E-2</v>
      </c>
      <c r="AE13" s="138">
        <f ca="1"/>
        <v>9.2859708879213909E-2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5.5979797977889767E-4</v>
      </c>
      <c r="P14" s="162">
        <f ca="1"/>
        <v>1.7774209076333314E-3</v>
      </c>
      <c r="Q14" s="162">
        <f ca="1"/>
        <v>6.2660888182579644E-3</v>
      </c>
      <c r="R14" s="162">
        <f ca="1"/>
        <v>1.4059848960564336E-2</v>
      </c>
      <c r="S14" s="162">
        <f ca="1"/>
        <v>0</v>
      </c>
      <c r="T14" s="162">
        <f ca="1"/>
        <v>3.4581897974793163E-2</v>
      </c>
      <c r="U14" s="162">
        <f ca="1"/>
        <v>6.1664033506761862E-2</v>
      </c>
      <c r="V14" s="138">
        <f ca="1"/>
        <v>0.10632047752176677</v>
      </c>
      <c r="W14" s="137">
        <f ca="1"/>
        <v>0</v>
      </c>
      <c r="X14" s="162">
        <f ca="1"/>
        <v>6.5306652814611788E-4</v>
      </c>
      <c r="Y14" s="162">
        <f ca="1"/>
        <v>1.9437774740461711E-3</v>
      </c>
      <c r="Z14" s="162">
        <f ca="1"/>
        <v>6.5972782540084651E-3</v>
      </c>
      <c r="AA14" s="162">
        <f ca="1"/>
        <v>1.4552695814116889E-2</v>
      </c>
      <c r="AB14" s="162">
        <f ca="1"/>
        <v>0</v>
      </c>
      <c r="AC14" s="162">
        <f ca="1"/>
        <v>3.5386077938293958E-2</v>
      </c>
      <c r="AD14" s="162">
        <f ca="1"/>
        <v>6.2783302886396886E-2</v>
      </c>
      <c r="AE14" s="138">
        <f ca="1"/>
        <v>0.10785807735942887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1.1752150642042603E-3</v>
      </c>
      <c r="P15" s="162">
        <f ca="1"/>
        <v>3.1396270539274518E-3</v>
      </c>
      <c r="Q15" s="162">
        <f ca="1"/>
        <v>8.3090500830903524E-3</v>
      </c>
      <c r="R15" s="162">
        <f ca="1"/>
        <v>1.5008728672284644E-2</v>
      </c>
      <c r="S15" s="162">
        <f ca="1"/>
        <v>0</v>
      </c>
      <c r="T15" s="162">
        <f ca="1"/>
        <v>3.254128920182342E-2</v>
      </c>
      <c r="U15" s="162">
        <f ca="1"/>
        <v>5.0754995329670649E-2</v>
      </c>
      <c r="V15" s="138">
        <f ca="1"/>
        <v>7.7432024011451772E-2</v>
      </c>
      <c r="W15" s="137">
        <f ca="1"/>
        <v>0</v>
      </c>
      <c r="X15" s="162">
        <f ca="1"/>
        <v>1.2684239985538692E-3</v>
      </c>
      <c r="Y15" s="162">
        <f ca="1"/>
        <v>3.3057566049039533E-3</v>
      </c>
      <c r="Z15" s="162">
        <f ca="1"/>
        <v>8.6395586452374662E-3</v>
      </c>
      <c r="AA15" s="162">
        <f ca="1"/>
        <v>1.550110120455761E-2</v>
      </c>
      <c r="AB15" s="162">
        <f ca="1"/>
        <v>0</v>
      </c>
      <c r="AC15" s="162">
        <f ca="1"/>
        <v>3.3347168964250384E-2</v>
      </c>
      <c r="AD15" s="162">
        <f ca="1"/>
        <v>5.1885562616194147E-2</v>
      </c>
      <c r="AE15" s="138">
        <f ca="1"/>
        <v>7.8992815233471902E-2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4.6652001085500938E-4</v>
      </c>
      <c r="P16" s="162">
        <f ca="1"/>
        <v>1.0635468210143939E-3</v>
      </c>
      <c r="Q16" s="162">
        <f ca="1"/>
        <v>3.8302734959468898E-3</v>
      </c>
      <c r="R16" s="162">
        <f ca="1"/>
        <v>7.8047680577497669E-3</v>
      </c>
      <c r="S16" s="162">
        <f ca="1"/>
        <v>0</v>
      </c>
      <c r="T16" s="162">
        <f ca="1"/>
        <v>2.1789154742229422E-2</v>
      </c>
      <c r="U16" s="162">
        <f ca="1"/>
        <v>3.9100720339919737E-2</v>
      </c>
      <c r="V16" s="138">
        <f ca="1"/>
        <v>6.8008061596127933E-2</v>
      </c>
      <c r="W16" s="137">
        <f ca="1"/>
        <v>0</v>
      </c>
      <c r="X16" s="162">
        <f ca="1"/>
        <v>5.5979745032941342E-4</v>
      </c>
      <c r="Y16" s="162">
        <f ca="1"/>
        <v>1.2300223565240298E-3</v>
      </c>
      <c r="Z16" s="162">
        <f ca="1"/>
        <v>4.1622747348376565E-3</v>
      </c>
      <c r="AA16" s="162">
        <f ca="1"/>
        <v>8.300741669991063E-3</v>
      </c>
      <c r="AB16" s="162">
        <f ca="1"/>
        <v>0</v>
      </c>
      <c r="AC16" s="162">
        <f ca="1"/>
        <v>2.2603990884374259E-2</v>
      </c>
      <c r="AD16" s="162">
        <f ca="1"/>
        <v>4.0246916464115601E-2</v>
      </c>
      <c r="AE16" s="138">
        <f ca="1"/>
        <v>6.9589334162291294E-2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1.1472497532346582E-3</v>
      </c>
      <c r="P17" s="162">
        <f ca="1"/>
        <v>2.8183993008796815E-3</v>
      </c>
      <c r="Q17" s="162">
        <f ca="1"/>
        <v>7.6542129984036311E-3</v>
      </c>
      <c r="R17" s="162">
        <f ca="1"/>
        <v>1.2978633083717717E-2</v>
      </c>
      <c r="S17" s="162">
        <f ca="1"/>
        <v>0</v>
      </c>
      <c r="T17" s="162">
        <f ca="1"/>
        <v>2.7388741211913592E-2</v>
      </c>
      <c r="U17" s="162">
        <f ca="1"/>
        <v>4.336538256464173E-2</v>
      </c>
      <c r="V17" s="138">
        <f ca="1"/>
        <v>6.9756082537215436E-2</v>
      </c>
      <c r="W17" s="137">
        <f ca="1"/>
        <v>0</v>
      </c>
      <c r="X17" s="162">
        <f ca="1"/>
        <v>1.2404614333820785E-3</v>
      </c>
      <c r="Y17" s="162">
        <f ca="1"/>
        <v>2.9845823853611453E-3</v>
      </c>
      <c r="Z17" s="162">
        <f ca="1"/>
        <v>7.9849398032240115E-3</v>
      </c>
      <c r="AA17" s="162">
        <f ca="1"/>
        <v>1.3472020410059793E-2</v>
      </c>
      <c r="AB17" s="162">
        <f ca="1"/>
        <v>0</v>
      </c>
      <c r="AC17" s="162">
        <f ca="1"/>
        <v>2.8198912975814561E-2</v>
      </c>
      <c r="AD17" s="162">
        <f ca="1"/>
        <v>4.4504415283923016E-2</v>
      </c>
      <c r="AE17" s="138">
        <f ca="1"/>
        <v>7.1330841637459175E-2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4.6652001085500938E-4</v>
      </c>
      <c r="P18" s="162">
        <f ca="1"/>
        <v>2.4956975512130386E-3</v>
      </c>
      <c r="Q18" s="162">
        <f ca="1"/>
        <v>8.3513913508480586E-3</v>
      </c>
      <c r="R18" s="162">
        <f ca="1"/>
        <v>1.8188175943060547E-2</v>
      </c>
      <c r="S18" s="162">
        <f ca="1"/>
        <v>0</v>
      </c>
      <c r="T18" s="162">
        <f ca="1"/>
        <v>4.9213211926687483E-2</v>
      </c>
      <c r="U18" s="162">
        <f ca="1"/>
        <v>8.3836723609741926E-2</v>
      </c>
      <c r="V18" s="138">
        <f ca="1"/>
        <v>0.14348005304786227</v>
      </c>
      <c r="W18" s="137">
        <f ca="1"/>
        <v>0</v>
      </c>
      <c r="X18" s="162">
        <f ca="1"/>
        <v>5.5979745032941342E-4</v>
      </c>
      <c r="Y18" s="162">
        <f ca="1"/>
        <v>2.6619344148329782E-3</v>
      </c>
      <c r="Z18" s="162">
        <f ca="1"/>
        <v>8.6818858016098899E-3</v>
      </c>
      <c r="AA18" s="162">
        <f ca="1"/>
        <v>1.867895914905271E-2</v>
      </c>
      <c r="AB18" s="162">
        <f ca="1"/>
        <v>0</v>
      </c>
      <c r="AC18" s="162">
        <f ca="1"/>
        <v>5.0005204207447029E-2</v>
      </c>
      <c r="AD18" s="162">
        <f ca="1"/>
        <v>8.4928595079542202E-2</v>
      </c>
      <c r="AE18" s="138">
        <f ca="1"/>
        <v>0.14496430238313263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1.2125009320892444E-3</v>
      </c>
      <c r="P19" s="162">
        <f ca="1"/>
        <v>2.4768716058508611E-3</v>
      </c>
      <c r="Q19" s="162">
        <f ca="1"/>
        <v>9.0341067105766948E-3</v>
      </c>
      <c r="R19" s="162">
        <f ca="1"/>
        <v>1.7070714518198749E-2</v>
      </c>
      <c r="S19" s="162">
        <f ca="1"/>
        <v>0</v>
      </c>
      <c r="T19" s="162">
        <f ca="1"/>
        <v>4.4812024711073484E-2</v>
      </c>
      <c r="U19" s="162">
        <f ca="1"/>
        <v>7.9271066607766616E-2</v>
      </c>
      <c r="V19" s="138">
        <f ca="1"/>
        <v>0.13366850460812896</v>
      </c>
      <c r="W19" s="137">
        <f ca="1"/>
        <v>0</v>
      </c>
      <c r="X19" s="162">
        <f ca="1"/>
        <v>1.3057061999854902E-3</v>
      </c>
      <c r="Y19" s="162">
        <f ca="1"/>
        <v>2.6431116068715843E-3</v>
      </c>
      <c r="Z19" s="162">
        <f ca="1"/>
        <v>9.3643736274779954E-3</v>
      </c>
      <c r="AA19" s="162">
        <f ca="1"/>
        <v>1.7562056315262198E-2</v>
      </c>
      <c r="AB19" s="162">
        <f ca="1"/>
        <v>0</v>
      </c>
      <c r="AC19" s="162">
        <f ca="1"/>
        <v>4.5607683120124753E-2</v>
      </c>
      <c r="AD19" s="162">
        <f ca="1"/>
        <v>8.0367971881455058E-2</v>
      </c>
      <c r="AE19" s="138">
        <f ca="1"/>
        <v>0.13516620186467421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2.7993804340376016E-4</v>
      </c>
      <c r="P20" s="162">
        <f ca="1"/>
        <v>1.0681231308105055E-3</v>
      </c>
      <c r="Q20" s="162">
        <f ca="1"/>
        <v>3.8349267961654832E-3</v>
      </c>
      <c r="R20" s="162">
        <f ca="1"/>
        <v>8.3435263608520049E-3</v>
      </c>
      <c r="S20" s="162">
        <f ca="1"/>
        <v>0</v>
      </c>
      <c r="T20" s="162">
        <f ca="1"/>
        <v>1.995910777083687E-2</v>
      </c>
      <c r="U20" s="162">
        <f ca="1"/>
        <v>3.4032259578811175E-2</v>
      </c>
      <c r="V20" s="138">
        <f ca="1"/>
        <v>6.5014825034539148E-2</v>
      </c>
      <c r="W20" s="137">
        <f ca="1"/>
        <v>0</v>
      </c>
      <c r="X20" s="162">
        <f ca="1"/>
        <v>3.7323315725501516E-4</v>
      </c>
      <c r="Y20" s="162">
        <f ca="1"/>
        <v>1.2345979036668675E-3</v>
      </c>
      <c r="Z20" s="162">
        <f ca="1"/>
        <v>4.166926484216793E-3</v>
      </c>
      <c r="AA20" s="162">
        <f ca="1"/>
        <v>8.8392306612581351E-3</v>
      </c>
      <c r="AB20" s="162">
        <f ca="1"/>
        <v>0</v>
      </c>
      <c r="AC20" s="162">
        <f ca="1"/>
        <v>2.0775468316918233E-2</v>
      </c>
      <c r="AD20" s="162">
        <f ca="1"/>
        <v>3.5183461763068968E-2</v>
      </c>
      <c r="AE20" s="138">
        <f ca="1"/>
        <v>6.6600145603269767E-2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1.109961458545361E-3</v>
      </c>
      <c r="P21" s="162">
        <f ca="1"/>
        <v>2.533129463669237E-3</v>
      </c>
      <c r="Q21" s="162">
        <f ca="1"/>
        <v>6.611444873326433E-3</v>
      </c>
      <c r="R21" s="162">
        <f ca="1"/>
        <v>1.1975435706291337E-2</v>
      </c>
      <c r="S21" s="162">
        <f ca="1"/>
        <v>0</v>
      </c>
      <c r="T21" s="162">
        <f ca="1"/>
        <v>2.6636635273903253E-2</v>
      </c>
      <c r="U21" s="162">
        <f ca="1"/>
        <v>4.204321340087469E-2</v>
      </c>
      <c r="V21" s="138">
        <f ca="1"/>
        <v>6.636139782535555E-2</v>
      </c>
      <c r="W21" s="137">
        <f ca="1"/>
        <v>0</v>
      </c>
      <c r="X21" s="162">
        <f ca="1"/>
        <v>1.2031767942539684E-3</v>
      </c>
      <c r="Y21" s="162">
        <f ca="1"/>
        <v>2.6993600891593861E-3</v>
      </c>
      <c r="Z21" s="162">
        <f ca="1"/>
        <v>6.942519209583109E-3</v>
      </c>
      <c r="AA21" s="162">
        <f ca="1"/>
        <v>1.2469324505948842E-2</v>
      </c>
      <c r="AB21" s="162">
        <f ca="1"/>
        <v>0</v>
      </c>
      <c r="AC21" s="162">
        <f ca="1"/>
        <v>2.7447433531656462E-2</v>
      </c>
      <c r="AD21" s="162">
        <f ca="1"/>
        <v>4.3184158320693222E-2</v>
      </c>
      <c r="AE21" s="138">
        <f ca="1"/>
        <v>6.7942579748755616E-2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1.1658933805538396E-3</v>
      </c>
      <c r="P22" s="162">
        <f ca="1"/>
        <v>2.8894719849914541E-3</v>
      </c>
      <c r="Q22" s="162">
        <f ca="1"/>
        <v>7.8267553703593729E-3</v>
      </c>
      <c r="R22" s="162">
        <f ca="1"/>
        <v>1.3605713352428994E-2</v>
      </c>
      <c r="S22" s="162">
        <f ca="1"/>
        <v>0</v>
      </c>
      <c r="T22" s="162">
        <f ca="1"/>
        <v>2.911563920676552E-2</v>
      </c>
      <c r="U22" s="162">
        <f ca="1"/>
        <v>4.5970575934635383E-2</v>
      </c>
      <c r="V22" s="138">
        <f ca="1"/>
        <v>7.2950895933597826E-2</v>
      </c>
      <c r="W22" s="137">
        <f ca="1"/>
        <v>0</v>
      </c>
      <c r="X22" s="162">
        <f ca="1"/>
        <v>1.2591032305880878E-3</v>
      </c>
      <c r="Y22" s="162">
        <f ca="1"/>
        <v>3.0556432250137266E-3</v>
      </c>
      <c r="Z22" s="162">
        <f ca="1"/>
        <v>8.1574246706108688E-3</v>
      </c>
      <c r="AA22" s="162">
        <f ca="1"/>
        <v>1.409878721700919E-2</v>
      </c>
      <c r="AB22" s="162">
        <f ca="1"/>
        <v>0</v>
      </c>
      <c r="AC22" s="162">
        <f ca="1"/>
        <v>2.9924372488456474E-2</v>
      </c>
      <c r="AD22" s="162">
        <f ca="1"/>
        <v>4.7106682670049138E-2</v>
      </c>
      <c r="AE22" s="138">
        <f ca="1"/>
        <v>7.4519924892104794E-2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9.7944150520279383E-4</v>
      </c>
      <c r="P23" s="162">
        <f ca="1"/>
        <v>3.6453770185551626E-3</v>
      </c>
      <c r="Q23" s="162">
        <f ca="1"/>
        <v>1.0786745411933807E-2</v>
      </c>
      <c r="R23" s="162">
        <f ca="1"/>
        <v>1.9015674537650518E-2</v>
      </c>
      <c r="S23" s="162">
        <f ca="1"/>
        <v>0</v>
      </c>
      <c r="T23" s="162">
        <f ca="1"/>
        <v>3.8310326523273486E-2</v>
      </c>
      <c r="U23" s="162">
        <f ca="1"/>
        <v>5.9807245154472888E-2</v>
      </c>
      <c r="V23" s="138">
        <f ca="1"/>
        <v>9.2933098559799032E-2</v>
      </c>
      <c r="W23" s="137">
        <f ca="1"/>
        <v>0</v>
      </c>
      <c r="X23" s="162">
        <f ca="1"/>
        <v>1.0726695867429026E-3</v>
      </c>
      <c r="Y23" s="162">
        <f ca="1"/>
        <v>3.8114222848870671E-3</v>
      </c>
      <c r="Z23" s="162">
        <f ca="1"/>
        <v>1.1116428213286844E-2</v>
      </c>
      <c r="AA23" s="162">
        <f ca="1"/>
        <v>1.9506044097781117E-2</v>
      </c>
      <c r="AB23" s="162">
        <f ca="1"/>
        <v>0</v>
      </c>
      <c r="AC23" s="162">
        <f ca="1"/>
        <v>3.9111400757205761E-2</v>
      </c>
      <c r="AD23" s="162">
        <f ca="1"/>
        <v>6.0926471273156202E-2</v>
      </c>
      <c r="AE23" s="138">
        <f ca="1"/>
        <v>9.4443617613331088E-2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1.4361870228962736E-3</v>
      </c>
      <c r="P24" s="162">
        <f ca="1"/>
        <v>4.1877219794430598E-3</v>
      </c>
      <c r="Q24" s="162">
        <f ca="1"/>
        <v>1.0648942316236365E-2</v>
      </c>
      <c r="R24" s="162">
        <f ca="1"/>
        <v>1.7342872576616042E-2</v>
      </c>
      <c r="S24" s="162">
        <f ca="1"/>
        <v>0</v>
      </c>
      <c r="T24" s="162">
        <f ca="1"/>
        <v>3.3966594263505345E-2</v>
      </c>
      <c r="U24" s="162">
        <f ca="1"/>
        <v>5.2017150837271431E-2</v>
      </c>
      <c r="V24" s="138">
        <f ca="1"/>
        <v>8.4264117049575149E-2</v>
      </c>
      <c r="W24" s="137">
        <f ca="1"/>
        <v>0</v>
      </c>
      <c r="X24" s="162">
        <f ca="1"/>
        <v>1.529370159454646E-3</v>
      </c>
      <c r="Y24" s="162">
        <f ca="1"/>
        <v>4.3536768624794497E-3</v>
      </c>
      <c r="Z24" s="162">
        <f ca="1"/>
        <v>1.0978671044270194E-2</v>
      </c>
      <c r="AA24" s="162">
        <f ca="1"/>
        <v>1.7834078328655023E-2</v>
      </c>
      <c r="AB24" s="162">
        <f ca="1"/>
        <v>0</v>
      </c>
      <c r="AC24" s="162">
        <f ca="1"/>
        <v>3.4771286766511644E-2</v>
      </c>
      <c r="AD24" s="162">
        <f ca="1"/>
        <v>5.3145035280401376E-2</v>
      </c>
      <c r="AE24" s="138">
        <f ca="1"/>
        <v>8.5789072372043362E-2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4.6652001085500938E-4</v>
      </c>
      <c r="P25" s="162">
        <f ca="1"/>
        <v>1.0635468210143939E-3</v>
      </c>
      <c r="Q25" s="162">
        <f ca="1"/>
        <v>2.7736048931757962E-3</v>
      </c>
      <c r="R25" s="162">
        <f ca="1"/>
        <v>6.250506038340542E-3</v>
      </c>
      <c r="S25" s="162">
        <f ca="1"/>
        <v>0</v>
      </c>
      <c r="T25" s="162">
        <f ca="1"/>
        <v>1.6560267160315889E-2</v>
      </c>
      <c r="U25" s="162">
        <f ca="1"/>
        <v>2.9366091037227982E-2</v>
      </c>
      <c r="V25" s="138">
        <f ca="1"/>
        <v>5.4666972997479135E-2</v>
      </c>
      <c r="W25" s="137">
        <f ca="1"/>
        <v>0</v>
      </c>
      <c r="X25" s="162">
        <f ca="1"/>
        <v>5.5979745032941342E-4</v>
      </c>
      <c r="Y25" s="162">
        <f ca="1"/>
        <v>1.2300223565240298E-3</v>
      </c>
      <c r="Z25" s="162">
        <f ca="1"/>
        <v>3.1059582962340571E-3</v>
      </c>
      <c r="AA25" s="162">
        <f ca="1"/>
        <v>6.7472565873220036E-3</v>
      </c>
      <c r="AB25" s="162">
        <f ca="1"/>
        <v>0</v>
      </c>
      <c r="AC25" s="162">
        <f ca="1"/>
        <v>1.7379458893695743E-2</v>
      </c>
      <c r="AD25" s="162">
        <f ca="1"/>
        <v>3.0522846178023477E-2</v>
      </c>
      <c r="AE25" s="138">
        <f ca="1"/>
        <v>5.6271565271206359E-2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2.7993804340376016E-4</v>
      </c>
      <c r="P26" s="162">
        <f ca="1"/>
        <v>1.6053413000907124E-3</v>
      </c>
      <c r="Q26" s="162">
        <f ca="1"/>
        <v>5.2242773407921161E-3</v>
      </c>
      <c r="R26" s="162">
        <f ca="1"/>
        <v>1.0393417772162961E-2</v>
      </c>
      <c r="S26" s="162">
        <f ca="1"/>
        <v>0</v>
      </c>
      <c r="T26" s="162">
        <f ca="1"/>
        <v>2.8679429298125281E-2</v>
      </c>
      <c r="U26" s="162">
        <f ca="1"/>
        <v>4.9765972766678712E-2</v>
      </c>
      <c r="V26" s="138">
        <f ca="1"/>
        <v>9.0241578103534503E-2</v>
      </c>
      <c r="W26" s="137">
        <f ca="1"/>
        <v>0</v>
      </c>
      <c r="X26" s="162">
        <f ca="1"/>
        <v>3.7323315725501516E-4</v>
      </c>
      <c r="Y26" s="162">
        <f ca="1"/>
        <v>1.7717265440486685E-3</v>
      </c>
      <c r="Z26" s="162">
        <f ca="1"/>
        <v>5.5558139891751512E-3</v>
      </c>
      <c r="AA26" s="162">
        <f ca="1"/>
        <v>1.0888097383067064E-2</v>
      </c>
      <c r="AB26" s="162">
        <f ca="1"/>
        <v>0</v>
      </c>
      <c r="AC26" s="162">
        <f ca="1"/>
        <v>2.9488525936644638E-2</v>
      </c>
      <c r="AD26" s="162">
        <f ca="1"/>
        <v>5.0899816604711656E-2</v>
      </c>
      <c r="AE26" s="138">
        <f ca="1"/>
        <v>9.1803749329597339E-2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5.5979797977889767E-4</v>
      </c>
      <c r="P27" s="162">
        <f ca="1"/>
        <v>1.0612589302813058E-3</v>
      </c>
      <c r="Q27" s="162">
        <f ca="1"/>
        <v>3.8279470610222965E-3</v>
      </c>
      <c r="R27" s="162">
        <f ca="1"/>
        <v>7.8024131689279352E-3</v>
      </c>
      <c r="S27" s="162">
        <f ca="1"/>
        <v>0</v>
      </c>
      <c r="T27" s="162">
        <f ca="1"/>
        <v>2.1786732716370105E-2</v>
      </c>
      <c r="U27" s="162">
        <f ca="1"/>
        <v>4.0401591100265422E-2</v>
      </c>
      <c r="V27" s="138">
        <f ca="1"/>
        <v>7.5531774257909912E-2</v>
      </c>
      <c r="W27" s="137">
        <f ca="1"/>
        <v>0</v>
      </c>
      <c r="X27" s="162">
        <f ca="1"/>
        <v>6.5306652814611788E-4</v>
      </c>
      <c r="Y27" s="162">
        <f ca="1"/>
        <v>1.2277348470804972E-3</v>
      </c>
      <c r="Z27" s="162">
        <f ca="1"/>
        <v>4.1599490752480817E-3</v>
      </c>
      <c r="AA27" s="162">
        <f ca="1"/>
        <v>8.2983879583282683E-3</v>
      </c>
      <c r="AB27" s="162">
        <f ca="1"/>
        <v>0</v>
      </c>
      <c r="AC27" s="162">
        <f ca="1"/>
        <v>2.2601570876071508E-2</v>
      </c>
      <c r="AD27" s="162">
        <f ca="1"/>
        <v>4.1546427913376704E-2</v>
      </c>
      <c r="AE27" s="138">
        <f ca="1"/>
        <v>7.7098946796748113E-2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1.054026416152487E-3</v>
      </c>
      <c r="P28" s="162">
        <f ca="1"/>
        <v>3.2500336308147748E-3</v>
      </c>
      <c r="Q28" s="162">
        <f ca="1"/>
        <v>9.1155892303352859E-3</v>
      </c>
      <c r="R28" s="162">
        <f ca="1"/>
        <v>1.4915561012202816E-2</v>
      </c>
      <c r="S28" s="162">
        <f ca="1"/>
        <v>0</v>
      </c>
      <c r="T28" s="162">
        <f ca="1"/>
        <v>2.8045895966627099E-2</v>
      </c>
      <c r="U28" s="162">
        <f ca="1"/>
        <v>4.3295354563214983E-2</v>
      </c>
      <c r="V28" s="138">
        <f ca="1"/>
        <v>6.9392058253568201E-2</v>
      </c>
      <c r="W28" s="137">
        <f ca="1"/>
        <v>0</v>
      </c>
      <c r="X28" s="162">
        <f ca="1"/>
        <v>1.147247223583836E-3</v>
      </c>
      <c r="Y28" s="162">
        <f ca="1"/>
        <v>3.4161447822301794E-3</v>
      </c>
      <c r="Z28" s="162">
        <f ca="1"/>
        <v>9.4458289909005178E-3</v>
      </c>
      <c r="AA28" s="162">
        <f ca="1"/>
        <v>1.5407980116672437E-2</v>
      </c>
      <c r="AB28" s="162">
        <f ca="1"/>
        <v>0</v>
      </c>
      <c r="AC28" s="162">
        <f ca="1"/>
        <v>2.8855520329683859E-2</v>
      </c>
      <c r="AD28" s="162">
        <f ca="1"/>
        <v>4.4433511051481855E-2</v>
      </c>
      <c r="AE28" s="138">
        <f ca="1"/>
        <v>7.0966233524035527E-2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6.5306727376623908E-4</v>
      </c>
      <c r="P29" s="162">
        <f ca="1"/>
        <v>1.4170656137364457E-3</v>
      </c>
      <c r="Q29" s="162">
        <f ca="1"/>
        <v>4.8692365022316997E-3</v>
      </c>
      <c r="R29" s="162">
        <f ca="1"/>
        <v>9.8733396618050362E-3</v>
      </c>
      <c r="S29" s="162">
        <f ca="1"/>
        <v>0</v>
      </c>
      <c r="T29" s="162">
        <f ca="1"/>
        <v>2.6943107623615292E-2</v>
      </c>
      <c r="U29" s="162">
        <f ca="1"/>
        <v>4.7415569197953644E-2</v>
      </c>
      <c r="V29" s="138">
        <f ca="1"/>
        <v>9.2764792894547421E-2</v>
      </c>
      <c r="W29" s="137">
        <f ca="1"/>
        <v>0</v>
      </c>
      <c r="X29" s="162">
        <f ca="1"/>
        <v>7.463268945758772E-4</v>
      </c>
      <c r="Y29" s="162">
        <f ca="1"/>
        <v>1.583482234355893E-3</v>
      </c>
      <c r="Z29" s="162">
        <f ca="1"/>
        <v>5.2008914778259863E-3</v>
      </c>
      <c r="AA29" s="162">
        <f ca="1"/>
        <v>1.0368279246779522E-2</v>
      </c>
      <c r="AB29" s="162">
        <f ca="1"/>
        <v>0</v>
      </c>
      <c r="AC29" s="162">
        <f ca="1"/>
        <v>2.7753650594102397E-2</v>
      </c>
      <c r="AD29" s="162">
        <f ca="1"/>
        <v>4.8552120559844036E-2</v>
      </c>
      <c r="AE29" s="138">
        <f ca="1"/>
        <v>9.432615054743454E-2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4.6652001085500938E-4</v>
      </c>
      <c r="P30" s="162">
        <f ca="1"/>
        <v>1.4216742191351939E-3</v>
      </c>
      <c r="Q30" s="162">
        <f ca="1"/>
        <v>4.1699907668668601E-3</v>
      </c>
      <c r="R30" s="162">
        <f ca="1"/>
        <v>8.3099102601973396E-3</v>
      </c>
      <c r="S30" s="162">
        <f ca="1"/>
        <v>0</v>
      </c>
      <c r="T30" s="162">
        <f ca="1"/>
        <v>2.2618151391997188E-2</v>
      </c>
      <c r="U30" s="162">
        <f ca="1"/>
        <v>3.893861715974456E-2</v>
      </c>
      <c r="V30" s="138">
        <f ca="1"/>
        <v>6.2055696603926513E-2</v>
      </c>
      <c r="W30" s="137">
        <f ca="1"/>
        <v>0</v>
      </c>
      <c r="X30" s="162">
        <f ca="1"/>
        <v>5.5979745032941342E-4</v>
      </c>
      <c r="Y30" s="162">
        <f ca="1"/>
        <v>1.5880900717202273E-3</v>
      </c>
      <c r="Z30" s="162">
        <f ca="1"/>
        <v>4.5018787855360953E-3</v>
      </c>
      <c r="AA30" s="162">
        <f ca="1"/>
        <v>8.8056313644623296E-3</v>
      </c>
      <c r="AB30" s="162">
        <f ca="1"/>
        <v>0</v>
      </c>
      <c r="AC30" s="162">
        <f ca="1"/>
        <v>2.343229699138405E-2</v>
      </c>
      <c r="AD30" s="162">
        <f ca="1"/>
        <v>4.0084675249639545E-2</v>
      </c>
      <c r="AE30" s="138">
        <f ca="1"/>
        <v>6.3646842219769462E-2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5.971067382959383E-4</v>
      </c>
      <c r="P31" s="162">
        <f ca="1"/>
        <v>2.0986815040833218E-3</v>
      </c>
      <c r="Q31" s="162">
        <f ca="1"/>
        <v>5.7614748282209804E-3</v>
      </c>
      <c r="R31" s="162">
        <f ca="1"/>
        <v>1.0927407633000485E-2</v>
      </c>
      <c r="S31" s="162">
        <f ca="1"/>
        <v>0</v>
      </c>
      <c r="T31" s="162">
        <f ca="1"/>
        <v>2.589722924300375E-2</v>
      </c>
      <c r="U31" s="162">
        <f ca="1"/>
        <v>4.3461738297445485E-2</v>
      </c>
      <c r="V31" s="138">
        <f ca="1"/>
        <v>6.452299786516158E-2</v>
      </c>
      <c r="W31" s="137">
        <f ca="1"/>
        <v>0</v>
      </c>
      <c r="X31" s="162">
        <f ca="1"/>
        <v>6.9037172003794112E-4</v>
      </c>
      <c r="Y31" s="162">
        <f ca="1"/>
        <v>2.2649845315297901E-3</v>
      </c>
      <c r="Z31" s="162">
        <f ca="1"/>
        <v>6.0928324405922218E-3</v>
      </c>
      <c r="AA31" s="162">
        <f ca="1"/>
        <v>1.1421820315698716E-2</v>
      </c>
      <c r="AB31" s="162">
        <f ca="1"/>
        <v>0</v>
      </c>
      <c r="AC31" s="162">
        <f ca="1"/>
        <v>2.6708643415780942E-2</v>
      </c>
      <c r="AD31" s="162">
        <f ca="1"/>
        <v>4.4601884508055467E-2</v>
      </c>
      <c r="AE31" s="138">
        <f ca="1"/>
        <v>6.6108508364763563E-2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1.0260577247127589E-3</v>
      </c>
      <c r="P32" s="162">
        <f ca="1"/>
        <v>2.8393662939917297E-3</v>
      </c>
      <c r="Q32" s="162">
        <f ca="1"/>
        <v>7.2703374828199108E-3</v>
      </c>
      <c r="R32" s="162">
        <f ca="1"/>
        <v>1.5553769471425394E-2</v>
      </c>
      <c r="S32" s="162">
        <f ca="1"/>
        <v>0</v>
      </c>
      <c r="T32" s="162">
        <f ca="1"/>
        <v>3.346355899727671E-2</v>
      </c>
      <c r="U32" s="162">
        <f ca="1"/>
        <v>5.5081875753149268E-2</v>
      </c>
      <c r="V32" s="138">
        <f ca="1"/>
        <v>9.7659481793323399E-2</v>
      </c>
      <c r="W32" s="137">
        <f ca="1"/>
        <v>0</v>
      </c>
      <c r="X32" s="162">
        <f ca="1"/>
        <v>1.1192812628235682E-3</v>
      </c>
      <c r="Y32" s="162">
        <f ca="1"/>
        <v>3.0055458842506155E-3</v>
      </c>
      <c r="Z32" s="162">
        <f ca="1"/>
        <v>7.601192224808373E-3</v>
      </c>
      <c r="AA32" s="162">
        <f ca="1"/>
        <v>1.6045869551417291E-2</v>
      </c>
      <c r="AB32" s="162">
        <f ca="1"/>
        <v>0</v>
      </c>
      <c r="AC32" s="162">
        <f ca="1"/>
        <v>3.4268670521746758E-2</v>
      </c>
      <c r="AD32" s="162">
        <f ca="1"/>
        <v>5.6207906184874368E-2</v>
      </c>
      <c r="AE32" s="138">
        <f ca="1"/>
        <v>9.9207901708098123E-2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7.2767646385074602E-4</v>
      </c>
      <c r="P33" s="162">
        <f ca="1"/>
        <v>2.4354256920244843E-3</v>
      </c>
      <c r="Q33" s="162">
        <f ca="1"/>
        <v>7.9953191081829633E-3</v>
      </c>
      <c r="R33" s="162">
        <f ca="1"/>
        <v>1.3946527367142747E-2</v>
      </c>
      <c r="S33" s="162">
        <f ca="1"/>
        <v>0</v>
      </c>
      <c r="T33" s="162">
        <f ca="1"/>
        <v>2.8220696145683677E-2</v>
      </c>
      <c r="U33" s="162">
        <f ca="1"/>
        <v>4.4118351736654793E-2</v>
      </c>
      <c r="V33" s="138">
        <f ca="1"/>
        <v>6.7555811024697321E-2</v>
      </c>
      <c r="W33" s="137">
        <f ca="1"/>
        <v>0</v>
      </c>
      <c r="X33" s="162">
        <f ca="1"/>
        <v>8.2092891606033724E-4</v>
      </c>
      <c r="Y33" s="162">
        <f ca="1"/>
        <v>2.6016726001064638E-3</v>
      </c>
      <c r="Z33" s="162">
        <f ca="1"/>
        <v>8.325932229883759E-3</v>
      </c>
      <c r="AA33" s="162">
        <f ca="1"/>
        <v>1.4439430867324687E-2</v>
      </c>
      <c r="AB33" s="162">
        <f ca="1"/>
        <v>0</v>
      </c>
      <c r="AC33" s="162">
        <f ca="1"/>
        <v>2.9030174902589856E-2</v>
      </c>
      <c r="AD33" s="162">
        <f ca="1"/>
        <v>4.5256367865853631E-2</v>
      </c>
      <c r="AE33" s="138">
        <f ca="1"/>
        <v>6.9134079490682621E-2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4.6652001085500938E-4</v>
      </c>
      <c r="P34" s="162">
        <f ca="1"/>
        <v>1.6007154846169325E-3</v>
      </c>
      <c r="Q34" s="162">
        <f ca="1"/>
        <v>5.5713652052340468E-3</v>
      </c>
      <c r="R34" s="162">
        <f ca="1"/>
        <v>1.2504426017236336E-2</v>
      </c>
      <c r="S34" s="162">
        <f ca="1"/>
        <v>0</v>
      </c>
      <c r="T34" s="162">
        <f ca="1"/>
        <v>3.1178504970977738E-2</v>
      </c>
      <c r="U34" s="162">
        <f ca="1"/>
        <v>5.5766612386254022E-2</v>
      </c>
      <c r="V34" s="138">
        <f ca="1"/>
        <v>0.10024708202576726</v>
      </c>
      <c r="W34" s="137">
        <f ca="1"/>
        <v>0</v>
      </c>
      <c r="X34" s="162">
        <f ca="1"/>
        <v>5.5979745032941342E-4</v>
      </c>
      <c r="Y34" s="162">
        <f ca="1"/>
        <v>1.7671014994785628E-3</v>
      </c>
      <c r="Z34" s="162">
        <f ca="1"/>
        <v>5.9027861769187506E-3</v>
      </c>
      <c r="AA34" s="162">
        <f ca="1"/>
        <v>1.2998050387868609E-2</v>
      </c>
      <c r="AB34" s="162">
        <f ca="1"/>
        <v>0</v>
      </c>
      <c r="AC34" s="162">
        <f ca="1"/>
        <v>3.1985519913885763E-2</v>
      </c>
      <c r="AD34" s="162">
        <f ca="1"/>
        <v>5.689312801758073E-2</v>
      </c>
      <c r="AE34" s="138">
        <f ca="1"/>
        <v>0.10179505213450957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1.0726717770109806E-3</v>
      </c>
      <c r="P35" s="162">
        <f ca="1"/>
        <v>3.2137874361872765E-3</v>
      </c>
      <c r="Q35" s="162">
        <f ca="1"/>
        <v>9.7128758958028305E-3</v>
      </c>
      <c r="R35" s="162">
        <f ca="1"/>
        <v>1.8074852598057189E-2</v>
      </c>
      <c r="S35" s="162">
        <f ca="1"/>
        <v>0</v>
      </c>
      <c r="T35" s="162">
        <f ca="1"/>
        <v>3.9345356889860739E-2</v>
      </c>
      <c r="U35" s="162">
        <f ca="1"/>
        <v>6.1784948089455116E-2</v>
      </c>
      <c r="V35" s="138">
        <f ca="1"/>
        <v>9.5542880042367884E-2</v>
      </c>
      <c r="W35" s="137">
        <f ca="1"/>
        <v>0</v>
      </c>
      <c r="X35" s="162">
        <f ca="1"/>
        <v>1.16589076209761E-3</v>
      </c>
      <c r="Y35" s="162">
        <f ca="1"/>
        <v>3.3799046281329792E-3</v>
      </c>
      <c r="Z35" s="162">
        <f ca="1"/>
        <v>1.0042916593989037E-2</v>
      </c>
      <c r="AA35" s="162">
        <f ca="1"/>
        <v>1.8565692451561366E-2</v>
      </c>
      <c r="AB35" s="162">
        <f ca="1"/>
        <v>0</v>
      </c>
      <c r="AC35" s="162">
        <f ca="1"/>
        <v>4.0145568957772215E-2</v>
      </c>
      <c r="AD35" s="162">
        <f ca="1"/>
        <v>6.290256581774345E-2</v>
      </c>
      <c r="AE35" s="138">
        <f ca="1"/>
        <v>9.704905308282985E-2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4.6652001085500938E-4</v>
      </c>
      <c r="P36" s="162">
        <f ca="1"/>
        <v>1.2426179985509656E-3</v>
      </c>
      <c r="Q36" s="162">
        <f ca="1"/>
        <v>3.8241014956054142E-3</v>
      </c>
      <c r="R36" s="162">
        <f ca="1"/>
        <v>8.3325309842998685E-3</v>
      </c>
      <c r="S36" s="162">
        <f ca="1"/>
        <v>0</v>
      </c>
      <c r="T36" s="162">
        <f ca="1"/>
        <v>1.9947907472852466E-2</v>
      </c>
      <c r="U36" s="162">
        <f ca="1"/>
        <v>3.5326456027772513E-2</v>
      </c>
      <c r="V36" s="138">
        <f ca="1"/>
        <v>6.4824292714131149E-2</v>
      </c>
      <c r="W36" s="137">
        <f ca="1"/>
        <v>0</v>
      </c>
      <c r="X36" s="162">
        <f ca="1"/>
        <v>5.5979745032941342E-4</v>
      </c>
      <c r="Y36" s="162">
        <f ca="1"/>
        <v>1.4090636913586252E-3</v>
      </c>
      <c r="Z36" s="162">
        <f ca="1"/>
        <v>4.1561047914970839E-3</v>
      </c>
      <c r="AA36" s="162">
        <f ca="1"/>
        <v>8.8282407810487129E-3</v>
      </c>
      <c r="AB36" s="162">
        <f ca="1"/>
        <v>0</v>
      </c>
      <c r="AC36" s="162">
        <f ca="1"/>
        <v>2.0764277348583104E-2</v>
      </c>
      <c r="AD36" s="162">
        <f ca="1"/>
        <v>3.6476349691823562E-2</v>
      </c>
      <c r="AE36" s="138">
        <f ca="1"/>
        <v>6.6410477567714121E-2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8.3957984183546941E-4</v>
      </c>
      <c r="P37" s="162">
        <f ca="1"/>
        <v>3.9172137161208598E-3</v>
      </c>
      <c r="Q37" s="162">
        <f ca="1"/>
        <v>1.1446531355451595E-2</v>
      </c>
      <c r="R37" s="162">
        <f ca="1"/>
        <v>2.3269940597257399E-2</v>
      </c>
      <c r="S37" s="162">
        <f ca="1"/>
        <v>0</v>
      </c>
      <c r="T37" s="162">
        <f ca="1"/>
        <v>5.824780910255567E-2</v>
      </c>
      <c r="U37" s="162">
        <f ca="1"/>
        <v>9.9771107690079575E-2</v>
      </c>
      <c r="V37" s="138">
        <f ca="1"/>
        <v>0.16824651738001273</v>
      </c>
      <c r="W37" s="137">
        <f ca="1"/>
        <v>0</v>
      </c>
      <c r="X37" s="162">
        <f ca="1"/>
        <v>9.3282149653195479E-4</v>
      </c>
      <c r="Y37" s="162">
        <f ca="1"/>
        <v>4.0832136801214336E-3</v>
      </c>
      <c r="Z37" s="162">
        <f ca="1"/>
        <v>1.1775994264790368E-2</v>
      </c>
      <c r="AA37" s="162">
        <f ca="1"/>
        <v>2.3758183556032653E-2</v>
      </c>
      <c r="AB37" s="162">
        <f ca="1"/>
        <v>0</v>
      </c>
      <c r="AC37" s="162">
        <f ca="1"/>
        <v>5.9032275688459146E-2</v>
      </c>
      <c r="AD37" s="162">
        <f ca="1"/>
        <v>0.10082076231349824</v>
      </c>
      <c r="AE37" s="138">
        <f ca="1"/>
        <v>0.1696974699356103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4.6652001085500938E-4</v>
      </c>
      <c r="P38" s="162">
        <f ca="1"/>
        <v>1.0635468210143939E-3</v>
      </c>
      <c r="Q38" s="162">
        <f ca="1"/>
        <v>4.1823789928566724E-3</v>
      </c>
      <c r="R38" s="162">
        <f ca="1"/>
        <v>8.3224449859359284E-3</v>
      </c>
      <c r="S38" s="162">
        <f ca="1"/>
        <v>0</v>
      </c>
      <c r="T38" s="162">
        <f ca="1"/>
        <v>1.9937635298777345E-2</v>
      </c>
      <c r="U38" s="162">
        <f ca="1"/>
        <v>3.2704690486911492E-2</v>
      </c>
      <c r="V38" s="138">
        <f ca="1"/>
        <v>5.742888225912901E-2</v>
      </c>
      <c r="W38" s="137">
        <f ca="1"/>
        <v>0</v>
      </c>
      <c r="X38" s="162">
        <f ca="1"/>
        <v>5.5979745032941342E-4</v>
      </c>
      <c r="Y38" s="162">
        <f ca="1"/>
        <v>1.2300223565240298E-3</v>
      </c>
      <c r="Z38" s="162">
        <f ca="1"/>
        <v>4.5142628827877784E-3</v>
      </c>
      <c r="AA38" s="162">
        <f ca="1"/>
        <v>8.8181598243971537E-3</v>
      </c>
      <c r="AB38" s="162">
        <f ca="1"/>
        <v>0</v>
      </c>
      <c r="AC38" s="162">
        <f ca="1"/>
        <v>2.0754013731081544E-2</v>
      </c>
      <c r="AD38" s="162">
        <f ca="1"/>
        <v>3.3857066219908249E-2</v>
      </c>
      <c r="AE38" s="138">
        <f ca="1"/>
        <v>5.9027413522082184E-2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9.328231183131086E-4</v>
      </c>
      <c r="P39" s="162">
        <f ca="1"/>
        <v>2.3050046825782156E-3</v>
      </c>
      <c r="Q39" s="162">
        <f ca="1"/>
        <v>7.9944981743146348E-3</v>
      </c>
      <c r="R39" s="162">
        <f ca="1"/>
        <v>1.7668293860531037E-2</v>
      </c>
      <c r="S39" s="162">
        <f ca="1"/>
        <v>0</v>
      </c>
      <c r="T39" s="162">
        <f ca="1"/>
        <v>4.3952427920290749E-2</v>
      </c>
      <c r="U39" s="162">
        <f ca="1"/>
        <v>7.8122626941841244E-2</v>
      </c>
      <c r="V39" s="138">
        <f ca="1"/>
        <v>0.12840553748100747</v>
      </c>
      <c r="W39" s="137">
        <f ca="1"/>
        <v>0</v>
      </c>
      <c r="X39" s="162">
        <f ca="1"/>
        <v>1.0260557337316012E-3</v>
      </c>
      <c r="Y39" s="162">
        <f ca="1"/>
        <v>2.4712733256974095E-3</v>
      </c>
      <c r="Z39" s="162">
        <f ca="1"/>
        <v>8.3251115696179046E-3</v>
      </c>
      <c r="AA39" s="162">
        <f ca="1"/>
        <v>1.815933694259142E-2</v>
      </c>
      <c r="AB39" s="162">
        <f ca="1"/>
        <v>0</v>
      </c>
      <c r="AC39" s="162">
        <f ca="1"/>
        <v>4.4748802361617046E-2</v>
      </c>
      <c r="AD39" s="162">
        <f ca="1"/>
        <v>7.9220984433347019E-2</v>
      </c>
      <c r="AE39" s="138">
        <f ca="1"/>
        <v>0.12990947180108492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1.7809386505240887E-3</v>
      </c>
      <c r="P40" s="162">
        <f ca="1"/>
        <v>3.8570446271122272E-3</v>
      </c>
      <c r="Q40" s="162">
        <f ca="1"/>
        <v>1.0055699898903314E-2</v>
      </c>
      <c r="R40" s="162">
        <f ca="1"/>
        <v>1.7905893031932019E-2</v>
      </c>
      <c r="S40" s="162">
        <f ca="1"/>
        <v>0</v>
      </c>
      <c r="T40" s="162">
        <f ca="1"/>
        <v>3.6625237672315403E-2</v>
      </c>
      <c r="U40" s="162">
        <f ca="1"/>
        <v>5.6232069971369758E-2</v>
      </c>
      <c r="V40" s="138">
        <f ca="1"/>
        <v>8.5230517562297048E-2</v>
      </c>
      <c r="W40" s="137">
        <f ca="1"/>
        <v>0</v>
      </c>
      <c r="X40" s="162">
        <f ca="1"/>
        <v>1.8740872135774023E-3</v>
      </c>
      <c r="Y40" s="162">
        <f ca="1"/>
        <v>4.0230546184572002E-3</v>
      </c>
      <c r="Z40" s="162">
        <f ca="1"/>
        <v>1.038562634148632E-2</v>
      </c>
      <c r="AA40" s="162">
        <f ca="1"/>
        <v>1.8396817344117022E-2</v>
      </c>
      <c r="AB40" s="162">
        <f ca="1"/>
        <v>0</v>
      </c>
      <c r="AC40" s="162">
        <f ca="1"/>
        <v>3.7427715562047381E-2</v>
      </c>
      <c r="AD40" s="162">
        <f ca="1"/>
        <v>5.7355484185697692E-2</v>
      </c>
      <c r="AE40" s="138">
        <f ca="1"/>
        <v>8.6753863558768129E-2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3.7323336580730171E-4</v>
      </c>
      <c r="P41" s="162">
        <f ca="1"/>
        <v>1.2449143166880505E-3</v>
      </c>
      <c r="Q41" s="162">
        <f ca="1"/>
        <v>4.1785190427511276E-3</v>
      </c>
      <c r="R41" s="162">
        <f ca="1"/>
        <v>9.9198829154941714E-3</v>
      </c>
      <c r="S41" s="162">
        <f ca="1"/>
        <v>0</v>
      </c>
      <c r="T41" s="162">
        <f ca="1"/>
        <v>2.4303488846812882E-2</v>
      </c>
      <c r="U41" s="162">
        <f ca="1"/>
        <v>4.3849359098574792E-2</v>
      </c>
      <c r="V41" s="138">
        <f ca="1"/>
        <v>7.6446663770962986E-2</v>
      </c>
      <c r="W41" s="137">
        <f ca="1"/>
        <v>0</v>
      </c>
      <c r="X41" s="162">
        <f ca="1"/>
        <v>4.6651966031130421E-4</v>
      </c>
      <c r="Y41" s="162">
        <f ca="1"/>
        <v>1.4113596268024997E-3</v>
      </c>
      <c r="Z41" s="162">
        <f ca="1"/>
        <v>4.5104042191320692E-3</v>
      </c>
      <c r="AA41" s="162">
        <f ca="1"/>
        <v>1.0414799234663263E-2</v>
      </c>
      <c r="AB41" s="162">
        <f ca="1"/>
        <v>0</v>
      </c>
      <c r="AC41" s="162">
        <f ca="1"/>
        <v>2.5116230583341226E-2</v>
      </c>
      <c r="AD41" s="162">
        <f ca="1"/>
        <v>4.4989886542344038E-2</v>
      </c>
      <c r="AE41" s="138">
        <f ca="1"/>
        <v>7.8012243762841549E-2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8.3957984183546941E-4</v>
      </c>
      <c r="P42" s="162">
        <f ca="1"/>
        <v>3.2018678922401955E-3</v>
      </c>
      <c r="Q42" s="162">
        <f ca="1"/>
        <v>1.217413066974804E-2</v>
      </c>
      <c r="R42" s="162">
        <f ca="1"/>
        <v>2.1141868043826118E-2</v>
      </c>
      <c r="S42" s="162">
        <f ca="1"/>
        <v>0</v>
      </c>
      <c r="T42" s="162">
        <f ca="1"/>
        <v>5.0481461981329301E-2</v>
      </c>
      <c r="U42" s="162">
        <f ca="1"/>
        <v>8.5669749657210859E-2</v>
      </c>
      <c r="V42" s="138">
        <f ca="1"/>
        <v>0.14237210695484115</v>
      </c>
      <c r="W42" s="137">
        <f ca="1"/>
        <v>0</v>
      </c>
      <c r="X42" s="162">
        <f ca="1"/>
        <v>9.3282149653195479E-4</v>
      </c>
      <c r="Y42" s="162">
        <f ca="1"/>
        <v>3.3679870706049275E-3</v>
      </c>
      <c r="Z42" s="162">
        <f ca="1"/>
        <v>1.2503351086424086E-2</v>
      </c>
      <c r="AA42" s="162">
        <f ca="1"/>
        <v>2.1631174772946737E-2</v>
      </c>
      <c r="AB42" s="162">
        <f ca="1"/>
        <v>0</v>
      </c>
      <c r="AC42" s="162">
        <f ca="1"/>
        <v>5.1272397827266003E-2</v>
      </c>
      <c r="AD42" s="162">
        <f ca="1"/>
        <v>8.6757631472381025E-2</v>
      </c>
      <c r="AE42" s="138">
        <f ca="1"/>
        <v>0.1438545055272189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3.0792755131625604E-4</v>
      </c>
      <c r="P43" s="162">
        <f ca="1"/>
        <v>1.6225520888427658E-3</v>
      </c>
      <c r="Q43" s="162">
        <f ca="1"/>
        <v>5.7154692927491313E-3</v>
      </c>
      <c r="R43" s="162">
        <f ca="1"/>
        <v>1.1328575919321016E-2</v>
      </c>
      <c r="S43" s="162">
        <f ca="1"/>
        <v>0</v>
      </c>
      <c r="T43" s="162">
        <f ca="1"/>
        <v>2.5898243656618303E-2</v>
      </c>
      <c r="U43" s="162">
        <f ca="1"/>
        <v>4.1513720305860202E-2</v>
      </c>
      <c r="V43" s="138">
        <f ca="1"/>
        <v>6.4792312802773866E-2</v>
      </c>
      <c r="W43" s="137">
        <f ca="1"/>
        <v>0</v>
      </c>
      <c r="X43" s="162">
        <f ca="1"/>
        <v>4.012200230789631E-4</v>
      </c>
      <c r="Y43" s="162">
        <f ca="1"/>
        <v>1.788934464585612E-3</v>
      </c>
      <c r="Z43" s="162">
        <f ca="1"/>
        <v>6.0468422377761843E-3</v>
      </c>
      <c r="AA43" s="162">
        <f ca="1"/>
        <v>1.1822788068030832E-2</v>
      </c>
      <c r="AB43" s="162">
        <f ca="1"/>
        <v>0</v>
      </c>
      <c r="AC43" s="162">
        <f ca="1"/>
        <v>2.6709656984380103E-2</v>
      </c>
      <c r="AD43" s="162">
        <f ca="1"/>
        <v>4.2655858842957306E-2</v>
      </c>
      <c r="AE43" s="138">
        <f ca="1"/>
        <v>6.6376972836265313E-2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7.7430438895342846E-4</v>
      </c>
      <c r="P44" s="162">
        <f ca="1"/>
        <v>3.1319882554059486E-3</v>
      </c>
      <c r="Q44" s="162">
        <f ca="1"/>
        <v>9.8292719006800588E-3</v>
      </c>
      <c r="R44" s="162">
        <f ca="1"/>
        <v>1.8134069768149019E-2</v>
      </c>
      <c r="S44" s="162">
        <f ca="1"/>
        <v>0</v>
      </c>
      <c r="T44" s="162">
        <f ca="1"/>
        <v>4.1122468279614077E-2</v>
      </c>
      <c r="U44" s="162">
        <f ca="1"/>
        <v>6.2875837660233747E-2</v>
      </c>
      <c r="V44" s="138">
        <f ca="1"/>
        <v>9.5165854993856214E-2</v>
      </c>
      <c r="W44" s="137">
        <f ca="1"/>
        <v>0</v>
      </c>
      <c r="X44" s="162">
        <f ca="1"/>
        <v>8.6755234874902332E-4</v>
      </c>
      <c r="Y44" s="162">
        <f ca="1"/>
        <v>3.2981190794185711E-3</v>
      </c>
      <c r="Z44" s="162">
        <f ca="1"/>
        <v>1.015927380667514E-2</v>
      </c>
      <c r="AA44" s="162">
        <f ca="1"/>
        <v>1.862488002048357E-2</v>
      </c>
      <c r="AB44" s="162">
        <f ca="1"/>
        <v>0</v>
      </c>
      <c r="AC44" s="162">
        <f ca="1"/>
        <v>4.1921200038294804E-2</v>
      </c>
      <c r="AD44" s="162">
        <f ca="1"/>
        <v>6.3992382820722837E-2</v>
      </c>
      <c r="AE44" s="138">
        <f ca="1"/>
        <v>9.6672655885969627E-2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1.1192836622428981E-3</v>
      </c>
      <c r="P45" s="162">
        <f ca="1"/>
        <v>2.4792242155272648E-3</v>
      </c>
      <c r="Q45" s="162">
        <f ca="1"/>
        <v>6.2265071462284105E-3</v>
      </c>
      <c r="R45" s="162">
        <f ca="1"/>
        <v>1.1889002169007234E-2</v>
      </c>
      <c r="S45" s="162">
        <f ca="1"/>
        <v>0</v>
      </c>
      <c r="T45" s="162">
        <f ca="1"/>
        <v>2.3085062289243785E-2</v>
      </c>
      <c r="U45" s="162">
        <f ca="1"/>
        <v>3.9714248531536156E-2</v>
      </c>
      <c r="V45" s="138">
        <f ca="1"/>
        <v>7.0987523368041372E-2</v>
      </c>
      <c r="W45" s="137">
        <f ca="1"/>
        <v>0</v>
      </c>
      <c r="X45" s="162">
        <f ca="1"/>
        <v>1.2124980846444089E-3</v>
      </c>
      <c r="Y45" s="162">
        <f ca="1"/>
        <v>2.6454638244801654E-3</v>
      </c>
      <c r="Z45" s="162">
        <f ca="1"/>
        <v>6.5577097736575496E-3</v>
      </c>
      <c r="AA45" s="162">
        <f ca="1"/>
        <v>1.2382934174642757E-2</v>
      </c>
      <c r="AB45" s="162">
        <f ca="1"/>
        <v>0</v>
      </c>
      <c r="AC45" s="162">
        <f ca="1"/>
        <v>2.389881895831758E-2</v>
      </c>
      <c r="AD45" s="162">
        <f ca="1"/>
        <v>4.0857801141551353E-2</v>
      </c>
      <c r="AE45" s="138">
        <f ca="1"/>
        <v>7.256083554324233E-2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3.7323336580730171E-4</v>
      </c>
      <c r="P46" s="162">
        <f ca="1"/>
        <v>1.6030283033110493E-3</v>
      </c>
      <c r="Q46" s="162">
        <f ca="1"/>
        <v>4.8700483693252528E-3</v>
      </c>
      <c r="R46" s="162">
        <f ca="1"/>
        <v>9.3406349248803533E-3</v>
      </c>
      <c r="S46" s="162">
        <f ca="1"/>
        <v>0</v>
      </c>
      <c r="T46" s="162">
        <f ca="1"/>
        <v>2.3399376530760074E-2</v>
      </c>
      <c r="U46" s="162">
        <f ca="1"/>
        <v>4.1333156551661809E-2</v>
      </c>
      <c r="V46" s="138">
        <f ca="1"/>
        <v>7.112702207359245E-2</v>
      </c>
      <c r="W46" s="137">
        <f ca="1"/>
        <v>0</v>
      </c>
      <c r="X46" s="162">
        <f ca="1"/>
        <v>4.6651966031130421E-4</v>
      </c>
      <c r="Y46" s="162">
        <f ca="1"/>
        <v>1.7694139327362191E-3</v>
      </c>
      <c r="Z46" s="162">
        <f ca="1"/>
        <v>5.2017030743303216E-3</v>
      </c>
      <c r="AA46" s="162">
        <f ca="1"/>
        <v>9.8358407956369298E-3</v>
      </c>
      <c r="AB46" s="162">
        <f ca="1"/>
        <v>0</v>
      </c>
      <c r="AC46" s="162">
        <f ca="1"/>
        <v>2.4212871380384526E-2</v>
      </c>
      <c r="AD46" s="162">
        <f ca="1"/>
        <v>4.2476288902082215E-2</v>
      </c>
      <c r="AE46" s="138">
        <f ca="1"/>
        <v>7.2702000887241658E-2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1.7250410357425583E-3</v>
      </c>
      <c r="P47" s="162">
        <f ca="1"/>
        <v>3.6618805320735026E-3</v>
      </c>
      <c r="Q47" s="162">
        <f ca="1"/>
        <v>9.7137312203845472E-3</v>
      </c>
      <c r="R47" s="162">
        <f ca="1"/>
        <v>1.6763951443178993E-2</v>
      </c>
      <c r="S47" s="162">
        <f ca="1"/>
        <v>0</v>
      </c>
      <c r="T47" s="162">
        <f ca="1"/>
        <v>3.4963674458223681E-2</v>
      </c>
      <c r="U47" s="162">
        <f ca="1"/>
        <v>5.4608101992162705E-2</v>
      </c>
      <c r="V47" s="138">
        <f ca="1"/>
        <v>8.3908657187663938E-2</v>
      </c>
      <c r="W47" s="137">
        <f ca="1"/>
        <v>0</v>
      </c>
      <c r="X47" s="162">
        <f ca="1"/>
        <v>1.8181952434054294E-3</v>
      </c>
      <c r="Y47" s="162">
        <f ca="1"/>
        <v>3.8279230480653403E-3</v>
      </c>
      <c r="Z47" s="162">
        <f ca="1"/>
        <v>1.0043771633524545E-2</v>
      </c>
      <c r="AA47" s="162">
        <f ca="1"/>
        <v>1.7255446583451017E-2</v>
      </c>
      <c r="AB47" s="162">
        <f ca="1"/>
        <v>0</v>
      </c>
      <c r="AC47" s="162">
        <f ca="1"/>
        <v>3.5767536407137812E-2</v>
      </c>
      <c r="AD47" s="162">
        <f ca="1"/>
        <v>5.5733650790742439E-2</v>
      </c>
      <c r="AE47" s="138">
        <f ca="1"/>
        <v>8.5434204449855944E-2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4.6652001085500938E-4</v>
      </c>
      <c r="P48" s="162">
        <f ca="1"/>
        <v>1.2426179985509656E-3</v>
      </c>
      <c r="Q48" s="162">
        <f ca="1"/>
        <v>3.8241014956054142E-3</v>
      </c>
      <c r="R48" s="162">
        <f ca="1"/>
        <v>7.7985213059125202E-3</v>
      </c>
      <c r="S48" s="162">
        <f ca="1"/>
        <v>0</v>
      </c>
      <c r="T48" s="162">
        <f ca="1"/>
        <v>2.0884748584143686E-2</v>
      </c>
      <c r="U48" s="162">
        <f ca="1"/>
        <v>3.7882905168590608E-2</v>
      </c>
      <c r="V48" s="138">
        <f ca="1"/>
        <v>7.0203751045544882E-2</v>
      </c>
      <c r="W48" s="137">
        <f ca="1"/>
        <v>0</v>
      </c>
      <c r="X48" s="162">
        <f ca="1"/>
        <v>5.5979745032941342E-4</v>
      </c>
      <c r="Y48" s="162">
        <f ca="1"/>
        <v>1.4090636913586252E-3</v>
      </c>
      <c r="Z48" s="162">
        <f ca="1"/>
        <v>4.1561047914970839E-3</v>
      </c>
      <c r="AA48" s="162">
        <f ca="1"/>
        <v>8.2944980407541058E-3</v>
      </c>
      <c r="AB48" s="162">
        <f ca="1"/>
        <v>0</v>
      </c>
      <c r="AC48" s="162">
        <f ca="1"/>
        <v>2.1700338084158721E-2</v>
      </c>
      <c r="AD48" s="162">
        <f ca="1"/>
        <v>3.9030343232389186E-2</v>
      </c>
      <c r="AE48" s="138">
        <f ca="1"/>
        <v>7.1780591846471675E-2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1.0260577247127589E-3</v>
      </c>
      <c r="P49" s="162">
        <f ca="1"/>
        <v>2.8393662939917297E-3</v>
      </c>
      <c r="Q49" s="162">
        <f ca="1"/>
        <v>6.9190307171773657E-3</v>
      </c>
      <c r="R49" s="162">
        <f ca="1"/>
        <v>1.4506845067833063E-2</v>
      </c>
      <c r="S49" s="162">
        <f ca="1"/>
        <v>0</v>
      </c>
      <c r="T49" s="162">
        <f ca="1"/>
        <v>3.3562099796707878E-2</v>
      </c>
      <c r="U49" s="162">
        <f ca="1"/>
        <v>5.5180969408421432E-2</v>
      </c>
      <c r="V49" s="138">
        <f ca="1"/>
        <v>9.5863150567197075E-2</v>
      </c>
      <c r="W49" s="137">
        <f ca="1"/>
        <v>0</v>
      </c>
      <c r="X49" s="162">
        <f ca="1"/>
        <v>1.1192812628235682E-3</v>
      </c>
      <c r="Y49" s="162">
        <f ca="1"/>
        <v>3.0055458842506155E-3</v>
      </c>
      <c r="Z49" s="162">
        <f ca="1"/>
        <v>7.2500025419133252E-3</v>
      </c>
      <c r="AA49" s="162">
        <f ca="1"/>
        <v>1.4999468479194644E-2</v>
      </c>
      <c r="AB49" s="162">
        <f ca="1"/>
        <v>0</v>
      </c>
      <c r="AC49" s="162">
        <f ca="1"/>
        <v>3.4367129238045746E-2</v>
      </c>
      <c r="AD49" s="162">
        <f ca="1"/>
        <v>5.6307263481932712E-2</v>
      </c>
      <c r="AE49" s="138">
        <f ca="1"/>
        <v>9.7413719712986735E-2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6.5306727376623908E-4</v>
      </c>
      <c r="P50" s="162">
        <f ca="1"/>
        <v>1.596090381297377E-3</v>
      </c>
      <c r="Q50" s="162">
        <f ca="1"/>
        <v>4.5110940434365254E-3</v>
      </c>
      <c r="R50" s="162">
        <f ca="1"/>
        <v>9.3499679941700942E-3</v>
      </c>
      <c r="S50" s="162">
        <f ca="1"/>
        <v>0</v>
      </c>
      <c r="T50" s="162">
        <f ca="1"/>
        <v>2.5201686088562436E-2</v>
      </c>
      <c r="U50" s="162">
        <f ca="1"/>
        <v>4.3757428312701241E-2</v>
      </c>
      <c r="V50" s="138">
        <f ca="1"/>
        <v>7.6354474825227392E-2</v>
      </c>
      <c r="W50" s="137">
        <f ca="1"/>
        <v>0</v>
      </c>
      <c r="X50" s="162">
        <f ca="1"/>
        <v>7.463268945758772E-4</v>
      </c>
      <c r="Y50" s="162">
        <f ca="1"/>
        <v>1.7624771669564332E-3</v>
      </c>
      <c r="Z50" s="162">
        <f ca="1"/>
        <v>4.8428683799747185E-3</v>
      </c>
      <c r="AA50" s="162">
        <f ca="1"/>
        <v>9.8451691995457002E-3</v>
      </c>
      <c r="AB50" s="162">
        <f ca="1"/>
        <v>0</v>
      </c>
      <c r="AC50" s="162">
        <f ca="1"/>
        <v>2.6013679639222409E-2</v>
      </c>
      <c r="AD50" s="162">
        <f ca="1"/>
        <v>4.4898056743772119E-2</v>
      </c>
      <c r="AE50" s="138">
        <f ca="1"/>
        <v>7.7919837691734717E-2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1.1192836622428981E-3</v>
      </c>
      <c r="P51" s="162">
        <f ca="1"/>
        <v>4.2674909816855511E-3</v>
      </c>
      <c r="Q51" s="162">
        <f ca="1"/>
        <v>1.3176959376448139E-2</v>
      </c>
      <c r="R51" s="162">
        <f ca="1"/>
        <v>2.7919453773337821E-2</v>
      </c>
      <c r="S51" s="162">
        <f ca="1"/>
        <v>0</v>
      </c>
      <c r="T51" s="162">
        <f ca="1"/>
        <v>6.8252128044352212E-2</v>
      </c>
      <c r="U51" s="162">
        <f ca="1"/>
        <v>0.11302940476372803</v>
      </c>
      <c r="V51" s="138">
        <f ca="1"/>
        <v>0.18393670716278621</v>
      </c>
      <c r="W51" s="137">
        <f ca="1"/>
        <v>0</v>
      </c>
      <c r="X51" s="162">
        <f ca="1"/>
        <v>1.2124980846444089E-3</v>
      </c>
      <c r="Y51" s="162">
        <f ca="1"/>
        <v>4.4334325709959321E-3</v>
      </c>
      <c r="Z51" s="162">
        <f ca="1"/>
        <v>1.3505845572569619E-2</v>
      </c>
      <c r="AA51" s="162">
        <f ca="1"/>
        <v>2.8405372556641328E-2</v>
      </c>
      <c r="AB51" s="162">
        <f ca="1"/>
        <v>0</v>
      </c>
      <c r="AC51" s="162">
        <f ca="1"/>
        <v>6.9028261170571481E-2</v>
      </c>
      <c r="AD51" s="162">
        <f ca="1"/>
        <v>0.11410225702390231</v>
      </c>
      <c r="AE51" s="138">
        <f ca="1"/>
        <v>0.18535495807305336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5.5979797977889767E-4</v>
      </c>
      <c r="P52" s="162">
        <f ca="1"/>
        <v>1.240321857156057E-3</v>
      </c>
      <c r="Q52" s="162">
        <f ca="1"/>
        <v>4.1738504706149149E-3</v>
      </c>
      <c r="R52" s="162">
        <f ca="1"/>
        <v>9.381433823375529E-3</v>
      </c>
      <c r="S52" s="162">
        <f ca="1"/>
        <v>0</v>
      </c>
      <c r="T52" s="162">
        <f ca="1"/>
        <v>2.4337814252611722E-2</v>
      </c>
      <c r="U52" s="162">
        <f ca="1"/>
        <v>4.2583463894345752E-2</v>
      </c>
      <c r="V52" s="138">
        <f ca="1"/>
        <v>7.6663935700717389E-2</v>
      </c>
      <c r="W52" s="137">
        <f ca="1"/>
        <v>0</v>
      </c>
      <c r="X52" s="162">
        <f ca="1"/>
        <v>6.5306652814611788E-4</v>
      </c>
      <c r="Y52" s="162">
        <f ca="1"/>
        <v>1.4067679326249527E-3</v>
      </c>
      <c r="Z52" s="162">
        <f ca="1"/>
        <v>4.5057372029347897E-3</v>
      </c>
      <c r="AA52" s="162">
        <f ca="1"/>
        <v>9.8766192997818969E-3</v>
      </c>
      <c r="AB52" s="162">
        <f ca="1"/>
        <v>0</v>
      </c>
      <c r="AC52" s="162">
        <f ca="1"/>
        <v>2.5150527396572975E-2</v>
      </c>
      <c r="AD52" s="162">
        <f ca="1"/>
        <v>4.3725459758955809E-2</v>
      </c>
      <c r="AE52" s="138">
        <f ca="1"/>
        <v>7.8228504836175161E-2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6.5306727376623908E-4</v>
      </c>
      <c r="P53" s="162">
        <f ca="1"/>
        <v>1.4170656137364457E-3</v>
      </c>
      <c r="Q53" s="162">
        <f ca="1"/>
        <v>3.8132785625085708E-3</v>
      </c>
      <c r="R53" s="162">
        <f ca="1"/>
        <v>8.8554200866670651E-3</v>
      </c>
      <c r="S53" s="162">
        <f ca="1"/>
        <v>0</v>
      </c>
      <c r="T53" s="162">
        <f ca="1"/>
        <v>2.438502955613242E-2</v>
      </c>
      <c r="U53" s="162">
        <f ca="1"/>
        <v>4.3932039246835197E-2</v>
      </c>
      <c r="V53" s="138">
        <f ca="1"/>
        <v>7.8450507874887276E-2</v>
      </c>
      <c r="W53" s="137">
        <f ca="1"/>
        <v>0</v>
      </c>
      <c r="X53" s="162">
        <f ca="1"/>
        <v>7.463268945758772E-4</v>
      </c>
      <c r="Y53" s="162">
        <f ca="1"/>
        <v>1.583482234355893E-3</v>
      </c>
      <c r="Z53" s="162">
        <f ca="1"/>
        <v>4.1452854654460136E-3</v>
      </c>
      <c r="AA53" s="162">
        <f ca="1"/>
        <v>9.3508685041940875E-3</v>
      </c>
      <c r="AB53" s="162">
        <f ca="1"/>
        <v>0</v>
      </c>
      <c r="AC53" s="162">
        <f ca="1"/>
        <v>2.5197703370353652E-2</v>
      </c>
      <c r="AD53" s="162">
        <f ca="1"/>
        <v>4.5072790944754693E-2</v>
      </c>
      <c r="AE53" s="138">
        <f ca="1"/>
        <v>8.0012385216282289E-2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3.7323336580730171E-4</v>
      </c>
      <c r="P54" s="162">
        <f ca="1"/>
        <v>1.0658348878456181E-3</v>
      </c>
      <c r="Q54" s="162">
        <f ca="1"/>
        <v>3.4804277687371377E-3</v>
      </c>
      <c r="R54" s="162">
        <f ca="1"/>
        <v>7.2892332834249007E-3</v>
      </c>
      <c r="S54" s="162">
        <f ca="1"/>
        <v>0</v>
      </c>
      <c r="T54" s="162">
        <f ca="1"/>
        <v>1.825266032353956E-2</v>
      </c>
      <c r="U54" s="162">
        <f ca="1"/>
        <v>2.9077495822030341E-2</v>
      </c>
      <c r="V54" s="138">
        <f ca="1"/>
        <v>5.0489486209520207E-2</v>
      </c>
      <c r="W54" s="137">
        <f ca="1"/>
        <v>0</v>
      </c>
      <c r="X54" s="162">
        <f ca="1"/>
        <v>4.6651966031130421E-4</v>
      </c>
      <c r="Y54" s="162">
        <f ca="1"/>
        <v>1.2323100420539301E-3</v>
      </c>
      <c r="Z54" s="162">
        <f ca="1"/>
        <v>3.8125456034336924E-3</v>
      </c>
      <c r="AA54" s="162">
        <f ca="1"/>
        <v>7.7854645986316084E-3</v>
      </c>
      <c r="AB54" s="162">
        <f ca="1"/>
        <v>0</v>
      </c>
      <c r="AC54" s="162">
        <f ca="1"/>
        <v>1.9070442316812986E-2</v>
      </c>
      <c r="AD54" s="162">
        <f ca="1"/>
        <v>3.0233872201251621E-2</v>
      </c>
      <c r="AE54" s="138">
        <f ca="1"/>
        <v>5.2099921153383577E-2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5.5979797977889767E-4</v>
      </c>
      <c r="P55" s="162">
        <f ca="1"/>
        <v>1.9564240206518813E-3</v>
      </c>
      <c r="Q55" s="162">
        <f ca="1"/>
        <v>6.2597627003249112E-3</v>
      </c>
      <c r="R55" s="162">
        <f ca="1"/>
        <v>1.2988210977134984E-2</v>
      </c>
      <c r="S55" s="162">
        <f ca="1"/>
        <v>0</v>
      </c>
      <c r="T55" s="162">
        <f ca="1"/>
        <v>2.9301706706347019E-2</v>
      </c>
      <c r="U55" s="162">
        <f ca="1"/>
        <v>5.0691454929664537E-2</v>
      </c>
      <c r="V55" s="138">
        <f ca="1"/>
        <v>8.5889566722693989E-2</v>
      </c>
      <c r="W55" s="137">
        <f ca="1"/>
        <v>0</v>
      </c>
      <c r="X55" s="162">
        <f ca="1"/>
        <v>6.5306652814611788E-4</v>
      </c>
      <c r="Y55" s="162">
        <f ca="1"/>
        <v>2.1227507557100012E-3</v>
      </c>
      <c r="Z55" s="162">
        <f ca="1"/>
        <v>6.5909542444207991E-3</v>
      </c>
      <c r="AA55" s="162">
        <f ca="1"/>
        <v>1.3481593515739632E-2</v>
      </c>
      <c r="AB55" s="162">
        <f ca="1"/>
        <v>0</v>
      </c>
      <c r="AC55" s="162">
        <f ca="1"/>
        <v>3.0110284996318182E-2</v>
      </c>
      <c r="AD55" s="162">
        <f ca="1"/>
        <v>5.1823264242107925E-2</v>
      </c>
      <c r="AE55" s="138">
        <f ca="1"/>
        <v>8.7436419647616725E-2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5.5979797977889767E-4</v>
      </c>
      <c r="P56" s="162">
        <f ca="1"/>
        <v>2.4933436744768445E-3</v>
      </c>
      <c r="Q56" s="162">
        <f ca="1"/>
        <v>7.2951377425138908E-3</v>
      </c>
      <c r="R56" s="162">
        <f ca="1"/>
        <v>1.3982920266357945E-2</v>
      </c>
      <c r="S56" s="162">
        <f ca="1"/>
        <v>0</v>
      </c>
      <c r="T56" s="162">
        <f ca="1"/>
        <v>3.0935619320453411E-2</v>
      </c>
      <c r="U56" s="162">
        <f ca="1"/>
        <v>5.2934441194484982E-2</v>
      </c>
      <c r="V56" s="138">
        <f ca="1"/>
        <v>8.8988935516189471E-2</v>
      </c>
      <c r="W56" s="137">
        <f ca="1"/>
        <v>0</v>
      </c>
      <c r="X56" s="162">
        <f ca="1"/>
        <v>6.5306652814611788E-4</v>
      </c>
      <c r="Y56" s="162">
        <f ca="1"/>
        <v>2.6595809303772144E-3</v>
      </c>
      <c r="Z56" s="162">
        <f ca="1"/>
        <v>7.6259842191336302E-3</v>
      </c>
      <c r="AA56" s="162">
        <f ca="1"/>
        <v>1.4475805574634681E-2</v>
      </c>
      <c r="AB56" s="162">
        <f ca="1"/>
        <v>0</v>
      </c>
      <c r="AC56" s="162">
        <f ca="1"/>
        <v>3.1742836583757539E-2</v>
      </c>
      <c r="AD56" s="162">
        <f ca="1"/>
        <v>5.4063257942308263E-2</v>
      </c>
      <c r="AE56" s="138">
        <f ca="1"/>
        <v>9.0506022699831545E-2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4.6652001085500938E-4</v>
      </c>
      <c r="P57" s="162">
        <f ca="1"/>
        <v>1.4216742191351939E-3</v>
      </c>
      <c r="Q57" s="162">
        <f ca="1"/>
        <v>4.8739365877011886E-3</v>
      </c>
      <c r="R57" s="162">
        <f ca="1"/>
        <v>1.1478209301798881E-2</v>
      </c>
      <c r="S57" s="162">
        <f ca="1"/>
        <v>0</v>
      </c>
      <c r="T57" s="162">
        <f ca="1"/>
        <v>3.0406686633931534E-2</v>
      </c>
      <c r="U57" s="162">
        <f ca="1"/>
        <v>5.2104710943892796E-2</v>
      </c>
      <c r="V57" s="138">
        <f ca="1"/>
        <v>9.1546893487424619E-2</v>
      </c>
      <c r="W57" s="137">
        <f ca="1"/>
        <v>0</v>
      </c>
      <c r="X57" s="162">
        <f ca="1"/>
        <v>5.5979745032941342E-4</v>
      </c>
      <c r="Y57" s="162">
        <f ca="1"/>
        <v>1.5880900717202273E-3</v>
      </c>
      <c r="Z57" s="162">
        <f ca="1"/>
        <v>5.2055899968724839E-3</v>
      </c>
      <c r="AA57" s="162">
        <f ca="1"/>
        <v>1.1972346652521559E-2</v>
      </c>
      <c r="AB57" s="162">
        <f ca="1"/>
        <v>0</v>
      </c>
      <c r="AC57" s="162">
        <f ca="1"/>
        <v>3.1214344490900992E-2</v>
      </c>
      <c r="AD57" s="162">
        <f ca="1"/>
        <v>5.3235832918121062E-2</v>
      </c>
      <c r="AE57" s="138">
        <f ca="1"/>
        <v>9.3059720958525438E-2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1.1192836622428981E-3</v>
      </c>
      <c r="P58" s="162">
        <f ca="1"/>
        <v>3.0158610201663771E-3</v>
      </c>
      <c r="Q58" s="162">
        <f ca="1"/>
        <v>9.7188442781124262E-3</v>
      </c>
      <c r="R58" s="162">
        <f ca="1"/>
        <v>1.8080924661435516E-2</v>
      </c>
      <c r="S58" s="162">
        <f ca="1"/>
        <v>0</v>
      </c>
      <c r="T58" s="162">
        <f ca="1"/>
        <v>3.8463626170675114E-2</v>
      </c>
      <c r="U58" s="162">
        <f ca="1"/>
        <v>6.1888936552868201E-2</v>
      </c>
      <c r="V58" s="138">
        <f ca="1"/>
        <v>0.10506716779693492</v>
      </c>
      <c r="W58" s="137">
        <f ca="1"/>
        <v>0</v>
      </c>
      <c r="X58" s="162">
        <f ca="1"/>
        <v>1.2124980846444089E-3</v>
      </c>
      <c r="Y58" s="162">
        <f ca="1"/>
        <v>3.1820111971042619E-3</v>
      </c>
      <c r="Z58" s="162">
        <f ca="1"/>
        <v>1.0048882987178764E-2</v>
      </c>
      <c r="AA58" s="162">
        <f ca="1"/>
        <v>1.8571761479666993E-2</v>
      </c>
      <c r="AB58" s="162">
        <f ca="1"/>
        <v>0</v>
      </c>
      <c r="AC58" s="162">
        <f ca="1"/>
        <v>3.9264572708091805E-2</v>
      </c>
      <c r="AD58" s="162">
        <f ca="1"/>
        <v>6.3006365061891279E-2</v>
      </c>
      <c r="AE58" s="138">
        <f ca="1"/>
        <v>0.1066021939067181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7.4632789407114153E-4</v>
      </c>
      <c r="P59" s="162">
        <f ca="1"/>
        <v>2.3096946814670227E-3</v>
      </c>
      <c r="Q59" s="162">
        <f ca="1"/>
        <v>7.9993398512979708E-3</v>
      </c>
      <c r="R59" s="162">
        <f ca="1"/>
        <v>1.5014657244020069E-2</v>
      </c>
      <c r="S59" s="162">
        <f ca="1"/>
        <v>0</v>
      </c>
      <c r="T59" s="162">
        <f ca="1"/>
        <v>3.2605585584945862E-2</v>
      </c>
      <c r="U59" s="162">
        <f ca="1"/>
        <v>5.3920193621872947E-2</v>
      </c>
      <c r="V59" s="138">
        <f ca="1"/>
        <v>9.418068139999014E-2</v>
      </c>
      <c r="W59" s="137">
        <f ca="1"/>
        <v>0</v>
      </c>
      <c r="X59" s="162">
        <f ca="1"/>
        <v>8.3957855043315099E-4</v>
      </c>
      <c r="Y59" s="162">
        <f ca="1"/>
        <v>2.4759625429866539E-3</v>
      </c>
      <c r="Z59" s="162">
        <f ca="1"/>
        <v>8.329951632980559E-3</v>
      </c>
      <c r="AA59" s="162">
        <f ca="1"/>
        <v>1.5507026812756175E-2</v>
      </c>
      <c r="AB59" s="162">
        <f ca="1"/>
        <v>0</v>
      </c>
      <c r="AC59" s="162">
        <f ca="1"/>
        <v>3.3411411789427192E-2</v>
      </c>
      <c r="AD59" s="162">
        <f ca="1"/>
        <v>5.5047589806541786E-2</v>
      </c>
      <c r="AE59" s="138">
        <f ca="1"/>
        <v>9.5733566759725774E-2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5.5979797977889767E-4</v>
      </c>
      <c r="P60" s="162">
        <f ca="1"/>
        <v>1.5984028439521847E-3</v>
      </c>
      <c r="Q60" s="162">
        <f ca="1"/>
        <v>4.5134355345831656E-3</v>
      </c>
      <c r="R60" s="162">
        <f ca="1"/>
        <v>8.8186837042827371E-3</v>
      </c>
      <c r="S60" s="162">
        <f ca="1"/>
        <v>0</v>
      </c>
      <c r="T60" s="162">
        <f ca="1"/>
        <v>1.8962727215305675E-2</v>
      </c>
      <c r="U60" s="162">
        <f ca="1"/>
        <v>3.1412425880376404E-2</v>
      </c>
      <c r="V60" s="138">
        <f ca="1"/>
        <v>5.5681106498509991E-2</v>
      </c>
      <c r="W60" s="137">
        <f ca="1"/>
        <v>0</v>
      </c>
      <c r="X60" s="162">
        <f ca="1"/>
        <v>6.5306652814611788E-4</v>
      </c>
      <c r="Y60" s="162">
        <f ca="1"/>
        <v>1.7647892442183011E-3</v>
      </c>
      <c r="Z60" s="162">
        <f ca="1"/>
        <v>4.8452090907561418E-3</v>
      </c>
      <c r="AA60" s="162">
        <f ca="1"/>
        <v>9.3141504854095114E-3</v>
      </c>
      <c r="AB60" s="162">
        <f ca="1"/>
        <v>0</v>
      </c>
      <c r="AC60" s="162">
        <f ca="1"/>
        <v>1.9779917732640429E-2</v>
      </c>
      <c r="AD60" s="162">
        <f ca="1"/>
        <v>3.2565806059749458E-2</v>
      </c>
      <c r="AE60" s="138">
        <f ca="1"/>
        <v>5.7282333229708549E-2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7.4632789407114153E-4</v>
      </c>
      <c r="P61" s="162">
        <f ca="1"/>
        <v>1.9517662836812111E-3</v>
      </c>
      <c r="Q61" s="162">
        <f ca="1"/>
        <v>5.5517055427475315E-3</v>
      </c>
      <c r="R61" s="162">
        <f ca="1"/>
        <v>9.2855974706570477E-3</v>
      </c>
      <c r="S61" s="162">
        <f ca="1"/>
        <v>0</v>
      </c>
      <c r="T61" s="162">
        <f ca="1"/>
        <v>2.0652318603554765E-2</v>
      </c>
      <c r="U61" s="162">
        <f ca="1"/>
        <v>3.3734789638137697E-2</v>
      </c>
      <c r="V61" s="138">
        <f ca="1"/>
        <v>6.0846211777133008E-2</v>
      </c>
      <c r="W61" s="137">
        <f ca="1"/>
        <v>0</v>
      </c>
      <c r="X61" s="162">
        <f ca="1"/>
        <v>8.3957855043315099E-4</v>
      </c>
      <c r="Y61" s="162">
        <f ca="1"/>
        <v>2.1180937949525358E-3</v>
      </c>
      <c r="Z61" s="162">
        <f ca="1"/>
        <v>5.8831330665836123E-3</v>
      </c>
      <c r="AA61" s="162">
        <f ca="1"/>
        <v>9.7808308532388866E-3</v>
      </c>
      <c r="AB61" s="162">
        <f ca="1"/>
        <v>0</v>
      </c>
      <c r="AC61" s="162">
        <f ca="1"/>
        <v>2.1468101714518184E-2</v>
      </c>
      <c r="AD61" s="162">
        <f ca="1"/>
        <v>3.4885373616430959E-2</v>
      </c>
      <c r="AE61" s="138">
        <f ca="1"/>
        <v>6.2437997093177322E-2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4.6652001085500938E-4</v>
      </c>
      <c r="P62" s="162">
        <f ca="1"/>
        <v>1.0635468210143939E-3</v>
      </c>
      <c r="Q62" s="162">
        <f ca="1"/>
        <v>4.1823789928566724E-3</v>
      </c>
      <c r="R62" s="162">
        <f ca="1"/>
        <v>8.856328997998153E-3</v>
      </c>
      <c r="S62" s="162">
        <f ca="1"/>
        <v>0</v>
      </c>
      <c r="T62" s="162">
        <f ca="1"/>
        <v>2.3489178179933234E-2</v>
      </c>
      <c r="U62" s="162">
        <f ca="1"/>
        <v>4.0122138644769212E-2</v>
      </c>
      <c r="V62" s="138">
        <f ca="1"/>
        <v>6.9473171448415805E-2</v>
      </c>
      <c r="W62" s="137">
        <f ca="1"/>
        <v>0</v>
      </c>
      <c r="X62" s="162">
        <f ca="1"/>
        <v>5.5979745032941342E-4</v>
      </c>
      <c r="Y62" s="162">
        <f ca="1"/>
        <v>1.2300223565240298E-3</v>
      </c>
      <c r="Z62" s="162">
        <f ca="1"/>
        <v>4.5142628827877784E-3</v>
      </c>
      <c r="AA62" s="162">
        <f ca="1"/>
        <v>9.3517769611749513E-3</v>
      </c>
      <c r="AB62" s="162">
        <f ca="1"/>
        <v>0</v>
      </c>
      <c r="AC62" s="162">
        <f ca="1"/>
        <v>2.4302598225988126E-2</v>
      </c>
      <c r="AD62" s="162">
        <f ca="1"/>
        <v>4.1266872591620207E-2</v>
      </c>
      <c r="AE62" s="138">
        <f ca="1"/>
        <v>7.105109315794822E-2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9.328231183131086E-4</v>
      </c>
      <c r="P63" s="162">
        <f ca="1"/>
        <v>2.1260644450880051E-3</v>
      </c>
      <c r="Q63" s="162">
        <f ca="1"/>
        <v>5.1889996317074916E-3</v>
      </c>
      <c r="R63" s="162">
        <f ca="1"/>
        <v>1.1423889988441904E-2</v>
      </c>
      <c r="S63" s="162">
        <f ca="1"/>
        <v>0</v>
      </c>
      <c r="T63" s="162">
        <f ca="1"/>
        <v>2.5878831372117106E-2</v>
      </c>
      <c r="U63" s="162">
        <f ca="1"/>
        <v>4.3443303773242681E-2</v>
      </c>
      <c r="V63" s="138">
        <f ca="1"/>
        <v>7.9875389042662337E-2</v>
      </c>
      <c r="W63" s="137">
        <f ca="1"/>
        <v>0</v>
      </c>
      <c r="X63" s="162">
        <f ca="1"/>
        <v>1.0260557337316012E-3</v>
      </c>
      <c r="Y63" s="162">
        <f ca="1"/>
        <v>2.2923629090827458E-3</v>
      </c>
      <c r="Z63" s="162">
        <f ca="1"/>
        <v>5.5205480373594629E-3</v>
      </c>
      <c r="AA63" s="162">
        <f ca="1"/>
        <v>1.1918054492017216E-2</v>
      </c>
      <c r="AB63" s="162">
        <f ca="1"/>
        <v>0</v>
      </c>
      <c r="AC63" s="162">
        <f ca="1"/>
        <v>2.6690260870059102E-2</v>
      </c>
      <c r="AD63" s="162">
        <f ca="1"/>
        <v>4.4583403373594677E-2</v>
      </c>
      <c r="AE63" s="138">
        <f ca="1"/>
        <v>8.1432192623186128E-2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2.7993804340376016E-4</v>
      </c>
      <c r="P64" s="162">
        <f ca="1"/>
        <v>8.8902048978489745E-4</v>
      </c>
      <c r="Q64" s="162">
        <f ca="1"/>
        <v>3.4888971355687692E-3</v>
      </c>
      <c r="R64" s="162">
        <f ca="1"/>
        <v>7.8320259095053801E-3</v>
      </c>
      <c r="S64" s="162">
        <f ca="1"/>
        <v>0</v>
      </c>
      <c r="T64" s="162">
        <f ca="1"/>
        <v>2.0020741945238174E-2</v>
      </c>
      <c r="U64" s="162">
        <f ca="1"/>
        <v>3.5400111347559493E-2</v>
      </c>
      <c r="V64" s="138">
        <f ca="1"/>
        <v>5.9095352678469881E-2</v>
      </c>
      <c r="W64" s="137">
        <f ca="1"/>
        <v>0</v>
      </c>
      <c r="X64" s="162">
        <f ca="1"/>
        <v>3.7323315725501516E-4</v>
      </c>
      <c r="Y64" s="162">
        <f ca="1"/>
        <v>1.0555251106070251E-3</v>
      </c>
      <c r="Z64" s="162">
        <f ca="1"/>
        <v>3.8210121476194292E-3</v>
      </c>
      <c r="AA64" s="162">
        <f ca="1"/>
        <v>8.327985896203649E-3</v>
      </c>
      <c r="AB64" s="162">
        <f ca="1"/>
        <v>0</v>
      </c>
      <c r="AC64" s="162">
        <f ca="1"/>
        <v>2.0837051150871755E-2</v>
      </c>
      <c r="AD64" s="162">
        <f ca="1"/>
        <v>3.6550223450734665E-2</v>
      </c>
      <c r="AE64" s="138">
        <f ca="1"/>
        <v>6.0692040831440086E-2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2.7993804340376016E-4</v>
      </c>
      <c r="P65" s="162">
        <f ca="1"/>
        <v>8.8902048978489745E-4</v>
      </c>
      <c r="Q65" s="162">
        <f ca="1"/>
        <v>3.4888971355687692E-3</v>
      </c>
      <c r="R65" s="162">
        <f ca="1"/>
        <v>6.7635003632672275E-3</v>
      </c>
      <c r="S65" s="162">
        <f ca="1"/>
        <v>0</v>
      </c>
      <c r="T65" s="162">
        <f ca="1"/>
        <v>1.7400189945548594E-2</v>
      </c>
      <c r="U65" s="162">
        <f ca="1"/>
        <v>2.921509921538834E-2</v>
      </c>
      <c r="V65" s="138">
        <f ca="1"/>
        <v>5.0627534929166274E-2</v>
      </c>
      <c r="W65" s="137">
        <f ca="1"/>
        <v>0</v>
      </c>
      <c r="X65" s="162">
        <f ca="1"/>
        <v>3.7323315725501516E-4</v>
      </c>
      <c r="Y65" s="162">
        <f ca="1"/>
        <v>1.0555251106070251E-3</v>
      </c>
      <c r="Z65" s="162">
        <f ca="1"/>
        <v>3.8210121476194292E-3</v>
      </c>
      <c r="AA65" s="162">
        <f ca="1"/>
        <v>7.2599944792074433E-3</v>
      </c>
      <c r="AB65" s="162">
        <f ca="1"/>
        <v>0</v>
      </c>
      <c r="AC65" s="162">
        <f ca="1"/>
        <v>1.8218682034881972E-2</v>
      </c>
      <c r="AD65" s="162">
        <f ca="1"/>
        <v>3.0371653122548081E-2</v>
      </c>
      <c r="AE65" s="138">
        <f ca="1"/>
        <v>5.2238279591185321E-2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1.866340424340196E-4</v>
      </c>
      <c r="P66" s="162">
        <f ca="1"/>
        <v>8.913006555208991E-4</v>
      </c>
      <c r="Q66" s="162">
        <f ca="1"/>
        <v>3.8434271068634729E-3</v>
      </c>
      <c r="R66" s="162">
        <f ca="1"/>
        <v>7.283914151068438E-3</v>
      </c>
      <c r="S66" s="162">
        <f ca="1"/>
        <v>0</v>
      </c>
      <c r="T66" s="162">
        <f ca="1"/>
        <v>1.8247234544024105E-2</v>
      </c>
      <c r="U66" s="162">
        <f ca="1"/>
        <v>3.0380192214224833E-2</v>
      </c>
      <c r="V66" s="138">
        <f ca="1"/>
        <v>5.2251873149979366E-2</v>
      </c>
      <c r="W66" s="137">
        <f ca="1"/>
        <v>0</v>
      </c>
      <c r="X66" s="162">
        <f ca="1"/>
        <v>2.7993794032332708E-4</v>
      </c>
      <c r="Y66" s="162">
        <f ca="1"/>
        <v>1.0578048963322262E-3</v>
      </c>
      <c r="Z66" s="162">
        <f ca="1"/>
        <v>4.1754239619300471E-3</v>
      </c>
      <c r="AA66" s="162">
        <f ca="1"/>
        <v>7.7801481251735805E-3</v>
      </c>
      <c r="AB66" s="162">
        <f ca="1"/>
        <v>0</v>
      </c>
      <c r="AC66" s="162">
        <f ca="1"/>
        <v>1.9065021056898446E-2</v>
      </c>
      <c r="AD66" s="162">
        <f ca="1"/>
        <v>3.1535356468543885E-2</v>
      </c>
      <c r="AE66" s="138">
        <f ca="1"/>
        <v>5.3859642241350314E-2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8.0228010334437716E-4</v>
      </c>
      <c r="P67" s="162">
        <f ca="1"/>
        <v>2.3082876061414348E-3</v>
      </c>
      <c r="Q67" s="162">
        <f ca="1"/>
        <v>6.8735981719729722E-3</v>
      </c>
      <c r="R67" s="162">
        <f ca="1"/>
        <v>1.2459359362036904E-2</v>
      </c>
      <c r="S67" s="162">
        <f ca="1"/>
        <v>0</v>
      </c>
      <c r="T67" s="162">
        <f ca="1"/>
        <v>2.6605725380697276E-2</v>
      </c>
      <c r="U67" s="162">
        <f ca="1"/>
        <v>4.2401876312649911E-2</v>
      </c>
      <c r="V67" s="138">
        <f ca="1"/>
        <v>6.8200047997697077E-2</v>
      </c>
      <c r="W67" s="137">
        <f ca="1"/>
        <v>0</v>
      </c>
      <c r="X67" s="162">
        <f ca="1"/>
        <v>8.9552536320591791E-4</v>
      </c>
      <c r="Y67" s="162">
        <f ca="1"/>
        <v>2.4745557021443876E-3</v>
      </c>
      <c r="Z67" s="162">
        <f ca="1"/>
        <v>7.2045851383381043E-3</v>
      </c>
      <c r="AA67" s="162">
        <f ca="1"/>
        <v>1.2953006260337685E-2</v>
      </c>
      <c r="AB67" s="162">
        <f ca="1"/>
        <v>0</v>
      </c>
      <c r="AC67" s="162">
        <f ca="1"/>
        <v>2.7416549385955946E-2</v>
      </c>
      <c r="AD67" s="162">
        <f ca="1"/>
        <v>4.3542351505231225E-2</v>
      </c>
      <c r="AE67" s="138">
        <f ca="1"/>
        <v>6.9778018295088673E-2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9.328231183131086E-4</v>
      </c>
      <c r="P68" s="162">
        <f ca="1"/>
        <v>3.1994817731715308E-3</v>
      </c>
      <c r="Q68" s="162">
        <f ca="1"/>
        <v>8.6644599169608538E-3</v>
      </c>
      <c r="R68" s="162">
        <f ca="1"/>
        <v>1.9193717683023692E-2</v>
      </c>
      <c r="S68" s="162">
        <f ca="1"/>
        <v>0</v>
      </c>
      <c r="T68" s="162">
        <f ca="1"/>
        <v>4.7298091861696312E-2</v>
      </c>
      <c r="U68" s="162">
        <f ca="1"/>
        <v>8.2619720068111802E-2</v>
      </c>
      <c r="V68" s="138">
        <f ca="1"/>
        <v>0.14002882927419769</v>
      </c>
      <c r="W68" s="137">
        <f ca="1"/>
        <v>0</v>
      </c>
      <c r="X68" s="162">
        <f ca="1"/>
        <v>1.0260557337316012E-3</v>
      </c>
      <c r="Y68" s="162">
        <f ca="1"/>
        <v>3.3656013492012749E-3</v>
      </c>
      <c r="Z68" s="162">
        <f ca="1"/>
        <v>8.9948500288923317E-3</v>
      </c>
      <c r="AA68" s="162">
        <f ca="1"/>
        <v>1.9683998243833822E-2</v>
      </c>
      <c r="AB68" s="162">
        <f ca="1"/>
        <v>0</v>
      </c>
      <c r="AC68" s="162">
        <f ca="1"/>
        <v>4.8091679411092936E-2</v>
      </c>
      <c r="AD68" s="162">
        <f ca="1"/>
        <v>8.371210880056057E-2</v>
      </c>
      <c r="AE68" s="138">
        <f ca="1"/>
        <v>0.14151727173454742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1.5852833589963256E-3</v>
      </c>
      <c r="P69" s="162">
        <f ca="1"/>
        <v>3.7191181517594041E-3</v>
      </c>
      <c r="Q69" s="162">
        <f ca="1"/>
        <v>1.0031064502673326E-2</v>
      </c>
      <c r="R69" s="162">
        <f ca="1"/>
        <v>2.279815405314578E-2</v>
      </c>
      <c r="S69" s="162">
        <f ca="1"/>
        <v>0</v>
      </c>
      <c r="T69" s="162">
        <f ca="1"/>
        <v>5.1303519664014474E-2</v>
      </c>
      <c r="U69" s="162">
        <f ca="1"/>
        <v>8.9317895426098914E-2</v>
      </c>
      <c r="V69" s="138">
        <f ca="1"/>
        <v>0.15451928361867917</v>
      </c>
      <c r="W69" s="137">
        <f ca="1"/>
        <v>0</v>
      </c>
      <c r="X69" s="162">
        <f ca="1"/>
        <v>1.6784516133685479E-3</v>
      </c>
      <c r="Y69" s="162">
        <f ca="1"/>
        <v>3.8851511289259566E-3</v>
      </c>
      <c r="Z69" s="162">
        <f ca="1"/>
        <v>1.036099915566413E-2</v>
      </c>
      <c r="AA69" s="162">
        <f ca="1"/>
        <v>2.3286632846224564E-2</v>
      </c>
      <c r="AB69" s="162">
        <f ca="1"/>
        <v>0</v>
      </c>
      <c r="AC69" s="162">
        <f ca="1"/>
        <v>5.2093770747245194E-2</v>
      </c>
      <c r="AD69" s="162">
        <f ca="1"/>
        <v>9.0379738352608152E-2</v>
      </c>
      <c r="AE69" s="138">
        <f ca="1"/>
        <v>0.15599088446438392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3.7323336580730171E-4</v>
      </c>
      <c r="P70" s="162">
        <f ca="1"/>
        <v>1.6030283033110493E-3</v>
      </c>
      <c r="Q70" s="162">
        <f ca="1"/>
        <v>5.2219191669659049E-3</v>
      </c>
      <c r="R70" s="162">
        <f ca="1"/>
        <v>1.1457522659435448E-2</v>
      </c>
      <c r="S70" s="162">
        <f ca="1"/>
        <v>0</v>
      </c>
      <c r="T70" s="162">
        <f ca="1"/>
        <v>3.0385247599788778E-2</v>
      </c>
      <c r="U70" s="162">
        <f ca="1"/>
        <v>5.4671477574159466E-2</v>
      </c>
      <c r="V70" s="138">
        <f ca="1"/>
        <v>9.6836949913149617E-2</v>
      </c>
      <c r="W70" s="137">
        <f ca="1"/>
        <v>0</v>
      </c>
      <c r="X70" s="162">
        <f ca="1"/>
        <v>4.6651966031130421E-4</v>
      </c>
      <c r="Y70" s="162">
        <f ca="1"/>
        <v>1.7694139327362191E-3</v>
      </c>
      <c r="Z70" s="162">
        <f ca="1"/>
        <v>5.5534566012512832E-3</v>
      </c>
      <c r="AA70" s="162">
        <f ca="1"/>
        <v>1.1951670350881072E-2</v>
      </c>
      <c r="AB70" s="162">
        <f ca="1"/>
        <v>0</v>
      </c>
      <c r="AC70" s="162">
        <f ca="1"/>
        <v>3.1192923315192411E-2</v>
      </c>
      <c r="AD70" s="162">
        <f ca="1"/>
        <v>5.5799566216303886E-2</v>
      </c>
      <c r="AE70" s="138">
        <f ca="1"/>
        <v>9.8389529226857619E-2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1.0726717770109806E-3</v>
      </c>
      <c r="P71" s="162">
        <f ca="1"/>
        <v>2.5519615777852556E-3</v>
      </c>
      <c r="Q71" s="162">
        <f ca="1"/>
        <v>6.9631564770472609E-3</v>
      </c>
      <c r="R71" s="162">
        <f ca="1"/>
        <v>1.217203360268504E-2</v>
      </c>
      <c r="S71" s="162">
        <f ca="1"/>
        <v>0</v>
      </c>
      <c r="T71" s="162">
        <f ca="1"/>
        <v>2.5709762203876774E-2</v>
      </c>
      <c r="U71" s="162">
        <f ca="1"/>
        <v>4.1064708230891145E-2</v>
      </c>
      <c r="V71" s="138">
        <f ca="1"/>
        <v>6.6564915039894479E-2</v>
      </c>
      <c r="W71" s="137">
        <f ca="1"/>
        <v>0</v>
      </c>
      <c r="X71" s="162">
        <f ca="1"/>
        <v>1.16589076209761E-3</v>
      </c>
      <c r="Y71" s="162">
        <f ca="1"/>
        <v>2.7181890648428908E-3</v>
      </c>
      <c r="Z71" s="162">
        <f ca="1"/>
        <v>7.2941135956490211E-3</v>
      </c>
      <c r="AA71" s="162">
        <f ca="1"/>
        <v>1.2665824127980785E-2</v>
      </c>
      <c r="AB71" s="162">
        <f ca="1"/>
        <v>0</v>
      </c>
      <c r="AC71" s="162">
        <f ca="1"/>
        <v>2.6521332534069408E-2</v>
      </c>
      <c r="AD71" s="162">
        <f ca="1"/>
        <v>4.2206546592508665E-2</v>
      </c>
      <c r="AE71" s="138">
        <f ca="1"/>
        <v>6.8145672867705787E-2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6.5306727376623908E-4</v>
      </c>
      <c r="P72" s="162">
        <f ca="1"/>
        <v>2.1330749804280291E-3</v>
      </c>
      <c r="Q72" s="162">
        <f ca="1"/>
        <v>8.3594499467442018E-3</v>
      </c>
      <c r="R72" s="162">
        <f ca="1"/>
        <v>1.6601928208965333E-2</v>
      </c>
      <c r="S72" s="162">
        <f ca="1"/>
        <v>0</v>
      </c>
      <c r="T72" s="162">
        <f ca="1"/>
        <v>4.0482451691627674E-2</v>
      </c>
      <c r="U72" s="162">
        <f ca="1"/>
        <v>6.7074394520793112E-2</v>
      </c>
      <c r="V72" s="138">
        <f ca="1"/>
        <v>0.12127580722768572</v>
      </c>
      <c r="W72" s="137">
        <f ca="1"/>
        <v>0</v>
      </c>
      <c r="X72" s="162">
        <f ca="1"/>
        <v>7.463268945758772E-4</v>
      </c>
      <c r="Y72" s="162">
        <f ca="1"/>
        <v>2.2993722760956681E-3</v>
      </c>
      <c r="Z72" s="162">
        <f ca="1"/>
        <v>8.6899417117463074E-3</v>
      </c>
      <c r="AA72" s="162">
        <f ca="1"/>
        <v>1.709350434058321E-2</v>
      </c>
      <c r="AB72" s="162">
        <f ca="1"/>
        <v>0</v>
      </c>
      <c r="AC72" s="162">
        <f ca="1"/>
        <v>4.1281716575256255E-2</v>
      </c>
      <c r="AD72" s="162">
        <f ca="1"/>
        <v>6.8186793238620869E-2</v>
      </c>
      <c r="AE72" s="138">
        <f ca="1"/>
        <v>0.12279251327806995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3.7323336580730171E-4</v>
      </c>
      <c r="P73" s="162">
        <f ca="1"/>
        <v>1.0658348878456181E-3</v>
      </c>
      <c r="Q73" s="162">
        <f ca="1"/>
        <v>3.8326000746659039E-3</v>
      </c>
      <c r="R73" s="162">
        <f ca="1"/>
        <v>7.2729941297640099E-3</v>
      </c>
      <c r="S73" s="162">
        <f ca="1"/>
        <v>0</v>
      </c>
      <c r="T73" s="162">
        <f ca="1"/>
        <v>2.093228363569033E-2</v>
      </c>
      <c r="U73" s="162">
        <f ca="1"/>
        <v>3.9235259573907388E-2</v>
      </c>
      <c r="V73" s="138">
        <f ca="1"/>
        <v>7.1999968429671157E-2</v>
      </c>
      <c r="W73" s="137">
        <f ca="1"/>
        <v>0</v>
      </c>
      <c r="X73" s="162">
        <f ca="1"/>
        <v>4.6651966031130421E-4</v>
      </c>
      <c r="Y73" s="162">
        <f ca="1"/>
        <v>1.2323100420539301E-3</v>
      </c>
      <c r="Z73" s="162">
        <f ca="1"/>
        <v>4.1646005381511531E-3</v>
      </c>
      <c r="AA73" s="162">
        <f ca="1"/>
        <v>7.7692335625050291E-3</v>
      </c>
      <c r="AB73" s="162">
        <f ca="1"/>
        <v>0</v>
      </c>
      <c r="AC73" s="162">
        <f ca="1"/>
        <v>2.1747833539647488E-2</v>
      </c>
      <c r="AD73" s="162">
        <f ca="1"/>
        <v>4.038149156089077E-2</v>
      </c>
      <c r="AE73" s="138">
        <f ca="1"/>
        <v>7.3574136203829688E-2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5.5979797977889767E-4</v>
      </c>
      <c r="P74" s="162">
        <f ca="1"/>
        <v>1.9564240206518813E-3</v>
      </c>
      <c r="Q74" s="162">
        <f ca="1"/>
        <v>6.9628554998037995E-3</v>
      </c>
      <c r="R74" s="162">
        <f ca="1"/>
        <v>1.3486979620114803E-2</v>
      </c>
      <c r="S74" s="162">
        <f ca="1"/>
        <v>0</v>
      </c>
      <c r="T74" s="162">
        <f ca="1"/>
        <v>2.9227354836232067E-2</v>
      </c>
      <c r="U74" s="162">
        <f ca="1"/>
        <v>4.9321389399570092E-2</v>
      </c>
      <c r="V74" s="138">
        <f ca="1"/>
        <v>8.4088670975554058E-2</v>
      </c>
      <c r="W74" s="137">
        <f ca="1"/>
        <v>0</v>
      </c>
      <c r="X74" s="162">
        <f ca="1"/>
        <v>6.5306652814611788E-4</v>
      </c>
      <c r="Y74" s="162">
        <f ca="1"/>
        <v>2.1227507557100012E-3</v>
      </c>
      <c r="Z74" s="162">
        <f ca="1"/>
        <v>7.2938127186967794E-3</v>
      </c>
      <c r="AA74" s="162">
        <f ca="1"/>
        <v>1.3980112836714964E-2</v>
      </c>
      <c r="AB74" s="162">
        <f ca="1"/>
        <v>0</v>
      </c>
      <c r="AC74" s="162">
        <f ca="1"/>
        <v>3.0035995060323173E-2</v>
      </c>
      <c r="AD74" s="162">
        <f ca="1"/>
        <v>5.0454413699617673E-2</v>
      </c>
      <c r="AE74" s="138">
        <f ca="1"/>
        <v>8.5638140809457752E-2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1.866340424340196E-4</v>
      </c>
      <c r="P75" s="162">
        <f ca="1"/>
        <v>5.3303397670823038E-4</v>
      </c>
      <c r="Q75" s="162">
        <f ca="1"/>
        <v>2.0939103271172543E-3</v>
      </c>
      <c r="R75" s="162">
        <f ca="1"/>
        <v>4.7037352271726007E-3</v>
      </c>
      <c r="S75" s="162">
        <f ca="1"/>
        <v>0</v>
      </c>
      <c r="T75" s="162">
        <f ca="1"/>
        <v>1.1323454423965762E-2</v>
      </c>
      <c r="U75" s="162">
        <f ca="1"/>
        <v>2.2206719426565602E-2</v>
      </c>
      <c r="V75" s="138">
        <f ca="1"/>
        <v>4.4745051743360853E-2</v>
      </c>
      <c r="W75" s="137">
        <f ca="1"/>
        <v>0</v>
      </c>
      <c r="X75" s="162">
        <f ca="1"/>
        <v>2.7993794032332708E-4</v>
      </c>
      <c r="Y75" s="162">
        <f ca="1"/>
        <v>6.9959792365625884E-4</v>
      </c>
      <c r="Z75" s="162">
        <f ca="1"/>
        <v>2.4264902572768143E-3</v>
      </c>
      <c r="AA75" s="162">
        <f ca="1"/>
        <v>5.2012589682653987E-3</v>
      </c>
      <c r="AB75" s="162">
        <f ca="1"/>
        <v>0</v>
      </c>
      <c r="AC75" s="162">
        <f ca="1"/>
        <v>1.2147008350136823E-2</v>
      </c>
      <c r="AD75" s="162">
        <f ca="1"/>
        <v>2.3371429018016698E-2</v>
      </c>
      <c r="AE75" s="138">
        <f ca="1"/>
        <v>4.6367433386018231E-2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8.5822919080635884E-4</v>
      </c>
      <c r="P76" s="162">
        <f ca="1"/>
        <v>2.4679199687567266E-3</v>
      </c>
      <c r="Q76" s="162">
        <f ca="1"/>
        <v>7.2178135441554048E-3</v>
      </c>
      <c r="R76" s="162">
        <f ca="1"/>
        <v>1.2861272315928707E-2</v>
      </c>
      <c r="S76" s="162">
        <f ca="1"/>
        <v>0</v>
      </c>
      <c r="T76" s="162">
        <f ca="1"/>
        <v>2.5655554773826639E-2</v>
      </c>
      <c r="U76" s="162">
        <f ca="1"/>
        <v>3.9971062347964659E-2</v>
      </c>
      <c r="V76" s="138">
        <f ca="1"/>
        <v>6.2802763589013821E-2</v>
      </c>
      <c r="W76" s="137">
        <f ca="1"/>
        <v>0</v>
      </c>
      <c r="X76" s="162">
        <f ca="1"/>
        <v>9.5146904065324112E-4</v>
      </c>
      <c r="Y76" s="162">
        <f ca="1"/>
        <v>2.6341614615835729E-3</v>
      </c>
      <c r="Z76" s="162">
        <f ca="1"/>
        <v>7.5486857911888361E-3</v>
      </c>
      <c r="AA76" s="162">
        <f ca="1"/>
        <v>1.3354718307975411E-2</v>
      </c>
      <c r="AB76" s="162">
        <f ca="1"/>
        <v>0</v>
      </c>
      <c r="AC76" s="162">
        <f ca="1"/>
        <v>2.64671702580902E-2</v>
      </c>
      <c r="AD76" s="162">
        <f ca="1"/>
        <v>4.1113771886327033E-2</v>
      </c>
      <c r="AE76" s="138">
        <f ca="1"/>
        <v>6.4389486959908648E-2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2.2373191799520686E-3</v>
      </c>
      <c r="P77" s="162">
        <f ca="1"/>
        <v>5.6670326724548303E-3</v>
      </c>
      <c r="Q77" s="162">
        <f ca="1"/>
        <v>1.6937036426427188E-2</v>
      </c>
      <c r="R77" s="162">
        <f ca="1"/>
        <v>3.4480537394578126E-2</v>
      </c>
      <c r="S77" s="162">
        <f ca="1"/>
        <v>0</v>
      </c>
      <c r="T77" s="162">
        <f ca="1"/>
        <v>8.7311016785841522E-2</v>
      </c>
      <c r="U77" s="162">
        <f ca="1"/>
        <v>0.14307182012702768</v>
      </c>
      <c r="V77" s="138">
        <f ca="1"/>
        <v>0.22814383773543012</v>
      </c>
      <c r="W77" s="137">
        <f ca="1"/>
        <v>0</v>
      </c>
      <c r="X77" s="162">
        <f ca="1"/>
        <v>2.3304210783231527E-3</v>
      </c>
      <c r="Y77" s="162">
        <f ca="1"/>
        <v>5.8327410242623445E-3</v>
      </c>
      <c r="Z77" s="162">
        <f ca="1"/>
        <v>1.7264669472415894E-2</v>
      </c>
      <c r="AA77" s="162">
        <f ca="1"/>
        <v>3.4963176456049738E-2</v>
      </c>
      <c r="AB77" s="162">
        <f ca="1"/>
        <v>0</v>
      </c>
      <c r="AC77" s="162">
        <f ca="1"/>
        <v>8.809873076598429E-2</v>
      </c>
      <c r="AD77" s="162">
        <f ca="1"/>
        <v>0.1441107252832099</v>
      </c>
      <c r="AE77" s="138">
        <f ca="1"/>
        <v>0.229491786614205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5.5979797977889767E-4</v>
      </c>
      <c r="P78" s="162">
        <f ca="1"/>
        <v>1.9564240206518813E-3</v>
      </c>
      <c r="Q78" s="162">
        <f ca="1"/>
        <v>7.3143141064413442E-3</v>
      </c>
      <c r="R78" s="162">
        <f ca="1"/>
        <v>1.4534667356579822E-2</v>
      </c>
      <c r="S78" s="162">
        <f ca="1"/>
        <v>0</v>
      </c>
      <c r="T78" s="162">
        <f ca="1"/>
        <v>3.4481853214617941E-2</v>
      </c>
      <c r="U78" s="162">
        <f ca="1"/>
        <v>5.7694162912504399E-2</v>
      </c>
      <c r="V78" s="138">
        <f ca="1"/>
        <v>0.10489160452803414</v>
      </c>
      <c r="W78" s="137">
        <f ca="1"/>
        <v>0</v>
      </c>
      <c r="X78" s="162">
        <f ca="1"/>
        <v>6.5306652814611788E-4</v>
      </c>
      <c r="Y78" s="162">
        <f ca="1"/>
        <v>2.1227507557100012E-3</v>
      </c>
      <c r="Z78" s="162">
        <f ca="1"/>
        <v>7.6451541919769772E-3</v>
      </c>
      <c r="AA78" s="162">
        <f ca="1"/>
        <v>1.5027276860253069E-2</v>
      </c>
      <c r="AB78" s="162">
        <f ca="1"/>
        <v>0</v>
      </c>
      <c r="AC78" s="162">
        <f ca="1"/>
        <v>3.5286116514026244E-2</v>
      </c>
      <c r="AD78" s="162">
        <f ca="1"/>
        <v>5.8817790146253435E-2</v>
      </c>
      <c r="AE78" s="138">
        <f ca="1"/>
        <v>0.10643174692736723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9.328231183131086E-4</v>
      </c>
      <c r="P79" s="162">
        <f ca="1"/>
        <v>2.4839299777842383E-3</v>
      </c>
      <c r="Q79" s="162">
        <f ca="1"/>
        <v>7.6368209976603874E-3</v>
      </c>
      <c r="R79" s="162">
        <f ca="1"/>
        <v>1.714745595826328E-2</v>
      </c>
      <c r="S79" s="162">
        <f ca="1"/>
        <v>0</v>
      </c>
      <c r="T79" s="162">
        <f ca="1"/>
        <v>4.400568379682479E-2</v>
      </c>
      <c r="U79" s="162">
        <f ca="1"/>
        <v>7.5618640709965046E-2</v>
      </c>
      <c r="V79" s="138">
        <f ca="1"/>
        <v>0.12884708435902437</v>
      </c>
      <c r="W79" s="137">
        <f ca="1"/>
        <v>0</v>
      </c>
      <c r="X79" s="162">
        <f ca="1"/>
        <v>1.0260557337316012E-3</v>
      </c>
      <c r="Y79" s="162">
        <f ca="1"/>
        <v>2.6501688025049042E-3</v>
      </c>
      <c r="Z79" s="162">
        <f ca="1"/>
        <v>7.9675535988187329E-3</v>
      </c>
      <c r="AA79" s="162">
        <f ca="1"/>
        <v>1.7638759394191128E-2</v>
      </c>
      <c r="AB79" s="162">
        <f ca="1"/>
        <v>0</v>
      </c>
      <c r="AC79" s="162">
        <f ca="1"/>
        <v>4.4802013876682922E-2</v>
      </c>
      <c r="AD79" s="162">
        <f ca="1"/>
        <v>7.6720681480768382E-2</v>
      </c>
      <c r="AE79" s="138">
        <f ca="1"/>
        <v>0.13035156446347518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4.6652001085500938E-4</v>
      </c>
      <c r="P80" s="162">
        <f ca="1"/>
        <v>8.844606846132308E-4</v>
      </c>
      <c r="Q80" s="162">
        <f ca="1"/>
        <v>3.4842594024667717E-3</v>
      </c>
      <c r="R80" s="162">
        <f ca="1"/>
        <v>9.4293866935466486E-3</v>
      </c>
      <c r="S80" s="162">
        <f ca="1"/>
        <v>0</v>
      </c>
      <c r="T80" s="162">
        <f ca="1"/>
        <v>2.3490320468615655E-2</v>
      </c>
      <c r="U80" s="162">
        <f ca="1"/>
        <v>4.2727008295265323E-2</v>
      </c>
      <c r="V80" s="138">
        <f ca="1"/>
        <v>7.8730009267135137E-2</v>
      </c>
      <c r="W80" s="137">
        <f ca="1"/>
        <v>0</v>
      </c>
      <c r="X80" s="162">
        <f ca="1"/>
        <v>5.5979745032941342E-4</v>
      </c>
      <c r="Y80" s="162">
        <f ca="1"/>
        <v>1.0509660653243991E-3</v>
      </c>
      <c r="Z80" s="162">
        <f ca="1"/>
        <v>3.8163759601550495E-3</v>
      </c>
      <c r="AA80" s="162">
        <f ca="1"/>
        <v>9.9245481995215989E-3</v>
      </c>
      <c r="AB80" s="162">
        <f ca="1"/>
        <v>0</v>
      </c>
      <c r="AC80" s="162">
        <f ca="1"/>
        <v>2.4303739563193427E-2</v>
      </c>
      <c r="AD80" s="162">
        <f ca="1"/>
        <v>4.386905476623737E-2</v>
      </c>
      <c r="AE80" s="138">
        <f ca="1"/>
        <v>8.0290941253846282E-2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9.328231183131086E-4</v>
      </c>
      <c r="P81" s="162">
        <f ca="1"/>
        <v>1.768139135763791E-3</v>
      </c>
      <c r="Q81" s="162">
        <f ca="1"/>
        <v>6.2565627356083731E-3</v>
      </c>
      <c r="R81" s="162">
        <f ca="1"/>
        <v>1.5114822001621619E-2</v>
      </c>
      <c r="S81" s="162">
        <f ca="1"/>
        <v>0</v>
      </c>
      <c r="T81" s="162">
        <f ca="1"/>
        <v>3.7162277687126433E-2</v>
      </c>
      <c r="U81" s="162">
        <f ca="1"/>
        <v>6.5139229546990696E-2</v>
      </c>
      <c r="V81" s="138">
        <f ca="1"/>
        <v>0.11854799542513539</v>
      </c>
      <c r="W81" s="137">
        <f ca="1"/>
        <v>0</v>
      </c>
      <c r="X81" s="162">
        <f ca="1"/>
        <v>1.0260557337316012E-3</v>
      </c>
      <c r="Y81" s="162">
        <f ca="1"/>
        <v>1.9344972490218382E-3</v>
      </c>
      <c r="Z81" s="162">
        <f ca="1"/>
        <v>6.5877553461930471E-3</v>
      </c>
      <c r="AA81" s="162">
        <f ca="1"/>
        <v>1.5607141500478039E-2</v>
      </c>
      <c r="AB81" s="162">
        <f ca="1"/>
        <v>0</v>
      </c>
      <c r="AC81" s="162">
        <f ca="1"/>
        <v>3.7964308229906374E-2</v>
      </c>
      <c r="AD81" s="162">
        <f ca="1"/>
        <v>6.6254302041627855E-2</v>
      </c>
      <c r="AE81" s="138">
        <f ca="1"/>
        <v>0.12007044151615465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3.7323336580730171E-4</v>
      </c>
      <c r="P82" s="162">
        <f ca="1"/>
        <v>1.6030283033110493E-3</v>
      </c>
      <c r="Q82" s="162">
        <f ca="1"/>
        <v>4.518118949910277E-3</v>
      </c>
      <c r="R82" s="162">
        <f ca="1"/>
        <v>9.3570999728052051E-3</v>
      </c>
      <c r="S82" s="162">
        <f ca="1"/>
        <v>0</v>
      </c>
      <c r="T82" s="162">
        <f ca="1"/>
        <v>2.4312789104083632E-2</v>
      </c>
      <c r="U82" s="162">
        <f ca="1"/>
        <v>4.2558077961758589E-2</v>
      </c>
      <c r="V82" s="138">
        <f ca="1"/>
        <v>7.4716516760928497E-2</v>
      </c>
      <c r="W82" s="137">
        <f ca="1"/>
        <v>0</v>
      </c>
      <c r="X82" s="162">
        <f ca="1"/>
        <v>4.6651966031130421E-4</v>
      </c>
      <c r="Y82" s="162">
        <f ca="1"/>
        <v>1.7694139327362191E-3</v>
      </c>
      <c r="Z82" s="162">
        <f ca="1"/>
        <v>4.8498909452019401E-3</v>
      </c>
      <c r="AA82" s="162">
        <f ca="1"/>
        <v>9.8522976131060203E-3</v>
      </c>
      <c r="AB82" s="162">
        <f ca="1"/>
        <v>0</v>
      </c>
      <c r="AC82" s="162">
        <f ca="1"/>
        <v>2.5125523093651125E-2</v>
      </c>
      <c r="AD82" s="162">
        <f ca="1"/>
        <v>4.3699996481137648E-2</v>
      </c>
      <c r="AE82" s="138">
        <f ca="1"/>
        <v>7.6284870038055619E-2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5.5979797977889767E-4</v>
      </c>
      <c r="P83" s="162">
        <f ca="1"/>
        <v>2.3143854021934196E-3</v>
      </c>
      <c r="Q83" s="162">
        <f ca="1"/>
        <v>6.5986427904146661E-3</v>
      </c>
      <c r="R83" s="162">
        <f ca="1"/>
        <v>1.2958436886229885E-2</v>
      </c>
      <c r="S83" s="162">
        <f ca="1"/>
        <v>0</v>
      </c>
      <c r="T83" s="162">
        <f ca="1"/>
        <v>3.4625583750408584E-2</v>
      </c>
      <c r="U83" s="162">
        <f ca="1"/>
        <v>6.1708220212655096E-2</v>
      </c>
      <c r="V83" s="138">
        <f ca="1"/>
        <v>0.10636501078899852</v>
      </c>
      <c r="W83" s="137">
        <f ca="1"/>
        <v>0</v>
      </c>
      <c r="X83" s="162">
        <f ca="1"/>
        <v>6.5306652814611788E-4</v>
      </c>
      <c r="Y83" s="162">
        <f ca="1"/>
        <v>2.4806524819754872E-3</v>
      </c>
      <c r="Z83" s="162">
        <f ca="1"/>
        <v>6.9297213933310342E-3</v>
      </c>
      <c r="AA83" s="162">
        <f ca="1"/>
        <v>1.3451834308140675E-2</v>
      </c>
      <c r="AB83" s="162">
        <f ca="1"/>
        <v>0</v>
      </c>
      <c r="AC83" s="162">
        <f ca="1"/>
        <v>3.5429727324257976E-2</v>
      </c>
      <c r="AD83" s="162">
        <f ca="1"/>
        <v>6.2827589124148542E-2</v>
      </c>
      <c r="AE83" s="138">
        <f ca="1"/>
        <v>0.10790268405940051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2.7993804340376016E-4</v>
      </c>
      <c r="P84" s="162">
        <f ca="1"/>
        <v>1.6053413000907124E-3</v>
      </c>
      <c r="Q84" s="162">
        <f ca="1"/>
        <v>5.2242773407921161E-3</v>
      </c>
      <c r="R84" s="162">
        <f ca="1"/>
        <v>1.1459931835404058E-2</v>
      </c>
      <c r="S84" s="162">
        <f ca="1"/>
        <v>0</v>
      </c>
      <c r="T84" s="162">
        <f ca="1"/>
        <v>2.6810593702024765E-2</v>
      </c>
      <c r="U84" s="162">
        <f ca="1"/>
        <v>4.8578766002949192E-2</v>
      </c>
      <c r="V84" s="138">
        <f ca="1"/>
        <v>8.8651742173688319E-2</v>
      </c>
      <c r="W84" s="137">
        <f ca="1"/>
        <v>0</v>
      </c>
      <c r="X84" s="162">
        <f ca="1"/>
        <v>3.7323315725501516E-4</v>
      </c>
      <c r="Y84" s="162">
        <f ca="1"/>
        <v>1.7717265440486685E-3</v>
      </c>
      <c r="Z84" s="162">
        <f ca="1"/>
        <v>5.5558139891751512E-3</v>
      </c>
      <c r="AA84" s="162">
        <f ca="1"/>
        <v>1.1954078322577444E-2</v>
      </c>
      <c r="AB84" s="162">
        <f ca="1"/>
        <v>0</v>
      </c>
      <c r="AC84" s="162">
        <f ca="1"/>
        <v>2.762124705481106E-2</v>
      </c>
      <c r="AD84" s="162">
        <f ca="1"/>
        <v>4.9713520544973244E-2</v>
      </c>
      <c r="AE84" s="138">
        <f ca="1"/>
        <v>9.0169390878207301E-2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9.328231183131086E-4</v>
      </c>
      <c r="P85" s="162">
        <f ca="1"/>
        <v>1.9471092634516518E-3</v>
      </c>
      <c r="Q85" s="162">
        <f ca="1"/>
        <v>6.6017812696441691E-3</v>
      </c>
      <c r="R85" s="162">
        <f ca="1"/>
        <v>1.2961625064310311E-2</v>
      </c>
      <c r="S85" s="162">
        <f ca="1"/>
        <v>0</v>
      </c>
      <c r="T85" s="162">
        <f ca="1"/>
        <v>3.4628922031611609E-2</v>
      </c>
      <c r="U85" s="162">
        <f ca="1"/>
        <v>6.0422316083803329E-2</v>
      </c>
      <c r="V85" s="138">
        <f ca="1"/>
        <v>9.5220314330107692E-2</v>
      </c>
      <c r="W85" s="137">
        <f ca="1"/>
        <v>0</v>
      </c>
      <c r="X85" s="162">
        <f ca="1"/>
        <v>1.0260557337316012E-3</v>
      </c>
      <c r="Y85" s="162">
        <f ca="1"/>
        <v>2.1134375508392589E-3</v>
      </c>
      <c r="Z85" s="162">
        <f ca="1"/>
        <v>6.9328588265475943E-3</v>
      </c>
      <c r="AA85" s="162">
        <f ca="1"/>
        <v>1.3455020892535141E-2</v>
      </c>
      <c r="AB85" s="162">
        <f ca="1"/>
        <v>0</v>
      </c>
      <c r="AC85" s="162">
        <f ca="1"/>
        <v>3.5433062824745343E-2</v>
      </c>
      <c r="AD85" s="162">
        <f ca="1"/>
        <v>6.1543275445759327E-2</v>
      </c>
      <c r="AE85" s="138">
        <f ca="1"/>
        <v>9.6751703088291507E-2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1.6411887681142545E-3</v>
      </c>
      <c r="P86" s="162">
        <f ca="1"/>
        <v>3.6997973726416999E-3</v>
      </c>
      <c r="Q86" s="162">
        <f ca="1"/>
        <v>9.4340558868424296E-3</v>
      </c>
      <c r="R86" s="162">
        <f ca="1"/>
        <v>1.5928768182995712E-2</v>
      </c>
      <c r="S86" s="162">
        <f ca="1"/>
        <v>0</v>
      </c>
      <c r="T86" s="162">
        <f ca="1"/>
        <v>3.1482668730990704E-2</v>
      </c>
      <c r="U86" s="162">
        <f ca="1"/>
        <v>4.7967979853688836E-2</v>
      </c>
      <c r="V86" s="138">
        <f ca="1"/>
        <v>7.3917705712064685E-2</v>
      </c>
      <c r="W86" s="137">
        <f ca="1"/>
        <v>0</v>
      </c>
      <c r="X86" s="162">
        <f ca="1"/>
        <v>1.7343514148542294E-3</v>
      </c>
      <c r="Y86" s="162">
        <f ca="1"/>
        <v>3.8658335696831747E-3</v>
      </c>
      <c r="Z86" s="162">
        <f ca="1"/>
        <v>9.7641895095680331E-3</v>
      </c>
      <c r="AA86" s="162">
        <f ca="1"/>
        <v>1.6420680810513288E-2</v>
      </c>
      <c r="AB86" s="162">
        <f ca="1"/>
        <v>0</v>
      </c>
      <c r="AC86" s="162">
        <f ca="1"/>
        <v>3.2289430309674461E-2</v>
      </c>
      <c r="AD86" s="162">
        <f ca="1"/>
        <v>4.9100795664760777E-2</v>
      </c>
      <c r="AE86" s="138">
        <f ca="1"/>
        <v>7.545989069139547E-2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1.0819943274302801E-3</v>
      </c>
      <c r="P87" s="162">
        <f ca="1"/>
        <v>2.6769513733008177E-3</v>
      </c>
      <c r="Q87" s="162">
        <f ca="1"/>
        <v>7.0287263261893385E-3</v>
      </c>
      <c r="R87" s="162">
        <f ca="1"/>
        <v>1.2270444270405467E-2</v>
      </c>
      <c r="S87" s="162">
        <f ca="1"/>
        <v>0</v>
      </c>
      <c r="T87" s="162">
        <f ca="1"/>
        <v>2.4799102108615023E-2</v>
      </c>
      <c r="U87" s="162">
        <f ca="1"/>
        <v>3.9322011693290748E-2</v>
      </c>
      <c r="V87" s="138">
        <f ca="1"/>
        <v>6.3039686767981995E-2</v>
      </c>
      <c r="W87" s="137">
        <f ca="1"/>
        <v>0</v>
      </c>
      <c r="X87" s="162">
        <f ca="1"/>
        <v>1.1752124007274878E-3</v>
      </c>
      <c r="Y87" s="162">
        <f ca="1"/>
        <v>2.8431580304651982E-3</v>
      </c>
      <c r="Z87" s="162">
        <f ca="1"/>
        <v>7.3596615918192221E-3</v>
      </c>
      <c r="AA87" s="162">
        <f ca="1"/>
        <v>1.2764185602651246E-2</v>
      </c>
      <c r="AB87" s="162">
        <f ca="1"/>
        <v>0</v>
      </c>
      <c r="AC87" s="162">
        <f ca="1"/>
        <v>2.5611431006175356E-2</v>
      </c>
      <c r="AD87" s="162">
        <f ca="1"/>
        <v>4.046555710396893E-2</v>
      </c>
      <c r="AE87" s="138">
        <f ca="1"/>
        <v>6.4626326959737246E-2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6.5306727376623908E-4</v>
      </c>
      <c r="P88" s="162">
        <f ca="1"/>
        <v>1.7751001970152114E-3</v>
      </c>
      <c r="Q88" s="162">
        <f ca="1"/>
        <v>5.5603517417048831E-3</v>
      </c>
      <c r="R88" s="162">
        <f ca="1"/>
        <v>1.0894107620365245E-2</v>
      </c>
      <c r="S88" s="162">
        <f ca="1"/>
        <v>0</v>
      </c>
      <c r="T88" s="162">
        <f ca="1"/>
        <v>2.8605900366825088E-2</v>
      </c>
      <c r="U88" s="162">
        <f ca="1"/>
        <v>4.839514352725971E-2</v>
      </c>
      <c r="V88" s="138">
        <f ca="1"/>
        <v>8.2731937085322782E-2</v>
      </c>
      <c r="W88" s="137">
        <f ca="1"/>
        <v>0</v>
      </c>
      <c r="X88" s="162">
        <f ca="1"/>
        <v>7.463268945758772E-4</v>
      </c>
      <c r="Y88" s="162">
        <f ca="1"/>
        <v>1.9414571501925604E-3</v>
      </c>
      <c r="Z88" s="162">
        <f ca="1"/>
        <v>5.8917763839408943E-3</v>
      </c>
      <c r="AA88" s="162">
        <f ca="1"/>
        <v>1.1388536948907624E-2</v>
      </c>
      <c r="AB88" s="162">
        <f ca="1"/>
        <v>0</v>
      </c>
      <c r="AC88" s="162">
        <f ca="1"/>
        <v>2.941505825393953E-2</v>
      </c>
      <c r="AD88" s="162">
        <f ca="1"/>
        <v>4.9530194612908307E-2</v>
      </c>
      <c r="AE88" s="138">
        <f ca="1"/>
        <v>8.4284985823730896E-2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1.5852833589963256E-3</v>
      </c>
      <c r="P89" s="162">
        <f ca="1"/>
        <v>3.1827840774325544E-3</v>
      </c>
      <c r="Q89" s="162">
        <f ca="1"/>
        <v>9.3492027545479806E-3</v>
      </c>
      <c r="R89" s="162">
        <f ca="1"/>
        <v>2.020246432689643E-2</v>
      </c>
      <c r="S89" s="162">
        <f ca="1"/>
        <v>0</v>
      </c>
      <c r="T89" s="162">
        <f ca="1"/>
        <v>5.1577679613853067E-2</v>
      </c>
      <c r="U89" s="162">
        <f ca="1"/>
        <v>8.5782765528977789E-2</v>
      </c>
      <c r="V89" s="138">
        <f ca="1"/>
        <v>0.14618098270282365</v>
      </c>
      <c r="W89" s="137">
        <f ca="1"/>
        <v>0</v>
      </c>
      <c r="X89" s="162">
        <f ca="1"/>
        <v>1.6784516133685479E-3</v>
      </c>
      <c r="Y89" s="162">
        <f ca="1"/>
        <v>3.3489064361654775E-3</v>
      </c>
      <c r="Z89" s="162">
        <f ca="1"/>
        <v>9.6793646569114378E-3</v>
      </c>
      <c r="AA89" s="162">
        <f ca="1"/>
        <v>2.0692240640467707E-2</v>
      </c>
      <c r="AB89" s="162">
        <f ca="1"/>
        <v>0</v>
      </c>
      <c r="AC89" s="162">
        <f ca="1"/>
        <v>5.2367702325665566E-2</v>
      </c>
      <c r="AD89" s="162">
        <f ca="1"/>
        <v>8.6871664801663639E-2</v>
      </c>
      <c r="AE89" s="138">
        <f ca="1"/>
        <v>0.1476597748782934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3.7323336580730171E-4</v>
      </c>
      <c r="P90" s="162">
        <f ca="1"/>
        <v>1.2449143166880505E-3</v>
      </c>
      <c r="Q90" s="162">
        <f ca="1"/>
        <v>5.2344411109327416E-3</v>
      </c>
      <c r="R90" s="162">
        <f ca="1"/>
        <v>1.1470314827297434E-2</v>
      </c>
      <c r="S90" s="162">
        <f ca="1"/>
        <v>0</v>
      </c>
      <c r="T90" s="162">
        <f ca="1"/>
        <v>2.9504627108868142E-2</v>
      </c>
      <c r="U90" s="162">
        <f ca="1"/>
        <v>5.0896857008805974E-2</v>
      </c>
      <c r="V90" s="138">
        <f ca="1"/>
        <v>9.5603016249296568E-2</v>
      </c>
      <c r="W90" s="137">
        <f ca="1"/>
        <v>0</v>
      </c>
      <c r="X90" s="162">
        <f ca="1"/>
        <v>4.6651966031130421E-4</v>
      </c>
      <c r="Y90" s="162">
        <f ca="1"/>
        <v>1.4113596268024997E-3</v>
      </c>
      <c r="Z90" s="162">
        <f ca="1"/>
        <v>5.5659743719645993E-3</v>
      </c>
      <c r="AA90" s="162">
        <f ca="1"/>
        <v>1.196445612424879E-2</v>
      </c>
      <c r="AB90" s="162">
        <f ca="1"/>
        <v>0</v>
      </c>
      <c r="AC90" s="162">
        <f ca="1"/>
        <v>3.0313036368967761E-2</v>
      </c>
      <c r="AD90" s="162">
        <f ca="1"/>
        <v>5.202923831279882E-2</v>
      </c>
      <c r="AE90" s="138">
        <f ca="1"/>
        <v>9.7158670145915726E-2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1.0260577247127589E-3</v>
      </c>
      <c r="P91" s="162">
        <f ca="1"/>
        <v>1.9447810220054595E-3</v>
      </c>
      <c r="Q91" s="162">
        <f ca="1"/>
        <v>5.5446114170343286E-3</v>
      </c>
      <c r="R91" s="162">
        <f ca="1"/>
        <v>1.1944140976931417E-2</v>
      </c>
      <c r="S91" s="162">
        <f ca="1"/>
        <v>0</v>
      </c>
      <c r="T91" s="162">
        <f ca="1"/>
        <v>3.2083394043840197E-2</v>
      </c>
      <c r="U91" s="162">
        <f ca="1"/>
        <v>5.1802585735892581E-2</v>
      </c>
      <c r="V91" s="138">
        <f ca="1"/>
        <v>9.3122270879251956E-2</v>
      </c>
      <c r="W91" s="137">
        <f ca="1"/>
        <v>0</v>
      </c>
      <c r="X91" s="162">
        <f ca="1"/>
        <v>1.1192812628235682E-3</v>
      </c>
      <c r="Y91" s="162">
        <f ca="1"/>
        <v>2.1111096973858157E-3</v>
      </c>
      <c r="Z91" s="162">
        <f ca="1"/>
        <v>5.8760413051597293E-3</v>
      </c>
      <c r="AA91" s="162">
        <f ca="1"/>
        <v>1.2438045420047561E-2</v>
      </c>
      <c r="AB91" s="162">
        <f ca="1"/>
        <v>0</v>
      </c>
      <c r="AC91" s="162">
        <f ca="1"/>
        <v>3.2889655226629899E-2</v>
      </c>
      <c r="AD91" s="162">
        <f ca="1"/>
        <v>5.2933691714107889E-2</v>
      </c>
      <c r="AE91" s="138">
        <f ca="1"/>
        <v>9.4678712710883683E-2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5.5979797977889767E-4</v>
      </c>
      <c r="P92" s="162">
        <f ca="1"/>
        <v>1.240321857156057E-3</v>
      </c>
      <c r="Q92" s="162">
        <f ca="1"/>
        <v>4.1738504706149149E-3</v>
      </c>
      <c r="R92" s="162">
        <f ca="1"/>
        <v>8.8476690195619101E-3</v>
      </c>
      <c r="S92" s="162">
        <f ca="1"/>
        <v>0</v>
      </c>
      <c r="T92" s="162">
        <f ca="1"/>
        <v>2.3480271419623722E-2</v>
      </c>
      <c r="U92" s="162">
        <f ca="1"/>
        <v>4.2716633713979602E-2</v>
      </c>
      <c r="V92" s="138">
        <f ca="1"/>
        <v>8.063984285282233E-2</v>
      </c>
      <c r="W92" s="137">
        <f ca="1"/>
        <v>0</v>
      </c>
      <c r="X92" s="162">
        <f ca="1"/>
        <v>6.5306652814611788E-4</v>
      </c>
      <c r="Y92" s="162">
        <f ca="1"/>
        <v>1.4067679326249527E-3</v>
      </c>
      <c r="Z92" s="162">
        <f ca="1"/>
        <v>4.5057372029347897E-3</v>
      </c>
      <c r="AA92" s="162">
        <f ca="1"/>
        <v>9.3431213116693668E-3</v>
      </c>
      <c r="AB92" s="162">
        <f ca="1"/>
        <v>0</v>
      </c>
      <c r="AC92" s="162">
        <f ca="1"/>
        <v>2.4293698884898407E-2</v>
      </c>
      <c r="AD92" s="162">
        <f ca="1"/>
        <v>4.3858636181111521E-2</v>
      </c>
      <c r="AE92" s="138">
        <f ca="1"/>
        <v>8.2196651209911376E-2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8.3957984183546941E-4</v>
      </c>
      <c r="P93" s="162">
        <f ca="1"/>
        <v>4.2747970637438959E-3</v>
      </c>
      <c r="Q93" s="162">
        <f ca="1"/>
        <v>1.2133938521199816E-2</v>
      </c>
      <c r="R93" s="162">
        <f ca="1"/>
        <v>2.3220229834684747E-2</v>
      </c>
      <c r="S93" s="162">
        <f ca="1"/>
        <v>0</v>
      </c>
      <c r="T93" s="162">
        <f ca="1"/>
        <v>5.8195370253871448E-2</v>
      </c>
      <c r="U93" s="162">
        <f ca="1"/>
        <v>9.7189637442681498E-2</v>
      </c>
      <c r="V93" s="138">
        <f ca="1"/>
        <v>0.16494712498404274</v>
      </c>
      <c r="W93" s="137">
        <f ca="1"/>
        <v>0</v>
      </c>
      <c r="X93" s="162">
        <f ca="1"/>
        <v>9.3282149653195479E-4</v>
      </c>
      <c r="Y93" s="162">
        <f ca="1"/>
        <v>4.4407374354793472E-3</v>
      </c>
      <c r="Z93" s="162">
        <f ca="1"/>
        <v>1.2463172333005756E-2</v>
      </c>
      <c r="AA93" s="162">
        <f ca="1"/>
        <v>2.3708497642654924E-2</v>
      </c>
      <c r="AB93" s="162">
        <f ca="1"/>
        <v>0</v>
      </c>
      <c r="AC93" s="162">
        <f ca="1"/>
        <v>5.8979880520646288E-2</v>
      </c>
      <c r="AD93" s="162">
        <f ca="1"/>
        <v>9.8242302025245642E-2</v>
      </c>
      <c r="AE93" s="138">
        <f ca="1"/>
        <v>0.16640212286239642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6.5306727376623908E-4</v>
      </c>
      <c r="P94" s="162">
        <f ca="1"/>
        <v>1.7751001970152114E-3</v>
      </c>
      <c r="Q94" s="162">
        <f ca="1"/>
        <v>6.9668281901001938E-3</v>
      </c>
      <c r="R94" s="162">
        <f ca="1"/>
        <v>1.6152234308011715E-2</v>
      </c>
      <c r="S94" s="162">
        <f ca="1"/>
        <v>0</v>
      </c>
      <c r="T94" s="162">
        <f ca="1"/>
        <v>4.1497902357451544E-2</v>
      </c>
      <c r="U94" s="162">
        <f ca="1"/>
        <v>7.0953296934402221E-2</v>
      </c>
      <c r="V94" s="138">
        <f ca="1"/>
        <v>0.12447568884285076</v>
      </c>
      <c r="W94" s="137">
        <f ca="1"/>
        <v>0</v>
      </c>
      <c r="X94" s="162">
        <f ca="1"/>
        <v>7.463268945758772E-4</v>
      </c>
      <c r="Y94" s="162">
        <f ca="1"/>
        <v>1.9414571501925604E-3</v>
      </c>
      <c r="Z94" s="162">
        <f ca="1"/>
        <v>7.2977840849863806E-3</v>
      </c>
      <c r="AA94" s="162">
        <f ca="1"/>
        <v>1.6644035230393261E-2</v>
      </c>
      <c r="AB94" s="162">
        <f ca="1"/>
        <v>0</v>
      </c>
      <c r="AC94" s="162">
        <f ca="1"/>
        <v>4.2296321384680979E-2</v>
      </c>
      <c r="AD94" s="162">
        <f ca="1"/>
        <v>7.2061459651388549E-2</v>
      </c>
      <c r="AE94" s="138">
        <f ca="1"/>
        <v>0.12598785589023742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4.6652001085500938E-4</v>
      </c>
      <c r="P95" s="162">
        <f ca="1"/>
        <v>1.0635468210143939E-3</v>
      </c>
      <c r="Q95" s="162">
        <f ca="1"/>
        <v>4.8864140185810312E-3</v>
      </c>
      <c r="R95" s="162">
        <f ca="1"/>
        <v>9.8907720197694005E-3</v>
      </c>
      <c r="S95" s="162">
        <f ca="1"/>
        <v>0</v>
      </c>
      <c r="T95" s="162">
        <f ca="1"/>
        <v>2.6065614052028674E-2</v>
      </c>
      <c r="U95" s="162">
        <f ca="1"/>
        <v>4.6229935064052485E-2</v>
      </c>
      <c r="V95" s="138">
        <f ca="1"/>
        <v>8.733637591207899E-2</v>
      </c>
      <c r="W95" s="137">
        <f ca="1"/>
        <v>0</v>
      </c>
      <c r="X95" s="162">
        <f ca="1"/>
        <v>5.5979745032941342E-4</v>
      </c>
      <c r="Y95" s="162">
        <f ca="1"/>
        <v>1.2300223565240298E-3</v>
      </c>
      <c r="Z95" s="162">
        <f ca="1"/>
        <v>5.2180632692884199E-3</v>
      </c>
      <c r="AA95" s="162">
        <f ca="1"/>
        <v>1.0385702890736481E-2</v>
      </c>
      <c r="AB95" s="162">
        <f ca="1"/>
        <v>0</v>
      </c>
      <c r="AC95" s="162">
        <f ca="1"/>
        <v>2.6876887962599572E-2</v>
      </c>
      <c r="AD95" s="162">
        <f ca="1"/>
        <v>4.7367820501450053E-2</v>
      </c>
      <c r="AE95" s="138">
        <f ca="1"/>
        <v>8.8904180012992384E-2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8.3957984183546941E-4</v>
      </c>
      <c r="P96" s="162">
        <f ca="1"/>
        <v>1.5914659893478955E-3</v>
      </c>
      <c r="Q96" s="162">
        <f ca="1"/>
        <v>6.2652694727072245E-3</v>
      </c>
      <c r="R96" s="162">
        <f ca="1"/>
        <v>1.1928297942182087E-2</v>
      </c>
      <c r="S96" s="162">
        <f ca="1"/>
        <v>0</v>
      </c>
      <c r="T96" s="162">
        <f ca="1"/>
        <v>3.2066929233106167E-2</v>
      </c>
      <c r="U96" s="162">
        <f ca="1"/>
        <v>5.1785989699547841E-2</v>
      </c>
      <c r="V96" s="138">
        <f ca="1"/>
        <v>9.1226094507340205E-2</v>
      </c>
      <c r="W96" s="137">
        <f ca="1"/>
        <v>0</v>
      </c>
      <c r="X96" s="162">
        <f ca="1"/>
        <v>9.3282149653195479E-4</v>
      </c>
      <c r="Y96" s="162">
        <f ca="1"/>
        <v>1.7578535456652666E-3</v>
      </c>
      <c r="Z96" s="162">
        <f ca="1"/>
        <v>6.596459181511527E-3</v>
      </c>
      <c r="AA96" s="162">
        <f ca="1"/>
        <v>1.2422210304823933E-2</v>
      </c>
      <c r="AB96" s="162">
        <f ca="1"/>
        <v>0</v>
      </c>
      <c r="AC96" s="162">
        <f ca="1"/>
        <v>3.2873204130885236E-2</v>
      </c>
      <c r="AD96" s="162">
        <f ca="1"/>
        <v>5.2917049301489882E-2</v>
      </c>
      <c r="AE96" s="138">
        <f ca="1"/>
        <v>9.2739456198081105E-2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6.5306727376623908E-4</v>
      </c>
      <c r="P97" s="162">
        <f ca="1"/>
        <v>3.0277504128022326E-3</v>
      </c>
      <c r="Q97" s="162">
        <f ca="1"/>
        <v>9.3802353544595318E-3</v>
      </c>
      <c r="R97" s="162">
        <f ca="1"/>
        <v>1.8110873545899131E-2</v>
      </c>
      <c r="S97" s="162">
        <f ca="1"/>
        <v>0</v>
      </c>
      <c r="T97" s="162">
        <f ca="1"/>
        <v>4.1157407543135571E-2</v>
      </c>
      <c r="U97" s="162">
        <f ca="1"/>
        <v>6.8043731502422045E-2</v>
      </c>
      <c r="V97" s="138">
        <f ca="1"/>
        <v>0.11514312848531216</v>
      </c>
      <c r="W97" s="137">
        <f ca="1"/>
        <v>0</v>
      </c>
      <c r="X97" s="162">
        <f ca="1"/>
        <v>7.463268945758772E-4</v>
      </c>
      <c r="Y97" s="162">
        <f ca="1"/>
        <v>3.1938986083391852E-3</v>
      </c>
      <c r="Z97" s="162">
        <f ca="1"/>
        <v>9.7103869143734256E-3</v>
      </c>
      <c r="AA97" s="162">
        <f ca="1"/>
        <v>1.8601695393442141E-2</v>
      </c>
      <c r="AB97" s="162">
        <f ca="1"/>
        <v>0</v>
      </c>
      <c r="AC97" s="162">
        <f ca="1"/>
        <v>4.1956110197846508E-2</v>
      </c>
      <c r="AD97" s="162">
        <f ca="1"/>
        <v>6.9154257728741952E-2</v>
      </c>
      <c r="AE97" s="138">
        <f ca="1"/>
        <v>0.11666467601142982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2.7993804340376016E-4</v>
      </c>
      <c r="P98" s="162">
        <f ca="1"/>
        <v>8.8902048978489745E-4</v>
      </c>
      <c r="Q98" s="162">
        <f ca="1"/>
        <v>3.1366356838529175E-3</v>
      </c>
      <c r="R98" s="162">
        <f ca="1"/>
        <v>6.7796841649726547E-3</v>
      </c>
      <c r="S98" s="162">
        <f ca="1"/>
        <v>0</v>
      </c>
      <c r="T98" s="162">
        <f ca="1"/>
        <v>1.8316296610432659E-2</v>
      </c>
      <c r="U98" s="162">
        <f ca="1"/>
        <v>3.3065105113903037E-2</v>
      </c>
      <c r="V98" s="138">
        <f ca="1"/>
        <v>5.9729406161803222E-2</v>
      </c>
      <c r="W98" s="137">
        <f ca="1"/>
        <v>0</v>
      </c>
      <c r="X98" s="162">
        <f ca="1"/>
        <v>3.7323315725501516E-4</v>
      </c>
      <c r="Y98" s="162">
        <f ca="1"/>
        <v>1.0555251106070251E-3</v>
      </c>
      <c r="Z98" s="162">
        <f ca="1"/>
        <v>3.4688680967992491E-3</v>
      </c>
      <c r="AA98" s="162">
        <f ca="1"/>
        <v>7.2761701910581955E-3</v>
      </c>
      <c r="AB98" s="162">
        <f ca="1"/>
        <v>0</v>
      </c>
      <c r="AC98" s="162">
        <f ca="1"/>
        <v>1.9134025595514359E-2</v>
      </c>
      <c r="AD98" s="162">
        <f ca="1"/>
        <v>3.4217992396569197E-2</v>
      </c>
      <c r="AE98" s="138">
        <f ca="1"/>
        <v>6.1325372349207652E-2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1.5386931361407452E-3</v>
      </c>
      <c r="P99" s="162">
        <f ca="1"/>
        <v>4.4888519075370059E-3</v>
      </c>
      <c r="Q99" s="162">
        <f ca="1"/>
        <v>1.1160609028969315E-2</v>
      </c>
      <c r="R99" s="162">
        <f ca="1"/>
        <v>1.8151787609635095E-2</v>
      </c>
      <c r="S99" s="162">
        <f ca="1"/>
        <v>0</v>
      </c>
      <c r="T99" s="162">
        <f ca="1"/>
        <v>3.563890334288955E-2</v>
      </c>
      <c r="U99" s="162">
        <f ca="1"/>
        <v>5.4298721680427819E-2</v>
      </c>
      <c r="V99" s="138">
        <f ca="1"/>
        <v>8.3602863583755793E-2</v>
      </c>
      <c r="W99" s="137">
        <f ca="1"/>
        <v>0</v>
      </c>
      <c r="X99" s="162">
        <f ca="1"/>
        <v>1.631866052319797E-3</v>
      </c>
      <c r="Y99" s="162">
        <f ca="1"/>
        <v>4.6547566064524259E-3</v>
      </c>
      <c r="Z99" s="162">
        <f ca="1"/>
        <v>1.1490167229876946E-2</v>
      </c>
      <c r="AA99" s="162">
        <f ca="1"/>
        <v>1.8642589005256949E-2</v>
      </c>
      <c r="AB99" s="162">
        <f ca="1"/>
        <v>0</v>
      </c>
      <c r="AC99" s="162">
        <f ca="1"/>
        <v>3.644220283547539E-2</v>
      </c>
      <c r="AD99" s="162">
        <f ca="1"/>
        <v>5.5423809605555041E-2</v>
      </c>
      <c r="AE99" s="138">
        <f ca="1"/>
        <v>8.512892007747197E-2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3.7323336580730171E-4</v>
      </c>
      <c r="P100" s="162">
        <f ca="1"/>
        <v>1.2449143166880505E-3</v>
      </c>
      <c r="Q100" s="162">
        <f ca="1"/>
        <v>4.1785190427511276E-3</v>
      </c>
      <c r="R100" s="162">
        <f ca="1"/>
        <v>7.2505333707766351E-3</v>
      </c>
      <c r="S100" s="162">
        <f ca="1"/>
        <v>0</v>
      </c>
      <c r="T100" s="162">
        <f ca="1"/>
        <v>1.8213196357388162E-2</v>
      </c>
      <c r="U100" s="162">
        <f ca="1"/>
        <v>3.0345920254504111E-2</v>
      </c>
      <c r="V100" s="138">
        <f ca="1"/>
        <v>5.221745153901225E-2</v>
      </c>
      <c r="W100" s="137">
        <f ca="1"/>
        <v>0</v>
      </c>
      <c r="X100" s="162">
        <f ca="1"/>
        <v>4.6651966031130421E-4</v>
      </c>
      <c r="Y100" s="162">
        <f ca="1"/>
        <v>1.4113596268024997E-3</v>
      </c>
      <c r="Z100" s="162">
        <f ca="1"/>
        <v>4.5104042191320692E-3</v>
      </c>
      <c r="AA100" s="162">
        <f ca="1"/>
        <v>7.7467840310747604E-3</v>
      </c>
      <c r="AB100" s="162">
        <f ca="1"/>
        <v>0</v>
      </c>
      <c r="AC100" s="162">
        <f ca="1"/>
        <v>1.9031011223587635E-2</v>
      </c>
      <c r="AD100" s="162">
        <f ca="1"/>
        <v>3.1500975043923241E-2</v>
      </c>
      <c r="AE100" s="138">
        <f ca="1"/>
        <v>5.3825130386168318E-2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5.5979797977889767E-4</v>
      </c>
      <c r="P101" s="162">
        <f ca="1"/>
        <v>2.6722870035778001E-3</v>
      </c>
      <c r="Q101" s="162">
        <f ca="1"/>
        <v>7.9913100639581458E-3</v>
      </c>
      <c r="R101" s="162">
        <f ca="1"/>
        <v>1.7665001736746788E-2</v>
      </c>
      <c r="S101" s="162">
        <f ca="1"/>
        <v>0</v>
      </c>
      <c r="T101" s="162">
        <f ca="1"/>
        <v>4.5722077725159682E-2</v>
      </c>
      <c r="U101" s="162">
        <f ca="1"/>
        <v>7.9193797743492778E-2</v>
      </c>
      <c r="V101" s="138">
        <f ca="1"/>
        <v>0.13916696631799386</v>
      </c>
      <c r="W101" s="137">
        <f ca="1"/>
        <v>0</v>
      </c>
      <c r="X101" s="162">
        <f ca="1"/>
        <v>6.5306652814611788E-4</v>
      </c>
      <c r="Y101" s="162">
        <f ca="1"/>
        <v>2.8384944380734911E-3</v>
      </c>
      <c r="Z101" s="162">
        <f ca="1"/>
        <v>8.3219245217807103E-3</v>
      </c>
      <c r="AA101" s="162">
        <f ca="1"/>
        <v>1.8156046464468445E-2</v>
      </c>
      <c r="AB101" s="162">
        <f ca="1"/>
        <v>0</v>
      </c>
      <c r="AC101" s="162">
        <f ca="1"/>
        <v>4.6516978072559612E-2</v>
      </c>
      <c r="AD101" s="162">
        <f ca="1"/>
        <v>8.0291230889795173E-2</v>
      </c>
      <c r="AE101" s="138">
        <f ca="1"/>
        <v>0.14065878888306882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3.7323336580730171E-4</v>
      </c>
      <c r="P102" s="162">
        <f ca="1"/>
        <v>8.8674049945458577E-4</v>
      </c>
      <c r="Q102" s="162">
        <f ca="1"/>
        <v>3.1343248822098824E-3</v>
      </c>
      <c r="R102" s="162">
        <f ca="1"/>
        <v>6.2428968736413237E-3</v>
      </c>
      <c r="S102" s="162">
        <f ca="1"/>
        <v>0</v>
      </c>
      <c r="T102" s="162">
        <f ca="1"/>
        <v>1.7452518099664416E-2</v>
      </c>
      <c r="U102" s="162">
        <f ca="1"/>
        <v>3.057651606717704E-2</v>
      </c>
      <c r="V102" s="138">
        <f ca="1"/>
        <v>5.8273903987038134E-2</v>
      </c>
      <c r="W102" s="137">
        <f ca="1"/>
        <v>0</v>
      </c>
      <c r="X102" s="162">
        <f ca="1"/>
        <v>4.6651966031130421E-4</v>
      </c>
      <c r="Y102" s="162">
        <f ca="1"/>
        <v>1.0532455002362218E-3</v>
      </c>
      <c r="Z102" s="162">
        <f ca="1"/>
        <v>3.46655806531182E-3</v>
      </c>
      <c r="AA102" s="162">
        <f ca="1"/>
        <v>6.7396512262591912E-3</v>
      </c>
      <c r="AB102" s="162">
        <f ca="1"/>
        <v>0</v>
      </c>
      <c r="AC102" s="162">
        <f ca="1"/>
        <v>1.8270966600319016E-2</v>
      </c>
      <c r="AD102" s="162">
        <f ca="1"/>
        <v>3.1732005614544923E-2</v>
      </c>
      <c r="AE102" s="138">
        <f ca="1"/>
        <v>5.9872128655593992E-2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4.6652001085500938E-4</v>
      </c>
      <c r="P103" s="162">
        <f ca="1"/>
        <v>8.844606846132308E-4</v>
      </c>
      <c r="Q103" s="162">
        <f ca="1"/>
        <v>3.1320142232996728E-3</v>
      </c>
      <c r="R103" s="162">
        <f ca="1"/>
        <v>6.7750041363474622E-3</v>
      </c>
      <c r="S103" s="162">
        <f ca="1"/>
        <v>0</v>
      </c>
      <c r="T103" s="162">
        <f ca="1"/>
        <v>1.7411928980842539E-2</v>
      </c>
      <c r="U103" s="162">
        <f ca="1"/>
        <v>3.0535597829280392E-2</v>
      </c>
      <c r="V103" s="138">
        <f ca="1"/>
        <v>4.8519853102494959E-2</v>
      </c>
      <c r="W103" s="137">
        <f ca="1"/>
        <v>0</v>
      </c>
      <c r="X103" s="162">
        <f ca="1"/>
        <v>5.5979745032941342E-4</v>
      </c>
      <c r="Y103" s="162">
        <f ca="1"/>
        <v>1.0509660653243991E-3</v>
      </c>
      <c r="Z103" s="162">
        <f ca="1"/>
        <v>3.4642481765090327E-3</v>
      </c>
      <c r="AA103" s="162">
        <f ca="1"/>
        <v>7.2714925018608767E-3</v>
      </c>
      <c r="AB103" s="162">
        <f ca="1"/>
        <v>0</v>
      </c>
      <c r="AC103" s="162">
        <f ca="1"/>
        <v>1.8230411291667137E-2</v>
      </c>
      <c r="AD103" s="162">
        <f ca="1"/>
        <v>3.169096945321459E-2</v>
      </c>
      <c r="AE103" s="138">
        <f ca="1"/>
        <v>5.0134089477654742E-2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2.7993804340376016E-4</v>
      </c>
      <c r="P104" s="162">
        <f ca="1"/>
        <v>1.9634119701628094E-3</v>
      </c>
      <c r="Q104" s="162">
        <f ca="1"/>
        <v>5.211756265185552E-3</v>
      </c>
      <c r="R104" s="162">
        <f ca="1"/>
        <v>1.0380714121772883E-2</v>
      </c>
      <c r="S104" s="162">
        <f ca="1"/>
        <v>0</v>
      </c>
      <c r="T104" s="162">
        <f ca="1"/>
        <v>2.5085864912843703E-2</v>
      </c>
      <c r="U104" s="162">
        <f ca="1"/>
        <v>4.3640308785400705E-2</v>
      </c>
      <c r="V104" s="138">
        <f ca="1"/>
        <v>7.815602443251457E-2</v>
      </c>
      <c r="W104" s="137">
        <f ca="1"/>
        <v>0</v>
      </c>
      <c r="X104" s="162">
        <f ca="1"/>
        <v>3.7323315725501516E-4</v>
      </c>
      <c r="Y104" s="162">
        <f ca="1"/>
        <v>2.12973754064405E-3</v>
      </c>
      <c r="Z104" s="162">
        <f ca="1"/>
        <v>5.5432970865684217E-3</v>
      </c>
      <c r="AA104" s="162">
        <f ca="1"/>
        <v>1.0875400082925202E-2</v>
      </c>
      <c r="AB104" s="162">
        <f ca="1"/>
        <v>0</v>
      </c>
      <c r="AC104" s="162">
        <f ca="1"/>
        <v>2.589795494092173E-2</v>
      </c>
      <c r="AD104" s="162">
        <f ca="1"/>
        <v>4.4780607521750504E-2</v>
      </c>
      <c r="AE104" s="138">
        <f ca="1"/>
        <v>7.9717252546947392E-2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2.7993804340376016E-4</v>
      </c>
      <c r="P105" s="162">
        <f ca="1"/>
        <v>8.8902048978489745E-4</v>
      </c>
      <c r="Q105" s="162">
        <f ca="1"/>
        <v>3.1366356838529175E-3</v>
      </c>
      <c r="R105" s="162">
        <f ca="1"/>
        <v>6.7796841649726547E-3</v>
      </c>
      <c r="S105" s="162">
        <f ca="1"/>
        <v>0</v>
      </c>
      <c r="T105" s="162">
        <f ca="1"/>
        <v>1.8316296610432659E-2</v>
      </c>
      <c r="U105" s="162">
        <f ca="1"/>
        <v>3.3065105113903037E-2</v>
      </c>
      <c r="V105" s="138">
        <f ca="1"/>
        <v>5.9729406161803222E-2</v>
      </c>
      <c r="W105" s="137">
        <f ca="1"/>
        <v>0</v>
      </c>
      <c r="X105" s="162">
        <f ca="1"/>
        <v>3.7323315725501516E-4</v>
      </c>
      <c r="Y105" s="162">
        <f ca="1"/>
        <v>1.0555251106070251E-3</v>
      </c>
      <c r="Z105" s="162">
        <f ca="1"/>
        <v>3.4688680967992491E-3</v>
      </c>
      <c r="AA105" s="162">
        <f ca="1"/>
        <v>7.2761701910581955E-3</v>
      </c>
      <c r="AB105" s="162">
        <f ca="1"/>
        <v>0</v>
      </c>
      <c r="AC105" s="162">
        <f ca="1"/>
        <v>1.9134025595514359E-2</v>
      </c>
      <c r="AD105" s="162">
        <f ca="1"/>
        <v>3.4217992396569197E-2</v>
      </c>
      <c r="AE105" s="138">
        <f ca="1"/>
        <v>6.1325372349207652E-2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8.3957984183546941E-4</v>
      </c>
      <c r="P106" s="162">
        <f ca="1"/>
        <v>1.5914659893478955E-3</v>
      </c>
      <c r="Q106" s="162">
        <f ca="1"/>
        <v>6.2652694727072245E-3</v>
      </c>
      <c r="R106" s="162">
        <f ca="1"/>
        <v>1.3526462588046684E-2</v>
      </c>
      <c r="S106" s="162">
        <f ca="1"/>
        <v>0</v>
      </c>
      <c r="T106" s="162">
        <f ca="1"/>
        <v>3.7294889724537095E-2</v>
      </c>
      <c r="U106" s="162">
        <f ca="1"/>
        <v>6.5273789485450484E-2</v>
      </c>
      <c r="V106" s="138">
        <f ca="1"/>
        <v>0.10927474301031925</v>
      </c>
      <c r="W106" s="137">
        <f ca="1"/>
        <v>0</v>
      </c>
      <c r="X106" s="162">
        <f ca="1"/>
        <v>9.3282149653195479E-4</v>
      </c>
      <c r="Y106" s="162">
        <f ca="1"/>
        <v>1.7578535456652666E-3</v>
      </c>
      <c r="Z106" s="162">
        <f ca="1"/>
        <v>6.596459181511527E-3</v>
      </c>
      <c r="AA106" s="162">
        <f ca="1"/>
        <v>1.4019576068110551E-2</v>
      </c>
      <c r="AB106" s="162">
        <f ca="1"/>
        <v>0</v>
      </c>
      <c r="AC106" s="162">
        <f ca="1"/>
        <v>3.8096809803310205E-2</v>
      </c>
      <c r="AD106" s="162">
        <f ca="1"/>
        <v>6.6389204476217989E-2</v>
      </c>
      <c r="AE106" s="138">
        <f ca="1"/>
        <v>0.11080708764932479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2.7993804340376016E-4</v>
      </c>
      <c r="P107" s="162">
        <f ca="1"/>
        <v>8.8902048978489745E-4</v>
      </c>
      <c r="Q107" s="162">
        <f ca="1"/>
        <v>4.1932439637071273E-3</v>
      </c>
      <c r="R107" s="162">
        <f ca="1"/>
        <v>8.3334388968291373E-3</v>
      </c>
      <c r="S107" s="162">
        <f ca="1"/>
        <v>0</v>
      </c>
      <c r="T107" s="162">
        <f ca="1"/>
        <v>2.2642363850361891E-2</v>
      </c>
      <c r="U107" s="162">
        <f ca="1"/>
        <v>4.156844754317135E-2</v>
      </c>
      <c r="V107" s="138">
        <f ca="1"/>
        <v>7.7135745751735207E-2</v>
      </c>
      <c r="W107" s="137">
        <f ca="1"/>
        <v>0</v>
      </c>
      <c r="X107" s="162">
        <f ca="1"/>
        <v>3.7323315725501516E-4</v>
      </c>
      <c r="Y107" s="162">
        <f ca="1"/>
        <v>1.0555251106070251E-3</v>
      </c>
      <c r="Z107" s="162">
        <f ca="1"/>
        <v>4.5251242326168617E-3</v>
      </c>
      <c r="AA107" s="162">
        <f ca="1"/>
        <v>8.8291482396998244E-3</v>
      </c>
      <c r="AB107" s="162">
        <f ca="1"/>
        <v>0</v>
      </c>
      <c r="AC107" s="162">
        <f ca="1"/>
        <v>2.3456489281079129E-2</v>
      </c>
      <c r="AD107" s="162">
        <f ca="1"/>
        <v>4.2711895817648671E-2</v>
      </c>
      <c r="AE107" s="138">
        <f ca="1"/>
        <v>7.8699803771755228E-2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6.5306727376623908E-4</v>
      </c>
      <c r="P108" s="162">
        <f ca="1"/>
        <v>1.9540950627774389E-3</v>
      </c>
      <c r="Q108" s="162">
        <f ca="1"/>
        <v>6.9604578917498161E-3</v>
      </c>
      <c r="R108" s="162">
        <f ca="1"/>
        <v>1.5081471201215391E-2</v>
      </c>
      <c r="S108" s="162">
        <f ca="1"/>
        <v>0</v>
      </c>
      <c r="T108" s="162">
        <f ca="1"/>
        <v>4.246292925227757E-2</v>
      </c>
      <c r="U108" s="162">
        <f ca="1"/>
        <v>7.2213030144219759E-2</v>
      </c>
      <c r="V108" s="138">
        <f ca="1"/>
        <v>0.12239001956426077</v>
      </c>
      <c r="W108" s="137">
        <f ca="1"/>
        <v>0</v>
      </c>
      <c r="X108" s="162">
        <f ca="1"/>
        <v>7.463268945758772E-4</v>
      </c>
      <c r="Y108" s="162">
        <f ca="1"/>
        <v>2.1204221859507655E-3</v>
      </c>
      <c r="Z108" s="162">
        <f ca="1"/>
        <v>7.2914159097038356E-3</v>
      </c>
      <c r="AA108" s="162">
        <f ca="1"/>
        <v>1.5573807371301984E-2</v>
      </c>
      <c r="AB108" s="162">
        <f ca="1"/>
        <v>0</v>
      </c>
      <c r="AC108" s="162">
        <f ca="1"/>
        <v>4.3260544425392733E-2</v>
      </c>
      <c r="AD108" s="162">
        <f ca="1"/>
        <v>7.3320051437544609E-2</v>
      </c>
      <c r="AE108" s="138">
        <f ca="1"/>
        <v>0.12390376990509944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3.7323336580730171E-4</v>
      </c>
      <c r="P109" s="162">
        <f ca="1"/>
        <v>1.6030283033110493E-3</v>
      </c>
      <c r="Q109" s="162">
        <f ca="1"/>
        <v>4.8700483693252528E-3</v>
      </c>
      <c r="R109" s="162">
        <f ca="1"/>
        <v>8.8070161997834129E-3</v>
      </c>
      <c r="S109" s="162">
        <f ca="1"/>
        <v>0</v>
      </c>
      <c r="T109" s="162">
        <f ca="1"/>
        <v>2.164432647283876E-2</v>
      </c>
      <c r="U109" s="162">
        <f ca="1"/>
        <v>3.5042792717268401E-2</v>
      </c>
      <c r="V109" s="138">
        <f ca="1"/>
        <v>5.8737854043415472E-2</v>
      </c>
      <c r="W109" s="137">
        <f ca="1"/>
        <v>0</v>
      </c>
      <c r="X109" s="162">
        <f ca="1"/>
        <v>4.6651966031130421E-4</v>
      </c>
      <c r="Y109" s="162">
        <f ca="1"/>
        <v>1.7694139327362191E-3</v>
      </c>
      <c r="Z109" s="162">
        <f ca="1"/>
        <v>5.2017030743303216E-3</v>
      </c>
      <c r="AA109" s="162">
        <f ca="1"/>
        <v>9.3024888132157146E-3</v>
      </c>
      <c r="AB109" s="162">
        <f ca="1"/>
        <v>0</v>
      </c>
      <c r="AC109" s="162">
        <f ca="1"/>
        <v>2.2459283254924078E-2</v>
      </c>
      <c r="AD109" s="162">
        <f ca="1"/>
        <v>3.6192424529597034E-2</v>
      </c>
      <c r="AE109" s="138">
        <f ca="1"/>
        <v>6.0333718677983872E-2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7.4632789407114153E-4</v>
      </c>
      <c r="P110" s="162">
        <f ca="1"/>
        <v>1.4147615767606814E-3</v>
      </c>
      <c r="Q110" s="162">
        <f ca="1"/>
        <v>5.9222926548627708E-3</v>
      </c>
      <c r="R110" s="162">
        <f ca="1"/>
        <v>1.1953877614660602E-2</v>
      </c>
      <c r="S110" s="162">
        <f ca="1"/>
        <v>0</v>
      </c>
      <c r="T110" s="162">
        <f ca="1"/>
        <v>3.6554070602558442E-2</v>
      </c>
      <c r="U110" s="162">
        <f ca="1"/>
        <v>6.4237320522692265E-2</v>
      </c>
      <c r="V110" s="138">
        <f ca="1"/>
        <v>0.11160055456720497</v>
      </c>
      <c r="W110" s="137">
        <f ca="1"/>
        <v>0</v>
      </c>
      <c r="X110" s="162">
        <f ca="1"/>
        <v>8.3957855043315099E-4</v>
      </c>
      <c r="Y110" s="162">
        <f ca="1"/>
        <v>1.5811785813643064E-3</v>
      </c>
      <c r="Z110" s="162">
        <f ca="1"/>
        <v>6.2535966702557122E-3</v>
      </c>
      <c r="AA110" s="162">
        <f ca="1"/>
        <v>1.2447777190660148E-2</v>
      </c>
      <c r="AB110" s="162">
        <f ca="1"/>
        <v>0</v>
      </c>
      <c r="AC110" s="162">
        <f ca="1"/>
        <v>3.7356607773486594E-2</v>
      </c>
      <c r="AD110" s="162">
        <f ca="1"/>
        <v>6.5354449759076227E-2</v>
      </c>
      <c r="AE110" s="138">
        <f ca="1"/>
        <v>0.11313176071149944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1.4921007477396442E-3</v>
      </c>
      <c r="P111" s="162">
        <f ca="1"/>
        <v>3.3639700981811238E-3</v>
      </c>
      <c r="Q111" s="162">
        <f ca="1"/>
        <v>8.2924115581352043E-3</v>
      </c>
      <c r="R111" s="162">
        <f ca="1"/>
        <v>1.3875146335474264E-2</v>
      </c>
      <c r="S111" s="162">
        <f ca="1"/>
        <v>0</v>
      </c>
      <c r="T111" s="162">
        <f ca="1"/>
        <v>2.8148555197919034E-2</v>
      </c>
      <c r="U111" s="162">
        <f ca="1"/>
        <v>4.3397815600599743E-2</v>
      </c>
      <c r="V111" s="138">
        <f ca="1"/>
        <v>6.9494174304530976E-2</v>
      </c>
      <c r="W111" s="137">
        <f ca="1"/>
        <v>0</v>
      </c>
      <c r="X111" s="162">
        <f ca="1"/>
        <v>1.5852783155836381E-3</v>
      </c>
      <c r="Y111" s="162">
        <f ca="1"/>
        <v>3.530062261764888E-3</v>
      </c>
      <c r="Z111" s="162">
        <f ca="1"/>
        <v>8.6229256655241393E-3</v>
      </c>
      <c r="AA111" s="162">
        <f ca="1"/>
        <v>1.4368085517261209E-2</v>
      </c>
      <c r="AB111" s="162">
        <f ca="1"/>
        <v>0</v>
      </c>
      <c r="AC111" s="162">
        <f ca="1"/>
        <v>2.895809404722105E-2</v>
      </c>
      <c r="AD111" s="162">
        <f ca="1"/>
        <v>4.4536255721834173E-2</v>
      </c>
      <c r="AE111" s="138">
        <f ca="1"/>
        <v>7.1068574715796973E-2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6.5306727376623908E-4</v>
      </c>
      <c r="P112" s="162">
        <f ca="1"/>
        <v>2.4909899789414824E-3</v>
      </c>
      <c r="Q112" s="162">
        <f ca="1"/>
        <v>8.6976831091630791E-3</v>
      </c>
      <c r="R112" s="162">
        <f ca="1"/>
        <v>1.8696967062251213E-2</v>
      </c>
      <c r="S112" s="162">
        <f ca="1"/>
        <v>0</v>
      </c>
      <c r="T112" s="162">
        <f ca="1"/>
        <v>4.8261758462700421E-2</v>
      </c>
      <c r="U112" s="162">
        <f ca="1"/>
        <v>8.3872036021117924E-2</v>
      </c>
      <c r="V112" s="138">
        <f ca="1"/>
        <v>0.14536516062229077</v>
      </c>
      <c r="W112" s="137">
        <f ca="1"/>
        <v>0</v>
      </c>
      <c r="X112" s="162">
        <f ca="1"/>
        <v>7.463268945758772E-4</v>
      </c>
      <c r="Y112" s="162">
        <f ca="1"/>
        <v>2.6572276270901973E-3</v>
      </c>
      <c r="Z112" s="162">
        <f ca="1"/>
        <v>9.0280621485629986E-3</v>
      </c>
      <c r="AA112" s="162">
        <f ca="1"/>
        <v>1.9187495936267673E-2</v>
      </c>
      <c r="AB112" s="162">
        <f ca="1"/>
        <v>0</v>
      </c>
      <c r="AC112" s="162">
        <f ca="1"/>
        <v>4.9054543291077723E-2</v>
      </c>
      <c r="AD112" s="162">
        <f ca="1"/>
        <v>8.4963258261449681E-2</v>
      </c>
      <c r="AE112" s="138">
        <f ca="1"/>
        <v>0.14684764091774805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1.1192836622428981E-3</v>
      </c>
      <c r="P113" s="162">
        <f ca="1"/>
        <v>3.0158610201663771E-3</v>
      </c>
      <c r="Q113" s="162">
        <f ca="1"/>
        <v>1.0771096169446714E-2</v>
      </c>
      <c r="R113" s="162">
        <f ca="1"/>
        <v>2.1212052440211737E-2</v>
      </c>
      <c r="S113" s="162">
        <f ca="1"/>
        <v>0</v>
      </c>
      <c r="T113" s="162">
        <f ca="1"/>
        <v>4.3480702066770349E-2</v>
      </c>
      <c r="U113" s="162">
        <f ca="1"/>
        <v>7.2528654496701428E-2</v>
      </c>
      <c r="V113" s="138">
        <f ca="1"/>
        <v>0.13056118031073161</v>
      </c>
      <c r="W113" s="137">
        <f ca="1"/>
        <v>0</v>
      </c>
      <c r="X113" s="162">
        <f ca="1"/>
        <v>1.2124980846444089E-3</v>
      </c>
      <c r="Y113" s="162">
        <f ca="1"/>
        <v>3.1820111971042619E-3</v>
      </c>
      <c r="Z113" s="162">
        <f ca="1"/>
        <v>1.1100784186351631E-2</v>
      </c>
      <c r="AA113" s="162">
        <f ca="1"/>
        <v>2.1701324085889317E-2</v>
      </c>
      <c r="AB113" s="162">
        <f ca="1"/>
        <v>0</v>
      </c>
      <c r="AC113" s="162">
        <f ca="1"/>
        <v>4.4277469449172213E-2</v>
      </c>
      <c r="AD113" s="162">
        <f ca="1"/>
        <v>7.3632743976443149E-2</v>
      </c>
      <c r="AE113" s="138">
        <f ca="1"/>
        <v>0.13206318908950165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1.6784573086520149E-3</v>
      </c>
      <c r="P114" s="162">
        <f ca="1"/>
        <v>3.7167087975891189E-3</v>
      </c>
      <c r="Q114" s="162">
        <f ca="1"/>
        <v>7.9236940966956881E-3</v>
      </c>
      <c r="R114" s="162">
        <f ca="1"/>
        <v>1.3874246263868462E-2</v>
      </c>
      <c r="S114" s="162">
        <f ca="1"/>
        <v>0</v>
      </c>
      <c r="T114" s="162">
        <f ca="1"/>
        <v>3.2607991266016656E-2</v>
      </c>
      <c r="U114" s="162">
        <f ca="1"/>
        <v>5.5213564664677861E-2</v>
      </c>
      <c r="V114" s="138">
        <f ca="1"/>
        <v>9.7792095568465909E-2</v>
      </c>
      <c r="W114" s="137">
        <f ca="1"/>
        <v>0</v>
      </c>
      <c r="X114" s="162">
        <f ca="1"/>
        <v>1.7716162088096121E-3</v>
      </c>
      <c r="Y114" s="162">
        <f ca="1"/>
        <v>3.8827421762884784E-3</v>
      </c>
      <c r="Z114" s="162">
        <f ca="1"/>
        <v>8.254331089444733E-3</v>
      </c>
      <c r="AA114" s="162">
        <f ca="1"/>
        <v>1.4367185895575285E-2</v>
      </c>
      <c r="AB114" s="162">
        <f ca="1"/>
        <v>0</v>
      </c>
      <c r="AC114" s="162">
        <f ca="1"/>
        <v>3.3413815466552976E-2</v>
      </c>
      <c r="AD114" s="162">
        <f ca="1"/>
        <v>5.6339476467052507E-2</v>
      </c>
      <c r="AE114" s="138">
        <f ca="1"/>
        <v>9.9340769105197957E-2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5.5979797977889767E-4</v>
      </c>
      <c r="P115" s="162">
        <f ca="1"/>
        <v>1.4193698277626954E-3</v>
      </c>
      <c r="Q115" s="162">
        <f ca="1"/>
        <v>4.8715864722710389E-3</v>
      </c>
      <c r="R115" s="162">
        <f ca="1"/>
        <v>9.8757249032300765E-3</v>
      </c>
      <c r="S115" s="162">
        <f ca="1"/>
        <v>0</v>
      </c>
      <c r="T115" s="162">
        <f ca="1"/>
        <v>2.605009948253223E-2</v>
      </c>
      <c r="U115" s="162">
        <f ca="1"/>
        <v>4.4915204828270605E-2</v>
      </c>
      <c r="V115" s="138">
        <f ca="1"/>
        <v>8.5591746977700223E-2</v>
      </c>
      <c r="W115" s="137">
        <f ca="1"/>
        <v>0</v>
      </c>
      <c r="X115" s="162">
        <f ca="1"/>
        <v>6.5306652814611788E-4</v>
      </c>
      <c r="Y115" s="162">
        <f ca="1"/>
        <v>1.5857860643807564E-3</v>
      </c>
      <c r="Z115" s="162">
        <f ca="1"/>
        <v>5.2032406646589369E-3</v>
      </c>
      <c r="AA115" s="162">
        <f ca="1"/>
        <v>1.0370663295849791E-2</v>
      </c>
      <c r="AB115" s="162">
        <f ca="1"/>
        <v>0</v>
      </c>
      <c r="AC115" s="162">
        <f ca="1"/>
        <v>2.6861386316491709E-2</v>
      </c>
      <c r="AD115" s="162">
        <f ca="1"/>
        <v>4.6054433768320302E-2</v>
      </c>
      <c r="AE115" s="138">
        <f ca="1"/>
        <v>8.7161786940343267E-2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8.3957984183546941E-4</v>
      </c>
      <c r="P116" s="162">
        <f ca="1"/>
        <v>1.7704593110083877E-3</v>
      </c>
      <c r="Q116" s="162">
        <f ca="1"/>
        <v>6.2589440363874926E-3</v>
      </c>
      <c r="R116" s="162">
        <f ca="1"/>
        <v>1.0856044215144411E-2</v>
      </c>
      <c r="S116" s="162">
        <f ca="1"/>
        <v>0</v>
      </c>
      <c r="T116" s="162">
        <f ca="1"/>
        <v>2.8566568733465414E-2</v>
      </c>
      <c r="U116" s="162">
        <f ca="1"/>
        <v>4.9651580014499319E-2</v>
      </c>
      <c r="V116" s="138">
        <f ca="1"/>
        <v>9.0125608656967504E-2</v>
      </c>
      <c r="W116" s="137">
        <f ca="1"/>
        <v>0</v>
      </c>
      <c r="X116" s="162">
        <f ca="1"/>
        <v>9.3282149653195479E-4</v>
      </c>
      <c r="Y116" s="162">
        <f ca="1"/>
        <v>1.9368170375863025E-3</v>
      </c>
      <c r="Z116" s="162">
        <f ca="1"/>
        <v>6.5901358533536625E-3</v>
      </c>
      <c r="AA116" s="162">
        <f ca="1"/>
        <v>1.1350492570648574E-2</v>
      </c>
      <c r="AB116" s="162">
        <f ca="1"/>
        <v>0</v>
      </c>
      <c r="AC116" s="162">
        <f ca="1"/>
        <v>2.9375759383282074E-2</v>
      </c>
      <c r="AD116" s="162">
        <f ca="1"/>
        <v>5.078509585304769E-2</v>
      </c>
      <c r="AE116" s="138">
        <f ca="1"/>
        <v>9.1687518608984275E-2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4.6652001085500938E-4</v>
      </c>
      <c r="P117" s="162">
        <f ca="1"/>
        <v>1.2426179985509656E-3</v>
      </c>
      <c r="Q117" s="162">
        <f ca="1"/>
        <v>4.1761846850593143E-3</v>
      </c>
      <c r="R117" s="162">
        <f ca="1"/>
        <v>9.3838122483875797E-3</v>
      </c>
      <c r="S117" s="162">
        <f ca="1"/>
        <v>0</v>
      </c>
      <c r="T117" s="162">
        <f ca="1"/>
        <v>2.5236595007853468E-2</v>
      </c>
      <c r="U117" s="162">
        <f ca="1"/>
        <v>4.2492423534434831E-2</v>
      </c>
      <c r="V117" s="138">
        <f ca="1"/>
        <v>8.2331273222455259E-2</v>
      </c>
      <c r="W117" s="137">
        <f ca="1"/>
        <v>0</v>
      </c>
      <c r="X117" s="162">
        <f ca="1"/>
        <v>5.5979745032941342E-4</v>
      </c>
      <c r="Y117" s="162">
        <f ca="1"/>
        <v>1.4090636913586252E-3</v>
      </c>
      <c r="Z117" s="162">
        <f ca="1"/>
        <v>4.5080706394147185E-3</v>
      </c>
      <c r="AA117" s="162">
        <f ca="1"/>
        <v>9.8789965358817566E-3</v>
      </c>
      <c r="AB117" s="162">
        <f ca="1"/>
        <v>0</v>
      </c>
      <c r="AC117" s="162">
        <f ca="1"/>
        <v>2.6048559479822209E-2</v>
      </c>
      <c r="AD117" s="162">
        <f ca="1"/>
        <v>4.3634511980495061E-2</v>
      </c>
      <c r="AE117" s="138">
        <f ca="1"/>
        <v>8.3859447268336718E-2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1.866340424340196E-4</v>
      </c>
      <c r="P118" s="162">
        <f ca="1"/>
        <v>8.913006555208991E-4</v>
      </c>
      <c r="Q118" s="162">
        <f ca="1"/>
        <v>3.4912162161596649E-3</v>
      </c>
      <c r="R118" s="162">
        <f ca="1"/>
        <v>7.8343819667003878E-3</v>
      </c>
      <c r="S118" s="162">
        <f ca="1"/>
        <v>0</v>
      </c>
      <c r="T118" s="162">
        <f ca="1"/>
        <v>2.0023149537712115E-2</v>
      </c>
      <c r="U118" s="162">
        <f ca="1"/>
        <v>3.4096795895111165E-2</v>
      </c>
      <c r="V118" s="138">
        <f ca="1"/>
        <v>6.1211267270619207E-2</v>
      </c>
      <c r="W118" s="137">
        <f ca="1"/>
        <v>0</v>
      </c>
      <c r="X118" s="162">
        <f ca="1"/>
        <v>2.7993794032332708E-4</v>
      </c>
      <c r="Y118" s="162">
        <f ca="1"/>
        <v>1.0578048963322262E-3</v>
      </c>
      <c r="Z118" s="162">
        <f ca="1"/>
        <v>3.8233304553179082E-3</v>
      </c>
      <c r="AA118" s="162">
        <f ca="1"/>
        <v>8.3303407756916137E-3</v>
      </c>
      <c r="AB118" s="162">
        <f ca="1"/>
        <v>0</v>
      </c>
      <c r="AC118" s="162">
        <f ca="1"/>
        <v>2.083945673783838E-2</v>
      </c>
      <c r="AD118" s="162">
        <f ca="1"/>
        <v>3.5248188330517682E-2</v>
      </c>
      <c r="AE118" s="138">
        <f ca="1"/>
        <v>6.2803906565610412E-2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5.5979797977889767E-4</v>
      </c>
      <c r="P119" s="162">
        <f ca="1"/>
        <v>1.5984028439521847E-3</v>
      </c>
      <c r="Q119" s="162">
        <f ca="1"/>
        <v>5.9207365533503475E-3</v>
      </c>
      <c r="R119" s="162">
        <f ca="1"/>
        <v>1.2485189218841453E-2</v>
      </c>
      <c r="S119" s="162">
        <f ca="1"/>
        <v>0</v>
      </c>
      <c r="T119" s="162">
        <f ca="1"/>
        <v>3.2944082984964096E-2</v>
      </c>
      <c r="U119" s="162">
        <f ca="1"/>
        <v>5.9427920869809414E-2</v>
      </c>
      <c r="V119" s="138">
        <f ca="1"/>
        <v>0.11082223266523783</v>
      </c>
      <c r="W119" s="137">
        <f ca="1"/>
        <v>0</v>
      </c>
      <c r="X119" s="162">
        <f ca="1"/>
        <v>6.5306652814611788E-4</v>
      </c>
      <c r="Y119" s="162">
        <f ca="1"/>
        <v>1.7647892442183011E-3</v>
      </c>
      <c r="Z119" s="162">
        <f ca="1"/>
        <v>6.2520410873458943E-3</v>
      </c>
      <c r="AA119" s="162">
        <f ca="1"/>
        <v>1.2978823205450185E-2</v>
      </c>
      <c r="AB119" s="162">
        <f ca="1"/>
        <v>0</v>
      </c>
      <c r="AC119" s="162">
        <f ca="1"/>
        <v>3.3749627225795775E-2</v>
      </c>
      <c r="AD119" s="162">
        <f ca="1"/>
        <v>6.0550208547079154E-2</v>
      </c>
      <c r="AE119" s="138">
        <f ca="1"/>
        <v>0.11235724266704605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1.0633491399262285E-3</v>
      </c>
      <c r="P120" s="162">
        <f ca="1"/>
        <v>2.9099679322667216E-3</v>
      </c>
      <c r="Q120" s="162">
        <f ca="1"/>
        <v>8.1799130951355492E-3</v>
      </c>
      <c r="R120" s="162">
        <f ca="1"/>
        <v>1.5080187779334175E-2</v>
      </c>
      <c r="S120" s="162">
        <f ca="1"/>
        <v>0</v>
      </c>
      <c r="T120" s="162">
        <f ca="1"/>
        <v>3.4337621934478535E-2</v>
      </c>
      <c r="U120" s="162">
        <f ca="1"/>
        <v>5.2387177690015552E-2</v>
      </c>
      <c r="V120" s="138">
        <f ca="1"/>
        <v>7.8912652663380767E-2</v>
      </c>
      <c r="W120" s="137">
        <f ca="1"/>
        <v>0</v>
      </c>
      <c r="X120" s="162">
        <f ca="1"/>
        <v>1.1565690363833925E-3</v>
      </c>
      <c r="Y120" s="162">
        <f ca="1"/>
        <v>3.0761357565782799E-3</v>
      </c>
      <c r="Z120" s="162">
        <f ca="1"/>
        <v>8.5104646957937513E-3</v>
      </c>
      <c r="AA120" s="162">
        <f ca="1"/>
        <v>1.5572524590994341E-2</v>
      </c>
      <c r="AB120" s="162">
        <f ca="1"/>
        <v>0</v>
      </c>
      <c r="AC120" s="162">
        <f ca="1"/>
        <v>3.5142005376547436E-2</v>
      </c>
      <c r="AD120" s="162">
        <f ca="1"/>
        <v>5.3516096508918642E-2</v>
      </c>
      <c r="AE120" s="138">
        <f ca="1"/>
        <v>8.0470740774097993E-2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1.0726717770109806E-3</v>
      </c>
      <c r="P121" s="162">
        <f ca="1"/>
        <v>3.2137874361872765E-3</v>
      </c>
      <c r="Q121" s="162">
        <f ca="1"/>
        <v>9.7128758958028305E-3</v>
      </c>
      <c r="R121" s="162">
        <f ca="1"/>
        <v>1.8074852598057189E-2</v>
      </c>
      <c r="S121" s="162">
        <f ca="1"/>
        <v>0</v>
      </c>
      <c r="T121" s="162">
        <f ca="1"/>
        <v>3.9345356889860739E-2</v>
      </c>
      <c r="U121" s="162">
        <f ca="1"/>
        <v>6.1784948089455116E-2</v>
      </c>
      <c r="V121" s="138">
        <f ca="1"/>
        <v>9.5542880042367884E-2</v>
      </c>
      <c r="W121" s="137">
        <f ca="1"/>
        <v>0</v>
      </c>
      <c r="X121" s="162">
        <f ca="1"/>
        <v>1.16589076209761E-3</v>
      </c>
      <c r="Y121" s="162">
        <f ca="1"/>
        <v>3.3799046281329792E-3</v>
      </c>
      <c r="Z121" s="162">
        <f ca="1"/>
        <v>1.0042916593989037E-2</v>
      </c>
      <c r="AA121" s="162">
        <f ca="1"/>
        <v>1.8565692451561366E-2</v>
      </c>
      <c r="AB121" s="162">
        <f ca="1"/>
        <v>0</v>
      </c>
      <c r="AC121" s="162">
        <f ca="1"/>
        <v>4.0145568957772215E-2</v>
      </c>
      <c r="AD121" s="162">
        <f ca="1"/>
        <v>6.290256581774345E-2</v>
      </c>
      <c r="AE121" s="138">
        <f ca="1"/>
        <v>9.704905308282985E-2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2.7993804340376016E-4</v>
      </c>
      <c r="P122" s="162">
        <f ca="1"/>
        <v>5.3077031956050291E-4</v>
      </c>
      <c r="Q122" s="162">
        <f ca="1"/>
        <v>2.4441054066195456E-3</v>
      </c>
      <c r="R122" s="162">
        <f ca="1"/>
        <v>5.2203549638051294E-3</v>
      </c>
      <c r="S122" s="162">
        <f ca="1"/>
        <v>0</v>
      </c>
      <c r="T122" s="162">
        <f ca="1"/>
        <v>1.4874827177634775E-2</v>
      </c>
      <c r="U122" s="162">
        <f ca="1"/>
        <v>2.7043171543608469E-2</v>
      </c>
      <c r="V122" s="138">
        <f ca="1"/>
        <v>4.9482130167410432E-2</v>
      </c>
      <c r="W122" s="137">
        <f ca="1"/>
        <v>0</v>
      </c>
      <c r="X122" s="162">
        <f ca="1"/>
        <v>3.7323315725501516E-4</v>
      </c>
      <c r="Y122" s="162">
        <f ca="1"/>
        <v>6.9733464375465459E-4</v>
      </c>
      <c r="Z122" s="162">
        <f ca="1"/>
        <v>2.7765686245212473E-3</v>
      </c>
      <c r="AA122" s="162">
        <f ca="1"/>
        <v>5.717620459592343E-3</v>
      </c>
      <c r="AB122" s="162">
        <f ca="1"/>
        <v>0</v>
      </c>
      <c r="AC122" s="162">
        <f ca="1"/>
        <v>1.5695422859318908E-2</v>
      </c>
      <c r="AD122" s="162">
        <f ca="1"/>
        <v>2.8202759023409074E-2</v>
      </c>
      <c r="AE122" s="138">
        <f ca="1"/>
        <v>5.1096057703415965E-2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6.5306727376623908E-4</v>
      </c>
      <c r="P123" s="162">
        <f ca="1"/>
        <v>2.1330749804280291E-3</v>
      </c>
      <c r="Q123" s="162">
        <f ca="1"/>
        <v>6.6026012465408845E-3</v>
      </c>
      <c r="R123" s="162">
        <f ca="1"/>
        <v>1.3494985286527594E-2</v>
      </c>
      <c r="S123" s="162">
        <f ca="1"/>
        <v>0</v>
      </c>
      <c r="T123" s="162">
        <f ca="1"/>
        <v>3.2805726061105767E-2</v>
      </c>
      <c r="U123" s="162">
        <f ca="1"/>
        <v>5.5413663011620984E-2</v>
      </c>
      <c r="V123" s="138">
        <f ca="1"/>
        <v>9.422136517544577E-2</v>
      </c>
      <c r="W123" s="137">
        <f ca="1"/>
        <v>0</v>
      </c>
      <c r="X123" s="162">
        <f ca="1"/>
        <v>7.463268945758772E-4</v>
      </c>
      <c r="Y123" s="162">
        <f ca="1"/>
        <v>2.2993722760956681E-3</v>
      </c>
      <c r="Z123" s="162">
        <f ca="1"/>
        <v>6.9336785301700177E-3</v>
      </c>
      <c r="AA123" s="162">
        <f ca="1"/>
        <v>1.3988114501311544E-2</v>
      </c>
      <c r="AB123" s="162">
        <f ca="1"/>
        <v>0</v>
      </c>
      <c r="AC123" s="162">
        <f ca="1"/>
        <v>3.3611385551272965E-2</v>
      </c>
      <c r="AD123" s="162">
        <f ca="1"/>
        <v>5.6540151657374582E-2</v>
      </c>
      <c r="AE123" s="138">
        <f ca="1"/>
        <v>9.5729738906228268E-2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5.5979797977889767E-4</v>
      </c>
      <c r="P124" s="162">
        <f ca="1"/>
        <v>1.4193698277626954E-3</v>
      </c>
      <c r="Q124" s="162">
        <f ca="1"/>
        <v>4.8715864722710389E-3</v>
      </c>
      <c r="R124" s="162">
        <f ca="1"/>
        <v>1.0409171966406672E-2</v>
      </c>
      <c r="S124" s="162">
        <f ca="1"/>
        <v>0</v>
      </c>
      <c r="T124" s="162">
        <f ca="1"/>
        <v>2.6905985784076658E-2</v>
      </c>
      <c r="U124" s="162">
        <f ca="1"/>
        <v>4.7378015618818714E-2</v>
      </c>
      <c r="V124" s="138">
        <f ca="1"/>
        <v>8.1282246836385741E-2</v>
      </c>
      <c r="W124" s="137">
        <f ca="1"/>
        <v>0</v>
      </c>
      <c r="X124" s="162">
        <f ca="1"/>
        <v>6.5306652814611788E-4</v>
      </c>
      <c r="Y124" s="162">
        <f ca="1"/>
        <v>1.5857860643807564E-3</v>
      </c>
      <c r="Z124" s="162">
        <f ca="1"/>
        <v>5.2032406646589369E-3</v>
      </c>
      <c r="AA124" s="162">
        <f ca="1"/>
        <v>1.0903843702183225E-2</v>
      </c>
      <c r="AB124" s="162">
        <f ca="1"/>
        <v>0</v>
      </c>
      <c r="AC124" s="162">
        <f ca="1"/>
        <v>2.7716559676548069E-2</v>
      </c>
      <c r="AD124" s="162">
        <f ca="1"/>
        <v>4.8514467086375412E-2</v>
      </c>
      <c r="AE124" s="138">
        <f ca="1"/>
        <v>8.2838695870525614E-2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1.9579271998788617E-3</v>
      </c>
      <c r="P125" s="162">
        <f ca="1"/>
        <v>3.7094818470164714E-3</v>
      </c>
      <c r="Q125" s="162">
        <f ca="1"/>
        <v>1.3174407616377781E-2</v>
      </c>
      <c r="R125" s="162">
        <f ca="1"/>
        <v>3.6890099209932692E-2</v>
      </c>
      <c r="S125" s="162">
        <f ca="1"/>
        <v>0</v>
      </c>
      <c r="T125" s="162">
        <f ca="1"/>
        <v>8.1380275369684507E-2</v>
      </c>
      <c r="U125" s="162">
        <f ca="1"/>
        <v>0.13412096196842949</v>
      </c>
      <c r="V125" s="138">
        <f ca="1"/>
        <v>0.21315041111540878</v>
      </c>
      <c r="W125" s="137">
        <f ca="1"/>
        <v>0</v>
      </c>
      <c r="X125" s="162">
        <f ca="1"/>
        <v>2.0510577892939308E-3</v>
      </c>
      <c r="Y125" s="162">
        <f ca="1"/>
        <v>3.8755164301124134E-3</v>
      </c>
      <c r="Z125" s="162">
        <f ca="1"/>
        <v>1.3503294662941312E-2</v>
      </c>
      <c r="AA125" s="162">
        <f ca="1"/>
        <v>3.7371533791662914E-2</v>
      </c>
      <c r="AB125" s="162">
        <f ca="1"/>
        <v>0</v>
      </c>
      <c r="AC125" s="162">
        <f ca="1"/>
        <v>8.2171812523510468E-2</v>
      </c>
      <c r="AD125" s="162">
        <f ca="1"/>
        <v>0.13516879099243173</v>
      </c>
      <c r="AE125" s="138">
        <f ca="1"/>
        <v>0.21451993567461347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1.3057095354823689E-3</v>
      </c>
      <c r="P126" s="162">
        <f ca="1"/>
        <v>3.0111065432181228E-3</v>
      </c>
      <c r="Q126" s="162">
        <f ca="1"/>
        <v>1.1116746896641216E-2</v>
      </c>
      <c r="R126" s="162">
        <f ca="1"/>
        <v>2.2779462784252913E-2</v>
      </c>
      <c r="S126" s="162">
        <f ca="1"/>
        <v>0</v>
      </c>
      <c r="T126" s="162">
        <f ca="1"/>
        <v>5.4811235797138647E-2</v>
      </c>
      <c r="U126" s="162">
        <f ca="1"/>
        <v>9.5220964006407227E-2</v>
      </c>
      <c r="V126" s="138">
        <f ca="1"/>
        <v>0.15492181018415507</v>
      </c>
      <c r="W126" s="137">
        <f ca="1"/>
        <v>0</v>
      </c>
      <c r="X126" s="162">
        <f ca="1"/>
        <v>1.3989056097283292E-3</v>
      </c>
      <c r="Y126" s="162">
        <f ca="1"/>
        <v>3.1772575124966451E-3</v>
      </c>
      <c r="Z126" s="162">
        <f ca="1"/>
        <v>1.1446319715815223E-2</v>
      </c>
      <c r="AA126" s="162">
        <f ca="1"/>
        <v>2.3267950920656588E-2</v>
      </c>
      <c r="AB126" s="162">
        <f ca="1"/>
        <v>0</v>
      </c>
      <c r="AC126" s="162">
        <f ca="1"/>
        <v>5.5598565001280797E-2</v>
      </c>
      <c r="AD126" s="162">
        <f ca="1"/>
        <v>9.6275924035380989E-2</v>
      </c>
      <c r="AE126" s="138">
        <f ca="1"/>
        <v>0.15638952377856896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2.7993804340376016E-4</v>
      </c>
      <c r="P127" s="162">
        <f ca="1"/>
        <v>1.0681231308105055E-3</v>
      </c>
      <c r="Q127" s="162">
        <f ca="1"/>
        <v>3.8349267961654832E-3</v>
      </c>
      <c r="R127" s="162">
        <f ca="1"/>
        <v>7.2753412125858841E-3</v>
      </c>
      <c r="S127" s="162">
        <f ca="1"/>
        <v>0</v>
      </c>
      <c r="T127" s="162">
        <f ca="1"/>
        <v>1.9137525110489384E-2</v>
      </c>
      <c r="U127" s="162">
        <f ca="1"/>
        <v>3.15880455057721E-2</v>
      </c>
      <c r="V127" s="138">
        <f ca="1"/>
        <v>5.3917786770938614E-2</v>
      </c>
      <c r="W127" s="137">
        <f ca="1"/>
        <v>0</v>
      </c>
      <c r="X127" s="162">
        <f ca="1"/>
        <v>3.7323315725501516E-4</v>
      </c>
      <c r="Y127" s="162">
        <f ca="1"/>
        <v>1.2345979036668675E-3</v>
      </c>
      <c r="Z127" s="162">
        <f ca="1"/>
        <v>4.166926484216793E-3</v>
      </c>
      <c r="AA127" s="162">
        <f ca="1"/>
        <v>7.7715794720621956E-3</v>
      </c>
      <c r="AB127" s="162">
        <f ca="1"/>
        <v>0</v>
      </c>
      <c r="AC127" s="162">
        <f ca="1"/>
        <v>1.9954570023572815E-2</v>
      </c>
      <c r="AD127" s="162">
        <f ca="1"/>
        <v>3.2741945387783189E-2</v>
      </c>
      <c r="AE127" s="138">
        <f ca="1"/>
        <v>5.5522678708238238E-2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4.6652001085500938E-4</v>
      </c>
      <c r="P128" s="162">
        <f ca="1"/>
        <v>1.9587531578015849E-3</v>
      </c>
      <c r="Q128" s="162">
        <f ca="1"/>
        <v>6.6137280132666509E-3</v>
      </c>
      <c r="R128" s="162">
        <f ca="1"/>
        <v>1.2973777596010927E-2</v>
      </c>
      <c r="S128" s="162">
        <f ca="1"/>
        <v>0</v>
      </c>
      <c r="T128" s="162">
        <f ca="1"/>
        <v>3.2857870280281309E-2</v>
      </c>
      <c r="U128" s="162">
        <f ca="1"/>
        <v>5.5466277692071686E-2</v>
      </c>
      <c r="V128" s="138">
        <f ca="1"/>
        <v>9.6150115565199923E-2</v>
      </c>
      <c r="W128" s="137">
        <f ca="1"/>
        <v>0</v>
      </c>
      <c r="X128" s="162">
        <f ca="1"/>
        <v>5.5979745032941342E-4</v>
      </c>
      <c r="Y128" s="162">
        <f ca="1"/>
        <v>2.1250795046924287E-3</v>
      </c>
      <c r="Z128" s="162">
        <f ca="1"/>
        <v>6.9448015886187653E-3</v>
      </c>
      <c r="AA128" s="162">
        <f ca="1"/>
        <v>1.3467167349490272E-2</v>
      </c>
      <c r="AB128" s="162">
        <f ca="1"/>
        <v>0</v>
      </c>
      <c r="AC128" s="162">
        <f ca="1"/>
        <v>3.3663486335071324E-2</v>
      </c>
      <c r="AD128" s="162">
        <f ca="1"/>
        <v>5.6592908333474634E-2</v>
      </c>
      <c r="AE128" s="138">
        <f ca="1"/>
        <v>9.7701305290467388E-2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9.328231183131086E-4</v>
      </c>
      <c r="P129" s="162">
        <f ca="1"/>
        <v>2.8417357488216277E-3</v>
      </c>
      <c r="Q129" s="162">
        <f ca="1"/>
        <v>8.3263345512917253E-3</v>
      </c>
      <c r="R129" s="162">
        <f ca="1"/>
        <v>1.6036489015610611E-2</v>
      </c>
      <c r="S129" s="162">
        <f ca="1"/>
        <v>0</v>
      </c>
      <c r="T129" s="162">
        <f ca="1"/>
        <v>4.4926686554270012E-2</v>
      </c>
      <c r="U129" s="162">
        <f ca="1"/>
        <v>7.5551705926044765E-2</v>
      </c>
      <c r="V129" s="138">
        <f ca="1"/>
        <v>0.12131288127076212</v>
      </c>
      <c r="W129" s="137">
        <f ca="1"/>
        <v>0</v>
      </c>
      <c r="X129" s="162">
        <f ca="1"/>
        <v>1.0260557337316012E-3</v>
      </c>
      <c r="Y129" s="162">
        <f ca="1"/>
        <v>3.0079149442147068E-3</v>
      </c>
      <c r="Z129" s="162">
        <f ca="1"/>
        <v>8.6568373529165576E-3</v>
      </c>
      <c r="AA129" s="162">
        <f ca="1"/>
        <v>1.6528347796164855E-2</v>
      </c>
      <c r="AB129" s="162">
        <f ca="1"/>
        <v>0</v>
      </c>
      <c r="AC129" s="162">
        <f ca="1"/>
        <v>4.5722249451586539E-2</v>
      </c>
      <c r="AD129" s="162">
        <f ca="1"/>
        <v>7.6654199821739266E-2</v>
      </c>
      <c r="AE129" s="138">
        <f ca="1"/>
        <v>0.12282480317143551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6.5306727376623908E-4</v>
      </c>
      <c r="P130" s="162">
        <f ca="1"/>
        <v>1.7751001970152114E-3</v>
      </c>
      <c r="Q130" s="162">
        <f ca="1"/>
        <v>5.9120586943209874E-3</v>
      </c>
      <c r="R130" s="162">
        <f ca="1"/>
        <v>1.2476329167161349E-2</v>
      </c>
      <c r="S130" s="162">
        <f ca="1"/>
        <v>0</v>
      </c>
      <c r="T130" s="162">
        <f ca="1"/>
        <v>3.2934883087060607E-2</v>
      </c>
      <c r="U130" s="162">
        <f ca="1"/>
        <v>5.8127470104801349E-2</v>
      </c>
      <c r="V130" s="138">
        <f ca="1"/>
        <v>0.10343790472037917</v>
      </c>
      <c r="W130" s="137">
        <f ca="1"/>
        <v>0</v>
      </c>
      <c r="X130" s="162">
        <f ca="1"/>
        <v>7.463268945758772E-4</v>
      </c>
      <c r="Y130" s="162">
        <f ca="1"/>
        <v>1.9414571501925604E-3</v>
      </c>
      <c r="Z130" s="162">
        <f ca="1"/>
        <v>6.2433661204397417E-3</v>
      </c>
      <c r="AA130" s="162">
        <f ca="1"/>
        <v>1.2969967582684983E-2</v>
      </c>
      <c r="AB130" s="162">
        <f ca="1"/>
        <v>0</v>
      </c>
      <c r="AC130" s="162">
        <f ca="1"/>
        <v>3.3740434991273438E-2</v>
      </c>
      <c r="AD130" s="162">
        <f ca="1"/>
        <v>5.9251292412230594E-2</v>
      </c>
      <c r="AE130" s="138">
        <f ca="1"/>
        <v>0.10498092025332906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1.0260577247127589E-3</v>
      </c>
      <c r="P131" s="162">
        <f ca="1"/>
        <v>2.6604791190438792E-3</v>
      </c>
      <c r="Q131" s="162">
        <f ca="1"/>
        <v>6.5740100343829599E-3</v>
      </c>
      <c r="R131" s="162">
        <f ca="1"/>
        <v>1.3465808224544573E-2</v>
      </c>
      <c r="S131" s="162">
        <f ca="1"/>
        <v>0</v>
      </c>
      <c r="T131" s="162">
        <f ca="1"/>
        <v>3.2775652674317257E-2</v>
      </c>
      <c r="U131" s="162">
        <f ca="1"/>
        <v>5.6674603958099867E-2</v>
      </c>
      <c r="V131" s="138">
        <f ca="1"/>
        <v>9.7777570538631675E-2</v>
      </c>
      <c r="W131" s="137">
        <f ca="1"/>
        <v>0</v>
      </c>
      <c r="X131" s="162">
        <f ca="1"/>
        <v>1.1192812628235682E-3</v>
      </c>
      <c r="Y131" s="162">
        <f ca="1"/>
        <v>2.8266885213580339E-3</v>
      </c>
      <c r="Z131" s="162">
        <f ca="1"/>
        <v>6.9050968468241658E-3</v>
      </c>
      <c r="AA131" s="162">
        <f ca="1"/>
        <v>1.3958952024210936E-2</v>
      </c>
      <c r="AB131" s="162">
        <f ca="1"/>
        <v>0</v>
      </c>
      <c r="AC131" s="162">
        <f ca="1"/>
        <v>3.3581337215236151E-2</v>
      </c>
      <c r="AD131" s="162">
        <f ca="1"/>
        <v>5.7799507997971289E-2</v>
      </c>
      <c r="AE131" s="138">
        <f ca="1"/>
        <v>9.9326342515280275E-2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7.4632789407114153E-4</v>
      </c>
      <c r="P132" s="162">
        <f ca="1"/>
        <v>1.7727796646133109E-3</v>
      </c>
      <c r="Q132" s="162">
        <f ca="1"/>
        <v>6.6129071939128314E-3</v>
      </c>
      <c r="R132" s="162">
        <f ca="1"/>
        <v>1.2440291379717028E-2</v>
      </c>
      <c r="S132" s="162">
        <f ca="1"/>
        <v>0</v>
      </c>
      <c r="T132" s="162">
        <f ca="1"/>
        <v>3.2897461463004651E-2</v>
      </c>
      <c r="U132" s="162">
        <f ca="1"/>
        <v>5.4213983171726432E-2</v>
      </c>
      <c r="V132" s="138">
        <f ca="1"/>
        <v>9.2598879203117157E-2</v>
      </c>
      <c r="W132" s="137">
        <f ca="1"/>
        <v>0</v>
      </c>
      <c r="X132" s="162">
        <f ca="1"/>
        <v>8.3957855043315099E-4</v>
      </c>
      <c r="Y132" s="162">
        <f ca="1"/>
        <v>1.9391370044972156E-3</v>
      </c>
      <c r="Z132" s="162">
        <f ca="1"/>
        <v>6.9439810428257864E-3</v>
      </c>
      <c r="AA132" s="162">
        <f ca="1"/>
        <v>1.2933947809615431E-2</v>
      </c>
      <c r="AB132" s="162">
        <f ca="1"/>
        <v>0</v>
      </c>
      <c r="AC132" s="162">
        <f ca="1"/>
        <v>3.3703044538870075E-2</v>
      </c>
      <c r="AD132" s="162">
        <f ca="1"/>
        <v>5.5342177173401064E-2</v>
      </c>
      <c r="AE132" s="138">
        <f ca="1"/>
        <v>9.4109954824968423E-2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6.5306727376623908E-4</v>
      </c>
      <c r="P133" s="162">
        <f ca="1"/>
        <v>1.4170656137364457E-3</v>
      </c>
      <c r="Q133" s="162">
        <f ca="1"/>
        <v>4.5173091633280427E-3</v>
      </c>
      <c r="R133" s="162">
        <f ca="1"/>
        <v>8.8226017250143673E-3</v>
      </c>
      <c r="S133" s="162">
        <f ca="1"/>
        <v>0</v>
      </c>
      <c r="T133" s="162">
        <f ca="1"/>
        <v>2.345448737382072E-2</v>
      </c>
      <c r="U133" s="162">
        <f ca="1"/>
        <v>3.7482021035716739E-2</v>
      </c>
      <c r="V133" s="138">
        <f ca="1"/>
        <v>6.7870389493205008E-2</v>
      </c>
      <c r="W133" s="137">
        <f ca="1"/>
        <v>0</v>
      </c>
      <c r="X133" s="162">
        <f ca="1"/>
        <v>7.463268945758772E-4</v>
      </c>
      <c r="Y133" s="162">
        <f ca="1"/>
        <v>1.583482234355893E-3</v>
      </c>
      <c r="Z133" s="162">
        <f ca="1"/>
        <v>4.8490814284765094E-3</v>
      </c>
      <c r="AA133" s="162">
        <f ca="1"/>
        <v>9.3180665476182423E-3</v>
      </c>
      <c r="AB133" s="162">
        <f ca="1"/>
        <v>0</v>
      </c>
      <c r="AC133" s="162">
        <f ca="1"/>
        <v>2.4267936316891392E-2</v>
      </c>
      <c r="AD133" s="162">
        <f ca="1"/>
        <v>3.8629222261114093E-2</v>
      </c>
      <c r="AE133" s="138">
        <f ca="1"/>
        <v>6.945007053047858E-2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2.7993804340376016E-4</v>
      </c>
      <c r="P134" s="162">
        <f ca="1"/>
        <v>1.0681231308105055E-3</v>
      </c>
      <c r="Q134" s="162">
        <f ca="1"/>
        <v>4.539111655650796E-3</v>
      </c>
      <c r="R134" s="162">
        <f ca="1"/>
        <v>9.3784102402292291E-3</v>
      </c>
      <c r="S134" s="162">
        <f ca="1"/>
        <v>0</v>
      </c>
      <c r="T134" s="162">
        <f ca="1"/>
        <v>2.5231018826163187E-2</v>
      </c>
      <c r="U134" s="162">
        <f ca="1"/>
        <v>4.2486779930411611E-2</v>
      </c>
      <c r="V134" s="138">
        <f ca="1"/>
        <v>7.8487127377153354E-2</v>
      </c>
      <c r="W134" s="137">
        <f ca="1"/>
        <v>0</v>
      </c>
      <c r="X134" s="162">
        <f ca="1"/>
        <v>3.7323315725501516E-4</v>
      </c>
      <c r="Y134" s="162">
        <f ca="1"/>
        <v>1.2345979036668675E-3</v>
      </c>
      <c r="Z134" s="162">
        <f ca="1"/>
        <v>4.8708766545390025E-3</v>
      </c>
      <c r="AA134" s="162">
        <f ca="1"/>
        <v>9.8735972280493689E-3</v>
      </c>
      <c r="AB134" s="162">
        <f ca="1"/>
        <v>0</v>
      </c>
      <c r="AC134" s="162">
        <f ca="1"/>
        <v>2.6042987943050599E-2</v>
      </c>
      <c r="AD134" s="162">
        <f ca="1"/>
        <v>4.3628852667540685E-2</v>
      </c>
      <c r="AE134" s="138">
        <f ca="1"/>
        <v>8.0047522362461487E-2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5.5979797977889767E-4</v>
      </c>
      <c r="P135" s="162">
        <f ca="1"/>
        <v>1.5984028439521847E-3</v>
      </c>
      <c r="Q135" s="162">
        <f ca="1"/>
        <v>6.2724153334857702E-3</v>
      </c>
      <c r="R135" s="162">
        <f ca="1"/>
        <v>1.3001124595234947E-2</v>
      </c>
      <c r="S135" s="162">
        <f ca="1"/>
        <v>0</v>
      </c>
      <c r="T135" s="162">
        <f ca="1"/>
        <v>3.3778252780386819E-2</v>
      </c>
      <c r="U135" s="162">
        <f ca="1"/>
        <v>5.7980999617392892E-2</v>
      </c>
      <c r="V135" s="138">
        <f ca="1"/>
        <v>0.10896337328382633</v>
      </c>
      <c r="W135" s="137">
        <f ca="1"/>
        <v>0</v>
      </c>
      <c r="X135" s="162">
        <f ca="1"/>
        <v>6.5306652814611788E-4</v>
      </c>
      <c r="Y135" s="162">
        <f ca="1"/>
        <v>1.7647892442183011E-3</v>
      </c>
      <c r="Z135" s="162">
        <f ca="1"/>
        <v>6.6036026607582121E-3</v>
      </c>
      <c r="AA135" s="162">
        <f ca="1"/>
        <v>1.349450067862068E-2</v>
      </c>
      <c r="AB135" s="162">
        <f ca="1"/>
        <v>0</v>
      </c>
      <c r="AC135" s="162">
        <f ca="1"/>
        <v>3.4583102169216562E-2</v>
      </c>
      <c r="AD135" s="162">
        <f ca="1"/>
        <v>5.9104924451604091E-2</v>
      </c>
      <c r="AE135" s="138">
        <f ca="1"/>
        <v>0.11050025194805513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1.1006391681853689E-3</v>
      </c>
      <c r="P136" s="162">
        <f ca="1"/>
        <v>2.7122560217992531E-3</v>
      </c>
      <c r="Q136" s="162">
        <f ca="1"/>
        <v>7.1674984427735344E-3</v>
      </c>
      <c r="R136" s="162">
        <f ca="1"/>
        <v>1.2847619006336686E-2</v>
      </c>
      <c r="S136" s="162">
        <f ca="1"/>
        <v>0</v>
      </c>
      <c r="T136" s="162">
        <f ca="1"/>
        <v>2.7429721740982016E-2</v>
      </c>
      <c r="U136" s="162">
        <f ca="1"/>
        <v>4.3276714877678257E-2</v>
      </c>
      <c r="V136" s="138">
        <f ca="1"/>
        <v>6.7893768777054886E-2</v>
      </c>
      <c r="W136" s="137">
        <f ca="1"/>
        <v>0</v>
      </c>
      <c r="X136" s="162">
        <f ca="1"/>
        <v>1.1938554168273718E-3</v>
      </c>
      <c r="Y136" s="162">
        <f ca="1"/>
        <v>2.8784567953492601E-3</v>
      </c>
      <c r="Z136" s="162">
        <f ca="1"/>
        <v>7.4983874587423172E-3</v>
      </c>
      <c r="AA136" s="162">
        <f ca="1"/>
        <v>1.3341071823329775E-2</v>
      </c>
      <c r="AB136" s="162">
        <f ca="1"/>
        <v>0</v>
      </c>
      <c r="AC136" s="162">
        <f ca="1"/>
        <v>2.8239859368612952E-2</v>
      </c>
      <c r="AD136" s="162">
        <f ca="1"/>
        <v>4.4415998486752373E-2</v>
      </c>
      <c r="AE136" s="138">
        <f ca="1"/>
        <v>6.947193732727186E-2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1.264562692659843E-3</v>
      </c>
      <c r="Q137" s="162">
        <f ca="1"/>
        <v>0</v>
      </c>
      <c r="R137" s="162">
        <f ca="1"/>
        <v>9.4034601813208774E-3</v>
      </c>
      <c r="S137" s="162">
        <f ca="1"/>
        <v>0</v>
      </c>
      <c r="T137" s="162">
        <f ca="1"/>
        <v>2.3860396528817218E-2</v>
      </c>
      <c r="U137" s="162">
        <f ca="1"/>
        <v>3.7184283827246922E-2</v>
      </c>
      <c r="V137" s="138">
        <f ca="1"/>
        <v>6.2899535981398635E-2</v>
      </c>
      <c r="W137" s="137">
        <f ca="1"/>
        <v>0</v>
      </c>
      <c r="X137" s="162">
        <f ca="1"/>
        <v>0</v>
      </c>
      <c r="Y137" s="162">
        <f ca="1"/>
        <v>1.4310047283128124E-3</v>
      </c>
      <c r="Z137" s="162">
        <f ca="1"/>
        <v>0</v>
      </c>
      <c r="AA137" s="162">
        <f ca="1"/>
        <v>9.898634647292015E-3</v>
      </c>
      <c r="AB137" s="162">
        <f ca="1"/>
        <v>0</v>
      </c>
      <c r="AC137" s="162">
        <f ca="1"/>
        <v>2.4673507355182922E-2</v>
      </c>
      <c r="AD137" s="162">
        <f ca="1"/>
        <v>3.8331192998161012E-2</v>
      </c>
      <c r="AE137" s="138">
        <f ca="1"/>
        <v>6.4486405434950544E-2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2.5134162027818929E-3</v>
      </c>
      <c r="Q138" s="162">
        <f ca="1"/>
        <v>0</v>
      </c>
      <c r="R138" s="162">
        <f ca="1"/>
        <v>1.3609120894711113E-2</v>
      </c>
      <c r="S138" s="162">
        <f ca="1"/>
        <v>0</v>
      </c>
      <c r="T138" s="162">
        <f ca="1"/>
        <v>3.3263016549901936E-2</v>
      </c>
      <c r="U138" s="162">
        <f ca="1"/>
        <v>5.7675042162460333E-2</v>
      </c>
      <c r="V138" s="138">
        <f ca="1"/>
        <v>9.7849266894414311E-2</v>
      </c>
      <c r="W138" s="137">
        <f ca="1"/>
        <v>0</v>
      </c>
      <c r="X138" s="162">
        <f ca="1"/>
        <v>0</v>
      </c>
      <c r="Y138" s="162">
        <f ca="1"/>
        <v>2.6796501135304407E-3</v>
      </c>
      <c r="Z138" s="162">
        <f ca="1"/>
        <v>0</v>
      </c>
      <c r="AA138" s="162">
        <f ca="1"/>
        <v>1.4102193055963386E-2</v>
      </c>
      <c r="AB138" s="162">
        <f ca="1"/>
        <v>0</v>
      </c>
      <c r="AC138" s="162">
        <f ca="1"/>
        <v>3.4068295123405701E-2</v>
      </c>
      <c r="AD138" s="162">
        <f ca="1"/>
        <v>5.8797777029668263E-2</v>
      </c>
      <c r="AE138" s="138">
        <f ca="1"/>
        <v>9.9397190185300799E-2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1.2498042406881016E-3</v>
      </c>
      <c r="P139" s="162">
        <f ca="1"/>
        <v>3.6920482903594065E-3</v>
      </c>
      <c r="Q139" s="162">
        <f ca="1"/>
        <v>1.0566974459334411E-2</v>
      </c>
      <c r="R139" s="162">
        <f ca="1"/>
        <v>1.8220653725532499E-2</v>
      </c>
      <c r="S139" s="162">
        <f ca="1"/>
        <v>0</v>
      </c>
      <c r="T139" s="162">
        <f ca="1"/>
        <v>3.6353376637926704E-2</v>
      </c>
      <c r="U139" s="162">
        <f ca="1"/>
        <v>5.4893508692558823E-2</v>
      </c>
      <c r="V139" s="138">
        <f ca="1"/>
        <v>8.3952134529151068E-2</v>
      </c>
      <c r="W139" s="137">
        <f ca="1"/>
        <v>0</v>
      </c>
      <c r="X139" s="162">
        <f ca="1"/>
        <v>1.3430072452583763E-3</v>
      </c>
      <c r="Y139" s="162">
        <f ca="1"/>
        <v>3.858085778799869E-3</v>
      </c>
      <c r="Z139" s="162">
        <f ca="1"/>
        <v>1.0896730505472574E-2</v>
      </c>
      <c r="AA139" s="162">
        <f ca="1"/>
        <v>1.871142069671361E-2</v>
      </c>
      <c r="AB139" s="162">
        <f ca="1"/>
        <v>0</v>
      </c>
      <c r="AC139" s="162">
        <f ca="1"/>
        <v>3.7156080984129591E-2</v>
      </c>
      <c r="AD139" s="162">
        <f ca="1"/>
        <v>5.6017647229463341E-2</v>
      </c>
      <c r="AE139" s="138">
        <f ca="1"/>
        <v>8.5477609389471576E-2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1.3741422754546262E-3</v>
      </c>
      <c r="Q140" s="162">
        <f ca="1"/>
        <v>0</v>
      </c>
      <c r="R140" s="162">
        <f ca="1"/>
        <v>7.731404467632319E-3</v>
      </c>
      <c r="S140" s="162">
        <f ca="1"/>
        <v>0</v>
      </c>
      <c r="T140" s="162">
        <f ca="1"/>
        <v>1.8807947242754364E-2</v>
      </c>
      <c r="U140" s="162">
        <f ca="1"/>
        <v>3.0410192816714643E-2</v>
      </c>
      <c r="V140" s="138">
        <f ca="1"/>
        <v>6.1775679472191536E-2</v>
      </c>
      <c r="W140" s="137">
        <f ca="1"/>
        <v>0</v>
      </c>
      <c r="X140" s="162">
        <f ca="1"/>
        <v>0</v>
      </c>
      <c r="Y140" s="162">
        <f ca="1"/>
        <v>1.5405660493771345E-3</v>
      </c>
      <c r="Z140" s="162">
        <f ca="1"/>
        <v>0</v>
      </c>
      <c r="AA140" s="162">
        <f ca="1"/>
        <v>8.2274147525001062E-3</v>
      </c>
      <c r="AB140" s="162">
        <f ca="1"/>
        <v>0</v>
      </c>
      <c r="AC140" s="162">
        <f ca="1"/>
        <v>1.9625266689646481E-2</v>
      </c>
      <c r="AD140" s="162">
        <f ca="1"/>
        <v>3.1564630113936176E-2</v>
      </c>
      <c r="AE140" s="138">
        <f ca="1"/>
        <v>6.336407401614641E-2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1.6674740495764562E-3</v>
      </c>
      <c r="Q141" s="162">
        <f ca="1"/>
        <v>0</v>
      </c>
      <c r="R141" s="162">
        <f ca="1"/>
        <v>1.3990535398879622E-2</v>
      </c>
      <c r="S141" s="162">
        <f ca="1"/>
        <v>0</v>
      </c>
      <c r="T141" s="162">
        <f ca="1"/>
        <v>3.3723733791395927E-2</v>
      </c>
      <c r="U141" s="162">
        <f ca="1"/>
        <v>5.5795249958101367E-2</v>
      </c>
      <c r="V141" s="138">
        <f ca="1"/>
        <v>9.8248254251759204E-2</v>
      </c>
      <c r="W141" s="137">
        <f ca="1"/>
        <v>0</v>
      </c>
      <c r="X141" s="162">
        <f ca="1"/>
        <v>0</v>
      </c>
      <c r="Y141" s="162">
        <f ca="1"/>
        <v>1.8338489389578827E-3</v>
      </c>
      <c r="Z141" s="162">
        <f ca="1"/>
        <v>0</v>
      </c>
      <c r="AA141" s="162">
        <f ca="1"/>
        <v>1.448341690056798E-2</v>
      </c>
      <c r="AB141" s="162">
        <f ca="1"/>
        <v>0</v>
      </c>
      <c r="AC141" s="162">
        <f ca="1"/>
        <v>3.4528628593832988E-2</v>
      </c>
      <c r="AD141" s="162">
        <f ca="1"/>
        <v>5.6920480877533985E-2</v>
      </c>
      <c r="AE141" s="138">
        <f ca="1"/>
        <v>9.9796400946023156E-2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2.1320355579615979E-3</v>
      </c>
      <c r="Q142" s="162">
        <f ca="1"/>
        <v>0</v>
      </c>
      <c r="R142" s="162">
        <f ca="1"/>
        <v>9.8811880333011803E-3</v>
      </c>
      <c r="S142" s="162">
        <f ca="1"/>
        <v>0</v>
      </c>
      <c r="T142" s="162">
        <f ca="1"/>
        <v>2.0699813808452983E-2</v>
      </c>
      <c r="U142" s="162">
        <f ca="1"/>
        <v>3.2142346470486416E-2</v>
      </c>
      <c r="V142" s="138">
        <f ca="1"/>
        <v>5.5775069088132345E-2</v>
      </c>
      <c r="W142" s="137">
        <f ca="1"/>
        <v>0</v>
      </c>
      <c r="X142" s="162">
        <f ca="1"/>
        <v>0</v>
      </c>
      <c r="Y142" s="162">
        <f ca="1"/>
        <v>2.2983330268742108E-3</v>
      </c>
      <c r="Z142" s="162">
        <f ca="1"/>
        <v>0</v>
      </c>
      <c r="AA142" s="162">
        <f ca="1"/>
        <v>1.0376123695080008E-2</v>
      </c>
      <c r="AB142" s="162">
        <f ca="1"/>
        <v>0</v>
      </c>
      <c r="AC142" s="162">
        <f ca="1"/>
        <v>2.1515557356586168E-2</v>
      </c>
      <c r="AD142" s="162">
        <f ca="1"/>
        <v>3.3293854879231755E-2</v>
      </c>
      <c r="AE142" s="138">
        <f ca="1"/>
        <v>5.7373656255242822E-2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2.082586739011405E-3</v>
      </c>
      <c r="Q143" s="162">
        <f ca="1"/>
        <v>0</v>
      </c>
      <c r="R143" s="162">
        <f ca="1"/>
        <v>1.1873763516616509E-2</v>
      </c>
      <c r="S143" s="162">
        <f ca="1"/>
        <v>0</v>
      </c>
      <c r="T143" s="162">
        <f ca="1"/>
        <v>2.9169770971111175E-2</v>
      </c>
      <c r="U143" s="162">
        <f ca="1"/>
        <v>5.2962219270015876E-2</v>
      </c>
      <c r="V143" s="138">
        <f ca="1"/>
        <v>9.2641820528075458E-2</v>
      </c>
      <c r="W143" s="137">
        <f ca="1"/>
        <v>0</v>
      </c>
      <c r="X143" s="162">
        <f ca="1"/>
        <v>0</v>
      </c>
      <c r="Y143" s="162">
        <f ca="1"/>
        <v>2.248892448712847E-3</v>
      </c>
      <c r="Z143" s="162">
        <f ca="1"/>
        <v>0</v>
      </c>
      <c r="AA143" s="162">
        <f ca="1"/>
        <v>1.2367703139676167E-2</v>
      </c>
      <c r="AB143" s="162">
        <f ca="1"/>
        <v>0</v>
      </c>
      <c r="AC143" s="162">
        <f ca="1"/>
        <v>2.9978459161719595E-2</v>
      </c>
      <c r="AD143" s="162">
        <f ca="1"/>
        <v>5.4090849327870894E-2</v>
      </c>
      <c r="AE143" s="138">
        <f ca="1"/>
        <v>9.4199276506604201E-2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2.1037793875599009E-3</v>
      </c>
      <c r="Q144" s="162">
        <f ca="1"/>
        <v>0</v>
      </c>
      <c r="R144" s="162">
        <f ca="1"/>
        <v>1.2527640275360685E-2</v>
      </c>
      <c r="S144" s="162">
        <f ca="1"/>
        <v>0</v>
      </c>
      <c r="T144" s="162">
        <f ca="1"/>
        <v>3.0388302259684585E-2</v>
      </c>
      <c r="U144" s="162">
        <f ca="1"/>
        <v>4.3656565035888661E-2</v>
      </c>
      <c r="V144" s="138">
        <f ca="1"/>
        <v>6.4900738880868003E-2</v>
      </c>
      <c r="W144" s="137">
        <f ca="1"/>
        <v>0</v>
      </c>
      <c r="X144" s="162">
        <f ca="1"/>
        <v>0</v>
      </c>
      <c r="Y144" s="162">
        <f ca="1"/>
        <v>2.2700815654085327E-3</v>
      </c>
      <c r="Z144" s="162">
        <f ca="1"/>
        <v>0</v>
      </c>
      <c r="AA144" s="162">
        <f ca="1"/>
        <v>1.3021253041786585E-2</v>
      </c>
      <c r="AB144" s="162">
        <f ca="1"/>
        <v>0</v>
      </c>
      <c r="AC144" s="162">
        <f ca="1"/>
        <v>3.1195975430583611E-2</v>
      </c>
      <c r="AD144" s="162">
        <f ca="1"/>
        <v>4.4795222064368478E-2</v>
      </c>
      <c r="AE144" s="138">
        <f ca="1"/>
        <v>6.6457939621670681E-2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1.9501225710742975E-3</v>
      </c>
      <c r="Q145" s="162">
        <f ca="1"/>
        <v>0</v>
      </c>
      <c r="R145" s="162">
        <f ca="1"/>
        <v>9.3006232949580658E-3</v>
      </c>
      <c r="S145" s="162">
        <f ca="1"/>
        <v>0</v>
      </c>
      <c r="T145" s="162">
        <f ca="1"/>
        <v>2.2075164643363232E-2</v>
      </c>
      <c r="U145" s="162">
        <f ca="1"/>
        <v>4.2359365339884714E-2</v>
      </c>
      <c r="V145" s="138">
        <f ca="1"/>
        <v>7.4732920287975069E-2</v>
      </c>
      <c r="W145" s="137">
        <f ca="1"/>
        <v>0</v>
      </c>
      <c r="X145" s="162">
        <f ca="1"/>
        <v>0</v>
      </c>
      <c r="Y145" s="162">
        <f ca="1"/>
        <v>2.116450356285382E-3</v>
      </c>
      <c r="Z145" s="162">
        <f ca="1"/>
        <v>0</v>
      </c>
      <c r="AA145" s="162">
        <f ca="1"/>
        <v>9.7958491664941194E-3</v>
      </c>
      <c r="AB145" s="162">
        <f ca="1"/>
        <v>0</v>
      </c>
      <c r="AC145" s="162">
        <f ca="1"/>
        <v>2.2889762543242376E-2</v>
      </c>
      <c r="AD145" s="162">
        <f ca="1"/>
        <v>4.3500605913391888E-2</v>
      </c>
      <c r="AE145" s="138">
        <f ca="1"/>
        <v>7.6299772249407982E-2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2.0719902473363971E-3</v>
      </c>
      <c r="Q146" s="162">
        <f ca="1"/>
        <v>0</v>
      </c>
      <c r="R146" s="162">
        <f ca="1"/>
        <v>1.6016158590417162E-2</v>
      </c>
      <c r="S146" s="162">
        <f ca="1"/>
        <v>0</v>
      </c>
      <c r="T146" s="162">
        <f ca="1"/>
        <v>3.3461565502172275E-2</v>
      </c>
      <c r="U146" s="162">
        <f ca="1"/>
        <v>5.791156647020157E-2</v>
      </c>
      <c r="V146" s="138">
        <f ca="1"/>
        <v>0.1063867773316105</v>
      </c>
      <c r="W146" s="137">
        <f ca="1"/>
        <v>0</v>
      </c>
      <c r="X146" s="162">
        <f ca="1"/>
        <v>0</v>
      </c>
      <c r="Y146" s="162">
        <f ca="1"/>
        <v>2.2382977229493672E-3</v>
      </c>
      <c r="Z146" s="162">
        <f ca="1"/>
        <v>0</v>
      </c>
      <c r="AA146" s="162">
        <f ca="1"/>
        <v>1.6508027533637892E-2</v>
      </c>
      <c r="AB146" s="162">
        <f ca="1"/>
        <v>0</v>
      </c>
      <c r="AC146" s="162">
        <f ca="1"/>
        <v>3.4266678687179808E-2</v>
      </c>
      <c r="AD146" s="162">
        <f ca="1"/>
        <v>5.9033253316750911E-2</v>
      </c>
      <c r="AE146" s="138">
        <f ca="1"/>
        <v>0.10792502128838799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1.8353061843473517E-3</v>
      </c>
      <c r="Q147" s="162">
        <f ca="1"/>
        <v>0</v>
      </c>
      <c r="R147" s="162">
        <f ca="1"/>
        <v>1.4731135703071163E-2</v>
      </c>
      <c r="S147" s="162">
        <f ca="1"/>
        <v>0</v>
      </c>
      <c r="T147" s="162">
        <f ca="1"/>
        <v>3.7518895970352295E-2</v>
      </c>
      <c r="U147" s="162">
        <f ca="1"/>
        <v>6.5923063737391874E-2</v>
      </c>
      <c r="V147" s="138">
        <f ca="1"/>
        <v>0.12473889250834147</v>
      </c>
      <c r="W147" s="137">
        <f ca="1"/>
        <v>0</v>
      </c>
      <c r="X147" s="162">
        <f ca="1"/>
        <v>0</v>
      </c>
      <c r="Y147" s="162">
        <f ca="1"/>
        <v>2.0016531040265573E-3</v>
      </c>
      <c r="Z147" s="162">
        <f ca="1"/>
        <v>0</v>
      </c>
      <c r="AA147" s="162">
        <f ca="1"/>
        <v>1.5223646997164275E-2</v>
      </c>
      <c r="AB147" s="162">
        <f ca="1"/>
        <v>0</v>
      </c>
      <c r="AC147" s="162">
        <f ca="1"/>
        <v>3.8320629455042665E-2</v>
      </c>
      <c r="AD147" s="162">
        <f ca="1"/>
        <v>6.7035970282579793E-2</v>
      </c>
      <c r="AE147" s="138">
        <f ca="1"/>
        <v>0.12625465595914365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1.6886754428284689E-3</v>
      </c>
      <c r="Q148" s="162">
        <f ca="1"/>
        <v>0</v>
      </c>
      <c r="R148" s="162">
        <f ca="1"/>
        <v>9.3355968822377289E-3</v>
      </c>
      <c r="S148" s="162">
        <f ca="1"/>
        <v>0</v>
      </c>
      <c r="T148" s="162">
        <f ca="1"/>
        <v>3.0346068003086035E-2</v>
      </c>
      <c r="U148" s="162">
        <f ca="1"/>
        <v>5.7832900345843541E-2</v>
      </c>
      <c r="V148" s="138">
        <f ca="1"/>
        <v>0.11233083575270197</v>
      </c>
      <c r="W148" s="137">
        <f ca="1"/>
        <v>0</v>
      </c>
      <c r="X148" s="162">
        <f ca="1"/>
        <v>0</v>
      </c>
      <c r="Y148" s="162">
        <f ca="1"/>
        <v>1.855046798942328E-3</v>
      </c>
      <c r="Z148" s="162">
        <f ca="1"/>
        <v>0</v>
      </c>
      <c r="AA148" s="162">
        <f ca="1"/>
        <v>9.8308052714097816E-3</v>
      </c>
      <c r="AB148" s="162">
        <f ca="1"/>
        <v>0</v>
      </c>
      <c r="AC148" s="162">
        <f ca="1"/>
        <v>3.1153776354532092E-2</v>
      </c>
      <c r="AD148" s="162">
        <f ca="1"/>
        <v>5.8956775198612088E-2</v>
      </c>
      <c r="AE148" s="138">
        <f ca="1"/>
        <v>0.11386724816564131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1.1160809991203058E-3</v>
      </c>
      <c r="Q149" s="162">
        <f ca="1"/>
        <v>0</v>
      </c>
      <c r="R149" s="162">
        <f ca="1"/>
        <v>9.7168299072687425E-3</v>
      </c>
      <c r="S149" s="162">
        <f ca="1"/>
        <v>0</v>
      </c>
      <c r="T149" s="162">
        <f ca="1"/>
        <v>2.9921623049300683E-2</v>
      </c>
      <c r="U149" s="162">
        <f ca="1"/>
        <v>5.3011857456041978E-2</v>
      </c>
      <c r="V149" s="138">
        <f ca="1"/>
        <v>0.10202306341935174</v>
      </c>
      <c r="W149" s="137">
        <f ca="1"/>
        <v>0</v>
      </c>
      <c r="X149" s="162">
        <f ca="1"/>
        <v>0</v>
      </c>
      <c r="Y149" s="162">
        <f ca="1"/>
        <v>1.282547779677623E-3</v>
      </c>
      <c r="Z149" s="162">
        <f ca="1"/>
        <v>0</v>
      </c>
      <c r="AA149" s="162">
        <f ca="1"/>
        <v>1.0211847727568224E-2</v>
      </c>
      <c r="AB149" s="162">
        <f ca="1"/>
        <v>0</v>
      </c>
      <c r="AC149" s="162">
        <f ca="1"/>
        <v>3.0729684957501058E-2</v>
      </c>
      <c r="AD149" s="162">
        <f ca="1"/>
        <v>5.4141735166553073E-2</v>
      </c>
      <c r="AE149" s="138">
        <f ca="1"/>
        <v>0.1035718777270892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5.8030426522193146E-4</v>
      </c>
      <c r="Q150" s="162">
        <f ca="1"/>
        <v>0</v>
      </c>
      <c r="R150" s="162">
        <f ca="1"/>
        <v>5.1141389229468759E-3</v>
      </c>
      <c r="S150" s="162">
        <f ca="1"/>
        <v>0</v>
      </c>
      <c r="T150" s="162">
        <f ca="1"/>
        <v>1.4354560879894729E-2</v>
      </c>
      <c r="U150" s="162">
        <f ca="1"/>
        <v>2.7243640450969053E-2</v>
      </c>
      <c r="V150" s="138">
        <f ca="1"/>
        <v>5.2954279526498338E-2</v>
      </c>
      <c r="W150" s="137">
        <f ca="1"/>
        <v>0</v>
      </c>
      <c r="X150" s="162">
        <f ca="1"/>
        <v>0</v>
      </c>
      <c r="Y150" s="162">
        <f ca="1"/>
        <v>7.4686033446680344E-4</v>
      </c>
      <c r="Z150" s="162">
        <f ca="1"/>
        <v>0</v>
      </c>
      <c r="AA150" s="162">
        <f ca="1"/>
        <v>5.6114575134790234E-3</v>
      </c>
      <c r="AB150" s="162">
        <f ca="1"/>
        <v>0</v>
      </c>
      <c r="AC150" s="162">
        <f ca="1"/>
        <v>1.5175589936177403E-2</v>
      </c>
      <c r="AD150" s="162">
        <f ca="1"/>
        <v>2.8402797102680788E-2</v>
      </c>
      <c r="AE150" s="138">
        <f ca="1"/>
        <v>5.4561212951537708E-2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5.3304418889366101E-3</v>
      </c>
      <c r="Q151" s="162">
        <f ca="1"/>
        <v>0</v>
      </c>
      <c r="R151" s="162">
        <f ca="1"/>
        <v>4.7867233687106991E-2</v>
      </c>
      <c r="S151" s="162">
        <f ca="1"/>
        <v>0</v>
      </c>
      <c r="T151" s="162">
        <f ca="1"/>
        <v>0.12663532525733368</v>
      </c>
      <c r="U151" s="162">
        <f ca="1"/>
        <v>0.19735664071282477</v>
      </c>
      <c r="V151" s="138">
        <f ca="1"/>
        <v>0.30201649717128998</v>
      </c>
      <c r="W151" s="137">
        <f ca="1"/>
        <v>0</v>
      </c>
      <c r="X151" s="162">
        <f ca="1"/>
        <v>0</v>
      </c>
      <c r="Y151" s="162">
        <f ca="1"/>
        <v>5.4962063345466161E-3</v>
      </c>
      <c r="Z151" s="162">
        <f ca="1"/>
        <v>0</v>
      </c>
      <c r="AA151" s="162">
        <f ca="1"/>
        <v>4.8343181073518204E-2</v>
      </c>
      <c r="AB151" s="162">
        <f ca="1"/>
        <v>0</v>
      </c>
      <c r="AC151" s="162">
        <f ca="1"/>
        <v>0.12739573308305241</v>
      </c>
      <c r="AD151" s="162">
        <f ca="1"/>
        <v>0.19833814118864379</v>
      </c>
      <c r="AE151" s="138">
        <f ca="1"/>
        <v>0.30324852441143879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9.3928851643065858E-4</v>
      </c>
      <c r="Q152" s="162">
        <f ca="1"/>
        <v>0</v>
      </c>
      <c r="R152" s="162">
        <f ca="1"/>
        <v>3.4770430985530121E-3</v>
      </c>
      <c r="S152" s="162">
        <f ca="1"/>
        <v>0</v>
      </c>
      <c r="T152" s="162">
        <f ca="1"/>
        <v>1.0115803795728406E-2</v>
      </c>
      <c r="U152" s="162">
        <f ca="1"/>
        <v>1.8466561027592698E-2</v>
      </c>
      <c r="V152" s="138">
        <f ca="1"/>
        <v>3.5526787236983326E-2</v>
      </c>
      <c r="W152" s="137">
        <f ca="1"/>
        <v>0</v>
      </c>
      <c r="X152" s="162">
        <f ca="1"/>
        <v>0</v>
      </c>
      <c r="Y152" s="162">
        <f ca="1"/>
        <v>1.10578475993095E-3</v>
      </c>
      <c r="Z152" s="162">
        <f ca="1"/>
        <v>0</v>
      </c>
      <c r="AA152" s="162">
        <f ca="1"/>
        <v>3.9751800324259179E-3</v>
      </c>
      <c r="AB152" s="162">
        <f ca="1"/>
        <v>0</v>
      </c>
      <c r="AC152" s="162">
        <f ca="1"/>
        <v>1.0940363678224596E-2</v>
      </c>
      <c r="AD152" s="162">
        <f ca="1"/>
        <v>1.9634815562510677E-2</v>
      </c>
      <c r="AE152" s="138">
        <f ca="1"/>
        <v>3.7163053194721907E-2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8.4734415366582994E-4</v>
      </c>
      <c r="Q153" s="162">
        <f ca="1"/>
        <v>0</v>
      </c>
      <c r="R153" s="162">
        <f ca="1"/>
        <v>6.4591355781692394E-3</v>
      </c>
      <c r="S153" s="162">
        <f ca="1"/>
        <v>0</v>
      </c>
      <c r="T153" s="162">
        <f ca="1"/>
        <v>1.8118643622239139E-2</v>
      </c>
      <c r="U153" s="162">
        <f ca="1"/>
        <v>3.1644190404925276E-2</v>
      </c>
      <c r="V153" s="138">
        <f ca="1"/>
        <v>5.4226814879426932E-2</v>
      </c>
      <c r="W153" s="137">
        <f ca="1"/>
        <v>0</v>
      </c>
      <c r="X153" s="162">
        <f ca="1"/>
        <v>0</v>
      </c>
      <c r="Y153" s="162">
        <f ca="1"/>
        <v>1.0138557199483866E-3</v>
      </c>
      <c r="Z153" s="162">
        <f ca="1"/>
        <v>0</v>
      </c>
      <c r="AA153" s="162">
        <f ca="1"/>
        <v>6.9557818384698988E-3</v>
      </c>
      <c r="AB153" s="162">
        <f ca="1"/>
        <v>0</v>
      </c>
      <c r="AC153" s="162">
        <f ca="1"/>
        <v>1.8936537249509056E-2</v>
      </c>
      <c r="AD153" s="162">
        <f ca="1"/>
        <v>3.2798183463827457E-2</v>
      </c>
      <c r="AE153" s="138">
        <f ca="1"/>
        <v>5.5830833405808633E-2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1.6215361652045512E-3</v>
      </c>
      <c r="Q154" s="162">
        <f ca="1"/>
        <v>0</v>
      </c>
      <c r="R154" s="162">
        <f ca="1"/>
        <v>8.7201059386953217E-3</v>
      </c>
      <c r="S154" s="162">
        <f ca="1"/>
        <v>0</v>
      </c>
      <c r="T154" s="162">
        <f ca="1"/>
        <v>2.1299263698623672E-2</v>
      </c>
      <c r="U154" s="162">
        <f ca="1"/>
        <v>4.2355800386400966E-2</v>
      </c>
      <c r="V154" s="138">
        <f ca="1"/>
        <v>8.3058155039074988E-2</v>
      </c>
      <c r="W154" s="137">
        <f ca="1"/>
        <v>0</v>
      </c>
      <c r="X154" s="162">
        <f ca="1"/>
        <v>0</v>
      </c>
      <c r="Y154" s="162">
        <f ca="1"/>
        <v>1.7879187102612937E-3</v>
      </c>
      <c r="Z154" s="162">
        <f ca="1"/>
        <v>0</v>
      </c>
      <c r="AA154" s="162">
        <f ca="1"/>
        <v>9.2156219963802632E-3</v>
      </c>
      <c r="AB154" s="162">
        <f ca="1"/>
        <v>0</v>
      </c>
      <c r="AC154" s="162">
        <f ca="1"/>
        <v>2.211450791325098E-2</v>
      </c>
      <c r="AD154" s="162">
        <f ca="1"/>
        <v>4.349732121877492E-2</v>
      </c>
      <c r="AE154" s="138">
        <f ca="1"/>
        <v>8.463390338360377E-2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7.235596343992956E-4</v>
      </c>
      <c r="Q155" s="162">
        <f ca="1"/>
        <v>0</v>
      </c>
      <c r="R155" s="162">
        <f ca="1"/>
        <v>6.6039548437050177E-3</v>
      </c>
      <c r="S155" s="162">
        <f ca="1"/>
        <v>0</v>
      </c>
      <c r="T155" s="162">
        <f ca="1"/>
        <v>1.6368268349821524E-2</v>
      </c>
      <c r="U155" s="162">
        <f ca="1"/>
        <v>3.3353377676525908E-2</v>
      </c>
      <c r="V155" s="138">
        <f ca="1"/>
        <v>5.8540292125825566E-2</v>
      </c>
      <c r="W155" s="137">
        <f ca="1"/>
        <v>0</v>
      </c>
      <c r="X155" s="162">
        <f ca="1"/>
        <v>0</v>
      </c>
      <c r="Y155" s="162">
        <f ca="1"/>
        <v>8.9009182973087686E-4</v>
      </c>
      <c r="Z155" s="162">
        <f ca="1"/>
        <v>0</v>
      </c>
      <c r="AA155" s="162">
        <f ca="1"/>
        <v>7.1005287125061045E-3</v>
      </c>
      <c r="AB155" s="162">
        <f ca="1"/>
        <v>0</v>
      </c>
      <c r="AC155" s="162">
        <f ca="1"/>
        <v>1.7187620015566729E-2</v>
      </c>
      <c r="AD155" s="162">
        <f ca="1"/>
        <v>3.450567186862219E-2</v>
      </c>
      <c r="AE155" s="138">
        <f ca="1"/>
        <v>6.0137909699762182E-2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7.9605170080955245E-3</v>
      </c>
      <c r="Q156" s="162">
        <f ca="1"/>
        <v>0</v>
      </c>
      <c r="R156" s="162">
        <f ca="1"/>
        <v>2.8240442929821086E-2</v>
      </c>
      <c r="S156" s="162">
        <f ca="1"/>
        <v>0</v>
      </c>
      <c r="T156" s="162">
        <f ca="1"/>
        <v>5.848151454560846E-2</v>
      </c>
      <c r="U156" s="162">
        <f ca="1"/>
        <v>8.0170460573852687E-2</v>
      </c>
      <c r="V156" s="138">
        <f ca="1"/>
        <v>0.11183257130107438</v>
      </c>
      <c r="W156" s="137">
        <f ca="1"/>
        <v>0</v>
      </c>
      <c r="X156" s="162">
        <f ca="1"/>
        <v>0</v>
      </c>
      <c r="Y156" s="162">
        <f ca="1"/>
        <v>8.12584314436815E-3</v>
      </c>
      <c r="Z156" s="162">
        <f ca="1"/>
        <v>0</v>
      </c>
      <c r="AA156" s="162">
        <f ca="1"/>
        <v>2.872620125868508E-2</v>
      </c>
      <c r="AB156" s="162">
        <f ca="1"/>
        <v>0</v>
      </c>
      <c r="AC156" s="162">
        <f ca="1"/>
        <v>5.9265786458129854E-2</v>
      </c>
      <c r="AD156" s="162">
        <f ca="1"/>
        <v>8.1242969284813116E-2</v>
      </c>
      <c r="AE156" s="138">
        <f ca="1"/>
        <v>0.11331161746808194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1.2115360307396461E-3</v>
      </c>
      <c r="Q157" s="162">
        <f ca="1"/>
        <v>0</v>
      </c>
      <c r="R157" s="162">
        <f ca="1"/>
        <v>9.7931575695492379E-3</v>
      </c>
      <c r="S157" s="162">
        <f ca="1"/>
        <v>0</v>
      </c>
      <c r="T157" s="162">
        <f ca="1"/>
        <v>2.2957835398952575E-2</v>
      </c>
      <c r="U157" s="162">
        <f ca="1"/>
        <v>4.4084248229473877E-2</v>
      </c>
      <c r="V157" s="138">
        <f ca="1"/>
        <v>8.0757981637331611E-2</v>
      </c>
      <c r="W157" s="137">
        <f ca="1"/>
        <v>0</v>
      </c>
      <c r="X157" s="162">
        <f ca="1"/>
        <v>0</v>
      </c>
      <c r="Y157" s="162">
        <f ca="1"/>
        <v>1.3779869034455938E-3</v>
      </c>
      <c r="Z157" s="162">
        <f ca="1"/>
        <v>0</v>
      </c>
      <c r="AA157" s="162">
        <f ca="1"/>
        <v>1.0288137235539452E-2</v>
      </c>
      <c r="AB157" s="162">
        <f ca="1"/>
        <v>0</v>
      </c>
      <c r="AC157" s="162">
        <f ca="1"/>
        <v>2.3771698046267331E-2</v>
      </c>
      <c r="AD157" s="162">
        <f ca="1"/>
        <v>4.5223671459441284E-2</v>
      </c>
      <c r="AE157" s="138">
        <f ca="1"/>
        <v>8.228877565194892E-2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1.5950325856883829E-3</v>
      </c>
      <c r="Q158" s="162">
        <f ca="1"/>
        <v>0</v>
      </c>
      <c r="R158" s="162">
        <f ca="1"/>
        <v>1.1306590054160459E-2</v>
      </c>
      <c r="S158" s="162">
        <f ca="1"/>
        <v>0</v>
      </c>
      <c r="T158" s="162">
        <f ca="1"/>
        <v>2.9705110993113348E-2</v>
      </c>
      <c r="U158" s="162">
        <f ca="1"/>
        <v>5.2529948478729827E-2</v>
      </c>
      <c r="V158" s="138">
        <f ca="1"/>
        <v>8.9444649294065481E-2</v>
      </c>
      <c r="W158" s="137">
        <f ca="1"/>
        <v>0</v>
      </c>
      <c r="X158" s="162">
        <f ca="1"/>
        <v>0</v>
      </c>
      <c r="Y158" s="162">
        <f ca="1"/>
        <v>1.7614195476464145E-3</v>
      </c>
      <c r="Z158" s="162">
        <f ca="1"/>
        <v>0</v>
      </c>
      <c r="AA158" s="162">
        <f ca="1"/>
        <v>1.1800813193069914E-2</v>
      </c>
      <c r="AB158" s="162">
        <f ca="1"/>
        <v>0</v>
      </c>
      <c r="AC158" s="162">
        <f ca="1"/>
        <v>3.0513353252878739E-2</v>
      </c>
      <c r="AD158" s="162">
        <f ca="1"/>
        <v>5.3659577373349032E-2</v>
      </c>
      <c r="AE158" s="138">
        <f ca="1"/>
        <v>9.0960977587286163E-2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1.1125454537365131E-3</v>
      </c>
      <c r="Q159" s="162">
        <f ca="1"/>
        <v>0</v>
      </c>
      <c r="R159" s="162">
        <f ca="1"/>
        <v>9.3364927842113365E-3</v>
      </c>
      <c r="S159" s="162">
        <f ca="1"/>
        <v>0</v>
      </c>
      <c r="T159" s="162">
        <f ca="1"/>
        <v>2.2582718870571505E-2</v>
      </c>
      <c r="U159" s="162">
        <f ca="1"/>
        <v>3.9853170211560762E-2</v>
      </c>
      <c r="V159" s="138">
        <f ca="1"/>
        <v>6.771650876695301E-2</v>
      </c>
      <c r="W159" s="137">
        <f ca="1"/>
        <v>0</v>
      </c>
      <c r="X159" s="162">
        <f ca="1"/>
        <v>0</v>
      </c>
      <c r="Y159" s="162">
        <f ca="1"/>
        <v>1.2790128235088405E-3</v>
      </c>
      <c r="Z159" s="162">
        <f ca="1"/>
        <v>0</v>
      </c>
      <c r="AA159" s="162">
        <f ca="1"/>
        <v>9.8317007255048772E-3</v>
      </c>
      <c r="AB159" s="162">
        <f ca="1"/>
        <v>0</v>
      </c>
      <c r="AC159" s="162">
        <f ca="1"/>
        <v>2.339689398475342E-2</v>
      </c>
      <c r="AD159" s="162">
        <f ca="1"/>
        <v>4.0997459754662624E-2</v>
      </c>
      <c r="AE159" s="138">
        <f ca="1"/>
        <v>6.9296077287008817E-2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2.1885455180455926E-3</v>
      </c>
      <c r="Q160" s="162">
        <f ca="1"/>
        <v>0</v>
      </c>
      <c r="R160" s="162">
        <f ca="1"/>
        <v>2.0955245731184236E-2</v>
      </c>
      <c r="S160" s="162">
        <f ca="1"/>
        <v>0</v>
      </c>
      <c r="T160" s="162">
        <f ca="1"/>
        <v>4.880624702312153E-2</v>
      </c>
      <c r="U160" s="162">
        <f ca="1"/>
        <v>8.9258780214899192E-2</v>
      </c>
      <c r="V160" s="138">
        <f ca="1"/>
        <v>0.15925357833705178</v>
      </c>
      <c r="W160" s="137">
        <f ca="1"/>
        <v>0</v>
      </c>
      <c r="X160" s="162">
        <f ca="1"/>
        <v>0</v>
      </c>
      <c r="Y160" s="162">
        <f ca="1"/>
        <v>2.3548335693974742E-3</v>
      </c>
      <c r="Z160" s="162">
        <f ca="1"/>
        <v>0</v>
      </c>
      <c r="AA160" s="162">
        <f ca="1"/>
        <v>2.1444645748087354E-2</v>
      </c>
      <c r="AB160" s="162">
        <f ca="1"/>
        <v>0</v>
      </c>
      <c r="AC160" s="162">
        <f ca="1"/>
        <v>4.9598578300065421E-2</v>
      </c>
      <c r="AD160" s="162">
        <f ca="1"/>
        <v>9.0320692068958874E-2</v>
      </c>
      <c r="AE160" s="138">
        <f ca="1"/>
        <v>0.16072288194571138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5.9114857239475072E-2</v>
      </c>
      <c r="Q161" s="162">
        <f ca="1"/>
        <v>0</v>
      </c>
      <c r="R161" s="162">
        <f ca="1"/>
        <v>0.15953516213895513</v>
      </c>
      <c r="S161" s="162">
        <f ca="1"/>
        <v>0</v>
      </c>
      <c r="T161" s="162">
        <f ca="1"/>
        <v>0.22073170257654118</v>
      </c>
      <c r="U161" s="162">
        <f ca="1"/>
        <v>0.27447224339388576</v>
      </c>
      <c r="V161" s="138">
        <f ca="1"/>
        <v>0.35551290585467221</v>
      </c>
      <c r="W161" s="137">
        <f ca="1"/>
        <v>0</v>
      </c>
      <c r="X161" s="162">
        <f ca="1"/>
        <v>0</v>
      </c>
      <c r="Y161" s="162">
        <f ca="1"/>
        <v>5.9271658362797019E-2</v>
      </c>
      <c r="Z161" s="162">
        <f ca="1"/>
        <v>0</v>
      </c>
      <c r="AA161" s="162">
        <f ca="1"/>
        <v>0.15995528951728866</v>
      </c>
      <c r="AB161" s="162">
        <f ca="1"/>
        <v>0</v>
      </c>
      <c r="AC161" s="162">
        <f ca="1"/>
        <v>0.22138082232028977</v>
      </c>
      <c r="AD161" s="162">
        <f ca="1"/>
        <v>0.27531819887324882</v>
      </c>
      <c r="AE161" s="138">
        <f ca="1"/>
        <v>0.35658615638766711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1.914795847476225E-3</v>
      </c>
      <c r="Q162" s="162">
        <f ca="1"/>
        <v>0</v>
      </c>
      <c r="R162" s="162">
        <f ca="1"/>
        <v>1.575838723345202E-2</v>
      </c>
      <c r="S162" s="162">
        <f ca="1"/>
        <v>0</v>
      </c>
      <c r="T162" s="162">
        <f ca="1"/>
        <v>4.2128730450559648E-2</v>
      </c>
      <c r="U162" s="162">
        <f ca="1"/>
        <v>7.879576172621483E-2</v>
      </c>
      <c r="V162" s="138">
        <f ca="1"/>
        <v>0.14917381199289537</v>
      </c>
      <c r="W162" s="137">
        <f ca="1"/>
        <v>0</v>
      </c>
      <c r="X162" s="162">
        <f ca="1"/>
        <v>0</v>
      </c>
      <c r="Y162" s="162">
        <f ca="1"/>
        <v>2.0811295199637536E-3</v>
      </c>
      <c r="Z162" s="162">
        <f ca="1"/>
        <v>0</v>
      </c>
      <c r="AA162" s="162">
        <f ca="1"/>
        <v>1.6250385030100567E-2</v>
      </c>
      <c r="AB162" s="162">
        <f ca="1"/>
        <v>0</v>
      </c>
      <c r="AC162" s="162">
        <f ca="1"/>
        <v>4.2926624006692338E-2</v>
      </c>
      <c r="AD162" s="162">
        <f ca="1"/>
        <v>7.9869873317290452E-2</v>
      </c>
      <c r="AE162" s="138">
        <f ca="1"/>
        <v>0.15066205333649396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1.9395246842324187E-3</v>
      </c>
      <c r="Q163" s="162">
        <f ca="1"/>
        <v>0</v>
      </c>
      <c r="R163" s="162">
        <f ca="1"/>
        <v>8.4672428698093771E-3</v>
      </c>
      <c r="S163" s="162">
        <f ca="1"/>
        <v>0</v>
      </c>
      <c r="T163" s="162">
        <f ca="1"/>
        <v>2.086704751372781E-2</v>
      </c>
      <c r="U163" s="162">
        <f ca="1"/>
        <v>3.2150532933499454E-2</v>
      </c>
      <c r="V163" s="138">
        <f ca="1"/>
        <v>5.7315984108704643E-2</v>
      </c>
      <c r="W163" s="137">
        <f ca="1"/>
        <v>0</v>
      </c>
      <c r="X163" s="162">
        <f ca="1"/>
        <v>0</v>
      </c>
      <c r="Y163" s="162">
        <f ca="1"/>
        <v>2.1058542355876231E-3</v>
      </c>
      <c r="Z163" s="162">
        <f ca="1"/>
        <v>0</v>
      </c>
      <c r="AA163" s="162">
        <f ca="1"/>
        <v>8.9628853274162923E-3</v>
      </c>
      <c r="AB163" s="162">
        <f ca="1"/>
        <v>0</v>
      </c>
      <c r="AC163" s="162">
        <f ca="1"/>
        <v>2.1682651758489935E-2</v>
      </c>
      <c r="AD163" s="162">
        <f ca="1"/>
        <v>3.3302640784978799E-2</v>
      </c>
      <c r="AE163" s="138">
        <f ca="1"/>
        <v>5.8912421977776908E-2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2.6599268002961418E-3</v>
      </c>
      <c r="Q164" s="162">
        <f ca="1"/>
        <v>0</v>
      </c>
      <c r="R164" s="162">
        <f ca="1"/>
        <v>1.3431696290178041E-2</v>
      </c>
      <c r="S164" s="162">
        <f ca="1"/>
        <v>0</v>
      </c>
      <c r="T164" s="162">
        <f ca="1"/>
        <v>3.2409987341033952E-2</v>
      </c>
      <c r="U164" s="162">
        <f ca="1"/>
        <v>5.8351071853268266E-2</v>
      </c>
      <c r="V164" s="138">
        <f ca="1"/>
        <v>0.10044989787780978</v>
      </c>
      <c r="W164" s="137">
        <f ca="1"/>
        <v>0</v>
      </c>
      <c r="X164" s="162">
        <f ca="1"/>
        <v>0</v>
      </c>
      <c r="Y164" s="162">
        <f ca="1"/>
        <v>2.8261362946325752E-3</v>
      </c>
      <c r="Z164" s="162">
        <f ca="1"/>
        <v>0</v>
      </c>
      <c r="AA164" s="162">
        <f ca="1"/>
        <v>1.3924857141553337E-2</v>
      </c>
      <c r="AB164" s="162">
        <f ca="1"/>
        <v>0</v>
      </c>
      <c r="AC164" s="162">
        <f ca="1"/>
        <v>3.3215976476101972E-2</v>
      </c>
      <c r="AD164" s="162">
        <f ca="1"/>
        <v>5.9472804804116208E-2</v>
      </c>
      <c r="AE164" s="138">
        <f ca="1"/>
        <v>0.10199531799295702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9.3928851643065858E-4</v>
      </c>
      <c r="Q165" s="162">
        <f ca="1"/>
        <v>0</v>
      </c>
      <c r="R165" s="162">
        <f ca="1"/>
        <v>7.5126448700372217E-3</v>
      </c>
      <c r="S165" s="162">
        <f ca="1"/>
        <v>0</v>
      </c>
      <c r="T165" s="162">
        <f ca="1"/>
        <v>1.8433289977076939E-2</v>
      </c>
      <c r="U165" s="162">
        <f ca="1"/>
        <v>3.436218608298669E-2</v>
      </c>
      <c r="V165" s="138">
        <f ca="1"/>
        <v>7.0849241218918002E-2</v>
      </c>
      <c r="W165" s="137">
        <f ca="1"/>
        <v>0</v>
      </c>
      <c r="X165" s="162">
        <f ca="1"/>
        <v>0</v>
      </c>
      <c r="Y165" s="162">
        <f ca="1"/>
        <v>1.10578475993095E-3</v>
      </c>
      <c r="Z165" s="162">
        <f ca="1"/>
        <v>0</v>
      </c>
      <c r="AA165" s="162">
        <f ca="1"/>
        <v>8.0087645073418923E-3</v>
      </c>
      <c r="AB165" s="162">
        <f ca="1"/>
        <v>0</v>
      </c>
      <c r="AC165" s="162">
        <f ca="1"/>
        <v>1.9250921508328411E-2</v>
      </c>
      <c r="AD165" s="162">
        <f ca="1"/>
        <v>3.551298882338294E-2</v>
      </c>
      <c r="AE165" s="138">
        <f ca="1"/>
        <v>7.2396536046406057E-2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5.1984847585140548E-2</v>
      </c>
      <c r="Q166" s="162">
        <f ca="1"/>
        <v>0</v>
      </c>
      <c r="R166" s="162">
        <f ca="1"/>
        <v>0.1045576408048543</v>
      </c>
      <c r="S166" s="162">
        <f ca="1"/>
        <v>0</v>
      </c>
      <c r="T166" s="162">
        <f ca="1"/>
        <v>0.1392275196331455</v>
      </c>
      <c r="U166" s="162">
        <f ca="1"/>
        <v>0.17176673014641797</v>
      </c>
      <c r="V166" s="138">
        <f ca="1"/>
        <v>0.22260231627379168</v>
      </c>
      <c r="W166" s="137">
        <f ca="1"/>
        <v>0</v>
      </c>
      <c r="X166" s="162">
        <f ca="1"/>
        <v>0</v>
      </c>
      <c r="Y166" s="162">
        <f ca="1"/>
        <v>5.2142836944385929E-2</v>
      </c>
      <c r="Z166" s="162">
        <f ca="1"/>
        <v>0</v>
      </c>
      <c r="AA166" s="162">
        <f ca="1"/>
        <v>0.10500525007282024</v>
      </c>
      <c r="AB166" s="162">
        <f ca="1"/>
        <v>0</v>
      </c>
      <c r="AC166" s="162">
        <f ca="1"/>
        <v>0.13994453123715633</v>
      </c>
      <c r="AD166" s="162">
        <f ca="1"/>
        <v>0.17273243885496292</v>
      </c>
      <c r="AE166" s="138">
        <f ca="1"/>
        <v>0.22389689996055673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1.4572027196136927E-3</v>
      </c>
      <c r="Q167" s="162">
        <f ca="1"/>
        <v>0</v>
      </c>
      <c r="R167" s="162">
        <f ca="1"/>
        <v>1.3112253003537133E-2</v>
      </c>
      <c r="S167" s="162">
        <f ca="1"/>
        <v>0</v>
      </c>
      <c r="T167" s="162">
        <f ca="1"/>
        <v>3.0379037781483764E-2</v>
      </c>
      <c r="U167" s="162">
        <f ca="1"/>
        <v>5.5709440023279377E-2</v>
      </c>
      <c r="V167" s="138">
        <f ca="1"/>
        <v>0.10357324850262406</v>
      </c>
      <c r="W167" s="137">
        <f ca="1"/>
        <v>0</v>
      </c>
      <c r="X167" s="162">
        <f ca="1"/>
        <v>0</v>
      </c>
      <c r="Y167" s="162">
        <f ca="1"/>
        <v>1.6236126512998439E-3</v>
      </c>
      <c r="Z167" s="162">
        <f ca="1"/>
        <v>0</v>
      </c>
      <c r="AA167" s="162">
        <f ca="1"/>
        <v>1.3605573536604521E-2</v>
      </c>
      <c r="AB167" s="162">
        <f ca="1"/>
        <v>0</v>
      </c>
      <c r="AC167" s="162">
        <f ca="1"/>
        <v>3.1186718669585445E-2</v>
      </c>
      <c r="AD167" s="162">
        <f ca="1"/>
        <v>5.6834631485127463E-2</v>
      </c>
      <c r="AE167" s="138">
        <f ca="1"/>
        <v>0.10511782584422769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1.2115360307396461E-3</v>
      </c>
      <c r="Q168" s="162">
        <f ca="1"/>
        <v>0</v>
      </c>
      <c r="R168" s="162">
        <f ca="1"/>
        <v>1.1762269539766335E-2</v>
      </c>
      <c r="S168" s="162">
        <f ca="1"/>
        <v>0</v>
      </c>
      <c r="T168" s="162">
        <f ca="1"/>
        <v>2.9687607596985965E-2</v>
      </c>
      <c r="U168" s="162">
        <f ca="1"/>
        <v>5.9960262177824131E-2</v>
      </c>
      <c r="V168" s="138">
        <f ca="1"/>
        <v>0.1121708925935232</v>
      </c>
      <c r="W168" s="137">
        <f ca="1"/>
        <v>0</v>
      </c>
      <c r="X168" s="162">
        <f ca="1"/>
        <v>0</v>
      </c>
      <c r="Y168" s="162">
        <f ca="1"/>
        <v>1.3779869034455938E-3</v>
      </c>
      <c r="Z168" s="162">
        <f ca="1"/>
        <v>0</v>
      </c>
      <c r="AA168" s="162">
        <f ca="1"/>
        <v>1.2256264895857849E-2</v>
      </c>
      <c r="AB168" s="162">
        <f ca="1"/>
        <v>0</v>
      </c>
      <c r="AC168" s="162">
        <f ca="1"/>
        <v>3.0495864436854925E-2</v>
      </c>
      <c r="AD168" s="162">
        <f ca="1"/>
        <v>6.1080323719898355E-2</v>
      </c>
      <c r="AE168" s="138">
        <f ca="1"/>
        <v>0.11370622663788466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8.031371439396473E-4</v>
      </c>
      <c r="Q169" s="162">
        <f ca="1"/>
        <v>0</v>
      </c>
      <c r="R169" s="162">
        <f ca="1"/>
        <v>8.0863743296408774E-3</v>
      </c>
      <c r="S169" s="162">
        <f ca="1"/>
        <v>0</v>
      </c>
      <c r="T169" s="162">
        <f ca="1"/>
        <v>1.969309780428985E-2</v>
      </c>
      <c r="U169" s="162">
        <f ca="1"/>
        <v>3.6541214198085092E-2</v>
      </c>
      <c r="V169" s="138">
        <f ca="1"/>
        <v>6.4117238664963105E-2</v>
      </c>
      <c r="W169" s="137">
        <f ca="1"/>
        <v>0</v>
      </c>
      <c r="X169" s="162">
        <f ca="1"/>
        <v>0</v>
      </c>
      <c r="Y169" s="162">
        <f ca="1"/>
        <v>9.6965607743937365E-4</v>
      </c>
      <c r="Z169" s="162">
        <f ca="1"/>
        <v>0</v>
      </c>
      <c r="AA169" s="162">
        <f ca="1"/>
        <v>8.582207173960188E-3</v>
      </c>
      <c r="AB169" s="162">
        <f ca="1"/>
        <v>0</v>
      </c>
      <c r="AC169" s="162">
        <f ca="1"/>
        <v>2.0509679932958047E-2</v>
      </c>
      <c r="AD169" s="162">
        <f ca="1"/>
        <v>3.7689567414367686E-2</v>
      </c>
      <c r="AE169" s="138">
        <f ca="1"/>
        <v>6.5703886828903268E-2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1.3052145750150901E-3</v>
      </c>
      <c r="Q170" s="162">
        <f ca="1"/>
        <v>0</v>
      </c>
      <c r="R170" s="162">
        <f ca="1"/>
        <v>1.0458454201636824E-2</v>
      </c>
      <c r="S170" s="162">
        <f ca="1"/>
        <v>0</v>
      </c>
      <c r="T170" s="162">
        <f ca="1"/>
        <v>2.1139200733919505E-2</v>
      </c>
      <c r="U170" s="162">
        <f ca="1"/>
        <v>3.3738828279043398E-2</v>
      </c>
      <c r="V170" s="138">
        <f ca="1"/>
        <v>6.2924618687133616E-2</v>
      </c>
      <c r="W170" s="137">
        <f ca="1"/>
        <v>0</v>
      </c>
      <c r="X170" s="162">
        <f ca="1"/>
        <v>0</v>
      </c>
      <c r="Y170" s="162">
        <f ca="1"/>
        <v>1.4716498359292896E-3</v>
      </c>
      <c r="Z170" s="162">
        <f ca="1"/>
        <v>0</v>
      </c>
      <c r="AA170" s="162">
        <f ca="1"/>
        <v>1.0953101302471291E-2</v>
      </c>
      <c r="AB170" s="162">
        <f ca="1"/>
        <v>0</v>
      </c>
      <c r="AC170" s="162">
        <f ca="1"/>
        <v>2.1954578278776893E-2</v>
      </c>
      <c r="AD170" s="162">
        <f ca="1"/>
        <v>3.4888841539076565E-2</v>
      </c>
      <c r="AE170" s="138">
        <f ca="1"/>
        <v>6.4510483819757658E-2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1.7240101056161805E-3</v>
      </c>
      <c r="Q171" s="162">
        <f ca="1"/>
        <v>0</v>
      </c>
      <c r="R171" s="162">
        <f ca="1"/>
        <v>1.6011878137798252E-2</v>
      </c>
      <c r="S171" s="162">
        <f ca="1"/>
        <v>0</v>
      </c>
      <c r="T171" s="162">
        <f ca="1"/>
        <v>4.2116567976885233E-2</v>
      </c>
      <c r="U171" s="162">
        <f ca="1"/>
        <v>7.2655211662749464E-2</v>
      </c>
      <c r="V171" s="138">
        <f ca="1"/>
        <v>0.12053152236548115</v>
      </c>
      <c r="W171" s="137">
        <f ca="1"/>
        <v>0</v>
      </c>
      <c r="X171" s="162">
        <f ca="1"/>
        <v>0</v>
      </c>
      <c r="Y171" s="162">
        <f ca="1"/>
        <v>1.8903755730879102E-3</v>
      </c>
      <c r="Z171" s="162">
        <f ca="1"/>
        <v>0</v>
      </c>
      <c r="AA171" s="162">
        <f ca="1"/>
        <v>1.6503749220689645E-2</v>
      </c>
      <c r="AB171" s="162">
        <f ca="1"/>
        <v>0</v>
      </c>
      <c r="AC171" s="162">
        <f ca="1"/>
        <v>4.2914471664160736E-2</v>
      </c>
      <c r="AD171" s="162">
        <f ca="1"/>
        <v>7.375986158287684E-2</v>
      </c>
      <c r="AE171" s="138">
        <f ca="1"/>
        <v>0.1220469033035696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0.14010865502645609</v>
      </c>
      <c r="Q172" s="162">
        <f ca="1"/>
        <v>0</v>
      </c>
      <c r="R172" s="162">
        <f ca="1"/>
        <v>0.22607098344209731</v>
      </c>
      <c r="S172" s="162">
        <f ca="1"/>
        <v>0</v>
      </c>
      <c r="T172" s="162">
        <f ca="1"/>
        <v>0.26235067667987244</v>
      </c>
      <c r="U172" s="162">
        <f ca="1"/>
        <v>0.28806650845441961</v>
      </c>
      <c r="V172" s="138">
        <f ca="1"/>
        <v>0.34353300774672724</v>
      </c>
      <c r="W172" s="137">
        <f ca="1"/>
        <v>0</v>
      </c>
      <c r="X172" s="162">
        <f ca="1"/>
        <v>0</v>
      </c>
      <c r="Y172" s="162">
        <f ca="1"/>
        <v>0.14025195830834514</v>
      </c>
      <c r="Z172" s="162">
        <f ca="1"/>
        <v>0</v>
      </c>
      <c r="AA172" s="162">
        <f ca="1"/>
        <v>0.22645785122538054</v>
      </c>
      <c r="AB172" s="162">
        <f ca="1"/>
        <v>0</v>
      </c>
      <c r="AC172" s="162">
        <f ca="1"/>
        <v>0.26293884264389844</v>
      </c>
      <c r="AD172" s="162">
        <f ca="1"/>
        <v>0.28882716524927721</v>
      </c>
      <c r="AE172" s="138">
        <f ca="1"/>
        <v>0.34454794668552013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1.7363769444889154E-3</v>
      </c>
      <c r="Q173" s="162">
        <f ca="1"/>
        <v>0</v>
      </c>
      <c r="R173" s="162">
        <f ca="1"/>
        <v>1.6493576918326647E-2</v>
      </c>
      <c r="S173" s="162">
        <f ca="1"/>
        <v>0</v>
      </c>
      <c r="T173" s="162">
        <f ca="1"/>
        <v>3.9480423361754058E-2</v>
      </c>
      <c r="U173" s="162">
        <f ca="1"/>
        <v>7.1120017285911441E-2</v>
      </c>
      <c r="V173" s="138">
        <f ca="1"/>
        <v>0.12608882314452585</v>
      </c>
      <c r="W173" s="137">
        <f ca="1"/>
        <v>0</v>
      </c>
      <c r="X173" s="162">
        <f ca="1"/>
        <v>0</v>
      </c>
      <c r="Y173" s="162">
        <f ca="1"/>
        <v>1.9027403510124552E-3</v>
      </c>
      <c r="Z173" s="162">
        <f ca="1"/>
        <v>0</v>
      </c>
      <c r="AA173" s="162">
        <f ca="1"/>
        <v>1.6985207212042996E-2</v>
      </c>
      <c r="AB173" s="162">
        <f ca="1"/>
        <v>0</v>
      </c>
      <c r="AC173" s="162">
        <f ca="1"/>
        <v>4.0280522921129713E-2</v>
      </c>
      <c r="AD173" s="162">
        <f ca="1"/>
        <v>7.2225716553910746E-2</v>
      </c>
      <c r="AE173" s="138">
        <f ca="1"/>
        <v>0.12760001216476635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2.1320355579615979E-3</v>
      </c>
      <c r="Q174" s="162">
        <f ca="1"/>
        <v>0</v>
      </c>
      <c r="R174" s="162">
        <f ca="1"/>
        <v>1.4708415174524148E-2</v>
      </c>
      <c r="S174" s="162">
        <f ca="1"/>
        <v>0</v>
      </c>
      <c r="T174" s="162">
        <f ca="1"/>
        <v>4.0507044710001217E-2</v>
      </c>
      <c r="U174" s="162">
        <f ca="1"/>
        <v>7.6395458115100623E-2</v>
      </c>
      <c r="V174" s="138">
        <f ca="1"/>
        <v>0.12876849458419193</v>
      </c>
      <c r="W174" s="137">
        <f ca="1"/>
        <v>0</v>
      </c>
      <c r="X174" s="162">
        <f ca="1"/>
        <v>0</v>
      </c>
      <c r="Y174" s="162">
        <f ca="1"/>
        <v>2.2983330268742108E-3</v>
      </c>
      <c r="Z174" s="162">
        <f ca="1"/>
        <v>0</v>
      </c>
      <c r="AA174" s="162">
        <f ca="1"/>
        <v>1.5200937826049143E-2</v>
      </c>
      <c r="AB174" s="162">
        <f ca="1"/>
        <v>0</v>
      </c>
      <c r="AC174" s="162">
        <f ca="1"/>
        <v>4.1306289108012595E-2</v>
      </c>
      <c r="AD174" s="162">
        <f ca="1"/>
        <v>7.7494344003157134E-2</v>
      </c>
      <c r="AE174" s="138">
        <f ca="1"/>
        <v>0.1302754878094986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8.8978105685777464E-4</v>
      </c>
      <c r="Q175" s="162">
        <f ca="1"/>
        <v>0</v>
      </c>
      <c r="R175" s="162">
        <f ca="1"/>
        <v>1.1151071933827472E-2</v>
      </c>
      <c r="S175" s="162">
        <f ca="1"/>
        <v>0</v>
      </c>
      <c r="T175" s="162">
        <f ca="1"/>
        <v>2.5439959882894714E-2</v>
      </c>
      <c r="U175" s="162">
        <f ca="1"/>
        <v>4.6851532569233023E-2</v>
      </c>
      <c r="V175" s="138">
        <f ca="1"/>
        <v>8.7642271705006825E-2</v>
      </c>
      <c r="W175" s="137">
        <f ca="1"/>
        <v>0</v>
      </c>
      <c r="X175" s="162">
        <f ca="1"/>
        <v>0</v>
      </c>
      <c r="Y175" s="162">
        <f ca="1"/>
        <v>1.0562855509195224E-3</v>
      </c>
      <c r="Z175" s="162">
        <f ca="1"/>
        <v>0</v>
      </c>
      <c r="AA175" s="162">
        <f ca="1"/>
        <v>1.1645372812352783E-2</v>
      </c>
      <c r="AB175" s="162">
        <f ca="1"/>
        <v>0</v>
      </c>
      <c r="AC175" s="162">
        <f ca="1"/>
        <v>2.6251754954719875E-2</v>
      </c>
      <c r="AD175" s="162">
        <f ca="1"/>
        <v>4.7987603906235909E-2</v>
      </c>
      <c r="AE175" s="138">
        <f ca="1"/>
        <v>8.9209284497309693E-2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2.7005223465771389E-3</v>
      </c>
      <c r="Q176" s="162">
        <f ca="1"/>
        <v>0</v>
      </c>
      <c r="R176" s="162">
        <f ca="1"/>
        <v>1.5251514492373608E-2</v>
      </c>
      <c r="S176" s="162">
        <f ca="1"/>
        <v>0</v>
      </c>
      <c r="T176" s="162">
        <f ca="1"/>
        <v>3.9536942156618848E-2</v>
      </c>
      <c r="U176" s="162">
        <f ca="1"/>
        <v>6.7884595287551863E-2</v>
      </c>
      <c r="V176" s="138">
        <f ca="1"/>
        <v>0.12798779198385957</v>
      </c>
      <c r="W176" s="137">
        <f ca="1"/>
        <v>0</v>
      </c>
      <c r="X176" s="162">
        <f ca="1"/>
        <v>0</v>
      </c>
      <c r="Y176" s="162">
        <f ca="1"/>
        <v>2.8667250755635143E-3</v>
      </c>
      <c r="Z176" s="162">
        <f ca="1"/>
        <v>0</v>
      </c>
      <c r="AA176" s="162">
        <f ca="1"/>
        <v>1.5743765662072473E-2</v>
      </c>
      <c r="AB176" s="162">
        <f ca="1"/>
        <v>0</v>
      </c>
      <c r="AC176" s="162">
        <f ca="1"/>
        <v>4.0336994636672063E-2</v>
      </c>
      <c r="AD176" s="162">
        <f ca="1"/>
        <v>6.8994935653745704E-2</v>
      </c>
      <c r="AE176" s="138">
        <f ca="1"/>
        <v>0.1294982136664844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9.5343305769535203E-4</v>
      </c>
      <c r="Q177" s="162">
        <f ca="1"/>
        <v>0</v>
      </c>
      <c r="R177" s="162">
        <f ca="1"/>
        <v>9.3482568268381527E-3</v>
      </c>
      <c r="S177" s="162">
        <f ca="1"/>
        <v>0</v>
      </c>
      <c r="T177" s="162">
        <f ca="1"/>
        <v>2.2594713783765097E-2</v>
      </c>
      <c r="U177" s="162">
        <f ca="1"/>
        <v>3.9865331905540757E-2</v>
      </c>
      <c r="V177" s="138">
        <f ca="1"/>
        <v>6.772872428958232E-2</v>
      </c>
      <c r="W177" s="137">
        <f ca="1"/>
        <v>0</v>
      </c>
      <c r="X177" s="162">
        <f ca="1"/>
        <v>0</v>
      </c>
      <c r="Y177" s="162">
        <f ca="1"/>
        <v>1.1199269439851056E-3</v>
      </c>
      <c r="Z177" s="162">
        <f ca="1"/>
        <v>0</v>
      </c>
      <c r="AA177" s="162">
        <f ca="1"/>
        <v>9.8434588875970785E-3</v>
      </c>
      <c r="AB177" s="162">
        <f ca="1"/>
        <v>0</v>
      </c>
      <c r="AC177" s="162">
        <f ca="1"/>
        <v>2.3408878906384212E-2</v>
      </c>
      <c r="AD177" s="162">
        <f ca="1"/>
        <v>4.1009659915760333E-2</v>
      </c>
      <c r="AE177" s="138">
        <f ca="1"/>
        <v>6.9308324281361577E-2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1.0966353458397027E-3</v>
      </c>
      <c r="Q178" s="162">
        <f ca="1"/>
        <v>0</v>
      </c>
      <c r="R178" s="162">
        <f ca="1"/>
        <v>8.1118208846282513E-3</v>
      </c>
      <c r="S178" s="162">
        <f ca="1"/>
        <v>0</v>
      </c>
      <c r="T178" s="162">
        <f ca="1"/>
        <v>1.8790360585797194E-2</v>
      </c>
      <c r="U178" s="162">
        <f ca="1"/>
        <v>3.4618084403587823E-2</v>
      </c>
      <c r="V178" s="138">
        <f ca="1"/>
        <v>6.4307693968780222E-2</v>
      </c>
      <c r="W178" s="137">
        <f ca="1"/>
        <v>0</v>
      </c>
      <c r="X178" s="162">
        <f ca="1"/>
        <v>0</v>
      </c>
      <c r="Y178" s="162">
        <f ca="1"/>
        <v>1.2631053670624226E-3</v>
      </c>
      <c r="Z178" s="162">
        <f ca="1"/>
        <v>0</v>
      </c>
      <c r="AA178" s="162">
        <f ca="1"/>
        <v>8.607641008815281E-3</v>
      </c>
      <c r="AB178" s="162">
        <f ca="1"/>
        <v>0</v>
      </c>
      <c r="AC178" s="162">
        <f ca="1"/>
        <v>1.9607694682101884E-2</v>
      </c>
      <c r="AD178" s="162">
        <f ca="1"/>
        <v>3.5768327487675888E-2</v>
      </c>
      <c r="AE178" s="138">
        <f ca="1"/>
        <v>6.5893256792921351E-2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1.8582705098246777E-3</v>
      </c>
      <c r="Q179" s="162">
        <f ca="1"/>
        <v>0</v>
      </c>
      <c r="R179" s="162">
        <f ca="1"/>
        <v>1.1354545726504961E-2</v>
      </c>
      <c r="S179" s="162">
        <f ca="1"/>
        <v>0</v>
      </c>
      <c r="T179" s="162">
        <f ca="1"/>
        <v>2.7943487291809399E-2</v>
      </c>
      <c r="U179" s="162">
        <f ca="1"/>
        <v>5.2030320521318174E-2</v>
      </c>
      <c r="V179" s="138">
        <f ca="1"/>
        <v>8.9913946642749321E-2</v>
      </c>
      <c r="W179" s="137">
        <f ca="1"/>
        <v>0</v>
      </c>
      <c r="X179" s="162">
        <f ca="1"/>
        <v>0</v>
      </c>
      <c r="Y179" s="162">
        <f ca="1"/>
        <v>2.0246136024355543E-3</v>
      </c>
      <c r="Z179" s="162">
        <f ca="1"/>
        <v>0</v>
      </c>
      <c r="AA179" s="162">
        <f ca="1"/>
        <v>1.1848744893526497E-2</v>
      </c>
      <c r="AB179" s="162">
        <f ca="1"/>
        <v>0</v>
      </c>
      <c r="AC179" s="162">
        <f ca="1"/>
        <v>2.8753196959852234E-2</v>
      </c>
      <c r="AD179" s="162">
        <f ca="1"/>
        <v>5.3160164019185774E-2</v>
      </c>
      <c r="AE179" s="138">
        <f ca="1"/>
        <v>9.1429493425176589E-2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6.4574443184439723E-4</v>
      </c>
      <c r="Q180" s="162">
        <f ca="1"/>
        <v>0</v>
      </c>
      <c r="R180" s="162">
        <f ca="1"/>
        <v>1.2398304031623231E-2</v>
      </c>
      <c r="S180" s="162">
        <f ca="1"/>
        <v>0</v>
      </c>
      <c r="T180" s="162">
        <f ca="1"/>
        <v>2.6197119282507675E-2</v>
      </c>
      <c r="U180" s="162">
        <f ca="1"/>
        <v>4.7419042715122206E-2</v>
      </c>
      <c r="V180" s="138">
        <f ca="1"/>
        <v>8.5848979878832998E-2</v>
      </c>
      <c r="W180" s="137">
        <f ca="1"/>
        <v>0</v>
      </c>
      <c r="X180" s="162">
        <f ca="1"/>
        <v>0</v>
      </c>
      <c r="Y180" s="162">
        <f ca="1"/>
        <v>8.1228959531109979E-4</v>
      </c>
      <c r="Z180" s="162">
        <f ca="1"/>
        <v>0</v>
      </c>
      <c r="AA180" s="162">
        <f ca="1"/>
        <v>1.2891981449966727E-2</v>
      </c>
      <c r="AB180" s="162">
        <f ca="1"/>
        <v>0</v>
      </c>
      <c r="AC180" s="162">
        <f ca="1"/>
        <v>2.7008283651044351E-2</v>
      </c>
      <c r="AD180" s="162">
        <f ca="1"/>
        <v>4.8554134102534063E-2</v>
      </c>
      <c r="AE180" s="138">
        <f ca="1"/>
        <v>8.7371295963203033E-2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2.423381033030525E-3</v>
      </c>
      <c r="Q181" s="162">
        <f ca="1"/>
        <v>0</v>
      </c>
      <c r="R181" s="162">
        <f ca="1"/>
        <v>9.9585244351005908E-3</v>
      </c>
      <c r="S181" s="162">
        <f ca="1"/>
        <v>0</v>
      </c>
      <c r="T181" s="162">
        <f ca="1"/>
        <v>2.8911470761476044E-2</v>
      </c>
      <c r="U181" s="162">
        <f ca="1"/>
        <v>5.4066900129545625E-2</v>
      </c>
      <c r="V181" s="138">
        <f ca="1"/>
        <v>9.241454683375272E-2</v>
      </c>
      <c r="W181" s="137">
        <f ca="1"/>
        <v>0</v>
      </c>
      <c r="X181" s="162">
        <f ca="1"/>
        <v>0</v>
      </c>
      <c r="Y181" s="162">
        <f ca="1"/>
        <v>2.5896299483854079E-3</v>
      </c>
      <c r="Z181" s="162">
        <f ca="1"/>
        <v>0</v>
      </c>
      <c r="AA181" s="162">
        <f ca="1"/>
        <v>1.0453421438310517E-2</v>
      </c>
      <c r="AB181" s="162">
        <f ca="1"/>
        <v>0</v>
      </c>
      <c r="AC181" s="162">
        <f ca="1"/>
        <v>2.9720374112644055E-2</v>
      </c>
      <c r="AD181" s="162">
        <f ca="1"/>
        <v>5.5194757520191651E-2</v>
      </c>
      <c r="AE181" s="138">
        <f ca="1"/>
        <v>9.3925929420347831E-2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7.8014873170950683E-4</v>
      </c>
      <c r="Q182" s="162">
        <f ca="1"/>
        <v>0</v>
      </c>
      <c r="R182" s="162">
        <f ca="1"/>
        <v>7.5242698861912594E-3</v>
      </c>
      <c r="S182" s="162">
        <f ca="1"/>
        <v>0</v>
      </c>
      <c r="T182" s="162">
        <f ca="1"/>
        <v>1.7577626760158616E-2</v>
      </c>
      <c r="U182" s="162">
        <f ca="1"/>
        <v>3.3826318887121731E-2</v>
      </c>
      <c r="V182" s="138">
        <f ca="1"/>
        <v>6.4376187685032504E-2</v>
      </c>
      <c r="W182" s="137">
        <f ca="1"/>
        <v>0</v>
      </c>
      <c r="X182" s="162">
        <f ca="1"/>
        <v>0</v>
      </c>
      <c r="Y182" s="162">
        <f ca="1"/>
        <v>9.4667149629168446E-4</v>
      </c>
      <c r="Z182" s="162">
        <f ca="1"/>
        <v>0</v>
      </c>
      <c r="AA182" s="162">
        <f ca="1"/>
        <v>8.0203837124647182E-3</v>
      </c>
      <c r="AB182" s="162">
        <f ca="1"/>
        <v>0</v>
      </c>
      <c r="AC182" s="162">
        <f ca="1"/>
        <v>1.839597104704549E-2</v>
      </c>
      <c r="AD182" s="162">
        <f ca="1"/>
        <v>3.4977735538715526E-2</v>
      </c>
      <c r="AE182" s="138">
        <f ca="1"/>
        <v>6.5962024252305351E-2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1.3547016070790674E-3</v>
      </c>
      <c r="Q183" s="162">
        <f ca="1"/>
        <v>0</v>
      </c>
      <c r="R183" s="162">
        <f ca="1"/>
        <v>1.2984783065592254E-2</v>
      </c>
      <c r="S183" s="162">
        <f ca="1"/>
        <v>0</v>
      </c>
      <c r="T183" s="162">
        <f ca="1"/>
        <v>2.7807322480554508E-2</v>
      </c>
      <c r="U183" s="162">
        <f ca="1"/>
        <v>5.145872992987488E-2</v>
      </c>
      <c r="V183" s="138">
        <f ca="1"/>
        <v>8.9318220494523093E-2</v>
      </c>
      <c r="W183" s="137">
        <f ca="1"/>
        <v>0</v>
      </c>
      <c r="X183" s="162">
        <f ca="1"/>
        <v>0</v>
      </c>
      <c r="Y183" s="162">
        <f ca="1"/>
        <v>1.5211286208359764E-3</v>
      </c>
      <c r="Z183" s="162">
        <f ca="1"/>
        <v>0</v>
      </c>
      <c r="AA183" s="162">
        <f ca="1"/>
        <v>1.3478167317724998E-2</v>
      </c>
      <c r="AB183" s="162">
        <f ca="1"/>
        <v>0</v>
      </c>
      <c r="AC183" s="162">
        <f ca="1"/>
        <v>2.8617145572010116E-2</v>
      </c>
      <c r="AD183" s="162">
        <f ca="1"/>
        <v>5.25887806578893E-2</v>
      </c>
      <c r="AE183" s="138">
        <f ca="1"/>
        <v>9.0834759326913872E-2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2.9934677101369767E-3</v>
      </c>
      <c r="Q184" s="162">
        <f ca="1"/>
        <v>0</v>
      </c>
      <c r="R184" s="162">
        <f ca="1"/>
        <v>2.2353925954766041E-2</v>
      </c>
      <c r="S184" s="162">
        <f ca="1"/>
        <v>0</v>
      </c>
      <c r="T184" s="162">
        <f ca="1"/>
        <v>6.3506367286938481E-2</v>
      </c>
      <c r="U184" s="162">
        <f ca="1"/>
        <v>0.11477072111836206</v>
      </c>
      <c r="V184" s="138">
        <f ca="1"/>
        <v>0.21580492293599018</v>
      </c>
      <c r="W184" s="137">
        <f ca="1"/>
        <v>0</v>
      </c>
      <c r="X184" s="162">
        <f ca="1"/>
        <v>0</v>
      </c>
      <c r="Y184" s="162">
        <f ca="1"/>
        <v>3.1596216189796467E-3</v>
      </c>
      <c r="Z184" s="162">
        <f ca="1"/>
        <v>0</v>
      </c>
      <c r="AA184" s="162">
        <f ca="1"/>
        <v>2.2842626806359845E-2</v>
      </c>
      <c r="AB184" s="162">
        <f ca="1"/>
        <v>0</v>
      </c>
      <c r="AC184" s="162">
        <f ca="1"/>
        <v>6.4286453566415269E-2</v>
      </c>
      <c r="AD184" s="162">
        <f ca="1"/>
        <v>0.11584582890757988</v>
      </c>
      <c r="AE184" s="138">
        <f ca="1"/>
        <v>0.21719382701669476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5.2249570935736234E-4</v>
      </c>
      <c r="P185" s="162">
        <f ca="1"/>
        <v>1.2412497565172931E-3</v>
      </c>
      <c r="Q185" s="162">
        <f ca="1"/>
        <v>3.8930428389022387E-3</v>
      </c>
      <c r="R185" s="162">
        <f ca="1"/>
        <v>8.0085673476514296E-3</v>
      </c>
      <c r="S185" s="162">
        <f ca="1"/>
        <v>0</v>
      </c>
      <c r="T185" s="162">
        <f ca="1"/>
        <v>2.0628996387571763E-2</v>
      </c>
      <c r="U185" s="162">
        <f ca="1"/>
        <v>3.2094108193211235E-2</v>
      </c>
      <c r="V185" s="138">
        <f ca="1"/>
        <v>5.3284068556403441E-2</v>
      </c>
      <c r="W185" s="137">
        <f ca="1"/>
        <v>0</v>
      </c>
      <c r="X185" s="162">
        <f ca="1"/>
        <v>6.1576922506734189E-4</v>
      </c>
      <c r="Y185" s="162">
        <f ca="1"/>
        <v>1.4076956773552141E-3</v>
      </c>
      <c r="Z185" s="162">
        <f ca="1"/>
        <v>4.2250231581555386E-3</v>
      </c>
      <c r="AA185" s="162">
        <f ca="1"/>
        <v>8.5044390856960916E-3</v>
      </c>
      <c r="AB185" s="162">
        <f ca="1"/>
        <v>0</v>
      </c>
      <c r="AC185" s="162">
        <f ca="1"/>
        <v>2.1444798925613684E-2</v>
      </c>
      <c r="AD185" s="162">
        <f ca="1"/>
        <v>3.3246710792353196E-2</v>
      </c>
      <c r="AE185" s="138">
        <f ca="1"/>
        <v>5.4888064728648156E-2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6.2419030516028817E-3</v>
      </c>
      <c r="Q186" s="162">
        <f ca="1"/>
        <v>0</v>
      </c>
      <c r="R186" s="162">
        <f ca="1"/>
        <v>3.2811206146258654E-2</v>
      </c>
      <c r="S186" s="162">
        <f ca="1"/>
        <v>0</v>
      </c>
      <c r="T186" s="162">
        <f ca="1"/>
        <v>9.0106425002624557E-2</v>
      </c>
      <c r="U186" s="162">
        <f ca="1"/>
        <v>0.14334274271051739</v>
      </c>
      <c r="V186" s="138">
        <f ca="1"/>
        <v>0.23232222065011709</v>
      </c>
      <c r="W186" s="137">
        <f ca="1"/>
        <v>0</v>
      </c>
      <c r="X186" s="162">
        <f ca="1"/>
        <v>0</v>
      </c>
      <c r="Y186" s="162">
        <f ca="1"/>
        <v>6.4075155996656807E-3</v>
      </c>
      <c r="Z186" s="162">
        <f ca="1"/>
        <v>0</v>
      </c>
      <c r="AA186" s="162">
        <f ca="1"/>
        <v>3.3294679664747751E-2</v>
      </c>
      <c r="AB186" s="162">
        <f ca="1"/>
        <v>0</v>
      </c>
      <c r="AC186" s="162">
        <f ca="1"/>
        <v>9.0892273119219436E-2</v>
      </c>
      <c r="AD186" s="162">
        <f ca="1"/>
        <v>0.14438010173681992</v>
      </c>
      <c r="AE186" s="138">
        <f ca="1"/>
        <v>0.23366461531726856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1.8706356987751027E-3</v>
      </c>
      <c r="Q187" s="162">
        <f ca="1"/>
        <v>0</v>
      </c>
      <c r="R187" s="162">
        <f ca="1"/>
        <v>1.008294741982152E-2</v>
      </c>
      <c r="S187" s="162">
        <f ca="1"/>
        <v>0</v>
      </c>
      <c r="T187" s="162">
        <f ca="1"/>
        <v>2.2439168252136654E-2</v>
      </c>
      <c r="U187" s="162">
        <f ca="1"/>
        <v>3.3090314370057716E-2</v>
      </c>
      <c r="V187" s="138">
        <f ca="1"/>
        <v>5.4562181903852758E-2</v>
      </c>
      <c r="W187" s="137">
        <f ca="1"/>
        <v>0</v>
      </c>
      <c r="X187" s="162">
        <f ca="1"/>
        <v>0</v>
      </c>
      <c r="Y187" s="162">
        <f ca="1"/>
        <v>2.0369767306700481E-3</v>
      </c>
      <c r="Z187" s="162">
        <f ca="1"/>
        <v>0</v>
      </c>
      <c r="AA187" s="162">
        <f ca="1"/>
        <v>1.0577782227081389E-2</v>
      </c>
      <c r="AB187" s="162">
        <f ca="1"/>
        <v>0</v>
      </c>
      <c r="AC187" s="162">
        <f ca="1"/>
        <v>2.3253462941976499E-2</v>
      </c>
      <c r="AD187" s="162">
        <f ca="1"/>
        <v>3.4240765055907008E-2</v>
      </c>
      <c r="AE187" s="138">
        <f ca="1"/>
        <v>5.6162483916526562E-2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2.1320355579615979E-3</v>
      </c>
      <c r="Q188" s="162">
        <f ca="1"/>
        <v>0</v>
      </c>
      <c r="R188" s="162">
        <f ca="1"/>
        <v>1.5679358782768604E-2</v>
      </c>
      <c r="S188" s="162">
        <f ca="1"/>
        <v>0</v>
      </c>
      <c r="T188" s="162">
        <f ca="1"/>
        <v>4.1690071128315909E-2</v>
      </c>
      <c r="U188" s="162">
        <f ca="1"/>
        <v>7.0033703115698454E-2</v>
      </c>
      <c r="V188" s="138">
        <f ca="1"/>
        <v>0.11606841851081096</v>
      </c>
      <c r="W188" s="137">
        <f ca="1"/>
        <v>0</v>
      </c>
      <c r="X188" s="162">
        <f ca="1"/>
        <v>0</v>
      </c>
      <c r="Y188" s="162">
        <f ca="1"/>
        <v>2.2983330268742108E-3</v>
      </c>
      <c r="Z188" s="162">
        <f ca="1"/>
        <v>0</v>
      </c>
      <c r="AA188" s="162">
        <f ca="1"/>
        <v>1.6171396083810685E-2</v>
      </c>
      <c r="AB188" s="162">
        <f ca="1"/>
        <v>0</v>
      </c>
      <c r="AC188" s="162">
        <f ca="1"/>
        <v>4.2488330081634995E-2</v>
      </c>
      <c r="AD188" s="162">
        <f ca="1"/>
        <v>7.1141806686955578E-2</v>
      </c>
      <c r="AE188" s="138">
        <f ca="1"/>
        <v>0.11758934820237965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4.6771299353567386E-3</v>
      </c>
      <c r="Q189" s="162">
        <f ca="1"/>
        <v>0</v>
      </c>
      <c r="R189" s="162">
        <f ca="1"/>
        <v>2.4905876086150913E-2</v>
      </c>
      <c r="S189" s="162">
        <f ca="1"/>
        <v>0</v>
      </c>
      <c r="T189" s="162">
        <f ca="1"/>
        <v>6.218258640049934E-2</v>
      </c>
      <c r="U189" s="162">
        <f ca="1"/>
        <v>9.9307555079031107E-2</v>
      </c>
      <c r="V189" s="138">
        <f ca="1"/>
        <v>0.15708452228899394</v>
      </c>
      <c r="W189" s="137">
        <f ca="1"/>
        <v>0</v>
      </c>
      <c r="X189" s="162">
        <f ca="1"/>
        <v>0</v>
      </c>
      <c r="Y189" s="162">
        <f ca="1"/>
        <v>4.8430032572263082E-3</v>
      </c>
      <c r="Z189" s="162">
        <f ca="1"/>
        <v>0</v>
      </c>
      <c r="AA189" s="162">
        <f ca="1"/>
        <v>2.5393301281658731E-2</v>
      </c>
      <c r="AB189" s="162">
        <f ca="1"/>
        <v>0</v>
      </c>
      <c r="AC189" s="162">
        <f ca="1"/>
        <v>6.2963775371233766E-2</v>
      </c>
      <c r="AD189" s="162">
        <f ca="1"/>
        <v>0.10035775019851589</v>
      </c>
      <c r="AE189" s="138">
        <f ca="1"/>
        <v>0.1585445333713531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2.5646090780462316E-3</v>
      </c>
      <c r="Q190" s="162">
        <f ca="1"/>
        <v>0</v>
      </c>
      <c r="R190" s="162">
        <f ca="1"/>
        <v>2.2672541644833011E-2</v>
      </c>
      <c r="S190" s="162">
        <f ca="1"/>
        <v>0</v>
      </c>
      <c r="T190" s="162">
        <f ca="1"/>
        <v>5.8393166215467418E-2</v>
      </c>
      <c r="U190" s="162">
        <f ca="1"/>
        <v>9.6995618969536457E-2</v>
      </c>
      <c r="V190" s="138">
        <f ca="1"/>
        <v>0.1669061193119733</v>
      </c>
      <c r="W190" s="137">
        <f ca="1"/>
        <v>0</v>
      </c>
      <c r="X190" s="162">
        <f ca="1"/>
        <v>0</v>
      </c>
      <c r="Y190" s="162">
        <f ca="1"/>
        <v>2.7308344573507837E-3</v>
      </c>
      <c r="Z190" s="162">
        <f ca="1"/>
        <v>0</v>
      </c>
      <c r="AA190" s="162">
        <f ca="1"/>
        <v>2.3161083228404489E-2</v>
      </c>
      <c r="AB190" s="162">
        <f ca="1"/>
        <v>0</v>
      </c>
      <c r="AC190" s="162">
        <f ca="1"/>
        <v>5.9177511720928444E-2</v>
      </c>
      <c r="AD190" s="162">
        <f ca="1"/>
        <v>9.8048509774998238E-2</v>
      </c>
      <c r="AE190" s="138">
        <f ca="1"/>
        <v>0.16836042638219795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2.9846453008557372E-3</v>
      </c>
      <c r="Q191" s="162">
        <f ca="1"/>
        <v>0</v>
      </c>
      <c r="R191" s="162">
        <f ca="1"/>
        <v>1.3640814868818518E-2</v>
      </c>
      <c r="S191" s="162">
        <f ca="1"/>
        <v>0</v>
      </c>
      <c r="T191" s="162">
        <f ca="1"/>
        <v>2.8027491329910559E-2</v>
      </c>
      <c r="U191" s="162">
        <f ca="1"/>
        <v>3.9298923039754796E-2</v>
      </c>
      <c r="V191" s="138">
        <f ca="1"/>
        <v>5.8145697956211384E-2</v>
      </c>
      <c r="W191" s="137">
        <f ca="1"/>
        <v>0</v>
      </c>
      <c r="X191" s="162">
        <f ca="1"/>
        <v>0</v>
      </c>
      <c r="Y191" s="162">
        <f ca="1"/>
        <v>3.1508006799936261E-3</v>
      </c>
      <c r="Z191" s="162">
        <f ca="1"/>
        <v>0</v>
      </c>
      <c r="AA191" s="162">
        <f ca="1"/>
        <v>1.4133871187057445E-2</v>
      </c>
      <c r="AB191" s="162">
        <f ca="1"/>
        <v>0</v>
      </c>
      <c r="AC191" s="162">
        <f ca="1"/>
        <v>2.88371310237584E-2</v>
      </c>
      <c r="AD191" s="162">
        <f ca="1"/>
        <v>4.0441204960424804E-2</v>
      </c>
      <c r="AE191" s="138">
        <f ca="1"/>
        <v>5.9714147721802391E-2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9.1276696586761741E-4</v>
      </c>
      <c r="Q192" s="162">
        <f ca="1"/>
        <v>0</v>
      </c>
      <c r="R192" s="162">
        <f ca="1"/>
        <v>9.8726591625338811E-3</v>
      </c>
      <c r="S192" s="162">
        <f ca="1"/>
        <v>0</v>
      </c>
      <c r="T192" s="162">
        <f ca="1"/>
        <v>2.3839114137767625E-2</v>
      </c>
      <c r="U192" s="162">
        <f ca="1"/>
        <v>4.336484875117752E-2</v>
      </c>
      <c r="V192" s="138">
        <f ca="1"/>
        <v>8.1008548675561176E-2</v>
      </c>
      <c r="W192" s="137">
        <f ca="1"/>
        <v>0</v>
      </c>
      <c r="X192" s="162">
        <f ca="1"/>
        <v>0</v>
      </c>
      <c r="Y192" s="162">
        <f ca="1"/>
        <v>1.0792676292642467E-3</v>
      </c>
      <c r="Z192" s="162">
        <f ca="1"/>
        <v>0</v>
      </c>
      <c r="AA192" s="162">
        <f ca="1"/>
        <v>1.0367599087693136E-2</v>
      </c>
      <c r="AB192" s="162">
        <f ca="1"/>
        <v>0</v>
      </c>
      <c r="AC192" s="162">
        <f ca="1"/>
        <v>2.4652242692000725E-2</v>
      </c>
      <c r="AD192" s="162">
        <f ca="1"/>
        <v>4.450523145757912E-2</v>
      </c>
      <c r="AE192" s="138">
        <f ca="1"/>
        <v>8.253892542623853E-2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8.4734415366582994E-4</v>
      </c>
      <c r="Q193" s="162">
        <f ca="1"/>
        <v>0</v>
      </c>
      <c r="R193" s="162">
        <f ca="1"/>
        <v>7.0128395937930632E-3</v>
      </c>
      <c r="S193" s="162">
        <f ca="1"/>
        <v>0</v>
      </c>
      <c r="T193" s="162">
        <f ca="1"/>
        <v>1.8060037317882083E-2</v>
      </c>
      <c r="U193" s="162">
        <f ca="1"/>
        <v>3.5745704493853503E-2</v>
      </c>
      <c r="V193" s="138">
        <f ca="1"/>
        <v>7.0762492594005244E-2</v>
      </c>
      <c r="W193" s="137">
        <f ca="1"/>
        <v>0</v>
      </c>
      <c r="X193" s="162">
        <f ca="1"/>
        <v>0</v>
      </c>
      <c r="Y193" s="162">
        <f ca="1"/>
        <v>1.0138557199483866E-3</v>
      </c>
      <c r="Z193" s="162">
        <f ca="1"/>
        <v>0</v>
      </c>
      <c r="AA193" s="162">
        <f ca="1"/>
        <v>7.5092090712665094E-3</v>
      </c>
      <c r="AB193" s="162">
        <f ca="1"/>
        <v>0</v>
      </c>
      <c r="AC193" s="162">
        <f ca="1"/>
        <v>1.8877979763415986E-2</v>
      </c>
      <c r="AD193" s="162">
        <f ca="1"/>
        <v>3.6895284523493554E-2</v>
      </c>
      <c r="AE193" s="138">
        <f ca="1"/>
        <v>7.2336255924699167E-2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8.4734415366582994E-4</v>
      </c>
      <c r="Q194" s="162">
        <f ca="1"/>
        <v>0</v>
      </c>
      <c r="R194" s="162">
        <f ca="1"/>
        <v>7.4410438360709152E-3</v>
      </c>
      <c r="S194" s="162">
        <f ca="1"/>
        <v>0</v>
      </c>
      <c r="T194" s="162">
        <f ca="1"/>
        <v>1.8014710718661342E-2</v>
      </c>
      <c r="U194" s="162">
        <f ca="1"/>
        <v>3.3991036378915651E-2</v>
      </c>
      <c r="V194" s="138">
        <f ca="1"/>
        <v>6.3067062179130495E-2</v>
      </c>
      <c r="W194" s="137">
        <f ca="1"/>
        <v>0</v>
      </c>
      <c r="X194" s="162">
        <f ca="1"/>
        <v>0</v>
      </c>
      <c r="Y194" s="162">
        <f ca="1"/>
        <v>1.0138557199483866E-3</v>
      </c>
      <c r="Z194" s="162">
        <f ca="1"/>
        <v>0</v>
      </c>
      <c r="AA194" s="162">
        <f ca="1"/>
        <v>7.937199264946071E-3</v>
      </c>
      <c r="AB194" s="162">
        <f ca="1"/>
        <v>0</v>
      </c>
      <c r="AC194" s="162">
        <f ca="1"/>
        <v>1.8832690920651984E-2</v>
      </c>
      <c r="AD194" s="162">
        <f ca="1"/>
        <v>3.5142287494514979E-2</v>
      </c>
      <c r="AE194" s="138">
        <f ca="1"/>
        <v>6.4655408508059509E-2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1.5119835164049134E-3</v>
      </c>
      <c r="Q195" s="162">
        <f ca="1"/>
        <v>0</v>
      </c>
      <c r="R195" s="162">
        <f ca="1"/>
        <v>9.5259030890134655E-3</v>
      </c>
      <c r="S195" s="162">
        <f ca="1"/>
        <v>0</v>
      </c>
      <c r="T195" s="162">
        <f ca="1"/>
        <v>2.5132224868178565E-2</v>
      </c>
      <c r="U195" s="162">
        <f ca="1"/>
        <v>3.8025996556250052E-2</v>
      </c>
      <c r="V195" s="138">
        <f ca="1"/>
        <v>6.5710424380382326E-2</v>
      </c>
      <c r="W195" s="137">
        <f ca="1"/>
        <v>0</v>
      </c>
      <c r="X195" s="162">
        <f ca="1"/>
        <v>0</v>
      </c>
      <c r="Y195" s="162">
        <f ca="1"/>
        <v>1.6783843187034853E-3</v>
      </c>
      <c r="Z195" s="162">
        <f ca="1"/>
        <v>0</v>
      </c>
      <c r="AA195" s="162">
        <f ca="1"/>
        <v>1.0021016348808809E-2</v>
      </c>
      <c r="AB195" s="162">
        <f ca="1"/>
        <v>0</v>
      </c>
      <c r="AC195" s="162">
        <f ca="1"/>
        <v>2.5944276279035283E-2</v>
      </c>
      <c r="AD195" s="162">
        <f ca="1"/>
        <v>3.9171868318378267E-2</v>
      </c>
      <c r="AE195" s="138">
        <f ca="1"/>
        <v>6.729175734045012E-2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7.3417033245648522E-4</v>
      </c>
      <c r="Q196" s="162">
        <f ca="1"/>
        <v>0</v>
      </c>
      <c r="R196" s="162">
        <f ca="1"/>
        <v>8.2793204834824552E-3</v>
      </c>
      <c r="S196" s="162">
        <f ca="1"/>
        <v>0</v>
      </c>
      <c r="T196" s="162">
        <f ca="1"/>
        <v>1.7935236075897421E-2</v>
      </c>
      <c r="U196" s="162">
        <f ca="1"/>
        <v>3.3698616122359137E-2</v>
      </c>
      <c r="V196" s="138">
        <f ca="1"/>
        <v>6.2325297629624243E-2</v>
      </c>
      <c r="W196" s="137">
        <f ca="1"/>
        <v>0</v>
      </c>
      <c r="X196" s="162">
        <f ca="1"/>
        <v>0</v>
      </c>
      <c r="Y196" s="162">
        <f ca="1"/>
        <v>9.0070075946613315E-4</v>
      </c>
      <c r="Z196" s="162">
        <f ca="1"/>
        <v>0</v>
      </c>
      <c r="AA196" s="162">
        <f ca="1"/>
        <v>8.7750568788296235E-3</v>
      </c>
      <c r="AB196" s="162">
        <f ca="1"/>
        <v>0</v>
      </c>
      <c r="AC196" s="162">
        <f ca="1"/>
        <v>1.8753282479121336E-2</v>
      </c>
      <c r="AD196" s="162">
        <f ca="1"/>
        <v>3.4849878477714813E-2</v>
      </c>
      <c r="AE196" s="138">
        <f ca="1"/>
        <v>6.3914660302897164E-2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3.891184178462348E-3</v>
      </c>
      <c r="Q197" s="162">
        <f ca="1"/>
        <v>0</v>
      </c>
      <c r="R197" s="162">
        <f ca="1"/>
        <v>1.9640783270932771E-2</v>
      </c>
      <c r="S197" s="162">
        <f ca="1"/>
        <v>0</v>
      </c>
      <c r="T197" s="162">
        <f ca="1"/>
        <v>4.4939395395759751E-2</v>
      </c>
      <c r="U197" s="162">
        <f ca="1"/>
        <v>7.2191677244215047E-2</v>
      </c>
      <c r="V197" s="138">
        <f ca="1"/>
        <v>0.12216875487715739</v>
      </c>
      <c r="W197" s="137">
        <f ca="1"/>
        <v>0</v>
      </c>
      <c r="X197" s="162">
        <f ca="1"/>
        <v>0</v>
      </c>
      <c r="Y197" s="162">
        <f ca="1"/>
        <v>4.0571884803720648E-3</v>
      </c>
      <c r="Z197" s="162">
        <f ca="1"/>
        <v>0</v>
      </c>
      <c r="AA197" s="162">
        <f ca="1"/>
        <v>2.0130840354817825E-2</v>
      </c>
      <c r="AB197" s="162">
        <f ca="1"/>
        <v>0</v>
      </c>
      <c r="AC197" s="162">
        <f ca="1"/>
        <v>4.573494770673403E-2</v>
      </c>
      <c r="AD197" s="162">
        <f ca="1"/>
        <v>7.3295634702711498E-2</v>
      </c>
      <c r="AE197" s="138">
        <f ca="1"/>
        <v>0.12367912391094893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8.6679462303451693E-4</v>
      </c>
      <c r="Q198" s="162">
        <f ca="1"/>
        <v>0</v>
      </c>
      <c r="R198" s="162">
        <f ca="1"/>
        <v>8.0190761391608634E-3</v>
      </c>
      <c r="S198" s="162">
        <f ca="1"/>
        <v>0</v>
      </c>
      <c r="T198" s="162">
        <f ca="1"/>
        <v>1.8385544813417254E-2</v>
      </c>
      <c r="U198" s="162">
        <f ca="1"/>
        <v>3.431386716696172E-2</v>
      </c>
      <c r="V198" s="138">
        <f ca="1"/>
        <v>6.5062101195012434E-2</v>
      </c>
      <c r="W198" s="137">
        <f ca="1"/>
        <v>0</v>
      </c>
      <c r="X198" s="162">
        <f ca="1"/>
        <v>0</v>
      </c>
      <c r="Y198" s="162">
        <f ca="1"/>
        <v>1.0333029478492017E-3</v>
      </c>
      <c r="Z198" s="162">
        <f ca="1"/>
        <v>0</v>
      </c>
      <c r="AA198" s="162">
        <f ca="1"/>
        <v>8.5149426241605264E-3</v>
      </c>
      <c r="AB198" s="162">
        <f ca="1"/>
        <v>0</v>
      </c>
      <c r="AC198" s="162">
        <f ca="1"/>
        <v>1.9203216115688648E-2</v>
      </c>
      <c r="AD198" s="162">
        <f ca="1"/>
        <v>3.5464546186811829E-2</v>
      </c>
      <c r="AE198" s="138">
        <f ca="1"/>
        <v>6.6646280294932136E-2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1.441298058803997E-3</v>
      </c>
      <c r="Q199" s="162">
        <f ca="1"/>
        <v>0</v>
      </c>
      <c r="R199" s="162">
        <f ca="1"/>
        <v>8.1230632304003514E-3</v>
      </c>
      <c r="S199" s="162">
        <f ca="1"/>
        <v>0</v>
      </c>
      <c r="T199" s="162">
        <f ca="1"/>
        <v>1.70175671072057E-2</v>
      </c>
      <c r="U199" s="162">
        <f ca="1"/>
        <v>3.1598800963883344E-2</v>
      </c>
      <c r="V199" s="138">
        <f ca="1"/>
        <v>5.8259038654683959E-2</v>
      </c>
      <c r="W199" s="137">
        <f ca="1"/>
        <v>0</v>
      </c>
      <c r="X199" s="162">
        <f ca="1"/>
        <v>0</v>
      </c>
      <c r="Y199" s="162">
        <f ca="1"/>
        <v>1.6077106410327113E-3</v>
      </c>
      <c r="Z199" s="162">
        <f ca="1"/>
        <v>0</v>
      </c>
      <c r="AA199" s="162">
        <f ca="1"/>
        <v>8.6188777348686907E-3</v>
      </c>
      <c r="AB199" s="162">
        <f ca="1"/>
        <v>0</v>
      </c>
      <c r="AC199" s="162">
        <f ca="1"/>
        <v>1.7836377916085056E-2</v>
      </c>
      <c r="AD199" s="162">
        <f ca="1"/>
        <v>3.2752032247427176E-2</v>
      </c>
      <c r="AE199" s="138">
        <f ca="1"/>
        <v>5.9855323409163774E-2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8.703310316335866E-4</v>
      </c>
      <c r="Q200" s="162">
        <f ca="1"/>
        <v>0</v>
      </c>
      <c r="R200" s="162">
        <f ca="1"/>
        <v>8.8328226177043501E-3</v>
      </c>
      <c r="S200" s="162">
        <f ca="1"/>
        <v>0</v>
      </c>
      <c r="T200" s="162">
        <f ca="1"/>
        <v>2.1349507358905062E-2</v>
      </c>
      <c r="U200" s="162">
        <f ca="1"/>
        <v>3.7083524600922013E-2</v>
      </c>
      <c r="V200" s="138">
        <f ca="1"/>
        <v>6.5909825249377274E-2</v>
      </c>
      <c r="W200" s="137">
        <f ca="1"/>
        <v>0</v>
      </c>
      <c r="X200" s="162">
        <f ca="1"/>
        <v>0</v>
      </c>
      <c r="Y200" s="162">
        <f ca="1"/>
        <v>1.0368387670893764E-3</v>
      </c>
      <c r="Z200" s="162">
        <f ca="1"/>
        <v>0</v>
      </c>
      <c r="AA200" s="162">
        <f ca="1"/>
        <v>9.3282823311338081E-3</v>
      </c>
      <c r="AB200" s="162">
        <f ca="1"/>
        <v>0</v>
      </c>
      <c r="AC200" s="162">
        <f ca="1"/>
        <v>2.2164709721295472E-2</v>
      </c>
      <c r="AD200" s="162">
        <f ca="1"/>
        <v>3.8230990375521134E-2</v>
      </c>
      <c r="AE200" s="138">
        <f ca="1"/>
        <v>6.7492302426213735E-2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4.6859375033324602E-3</v>
      </c>
      <c r="Q201" s="162">
        <f ca="1"/>
        <v>0</v>
      </c>
      <c r="R201" s="162">
        <f ca="1"/>
        <v>3.5311096744604753E-2</v>
      </c>
      <c r="S201" s="162">
        <f ca="1"/>
        <v>0</v>
      </c>
      <c r="T201" s="162">
        <f ca="1"/>
        <v>8.9936524926415573E-2</v>
      </c>
      <c r="U201" s="162">
        <f ca="1"/>
        <v>0.14241095400852788</v>
      </c>
      <c r="V201" s="138">
        <f ca="1"/>
        <v>0.24360440645966175</v>
      </c>
      <c r="W201" s="137">
        <f ca="1"/>
        <v>0</v>
      </c>
      <c r="X201" s="162">
        <f ca="1"/>
        <v>0</v>
      </c>
      <c r="Y201" s="162">
        <f ca="1"/>
        <v>4.8518093573801657E-3</v>
      </c>
      <c r="Z201" s="162">
        <f ca="1"/>
        <v>0</v>
      </c>
      <c r="AA201" s="162">
        <f ca="1"/>
        <v>3.5793320630223335E-2</v>
      </c>
      <c r="AB201" s="162">
        <f ca="1"/>
        <v>0</v>
      </c>
      <c r="AC201" s="162">
        <f ca="1"/>
        <v>9.0722114759805073E-2</v>
      </c>
      <c r="AD201" s="162">
        <f ca="1"/>
        <v>0.14344867345625867</v>
      </c>
      <c r="AE201" s="138">
        <f ca="1"/>
        <v>0.24493545035694242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2.9846453008557372E-3</v>
      </c>
      <c r="Q202" s="162">
        <f ca="1"/>
        <v>0</v>
      </c>
      <c r="R202" s="162">
        <f ca="1"/>
        <v>1.6142807199333253E-2</v>
      </c>
      <c r="S202" s="162">
        <f ca="1"/>
        <v>0</v>
      </c>
      <c r="T202" s="162">
        <f ca="1"/>
        <v>3.5094415275577995E-2</v>
      </c>
      <c r="U202" s="162">
        <f ca="1"/>
        <v>5.3329091080031588E-2</v>
      </c>
      <c r="V202" s="138">
        <f ca="1"/>
        <v>8.0162083718409716E-2</v>
      </c>
      <c r="W202" s="137">
        <f ca="1"/>
        <v>0</v>
      </c>
      <c r="X202" s="162">
        <f ca="1"/>
        <v>0</v>
      </c>
      <c r="Y202" s="162">
        <f ca="1"/>
        <v>3.1508006799936261E-3</v>
      </c>
      <c r="Z202" s="162">
        <f ca="1"/>
        <v>0</v>
      </c>
      <c r="AA202" s="162">
        <f ca="1"/>
        <v>1.6634612834046325E-2</v>
      </c>
      <c r="AB202" s="162">
        <f ca="1"/>
        <v>0</v>
      </c>
      <c r="AC202" s="162">
        <f ca="1"/>
        <v>3.5898168319264512E-2</v>
      </c>
      <c r="AD202" s="162">
        <f ca="1"/>
        <v>5.4455957165405189E-2</v>
      </c>
      <c r="AE202" s="138">
        <f ca="1"/>
        <v>8.1693870068985541E-2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2.5663743031085762E-3</v>
      </c>
      <c r="Q203" s="162">
        <f ca="1"/>
        <v>0</v>
      </c>
      <c r="R203" s="162">
        <f ca="1"/>
        <v>9.7812265905631302E-3</v>
      </c>
      <c r="S203" s="162">
        <f ca="1"/>
        <v>0</v>
      </c>
      <c r="T203" s="162">
        <f ca="1"/>
        <v>3.3255926005514413E-2</v>
      </c>
      <c r="U203" s="162">
        <f ca="1"/>
        <v>6.4568128727810259E-2</v>
      </c>
      <c r="V203" s="138">
        <f ca="1"/>
        <v>0.11278254248906572</v>
      </c>
      <c r="W203" s="137">
        <f ca="1"/>
        <v>0</v>
      </c>
      <c r="X203" s="162">
        <f ca="1"/>
        <v>0</v>
      </c>
      <c r="Y203" s="162">
        <f ca="1"/>
        <v>2.732599388230228E-3</v>
      </c>
      <c r="Z203" s="162">
        <f ca="1"/>
        <v>0</v>
      </c>
      <c r="AA203" s="162">
        <f ca="1"/>
        <v>1.0276212220569625E-2</v>
      </c>
      <c r="AB203" s="162">
        <f ca="1"/>
        <v>0</v>
      </c>
      <c r="AC203" s="162">
        <f ca="1"/>
        <v>3.40612104853808E-2</v>
      </c>
      <c r="AD203" s="162">
        <f ca="1"/>
        <v>6.5683260692498857E-2</v>
      </c>
      <c r="AE203" s="138">
        <f ca="1"/>
        <v>0.11431452154353139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8.0423845787845338E-2</v>
      </c>
      <c r="Q204" s="162">
        <f ca="1"/>
        <v>0</v>
      </c>
      <c r="R204" s="162">
        <f ca="1"/>
        <v>0.18702494599579444</v>
      </c>
      <c r="S204" s="162">
        <f ca="1"/>
        <v>0</v>
      </c>
      <c r="T204" s="162">
        <f ca="1"/>
        <v>0.2432978779593854</v>
      </c>
      <c r="U204" s="162">
        <f ca="1"/>
        <v>0.29104031027615207</v>
      </c>
      <c r="V204" s="138">
        <f ca="1"/>
        <v>0.34461926253507902</v>
      </c>
      <c r="W204" s="137">
        <f ca="1"/>
        <v>0</v>
      </c>
      <c r="X204" s="162">
        <f ca="1"/>
        <v>0</v>
      </c>
      <c r="Y204" s="162">
        <f ca="1"/>
        <v>8.0577095709024049E-2</v>
      </c>
      <c r="Z204" s="162">
        <f ca="1"/>
        <v>0</v>
      </c>
      <c r="AA204" s="162">
        <f ca="1"/>
        <v>0.18743133191781769</v>
      </c>
      <c r="AB204" s="162">
        <f ca="1"/>
        <v>0</v>
      </c>
      <c r="AC204" s="162">
        <f ca="1"/>
        <v>0.24392820039023522</v>
      </c>
      <c r="AD204" s="162">
        <f ca="1"/>
        <v>0.29186694761526111</v>
      </c>
      <c r="AE204" s="138">
        <f ca="1"/>
        <v>0.34565945529302367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4.9747829443953506E-3</v>
      </c>
      <c r="Q205" s="162">
        <f ca="1"/>
        <v>0</v>
      </c>
      <c r="R205" s="162">
        <f ca="1"/>
        <v>2.7630636411623444E-2</v>
      </c>
      <c r="S205" s="162">
        <f ca="1"/>
        <v>0</v>
      </c>
      <c r="T205" s="162">
        <f ca="1"/>
        <v>7.5529495533367408E-2</v>
      </c>
      <c r="U205" s="162">
        <f ca="1"/>
        <v>0.12447565906808322</v>
      </c>
      <c r="V205" s="138">
        <f ca="1"/>
        <v>0.21100638391502669</v>
      </c>
      <c r="W205" s="137">
        <f ca="1"/>
        <v>0</v>
      </c>
      <c r="X205" s="162">
        <f ca="1"/>
        <v>0</v>
      </c>
      <c r="Y205" s="162">
        <f ca="1"/>
        <v>5.1406066615283796E-3</v>
      </c>
      <c r="Z205" s="162">
        <f ca="1"/>
        <v>0</v>
      </c>
      <c r="AA205" s="162">
        <f ca="1"/>
        <v>2.8116699567480086E-2</v>
      </c>
      <c r="AB205" s="162">
        <f ca="1"/>
        <v>0</v>
      </c>
      <c r="AC205" s="162">
        <f ca="1"/>
        <v>7.6325741027646221E-2</v>
      </c>
      <c r="AD205" s="162">
        <f ca="1"/>
        <v>0.12553371231401678</v>
      </c>
      <c r="AE205" s="138">
        <f ca="1"/>
        <v>0.2123857178119134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1.1724835178739568E-2</v>
      </c>
      <c r="Q206" s="162">
        <f ca="1"/>
        <v>0</v>
      </c>
      <c r="R206" s="162">
        <f ca="1"/>
        <v>6.0489095055941022E-2</v>
      </c>
      <c r="S206" s="162">
        <f ca="1"/>
        <v>0</v>
      </c>
      <c r="T206" s="162">
        <f ca="1"/>
        <v>0.14554190119398247</v>
      </c>
      <c r="U206" s="162">
        <f ca="1"/>
        <v>0.2197979836393571</v>
      </c>
      <c r="V206" s="138">
        <f ca="1"/>
        <v>0.33645508027474791</v>
      </c>
      <c r="W206" s="137">
        <f ca="1"/>
        <v>0</v>
      </c>
      <c r="X206" s="162">
        <f ca="1"/>
        <v>0</v>
      </c>
      <c r="Y206" s="162">
        <f ca="1"/>
        <v>1.188953398094883E-2</v>
      </c>
      <c r="Z206" s="162">
        <f ca="1"/>
        <v>0</v>
      </c>
      <c r="AA206" s="162">
        <f ca="1"/>
        <v>6.0958733089151562E-2</v>
      </c>
      <c r="AB206" s="162">
        <f ca="1"/>
        <v>0</v>
      </c>
      <c r="AC206" s="162">
        <f ca="1"/>
        <v>0.14628556009810745</v>
      </c>
      <c r="AD206" s="162">
        <f ca="1"/>
        <v>0.22075101195488966</v>
      </c>
      <c r="AE206" s="138">
        <f ca="1"/>
        <v>0.33763080128956724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8.3319812176574359E-4</v>
      </c>
      <c r="Q207" s="162">
        <f ca="1"/>
        <v>0</v>
      </c>
      <c r="R207" s="162">
        <f ca="1"/>
        <v>9.7847198516111122E-3</v>
      </c>
      <c r="S207" s="162">
        <f ca="1"/>
        <v>0</v>
      </c>
      <c r="T207" s="162">
        <f ca="1"/>
        <v>2.2116075615435049E-2</v>
      </c>
      <c r="U207" s="162">
        <f ca="1"/>
        <v>4.1952730842652608E-2</v>
      </c>
      <c r="V207" s="138">
        <f ca="1"/>
        <v>7.7386193479818677E-2</v>
      </c>
      <c r="W207" s="137">
        <f ca="1"/>
        <v>0</v>
      </c>
      <c r="X207" s="162">
        <f ca="1"/>
        <v>0</v>
      </c>
      <c r="Y207" s="162">
        <f ca="1"/>
        <v>9.9971204554993864E-4</v>
      </c>
      <c r="Z207" s="162">
        <f ca="1"/>
        <v>0</v>
      </c>
      <c r="AA207" s="162">
        <f ca="1"/>
        <v>1.0279703735398549E-2</v>
      </c>
      <c r="AB207" s="162">
        <f ca="1"/>
        <v>0</v>
      </c>
      <c r="AC207" s="162">
        <f ca="1"/>
        <v>2.293063943705953E-2</v>
      </c>
      <c r="AD207" s="162">
        <f ca="1"/>
        <v>4.3094632233677599E-2</v>
      </c>
      <c r="AE207" s="138">
        <f ca="1"/>
        <v>7.8922602460931413E-2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1.9836818096801156E-3</v>
      </c>
      <c r="Q208" s="162">
        <f ca="1"/>
        <v>0</v>
      </c>
      <c r="R208" s="162">
        <f ca="1"/>
        <v>9.9807712454996755E-3</v>
      </c>
      <c r="S208" s="162">
        <f ca="1"/>
        <v>0</v>
      </c>
      <c r="T208" s="162">
        <f ca="1"/>
        <v>2.5916031728333233E-2</v>
      </c>
      <c r="U208" s="162">
        <f ca="1"/>
        <v>4.8386511701792423E-2</v>
      </c>
      <c r="V208" s="138">
        <f ca="1"/>
        <v>8.9602903224067609E-2</v>
      </c>
      <c r="W208" s="137">
        <f ca="1"/>
        <v>0</v>
      </c>
      <c r="X208" s="162">
        <f ca="1"/>
        <v>0</v>
      </c>
      <c r="Y208" s="162">
        <f ca="1"/>
        <v>2.1500040021316114E-3</v>
      </c>
      <c r="Z208" s="162">
        <f ca="1"/>
        <v>0</v>
      </c>
      <c r="AA208" s="162">
        <f ca="1"/>
        <v>1.0475657128111604E-2</v>
      </c>
      <c r="AB208" s="162">
        <f ca="1"/>
        <v>0</v>
      </c>
      <c r="AC208" s="162">
        <f ca="1"/>
        <v>2.672743023887858E-2</v>
      </c>
      <c r="AD208" s="162">
        <f ca="1"/>
        <v>4.9520922793744759E-2</v>
      </c>
      <c r="AE208" s="138">
        <f ca="1"/>
        <v>9.1167248440365389E-2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6.7023716571537828E-2</v>
      </c>
      <c r="Q209" s="162">
        <f ca="1"/>
        <v>0</v>
      </c>
      <c r="R209" s="162">
        <f ca="1"/>
        <v>0.18278282396461487</v>
      </c>
      <c r="S209" s="162">
        <f ca="1"/>
        <v>0</v>
      </c>
      <c r="T209" s="162">
        <f ca="1"/>
        <v>0.24780498713600507</v>
      </c>
      <c r="U209" s="162">
        <f ca="1"/>
        <v>0.30405581309645602</v>
      </c>
      <c r="V209" s="138">
        <f ca="1"/>
        <v>0.37861159560027313</v>
      </c>
      <c r="W209" s="137">
        <f ca="1"/>
        <v>0</v>
      </c>
      <c r="X209" s="162">
        <f ca="1"/>
        <v>0</v>
      </c>
      <c r="Y209" s="162">
        <f ca="1"/>
        <v>6.7179199661501876E-2</v>
      </c>
      <c r="Z209" s="162">
        <f ca="1"/>
        <v>0</v>
      </c>
      <c r="AA209" s="162">
        <f ca="1"/>
        <v>0.1831913304175119</v>
      </c>
      <c r="AB209" s="162">
        <f ca="1"/>
        <v>0</v>
      </c>
      <c r="AC209" s="162">
        <f ca="1"/>
        <v>0.24843155520709403</v>
      </c>
      <c r="AD209" s="162">
        <f ca="1"/>
        <v>0.30486727453660489</v>
      </c>
      <c r="AE209" s="138">
        <f ca="1"/>
        <v>0.37962185884947641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7.5372871732513058E-3</v>
      </c>
      <c r="Q210" s="162">
        <f ca="1"/>
        <v>0</v>
      </c>
      <c r="R210" s="162">
        <f ca="1"/>
        <v>3.8618027643130381E-2</v>
      </c>
      <c r="S210" s="162">
        <f ca="1"/>
        <v>0</v>
      </c>
      <c r="T210" s="162">
        <f ca="1"/>
        <v>0.10045256910078693</v>
      </c>
      <c r="U210" s="162">
        <f ca="1"/>
        <v>0.16229863753560736</v>
      </c>
      <c r="V210" s="138">
        <f ca="1"/>
        <v>0.27085841755014373</v>
      </c>
      <c r="W210" s="137">
        <f ca="1"/>
        <v>0</v>
      </c>
      <c r="X210" s="162">
        <f ca="1"/>
        <v>0</v>
      </c>
      <c r="Y210" s="162">
        <f ca="1"/>
        <v>7.7026838419606003E-3</v>
      </c>
      <c r="Z210" s="162">
        <f ca="1"/>
        <v>0</v>
      </c>
      <c r="AA210" s="162">
        <f ca="1"/>
        <v>3.9098598476604129E-2</v>
      </c>
      <c r="AB210" s="162">
        <f ca="1"/>
        <v>0</v>
      </c>
      <c r="AC210" s="162">
        <f ca="1"/>
        <v>0.10123022661673486</v>
      </c>
      <c r="AD210" s="162">
        <f ca="1"/>
        <v>0.16331652536728325</v>
      </c>
      <c r="AE210" s="138">
        <f ca="1"/>
        <v>0.27214787983726108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6.3949051861169615E-3</v>
      </c>
      <c r="Q211" s="162">
        <f ca="1"/>
        <v>0</v>
      </c>
      <c r="R211" s="162">
        <f ca="1"/>
        <v>3.9943313436113126E-2</v>
      </c>
      <c r="S211" s="162">
        <f ca="1"/>
        <v>0</v>
      </c>
      <c r="T211" s="162">
        <f ca="1"/>
        <v>0.10164314890544313</v>
      </c>
      <c r="U211" s="162">
        <f ca="1"/>
        <v>0.15678513505046643</v>
      </c>
      <c r="V211" s="138">
        <f ca="1"/>
        <v>0.25184502099567585</v>
      </c>
      <c r="W211" s="137">
        <f ca="1"/>
        <v>0</v>
      </c>
      <c r="X211" s="162">
        <f ca="1"/>
        <v>0</v>
      </c>
      <c r="Y211" s="162">
        <f ca="1"/>
        <v>6.5604922359663309E-3</v>
      </c>
      <c r="Z211" s="162">
        <f ca="1"/>
        <v>0</v>
      </c>
      <c r="AA211" s="162">
        <f ca="1"/>
        <v>4.0423221792317277E-2</v>
      </c>
      <c r="AB211" s="162">
        <f ca="1"/>
        <v>0</v>
      </c>
      <c r="AC211" s="162">
        <f ca="1"/>
        <v>0.10242003854462556</v>
      </c>
      <c r="AD211" s="162">
        <f ca="1"/>
        <v>0.15780646452512703</v>
      </c>
      <c r="AE211" s="138">
        <f ca="1"/>
        <v>0.25315547255678073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1.1956274873837769E-3</v>
      </c>
      <c r="Q212" s="162">
        <f ca="1"/>
        <v>0</v>
      </c>
      <c r="R212" s="162">
        <f ca="1"/>
        <v>5.9793475290241815E-3</v>
      </c>
      <c r="S212" s="162">
        <f ca="1"/>
        <v>0</v>
      </c>
      <c r="T212" s="162">
        <f ca="1"/>
        <v>1.6829719929296494E-2</v>
      </c>
      <c r="U212" s="162">
        <f ca="1"/>
        <v>3.0226687282585041E-2</v>
      </c>
      <c r="V212" s="138">
        <f ca="1"/>
        <v>6.425979078926003E-2</v>
      </c>
      <c r="W212" s="137">
        <f ca="1"/>
        <v>0</v>
      </c>
      <c r="X212" s="162">
        <f ca="1"/>
        <v>0</v>
      </c>
      <c r="Y212" s="162">
        <f ca="1"/>
        <v>1.3620810112792148E-3</v>
      </c>
      <c r="Z212" s="162">
        <f ca="1"/>
        <v>0</v>
      </c>
      <c r="AA212" s="162">
        <f ca="1"/>
        <v>6.476233623359362E-3</v>
      </c>
      <c r="AB212" s="162">
        <f ca="1"/>
        <v>0</v>
      </c>
      <c r="AC212" s="162">
        <f ca="1"/>
        <v>1.7648687212268643E-2</v>
      </c>
      <c r="AD212" s="162">
        <f ca="1"/>
        <v>3.1382215756191933E-2</v>
      </c>
      <c r="AE212" s="138">
        <f ca="1"/>
        <v>6.584449642812007E-2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9.1453509098571306E-4</v>
      </c>
      <c r="Q213" s="162">
        <f ca="1"/>
        <v>0</v>
      </c>
      <c r="R213" s="162">
        <f ca="1"/>
        <v>5.60246069082182E-3</v>
      </c>
      <c r="S213" s="162">
        <f ca="1"/>
        <v>0</v>
      </c>
      <c r="T213" s="162">
        <f ca="1"/>
        <v>1.6458068017407013E-2</v>
      </c>
      <c r="U213" s="162">
        <f ca="1"/>
        <v>2.6715127326333299E-2</v>
      </c>
      <c r="V213" s="138">
        <f ca="1"/>
        <v>4.8747120908333552E-2</v>
      </c>
      <c r="W213" s="137">
        <f ca="1"/>
        <v>0</v>
      </c>
      <c r="X213" s="162">
        <f ca="1"/>
        <v>0</v>
      </c>
      <c r="Y213" s="162">
        <f ca="1"/>
        <v>1.081035459716051E-3</v>
      </c>
      <c r="Z213" s="162">
        <f ca="1"/>
        <v>0</v>
      </c>
      <c r="AA213" s="162">
        <f ca="1"/>
        <v>6.0995351815271714E-3</v>
      </c>
      <c r="AB213" s="162">
        <f ca="1"/>
        <v>0</v>
      </c>
      <c r="AC213" s="162">
        <f ca="1"/>
        <v>1.7277344881301615E-2</v>
      </c>
      <c r="AD213" s="162">
        <f ca="1"/>
        <v>2.7874254585246172E-2</v>
      </c>
      <c r="AE213" s="138">
        <f ca="1"/>
        <v>5.0360169947471056E-2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1.0117771897394379E-3</v>
      </c>
      <c r="Q214" s="162">
        <f ca="1"/>
        <v>0</v>
      </c>
      <c r="R214" s="162">
        <f ca="1"/>
        <v>1.2021961937757397E-2</v>
      </c>
      <c r="S214" s="162">
        <f ca="1"/>
        <v>0</v>
      </c>
      <c r="T214" s="162">
        <f ca="1"/>
        <v>3.5731260466462911E-2</v>
      </c>
      <c r="U214" s="162">
        <f ca="1"/>
        <v>7.063966157651036E-2</v>
      </c>
      <c r="V214" s="138">
        <f ca="1"/>
        <v>0.12026468923608813</v>
      </c>
      <c r="W214" s="137">
        <f ca="1"/>
        <v>0</v>
      </c>
      <c r="X214" s="162">
        <f ca="1"/>
        <v>0</v>
      </c>
      <c r="Y214" s="162">
        <f ca="1"/>
        <v>1.1782613527954178E-3</v>
      </c>
      <c r="Z214" s="162">
        <f ca="1"/>
        <v>0</v>
      </c>
      <c r="AA214" s="162">
        <f ca="1"/>
        <v>1.2515827480122699E-2</v>
      </c>
      <c r="AB214" s="162">
        <f ca="1"/>
        <v>0</v>
      </c>
      <c r="AC214" s="162">
        <f ca="1"/>
        <v>3.6534483026867237E-2</v>
      </c>
      <c r="AD214" s="162">
        <f ca="1"/>
        <v>7.1746607462831902E-2</v>
      </c>
      <c r="AE214" s="138">
        <f ca="1"/>
        <v>0.12178571745757327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2.4004296028016237E-3</v>
      </c>
      <c r="Q215" s="162">
        <f ca="1"/>
        <v>0</v>
      </c>
      <c r="R215" s="162">
        <f ca="1"/>
        <v>1.312915278706428E-2</v>
      </c>
      <c r="S215" s="162">
        <f ca="1"/>
        <v>0</v>
      </c>
      <c r="T215" s="162">
        <f ca="1"/>
        <v>3.9806153840309277E-2</v>
      </c>
      <c r="U215" s="162">
        <f ca="1"/>
        <v>6.9732544421758691E-2</v>
      </c>
      <c r="V215" s="138">
        <f ca="1"/>
        <v>0.14035255099602617</v>
      </c>
      <c r="W215" s="137">
        <f ca="1"/>
        <v>0</v>
      </c>
      <c r="X215" s="162">
        <f ca="1"/>
        <v>0</v>
      </c>
      <c r="Y215" s="162">
        <f ca="1"/>
        <v>2.5666823430757768E-3</v>
      </c>
      <c r="Z215" s="162">
        <f ca="1"/>
        <v>0</v>
      </c>
      <c r="AA215" s="162">
        <f ca="1"/>
        <v>1.3622464872407591E-2</v>
      </c>
      <c r="AB215" s="162">
        <f ca="1"/>
        <v>0</v>
      </c>
      <c r="AC215" s="162">
        <f ca="1"/>
        <v>4.0605982070716307E-2</v>
      </c>
      <c r="AD215" s="162">
        <f ca="1"/>
        <v>7.0841390975395102E-2</v>
      </c>
      <c r="AE215" s="138">
        <f ca="1"/>
        <v>0.14185065880689796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5.1671070001377162E-2</v>
      </c>
      <c r="Q216" s="162">
        <f ca="1"/>
        <v>0</v>
      </c>
      <c r="R216" s="162">
        <f ca="1"/>
        <v>0.13254026257834683</v>
      </c>
      <c r="S216" s="162">
        <f ca="1"/>
        <v>0</v>
      </c>
      <c r="T216" s="162">
        <f ca="1"/>
        <v>0.1884485527395966</v>
      </c>
      <c r="U216" s="162">
        <f ca="1"/>
        <v>0.2131468248289079</v>
      </c>
      <c r="V216" s="138">
        <f ca="1"/>
        <v>0.24356766201287439</v>
      </c>
      <c r="W216" s="137">
        <f ca="1"/>
        <v>0</v>
      </c>
      <c r="X216" s="162">
        <f ca="1"/>
        <v>0</v>
      </c>
      <c r="Y216" s="162">
        <f ca="1"/>
        <v>5.1829111652523352E-2</v>
      </c>
      <c r="Z216" s="162">
        <f ca="1"/>
        <v>0</v>
      </c>
      <c r="AA216" s="162">
        <f ca="1"/>
        <v>0.13297388403268484</v>
      </c>
      <c r="AB216" s="162">
        <f ca="1"/>
        <v>0</v>
      </c>
      <c r="AC216" s="162">
        <f ca="1"/>
        <v>0.18912456390186716</v>
      </c>
      <c r="AD216" s="162">
        <f ca="1"/>
        <v>0.21406428491080232</v>
      </c>
      <c r="AE216" s="138">
        <f ca="1"/>
        <v>0.24476207228200064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2.0808206648021965E-3</v>
      </c>
      <c r="Q217" s="162">
        <f ca="1"/>
        <v>0</v>
      </c>
      <c r="R217" s="162">
        <f ca="1"/>
        <v>1.019754979418086E-2</v>
      </c>
      <c r="S217" s="162">
        <f ca="1"/>
        <v>0</v>
      </c>
      <c r="T217" s="162">
        <f ca="1"/>
        <v>2.1102829753825936E-2</v>
      </c>
      <c r="U217" s="162">
        <f ca="1"/>
        <v>3.9053438960879427E-2</v>
      </c>
      <c r="V217" s="138">
        <f ca="1"/>
        <v>7.0323277171891685E-2</v>
      </c>
      <c r="W217" s="137">
        <f ca="1"/>
        <v>0</v>
      </c>
      <c r="X217" s="162">
        <f ca="1"/>
        <v>0</v>
      </c>
      <c r="Y217" s="162">
        <f ca="1"/>
        <v>2.2471266687854596E-3</v>
      </c>
      <c r="Z217" s="162">
        <f ca="1"/>
        <v>0</v>
      </c>
      <c r="AA217" s="162">
        <f ca="1"/>
        <v>1.0692327314633987E-2</v>
      </c>
      <c r="AB217" s="162">
        <f ca="1"/>
        <v>0</v>
      </c>
      <c r="AC217" s="162">
        <f ca="1"/>
        <v>2.191823759526601E-2</v>
      </c>
      <c r="AD217" s="162">
        <f ca="1"/>
        <v>4.0197867885422567E-2</v>
      </c>
      <c r="AE217" s="138">
        <f ca="1"/>
        <v>7.1897125310911192E-2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1.0754214774468807E-3</v>
      </c>
      <c r="Q218" s="162">
        <f ca="1"/>
        <v>0</v>
      </c>
      <c r="R218" s="162">
        <f ca="1"/>
        <v>8.7551160410461737E-3</v>
      </c>
      <c r="S218" s="162">
        <f ca="1"/>
        <v>0</v>
      </c>
      <c r="T218" s="162">
        <f ca="1"/>
        <v>2.1773744286515795E-2</v>
      </c>
      <c r="U218" s="162">
        <f ca="1"/>
        <v>4.1237952140013689E-2</v>
      </c>
      <c r="V218" s="138">
        <f ca="1"/>
        <v>7.4162394997724812E-2</v>
      </c>
      <c r="W218" s="137">
        <f ca="1"/>
        <v>0</v>
      </c>
      <c r="X218" s="162">
        <f ca="1"/>
        <v>0</v>
      </c>
      <c r="Y218" s="162">
        <f ca="1"/>
        <v>1.2418950340161716E-3</v>
      </c>
      <c r="Z218" s="162">
        <f ca="1"/>
        <v>0</v>
      </c>
      <c r="AA218" s="162">
        <f ca="1"/>
        <v>9.2506145980348897E-3</v>
      </c>
      <c r="AB218" s="162">
        <f ca="1"/>
        <v>0</v>
      </c>
      <c r="AC218" s="162">
        <f ca="1"/>
        <v>2.2588593265348345E-2</v>
      </c>
      <c r="AD218" s="162">
        <f ca="1"/>
        <v>4.238094712418583E-2</v>
      </c>
      <c r="AE218" s="138">
        <f ca="1"/>
        <v>7.573037849261044E-2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5.0346551448278154E-3</v>
      </c>
      <c r="Q219" s="162">
        <f ca="1"/>
        <v>0</v>
      </c>
      <c r="R219" s="162">
        <f ca="1"/>
        <v>2.0702867654041723E-2</v>
      </c>
      <c r="S219" s="162">
        <f ca="1"/>
        <v>0</v>
      </c>
      <c r="T219" s="162">
        <f ca="1"/>
        <v>5.925680441319181E-2</v>
      </c>
      <c r="U219" s="162">
        <f ca="1"/>
        <v>9.9088155369887909E-2</v>
      </c>
      <c r="V219" s="138">
        <f ca="1"/>
        <v>0.16804360162511633</v>
      </c>
      <c r="W219" s="137">
        <f ca="1"/>
        <v>0</v>
      </c>
      <c r="X219" s="162">
        <f ca="1"/>
        <v>0</v>
      </c>
      <c r="Y219" s="162">
        <f ca="1"/>
        <v>5.2004688841100766E-3</v>
      </c>
      <c r="Z219" s="162">
        <f ca="1"/>
        <v>0</v>
      </c>
      <c r="AA219" s="162">
        <f ca="1"/>
        <v>2.1192393828442735E-2</v>
      </c>
      <c r="AB219" s="162">
        <f ca="1"/>
        <v>0</v>
      </c>
      <c r="AC219" s="162">
        <f ca="1"/>
        <v>6.0040430519964216E-2</v>
      </c>
      <c r="AD219" s="162">
        <f ca="1"/>
        <v>0.10013860630640736</v>
      </c>
      <c r="AE219" s="138">
        <f ca="1"/>
        <v>0.16949559906876754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2.0702241545506039E-3</v>
      </c>
      <c r="Q220" s="162">
        <f ca="1"/>
        <v>0</v>
      </c>
      <c r="R220" s="162">
        <f ca="1"/>
        <v>1.113044449751277E-2</v>
      </c>
      <c r="S220" s="162">
        <f ca="1"/>
        <v>0</v>
      </c>
      <c r="T220" s="162">
        <f ca="1"/>
        <v>2.881261913900901E-2</v>
      </c>
      <c r="U220" s="162">
        <f ca="1"/>
        <v>4.20200286098249E-2</v>
      </c>
      <c r="V220" s="138">
        <f ca="1"/>
        <v>6.9058737258184788E-2</v>
      </c>
      <c r="W220" s="137">
        <f ca="1"/>
        <v>0</v>
      </c>
      <c r="X220" s="162">
        <f ca="1"/>
        <v>0</v>
      </c>
      <c r="Y220" s="162">
        <f ca="1"/>
        <v>2.2365319244911364E-3</v>
      </c>
      <c r="Z220" s="162">
        <f ca="1"/>
        <v>0</v>
      </c>
      <c r="AA220" s="162">
        <f ca="1"/>
        <v>1.1624755687179134E-2</v>
      </c>
      <c r="AB220" s="162">
        <f ca="1"/>
        <v>0</v>
      </c>
      <c r="AC220" s="162">
        <f ca="1"/>
        <v>2.9621604832194004E-2</v>
      </c>
      <c r="AD220" s="162">
        <f ca="1"/>
        <v>4.3160942963508586E-2</v>
      </c>
      <c r="AE220" s="138">
        <f ca="1"/>
        <v>7.0609013773434315E-2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1.4978468220395724E-3</v>
      </c>
      <c r="Q221" s="162">
        <f ca="1"/>
        <v>0</v>
      </c>
      <c r="R221" s="162">
        <f ca="1"/>
        <v>1.2375687148448278E-2</v>
      </c>
      <c r="S221" s="162">
        <f ca="1"/>
        <v>0</v>
      </c>
      <c r="T221" s="162">
        <f ca="1"/>
        <v>3.3058744411222585E-2</v>
      </c>
      <c r="U221" s="162">
        <f ca="1"/>
        <v>6.198708173756684E-2</v>
      </c>
      <c r="V221" s="138">
        <f ca="1"/>
        <v>0.12504340536264014</v>
      </c>
      <c r="W221" s="137">
        <f ca="1"/>
        <v>0</v>
      </c>
      <c r="X221" s="162">
        <f ca="1"/>
        <v>0</v>
      </c>
      <c r="Y221" s="162">
        <f ca="1"/>
        <v>1.6642499802409505E-3</v>
      </c>
      <c r="Z221" s="162">
        <f ca="1"/>
        <v>0</v>
      </c>
      <c r="AA221" s="162">
        <f ca="1"/>
        <v>1.2869375872380129E-2</v>
      </c>
      <c r="AB221" s="162">
        <f ca="1"/>
        <v>0</v>
      </c>
      <c r="AC221" s="162">
        <f ca="1"/>
        <v>3.3864193140656806E-2</v>
      </c>
      <c r="AD221" s="162">
        <f ca="1"/>
        <v>6.3105049475315367E-2</v>
      </c>
      <c r="AE221" s="138">
        <f ca="1"/>
        <v>0.12656315273017604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1.7098763893895752E-3</v>
      </c>
      <c r="Q222" s="162">
        <f ca="1"/>
        <v>0</v>
      </c>
      <c r="R222" s="162">
        <f ca="1"/>
        <v>1.1193859882337898E-2</v>
      </c>
      <c r="S222" s="162">
        <f ca="1"/>
        <v>0</v>
      </c>
      <c r="T222" s="162">
        <f ca="1"/>
        <v>2.4070514444069935E-2</v>
      </c>
      <c r="U222" s="162">
        <f ca="1"/>
        <v>4.4324823202071872E-2</v>
      </c>
      <c r="V222" s="138">
        <f ca="1"/>
        <v>8.0425166547196225E-2</v>
      </c>
      <c r="W222" s="137">
        <f ca="1"/>
        <v>0</v>
      </c>
      <c r="X222" s="162">
        <f ca="1"/>
        <v>0</v>
      </c>
      <c r="Y222" s="162">
        <f ca="1"/>
        <v>1.8762442122677303E-3</v>
      </c>
      <c r="Z222" s="162">
        <f ca="1"/>
        <v>0</v>
      </c>
      <c r="AA222" s="162">
        <f ca="1"/>
        <v>1.1688139372247774E-2</v>
      </c>
      <c r="AB222" s="162">
        <f ca="1"/>
        <v>0</v>
      </c>
      <c r="AC222" s="162">
        <f ca="1"/>
        <v>2.4883450245088312E-2</v>
      </c>
      <c r="AD222" s="162">
        <f ca="1"/>
        <v>4.5463346795438953E-2</v>
      </c>
      <c r="AE222" s="138">
        <f ca="1"/>
        <v>8.195651479155508E-2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9.0039000316566309E-4</v>
      </c>
      <c r="Q223" s="162">
        <f ca="1"/>
        <v>0</v>
      </c>
      <c r="R223" s="162">
        <f ca="1"/>
        <v>9.446043009191496E-3</v>
      </c>
      <c r="S223" s="162">
        <f ca="1"/>
        <v>0</v>
      </c>
      <c r="T223" s="162">
        <f ca="1"/>
        <v>2.3886288152304647E-2</v>
      </c>
      <c r="U223" s="162">
        <f ca="1"/>
        <v>4.2093777744312999E-2</v>
      </c>
      <c r="V223" s="138">
        <f ca="1"/>
        <v>7.8319831260089567E-2</v>
      </c>
      <c r="W223" s="137">
        <f ca="1"/>
        <v>0</v>
      </c>
      <c r="X223" s="162">
        <f ca="1"/>
        <v>0</v>
      </c>
      <c r="Y223" s="162">
        <f ca="1"/>
        <v>1.0668927292403207E-3</v>
      </c>
      <c r="Z223" s="162">
        <f ca="1"/>
        <v>0</v>
      </c>
      <c r="AA223" s="162">
        <f ca="1"/>
        <v>9.9411961891152645E-3</v>
      </c>
      <c r="AB223" s="162">
        <f ca="1"/>
        <v>0</v>
      </c>
      <c r="AC223" s="162">
        <f ca="1"/>
        <v>2.4699377411230405E-2</v>
      </c>
      <c r="AD223" s="162">
        <f ca="1"/>
        <v>4.32357316090759E-2</v>
      </c>
      <c r="AE223" s="138">
        <f ca="1"/>
        <v>7.985468547416974E-2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6.6166166710035501E-4</v>
      </c>
      <c r="Q224" s="162">
        <f ca="1"/>
        <v>0</v>
      </c>
      <c r="R224" s="162">
        <f ca="1"/>
        <v>8.7908078640921428E-3</v>
      </c>
      <c r="S224" s="162">
        <f ca="1"/>
        <v>0</v>
      </c>
      <c r="T224" s="162">
        <f ca="1"/>
        <v>2.3111810949381195E-2</v>
      </c>
      <c r="U224" s="162">
        <f ca="1"/>
        <v>4.7062875540171856E-2</v>
      </c>
      <c r="V224" s="138">
        <f ca="1"/>
        <v>8.9810587688640919E-2</v>
      </c>
      <c r="W224" s="137">
        <f ca="1"/>
        <v>0</v>
      </c>
      <c r="X224" s="162">
        <f ca="1"/>
        <v>0</v>
      </c>
      <c r="Y224" s="162">
        <f ca="1"/>
        <v>8.2820417788620482E-4</v>
      </c>
      <c r="Z224" s="162">
        <f ca="1"/>
        <v>0</v>
      </c>
      <c r="AA224" s="162">
        <f ca="1"/>
        <v>9.2862885796266559E-3</v>
      </c>
      <c r="AB224" s="162">
        <f ca="1"/>
        <v>0</v>
      </c>
      <c r="AC224" s="162">
        <f ca="1"/>
        <v>2.3925545337159515E-2</v>
      </c>
      <c r="AD224" s="162">
        <f ca="1"/>
        <v>4.8199396449866039E-2</v>
      </c>
      <c r="AE224" s="138">
        <f ca="1"/>
        <v>9.1377321921981336E-2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1.1001709470919163E-3</v>
      </c>
      <c r="Q225" s="162">
        <f ca="1"/>
        <v>0</v>
      </c>
      <c r="R225" s="162">
        <f ca="1"/>
        <v>1.2166265347197447E-2</v>
      </c>
      <c r="S225" s="162">
        <f ca="1"/>
        <v>0</v>
      </c>
      <c r="T225" s="162">
        <f ca="1"/>
        <v>2.7918838779993127E-2</v>
      </c>
      <c r="U225" s="162">
        <f ca="1"/>
        <v>5.1348950210341027E-2</v>
      </c>
      <c r="V225" s="138">
        <f ca="1"/>
        <v>8.9644611259103391E-2</v>
      </c>
      <c r="W225" s="137">
        <f ca="1"/>
        <v>0</v>
      </c>
      <c r="X225" s="162">
        <f ca="1"/>
        <v>0</v>
      </c>
      <c r="Y225" s="162">
        <f ca="1"/>
        <v>1.2666403790903003E-3</v>
      </c>
      <c r="Z225" s="162">
        <f ca="1"/>
        <v>0</v>
      </c>
      <c r="AA225" s="162">
        <f ca="1"/>
        <v>1.2660058755854187E-2</v>
      </c>
      <c r="AB225" s="162">
        <f ca="1"/>
        <v>0</v>
      </c>
      <c r="AC225" s="162">
        <f ca="1"/>
        <v>2.8728568979870306E-2</v>
      </c>
      <c r="AD225" s="162">
        <f ca="1"/>
        <v>5.2479563102020732E-2</v>
      </c>
      <c r="AE225" s="138">
        <f ca="1"/>
        <v>9.1160606560008461E-2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1.280470146488244E-3</v>
      </c>
      <c r="Q226" s="162">
        <f ca="1"/>
        <v>0</v>
      </c>
      <c r="R226" s="162">
        <f ca="1"/>
        <v>8.2392152688195441E-3</v>
      </c>
      <c r="S226" s="162">
        <f ca="1"/>
        <v>0</v>
      </c>
      <c r="T226" s="162">
        <f ca="1"/>
        <v>2.2244980565009453E-2</v>
      </c>
      <c r="U226" s="162">
        <f ca="1"/>
        <v>3.6059603060889733E-2</v>
      </c>
      <c r="V226" s="138">
        <f ca="1"/>
        <v>7.078769491583059E-2</v>
      </c>
      <c r="W226" s="137">
        <f ca="1"/>
        <v>0</v>
      </c>
      <c r="X226" s="162">
        <f ca="1"/>
        <v>0</v>
      </c>
      <c r="Y226" s="162">
        <f ca="1"/>
        <v>1.4469095311332447E-3</v>
      </c>
      <c r="Z226" s="162">
        <f ca="1"/>
        <v>0</v>
      </c>
      <c r="AA226" s="162">
        <f ca="1"/>
        <v>8.7349717117144454E-3</v>
      </c>
      <c r="AB226" s="162">
        <f ca="1"/>
        <v>0</v>
      </c>
      <c r="AC226" s="162">
        <f ca="1"/>
        <v>2.3059437010575667E-2</v>
      </c>
      <c r="AD226" s="162">
        <f ca="1"/>
        <v>3.7208162394734789E-2</v>
      </c>
      <c r="AE226" s="138">
        <f ca="1"/>
        <v>7.2335092234972365E-2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7.9606384221930782E-4</v>
      </c>
      <c r="Q227" s="162">
        <f ca="1"/>
        <v>0</v>
      </c>
      <c r="R227" s="162">
        <f ca="1"/>
        <v>6.0082442006309522E-3</v>
      </c>
      <c r="S227" s="162">
        <f ca="1"/>
        <v>0</v>
      </c>
      <c r="T227" s="162">
        <f ca="1"/>
        <v>1.7736546719087865E-2</v>
      </c>
      <c r="U227" s="162">
        <f ca="1"/>
        <v>3.2714868700641331E-2</v>
      </c>
      <c r="V227" s="138">
        <f ca="1"/>
        <v>6.378722065011555E-2</v>
      </c>
      <c r="W227" s="137">
        <f ca="1"/>
        <v>0</v>
      </c>
      <c r="X227" s="162">
        <f ca="1"/>
        <v>0</v>
      </c>
      <c r="Y227" s="162">
        <f ca="1"/>
        <v>9.6258395451753742E-4</v>
      </c>
      <c r="Z227" s="162">
        <f ca="1"/>
        <v>0</v>
      </c>
      <c r="AA227" s="162">
        <f ca="1"/>
        <v>6.5051158502680284E-3</v>
      </c>
      <c r="AB227" s="162">
        <f ca="1"/>
        <v>0</v>
      </c>
      <c r="AC227" s="162">
        <f ca="1"/>
        <v>1.8554758627826184E-2</v>
      </c>
      <c r="AD227" s="162">
        <f ca="1"/>
        <v>3.3868010480244792E-2</v>
      </c>
      <c r="AE227" s="138">
        <f ca="1"/>
        <v>6.5374187911251269E-2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9.3928851643065858E-4</v>
      </c>
      <c r="Q228" s="162">
        <f ca="1"/>
        <v>0</v>
      </c>
      <c r="R228" s="162">
        <f ca="1"/>
        <v>8.5199399711500812E-3</v>
      </c>
      <c r="S228" s="162">
        <f ca="1"/>
        <v>0</v>
      </c>
      <c r="T228" s="162">
        <f ca="1"/>
        <v>2.3117836224603172E-2</v>
      </c>
      <c r="U228" s="162">
        <f ca="1"/>
        <v>4.6436187815939833E-2</v>
      </c>
      <c r="V228" s="138">
        <f ca="1"/>
        <v>8.5223988374943049E-2</v>
      </c>
      <c r="W228" s="137">
        <f ca="1"/>
        <v>0</v>
      </c>
      <c r="X228" s="162">
        <f ca="1"/>
        <v>0</v>
      </c>
      <c r="Y228" s="162">
        <f ca="1"/>
        <v>1.10578475993095E-3</v>
      </c>
      <c r="Z228" s="162">
        <f ca="1"/>
        <v>0</v>
      </c>
      <c r="AA228" s="162">
        <f ca="1"/>
        <v>9.015556086793941E-3</v>
      </c>
      <c r="AB228" s="162">
        <f ca="1"/>
        <v>0</v>
      </c>
      <c r="AC228" s="162">
        <f ca="1"/>
        <v>2.3931565593412252E-2</v>
      </c>
      <c r="AD228" s="162">
        <f ca="1"/>
        <v>4.7573472729005251E-2</v>
      </c>
      <c r="AE228" s="138">
        <f ca="1"/>
        <v>8.6747345244335916E-2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2.7287617603138914E-3</v>
      </c>
      <c r="Q229" s="162">
        <f ca="1"/>
        <v>0</v>
      </c>
      <c r="R229" s="162">
        <f ca="1"/>
        <v>1.1403777077123478E-2</v>
      </c>
      <c r="S229" s="162">
        <f ca="1"/>
        <v>0</v>
      </c>
      <c r="T229" s="162">
        <f ca="1"/>
        <v>2.5698099827742404E-2</v>
      </c>
      <c r="U229" s="162">
        <f ca="1"/>
        <v>4.8138311632035857E-2</v>
      </c>
      <c r="V229" s="138">
        <f ca="1"/>
        <v>9.1490790329769145E-2</v>
      </c>
      <c r="W229" s="137">
        <f ca="1"/>
        <v>0</v>
      </c>
      <c r="X229" s="162">
        <f ca="1"/>
        <v>0</v>
      </c>
      <c r="Y229" s="162">
        <f ca="1"/>
        <v>2.8949597831141594E-3</v>
      </c>
      <c r="Z229" s="162">
        <f ca="1"/>
        <v>0</v>
      </c>
      <c r="AA229" s="162">
        <f ca="1"/>
        <v>1.1897951634672665E-2</v>
      </c>
      <c r="AB229" s="162">
        <f ca="1"/>
        <v>0</v>
      </c>
      <c r="AC229" s="162">
        <f ca="1"/>
        <v>2.6509679872597891E-2</v>
      </c>
      <c r="AD229" s="162">
        <f ca="1"/>
        <v>4.9272164917518402E-2</v>
      </c>
      <c r="AE229" s="138">
        <f ca="1"/>
        <v>9.3052529535430306E-2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1.7469769711138117E-3</v>
      </c>
      <c r="Q230" s="162">
        <f ca="1"/>
        <v>0</v>
      </c>
      <c r="R230" s="162">
        <f ca="1"/>
        <v>1.0555767560189167E-2</v>
      </c>
      <c r="S230" s="162">
        <f ca="1"/>
        <v>0</v>
      </c>
      <c r="T230" s="162">
        <f ca="1"/>
        <v>2.6305159034068715E-2</v>
      </c>
      <c r="U230" s="162">
        <f ca="1"/>
        <v>4.8001708126052089E-2</v>
      </c>
      <c r="V230" s="138">
        <f ca="1"/>
        <v>8.6254350838281812E-2</v>
      </c>
      <c r="W230" s="137">
        <f ca="1"/>
        <v>0</v>
      </c>
      <c r="X230" s="162">
        <f ca="1"/>
        <v>0</v>
      </c>
      <c r="Y230" s="162">
        <f ca="1"/>
        <v>1.9133386110938844E-3</v>
      </c>
      <c r="Z230" s="162">
        <f ca="1"/>
        <v>0</v>
      </c>
      <c r="AA230" s="162">
        <f ca="1"/>
        <v>1.1050366016454372E-2</v>
      </c>
      <c r="AB230" s="162">
        <f ca="1"/>
        <v>0</v>
      </c>
      <c r="AC230" s="162">
        <f ca="1"/>
        <v>2.7116233406946355E-2</v>
      </c>
      <c r="AD230" s="162">
        <f ca="1"/>
        <v>4.913647539858812E-2</v>
      </c>
      <c r="AE230" s="138">
        <f ca="1"/>
        <v>8.777599186718188E-2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6.4684551519585409E-2</v>
      </c>
      <c r="Q231" s="162">
        <f ca="1"/>
        <v>0</v>
      </c>
      <c r="R231" s="162">
        <f ca="1"/>
        <v>0.17315633602356584</v>
      </c>
      <c r="S231" s="162">
        <f ca="1"/>
        <v>0</v>
      </c>
      <c r="T231" s="162">
        <f ca="1"/>
        <v>0.23467180818296118</v>
      </c>
      <c r="U231" s="162">
        <f ca="1"/>
        <v>0.28297381973762847</v>
      </c>
      <c r="V231" s="138">
        <f ca="1"/>
        <v>0.36055538524363662</v>
      </c>
      <c r="W231" s="137">
        <f ca="1"/>
        <v>0</v>
      </c>
      <c r="X231" s="162">
        <f ca="1"/>
        <v>0</v>
      </c>
      <c r="Y231" s="162">
        <f ca="1"/>
        <v>6.4840424437891397E-2</v>
      </c>
      <c r="Z231" s="162">
        <f ca="1"/>
        <v>0</v>
      </c>
      <c r="AA231" s="162">
        <f ca="1"/>
        <v>0.17356965451730522</v>
      </c>
      <c r="AB231" s="162">
        <f ca="1"/>
        <v>0</v>
      </c>
      <c r="AC231" s="162">
        <f ca="1"/>
        <v>0.23530931601096217</v>
      </c>
      <c r="AD231" s="162">
        <f ca="1"/>
        <v>0.28380986249483575</v>
      </c>
      <c r="AE231" s="138">
        <f ca="1"/>
        <v>0.36162023864390058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1.9412910064438016E-3</v>
      </c>
      <c r="Q232" s="162">
        <f ca="1"/>
        <v>0</v>
      </c>
      <c r="R232" s="162">
        <f ca="1"/>
        <v>1.1332707688805455E-2</v>
      </c>
      <c r="S232" s="162">
        <f ca="1"/>
        <v>0</v>
      </c>
      <c r="T232" s="162">
        <f ca="1"/>
        <v>3.8324986667982897E-2</v>
      </c>
      <c r="U232" s="162">
        <f ca="1"/>
        <v>6.8493533176391286E-2</v>
      </c>
      <c r="V232" s="138">
        <f ca="1"/>
        <v>0.11927592665997477</v>
      </c>
      <c r="W232" s="137">
        <f ca="1"/>
        <v>0</v>
      </c>
      <c r="X232" s="162">
        <f ca="1"/>
        <v>0</v>
      </c>
      <c r="Y232" s="162">
        <f ca="1"/>
        <v>2.1076202634332519E-3</v>
      </c>
      <c r="Z232" s="162">
        <f ca="1"/>
        <v>0</v>
      </c>
      <c r="AA232" s="162">
        <f ca="1"/>
        <v>1.1826917772165824E-2</v>
      </c>
      <c r="AB232" s="162">
        <f ca="1"/>
        <v>0</v>
      </c>
      <c r="AC232" s="162">
        <f ca="1"/>
        <v>3.9126048690204973E-2</v>
      </c>
      <c r="AD232" s="162">
        <f ca="1"/>
        <v>6.960448376709405E-2</v>
      </c>
      <c r="AE232" s="138">
        <f ca="1"/>
        <v>0.12079741172717873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0.20363243989540891</v>
      </c>
      <c r="Q233" s="162">
        <f ca="1"/>
        <v>0</v>
      </c>
      <c r="R233" s="162">
        <f ca="1"/>
        <v>0.3561736365256325</v>
      </c>
      <c r="S233" s="162">
        <f ca="1"/>
        <v>0</v>
      </c>
      <c r="T233" s="162">
        <f ca="1"/>
        <v>0.38659316018187728</v>
      </c>
      <c r="U233" s="162">
        <f ca="1"/>
        <v>0.45951983956395093</v>
      </c>
      <c r="V233" s="138">
        <f ca="1"/>
        <v>0.53950323303408287</v>
      </c>
      <c r="W233" s="137">
        <f ca="1"/>
        <v>0</v>
      </c>
      <c r="X233" s="162">
        <f ca="1"/>
        <v>0</v>
      </c>
      <c r="Y233" s="162">
        <f ca="1"/>
        <v>0.20376515676205331</v>
      </c>
      <c r="Z233" s="162">
        <f ca="1"/>
        <v>0</v>
      </c>
      <c r="AA233" s="162">
        <f ca="1"/>
        <v>0.35649546924249453</v>
      </c>
      <c r="AB233" s="162">
        <f ca="1"/>
        <v>0</v>
      </c>
      <c r="AC233" s="162">
        <f ca="1"/>
        <v>0.38705812806743733</v>
      </c>
      <c r="AD233" s="162">
        <f ca="1"/>
        <v>0.46008850459615491</v>
      </c>
      <c r="AE233" s="138">
        <f ca="1"/>
        <v>0.54017818678123697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1.0029373870761304E-3</v>
      </c>
      <c r="Q234" s="162">
        <f ca="1"/>
        <v>0</v>
      </c>
      <c r="R234" s="162">
        <f ca="1"/>
        <v>6.5000895945913628E-3</v>
      </c>
      <c r="S234" s="162">
        <f ca="1"/>
        <v>0</v>
      </c>
      <c r="T234" s="162">
        <f ca="1"/>
        <v>1.7667648320262463E-2</v>
      </c>
      <c r="U234" s="162">
        <f ca="1"/>
        <v>3.3917565282503004E-2</v>
      </c>
      <c r="V234" s="138">
        <f ca="1"/>
        <v>6.5419576293390458E-2</v>
      </c>
      <c r="W234" s="137">
        <f ca="1"/>
        <v>0</v>
      </c>
      <c r="X234" s="162">
        <f ca="1"/>
        <v>0</v>
      </c>
      <c r="Y234" s="162">
        <f ca="1"/>
        <v>1.1694230233260106E-3</v>
      </c>
      <c r="Z234" s="162">
        <f ca="1"/>
        <v>0</v>
      </c>
      <c r="AA234" s="162">
        <f ca="1"/>
        <v>6.9967153829990636E-3</v>
      </c>
      <c r="AB234" s="162">
        <f ca="1"/>
        <v>0</v>
      </c>
      <c r="AC234" s="162">
        <f ca="1"/>
        <v>1.8485917620417291E-2</v>
      </c>
      <c r="AD234" s="162">
        <f ca="1"/>
        <v>3.5069212129672511E-2</v>
      </c>
      <c r="AE234" s="138">
        <f ca="1"/>
        <v>6.7003672807136816E-2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1.3440974478955425E-3</v>
      </c>
      <c r="Q235" s="162">
        <f ca="1"/>
        <v>0</v>
      </c>
      <c r="R235" s="162">
        <f ca="1"/>
        <v>1.0752499403284155E-2</v>
      </c>
      <c r="S235" s="162">
        <f ca="1"/>
        <v>0</v>
      </c>
      <c r="T235" s="162">
        <f ca="1"/>
        <v>2.3275615571917485E-2</v>
      </c>
      <c r="U235" s="162">
        <f ca="1"/>
        <v>4.4192747598056581E-2</v>
      </c>
      <c r="V235" s="138">
        <f ca="1"/>
        <v>8.2350152538198995E-2</v>
      </c>
      <c r="W235" s="137">
        <f ca="1"/>
        <v>0</v>
      </c>
      <c r="X235" s="162">
        <f ca="1"/>
        <v>0</v>
      </c>
      <c r="Y235" s="162">
        <f ca="1"/>
        <v>1.51052622888459E-3</v>
      </c>
      <c r="Z235" s="162">
        <f ca="1"/>
        <v>0</v>
      </c>
      <c r="AA235" s="162">
        <f ca="1"/>
        <v>1.1246999518285228E-2</v>
      </c>
      <c r="AB235" s="162">
        <f ca="1"/>
        <v>0</v>
      </c>
      <c r="AC235" s="162">
        <f ca="1"/>
        <v>2.4089213512732521E-2</v>
      </c>
      <c r="AD235" s="162">
        <f ca="1"/>
        <v>4.5331652875802986E-2</v>
      </c>
      <c r="AE235" s="138">
        <f ca="1"/>
        <v>8.3878295144711901E-2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2.0472646660544269E-3</v>
      </c>
      <c r="Q236" s="162">
        <f ca="1"/>
        <v>0</v>
      </c>
      <c r="R236" s="162">
        <f ca="1"/>
        <v>1.7112721257167229E-2</v>
      </c>
      <c r="S236" s="162">
        <f ca="1"/>
        <v>0</v>
      </c>
      <c r="T236" s="162">
        <f ca="1"/>
        <v>3.9810512943829535E-2</v>
      </c>
      <c r="U236" s="162">
        <f ca="1"/>
        <v>7.3694672368960878E-2</v>
      </c>
      <c r="V236" s="138">
        <f ca="1"/>
        <v>0.12893222506375646</v>
      </c>
      <c r="W236" s="137">
        <f ca="1"/>
        <v>0</v>
      </c>
      <c r="X236" s="162">
        <f ca="1"/>
        <v>0</v>
      </c>
      <c r="Y236" s="162">
        <f ca="1"/>
        <v>2.2135762622571553E-3</v>
      </c>
      <c r="Z236" s="162">
        <f ca="1"/>
        <v>0</v>
      </c>
      <c r="AA236" s="162">
        <f ca="1"/>
        <v>1.7604042056076574E-2</v>
      </c>
      <c r="AB236" s="162">
        <f ca="1"/>
        <v>0</v>
      </c>
      <c r="AC236" s="162">
        <f ca="1"/>
        <v>4.0610337543201314E-2</v>
      </c>
      <c r="AD236" s="162">
        <f ca="1"/>
        <v>7.4774731760737234E-2</v>
      </c>
      <c r="AE236" s="138">
        <f ca="1"/>
        <v>0.13044292410139602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1.8777014527946445E-3</v>
      </c>
      <c r="Q237" s="162">
        <f ca="1"/>
        <v>0</v>
      </c>
      <c r="R237" s="162">
        <f ca="1"/>
        <v>1.0207451206041052E-2</v>
      </c>
      <c r="S237" s="162">
        <f ca="1"/>
        <v>0</v>
      </c>
      <c r="T237" s="162">
        <f ca="1"/>
        <v>2.676387401525171E-2</v>
      </c>
      <c r="U237" s="162">
        <f ca="1"/>
        <v>4.5700531435473257E-2</v>
      </c>
      <c r="V237" s="138">
        <f ca="1"/>
        <v>9.5772709043712934E-2</v>
      </c>
      <c r="W237" s="137">
        <f ca="1"/>
        <v>0</v>
      </c>
      <c r="X237" s="162">
        <f ca="1"/>
        <v>0</v>
      </c>
      <c r="Y237" s="162">
        <f ca="1"/>
        <v>2.044041307191824E-3</v>
      </c>
      <c r="Z237" s="162">
        <f ca="1"/>
        <v>0</v>
      </c>
      <c r="AA237" s="162">
        <f ca="1"/>
        <v>1.0702223776978603E-2</v>
      </c>
      <c r="AB237" s="162">
        <f ca="1"/>
        <v>0</v>
      </c>
      <c r="AC237" s="162">
        <f ca="1"/>
        <v>2.7574566284913726E-2</v>
      </c>
      <c r="AD237" s="162">
        <f ca="1"/>
        <v>4.6838039033030521E-2</v>
      </c>
      <c r="AE237" s="138">
        <f ca="1"/>
        <v>9.7331351836221214E-2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1.8247070881396432E-3</v>
      </c>
      <c r="Q238" s="162">
        <f ca="1"/>
        <v>0</v>
      </c>
      <c r="R238" s="162">
        <f ca="1"/>
        <v>9.3672342675691356E-3</v>
      </c>
      <c r="S238" s="162">
        <f ca="1"/>
        <v>0</v>
      </c>
      <c r="T238" s="162">
        <f ca="1"/>
        <v>2.2952564366224282E-2</v>
      </c>
      <c r="U238" s="162">
        <f ca="1"/>
        <v>4.2680798365751782E-2</v>
      </c>
      <c r="V238" s="138">
        <f ca="1"/>
        <v>7.7732767242508549E-2</v>
      </c>
      <c r="W238" s="137">
        <f ca="1"/>
        <v>0</v>
      </c>
      <c r="X238" s="162">
        <f ca="1"/>
        <v>0</v>
      </c>
      <c r="Y238" s="162">
        <f ca="1"/>
        <v>1.9910557741645851E-3</v>
      </c>
      <c r="Z238" s="162">
        <f ca="1"/>
        <v>0</v>
      </c>
      <c r="AA238" s="162">
        <f ca="1"/>
        <v>9.8624268419796879E-3</v>
      </c>
      <c r="AB238" s="162">
        <f ca="1"/>
        <v>0</v>
      </c>
      <c r="AC238" s="162">
        <f ca="1"/>
        <v>2.3766431404230848E-2</v>
      </c>
      <c r="AD238" s="162">
        <f ca="1"/>
        <v>4.3821761907379964E-2</v>
      </c>
      <c r="AE238" s="138">
        <f ca="1"/>
        <v>7.9268599081706803E-2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1.0648143755767059E-3</v>
      </c>
      <c r="Q239" s="162">
        <f ca="1"/>
        <v>0</v>
      </c>
      <c r="R239" s="162">
        <f ca="1"/>
        <v>1.0523255726151315E-2</v>
      </c>
      <c r="S239" s="162">
        <f ca="1"/>
        <v>0</v>
      </c>
      <c r="T239" s="162">
        <f ca="1"/>
        <v>2.158483203439987E-2</v>
      </c>
      <c r="U239" s="162">
        <f ca="1"/>
        <v>4.2537092597568882E-2</v>
      </c>
      <c r="V239" s="138">
        <f ca="1"/>
        <v>7.8179305221667716E-2</v>
      </c>
      <c r="W239" s="137">
        <f ca="1"/>
        <v>0</v>
      </c>
      <c r="X239" s="162">
        <f ca="1"/>
        <v>0</v>
      </c>
      <c r="Y239" s="162">
        <f ca="1"/>
        <v>1.2312896998684097E-3</v>
      </c>
      <c r="Z239" s="162">
        <f ca="1"/>
        <v>0</v>
      </c>
      <c r="AA239" s="162">
        <f ca="1"/>
        <v>1.101787043433744E-2</v>
      </c>
      <c r="AB239" s="162">
        <f ca="1"/>
        <v>0</v>
      </c>
      <c r="AC239" s="162">
        <f ca="1"/>
        <v>2.2399838374586256E-2</v>
      </c>
      <c r="AD239" s="162">
        <f ca="1"/>
        <v>4.3677917923350518E-2</v>
      </c>
      <c r="AE239" s="138">
        <f ca="1"/>
        <v>7.9714393450788568E-2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1.6639404406221248E-3</v>
      </c>
      <c r="Q240" s="162">
        <f ca="1"/>
        <v>0</v>
      </c>
      <c r="R240" s="162">
        <f ca="1"/>
        <v>1.0551540529767145E-2</v>
      </c>
      <c r="S240" s="162">
        <f ca="1"/>
        <v>0</v>
      </c>
      <c r="T240" s="162">
        <f ca="1"/>
        <v>2.7176040904821508E-2</v>
      </c>
      <c r="U240" s="162">
        <f ca="1"/>
        <v>4.9154431626624917E-2</v>
      </c>
      <c r="V240" s="138">
        <f ca="1"/>
        <v>8.7814273148221544E-2</v>
      </c>
      <c r="W240" s="137">
        <f ca="1"/>
        <v>0</v>
      </c>
      <c r="X240" s="162">
        <f ca="1"/>
        <v>0</v>
      </c>
      <c r="Y240" s="162">
        <f ca="1"/>
        <v>1.830315918853076E-3</v>
      </c>
      <c r="Z240" s="162">
        <f ca="1"/>
        <v>0</v>
      </c>
      <c r="AA240" s="162">
        <f ca="1"/>
        <v>1.1046141099046558E-2</v>
      </c>
      <c r="AB240" s="162">
        <f ca="1"/>
        <v>0</v>
      </c>
      <c r="AC240" s="162">
        <f ca="1"/>
        <v>2.7986389845102266E-2</v>
      </c>
      <c r="AD240" s="162">
        <f ca="1"/>
        <v>5.0287987522036559E-2</v>
      </c>
      <c r="AE240" s="138">
        <f ca="1"/>
        <v>8.9333316471911672E-2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1.7805429855022314E-3</v>
      </c>
      <c r="Q241" s="162">
        <f ca="1"/>
        <v>0</v>
      </c>
      <c r="R241" s="162">
        <f ca="1"/>
        <v>1.2666487338750976E-2</v>
      </c>
      <c r="S241" s="162">
        <f ca="1"/>
        <v>0</v>
      </c>
      <c r="T241" s="162">
        <f ca="1"/>
        <v>2.3905048324445954E-2</v>
      </c>
      <c r="U241" s="162">
        <f ca="1"/>
        <v>4.0797728348129336E-2</v>
      </c>
      <c r="V241" s="138">
        <f ca="1"/>
        <v>6.4774392708697448E-2</v>
      </c>
      <c r="W241" s="137">
        <f ca="1"/>
        <v>0</v>
      </c>
      <c r="X241" s="162">
        <f ca="1"/>
        <v>0</v>
      </c>
      <c r="Y241" s="162">
        <f ca="1"/>
        <v>1.9468990316362511E-3</v>
      </c>
      <c r="Z241" s="162">
        <f ca="1"/>
        <v>0</v>
      </c>
      <c r="AA241" s="162">
        <f ca="1"/>
        <v>1.3160030698950442E-2</v>
      </c>
      <c r="AB241" s="162">
        <f ca="1"/>
        <v>0</v>
      </c>
      <c r="AC241" s="162">
        <f ca="1"/>
        <v>2.4718121956469052E-2</v>
      </c>
      <c r="AD241" s="162">
        <f ca="1"/>
        <v>4.1939492605592044E-2</v>
      </c>
      <c r="AE241" s="138">
        <f ca="1"/>
        <v>6.6357655466802834E-2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3.672560882256426E-3</v>
      </c>
      <c r="Q242" s="162">
        <f ca="1"/>
        <v>0</v>
      </c>
      <c r="R242" s="162">
        <f ca="1"/>
        <v>1.8048346785843217E-2</v>
      </c>
      <c r="S242" s="162">
        <f ca="1"/>
        <v>0</v>
      </c>
      <c r="T242" s="162">
        <f ca="1"/>
        <v>4.4290366213017629E-2</v>
      </c>
      <c r="U242" s="162">
        <f ca="1"/>
        <v>7.2947681279913135E-2</v>
      </c>
      <c r="V242" s="138">
        <f ca="1"/>
        <v>0.11810163571532206</v>
      </c>
      <c r="W242" s="137">
        <f ca="1"/>
        <v>0</v>
      </c>
      <c r="X242" s="162">
        <f ca="1"/>
        <v>0</v>
      </c>
      <c r="Y242" s="162">
        <f ca="1"/>
        <v>3.8386016183218352E-3</v>
      </c>
      <c r="Z242" s="162">
        <f ca="1"/>
        <v>0</v>
      </c>
      <c r="AA242" s="162">
        <f ca="1"/>
        <v>1.8539199888953806E-2</v>
      </c>
      <c r="AB242" s="162">
        <f ca="1"/>
        <v>0</v>
      </c>
      <c r="AC242" s="162">
        <f ca="1"/>
        <v>4.5086459156358338E-2</v>
      </c>
      <c r="AD242" s="162">
        <f ca="1"/>
        <v>7.4051139913095088E-2</v>
      </c>
      <c r="AE242" s="138">
        <f ca="1"/>
        <v>0.11961689330645675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1.22214158660372E-3</v>
      </c>
      <c r="Q243" s="162">
        <f ca="1"/>
        <v>0</v>
      </c>
      <c r="R243" s="162">
        <f ca="1"/>
        <v>1.5027475568172632E-2</v>
      </c>
      <c r="S243" s="162">
        <f ca="1"/>
        <v>0</v>
      </c>
      <c r="T243" s="162">
        <f ca="1"/>
        <v>3.6242158000204028E-2</v>
      </c>
      <c r="U243" s="162">
        <f ca="1"/>
        <v>6.4228655559367742E-2</v>
      </c>
      <c r="V243" s="138">
        <f ca="1"/>
        <v>0.11317758637683739</v>
      </c>
      <c r="W243" s="137">
        <f ca="1"/>
        <v>0</v>
      </c>
      <c r="X243" s="162">
        <f ca="1"/>
        <v>0</v>
      </c>
      <c r="Y243" s="162">
        <f ca="1"/>
        <v>1.3885906918447155E-3</v>
      </c>
      <c r="Z243" s="162">
        <f ca="1"/>
        <v>0</v>
      </c>
      <c r="AA243" s="162">
        <f ca="1"/>
        <v>1.5519838729318169E-2</v>
      </c>
      <c r="AB243" s="162">
        <f ca="1"/>
        <v>0</v>
      </c>
      <c r="AC243" s="162">
        <f ca="1"/>
        <v>3.7044954990028911E-2</v>
      </c>
      <c r="AD243" s="162">
        <f ca="1"/>
        <v>6.5343567088542498E-2</v>
      </c>
      <c r="AE243" s="138">
        <f ca="1"/>
        <v>0.11470631561473377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4.42167687799222E-3</v>
      </c>
      <c r="Q244" s="162">
        <f ca="1"/>
        <v>0</v>
      </c>
      <c r="R244" s="162">
        <f ca="1"/>
        <v>3.1951246159032998E-2</v>
      </c>
      <c r="S244" s="162">
        <f ca="1"/>
        <v>0</v>
      </c>
      <c r="T244" s="162">
        <f ca="1"/>
        <v>7.0650433785854672E-2</v>
      </c>
      <c r="U244" s="162">
        <f ca="1"/>
        <v>0.11698493122725639</v>
      </c>
      <c r="V244" s="138">
        <f ca="1"/>
        <v>0.20217725295512101</v>
      </c>
      <c r="W244" s="137">
        <f ca="1"/>
        <v>0</v>
      </c>
      <c r="X244" s="162">
        <f ca="1"/>
        <v>0</v>
      </c>
      <c r="Y244" s="162">
        <f ca="1"/>
        <v>4.5875927718244114E-3</v>
      </c>
      <c r="Z244" s="162">
        <f ca="1"/>
        <v>0</v>
      </c>
      <c r="AA244" s="162">
        <f ca="1"/>
        <v>3.2435149550046116E-2</v>
      </c>
      <c r="AB244" s="162">
        <f ca="1"/>
        <v>0</v>
      </c>
      <c r="AC244" s="162">
        <f ca="1"/>
        <v>7.1424569156490758E-2</v>
      </c>
      <c r="AD244" s="162">
        <f ca="1"/>
        <v>0.11805204748475573</v>
      </c>
      <c r="AE244" s="138">
        <f ca="1"/>
        <v>0.20357241997165687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5.5275846757248948E-3</v>
      </c>
      <c r="Q245" s="162">
        <f ca="1"/>
        <v>0</v>
      </c>
      <c r="R245" s="162">
        <f ca="1"/>
        <v>3.6307285691007718E-2</v>
      </c>
      <c r="S245" s="162">
        <f ca="1"/>
        <v>0</v>
      </c>
      <c r="T245" s="162">
        <f ca="1"/>
        <v>9.7808458121722452E-2</v>
      </c>
      <c r="U245" s="162">
        <f ca="1"/>
        <v>0.15480199831302277</v>
      </c>
      <c r="V245" s="138">
        <f ca="1"/>
        <v>0.24791326166057559</v>
      </c>
      <c r="W245" s="137">
        <f ca="1"/>
        <v>0</v>
      </c>
      <c r="X245" s="162">
        <f ca="1"/>
        <v>0</v>
      </c>
      <c r="Y245" s="162">
        <f ca="1"/>
        <v>5.6933162669204895E-3</v>
      </c>
      <c r="Z245" s="162">
        <f ca="1"/>
        <v>0</v>
      </c>
      <c r="AA245" s="162">
        <f ca="1"/>
        <v>3.678901160662551E-2</v>
      </c>
      <c r="AB245" s="162">
        <f ca="1"/>
        <v>0</v>
      </c>
      <c r="AC245" s="162">
        <f ca="1"/>
        <v>9.8588986234044218E-2</v>
      </c>
      <c r="AD245" s="162">
        <f ca="1"/>
        <v>0.1558275486439229</v>
      </c>
      <c r="AE245" s="138">
        <f ca="1"/>
        <v>0.24923138259535738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1.1302230564811389E-3</v>
      </c>
      <c r="Q246" s="162">
        <f ca="1"/>
        <v>0</v>
      </c>
      <c r="R246" s="162">
        <f ca="1"/>
        <v>7.4986969813197746E-3</v>
      </c>
      <c r="S246" s="162">
        <f ca="1"/>
        <v>0</v>
      </c>
      <c r="T246" s="162">
        <f ca="1"/>
        <v>2.2337068589912135E-2</v>
      </c>
      <c r="U246" s="162">
        <f ca="1"/>
        <v>4.0896216085468784E-2</v>
      </c>
      <c r="V246" s="138">
        <f ca="1"/>
        <v>7.6872684061050189E-2</v>
      </c>
      <c r="W246" s="137">
        <f ca="1"/>
        <v>0</v>
      </c>
      <c r="X246" s="162">
        <f ca="1"/>
        <v>0</v>
      </c>
      <c r="Y246" s="162">
        <f ca="1"/>
        <v>1.2966874801992878E-3</v>
      </c>
      <c r="Z246" s="162">
        <f ca="1"/>
        <v>0</v>
      </c>
      <c r="AA246" s="162">
        <f ca="1"/>
        <v>7.9948235908136045E-3</v>
      </c>
      <c r="AB246" s="162">
        <f ca="1"/>
        <v>0</v>
      </c>
      <c r="AC246" s="162">
        <f ca="1"/>
        <v>2.3151448327415891E-2</v>
      </c>
      <c r="AD246" s="162">
        <f ca="1"/>
        <v>4.2040092569461396E-2</v>
      </c>
      <c r="AE246" s="138">
        <f ca="1"/>
        <v>7.8409948178347122E-2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1.0789571532058284E-3</v>
      </c>
      <c r="Q247" s="162">
        <f ca="1"/>
        <v>0</v>
      </c>
      <c r="R247" s="162">
        <f ca="1"/>
        <v>1.2027319394105063E-2</v>
      </c>
      <c r="S247" s="162">
        <f ca="1"/>
        <v>0</v>
      </c>
      <c r="T247" s="162">
        <f ca="1"/>
        <v>2.3160077544846391E-2</v>
      </c>
      <c r="U247" s="162">
        <f ca="1"/>
        <v>4.3442824586023221E-2</v>
      </c>
      <c r="V247" s="138">
        <f ca="1"/>
        <v>8.5150077348580044E-2</v>
      </c>
      <c r="W247" s="137">
        <f ca="1"/>
        <v>0</v>
      </c>
      <c r="X247" s="162">
        <f ca="1"/>
        <v>0</v>
      </c>
      <c r="Y247" s="162">
        <f ca="1"/>
        <v>1.2454301205384599E-3</v>
      </c>
      <c r="Z247" s="162">
        <f ca="1"/>
        <v>0</v>
      </c>
      <c r="AA247" s="162">
        <f ca="1"/>
        <v>1.2521182258389052E-2</v>
      </c>
      <c r="AB247" s="162">
        <f ca="1"/>
        <v>0</v>
      </c>
      <c r="AC247" s="162">
        <f ca="1"/>
        <v>2.3973771727213933E-2</v>
      </c>
      <c r="AD247" s="162">
        <f ca="1"/>
        <v>4.45821619914476E-2</v>
      </c>
      <c r="AE247" s="138">
        <f ca="1"/>
        <v>8.6721372672306285E-2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4.2081768033574551E-2</v>
      </c>
      <c r="Q248" s="162">
        <f ca="1"/>
        <v>0</v>
      </c>
      <c r="R248" s="162">
        <f ca="1"/>
        <v>0.11631721722533916</v>
      </c>
      <c r="S248" s="162">
        <f ca="1"/>
        <v>0</v>
      </c>
      <c r="T248" s="162">
        <f ca="1"/>
        <v>0.16696151339715537</v>
      </c>
      <c r="U248" s="162">
        <f ca="1"/>
        <v>0.21541647169438249</v>
      </c>
      <c r="V248" s="138">
        <f ca="1"/>
        <v>0.27900854782211448</v>
      </c>
      <c r="W248" s="137">
        <f ca="1"/>
        <v>0</v>
      </c>
      <c r="X248" s="162">
        <f ca="1"/>
        <v>0</v>
      </c>
      <c r="Y248" s="162">
        <f ca="1"/>
        <v>4.2241407768554562E-2</v>
      </c>
      <c r="Z248" s="162">
        <f ca="1"/>
        <v>0</v>
      </c>
      <c r="AA248" s="162">
        <f ca="1"/>
        <v>0.11675894817482035</v>
      </c>
      <c r="AB248" s="162">
        <f ca="1"/>
        <v>0</v>
      </c>
      <c r="AC248" s="162">
        <f ca="1"/>
        <v>0.16765542296683977</v>
      </c>
      <c r="AD248" s="162">
        <f ca="1"/>
        <v>0.21633128539899271</v>
      </c>
      <c r="AE248" s="138">
        <f ca="1"/>
        <v>0.28020919942144284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2.7675896595811267E-3</v>
      </c>
      <c r="Q249" s="162">
        <f ca="1"/>
        <v>0</v>
      </c>
      <c r="R249" s="162">
        <f ca="1"/>
        <v>1.2082304113871456E-2</v>
      </c>
      <c r="S249" s="162">
        <f ca="1"/>
        <v>0</v>
      </c>
      <c r="T249" s="162">
        <f ca="1"/>
        <v>2.3444815709492417E-2</v>
      </c>
      <c r="U249" s="162">
        <f ca="1"/>
        <v>4.2951508970085928E-2</v>
      </c>
      <c r="V249" s="138">
        <f ca="1"/>
        <v>7.3884182661011932E-2</v>
      </c>
      <c r="W249" s="137">
        <f ca="1"/>
        <v>0</v>
      </c>
      <c r="X249" s="162">
        <f ca="1"/>
        <v>0</v>
      </c>
      <c r="Y249" s="162">
        <f ca="1"/>
        <v>2.9337812116179141E-3</v>
      </c>
      <c r="Z249" s="162">
        <f ca="1"/>
        <v>0</v>
      </c>
      <c r="AA249" s="162">
        <f ca="1"/>
        <v>1.2576139492709082E-2</v>
      </c>
      <c r="AB249" s="162">
        <f ca="1"/>
        <v>0</v>
      </c>
      <c r="AC249" s="162">
        <f ca="1"/>
        <v>2.4258272708880702E-2</v>
      </c>
      <c r="AD249" s="162">
        <f ca="1"/>
        <v>4.4090803904276443E-2</v>
      </c>
      <c r="AE249" s="138">
        <f ca="1"/>
        <v>7.542642346557582E-2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1.2345145938681412E-3</v>
      </c>
      <c r="Q250" s="162">
        <f ca="1"/>
        <v>0</v>
      </c>
      <c r="R250" s="162">
        <f ca="1"/>
        <v>8.4356279721962135E-3</v>
      </c>
      <c r="S250" s="162">
        <f ca="1"/>
        <v>0</v>
      </c>
      <c r="T250" s="162">
        <f ca="1"/>
        <v>2.3102275362918423E-2</v>
      </c>
      <c r="U250" s="162">
        <f ca="1"/>
        <v>4.4745617645376656E-2</v>
      </c>
      <c r="V250" s="138">
        <f ca="1"/>
        <v>8.6235062985603017E-2</v>
      </c>
      <c r="W250" s="137">
        <f ca="1"/>
        <v>0</v>
      </c>
      <c r="X250" s="162">
        <f ca="1"/>
        <v>0</v>
      </c>
      <c r="Y250" s="162">
        <f ca="1"/>
        <v>1.4009616371329914E-3</v>
      </c>
      <c r="Z250" s="162">
        <f ca="1"/>
        <v>0</v>
      </c>
      <c r="AA250" s="162">
        <f ca="1"/>
        <v>8.9312862332971976E-3</v>
      </c>
      <c r="AB250" s="162">
        <f ca="1"/>
        <v>0</v>
      </c>
      <c r="AC250" s="162">
        <f ca="1"/>
        <v>2.3916017693726421E-2</v>
      </c>
      <c r="AD250" s="162">
        <f ca="1"/>
        <v>4.5884820225316258E-2</v>
      </c>
      <c r="AE250" s="138">
        <f ca="1"/>
        <v>8.7806223156243646E-2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3.4062699128249996E-3</v>
      </c>
      <c r="Q251" s="162">
        <f ca="1"/>
        <v>0</v>
      </c>
      <c r="R251" s="162">
        <f ca="1"/>
        <v>2.4148222921640872E-2</v>
      </c>
      <c r="S251" s="162">
        <f ca="1"/>
        <v>0</v>
      </c>
      <c r="T251" s="162">
        <f ca="1"/>
        <v>5.7285464624820315E-2</v>
      </c>
      <c r="U251" s="162">
        <f ca="1"/>
        <v>9.9949541777917372E-2</v>
      </c>
      <c r="V251" s="138">
        <f ca="1"/>
        <v>0.16605074889667681</v>
      </c>
      <c r="W251" s="137">
        <f ca="1"/>
        <v>0</v>
      </c>
      <c r="X251" s="162">
        <f ca="1"/>
        <v>0</v>
      </c>
      <c r="Y251" s="162">
        <f ca="1"/>
        <v>3.5723550270412296E-3</v>
      </c>
      <c r="Z251" s="162">
        <f ca="1"/>
        <v>0</v>
      </c>
      <c r="AA251" s="162">
        <f ca="1"/>
        <v>2.4636026849040316E-2</v>
      </c>
      <c r="AB251" s="162">
        <f ca="1"/>
        <v>0</v>
      </c>
      <c r="AC251" s="162">
        <f ca="1"/>
        <v>5.8070732830442728E-2</v>
      </c>
      <c r="AD251" s="162">
        <f ca="1"/>
        <v>0.10099898834964205</v>
      </c>
      <c r="AE251" s="138">
        <f ca="1"/>
        <v>0.16750426689534348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1.0648143755767059E-3</v>
      </c>
      <c r="Q252" s="162">
        <f ca="1"/>
        <v>0</v>
      </c>
      <c r="R252" s="162">
        <f ca="1"/>
        <v>1.4914838998614344E-2</v>
      </c>
      <c r="S252" s="162">
        <f ca="1"/>
        <v>0</v>
      </c>
      <c r="T252" s="162">
        <f ca="1"/>
        <v>3.2812485198082886E-2</v>
      </c>
      <c r="U252" s="162">
        <f ca="1"/>
        <v>5.5588002752256394E-2</v>
      </c>
      <c r="V252" s="138">
        <f ca="1"/>
        <v>9.7432913948155342E-2</v>
      </c>
      <c r="W252" s="137">
        <f ca="1"/>
        <v>0</v>
      </c>
      <c r="X252" s="162">
        <f ca="1"/>
        <v>0</v>
      </c>
      <c r="Y252" s="162">
        <f ca="1"/>
        <v>1.2312896998684097E-3</v>
      </c>
      <c r="Z252" s="162">
        <f ca="1"/>
        <v>0</v>
      </c>
      <c r="AA252" s="162">
        <f ca="1"/>
        <v>1.5407258464013251E-2</v>
      </c>
      <c r="AB252" s="162">
        <f ca="1"/>
        <v>0</v>
      </c>
      <c r="AC252" s="162">
        <f ca="1"/>
        <v>3.3618139057987162E-2</v>
      </c>
      <c r="AD252" s="162">
        <f ca="1"/>
        <v>5.6713197999498588E-2</v>
      </c>
      <c r="AE252" s="138">
        <f ca="1"/>
        <v>9.8982176913180675E-2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6.6166166710035501E-4</v>
      </c>
      <c r="Q253" s="162">
        <f ca="1"/>
        <v>0</v>
      </c>
      <c r="R253" s="162">
        <f ca="1"/>
        <v>6.5248536865042395E-3</v>
      </c>
      <c r="S253" s="162">
        <f ca="1"/>
        <v>0</v>
      </c>
      <c r="T253" s="162">
        <f ca="1"/>
        <v>1.6815788808627774E-2</v>
      </c>
      <c r="U253" s="162">
        <f ca="1"/>
        <v>3.7252316362775151E-2</v>
      </c>
      <c r="V253" s="138">
        <f ca="1"/>
        <v>6.1222921376652195E-2</v>
      </c>
      <c r="W253" s="137">
        <f ca="1"/>
        <v>0</v>
      </c>
      <c r="X253" s="162">
        <f ca="1"/>
        <v>0</v>
      </c>
      <c r="Y253" s="162">
        <f ca="1"/>
        <v>8.2820417788620482E-4</v>
      </c>
      <c r="Z253" s="162">
        <f ca="1"/>
        <v>0</v>
      </c>
      <c r="AA253" s="162">
        <f ca="1"/>
        <v>7.0214670959336534E-3</v>
      </c>
      <c r="AB253" s="162">
        <f ca="1"/>
        <v>0</v>
      </c>
      <c r="AC253" s="162">
        <f ca="1"/>
        <v>1.7634767696037668E-2</v>
      </c>
      <c r="AD253" s="162">
        <f ca="1"/>
        <v>3.8400443632945591E-2</v>
      </c>
      <c r="AE253" s="138">
        <f ca="1"/>
        <v>6.2817037050628133E-2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1.9200949350675067E-3</v>
      </c>
      <c r="Q254" s="162">
        <f ca="1"/>
        <v>0</v>
      </c>
      <c r="R254" s="162">
        <f ca="1"/>
        <v>6.684152592921877E-3</v>
      </c>
      <c r="S254" s="162">
        <f ca="1"/>
        <v>0</v>
      </c>
      <c r="T254" s="162">
        <f ca="1"/>
        <v>1.8874243027580895E-2</v>
      </c>
      <c r="U254" s="162">
        <f ca="1"/>
        <v>3.5589763420059706E-2</v>
      </c>
      <c r="V254" s="138">
        <f ca="1"/>
        <v>5.9143257230966362E-2</v>
      </c>
      <c r="W254" s="137">
        <f ca="1"/>
        <v>0</v>
      </c>
      <c r="X254" s="162">
        <f ca="1"/>
        <v>0</v>
      </c>
      <c r="Y254" s="162">
        <f ca="1"/>
        <v>2.0864277244801999E-3</v>
      </c>
      <c r="Z254" s="162">
        <f ca="1"/>
        <v>0</v>
      </c>
      <c r="AA254" s="162">
        <f ca="1"/>
        <v>7.1806863728538506E-3</v>
      </c>
      <c r="AB254" s="162">
        <f ca="1"/>
        <v>0</v>
      </c>
      <c r="AC254" s="162">
        <f ca="1"/>
        <v>1.969150725096469E-2</v>
      </c>
      <c r="AD254" s="162">
        <f ca="1"/>
        <v>3.6739271310650023E-2</v>
      </c>
      <c r="AE254" s="138">
        <f ca="1"/>
        <v>6.0739134719192567E-2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1.2292118950917308E-3</v>
      </c>
      <c r="Q255" s="162">
        <f ca="1"/>
        <v>0</v>
      </c>
      <c r="R255" s="162">
        <f ca="1"/>
        <v>7.992513793869005E-3</v>
      </c>
      <c r="S255" s="162">
        <f ca="1"/>
        <v>0</v>
      </c>
      <c r="T255" s="162">
        <f ca="1"/>
        <v>2.0101269199360505E-2</v>
      </c>
      <c r="U255" s="162">
        <f ca="1"/>
        <v>3.9188833383514865E-2</v>
      </c>
      <c r="V255" s="138">
        <f ca="1"/>
        <v>8.0182870487120139E-2</v>
      </c>
      <c r="W255" s="137">
        <f ca="1"/>
        <v>0</v>
      </c>
      <c r="X255" s="162">
        <f ca="1"/>
        <v>0</v>
      </c>
      <c r="Y255" s="162">
        <f ca="1"/>
        <v>1.3956598220757899E-3</v>
      </c>
      <c r="Z255" s="162">
        <f ca="1"/>
        <v>0</v>
      </c>
      <c r="AA255" s="162">
        <f ca="1"/>
        <v>8.4883935566664181E-3</v>
      </c>
      <c r="AB255" s="162">
        <f ca="1"/>
        <v>0</v>
      </c>
      <c r="AC255" s="162">
        <f ca="1"/>
        <v>2.0917511326870586E-2</v>
      </c>
      <c r="AD255" s="162">
        <f ca="1"/>
        <v>4.0334240737540439E-2</v>
      </c>
      <c r="AE255" s="138">
        <f ca="1"/>
        <v>8.1763658438988918E-2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3.6294841238554421E-2</v>
      </c>
      <c r="Q256" s="162">
        <f ca="1"/>
        <v>0</v>
      </c>
      <c r="R256" s="162">
        <f ca="1"/>
        <v>9.2623472674075114E-2</v>
      </c>
      <c r="S256" s="162">
        <f ca="1"/>
        <v>0</v>
      </c>
      <c r="T256" s="162">
        <f ca="1"/>
        <v>0.1236204522681007</v>
      </c>
      <c r="U256" s="162">
        <f ca="1"/>
        <v>0.16200535600091259</v>
      </c>
      <c r="V256" s="138">
        <f ca="1"/>
        <v>0.20834504655227071</v>
      </c>
      <c r="W256" s="137">
        <f ca="1"/>
        <v>0</v>
      </c>
      <c r="X256" s="162">
        <f ca="1"/>
        <v>0</v>
      </c>
      <c r="Y256" s="162">
        <f ca="1"/>
        <v>3.645544538094736E-2</v>
      </c>
      <c r="Z256" s="162">
        <f ca="1"/>
        <v>0</v>
      </c>
      <c r="AA256" s="162">
        <f ca="1"/>
        <v>9.307704753459678E-2</v>
      </c>
      <c r="AB256" s="162">
        <f ca="1"/>
        <v>0</v>
      </c>
      <c r="AC256" s="162">
        <f ca="1"/>
        <v>0.12435046434393526</v>
      </c>
      <c r="AD256" s="162">
        <f ca="1"/>
        <v>0.16298244633870695</v>
      </c>
      <c r="AE256" s="138">
        <f ca="1"/>
        <v>0.20966337256453338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2.3721809698403762E-3</v>
      </c>
      <c r="Q257" s="162">
        <f ca="1"/>
        <v>0</v>
      </c>
      <c r="R257" s="162">
        <f ca="1"/>
        <v>1.3063714791402559E-2</v>
      </c>
      <c r="S257" s="162">
        <f ca="1"/>
        <v>0</v>
      </c>
      <c r="T257" s="162">
        <f ca="1"/>
        <v>2.8574009010613799E-2</v>
      </c>
      <c r="U257" s="162">
        <f ca="1"/>
        <v>4.0678221709543494E-2</v>
      </c>
      <c r="V257" s="138">
        <f ca="1"/>
        <v>5.9068485347111732E-2</v>
      </c>
      <c r="W257" s="137">
        <f ca="1"/>
        <v>0</v>
      </c>
      <c r="X257" s="162">
        <f ca="1"/>
        <v>0</v>
      </c>
      <c r="Y257" s="162">
        <f ca="1"/>
        <v>2.5384384178370745E-3</v>
      </c>
      <c r="Z257" s="162">
        <f ca="1"/>
        <v>0</v>
      </c>
      <c r="AA257" s="162">
        <f ca="1"/>
        <v>1.355705958749176E-2</v>
      </c>
      <c r="AB257" s="162">
        <f ca="1"/>
        <v>0</v>
      </c>
      <c r="AC257" s="162">
        <f ca="1"/>
        <v>2.9383193462742652E-2</v>
      </c>
      <c r="AD257" s="162">
        <f ca="1"/>
        <v>4.1819587668667446E-2</v>
      </c>
      <c r="AE257" s="138">
        <f ca="1"/>
        <v>6.0635398414575326E-2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5.0240897216643488E-3</v>
      </c>
      <c r="Q258" s="162">
        <f ca="1"/>
        <v>0</v>
      </c>
      <c r="R258" s="162">
        <f ca="1"/>
        <v>2.2448890618265271E-2</v>
      </c>
      <c r="S258" s="162">
        <f ca="1"/>
        <v>0</v>
      </c>
      <c r="T258" s="162">
        <f ca="1"/>
        <v>6.0749098145792324E-2</v>
      </c>
      <c r="U258" s="162">
        <f ca="1"/>
        <v>0.10136921464026383</v>
      </c>
      <c r="V258" s="138">
        <f ca="1"/>
        <v>0.17155033636663997</v>
      </c>
      <c r="W258" s="137">
        <f ca="1"/>
        <v>0</v>
      </c>
      <c r="X258" s="162">
        <f ca="1"/>
        <v>0</v>
      </c>
      <c r="Y258" s="162">
        <f ca="1"/>
        <v>5.1899052217230235E-3</v>
      </c>
      <c r="Z258" s="162">
        <f ca="1"/>
        <v>0</v>
      </c>
      <c r="AA258" s="162">
        <f ca="1"/>
        <v>2.2937543999399956E-2</v>
      </c>
      <c r="AB258" s="162">
        <f ca="1"/>
        <v>0</v>
      </c>
      <c r="AC258" s="162">
        <f ca="1"/>
        <v>6.1531481192491966E-2</v>
      </c>
      <c r="AD258" s="162">
        <f ca="1"/>
        <v>0.10241700589274216</v>
      </c>
      <c r="AE258" s="138">
        <f ca="1"/>
        <v>0.17299663287226441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2.0843528101032183E-3</v>
      </c>
      <c r="Q259" s="162">
        <f ca="1"/>
        <v>0</v>
      </c>
      <c r="R259" s="162">
        <f ca="1"/>
        <v>1.3184312018600375E-2</v>
      </c>
      <c r="S259" s="162">
        <f ca="1"/>
        <v>0</v>
      </c>
      <c r="T259" s="162">
        <f ca="1"/>
        <v>3.9827895413605985E-2</v>
      </c>
      <c r="U259" s="162">
        <f ca="1"/>
        <v>6.832212366717294E-2</v>
      </c>
      <c r="V259" s="138">
        <f ca="1"/>
        <v>0.11307120408377158</v>
      </c>
      <c r="W259" s="137">
        <f ca="1"/>
        <v>0</v>
      </c>
      <c r="X259" s="162">
        <f ca="1"/>
        <v>0</v>
      </c>
      <c r="Y259" s="162">
        <f ca="1"/>
        <v>2.2506582254806506E-3</v>
      </c>
      <c r="Z259" s="162">
        <f ca="1"/>
        <v>0</v>
      </c>
      <c r="AA259" s="162">
        <f ca="1"/>
        <v>1.3677596531223801E-2</v>
      </c>
      <c r="AB259" s="162">
        <f ca="1"/>
        <v>0</v>
      </c>
      <c r="AC259" s="162">
        <f ca="1"/>
        <v>4.0627705533598069E-2</v>
      </c>
      <c r="AD259" s="162">
        <f ca="1"/>
        <v>6.9432989836690218E-2</v>
      </c>
      <c r="AE259" s="138">
        <f ca="1"/>
        <v>0.11459758314408919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1.0206169147697342E-3</v>
      </c>
      <c r="Q260" s="162">
        <f ca="1"/>
        <v>0</v>
      </c>
      <c r="R260" s="162">
        <f ca="1"/>
        <v>5.9501992075051691E-3</v>
      </c>
      <c r="S260" s="162">
        <f ca="1"/>
        <v>0</v>
      </c>
      <c r="T260" s="162">
        <f ca="1"/>
        <v>1.7281199095532607E-2</v>
      </c>
      <c r="U260" s="162">
        <f ca="1"/>
        <v>3.1719569271617898E-2</v>
      </c>
      <c r="V260" s="138">
        <f ca="1"/>
        <v>5.9762075214500276E-2</v>
      </c>
      <c r="W260" s="137">
        <f ca="1"/>
        <v>0</v>
      </c>
      <c r="X260" s="162">
        <f ca="1"/>
        <v>0</v>
      </c>
      <c r="Y260" s="162">
        <f ca="1"/>
        <v>1.187099604687325E-3</v>
      </c>
      <c r="Z260" s="162">
        <f ca="1"/>
        <v>0</v>
      </c>
      <c r="AA260" s="162">
        <f ca="1"/>
        <v>6.4470998723741291E-3</v>
      </c>
      <c r="AB260" s="162">
        <f ca="1"/>
        <v>0</v>
      </c>
      <c r="AC260" s="162">
        <f ca="1"/>
        <v>1.8099790302557706E-2</v>
      </c>
      <c r="AD260" s="162">
        <f ca="1"/>
        <v>3.287367201610536E-2</v>
      </c>
      <c r="AE260" s="138">
        <f ca="1"/>
        <v>6.1356544044274264E-2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4.5027241912577454E-3</v>
      </c>
      <c r="Q261" s="162">
        <f ca="1"/>
        <v>0</v>
      </c>
      <c r="R261" s="162">
        <f ca="1"/>
        <v>1.9763090556776275E-2</v>
      </c>
      <c r="S261" s="162">
        <f ca="1"/>
        <v>0</v>
      </c>
      <c r="T261" s="162">
        <f ca="1"/>
        <v>4.229886273043626E-2</v>
      </c>
      <c r="U261" s="162">
        <f ca="1"/>
        <v>6.5778921514821675E-2</v>
      </c>
      <c r="V261" s="138">
        <f ca="1"/>
        <v>0.1067168981032327</v>
      </c>
      <c r="W261" s="137">
        <f ca="1"/>
        <v>0</v>
      </c>
      <c r="X261" s="162">
        <f ca="1"/>
        <v>0</v>
      </c>
      <c r="Y261" s="162">
        <f ca="1"/>
        <v>4.6686265783089098E-3</v>
      </c>
      <c r="Z261" s="162">
        <f ca="1"/>
        <v>0</v>
      </c>
      <c r="AA261" s="162">
        <f ca="1"/>
        <v>2.0253086502289297E-2</v>
      </c>
      <c r="AB261" s="162">
        <f ca="1"/>
        <v>0</v>
      </c>
      <c r="AC261" s="162">
        <f ca="1"/>
        <v>4.3096614568731484E-2</v>
      </c>
      <c r="AD261" s="162">
        <f ca="1"/>
        <v>6.6890207565815873E-2</v>
      </c>
      <c r="AE261" s="138">
        <f ca="1"/>
        <v>0.108245963665628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4.3575304479320565E-2</v>
      </c>
      <c r="Q262" s="162">
        <f ca="1"/>
        <v>0</v>
      </c>
      <c r="R262" s="162">
        <f ca="1"/>
        <v>0.12026929564802091</v>
      </c>
      <c r="S262" s="162">
        <f ca="1"/>
        <v>0</v>
      </c>
      <c r="T262" s="162">
        <f ca="1"/>
        <v>0.17242283347153686</v>
      </c>
      <c r="U262" s="162">
        <f ca="1"/>
        <v>0.22220600277145253</v>
      </c>
      <c r="V262" s="138">
        <f ca="1"/>
        <v>0.28737987071043369</v>
      </c>
      <c r="W262" s="137">
        <f ca="1"/>
        <v>0</v>
      </c>
      <c r="X262" s="162">
        <f ca="1"/>
        <v>0</v>
      </c>
      <c r="Y262" s="162">
        <f ca="1"/>
        <v>4.3734695312315774E-2</v>
      </c>
      <c r="Z262" s="162">
        <f ca="1"/>
        <v>0</v>
      </c>
      <c r="AA262" s="162">
        <f ca="1"/>
        <v>0.12070905105220375</v>
      </c>
      <c r="AB262" s="162">
        <f ca="1"/>
        <v>0</v>
      </c>
      <c r="AC262" s="162">
        <f ca="1"/>
        <v>0.17311219383692011</v>
      </c>
      <c r="AD262" s="162">
        <f ca="1"/>
        <v>0.22311289997529937</v>
      </c>
      <c r="AE262" s="138">
        <f ca="1"/>
        <v>0.28856658172535821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7.8095094213136429E-3</v>
      </c>
      <c r="Q263" s="162">
        <f ca="1"/>
        <v>0</v>
      </c>
      <c r="R263" s="162">
        <f ca="1"/>
        <v>3.9995797198002059E-2</v>
      </c>
      <c r="S263" s="162">
        <f ca="1"/>
        <v>0</v>
      </c>
      <c r="T263" s="162">
        <f ca="1"/>
        <v>0.10395206200212304</v>
      </c>
      <c r="U263" s="162">
        <f ca="1"/>
        <v>0.16779368686839702</v>
      </c>
      <c r="V263" s="138">
        <f ca="1"/>
        <v>0.27955907726677764</v>
      </c>
      <c r="W263" s="137">
        <f ca="1"/>
        <v>0</v>
      </c>
      <c r="X263" s="162">
        <f ca="1"/>
        <v>0</v>
      </c>
      <c r="Y263" s="162">
        <f ca="1"/>
        <v>7.9748607233987023E-3</v>
      </c>
      <c r="Z263" s="162">
        <f ca="1"/>
        <v>0</v>
      </c>
      <c r="AA263" s="162">
        <f ca="1"/>
        <v>4.0475679318876523E-2</v>
      </c>
      <c r="AB263" s="162">
        <f ca="1"/>
        <v>0</v>
      </c>
      <c r="AC263" s="162">
        <f ca="1"/>
        <v>0.10472719442351175</v>
      </c>
      <c r="AD263" s="162">
        <f ca="1"/>
        <v>0.16880590216913194</v>
      </c>
      <c r="AE263" s="138">
        <f ca="1"/>
        <v>0.28083569495720995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2.051066515107558E-3</v>
      </c>
      <c r="P264" s="162">
        <f ca="1"/>
        <v>5.1363118147826903E-3</v>
      </c>
      <c r="Q264" s="162">
        <f ca="1"/>
        <v>1.6613979662822631E-2</v>
      </c>
      <c r="R264" s="162">
        <f ca="1"/>
        <v>3.5580393620183948E-2</v>
      </c>
      <c r="S264" s="162">
        <f ca="1"/>
        <v>6.6551397567743753E-2</v>
      </c>
      <c r="T264" s="162">
        <f ca="1"/>
        <v>0.10211001760286886</v>
      </c>
      <c r="U264" s="162">
        <f ca="1"/>
        <v>0.17547004489486906</v>
      </c>
      <c r="V264" s="138">
        <f ca="1"/>
        <v>0.27551670016538776</v>
      </c>
      <c r="W264" s="137">
        <f ca="1"/>
        <v>0</v>
      </c>
      <c r="X264" s="162">
        <f ca="1"/>
        <v>2.1441875835833679E-3</v>
      </c>
      <c r="Y264" s="162">
        <f ca="1"/>
        <v>5.3021086126933126E-3</v>
      </c>
      <c r="Z264" s="162">
        <f ca="1"/>
        <v>1.6941720376462577E-2</v>
      </c>
      <c r="AA264" s="162">
        <f ca="1"/>
        <v>3.6062482891001557E-2</v>
      </c>
      <c r="AB264" s="162">
        <f ca="1"/>
        <v>6.7173489249107599E-2</v>
      </c>
      <c r="AC264" s="162">
        <f ca="1"/>
        <v>0.10288349651025175</v>
      </c>
      <c r="AD264" s="162">
        <f ca="1"/>
        <v>0.1764827628736092</v>
      </c>
      <c r="AE264" s="138">
        <f ca="1"/>
        <v>0.27679993629177502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5.0269610238682372E-3</v>
      </c>
      <c r="P265" s="162">
        <f ca="1"/>
        <v>9.5108921792715906E-3</v>
      </c>
      <c r="Q265" s="162">
        <f ca="1"/>
        <v>2.782607104075796E-2</v>
      </c>
      <c r="R265" s="162">
        <f ca="1"/>
        <v>4.982720607458524E-2</v>
      </c>
      <c r="S265" s="162">
        <f ca="1"/>
        <v>0</v>
      </c>
      <c r="T265" s="162">
        <f ca="1"/>
        <v>0.1037387687837541</v>
      </c>
      <c r="U265" s="162">
        <f ca="1"/>
        <v>0.16852159850528114</v>
      </c>
      <c r="V265" s="138">
        <f ca="1"/>
        <v>0.2490091011722918</v>
      </c>
      <c r="W265" s="137">
        <f ca="1"/>
        <v>0</v>
      </c>
      <c r="X265" s="162">
        <f ca="1"/>
        <v>5.1197528171880169E-3</v>
      </c>
      <c r="Y265" s="162">
        <f ca="1"/>
        <v>9.6759599412136188E-3</v>
      </c>
      <c r="Z265" s="162">
        <f ca="1"/>
        <v>2.8150075013415932E-2</v>
      </c>
      <c r="AA265" s="162">
        <f ca="1"/>
        <v>5.0302173719730781E-2</v>
      </c>
      <c r="AB265" s="162">
        <f ca="1"/>
        <v>0</v>
      </c>
      <c r="AC265" s="162">
        <f ca="1"/>
        <v>0.1045106118293051</v>
      </c>
      <c r="AD265" s="162">
        <f ca="1"/>
        <v>0.16952999792285461</v>
      </c>
      <c r="AE265" s="138">
        <f ca="1"/>
        <v>0.25031274258020586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6.6270018370477857E-3</v>
      </c>
      <c r="Q266" s="162">
        <f ca="1"/>
        <v>0</v>
      </c>
      <c r="R266" s="162">
        <f ca="1"/>
        <v>4.1370045562319713E-2</v>
      </c>
      <c r="S266" s="162">
        <f ca="1"/>
        <v>0</v>
      </c>
      <c r="T266" s="162">
        <f ca="1"/>
        <v>0.10518007933860374</v>
      </c>
      <c r="U266" s="162">
        <f ca="1"/>
        <v>0.16208817724896629</v>
      </c>
      <c r="V266" s="138">
        <f ca="1"/>
        <v>0.25996849755381923</v>
      </c>
      <c r="W266" s="137">
        <f ca="1"/>
        <v>0</v>
      </c>
      <c r="X266" s="162">
        <f ca="1"/>
        <v>0</v>
      </c>
      <c r="Y266" s="162">
        <f ca="1"/>
        <v>6.7925502073455934E-3</v>
      </c>
      <c r="Z266" s="162">
        <f ca="1"/>
        <v>0</v>
      </c>
      <c r="AA266" s="162">
        <f ca="1"/>
        <v>4.1849240730727932E-2</v>
      </c>
      <c r="AB266" s="162">
        <f ca="1"/>
        <v>0</v>
      </c>
      <c r="AC266" s="162">
        <f ca="1"/>
        <v>0.10595441923377058</v>
      </c>
      <c r="AD266" s="162">
        <f ca="1"/>
        <v>0.16310395406229239</v>
      </c>
      <c r="AE266" s="138">
        <f ca="1"/>
        <v>0.26126673555828261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4.8462217526082929E-3</v>
      </c>
      <c r="Q267" s="162">
        <f ca="1"/>
        <v>0</v>
      </c>
      <c r="R267" s="162">
        <f ca="1"/>
        <v>2.579871902087949E-2</v>
      </c>
      <c r="S267" s="162">
        <f ca="1"/>
        <v>0</v>
      </c>
      <c r="T267" s="162">
        <f ca="1"/>
        <v>6.4381603398587117E-2</v>
      </c>
      <c r="U267" s="162">
        <f ca="1"/>
        <v>0.10275948759534637</v>
      </c>
      <c r="V267" s="138">
        <f ca="1"/>
        <v>0.16240014376279688</v>
      </c>
      <c r="W267" s="137">
        <f ca="1"/>
        <v>0</v>
      </c>
      <c r="X267" s="162">
        <f ca="1"/>
        <v>0</v>
      </c>
      <c r="Y267" s="162">
        <f ca="1"/>
        <v>5.012066894844236E-3</v>
      </c>
      <c r="Z267" s="162">
        <f ca="1"/>
        <v>0</v>
      </c>
      <c r="AA267" s="162">
        <f ca="1"/>
        <v>2.6285697906481942E-2</v>
      </c>
      <c r="AB267" s="162">
        <f ca="1"/>
        <v>0</v>
      </c>
      <c r="AC267" s="162">
        <f ca="1"/>
        <v>6.5160960618449448E-2</v>
      </c>
      <c r="AD267" s="162">
        <f ca="1"/>
        <v>0.10380565780853235</v>
      </c>
      <c r="AE267" s="138">
        <f ca="1"/>
        <v>0.16385228726874412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2.2680072795530082E-3</v>
      </c>
      <c r="Q268" s="162">
        <f ca="1"/>
        <v>0</v>
      </c>
      <c r="R268" s="162">
        <f ca="1"/>
        <v>2.1709156855229117E-2</v>
      </c>
      <c r="S268" s="162">
        <f ca="1"/>
        <v>0</v>
      </c>
      <c r="T268" s="162">
        <f ca="1"/>
        <v>5.0538310255418328E-2</v>
      </c>
      <c r="U268" s="162">
        <f ca="1"/>
        <v>9.238217854608588E-2</v>
      </c>
      <c r="V268" s="138">
        <f ca="1"/>
        <v>0.16466804224948428</v>
      </c>
      <c r="W268" s="137">
        <f ca="1"/>
        <v>0</v>
      </c>
      <c r="X268" s="162">
        <f ca="1"/>
        <v>0</v>
      </c>
      <c r="Y268" s="162">
        <f ca="1"/>
        <v>2.4342820884057925E-3</v>
      </c>
      <c r="Z268" s="162">
        <f ca="1"/>
        <v>0</v>
      </c>
      <c r="AA268" s="162">
        <f ca="1"/>
        <v>2.2198180010847279E-2</v>
      </c>
      <c r="AB268" s="162">
        <f ca="1"/>
        <v>0</v>
      </c>
      <c r="AC268" s="162">
        <f ca="1"/>
        <v>5.1329198747555704E-2</v>
      </c>
      <c r="AD268" s="162">
        <f ca="1"/>
        <v>9.3440448560233702E-2</v>
      </c>
      <c r="AE268" s="138">
        <f ca="1"/>
        <v>0.16612975255731632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6.5306727376623908E-4</v>
      </c>
      <c r="P269" s="162">
        <f ca="1"/>
        <v>2.4909899789414824E-3</v>
      </c>
      <c r="Q269" s="162">
        <f ca="1"/>
        <v>8.6976831091630791E-3</v>
      </c>
      <c r="R269" s="162">
        <f ca="1"/>
        <v>1.8696967062251213E-2</v>
      </c>
      <c r="S269" s="162">
        <f ca="1"/>
        <v>0</v>
      </c>
      <c r="T269" s="162">
        <f ca="1"/>
        <v>4.8261758462700421E-2</v>
      </c>
      <c r="U269" s="162">
        <f ca="1"/>
        <v>8.3872036021117924E-2</v>
      </c>
      <c r="V269" s="138">
        <f ca="1"/>
        <v>0.14536516062229077</v>
      </c>
      <c r="W269" s="137">
        <f ca="1"/>
        <v>0</v>
      </c>
      <c r="X269" s="162">
        <f ca="1"/>
        <v>7.463268945758772E-4</v>
      </c>
      <c r="Y269" s="162">
        <f ca="1"/>
        <v>2.6572276270901973E-3</v>
      </c>
      <c r="Z269" s="162">
        <f ca="1"/>
        <v>9.0280621485629986E-3</v>
      </c>
      <c r="AA269" s="162">
        <f ca="1"/>
        <v>1.9187495936267673E-2</v>
      </c>
      <c r="AB269" s="162">
        <f ca="1"/>
        <v>0</v>
      </c>
      <c r="AC269" s="162">
        <f ca="1"/>
        <v>4.9054543291077723E-2</v>
      </c>
      <c r="AD269" s="162">
        <f ca="1"/>
        <v>8.4963258261449681E-2</v>
      </c>
      <c r="AE269" s="138">
        <f ca="1"/>
        <v>0.14684764091774805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5.0751549043486222E-3</v>
      </c>
      <c r="Q270" s="162">
        <f ca="1"/>
        <v>0</v>
      </c>
      <c r="R270" s="162">
        <f ca="1"/>
        <v>5.7698026429529037E-2</v>
      </c>
      <c r="S270" s="162">
        <f ca="1"/>
        <v>0</v>
      </c>
      <c r="T270" s="162">
        <f ca="1"/>
        <v>9.4524020886483373E-2</v>
      </c>
      <c r="U270" s="162">
        <f ca="1"/>
        <v>0.12217247456484981</v>
      </c>
      <c r="V270" s="138">
        <f ca="1"/>
        <v>0.16352034643229785</v>
      </c>
      <c r="W270" s="137">
        <f ca="1"/>
        <v>0</v>
      </c>
      <c r="X270" s="162">
        <f ca="1"/>
        <v>0</v>
      </c>
      <c r="Y270" s="162">
        <f ca="1"/>
        <v>5.2409618942441671E-3</v>
      </c>
      <c r="Z270" s="162">
        <f ca="1"/>
        <v>0</v>
      </c>
      <c r="AA270" s="162">
        <f ca="1"/>
        <v>5.816905964822594E-2</v>
      </c>
      <c r="AB270" s="162">
        <f ca="1"/>
        <v>0</v>
      </c>
      <c r="AC270" s="162">
        <f ca="1"/>
        <v>9.5278269888355305E-2</v>
      </c>
      <c r="AD270" s="162">
        <f ca="1"/>
        <v>0.12319600949968634</v>
      </c>
      <c r="AE270" s="138">
        <f ca="1"/>
        <v>0.16493805191939248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3.4679992648254387E-3</v>
      </c>
      <c r="Q271" s="162">
        <f ca="1"/>
        <v>0</v>
      </c>
      <c r="R271" s="162">
        <f ca="1"/>
        <v>2.2217680243938998E-2</v>
      </c>
      <c r="S271" s="162">
        <f ca="1"/>
        <v>0</v>
      </c>
      <c r="T271" s="162">
        <f ca="1"/>
        <v>6.1429417089733596E-2</v>
      </c>
      <c r="U271" s="162">
        <f ca="1"/>
        <v>9.4961176144005566E-2</v>
      </c>
      <c r="V271" s="138">
        <f ca="1"/>
        <v>0.15363404341859022</v>
      </c>
      <c r="W271" s="137">
        <f ca="1"/>
        <v>0</v>
      </c>
      <c r="X271" s="162">
        <f ca="1"/>
        <v>0</v>
      </c>
      <c r="Y271" s="162">
        <f ca="1"/>
        <v>3.6340740916455117E-3</v>
      </c>
      <c r="Z271" s="162">
        <f ca="1"/>
        <v>0</v>
      </c>
      <c r="AA271" s="162">
        <f ca="1"/>
        <v>2.2706449201400747E-2</v>
      </c>
      <c r="AB271" s="162">
        <f ca="1"/>
        <v>0</v>
      </c>
      <c r="AC271" s="162">
        <f ca="1"/>
        <v>6.2211233440069624E-2</v>
      </c>
      <c r="AD271" s="162">
        <f ca="1"/>
        <v>9.6016439082123206E-2</v>
      </c>
      <c r="AE271" s="138">
        <f ca="1"/>
        <v>0.15510110282160261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3.5332518876834973E-3</v>
      </c>
      <c r="Q272" s="162">
        <f ca="1"/>
        <v>0</v>
      </c>
      <c r="R272" s="162">
        <f ca="1"/>
        <v>1.7986741554322005E-2</v>
      </c>
      <c r="S272" s="162">
        <f ca="1"/>
        <v>0</v>
      </c>
      <c r="T272" s="162">
        <f ca="1"/>
        <v>4.2858519689940477E-2</v>
      </c>
      <c r="U272" s="162">
        <f ca="1"/>
        <v>8.2147995514174732E-2</v>
      </c>
      <c r="V272" s="138">
        <f ca="1"/>
        <v>0.14924725076905954</v>
      </c>
      <c r="W272" s="137">
        <f ca="1"/>
        <v>0</v>
      </c>
      <c r="X272" s="162">
        <f ca="1"/>
        <v>0</v>
      </c>
      <c r="Y272" s="162">
        <f ca="1"/>
        <v>3.6993158399806214E-3</v>
      </c>
      <c r="Z272" s="162">
        <f ca="1"/>
        <v>0</v>
      </c>
      <c r="AA272" s="162">
        <f ca="1"/>
        <v>1.8477625452369417E-2</v>
      </c>
      <c r="AB272" s="162">
        <f ca="1"/>
        <v>0</v>
      </c>
      <c r="AC272" s="162">
        <f ca="1"/>
        <v>4.3655805341719645E-2</v>
      </c>
      <c r="AD272" s="162">
        <f ca="1"/>
        <v>8.3218198446309177E-2</v>
      </c>
      <c r="AE272" s="138">
        <f ca="1"/>
        <v>0.15073223152599213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3.8523996436063968E-3</v>
      </c>
      <c r="Q273" s="162">
        <f ca="1"/>
        <v>0</v>
      </c>
      <c r="R273" s="162">
        <f ca="1"/>
        <v>2.0460944779435053E-2</v>
      </c>
      <c r="S273" s="162">
        <f ca="1"/>
        <v>0</v>
      </c>
      <c r="T273" s="162">
        <f ca="1"/>
        <v>4.6989181434855865E-2</v>
      </c>
      <c r="U273" s="162">
        <f ca="1"/>
        <v>7.1786577048637779E-2</v>
      </c>
      <c r="V273" s="138">
        <f ca="1"/>
        <v>0.11792853801131198</v>
      </c>
      <c r="W273" s="137">
        <f ca="1"/>
        <v>0</v>
      </c>
      <c r="X273" s="162">
        <f ca="1"/>
        <v>0</v>
      </c>
      <c r="Y273" s="162">
        <f ca="1"/>
        <v>4.0184104090527084E-3</v>
      </c>
      <c r="Z273" s="162">
        <f ca="1"/>
        <v>0</v>
      </c>
      <c r="AA273" s="162">
        <f ca="1"/>
        <v>2.0950591885107284E-2</v>
      </c>
      <c r="AB273" s="162">
        <f ca="1"/>
        <v>0</v>
      </c>
      <c r="AC273" s="162">
        <f ca="1"/>
        <v>4.7783026302382625E-2</v>
      </c>
      <c r="AD273" s="162">
        <f ca="1"/>
        <v>7.2891257367484252E-2</v>
      </c>
      <c r="AE273" s="138">
        <f ca="1"/>
        <v>0.11944214930648578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9.328231183131086E-4</v>
      </c>
      <c r="P274" s="162">
        <f ca="1"/>
        <v>2.8417357488216277E-3</v>
      </c>
      <c r="Q274" s="162">
        <f ca="1"/>
        <v>8.3263345512917253E-3</v>
      </c>
      <c r="R274" s="162">
        <f ca="1"/>
        <v>1.6036489015610611E-2</v>
      </c>
      <c r="S274" s="162">
        <f ca="1"/>
        <v>0</v>
      </c>
      <c r="T274" s="162">
        <f ca="1"/>
        <v>4.4926686554270012E-2</v>
      </c>
      <c r="U274" s="162">
        <f ca="1"/>
        <v>7.5551705926044765E-2</v>
      </c>
      <c r="V274" s="138">
        <f ca="1"/>
        <v>0.12131288127076212</v>
      </c>
      <c r="W274" s="137">
        <f ca="1"/>
        <v>0</v>
      </c>
      <c r="X274" s="162">
        <f ca="1"/>
        <v>1.0260557337316012E-3</v>
      </c>
      <c r="Y274" s="162">
        <f ca="1"/>
        <v>3.0079149442147068E-3</v>
      </c>
      <c r="Z274" s="162">
        <f ca="1"/>
        <v>8.6568373529165576E-3</v>
      </c>
      <c r="AA274" s="162">
        <f ca="1"/>
        <v>1.6528347796164855E-2</v>
      </c>
      <c r="AB274" s="162">
        <f ca="1"/>
        <v>0</v>
      </c>
      <c r="AC274" s="162">
        <f ca="1"/>
        <v>4.5722249451586539E-2</v>
      </c>
      <c r="AD274" s="162">
        <f ca="1"/>
        <v>7.6654199821739266E-2</v>
      </c>
      <c r="AE274" s="138">
        <f ca="1"/>
        <v>0.12282480317143551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6.6146950285689288E-3</v>
      </c>
      <c r="Q275" s="162">
        <f ca="1"/>
        <v>0</v>
      </c>
      <c r="R275" s="162">
        <f ca="1"/>
        <v>3.8296393578039822E-2</v>
      </c>
      <c r="S275" s="162">
        <f ca="1"/>
        <v>0</v>
      </c>
      <c r="T275" s="162">
        <f ca="1"/>
        <v>0.12702097232640264</v>
      </c>
      <c r="U275" s="162">
        <f ca="1"/>
        <v>0.1972953218093908</v>
      </c>
      <c r="V275" s="138">
        <f ca="1"/>
        <v>0.29425896928699524</v>
      </c>
      <c r="W275" s="137">
        <f ca="1"/>
        <v>0</v>
      </c>
      <c r="X275" s="162">
        <f ca="1"/>
        <v>0</v>
      </c>
      <c r="Y275" s="162">
        <f ca="1"/>
        <v>6.7388604312003109E-3</v>
      </c>
      <c r="Z275" s="162">
        <f ca="1"/>
        <v>0</v>
      </c>
      <c r="AA275" s="162">
        <f ca="1"/>
        <v>3.865696481913905E-2</v>
      </c>
      <c r="AB275" s="162">
        <f ca="1"/>
        <v>0</v>
      </c>
      <c r="AC275" s="162">
        <f ca="1"/>
        <v>0.12759321246927569</v>
      </c>
      <c r="AD275" s="162">
        <f ca="1"/>
        <v>0.19803355896208841</v>
      </c>
      <c r="AE275" s="138">
        <f ca="1"/>
        <v>0.29519105652616151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1.7347272174887629E-2</v>
      </c>
      <c r="P276" s="162">
        <f ca="1"/>
        <v>3.2637763851329216E-2</v>
      </c>
      <c r="Q276" s="162">
        <f ca="1"/>
        <v>5.7550220132662866E-2</v>
      </c>
      <c r="R276" s="162">
        <f ca="1"/>
        <v>8.0648479691555308E-2</v>
      </c>
      <c r="S276" s="162">
        <f ca="1"/>
        <v>0</v>
      </c>
      <c r="T276" s="162">
        <f ca="1"/>
        <v>0.11786581496693249</v>
      </c>
      <c r="U276" s="162">
        <f ca="1"/>
        <v>0.16117835578053308</v>
      </c>
      <c r="V276" s="138">
        <f ca="1"/>
        <v>0.2222901996574238</v>
      </c>
      <c r="W276" s="137">
        <f ca="1"/>
        <v>0</v>
      </c>
      <c r="X276" s="162">
        <f ca="1"/>
        <v>1.7429156490318842E-2</v>
      </c>
      <c r="Y276" s="162">
        <f ca="1"/>
        <v>3.2798977455851253E-2</v>
      </c>
      <c r="Z276" s="162">
        <f ca="1"/>
        <v>5.7864317706783353E-2</v>
      </c>
      <c r="AA276" s="162">
        <f ca="1"/>
        <v>8.1108040551934213E-2</v>
      </c>
      <c r="AB276" s="162">
        <f ca="1"/>
        <v>0</v>
      </c>
      <c r="AC276" s="162">
        <f ca="1"/>
        <v>0.11860062057626486</v>
      </c>
      <c r="AD276" s="162">
        <f ca="1"/>
        <v>0.16215641038931827</v>
      </c>
      <c r="AE276" s="138">
        <f ca="1"/>
        <v>0.22358530310530134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7.9940316102218301E-3</v>
      </c>
      <c r="P277" s="162">
        <f ca="1"/>
        <v>1.5104254025386732E-2</v>
      </c>
      <c r="Q277" s="162">
        <f ca="1"/>
        <v>2.921707828467579E-2</v>
      </c>
      <c r="R277" s="162">
        <f ca="1"/>
        <v>4.45877659214301E-2</v>
      </c>
      <c r="S277" s="162">
        <f ca="1"/>
        <v>0</v>
      </c>
      <c r="T277" s="162">
        <f ca="1"/>
        <v>7.804399661031125E-2</v>
      </c>
      <c r="U277" s="162">
        <f ca="1"/>
        <v>0.10698660422792028</v>
      </c>
      <c r="V277" s="138">
        <f ca="1"/>
        <v>0.14874888169384604</v>
      </c>
      <c r="W277" s="137">
        <f ca="1"/>
        <v>0</v>
      </c>
      <c r="X277" s="162">
        <f ca="1"/>
        <v>8.0864379492638916E-3</v>
      </c>
      <c r="Y277" s="162">
        <f ca="1"/>
        <v>1.5268389638026902E-2</v>
      </c>
      <c r="Z277" s="162">
        <f ca="1"/>
        <v>2.9540618665514495E-2</v>
      </c>
      <c r="AA277" s="162">
        <f ca="1"/>
        <v>4.5065352631853628E-2</v>
      </c>
      <c r="AB277" s="162">
        <f ca="1"/>
        <v>0</v>
      </c>
      <c r="AC277" s="162">
        <f ca="1"/>
        <v>7.8811973245122457E-2</v>
      </c>
      <c r="AD277" s="162">
        <f ca="1"/>
        <v>0.10802784568073731</v>
      </c>
      <c r="AE277" s="138">
        <f ca="1"/>
        <v>0.15019480233644933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4.6665607519145169E-3</v>
      </c>
      <c r="Q278" s="162">
        <f ca="1"/>
        <v>0</v>
      </c>
      <c r="R278" s="162">
        <f ca="1"/>
        <v>2.047379530793525E-2</v>
      </c>
      <c r="S278" s="162">
        <f ca="1"/>
        <v>0</v>
      </c>
      <c r="T278" s="162">
        <f ca="1"/>
        <v>4.3803014780415372E-2</v>
      </c>
      <c r="U278" s="162">
        <f ca="1"/>
        <v>6.8101936826701515E-2</v>
      </c>
      <c r="V278" s="138">
        <f ca="1"/>
        <v>0.11040546575845467</v>
      </c>
      <c r="W278" s="137">
        <f ca="1"/>
        <v>0</v>
      </c>
      <c r="X278" s="162">
        <f ca="1"/>
        <v>0</v>
      </c>
      <c r="Y278" s="162">
        <f ca="1"/>
        <v>4.8324358351446994E-3</v>
      </c>
      <c r="Z278" s="162">
        <f ca="1"/>
        <v>0</v>
      </c>
      <c r="AA278" s="162">
        <f ca="1"/>
        <v>2.0963435989892365E-2</v>
      </c>
      <c r="AB278" s="162">
        <f ca="1"/>
        <v>0</v>
      </c>
      <c r="AC278" s="162">
        <f ca="1"/>
        <v>4.4599513680809832E-2</v>
      </c>
      <c r="AD278" s="162">
        <f ca="1"/>
        <v>6.9188517271866257E-2</v>
      </c>
      <c r="AE278" s="138">
        <f ca="1"/>
        <v>0.11193264850829654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1.1192836622428981E-3</v>
      </c>
      <c r="P279" s="162">
        <f ca="1"/>
        <v>3.0158610201663771E-3</v>
      </c>
      <c r="Q279" s="162">
        <f ca="1"/>
        <v>9.7188442781124262E-3</v>
      </c>
      <c r="R279" s="162">
        <f ca="1"/>
        <v>1.8080924661435516E-2</v>
      </c>
      <c r="S279" s="162">
        <f ca="1"/>
        <v>0</v>
      </c>
      <c r="T279" s="162">
        <f ca="1"/>
        <v>3.8463626170675114E-2</v>
      </c>
      <c r="U279" s="162">
        <f ca="1"/>
        <v>6.1888936552868201E-2</v>
      </c>
      <c r="V279" s="138">
        <f ca="1"/>
        <v>0.10506716779693492</v>
      </c>
      <c r="W279" s="137">
        <f ca="1"/>
        <v>0</v>
      </c>
      <c r="X279" s="162">
        <f ca="1"/>
        <v>1.2124980846444089E-3</v>
      </c>
      <c r="Y279" s="162">
        <f ca="1"/>
        <v>3.1820111971042619E-3</v>
      </c>
      <c r="Z279" s="162">
        <f ca="1"/>
        <v>1.0048882987178764E-2</v>
      </c>
      <c r="AA279" s="162">
        <f ca="1"/>
        <v>1.8571761479666993E-2</v>
      </c>
      <c r="AB279" s="162">
        <f ca="1"/>
        <v>0</v>
      </c>
      <c r="AC279" s="162">
        <f ca="1"/>
        <v>3.9264572708091805E-2</v>
      </c>
      <c r="AD279" s="162">
        <f ca="1"/>
        <v>6.3006365061891279E-2</v>
      </c>
      <c r="AE279" s="138">
        <f ca="1"/>
        <v>0.1066021939067181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1.0260577247127589E-3</v>
      </c>
      <c r="P280" s="162">
        <f ca="1"/>
        <v>2.6604791190438792E-3</v>
      </c>
      <c r="Q280" s="162">
        <f ca="1"/>
        <v>6.5740100343829599E-3</v>
      </c>
      <c r="R280" s="162">
        <f ca="1"/>
        <v>1.3465808224544573E-2</v>
      </c>
      <c r="S280" s="162">
        <f ca="1"/>
        <v>0</v>
      </c>
      <c r="T280" s="162">
        <f ca="1"/>
        <v>3.2775652674317257E-2</v>
      </c>
      <c r="U280" s="162">
        <f ca="1"/>
        <v>5.6674603958099867E-2</v>
      </c>
      <c r="V280" s="138">
        <f ca="1"/>
        <v>9.7777570538631675E-2</v>
      </c>
      <c r="W280" s="137">
        <f ca="1"/>
        <v>0</v>
      </c>
      <c r="X280" s="162">
        <f ca="1"/>
        <v>1.1192812628235682E-3</v>
      </c>
      <c r="Y280" s="162">
        <f ca="1"/>
        <v>2.8266885213580339E-3</v>
      </c>
      <c r="Z280" s="162">
        <f ca="1"/>
        <v>6.9050968468241658E-3</v>
      </c>
      <c r="AA280" s="162">
        <f ca="1"/>
        <v>1.3958952024210936E-2</v>
      </c>
      <c r="AB280" s="162">
        <f ca="1"/>
        <v>0</v>
      </c>
      <c r="AC280" s="162">
        <f ca="1"/>
        <v>3.3581337215236151E-2</v>
      </c>
      <c r="AD280" s="162">
        <f ca="1"/>
        <v>5.7799507997971289E-2</v>
      </c>
      <c r="AE280" s="138">
        <f ca="1"/>
        <v>9.9326342515280275E-2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1.0260577247127589E-3</v>
      </c>
      <c r="P281" s="162">
        <f ca="1"/>
        <v>2.8393662939917297E-3</v>
      </c>
      <c r="Q281" s="162">
        <f ca="1"/>
        <v>6.9190307171773657E-3</v>
      </c>
      <c r="R281" s="162">
        <f ca="1"/>
        <v>1.4506845067833063E-2</v>
      </c>
      <c r="S281" s="162">
        <f ca="1"/>
        <v>0</v>
      </c>
      <c r="T281" s="162">
        <f ca="1"/>
        <v>3.3562099796707878E-2</v>
      </c>
      <c r="U281" s="162">
        <f ca="1"/>
        <v>5.5180969408421432E-2</v>
      </c>
      <c r="V281" s="138">
        <f ca="1"/>
        <v>9.5863150567197075E-2</v>
      </c>
      <c r="W281" s="137">
        <f ca="1"/>
        <v>0</v>
      </c>
      <c r="X281" s="162">
        <f ca="1"/>
        <v>1.1192812628235682E-3</v>
      </c>
      <c r="Y281" s="162">
        <f ca="1"/>
        <v>3.0055458842506155E-3</v>
      </c>
      <c r="Z281" s="162">
        <f ca="1"/>
        <v>7.2500025419133252E-3</v>
      </c>
      <c r="AA281" s="162">
        <f ca="1"/>
        <v>1.4999468479194644E-2</v>
      </c>
      <c r="AB281" s="162">
        <f ca="1"/>
        <v>0</v>
      </c>
      <c r="AC281" s="162">
        <f ca="1"/>
        <v>3.4367129238045746E-2</v>
      </c>
      <c r="AD281" s="162">
        <f ca="1"/>
        <v>5.6307263481932712E-2</v>
      </c>
      <c r="AE281" s="138">
        <f ca="1"/>
        <v>9.7413719712986735E-2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1.6515727115337109E-3</v>
      </c>
      <c r="Q282" s="162">
        <f ca="1"/>
        <v>0</v>
      </c>
      <c r="R282" s="162">
        <f ca="1"/>
        <v>1.1713602916662458E-2</v>
      </c>
      <c r="S282" s="162">
        <f ca="1"/>
        <v>0</v>
      </c>
      <c r="T282" s="162">
        <f ca="1"/>
        <v>3.0768616630530876E-2</v>
      </c>
      <c r="U282" s="162">
        <f ca="1"/>
        <v>5.4403025286110851E-2</v>
      </c>
      <c r="V282" s="138">
        <f ca="1"/>
        <v>9.2589940413337901E-2</v>
      </c>
      <c r="W282" s="137">
        <f ca="1"/>
        <v>0</v>
      </c>
      <c r="X282" s="162">
        <f ca="1"/>
        <v>0</v>
      </c>
      <c r="Y282" s="162">
        <f ca="1"/>
        <v>1.8179502509039214E-3</v>
      </c>
      <c r="Z282" s="162">
        <f ca="1"/>
        <v>0</v>
      </c>
      <c r="AA282" s="162">
        <f ca="1"/>
        <v>1.220762259996977E-2</v>
      </c>
      <c r="AB282" s="162">
        <f ca="1"/>
        <v>0</v>
      </c>
      <c r="AC282" s="162">
        <f ca="1"/>
        <v>3.1575973004824842E-2</v>
      </c>
      <c r="AD282" s="162">
        <f ca="1"/>
        <v>5.5530382569255576E-2</v>
      </c>
      <c r="AE282" s="138">
        <f ca="1"/>
        <v>9.4101030920789031E-2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7.4632789407114153E-4</v>
      </c>
      <c r="P283" s="162">
        <f ca="1"/>
        <v>1.7727796646133109E-3</v>
      </c>
      <c r="Q283" s="162">
        <f ca="1"/>
        <v>6.6129071939128314E-3</v>
      </c>
      <c r="R283" s="162">
        <f ca="1"/>
        <v>1.2440291379717028E-2</v>
      </c>
      <c r="S283" s="162">
        <f ca="1"/>
        <v>0</v>
      </c>
      <c r="T283" s="162">
        <f ca="1"/>
        <v>3.2897461463004651E-2</v>
      </c>
      <c r="U283" s="162">
        <f ca="1"/>
        <v>5.4213983171726432E-2</v>
      </c>
      <c r="V283" s="138">
        <f ca="1"/>
        <v>9.2598879203117157E-2</v>
      </c>
      <c r="W283" s="137">
        <f ca="1"/>
        <v>0</v>
      </c>
      <c r="X283" s="162">
        <f ca="1"/>
        <v>8.3957855043315099E-4</v>
      </c>
      <c r="Y283" s="162">
        <f ca="1"/>
        <v>1.9391370044972156E-3</v>
      </c>
      <c r="Z283" s="162">
        <f ca="1"/>
        <v>6.9439810428257864E-3</v>
      </c>
      <c r="AA283" s="162">
        <f ca="1"/>
        <v>1.2933947809615431E-2</v>
      </c>
      <c r="AB283" s="162">
        <f ca="1"/>
        <v>0</v>
      </c>
      <c r="AC283" s="162">
        <f ca="1"/>
        <v>3.3703044538870075E-2</v>
      </c>
      <c r="AD283" s="162">
        <f ca="1"/>
        <v>5.5342177173401064E-2</v>
      </c>
      <c r="AE283" s="138">
        <f ca="1"/>
        <v>9.4109954824968423E-2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3.8624238834028546E-4</v>
      </c>
      <c r="O284" s="162">
        <f ca="1"/>
        <v>6.9970666254837166E-4</v>
      </c>
      <c r="P284" s="162">
        <f ca="1"/>
        <v>1.7291998647446238E-3</v>
      </c>
      <c r="Q284" s="162">
        <f ca="1"/>
        <v>4.1532289954531176E-3</v>
      </c>
      <c r="R284" s="162">
        <f ca="1"/>
        <v>8.9618144904898278E-3</v>
      </c>
      <c r="S284" s="162">
        <f ca="1"/>
        <v>1.4555555652245533E-2</v>
      </c>
      <c r="T284" s="162">
        <f ca="1"/>
        <v>2.1497186149906589E-2</v>
      </c>
      <c r="U284" s="162">
        <f ca="1"/>
        <v>4.0500769104020007E-2</v>
      </c>
      <c r="V284" s="138">
        <f ca="1"/>
        <v>7.1145620103671314E-2</v>
      </c>
      <c r="W284" s="137">
        <f ca="1"/>
        <v>4.248582723801464E-4</v>
      </c>
      <c r="X284" s="162">
        <f ca="1"/>
        <v>7.696503064633653E-4</v>
      </c>
      <c r="Y284" s="162">
        <f ca="1"/>
        <v>1.8539759160990377E-3</v>
      </c>
      <c r="Z284" s="162">
        <f ca="1"/>
        <v>4.4021595706008609E-3</v>
      </c>
      <c r="AA284" s="162">
        <f ca="1"/>
        <v>9.3333841363730796E-3</v>
      </c>
      <c r="AB284" s="162">
        <f ca="1"/>
        <v>1.504815471437948E-2</v>
      </c>
      <c r="AC284" s="162">
        <f ca="1"/>
        <v>2.2108559334540367E-2</v>
      </c>
      <c r="AD284" s="162">
        <f ca="1"/>
        <v>4.1357802430861956E-2</v>
      </c>
      <c r="AE284" s="138">
        <f ca="1"/>
        <v>7.2305962713313132E-2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1.5367222537350234E-3</v>
      </c>
      <c r="Q285" s="162">
        <f ca="1"/>
        <v>0</v>
      </c>
      <c r="R285" s="162">
        <f ca="1"/>
        <v>1.1753460171995522E-2</v>
      </c>
      <c r="S285" s="162">
        <f ca="1"/>
        <v>0</v>
      </c>
      <c r="T285" s="162">
        <f ca="1"/>
        <v>2.8079796828960002E-2</v>
      </c>
      <c r="U285" s="162">
        <f ca="1"/>
        <v>5.1509249290938364E-2</v>
      </c>
      <c r="V285" s="138">
        <f ca="1"/>
        <v>9.1688780169288497E-2</v>
      </c>
      <c r="W285" s="137">
        <f ca="1"/>
        <v>0</v>
      </c>
      <c r="X285" s="162">
        <f ca="1"/>
        <v>0</v>
      </c>
      <c r="Y285" s="162">
        <f ca="1"/>
        <v>1.7031189332513685E-3</v>
      </c>
      <c r="Z285" s="162">
        <f ca="1"/>
        <v>0</v>
      </c>
      <c r="AA285" s="162">
        <f ca="1"/>
        <v>1.2247459931680749E-2</v>
      </c>
      <c r="AB285" s="162">
        <f ca="1"/>
        <v>0</v>
      </c>
      <c r="AC285" s="162">
        <f ca="1"/>
        <v>2.8889392953022286E-2</v>
      </c>
      <c r="AD285" s="162">
        <f ca="1"/>
        <v>5.2639703151741157E-2</v>
      </c>
      <c r="AE285" s="138">
        <f ca="1"/>
        <v>9.3248423079643761E-2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5.5979797977889767E-4</v>
      </c>
      <c r="P286" s="162">
        <f ca="1"/>
        <v>1.4193698277626954E-3</v>
      </c>
      <c r="Q286" s="162">
        <f ca="1"/>
        <v>4.5196510076163099E-3</v>
      </c>
      <c r="R286" s="162">
        <f ca="1"/>
        <v>9.8922496562401374E-3</v>
      </c>
      <c r="S286" s="162">
        <f ca="1"/>
        <v>0</v>
      </c>
      <c r="T286" s="162">
        <f ca="1"/>
        <v>2.6962666006573155E-2</v>
      </c>
      <c r="U286" s="162">
        <f ca="1"/>
        <v>4.8733314773611647E-2</v>
      </c>
      <c r="V286" s="138">
        <f ca="1"/>
        <v>8.6896966457228331E-2</v>
      </c>
      <c r="W286" s="137">
        <f ca="1"/>
        <v>0</v>
      </c>
      <c r="X286" s="162">
        <f ca="1"/>
        <v>6.5306652814611788E-4</v>
      </c>
      <c r="Y286" s="162">
        <f ca="1"/>
        <v>1.5857860643807564E-3</v>
      </c>
      <c r="Z286" s="162">
        <f ca="1"/>
        <v>4.8514224923028593E-3</v>
      </c>
      <c r="AA286" s="162">
        <f ca="1"/>
        <v>1.0387179788550194E-2</v>
      </c>
      <c r="AB286" s="162">
        <f ca="1"/>
        <v>0</v>
      </c>
      <c r="AC286" s="162">
        <f ca="1"/>
        <v>2.7773192685216275E-2</v>
      </c>
      <c r="AD286" s="162">
        <f ca="1"/>
        <v>4.9868491673633497E-2</v>
      </c>
      <c r="AE286" s="138">
        <f ca="1"/>
        <v>8.8442649717687338E-2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4.6652001085500938E-4</v>
      </c>
      <c r="P287" s="162">
        <f ca="1"/>
        <v>1.2426179985509656E-3</v>
      </c>
      <c r="Q287" s="162">
        <f ca="1"/>
        <v>4.5282092173726252E-3</v>
      </c>
      <c r="R287" s="162">
        <f ca="1"/>
        <v>8.8336287392694057E-3</v>
      </c>
      <c r="S287" s="162">
        <f ca="1"/>
        <v>0</v>
      </c>
      <c r="T287" s="162">
        <f ca="1"/>
        <v>2.5258946505637869E-2</v>
      </c>
      <c r="U287" s="162">
        <f ca="1"/>
        <v>4.7714125506950089E-2</v>
      </c>
      <c r="V287" s="138">
        <f ca="1"/>
        <v>8.544997647814212E-2</v>
      </c>
      <c r="W287" s="137">
        <f ca="1"/>
        <v>0</v>
      </c>
      <c r="X287" s="162">
        <f ca="1"/>
        <v>5.5979745032941342E-4</v>
      </c>
      <c r="Y287" s="162">
        <f ca="1"/>
        <v>1.4090636913586252E-3</v>
      </c>
      <c r="Z287" s="162">
        <f ca="1"/>
        <v>4.8599778497708801E-3</v>
      </c>
      <c r="AA287" s="162">
        <f ca="1"/>
        <v>9.3290880497394202E-3</v>
      </c>
      <c r="AB287" s="162">
        <f ca="1"/>
        <v>0</v>
      </c>
      <c r="AC287" s="162">
        <f ca="1"/>
        <v>2.6070892359138287E-2</v>
      </c>
      <c r="AD287" s="162">
        <f ca="1"/>
        <v>4.8850667504215406E-2</v>
      </c>
      <c r="AE287" s="138">
        <f ca="1"/>
        <v>8.6999107497740091E-2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6.5306727376623908E-4</v>
      </c>
      <c r="P288" s="162">
        <f ca="1"/>
        <v>1.4170656137364457E-3</v>
      </c>
      <c r="Q288" s="162">
        <f ca="1"/>
        <v>4.5173091633280427E-3</v>
      </c>
      <c r="R288" s="162">
        <f ca="1"/>
        <v>1.0423361909355777E-2</v>
      </c>
      <c r="S288" s="162">
        <f ca="1"/>
        <v>0</v>
      </c>
      <c r="T288" s="162">
        <f ca="1"/>
        <v>2.8710505275669762E-2</v>
      </c>
      <c r="U288" s="162">
        <f ca="1"/>
        <v>4.8500831082113782E-2</v>
      </c>
      <c r="V288" s="138">
        <f ca="1"/>
        <v>8.4750964460917899E-2</v>
      </c>
      <c r="W288" s="137">
        <f ca="1"/>
        <v>0</v>
      </c>
      <c r="X288" s="162">
        <f ca="1"/>
        <v>7.463268945758772E-4</v>
      </c>
      <c r="Y288" s="162">
        <f ca="1"/>
        <v>1.583482234355893E-3</v>
      </c>
      <c r="Z288" s="162">
        <f ca="1"/>
        <v>4.8490814284765094E-3</v>
      </c>
      <c r="AA288" s="162">
        <f ca="1"/>
        <v>1.0918026551954063E-2</v>
      </c>
      <c r="AB288" s="162">
        <f ca="1"/>
        <v>0</v>
      </c>
      <c r="AC288" s="162">
        <f ca="1"/>
        <v>2.9519576028328443E-2</v>
      </c>
      <c r="AD288" s="162">
        <f ca="1"/>
        <v>4.963618485684107E-2</v>
      </c>
      <c r="AE288" s="138">
        <f ca="1"/>
        <v>8.6300256873269809E-2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9.7288147740470787E-4</v>
      </c>
      <c r="Q289" s="162">
        <f ca="1"/>
        <v>0</v>
      </c>
      <c r="R289" s="162">
        <f ca="1"/>
        <v>8.8252663785934882E-3</v>
      </c>
      <c r="S289" s="162">
        <f ca="1"/>
        <v>0</v>
      </c>
      <c r="T289" s="162">
        <f ca="1"/>
        <v>2.394734699125034E-2</v>
      </c>
      <c r="U289" s="162">
        <f ca="1"/>
        <v>4.8087707608302055E-2</v>
      </c>
      <c r="V289" s="138">
        <f ca="1"/>
        <v>8.8196622301439653E-2</v>
      </c>
      <c r="W289" s="137">
        <f ca="1"/>
        <v>0</v>
      </c>
      <c r="X289" s="162">
        <f ca="1"/>
        <v>0</v>
      </c>
      <c r="Y289" s="162">
        <f ca="1"/>
        <v>1.1393721225682052E-3</v>
      </c>
      <c r="Z289" s="162">
        <f ca="1"/>
        <v>0</v>
      </c>
      <c r="AA289" s="162">
        <f ca="1"/>
        <v>9.3207298692019602E-3</v>
      </c>
      <c r="AB289" s="162">
        <f ca="1"/>
        <v>0</v>
      </c>
      <c r="AC289" s="162">
        <f ca="1"/>
        <v>2.4760385389077655E-2</v>
      </c>
      <c r="AD289" s="162">
        <f ca="1"/>
        <v>4.9222996782884443E-2</v>
      </c>
      <c r="AE289" s="138">
        <f ca="1"/>
        <v>8.9764163731973157E-2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6.5306727376623908E-4</v>
      </c>
      <c r="P290" s="162">
        <f ca="1"/>
        <v>1.596090381297377E-3</v>
      </c>
      <c r="Q290" s="162">
        <f ca="1"/>
        <v>4.5110940434365254E-3</v>
      </c>
      <c r="R290" s="162">
        <f ca="1"/>
        <v>9.3499679941700942E-3</v>
      </c>
      <c r="S290" s="162">
        <f ca="1"/>
        <v>0</v>
      </c>
      <c r="T290" s="162">
        <f ca="1"/>
        <v>2.5201686088562436E-2</v>
      </c>
      <c r="U290" s="162">
        <f ca="1"/>
        <v>4.3757428312701241E-2</v>
      </c>
      <c r="V290" s="138">
        <f ca="1"/>
        <v>7.6354474825227392E-2</v>
      </c>
      <c r="W290" s="137">
        <f ca="1"/>
        <v>0</v>
      </c>
      <c r="X290" s="162">
        <f ca="1"/>
        <v>7.463268945758772E-4</v>
      </c>
      <c r="Y290" s="162">
        <f ca="1"/>
        <v>1.7624771669564332E-3</v>
      </c>
      <c r="Z290" s="162">
        <f ca="1"/>
        <v>4.8428683799747185E-3</v>
      </c>
      <c r="AA290" s="162">
        <f ca="1"/>
        <v>9.8451691995457002E-3</v>
      </c>
      <c r="AB290" s="162">
        <f ca="1"/>
        <v>0</v>
      </c>
      <c r="AC290" s="162">
        <f ca="1"/>
        <v>2.6013679639222409E-2</v>
      </c>
      <c r="AD290" s="162">
        <f ca="1"/>
        <v>4.4898056743772119E-2</v>
      </c>
      <c r="AE290" s="138">
        <f ca="1"/>
        <v>7.7919837691734717E-2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5.5979797977889767E-4</v>
      </c>
      <c r="P291" s="162">
        <f ca="1"/>
        <v>1.240321857156057E-3</v>
      </c>
      <c r="Q291" s="162">
        <f ca="1"/>
        <v>4.1738504706149149E-3</v>
      </c>
      <c r="R291" s="162">
        <f ca="1"/>
        <v>9.381433823375529E-3</v>
      </c>
      <c r="S291" s="162">
        <f ca="1"/>
        <v>0</v>
      </c>
      <c r="T291" s="162">
        <f ca="1"/>
        <v>2.4337814252611722E-2</v>
      </c>
      <c r="U291" s="162">
        <f ca="1"/>
        <v>4.2583463894345752E-2</v>
      </c>
      <c r="V291" s="138">
        <f ca="1"/>
        <v>7.6663935700717389E-2</v>
      </c>
      <c r="W291" s="137">
        <f ca="1"/>
        <v>0</v>
      </c>
      <c r="X291" s="162">
        <f ca="1"/>
        <v>6.5306652814611788E-4</v>
      </c>
      <c r="Y291" s="162">
        <f ca="1"/>
        <v>1.4067679326249527E-3</v>
      </c>
      <c r="Z291" s="162">
        <f ca="1"/>
        <v>4.5057372029347897E-3</v>
      </c>
      <c r="AA291" s="162">
        <f ca="1"/>
        <v>9.8766192997818969E-3</v>
      </c>
      <c r="AB291" s="162">
        <f ca="1"/>
        <v>0</v>
      </c>
      <c r="AC291" s="162">
        <f ca="1"/>
        <v>2.5150527396572975E-2</v>
      </c>
      <c r="AD291" s="162">
        <f ca="1"/>
        <v>4.3725459758955809E-2</v>
      </c>
      <c r="AE291" s="138">
        <f ca="1"/>
        <v>7.8228504836175161E-2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5.3818450026592801E-2</v>
      </c>
      <c r="Q292" s="162">
        <f ca="1"/>
        <v>0</v>
      </c>
      <c r="R292" s="162">
        <f ca="1"/>
        <v>0.10810739097473065</v>
      </c>
      <c r="S292" s="162">
        <f ca="1"/>
        <v>0</v>
      </c>
      <c r="T292" s="162">
        <f ca="1"/>
        <v>0.14381914826839592</v>
      </c>
      <c r="U292" s="162">
        <f ca="1"/>
        <v>0.17729263170088461</v>
      </c>
      <c r="V292" s="138">
        <f ca="1"/>
        <v>0.22949474817640747</v>
      </c>
      <c r="W292" s="137">
        <f ca="1"/>
        <v>0</v>
      </c>
      <c r="X292" s="162">
        <f ca="1"/>
        <v>0</v>
      </c>
      <c r="Y292" s="162">
        <f ca="1"/>
        <v>5.3976133810894833E-2</v>
      </c>
      <c r="Z292" s="162">
        <f ca="1"/>
        <v>0</v>
      </c>
      <c r="AA292" s="162">
        <f ca="1"/>
        <v>0.10855322581122739</v>
      </c>
      <c r="AB292" s="162">
        <f ca="1"/>
        <v>0</v>
      </c>
      <c r="AC292" s="162">
        <f ca="1"/>
        <v>0.14453233510902108</v>
      </c>
      <c r="AD292" s="162">
        <f ca="1"/>
        <v>0.17825189728352808</v>
      </c>
      <c r="AE292" s="138">
        <f ca="1"/>
        <v>0.23077785404420725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4.2373512969092753E-3</v>
      </c>
      <c r="P293" s="162">
        <f ca="1"/>
        <v>1.0032048658532577E-2</v>
      </c>
      <c r="Q293" s="162">
        <f ca="1"/>
        <v>2.7308900851374496E-2</v>
      </c>
      <c r="R293" s="162">
        <f ca="1"/>
        <v>4.9965794038643763E-2</v>
      </c>
      <c r="S293" s="162">
        <f ca="1"/>
        <v>0</v>
      </c>
      <c r="T293" s="162">
        <f ca="1"/>
        <v>0.10376417057170173</v>
      </c>
      <c r="U293" s="162">
        <f ca="1"/>
        <v>0.14669925980591703</v>
      </c>
      <c r="V293" s="138">
        <f ca="1"/>
        <v>0.20960437672570953</v>
      </c>
      <c r="W293" s="137">
        <f ca="1"/>
        <v>0</v>
      </c>
      <c r="X293" s="162">
        <f ca="1"/>
        <v>4.3302355204887233E-3</v>
      </c>
      <c r="Y293" s="162">
        <f ca="1"/>
        <v>1.0197029568303262E-2</v>
      </c>
      <c r="Z293" s="162">
        <f ca="1"/>
        <v>2.7633077185348021E-2</v>
      </c>
      <c r="AA293" s="162">
        <f ca="1"/>
        <v>5.0440692407144438E-2</v>
      </c>
      <c r="AB293" s="162">
        <f ca="1"/>
        <v>0</v>
      </c>
      <c r="AC293" s="162">
        <f ca="1"/>
        <v>0.10453607187178204</v>
      </c>
      <c r="AD293" s="162">
        <f ca="1"/>
        <v>0.14772336938767217</v>
      </c>
      <c r="AE293" s="138">
        <f ca="1"/>
        <v>0.21095713865848442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9.4447791824692207E-4</v>
      </c>
      <c r="P294" s="162">
        <f ca="1"/>
        <v>3.0918666045469667E-3</v>
      </c>
      <c r="Q294" s="162">
        <f ca="1"/>
        <v>1.0027804724630052E-2</v>
      </c>
      <c r="R294" s="162">
        <f ca="1"/>
        <v>2.074793386236673E-2</v>
      </c>
      <c r="S294" s="162">
        <f ca="1"/>
        <v>0</v>
      </c>
      <c r="T294" s="162">
        <f ca="1"/>
        <v>4.6216698815592983E-2</v>
      </c>
      <c r="U294" s="162">
        <f ca="1"/>
        <v>7.1031043657848736E-2</v>
      </c>
      <c r="V294" s="138">
        <f ca="1"/>
        <v>0.10507069452836382</v>
      </c>
      <c r="W294" s="137">
        <f ca="1"/>
        <v>0</v>
      </c>
      <c r="X294" s="162">
        <f ca="1"/>
        <v>1.0144019307646301E-3</v>
      </c>
      <c r="Y294" s="162">
        <f ca="1"/>
        <v>3.2164723332052114E-3</v>
      </c>
      <c r="Z294" s="162">
        <f ca="1"/>
        <v>1.0275266839412156E-2</v>
      </c>
      <c r="AA294" s="162">
        <f ca="1"/>
        <v>2.111508454211497E-2</v>
      </c>
      <c r="AB294" s="162">
        <f ca="1"/>
        <v>0</v>
      </c>
      <c r="AC294" s="162">
        <f ca="1"/>
        <v>4.6812627131839313E-2</v>
      </c>
      <c r="AD294" s="162">
        <f ca="1"/>
        <v>7.1859794635476648E-2</v>
      </c>
      <c r="AE294" s="138">
        <f ca="1"/>
        <v>0.1061886572879509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5.3181550002512346E-4</v>
      </c>
      <c r="P295" s="162">
        <f ca="1"/>
        <v>2.2077054515718952E-3</v>
      </c>
      <c r="Q295" s="162">
        <f ca="1"/>
        <v>6.7789195304158723E-3</v>
      </c>
      <c r="R295" s="162">
        <f ca="1"/>
        <v>1.3859799055584654E-2</v>
      </c>
      <c r="S295" s="162">
        <f ca="1"/>
        <v>0</v>
      </c>
      <c r="T295" s="162">
        <f ca="1"/>
        <v>3.4552413270195981E-2</v>
      </c>
      <c r="U295" s="162">
        <f ca="1"/>
        <v>5.9184215812680852E-2</v>
      </c>
      <c r="V295" s="138">
        <f ca="1"/>
        <v>0.10834751911930884</v>
      </c>
      <c r="W295" s="137">
        <f ca="1"/>
        <v>0</v>
      </c>
      <c r="X295" s="162">
        <f ca="1"/>
        <v>6.2508671953698247E-4</v>
      </c>
      <c r="Y295" s="162">
        <f ca="1"/>
        <v>2.3739903098685122E-3</v>
      </c>
      <c r="Z295" s="162">
        <f ca="1"/>
        <v>7.1099380510973864E-3</v>
      </c>
      <c r="AA295" s="162">
        <f ca="1"/>
        <v>1.4352745909080422E-2</v>
      </c>
      <c r="AB295" s="162">
        <f ca="1"/>
        <v>0</v>
      </c>
      <c r="AC295" s="162">
        <f ca="1"/>
        <v>3.5356617794065626E-2</v>
      </c>
      <c r="AD295" s="162">
        <f ca="1"/>
        <v>6.0306367235354208E-2</v>
      </c>
      <c r="AE295" s="138">
        <f ca="1"/>
        <v>0.10988381866976005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1.1390617414384074E-3</v>
      </c>
      <c r="Q296" s="162">
        <f ca="1"/>
        <v>0</v>
      </c>
      <c r="R296" s="162">
        <f ca="1"/>
        <v>1.2605693680291297E-2</v>
      </c>
      <c r="S296" s="162">
        <f ca="1"/>
        <v>0</v>
      </c>
      <c r="T296" s="162">
        <f ca="1"/>
        <v>2.8918216614501446E-2</v>
      </c>
      <c r="U296" s="162">
        <f ca="1"/>
        <v>5.3176942396046645E-2</v>
      </c>
      <c r="V296" s="138">
        <f ca="1"/>
        <v>9.2760076746267073E-2</v>
      </c>
      <c r="W296" s="137">
        <f ca="1"/>
        <v>0</v>
      </c>
      <c r="X296" s="162">
        <f ca="1"/>
        <v>0</v>
      </c>
      <c r="Y296" s="162">
        <f ca="1"/>
        <v>1.3055246921915842E-3</v>
      </c>
      <c r="Z296" s="162">
        <f ca="1"/>
        <v>0</v>
      </c>
      <c r="AA296" s="162">
        <f ca="1"/>
        <v>1.3099267429748762E-2</v>
      </c>
      <c r="AB296" s="162">
        <f ca="1"/>
        <v>0</v>
      </c>
      <c r="AC296" s="162">
        <f ca="1"/>
        <v>2.9727114346424499E-2</v>
      </c>
      <c r="AD296" s="162">
        <f ca="1"/>
        <v>5.4305310785471517E-2</v>
      </c>
      <c r="AE296" s="138">
        <f ca="1"/>
        <v>9.4317483529975266E-2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1.1037065359478238E-3</v>
      </c>
      <c r="Q297" s="162">
        <f ca="1"/>
        <v>0</v>
      </c>
      <c r="R297" s="162">
        <f ca="1"/>
        <v>1.0900674163880297E-2</v>
      </c>
      <c r="S297" s="162">
        <f ca="1"/>
        <v>0</v>
      </c>
      <c r="T297" s="162">
        <f ca="1"/>
        <v>2.2360985450657456E-2</v>
      </c>
      <c r="U297" s="162">
        <f ca="1"/>
        <v>4.4056327047759969E-2</v>
      </c>
      <c r="V297" s="138">
        <f ca="1"/>
        <v>8.093414252700315E-2</v>
      </c>
      <c r="W297" s="137">
        <f ca="1"/>
        <v>0</v>
      </c>
      <c r="X297" s="162">
        <f ca="1"/>
        <v>0</v>
      </c>
      <c r="Y297" s="162">
        <f ca="1"/>
        <v>1.2701753787239811E-3</v>
      </c>
      <c r="Z297" s="162">
        <f ca="1"/>
        <v>0</v>
      </c>
      <c r="AA297" s="162">
        <f ca="1"/>
        <v>1.1395100209991793E-2</v>
      </c>
      <c r="AB297" s="162">
        <f ca="1"/>
        <v>0</v>
      </c>
      <c r="AC297" s="162">
        <f ca="1"/>
        <v>2.3175345265754932E-2</v>
      </c>
      <c r="AD297" s="162">
        <f ca="1"/>
        <v>4.5195321476292238E-2</v>
      </c>
      <c r="AE297" s="138">
        <f ca="1"/>
        <v>8.2464643184574471E-2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2.1214395870572389E-3</v>
      </c>
      <c r="Q298" s="162">
        <f ca="1"/>
        <v>0</v>
      </c>
      <c r="R298" s="162">
        <f ca="1"/>
        <v>1.0303907005605462E-2</v>
      </c>
      <c r="S298" s="162">
        <f ca="1"/>
        <v>0</v>
      </c>
      <c r="T298" s="162">
        <f ca="1"/>
        <v>2.5941167200853932E-2</v>
      </c>
      <c r="U298" s="162">
        <f ca="1"/>
        <v>4.8869474910353761E-2</v>
      </c>
      <c r="V298" s="138">
        <f ca="1"/>
        <v>9.7205814385226907E-2</v>
      </c>
      <c r="W298" s="137">
        <f ca="1"/>
        <v>0</v>
      </c>
      <c r="X298" s="162">
        <f ca="1"/>
        <v>0</v>
      </c>
      <c r="Y298" s="162">
        <f ca="1"/>
        <v>2.2877388217946715E-3</v>
      </c>
      <c r="Z298" s="162">
        <f ca="1"/>
        <v>0</v>
      </c>
      <c r="AA298" s="162">
        <f ca="1"/>
        <v>1.0798631360683153E-2</v>
      </c>
      <c r="AB298" s="162">
        <f ca="1"/>
        <v>0</v>
      </c>
      <c r="AC298" s="162">
        <f ca="1"/>
        <v>2.6752544773923859E-2</v>
      </c>
      <c r="AD298" s="162">
        <f ca="1"/>
        <v>5.0003140840789051E-2</v>
      </c>
      <c r="AE298" s="138">
        <f ca="1"/>
        <v>9.8762039898416032E-2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2.1214395870572389E-3</v>
      </c>
      <c r="Q299" s="162">
        <f ca="1"/>
        <v>0</v>
      </c>
      <c r="R299" s="162">
        <f ca="1"/>
        <v>1.0303907005605462E-2</v>
      </c>
      <c r="S299" s="162">
        <f ca="1"/>
        <v>0</v>
      </c>
      <c r="T299" s="162">
        <f ca="1"/>
        <v>2.5941167200853932E-2</v>
      </c>
      <c r="U299" s="162">
        <f ca="1"/>
        <v>4.8869474910353761E-2</v>
      </c>
      <c r="V299" s="138">
        <f ca="1"/>
        <v>9.7205814385226907E-2</v>
      </c>
      <c r="W299" s="137">
        <f ca="1"/>
        <v>0</v>
      </c>
      <c r="X299" s="162">
        <f ca="1"/>
        <v>0</v>
      </c>
      <c r="Y299" s="162">
        <f ca="1"/>
        <v>2.2877388217946715E-3</v>
      </c>
      <c r="Z299" s="162">
        <f ca="1"/>
        <v>0</v>
      </c>
      <c r="AA299" s="162">
        <f ca="1"/>
        <v>1.0798631360683153E-2</v>
      </c>
      <c r="AB299" s="162">
        <f ca="1"/>
        <v>0</v>
      </c>
      <c r="AC299" s="162">
        <f ca="1"/>
        <v>2.6752544773923859E-2</v>
      </c>
      <c r="AD299" s="162">
        <f ca="1"/>
        <v>5.0003140840789051E-2</v>
      </c>
      <c r="AE299" s="138">
        <f ca="1"/>
        <v>9.8762039898416032E-2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8.6325820199362191E-4</v>
      </c>
      <c r="Q300" s="162">
        <f ca="1"/>
        <v>0</v>
      </c>
      <c r="R300" s="162">
        <f ca="1"/>
        <v>1.0136971614138068E-2</v>
      </c>
      <c r="S300" s="162">
        <f ca="1"/>
        <v>0</v>
      </c>
      <c r="T300" s="162">
        <f ca="1"/>
        <v>2.2913790413173429E-2</v>
      </c>
      <c r="U300" s="162">
        <f ca="1"/>
        <v>4.3447600574978873E-2</v>
      </c>
      <c r="V300" s="138">
        <f ca="1"/>
        <v>8.0109169794051582E-2</v>
      </c>
      <c r="W300" s="137">
        <f ca="1"/>
        <v>0</v>
      </c>
      <c r="X300" s="162">
        <f ca="1"/>
        <v>0</v>
      </c>
      <c r="Y300" s="162">
        <f ca="1"/>
        <v>1.0297671161692001E-3</v>
      </c>
      <c r="Z300" s="162">
        <f ca="1"/>
        <v>0</v>
      </c>
      <c r="AA300" s="162">
        <f ca="1"/>
        <v>1.0631779416059972E-2</v>
      </c>
      <c r="AB300" s="162">
        <f ca="1"/>
        <v>0</v>
      </c>
      <c r="AC300" s="162">
        <f ca="1"/>
        <v>2.3727689749301506E-2</v>
      </c>
      <c r="AD300" s="162">
        <f ca="1"/>
        <v>4.4587732567864524E-2</v>
      </c>
      <c r="AE300" s="138">
        <f ca="1"/>
        <v>8.1641044261107187E-2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1.2769351784598371E-3</v>
      </c>
      <c r="Q301" s="162">
        <f ca="1"/>
        <v>0</v>
      </c>
      <c r="R301" s="162">
        <f ca="1"/>
        <v>9.246127866035847E-3</v>
      </c>
      <c r="S301" s="162">
        <f ca="1"/>
        <v>0</v>
      </c>
      <c r="T301" s="162">
        <f ca="1"/>
        <v>2.207394572161181E-2</v>
      </c>
      <c r="U301" s="162">
        <f ca="1"/>
        <v>4.258842453524414E-2</v>
      </c>
      <c r="V301" s="138">
        <f ca="1"/>
        <v>7.6314435238083345E-2</v>
      </c>
      <c r="W301" s="137">
        <f ca="1"/>
        <v>0</v>
      </c>
      <c r="X301" s="162">
        <f ca="1"/>
        <v>0</v>
      </c>
      <c r="Y301" s="162">
        <f ca="1"/>
        <v>1.4433751522234806E-3</v>
      </c>
      <c r="Z301" s="162">
        <f ca="1"/>
        <v>0</v>
      </c>
      <c r="AA301" s="162">
        <f ca="1"/>
        <v>9.7413809784767658E-3</v>
      </c>
      <c r="AB301" s="162">
        <f ca="1"/>
        <v>0</v>
      </c>
      <c r="AC301" s="162">
        <f ca="1"/>
        <v>2.2888544636841091E-2</v>
      </c>
      <c r="AD301" s="162">
        <f ca="1"/>
        <v>4.3729663973854804E-2</v>
      </c>
      <c r="AE301" s="138">
        <f ca="1"/>
        <v>7.7878377335363291E-2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5.5979797977889767E-4</v>
      </c>
      <c r="P302" s="162">
        <f ca="1"/>
        <v>1.0612589302813058E-3</v>
      </c>
      <c r="Q302" s="162">
        <f ca="1"/>
        <v>4.1800444263815351E-3</v>
      </c>
      <c r="R302" s="162">
        <f ca="1"/>
        <v>9.3877453170460035E-3</v>
      </c>
      <c r="S302" s="162">
        <f ca="1"/>
        <v>0</v>
      </c>
      <c r="T302" s="162">
        <f ca="1"/>
        <v>2.5240656326252053E-2</v>
      </c>
      <c r="U302" s="162">
        <f ca="1"/>
        <v>4.2496528366421149E-2</v>
      </c>
      <c r="V302" s="138">
        <f ca="1"/>
        <v>7.8497036414646781E-2</v>
      </c>
      <c r="W302" s="137">
        <f ca="1"/>
        <v>0</v>
      </c>
      <c r="X302" s="162">
        <f ca="1"/>
        <v>6.5306652814611788E-4</v>
      </c>
      <c r="Y302" s="162">
        <f ca="1"/>
        <v>1.2277348470804972E-3</v>
      </c>
      <c r="Z302" s="162">
        <f ca="1"/>
        <v>4.5119290943937962E-3</v>
      </c>
      <c r="AA302" s="162">
        <f ca="1"/>
        <v>9.8829276384826414E-3</v>
      </c>
      <c r="AB302" s="162">
        <f ca="1"/>
        <v>0</v>
      </c>
      <c r="AC302" s="162">
        <f ca="1"/>
        <v>2.6052617415191937E-2</v>
      </c>
      <c r="AD302" s="162">
        <f ca="1"/>
        <v>4.363862960909215E-2</v>
      </c>
      <c r="AE302" s="138">
        <f ca="1"/>
        <v>8.0057453856963501E-2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1.153203475951381E-3</v>
      </c>
      <c r="Q303" s="162">
        <f ca="1"/>
        <v>0</v>
      </c>
      <c r="R303" s="162">
        <f ca="1"/>
        <v>9.672374188156696E-3</v>
      </c>
      <c r="S303" s="162">
        <f ca="1"/>
        <v>0</v>
      </c>
      <c r="T303" s="162">
        <f ca="1"/>
        <v>2.3390199936751066E-2</v>
      </c>
      <c r="U303" s="162">
        <f ca="1"/>
        <v>4.127008956772682E-2</v>
      </c>
      <c r="V303" s="138">
        <f ca="1"/>
        <v>7.0091391963621463E-2</v>
      </c>
      <c r="W303" s="137">
        <f ca="1"/>
        <v>0</v>
      </c>
      <c r="X303" s="162">
        <f ca="1"/>
        <v>0</v>
      </c>
      <c r="Y303" s="162">
        <f ca="1"/>
        <v>1.3196640699190132E-3</v>
      </c>
      <c r="Z303" s="162">
        <f ca="1"/>
        <v>0</v>
      </c>
      <c r="AA303" s="162">
        <f ca="1"/>
        <v>1.0167414230709881E-2</v>
      </c>
      <c r="AB303" s="162">
        <f ca="1"/>
        <v>0</v>
      </c>
      <c r="AC303" s="162">
        <f ca="1"/>
        <v>2.4203702430353191E-2</v>
      </c>
      <c r="AD303" s="162">
        <f ca="1"/>
        <v>4.2412737695390446E-2</v>
      </c>
      <c r="AE303" s="138">
        <f ca="1"/>
        <v>7.166659640773887E-2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4.6652001085500938E-4</v>
      </c>
      <c r="P304" s="162">
        <f ca="1"/>
        <v>8.844606846132308E-4</v>
      </c>
      <c r="Q304" s="162">
        <f ca="1"/>
        <v>3.4842594024667717E-3</v>
      </c>
      <c r="R304" s="162">
        <f ca="1"/>
        <v>7.8273142339334578E-3</v>
      </c>
      <c r="S304" s="162">
        <f ca="1"/>
        <v>0</v>
      </c>
      <c r="T304" s="162">
        <f ca="1"/>
        <v>2.2710147814757886E-2</v>
      </c>
      <c r="U304" s="162">
        <f ca="1"/>
        <v>4.033465938208336E-2</v>
      </c>
      <c r="V304" s="138">
        <f ca="1"/>
        <v>6.9686661514969828E-2</v>
      </c>
      <c r="W304" s="137">
        <f ca="1"/>
        <v>0</v>
      </c>
      <c r="X304" s="162">
        <f ca="1"/>
        <v>5.5979745032941342E-4</v>
      </c>
      <c r="Y304" s="162">
        <f ca="1"/>
        <v>1.0509660653243991E-3</v>
      </c>
      <c r="Z304" s="162">
        <f ca="1"/>
        <v>3.8163759601550495E-3</v>
      </c>
      <c r="AA304" s="162">
        <f ca="1"/>
        <v>8.3232765759023719E-3</v>
      </c>
      <c r="AB304" s="162">
        <f ca="1"/>
        <v>0</v>
      </c>
      <c r="AC304" s="162">
        <f ca="1"/>
        <v>2.3524216782432217E-2</v>
      </c>
      <c r="AD304" s="162">
        <f ca="1"/>
        <v>4.1479664227705548E-2</v>
      </c>
      <c r="AE304" s="138">
        <f ca="1"/>
        <v>7.1265060615260278E-2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3.7323336580730171E-4</v>
      </c>
      <c r="P305" s="162">
        <f ca="1"/>
        <v>1.0658348878456181E-3</v>
      </c>
      <c r="Q305" s="162">
        <f ca="1"/>
        <v>3.8326000746659039E-3</v>
      </c>
      <c r="R305" s="162">
        <f ca="1"/>
        <v>7.2729941297640099E-3</v>
      </c>
      <c r="S305" s="162">
        <f ca="1"/>
        <v>0</v>
      </c>
      <c r="T305" s="162">
        <f ca="1"/>
        <v>2.093228363569033E-2</v>
      </c>
      <c r="U305" s="162">
        <f ca="1"/>
        <v>3.9235259573907388E-2</v>
      </c>
      <c r="V305" s="138">
        <f ca="1"/>
        <v>7.1999968429671157E-2</v>
      </c>
      <c r="W305" s="137">
        <f ca="1"/>
        <v>0</v>
      </c>
      <c r="X305" s="162">
        <f ca="1"/>
        <v>4.6651966031130421E-4</v>
      </c>
      <c r="Y305" s="162">
        <f ca="1"/>
        <v>1.2323100420539301E-3</v>
      </c>
      <c r="Z305" s="162">
        <f ca="1"/>
        <v>4.1646005381511531E-3</v>
      </c>
      <c r="AA305" s="162">
        <f ca="1"/>
        <v>7.7692335625050291E-3</v>
      </c>
      <c r="AB305" s="162">
        <f ca="1"/>
        <v>0</v>
      </c>
      <c r="AC305" s="162">
        <f ca="1"/>
        <v>2.1747833539647488E-2</v>
      </c>
      <c r="AD305" s="162">
        <f ca="1"/>
        <v>4.038149156089077E-2</v>
      </c>
      <c r="AE305" s="138">
        <f ca="1"/>
        <v>7.3574136203829688E-2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6.8465278487905845E-4</v>
      </c>
      <c r="Q306" s="162">
        <f ca="1"/>
        <v>0</v>
      </c>
      <c r="R306" s="162">
        <f ca="1"/>
        <v>6.7582827555264791E-3</v>
      </c>
      <c r="S306" s="162">
        <f ca="1"/>
        <v>0</v>
      </c>
      <c r="T306" s="162">
        <f ca="1"/>
        <v>1.742228971444626E-2</v>
      </c>
      <c r="U306" s="162">
        <f ca="1"/>
        <v>3.858080367694483E-2</v>
      </c>
      <c r="V306" s="138">
        <f ca="1"/>
        <v>6.3393958350021373E-2</v>
      </c>
      <c r="W306" s="137">
        <f ca="1"/>
        <v>0</v>
      </c>
      <c r="X306" s="162">
        <f ca="1"/>
        <v>0</v>
      </c>
      <c r="Y306" s="162">
        <f ca="1"/>
        <v>8.5119146413148439E-4</v>
      </c>
      <c r="Z306" s="162">
        <f ca="1"/>
        <v>0</v>
      </c>
      <c r="AA306" s="162">
        <f ca="1"/>
        <v>7.2547794796211651E-3</v>
      </c>
      <c r="AB306" s="162">
        <f ca="1"/>
        <v>0</v>
      </c>
      <c r="AC306" s="162">
        <f ca="1"/>
        <v>1.8240763394970383E-2</v>
      </c>
      <c r="AD306" s="162">
        <f ca="1"/>
        <v>3.9727377163649713E-2</v>
      </c>
      <c r="AE306" s="138">
        <f ca="1"/>
        <v>6.4984325087072081E-2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3.7323336580730171E-4</v>
      </c>
      <c r="P307" s="162">
        <f ca="1"/>
        <v>1.6030283033110493E-3</v>
      </c>
      <c r="Q307" s="162">
        <f ca="1"/>
        <v>4.8700483693252528E-3</v>
      </c>
      <c r="R307" s="162">
        <f ca="1"/>
        <v>8.8070161997834129E-3</v>
      </c>
      <c r="S307" s="162">
        <f ca="1"/>
        <v>0</v>
      </c>
      <c r="T307" s="162">
        <f ca="1"/>
        <v>2.164432647283876E-2</v>
      </c>
      <c r="U307" s="162">
        <f ca="1"/>
        <v>3.5042792717268401E-2</v>
      </c>
      <c r="V307" s="138">
        <f ca="1"/>
        <v>5.8737854043415472E-2</v>
      </c>
      <c r="W307" s="137">
        <f ca="1"/>
        <v>0</v>
      </c>
      <c r="X307" s="162">
        <f ca="1"/>
        <v>4.6651966031130421E-4</v>
      </c>
      <c r="Y307" s="162">
        <f ca="1"/>
        <v>1.7694139327362191E-3</v>
      </c>
      <c r="Z307" s="162">
        <f ca="1"/>
        <v>5.2017030743303216E-3</v>
      </c>
      <c r="AA307" s="162">
        <f ca="1"/>
        <v>9.3024888132157146E-3</v>
      </c>
      <c r="AB307" s="162">
        <f ca="1"/>
        <v>0</v>
      </c>
      <c r="AC307" s="162">
        <f ca="1"/>
        <v>2.2459283254924078E-2</v>
      </c>
      <c r="AD307" s="162">
        <f ca="1"/>
        <v>3.6192424529597034E-2</v>
      </c>
      <c r="AE307" s="138">
        <f ca="1"/>
        <v>6.0333718677983872E-2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4.6652001085500938E-4</v>
      </c>
      <c r="P308" s="162">
        <f ca="1"/>
        <v>1.2426179985509656E-3</v>
      </c>
      <c r="Q308" s="162">
        <f ca="1"/>
        <v>3.8241014956054142E-3</v>
      </c>
      <c r="R308" s="162">
        <f ca="1"/>
        <v>8.3325309842998685E-3</v>
      </c>
      <c r="S308" s="162">
        <f ca="1"/>
        <v>0</v>
      </c>
      <c r="T308" s="162">
        <f ca="1"/>
        <v>1.9947907472852466E-2</v>
      </c>
      <c r="U308" s="162">
        <f ca="1"/>
        <v>3.5326456027772513E-2</v>
      </c>
      <c r="V308" s="138">
        <f ca="1"/>
        <v>6.4824292714131149E-2</v>
      </c>
      <c r="W308" s="137">
        <f ca="1"/>
        <v>0</v>
      </c>
      <c r="X308" s="162">
        <f ca="1"/>
        <v>5.5979745032941342E-4</v>
      </c>
      <c r="Y308" s="162">
        <f ca="1"/>
        <v>1.4090636913586252E-3</v>
      </c>
      <c r="Z308" s="162">
        <f ca="1"/>
        <v>4.1561047914970839E-3</v>
      </c>
      <c r="AA308" s="162">
        <f ca="1"/>
        <v>8.8282407810487129E-3</v>
      </c>
      <c r="AB308" s="162">
        <f ca="1"/>
        <v>0</v>
      </c>
      <c r="AC308" s="162">
        <f ca="1"/>
        <v>2.0764277348583104E-2</v>
      </c>
      <c r="AD308" s="162">
        <f ca="1"/>
        <v>3.6476349691823562E-2</v>
      </c>
      <c r="AE308" s="138">
        <f ca="1"/>
        <v>6.6410477567714121E-2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3.7323336580730171E-4</v>
      </c>
      <c r="P309" s="162">
        <f ca="1"/>
        <v>8.8674049945458577E-4</v>
      </c>
      <c r="Q309" s="162">
        <f ca="1"/>
        <v>3.1343248822098824E-3</v>
      </c>
      <c r="R309" s="162">
        <f ca="1"/>
        <v>7.3117022523256914E-3</v>
      </c>
      <c r="S309" s="162">
        <f ca="1"/>
        <v>0</v>
      </c>
      <c r="T309" s="162">
        <f ca="1"/>
        <v>1.8275571696153459E-2</v>
      </c>
      <c r="U309" s="162">
        <f ca="1"/>
        <v>3.4330884588051003E-2</v>
      </c>
      <c r="V309" s="138">
        <f ca="1"/>
        <v>5.9510143175508512E-2</v>
      </c>
      <c r="W309" s="137">
        <f ca="1"/>
        <v>0</v>
      </c>
      <c r="X309" s="162">
        <f ca="1"/>
        <v>4.6651966031130421E-4</v>
      </c>
      <c r="Y309" s="162">
        <f ca="1"/>
        <v>1.0532455002362218E-3</v>
      </c>
      <c r="Z309" s="162">
        <f ca="1"/>
        <v>3.46655806531182E-3</v>
      </c>
      <c r="AA309" s="162">
        <f ca="1"/>
        <v>7.8079223358535899E-3</v>
      </c>
      <c r="AB309" s="162">
        <f ca="1"/>
        <v>0</v>
      </c>
      <c r="AC309" s="162">
        <f ca="1"/>
        <v>1.9093334604563306E-2</v>
      </c>
      <c r="AD309" s="162">
        <f ca="1"/>
        <v>3.5482366214534822E-2</v>
      </c>
      <c r="AE309" s="138">
        <f ca="1"/>
        <v>6.1106719649963948E-2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4.6652001085500938E-4</v>
      </c>
      <c r="P310" s="162">
        <f ca="1"/>
        <v>1.0635468210143939E-3</v>
      </c>
      <c r="Q310" s="162">
        <f ca="1"/>
        <v>4.1823789928566724E-3</v>
      </c>
      <c r="R310" s="162">
        <f ca="1"/>
        <v>8.3224449859359284E-3</v>
      </c>
      <c r="S310" s="162">
        <f ca="1"/>
        <v>0</v>
      </c>
      <c r="T310" s="162">
        <f ca="1"/>
        <v>1.9937635298777345E-2</v>
      </c>
      <c r="U310" s="162">
        <f ca="1"/>
        <v>3.2704690486911492E-2</v>
      </c>
      <c r="V310" s="138">
        <f ca="1"/>
        <v>5.742888225912901E-2</v>
      </c>
      <c r="W310" s="137">
        <f ca="1"/>
        <v>0</v>
      </c>
      <c r="X310" s="162">
        <f ca="1"/>
        <v>5.5979745032941342E-4</v>
      </c>
      <c r="Y310" s="162">
        <f ca="1"/>
        <v>1.2300223565240298E-3</v>
      </c>
      <c r="Z310" s="162">
        <f ca="1"/>
        <v>4.5142628827877784E-3</v>
      </c>
      <c r="AA310" s="162">
        <f ca="1"/>
        <v>8.8181598243971537E-3</v>
      </c>
      <c r="AB310" s="162">
        <f ca="1"/>
        <v>0</v>
      </c>
      <c r="AC310" s="162">
        <f ca="1"/>
        <v>2.0754013731081544E-2</v>
      </c>
      <c r="AD310" s="162">
        <f ca="1"/>
        <v>3.3857066219908249E-2</v>
      </c>
      <c r="AE310" s="138">
        <f ca="1"/>
        <v>5.9027413522082184E-2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2.7993804340376016E-4</v>
      </c>
      <c r="P311" s="162">
        <f ca="1"/>
        <v>8.8902048978489745E-4</v>
      </c>
      <c r="Q311" s="162">
        <f ca="1"/>
        <v>3.1366356838529175E-3</v>
      </c>
      <c r="R311" s="162">
        <f ca="1"/>
        <v>6.7796841649726547E-3</v>
      </c>
      <c r="S311" s="162">
        <f ca="1"/>
        <v>0</v>
      </c>
      <c r="T311" s="162">
        <f ca="1"/>
        <v>1.8316296610432659E-2</v>
      </c>
      <c r="U311" s="162">
        <f ca="1"/>
        <v>3.3065105113903037E-2</v>
      </c>
      <c r="V311" s="138">
        <f ca="1"/>
        <v>5.9729406161803222E-2</v>
      </c>
      <c r="W311" s="137">
        <f ca="1"/>
        <v>0</v>
      </c>
      <c r="X311" s="162">
        <f ca="1"/>
        <v>3.7323315725501516E-4</v>
      </c>
      <c r="Y311" s="162">
        <f ca="1"/>
        <v>1.0555251106070251E-3</v>
      </c>
      <c r="Z311" s="162">
        <f ca="1"/>
        <v>3.4688680967992491E-3</v>
      </c>
      <c r="AA311" s="162">
        <f ca="1"/>
        <v>7.2761701910581955E-3</v>
      </c>
      <c r="AB311" s="162">
        <f ca="1"/>
        <v>0</v>
      </c>
      <c r="AC311" s="162">
        <f ca="1"/>
        <v>1.9134025595514359E-2</v>
      </c>
      <c r="AD311" s="162">
        <f ca="1"/>
        <v>3.4217992396569197E-2</v>
      </c>
      <c r="AE311" s="138">
        <f ca="1"/>
        <v>6.1325372349207652E-2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8.8825708851931751E-3</v>
      </c>
      <c r="P312" s="162">
        <f ca="1"/>
        <v>1.6776317944094399E-2</v>
      </c>
      <c r="Q312" s="162">
        <f ca="1"/>
        <v>3.1425264457946245E-2</v>
      </c>
      <c r="R312" s="162">
        <f ca="1"/>
        <v>4.5382583543461363E-2</v>
      </c>
      <c r="S312" s="162">
        <f ca="1"/>
        <v>0</v>
      </c>
      <c r="T312" s="162">
        <f ca="1"/>
        <v>6.9905835085460444E-2</v>
      </c>
      <c r="U312" s="162">
        <f ca="1"/>
        <v>9.6359626373290652E-2</v>
      </c>
      <c r="V312" s="138">
        <f ca="1"/>
        <v>0.13467704469913333</v>
      </c>
      <c r="W312" s="137">
        <f ca="1"/>
        <v>0</v>
      </c>
      <c r="X312" s="162">
        <f ca="1"/>
        <v>8.9748504898987669E-3</v>
      </c>
      <c r="Y312" s="162">
        <f ca="1"/>
        <v>1.6940174902635885E-2</v>
      </c>
      <c r="Z312" s="162">
        <f ca="1"/>
        <v>3.1748068899417281E-2</v>
      </c>
      <c r="AA312" s="162">
        <f ca="1"/>
        <v>4.5859772944414123E-2</v>
      </c>
      <c r="AB312" s="162">
        <f ca="1"/>
        <v>0</v>
      </c>
      <c r="AC312" s="162">
        <f ca="1"/>
        <v>7.0680590696533097E-2</v>
      </c>
      <c r="AD312" s="162">
        <f ca="1"/>
        <v>9.7413258737486297E-2</v>
      </c>
      <c r="AE312" s="138">
        <f ca="1"/>
        <v>0.13611804845465802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1.5736360062967858E-3</v>
      </c>
      <c r="P313" s="162">
        <f ca="1"/>
        <v>3.9875375480606934E-3</v>
      </c>
      <c r="Q313" s="162">
        <f ca="1"/>
        <v>1.168630805649562E-2</v>
      </c>
      <c r="R313" s="162">
        <f ca="1"/>
        <v>2.1603678823352124E-2</v>
      </c>
      <c r="S313" s="162">
        <f ca="1"/>
        <v>0</v>
      </c>
      <c r="T313" s="162">
        <f ca="1"/>
        <v>4.7983756945594425E-2</v>
      </c>
      <c r="U313" s="162">
        <f ca="1"/>
        <v>7.2501182961818844E-2</v>
      </c>
      <c r="V313" s="138">
        <f ca="1"/>
        <v>0.11065951714049327</v>
      </c>
      <c r="W313" s="137">
        <f ca="1"/>
        <v>0</v>
      </c>
      <c r="X313" s="162">
        <f ca="1"/>
        <v>1.6435126470107919E-3</v>
      </c>
      <c r="Y313" s="162">
        <f ca="1"/>
        <v>4.1120313248526053E-3</v>
      </c>
      <c r="Z313" s="162">
        <f ca="1"/>
        <v>1.1933355597257389E-2</v>
      </c>
      <c r="AA313" s="162">
        <f ca="1"/>
        <v>2.1970508658914589E-2</v>
      </c>
      <c r="AB313" s="162">
        <f ca="1"/>
        <v>0</v>
      </c>
      <c r="AC313" s="162">
        <f ca="1"/>
        <v>4.8578581195591886E-2</v>
      </c>
      <c r="AD313" s="162">
        <f ca="1"/>
        <v>7.3312389472108275E-2</v>
      </c>
      <c r="AE313" s="138">
        <f ca="1"/>
        <v>0.11180230040943595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3.5332518876834973E-3</v>
      </c>
      <c r="Q314" s="162">
        <f ca="1"/>
        <v>0</v>
      </c>
      <c r="R314" s="162">
        <f ca="1"/>
        <v>1.7986741554322005E-2</v>
      </c>
      <c r="S314" s="162">
        <f ca="1"/>
        <v>0</v>
      </c>
      <c r="T314" s="162">
        <f ca="1"/>
        <v>3.8400971236985604E-2</v>
      </c>
      <c r="U314" s="162">
        <f ca="1"/>
        <v>6.5844475377987766E-2</v>
      </c>
      <c r="V314" s="138">
        <f ca="1"/>
        <v>0.11067813277196692</v>
      </c>
      <c r="W314" s="137">
        <f ca="1"/>
        <v>0</v>
      </c>
      <c r="X314" s="162">
        <f ca="1"/>
        <v>0</v>
      </c>
      <c r="Y314" s="162">
        <f ca="1"/>
        <v>3.6993158399806214E-3</v>
      </c>
      <c r="Z314" s="162">
        <f ca="1"/>
        <v>0</v>
      </c>
      <c r="AA314" s="162">
        <f ca="1"/>
        <v>1.8477625452369417E-2</v>
      </c>
      <c r="AB314" s="162">
        <f ca="1"/>
        <v>0</v>
      </c>
      <c r="AC314" s="162">
        <f ca="1"/>
        <v>3.9201969965114158E-2</v>
      </c>
      <c r="AD314" s="162">
        <f ca="1"/>
        <v>6.6955847664631252E-2</v>
      </c>
      <c r="AE314" s="138">
        <f ca="1"/>
        <v>0.11220588183850089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4.6347295486448559E-4</v>
      </c>
      <c r="O315" s="162">
        <f ca="1"/>
        <v>8.395891919331655E-4</v>
      </c>
      <c r="P315" s="162">
        <f ca="1"/>
        <v>2.1284123025070434E-3</v>
      </c>
      <c r="Q315" s="162">
        <f ca="1"/>
        <v>5.1912416903835412E-3</v>
      </c>
      <c r="R315" s="162">
        <f ca="1"/>
        <v>1.0894872670703992E-2</v>
      </c>
      <c r="S315" s="162">
        <f ca="1"/>
        <v>1.7644538721024339E-2</v>
      </c>
      <c r="T315" s="162">
        <f ca="1"/>
        <v>2.6000794299029129E-2</v>
      </c>
      <c r="U315" s="162">
        <f ca="1"/>
        <v>4.9590327462086581E-2</v>
      </c>
      <c r="V315" s="138">
        <f ca="1"/>
        <v>8.642673797960676E-2</v>
      </c>
      <c r="W315" s="137">
        <f ca="1"/>
        <v>5.0208578614030497E-4</v>
      </c>
      <c r="X315" s="162">
        <f ca="1"/>
        <v>9.0952300380542361E-4</v>
      </c>
      <c r="Y315" s="162">
        <f ca="1"/>
        <v>2.2531384554261846E-3</v>
      </c>
      <c r="Z315" s="162">
        <f ca="1"/>
        <v>5.4399127947608594E-3</v>
      </c>
      <c r="AA315" s="162">
        <f ca="1"/>
        <v>1.1265717555705712E-2</v>
      </c>
      <c r="AB315" s="162">
        <f ca="1"/>
        <v>1.8135593677689354E-2</v>
      </c>
      <c r="AC315" s="162">
        <f ca="1"/>
        <v>2.6609353607990549E-2</v>
      </c>
      <c r="AD315" s="162">
        <f ca="1"/>
        <v>5.0438707482846734E-2</v>
      </c>
      <c r="AE315" s="138">
        <f ca="1"/>
        <v>8.7602459685469203E-2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9.6545621673060911E-4</v>
      </c>
      <c r="P316" s="162">
        <f ca="1"/>
        <v>2.82301783773653E-3</v>
      </c>
      <c r="Q316" s="162">
        <f ca="1"/>
        <v>8.1154541618926324E-3</v>
      </c>
      <c r="R316" s="162">
        <f ca="1"/>
        <v>1.5195821526244213E-2</v>
      </c>
      <c r="S316" s="162">
        <f ca="1"/>
        <v>0</v>
      </c>
      <c r="T316" s="162">
        <f ca="1"/>
        <v>3.2780028823593765E-2</v>
      </c>
      <c r="U316" s="162">
        <f ca="1"/>
        <v>5.2103879060602543E-2</v>
      </c>
      <c r="V316" s="138">
        <f ca="1"/>
        <v>8.2481665690178563E-2</v>
      </c>
      <c r="W316" s="137">
        <f ca="1"/>
        <v>0</v>
      </c>
      <c r="X316" s="162">
        <f ca="1"/>
        <v>1.0353786789155661E-3</v>
      </c>
      <c r="Y316" s="162">
        <f ca="1"/>
        <v>2.9476571703773713E-3</v>
      </c>
      <c r="Z316" s="162">
        <f ca="1"/>
        <v>8.3633943045303694E-3</v>
      </c>
      <c r="AA316" s="162">
        <f ca="1"/>
        <v>1.5565053857790057E-2</v>
      </c>
      <c r="AB316" s="162">
        <f ca="1"/>
        <v>0</v>
      </c>
      <c r="AC316" s="162">
        <f ca="1"/>
        <v>3.3384352434813858E-2</v>
      </c>
      <c r="AD316" s="162">
        <f ca="1"/>
        <v>5.2950069118880339E-2</v>
      </c>
      <c r="AE316" s="138">
        <f ca="1"/>
        <v>8.3627847095477437E-2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1.0563571052237819E-3</v>
      </c>
      <c r="P317" s="162">
        <f ca="1"/>
        <v>2.834124330013843E-3</v>
      </c>
      <c r="Q317" s="162">
        <f ca="1"/>
        <v>7.6648640266637758E-3</v>
      </c>
      <c r="R317" s="162">
        <f ca="1"/>
        <v>1.4297128043406215E-2</v>
      </c>
      <c r="S317" s="162">
        <f ca="1"/>
        <v>0</v>
      </c>
      <c r="T317" s="162">
        <f ca="1"/>
        <v>3.2200418787200813E-2</v>
      </c>
      <c r="U317" s="162">
        <f ca="1"/>
        <v>5.1101434546260593E-2</v>
      </c>
      <c r="V317" s="138">
        <f ca="1"/>
        <v>7.994316311466132E-2</v>
      </c>
      <c r="W317" s="137">
        <f ca="1"/>
        <v>0</v>
      </c>
      <c r="X317" s="162">
        <f ca="1"/>
        <v>1.1262728269122446E-3</v>
      </c>
      <c r="Y317" s="162">
        <f ca="1"/>
        <v>2.9587622744406961E-3</v>
      </c>
      <c r="Z317" s="162">
        <f ca="1"/>
        <v>7.9129168027523011E-3</v>
      </c>
      <c r="AA317" s="162">
        <f ca="1"/>
        <v>1.4666697321811806E-2</v>
      </c>
      <c r="AB317" s="162">
        <f ca="1"/>
        <v>0</v>
      </c>
      <c r="AC317" s="162">
        <f ca="1"/>
        <v>3.2805104541438368E-2</v>
      </c>
      <c r="AD317" s="162">
        <f ca="1"/>
        <v>5.1948710107512008E-2</v>
      </c>
      <c r="AE317" s="138">
        <f ca="1"/>
        <v>8.1092515665739051E-2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2.1797160460114151E-3</v>
      </c>
      <c r="Q318" s="162">
        <f ca="1"/>
        <v>0</v>
      </c>
      <c r="R318" s="162">
        <f ca="1"/>
        <v>1.2984715837761951E-2</v>
      </c>
      <c r="S318" s="162">
        <f ca="1"/>
        <v>0</v>
      </c>
      <c r="T318" s="162">
        <f ca="1"/>
        <v>3.1479264789154082E-2</v>
      </c>
      <c r="U318" s="162">
        <f ca="1"/>
        <v>4.5209615145545889E-2</v>
      </c>
      <c r="V318" s="138">
        <f ca="1"/>
        <v>6.7186429825875194E-2</v>
      </c>
      <c r="W318" s="137">
        <f ca="1"/>
        <v>0</v>
      </c>
      <c r="X318" s="162">
        <f ca="1"/>
        <v>0</v>
      </c>
      <c r="Y318" s="162">
        <f ca="1"/>
        <v>2.3460055688356851E-3</v>
      </c>
      <c r="Z318" s="162">
        <f ca="1"/>
        <v>0</v>
      </c>
      <c r="AA318" s="162">
        <f ca="1"/>
        <v>1.3478100123457182E-2</v>
      </c>
      <c r="AB318" s="162">
        <f ca="1"/>
        <v>0</v>
      </c>
      <c r="AC318" s="162">
        <f ca="1"/>
        <v>3.2286029203317912E-2</v>
      </c>
      <c r="AD318" s="162">
        <f ca="1"/>
        <v>4.6346475770872697E-2</v>
      </c>
      <c r="AE318" s="138">
        <f ca="1"/>
        <v>6.8739824254566817E-2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1.1193005255806243E-3</v>
      </c>
      <c r="P319" s="162">
        <f ca="1"/>
        <v>2.5239712316951213E-3</v>
      </c>
      <c r="Q319" s="162">
        <f ca="1"/>
        <v>6.4883890132645394E-3</v>
      </c>
      <c r="R319" s="162">
        <f ca="1"/>
        <v>1.1608726205225461E-2</v>
      </c>
      <c r="S319" s="162">
        <f ca="1"/>
        <v>0</v>
      </c>
      <c r="T319" s="162">
        <f ca="1"/>
        <v>2.3779443883231721E-2</v>
      </c>
      <c r="U319" s="162">
        <f ca="1"/>
        <v>3.4806218501254538E-2</v>
      </c>
      <c r="V319" s="138">
        <f ca="1"/>
        <v>5.0417491321644081E-2</v>
      </c>
      <c r="W319" s="137">
        <f ca="1"/>
        <v>0</v>
      </c>
      <c r="X319" s="162">
        <f ca="1"/>
        <v>1.1892126168614459E-3</v>
      </c>
      <c r="Y319" s="162">
        <f ca="1"/>
        <v>2.6486479428371457E-3</v>
      </c>
      <c r="Z319" s="162">
        <f ca="1"/>
        <v>6.7367358713409375E-3</v>
      </c>
      <c r="AA319" s="162">
        <f ca="1"/>
        <v>1.1979303445329714E-2</v>
      </c>
      <c r="AB319" s="162">
        <f ca="1"/>
        <v>0</v>
      </c>
      <c r="AC319" s="162">
        <f ca="1"/>
        <v>2.4389391102421554E-2</v>
      </c>
      <c r="AD319" s="162">
        <f ca="1"/>
        <v>3.5650393679594106E-2</v>
      </c>
      <c r="AE319" s="138">
        <f ca="1"/>
        <v>5.1623739471907015E-2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1.6831844426045683E-2</v>
      </c>
      <c r="U320" s="162">
        <f ca="1"/>
        <v>4.4742205072589414E-2</v>
      </c>
      <c r="V320" s="138">
        <f ca="1"/>
        <v>8.7343047848455369E-2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1.7650809939428913E-2</v>
      </c>
      <c r="AD320" s="162">
        <f ca="1"/>
        <v>4.5856022646774464E-2</v>
      </c>
      <c r="AE320" s="138">
        <f ca="1"/>
        <v>8.8916486346994783E-2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1.109961458545361E-3</v>
      </c>
      <c r="P321" s="162">
        <f ca="1"/>
        <v>2.533129463669237E-3</v>
      </c>
      <c r="Q321" s="162">
        <f ca="1"/>
        <v>6.611444873326433E-3</v>
      </c>
      <c r="R321" s="162">
        <f ca="1"/>
        <v>1.1975435706291337E-2</v>
      </c>
      <c r="S321" s="162">
        <f ca="1"/>
        <v>0</v>
      </c>
      <c r="T321" s="162">
        <f ca="1"/>
        <v>2.6636635273903253E-2</v>
      </c>
      <c r="U321" s="162">
        <f ca="1"/>
        <v>4.204321340087469E-2</v>
      </c>
      <c r="V321" s="138">
        <f ca="1"/>
        <v>6.636139782535555E-2</v>
      </c>
      <c r="W321" s="137">
        <f ca="1"/>
        <v>0</v>
      </c>
      <c r="X321" s="162">
        <f ca="1"/>
        <v>1.2031767942539684E-3</v>
      </c>
      <c r="Y321" s="162">
        <f ca="1"/>
        <v>2.6993600891593861E-3</v>
      </c>
      <c r="Z321" s="162">
        <f ca="1"/>
        <v>6.942519209583109E-3</v>
      </c>
      <c r="AA321" s="162">
        <f ca="1"/>
        <v>1.2469324505948842E-2</v>
      </c>
      <c r="AB321" s="162">
        <f ca="1"/>
        <v>0</v>
      </c>
      <c r="AC321" s="162">
        <f ca="1"/>
        <v>2.7447433531656462E-2</v>
      </c>
      <c r="AD321" s="162">
        <f ca="1"/>
        <v>4.3184158320693222E-2</v>
      </c>
      <c r="AE321" s="138">
        <f ca="1"/>
        <v>6.7942579748755616E-2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4.6652001085500938E-4</v>
      </c>
      <c r="P322" s="162">
        <f ca="1"/>
        <v>1.4216742191351939E-3</v>
      </c>
      <c r="Q322" s="162">
        <f ca="1"/>
        <v>4.1699907668668601E-3</v>
      </c>
      <c r="R322" s="162">
        <f ca="1"/>
        <v>8.3099102601973396E-3</v>
      </c>
      <c r="S322" s="162">
        <f ca="1"/>
        <v>0</v>
      </c>
      <c r="T322" s="162">
        <f ca="1"/>
        <v>2.2618151391997188E-2</v>
      </c>
      <c r="U322" s="162">
        <f ca="1"/>
        <v>3.893861715974456E-2</v>
      </c>
      <c r="V322" s="138">
        <f ca="1"/>
        <v>6.2055696603926513E-2</v>
      </c>
      <c r="W322" s="137">
        <f ca="1"/>
        <v>0</v>
      </c>
      <c r="X322" s="162">
        <f ca="1"/>
        <v>5.5979745032941342E-4</v>
      </c>
      <c r="Y322" s="162">
        <f ca="1"/>
        <v>1.5880900717202273E-3</v>
      </c>
      <c r="Z322" s="162">
        <f ca="1"/>
        <v>4.5018787855360953E-3</v>
      </c>
      <c r="AA322" s="162">
        <f ca="1"/>
        <v>8.8056313644623296E-3</v>
      </c>
      <c r="AB322" s="162">
        <f ca="1"/>
        <v>0</v>
      </c>
      <c r="AC322" s="162">
        <f ca="1"/>
        <v>2.343229699138405E-2</v>
      </c>
      <c r="AD322" s="162">
        <f ca="1"/>
        <v>4.0084675249639545E-2</v>
      </c>
      <c r="AE322" s="138">
        <f ca="1"/>
        <v>6.3646842219769462E-2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1.0612786501456029E-3</v>
      </c>
      <c r="Q323" s="162">
        <f ca="1"/>
        <v>0</v>
      </c>
      <c r="R323" s="162">
        <f ca="1"/>
        <v>6.2085195783631031E-3</v>
      </c>
      <c r="S323" s="162">
        <f ca="1"/>
        <v>0</v>
      </c>
      <c r="T323" s="162">
        <f ca="1"/>
        <v>1.8353628091204111E-2</v>
      </c>
      <c r="U323" s="162">
        <f ca="1"/>
        <v>3.7178366547794384E-2</v>
      </c>
      <c r="V323" s="138">
        <f ca="1"/>
        <v>7.3411634111330226E-2</v>
      </c>
      <c r="W323" s="137">
        <f ca="1"/>
        <v>0</v>
      </c>
      <c r="X323" s="162">
        <f ca="1"/>
        <v>0</v>
      </c>
      <c r="Y323" s="162">
        <f ca="1"/>
        <v>1.2277545636396603E-3</v>
      </c>
      <c r="Z323" s="162">
        <f ca="1"/>
        <v>0</v>
      </c>
      <c r="AA323" s="162">
        <f ca="1"/>
        <v>6.7052911153764327E-3</v>
      </c>
      <c r="AB323" s="162">
        <f ca="1"/>
        <v>0</v>
      </c>
      <c r="AC323" s="162">
        <f ca="1"/>
        <v>1.9171325979677301E-2</v>
      </c>
      <c r="AD323" s="162">
        <f ca="1"/>
        <v>3.832665236349142E-2</v>
      </c>
      <c r="AE323" s="138">
        <f ca="1"/>
        <v>7.4980798205362853E-2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2.7993804340376016E-4</v>
      </c>
      <c r="P324" s="162">
        <f ca="1"/>
        <v>8.8902048978489745E-4</v>
      </c>
      <c r="Q324" s="162">
        <f ca="1"/>
        <v>3.4888971355687692E-3</v>
      </c>
      <c r="R324" s="162">
        <f ca="1"/>
        <v>7.8320259095053801E-3</v>
      </c>
      <c r="S324" s="162">
        <f ca="1"/>
        <v>0</v>
      </c>
      <c r="T324" s="162">
        <f ca="1"/>
        <v>2.0020741945238174E-2</v>
      </c>
      <c r="U324" s="162">
        <f ca="1"/>
        <v>3.5400111347559493E-2</v>
      </c>
      <c r="V324" s="138">
        <f ca="1"/>
        <v>5.9095352678469881E-2</v>
      </c>
      <c r="W324" s="137">
        <f ca="1"/>
        <v>0</v>
      </c>
      <c r="X324" s="162">
        <f ca="1"/>
        <v>3.7323315725501516E-4</v>
      </c>
      <c r="Y324" s="162">
        <f ca="1"/>
        <v>1.0555251106070251E-3</v>
      </c>
      <c r="Z324" s="162">
        <f ca="1"/>
        <v>3.8210121476194292E-3</v>
      </c>
      <c r="AA324" s="162">
        <f ca="1"/>
        <v>8.327985896203649E-3</v>
      </c>
      <c r="AB324" s="162">
        <f ca="1"/>
        <v>0</v>
      </c>
      <c r="AC324" s="162">
        <f ca="1"/>
        <v>2.0837051150871755E-2</v>
      </c>
      <c r="AD324" s="162">
        <f ca="1"/>
        <v>3.6550223450734665E-2</v>
      </c>
      <c r="AE324" s="138">
        <f ca="1"/>
        <v>6.0692040831440086E-2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8.774038115489935E-4</v>
      </c>
      <c r="Q325" s="162">
        <f ca="1"/>
        <v>0</v>
      </c>
      <c r="R325" s="162">
        <f ca="1"/>
        <v>6.6920383768251934E-3</v>
      </c>
      <c r="S325" s="162">
        <f ca="1"/>
        <v>0</v>
      </c>
      <c r="T325" s="162">
        <f ca="1"/>
        <v>1.8769359391922702E-2</v>
      </c>
      <c r="U325" s="162">
        <f ca="1"/>
        <v>3.2770796205339847E-2</v>
      </c>
      <c r="V325" s="138">
        <f ca="1"/>
        <v>5.6154905781981457E-2</v>
      </c>
      <c r="W325" s="137">
        <f ca="1"/>
        <v>0</v>
      </c>
      <c r="X325" s="162">
        <f ca="1"/>
        <v>0</v>
      </c>
      <c r="Y325" s="162">
        <f ca="1"/>
        <v>1.0439103683360651E-3</v>
      </c>
      <c r="Z325" s="162">
        <f ca="1"/>
        <v>0</v>
      </c>
      <c r="AA325" s="162">
        <f ca="1"/>
        <v>7.1885682148131735E-3</v>
      </c>
      <c r="AB325" s="162">
        <f ca="1"/>
        <v>0</v>
      </c>
      <c r="AC325" s="162">
        <f ca="1"/>
        <v>1.9586710981954192E-2</v>
      </c>
      <c r="AD325" s="162">
        <f ca="1"/>
        <v>3.3923540367063243E-2</v>
      </c>
      <c r="AE325" s="138">
        <f ca="1"/>
        <v>5.7755550828595514E-2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4.748417675119021E-3</v>
      </c>
      <c r="P326" s="162">
        <f ca="1"/>
        <v>8.9850071873454063E-3</v>
      </c>
      <c r="Q326" s="162">
        <f ca="1"/>
        <v>1.7430320292490697E-2</v>
      </c>
      <c r="R326" s="162">
        <f ca="1"/>
        <v>2.8280291873480023E-2</v>
      </c>
      <c r="S326" s="162">
        <f ca="1"/>
        <v>0</v>
      </c>
      <c r="T326" s="162">
        <f ca="1"/>
        <v>5.0095566314643736E-2</v>
      </c>
      <c r="U326" s="162">
        <f ca="1"/>
        <v>7.1733714339277888E-2</v>
      </c>
      <c r="V326" s="138">
        <f ca="1"/>
        <v>0.10206873386573823</v>
      </c>
      <c r="W326" s="137">
        <f ca="1"/>
        <v>0</v>
      </c>
      <c r="X326" s="162">
        <f ca="1"/>
        <v>4.841244018021551E-3</v>
      </c>
      <c r="Y326" s="162">
        <f ca="1"/>
        <v>9.1501625894881977E-3</v>
      </c>
      <c r="Z326" s="162">
        <f ca="1"/>
        <v>1.7757788937935115E-2</v>
      </c>
      <c r="AA326" s="162">
        <f ca="1"/>
        <v>2.8766030282841082E-2</v>
      </c>
      <c r="AB326" s="162">
        <f ca="1"/>
        <v>0</v>
      </c>
      <c r="AC326" s="162">
        <f ca="1"/>
        <v>5.0886823606400733E-2</v>
      </c>
      <c r="AD326" s="162">
        <f ca="1"/>
        <v>7.281606018135256E-2</v>
      </c>
      <c r="AE326" s="138">
        <f ca="1"/>
        <v>0.10356403954178439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2.1655887295713994E-3</v>
      </c>
      <c r="Q327" s="162">
        <f ca="1"/>
        <v>0</v>
      </c>
      <c r="R327" s="162">
        <f ca="1"/>
        <v>1.2642588955139589E-2</v>
      </c>
      <c r="S327" s="162">
        <f ca="1"/>
        <v>0</v>
      </c>
      <c r="T327" s="162">
        <f ca="1"/>
        <v>4.2706619063377249E-2</v>
      </c>
      <c r="U327" s="162">
        <f ca="1"/>
        <v>6.7889577681320312E-2</v>
      </c>
      <c r="V327" s="138">
        <f ca="1"/>
        <v>0.10817244567814788</v>
      </c>
      <c r="W327" s="137">
        <f ca="1"/>
        <v>0</v>
      </c>
      <c r="X327" s="162">
        <f ca="1"/>
        <v>0</v>
      </c>
      <c r="Y327" s="162">
        <f ca="1"/>
        <v>2.3318806067356146E-3</v>
      </c>
      <c r="Z327" s="162">
        <f ca="1"/>
        <v>0</v>
      </c>
      <c r="AA327" s="162">
        <f ca="1"/>
        <v>1.3136144261517546E-2</v>
      </c>
      <c r="AB327" s="162">
        <f ca="1"/>
        <v>0</v>
      </c>
      <c r="AC327" s="162">
        <f ca="1"/>
        <v>4.3504031246250796E-2</v>
      </c>
      <c r="AD327" s="162">
        <f ca="1"/>
        <v>6.9001926541753189E-2</v>
      </c>
      <c r="AE327" s="138">
        <f ca="1"/>
        <v>0.10970290441259167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6.5773051077111511E-4</v>
      </c>
      <c r="P328" s="162">
        <f ca="1"/>
        <v>1.340860528595722E-3</v>
      </c>
      <c r="Q328" s="162">
        <f ca="1"/>
        <v>5.2500362760273811E-3</v>
      </c>
      <c r="R328" s="162">
        <f ca="1"/>
        <v>1.1764589854133423E-2</v>
      </c>
      <c r="S328" s="162">
        <f ca="1"/>
        <v>0</v>
      </c>
      <c r="T328" s="162">
        <f ca="1"/>
        <v>3.1256208593903656E-2</v>
      </c>
      <c r="U328" s="162">
        <f ca="1"/>
        <v>4.9698882370945885E-2</v>
      </c>
      <c r="V328" s="138">
        <f ca="1"/>
        <v>7.9318704377453697E-2</v>
      </c>
      <c r="W328" s="137">
        <f ca="1"/>
        <v>0</v>
      </c>
      <c r="X328" s="162">
        <f ca="1"/>
        <v>7.276755185906536E-4</v>
      </c>
      <c r="Y328" s="162">
        <f ca="1"/>
        <v>1.4656851193399767E-3</v>
      </c>
      <c r="Z328" s="162">
        <f ca="1"/>
        <v>5.4986926836285699E-3</v>
      </c>
      <c r="AA328" s="162">
        <f ca="1"/>
        <v>1.213510865631684E-2</v>
      </c>
      <c r="AB328" s="162">
        <f ca="1"/>
        <v>0</v>
      </c>
      <c r="AC328" s="162">
        <f ca="1"/>
        <v>3.1861484295182985E-2</v>
      </c>
      <c r="AD328" s="162">
        <f ca="1"/>
        <v>5.0548453528475257E-2</v>
      </c>
      <c r="AE328" s="138">
        <f ca="1"/>
        <v>8.046883701433627E-2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8.8853364311636263E-4</v>
      </c>
      <c r="P329" s="162">
        <f ca="1"/>
        <v>2.3821652323445797E-3</v>
      </c>
      <c r="Q329" s="162">
        <f ca="1"/>
        <v>6.7368927885858021E-3</v>
      </c>
      <c r="R329" s="162">
        <f ca="1"/>
        <v>1.2726961249304614E-2</v>
      </c>
      <c r="S329" s="162">
        <f ca="1"/>
        <v>0</v>
      </c>
      <c r="T329" s="162">
        <f ca="1"/>
        <v>2.9714991569593896E-2</v>
      </c>
      <c r="U329" s="162">
        <f ca="1"/>
        <v>4.7890479804763242E-2</v>
      </c>
      <c r="V329" s="138">
        <f ca="1"/>
        <v>7.5197990775930812E-2</v>
      </c>
      <c r="W329" s="137">
        <f ca="1"/>
        <v>0</v>
      </c>
      <c r="X329" s="162">
        <f ca="1"/>
        <v>9.5846178033975882E-4</v>
      </c>
      <c r="Y329" s="162">
        <f ca="1"/>
        <v>2.5068596681322441E-3</v>
      </c>
      <c r="Z329" s="162">
        <f ca="1"/>
        <v>6.9851775285045825E-3</v>
      </c>
      <c r="AA329" s="162">
        <f ca="1"/>
        <v>1.3097119229884768E-2</v>
      </c>
      <c r="AB329" s="162">
        <f ca="1"/>
        <v>0</v>
      </c>
      <c r="AC329" s="162">
        <f ca="1"/>
        <v>3.0321230230540896E-2</v>
      </c>
      <c r="AD329" s="162">
        <f ca="1"/>
        <v>4.8740906911753479E-2</v>
      </c>
      <c r="AE329" s="138">
        <f ca="1"/>
        <v>7.635327108685741E-2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6.5773051077111511E-4</v>
      </c>
      <c r="P330" s="162">
        <f ca="1"/>
        <v>2.2134940257851898E-3</v>
      </c>
      <c r="Q330" s="162">
        <f ca="1"/>
        <v>6.6962873220499652E-3</v>
      </c>
      <c r="R330" s="162">
        <f ca="1"/>
        <v>1.3340868203838396E-2</v>
      </c>
      <c r="S330" s="162">
        <f ca="1"/>
        <v>0</v>
      </c>
      <c r="T330" s="162">
        <f ca="1"/>
        <v>3.102437090999044E-2</v>
      </c>
      <c r="U330" s="162">
        <f ca="1"/>
        <v>5.01459064566111E-2</v>
      </c>
      <c r="V330" s="138">
        <f ca="1"/>
        <v>7.8991286907872604E-2</v>
      </c>
      <c r="W330" s="137">
        <f ca="1"/>
        <v>0</v>
      </c>
      <c r="X330" s="162">
        <f ca="1"/>
        <v>7.276755185906536E-4</v>
      </c>
      <c r="Y330" s="162">
        <f ca="1"/>
        <v>2.3382095441522033E-3</v>
      </c>
      <c r="Z330" s="162">
        <f ca="1"/>
        <v>6.9445822120728362E-3</v>
      </c>
      <c r="AA330" s="162">
        <f ca="1"/>
        <v>1.3710796012480819E-2</v>
      </c>
      <c r="AB330" s="162">
        <f ca="1"/>
        <v>0</v>
      </c>
      <c r="AC330" s="162">
        <f ca="1"/>
        <v>3.1629791464568568E-2</v>
      </c>
      <c r="AD330" s="162">
        <f ca="1"/>
        <v>5.0994387826369669E-2</v>
      </c>
      <c r="AE330" s="138">
        <f ca="1"/>
        <v>8.0141828560924444E-2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7.76635728298114E-4</v>
      </c>
      <c r="P331" s="162">
        <f ca="1"/>
        <v>2.3044588387263198E-3</v>
      </c>
      <c r="Q331" s="162">
        <f ca="1"/>
        <v>6.7426230086351513E-3</v>
      </c>
      <c r="R331" s="162">
        <f ca="1"/>
        <v>1.301234705649279E-2</v>
      </c>
      <c r="S331" s="162">
        <f ca="1"/>
        <v>0</v>
      </c>
      <c r="T331" s="162">
        <f ca="1"/>
        <v>3.1039211427869806E-2</v>
      </c>
      <c r="U331" s="162">
        <f ca="1"/>
        <v>5.0257799651795554E-2</v>
      </c>
      <c r="V331" s="138">
        <f ca="1"/>
        <v>7.8992342940545912E-2</v>
      </c>
      <c r="W331" s="137">
        <f ca="1"/>
        <v>0</v>
      </c>
      <c r="X331" s="162">
        <f ca="1"/>
        <v>8.4657207395399947E-4</v>
      </c>
      <c r="Y331" s="162">
        <f ca="1"/>
        <v>2.4291629872004172E-3</v>
      </c>
      <c r="Z331" s="162">
        <f ca="1"/>
        <v>6.9909063161720519E-3</v>
      </c>
      <c r="AA331" s="162">
        <f ca="1"/>
        <v>1.3382398037432131E-2</v>
      </c>
      <c r="AB331" s="162">
        <f ca="1"/>
        <v>0</v>
      </c>
      <c r="AC331" s="162">
        <f ca="1"/>
        <v>3.1644622710015557E-2</v>
      </c>
      <c r="AD331" s="162">
        <f ca="1"/>
        <v>5.1106221571762145E-2</v>
      </c>
      <c r="AE331" s="138">
        <f ca="1"/>
        <v>8.0142883274382348E-2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7.4166506903761142E-4</v>
      </c>
      <c r="P332" s="162">
        <f ca="1"/>
        <v>2.0368963220281922E-3</v>
      </c>
      <c r="Q332" s="162">
        <f ca="1"/>
        <v>6.4366853782670264E-3</v>
      </c>
      <c r="R332" s="162">
        <f ca="1"/>
        <v>1.2798451199704464E-2</v>
      </c>
      <c r="S332" s="162">
        <f ca="1"/>
        <v>0</v>
      </c>
      <c r="T332" s="162">
        <f ca="1"/>
        <v>3.0414128087299264E-2</v>
      </c>
      <c r="U332" s="162">
        <f ca="1"/>
        <v>4.8820349877797931E-2</v>
      </c>
      <c r="V332" s="138">
        <f ca="1"/>
        <v>7.6456702550191324E-2</v>
      </c>
      <c r="W332" s="137">
        <f ca="1"/>
        <v>0</v>
      </c>
      <c r="X332" s="162">
        <f ca="1"/>
        <v>8.1160396868662499E-4</v>
      </c>
      <c r="Y332" s="162">
        <f ca="1"/>
        <v>2.1616339137324747E-3</v>
      </c>
      <c r="Z332" s="162">
        <f ca="1"/>
        <v>6.6850451606760286E-3</v>
      </c>
      <c r="AA332" s="162">
        <f ca="1"/>
        <v>1.3168582376590909E-2</v>
      </c>
      <c r="AB332" s="162">
        <f ca="1"/>
        <v>0</v>
      </c>
      <c r="AC332" s="162">
        <f ca="1"/>
        <v>3.1019929924476441E-2</v>
      </c>
      <c r="AD332" s="162">
        <f ca="1"/>
        <v>4.9670114622325623E-2</v>
      </c>
      <c r="AE332" s="138">
        <f ca="1"/>
        <v>7.7610410454318601E-2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1.0726717770109806E-3</v>
      </c>
      <c r="P333" s="162">
        <f ca="1"/>
        <v>3.2137874361872765E-3</v>
      </c>
      <c r="Q333" s="162">
        <f ca="1"/>
        <v>9.7128758958028305E-3</v>
      </c>
      <c r="R333" s="162">
        <f ca="1"/>
        <v>1.8074852598057189E-2</v>
      </c>
      <c r="S333" s="162">
        <f ca="1"/>
        <v>0</v>
      </c>
      <c r="T333" s="162">
        <f ca="1"/>
        <v>3.9345356889860739E-2</v>
      </c>
      <c r="U333" s="162">
        <f ca="1"/>
        <v>6.1784948089455116E-2</v>
      </c>
      <c r="V333" s="138">
        <f ca="1"/>
        <v>9.5542880042367884E-2</v>
      </c>
      <c r="W333" s="137">
        <f ca="1"/>
        <v>0</v>
      </c>
      <c r="X333" s="162">
        <f ca="1"/>
        <v>1.16589076209761E-3</v>
      </c>
      <c r="Y333" s="162">
        <f ca="1"/>
        <v>3.3799046281329792E-3</v>
      </c>
      <c r="Z333" s="162">
        <f ca="1"/>
        <v>1.0042916593989037E-2</v>
      </c>
      <c r="AA333" s="162">
        <f ca="1"/>
        <v>1.8565692451561366E-2</v>
      </c>
      <c r="AB333" s="162">
        <f ca="1"/>
        <v>0</v>
      </c>
      <c r="AC333" s="162">
        <f ca="1"/>
        <v>4.0145568957772215E-2</v>
      </c>
      <c r="AD333" s="162">
        <f ca="1"/>
        <v>6.290256581774345E-2</v>
      </c>
      <c r="AE333" s="138">
        <f ca="1"/>
        <v>9.704905308282985E-2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1.1402754826508321E-3</v>
      </c>
      <c r="P334" s="162">
        <f ca="1"/>
        <v>2.4429390531486295E-3</v>
      </c>
      <c r="Q334" s="162">
        <f ca="1"/>
        <v>5.8052875065646159E-3</v>
      </c>
      <c r="R334" s="162">
        <f ca="1"/>
        <v>1.0844693830291519E-2</v>
      </c>
      <c r="S334" s="162">
        <f ca="1"/>
        <v>0</v>
      </c>
      <c r="T334" s="162">
        <f ca="1"/>
        <v>2.9950182262640235E-2</v>
      </c>
      <c r="U334" s="162">
        <f ca="1"/>
        <v>4.4466432329529959E-2</v>
      </c>
      <c r="V334" s="138">
        <f ca="1"/>
        <v>7.040894316912405E-2</v>
      </c>
      <c r="W334" s="137">
        <f ca="1"/>
        <v>0</v>
      </c>
      <c r="X334" s="162">
        <f ca="1"/>
        <v>1.2101860074530402E-3</v>
      </c>
      <c r="Y334" s="162">
        <f ca="1"/>
        <v>2.5676258926706774E-3</v>
      </c>
      <c r="Z334" s="162">
        <f ca="1"/>
        <v>6.0538051186991293E-3</v>
      </c>
      <c r="AA334" s="162">
        <f ca="1"/>
        <v>1.1215557528826414E-2</v>
      </c>
      <c r="AB334" s="162">
        <f ca="1"/>
        <v>0</v>
      </c>
      <c r="AC334" s="162">
        <f ca="1"/>
        <v>3.0556273975319237E-2</v>
      </c>
      <c r="AD334" s="162">
        <f ca="1"/>
        <v>4.5319851461835703E-2</v>
      </c>
      <c r="AE334" s="138">
        <f ca="1"/>
        <v>7.1570206049604734E-2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3.0922734065620405E-3</v>
      </c>
      <c r="Q335" s="162">
        <f ca="1"/>
        <v>0</v>
      </c>
      <c r="R335" s="162">
        <f ca="1"/>
        <v>1.6725634048454729E-2</v>
      </c>
      <c r="S335" s="162">
        <f ca="1"/>
        <v>0</v>
      </c>
      <c r="T335" s="162">
        <f ca="1"/>
        <v>3.6350966374294691E-2</v>
      </c>
      <c r="U335" s="162">
        <f ca="1"/>
        <v>5.5221244707912565E-2</v>
      </c>
      <c r="V335" s="138">
        <f ca="1"/>
        <v>8.2956705624537497E-2</v>
      </c>
      <c r="W335" s="137">
        <f ca="1"/>
        <v>0</v>
      </c>
      <c r="X335" s="162">
        <f ca="1"/>
        <v>0</v>
      </c>
      <c r="Y335" s="162">
        <f ca="1"/>
        <v>3.2584108491495734E-3</v>
      </c>
      <c r="Z335" s="162">
        <f ca="1"/>
        <v>0</v>
      </c>
      <c r="AA335" s="162">
        <f ca="1"/>
        <v>1.7217148342579258E-2</v>
      </c>
      <c r="AB335" s="162">
        <f ca="1"/>
        <v>0</v>
      </c>
      <c r="AC335" s="162">
        <f ca="1"/>
        <v>3.7153672728254428E-2</v>
      </c>
      <c r="AD335" s="162">
        <f ca="1"/>
        <v>5.6345831704187499E-2</v>
      </c>
      <c r="AE335" s="138">
        <f ca="1"/>
        <v>8.4483838151259705E-2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1.3436556055296256E-3</v>
      </c>
      <c r="Q336" s="162">
        <f ca="1"/>
        <v>0</v>
      </c>
      <c r="R336" s="162">
        <f ca="1"/>
        <v>7.860190110573928E-3</v>
      </c>
      <c r="S336" s="162">
        <f ca="1"/>
        <v>0</v>
      </c>
      <c r="T336" s="162">
        <f ca="1"/>
        <v>2.4029646912814062E-2</v>
      </c>
      <c r="U336" s="162">
        <f ca="1"/>
        <v>3.8119215470665102E-2</v>
      </c>
      <c r="V336" s="138">
        <f ca="1"/>
        <v>6.120239468580746E-2</v>
      </c>
      <c r="W336" s="137">
        <f ca="1"/>
        <v>0</v>
      </c>
      <c r="X336" s="162">
        <f ca="1"/>
        <v>0</v>
      </c>
      <c r="Y336" s="162">
        <f ca="1"/>
        <v>1.4684798469180027E-3</v>
      </c>
      <c r="Z336" s="162">
        <f ca="1"/>
        <v>0</v>
      </c>
      <c r="AA336" s="162">
        <f ca="1"/>
        <v>8.2321727881430329E-3</v>
      </c>
      <c r="AB336" s="162">
        <f ca="1"/>
        <v>0</v>
      </c>
      <c r="AC336" s="162">
        <f ca="1"/>
        <v>2.4639437803972264E-2</v>
      </c>
      <c r="AD336" s="162">
        <f ca="1"/>
        <v>3.8978776291777373E-2</v>
      </c>
      <c r="AE336" s="138">
        <f ca="1"/>
        <v>6.2375158562362754E-2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3.4991034875420102E-4</v>
      </c>
      <c r="P337" s="162">
        <f ca="1"/>
        <v>1.3350235605360528E-3</v>
      </c>
      <c r="Q337" s="162">
        <f ca="1"/>
        <v>4.1760054259599722E-3</v>
      </c>
      <c r="R337" s="162">
        <f ca="1"/>
        <v>8.5829381999710241E-3</v>
      </c>
      <c r="S337" s="162">
        <f ca="1"/>
        <v>0</v>
      </c>
      <c r="T337" s="162">
        <f ca="1"/>
        <v>2.1483110701679742E-2</v>
      </c>
      <c r="U337" s="162">
        <f ca="1"/>
        <v>3.5455357047208813E-2</v>
      </c>
      <c r="V337" s="138">
        <f ca="1"/>
        <v>5.8296307756376731E-2</v>
      </c>
      <c r="W337" s="137">
        <f ca="1"/>
        <v>0</v>
      </c>
      <c r="X337" s="162">
        <f ca="1"/>
        <v>4.198774983891207E-4</v>
      </c>
      <c r="Y337" s="162">
        <f ca="1"/>
        <v>1.4598488808543753E-3</v>
      </c>
      <c r="Z337" s="162">
        <f ca="1"/>
        <v>4.4249303077013025E-3</v>
      </c>
      <c r="AA337" s="162">
        <f ca="1"/>
        <v>8.9546498978358979E-3</v>
      </c>
      <c r="AB337" s="162">
        <f ca="1"/>
        <v>0</v>
      </c>
      <c r="AC337" s="162">
        <f ca="1"/>
        <v>2.2094492680749367E-2</v>
      </c>
      <c r="AD337" s="162">
        <f ca="1"/>
        <v>3.6317203998987413E-2</v>
      </c>
      <c r="AE337" s="138">
        <f ca="1"/>
        <v>5.9492611726780331E-2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2.4127881303356302E-3</v>
      </c>
      <c r="Q338" s="162">
        <f ca="1"/>
        <v>0</v>
      </c>
      <c r="R338" s="162">
        <f ca="1"/>
        <v>1.9089713503843586E-2</v>
      </c>
      <c r="S338" s="162">
        <f ca="1"/>
        <v>0</v>
      </c>
      <c r="T338" s="162">
        <f ca="1"/>
        <v>3.6589250136041751E-2</v>
      </c>
      <c r="U338" s="162">
        <f ca="1"/>
        <v>5.1040618800039295E-2</v>
      </c>
      <c r="V338" s="138">
        <f ca="1"/>
        <v>7.259836273426068E-2</v>
      </c>
      <c r="W338" s="137">
        <f ca="1"/>
        <v>0</v>
      </c>
      <c r="X338" s="162">
        <f ca="1"/>
        <v>0</v>
      </c>
      <c r="Y338" s="162">
        <f ca="1"/>
        <v>2.5790388110467077E-3</v>
      </c>
      <c r="Z338" s="162">
        <f ca="1"/>
        <v>0</v>
      </c>
      <c r="AA338" s="162">
        <f ca="1"/>
        <v>1.9580046053775058E-2</v>
      </c>
      <c r="AB338" s="162">
        <f ca="1"/>
        <v>0</v>
      </c>
      <c r="AC338" s="162">
        <f ca="1"/>
        <v>3.7391758002880193E-2</v>
      </c>
      <c r="AD338" s="162">
        <f ca="1"/>
        <v>5.2147092509588377E-2</v>
      </c>
      <c r="AE338" s="138">
        <f ca="1"/>
        <v>7.414274478721683E-2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1.3648638214608377E-3</v>
      </c>
      <c r="Q339" s="162">
        <f ca="1"/>
        <v>0</v>
      </c>
      <c r="R339" s="162">
        <f ca="1"/>
        <v>9.7909078309712516E-3</v>
      </c>
      <c r="S339" s="162">
        <f ca="1"/>
        <v>0</v>
      </c>
      <c r="T339" s="162">
        <f ca="1"/>
        <v>2.3021862181857977E-2</v>
      </c>
      <c r="U339" s="162">
        <f ca="1"/>
        <v>3.1709180957270267E-2</v>
      </c>
      <c r="V339" s="138">
        <f ca="1"/>
        <v>5.0575617061406675E-2</v>
      </c>
      <c r="W339" s="137">
        <f ca="1"/>
        <v>0</v>
      </c>
      <c r="X339" s="162">
        <f ca="1"/>
        <v>0</v>
      </c>
      <c r="Y339" s="162">
        <f ca="1"/>
        <v>1.4896854119584857E-3</v>
      </c>
      <c r="Z339" s="162">
        <f ca="1"/>
        <v>0</v>
      </c>
      <c r="AA339" s="162">
        <f ca="1"/>
        <v>1.0162166625197422E-2</v>
      </c>
      <c r="AB339" s="162">
        <f ca="1"/>
        <v>0</v>
      </c>
      <c r="AC339" s="162">
        <f ca="1"/>
        <v>2.3632282741716693E-2</v>
      </c>
      <c r="AD339" s="162">
        <f ca="1"/>
        <v>3.2573062828238575E-2</v>
      </c>
      <c r="AE339" s="138">
        <f ca="1"/>
        <v>5.17616561112485E-2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8.7961404510084051E-4</v>
      </c>
      <c r="Q340" s="162">
        <f ca="1"/>
        <v>0</v>
      </c>
      <c r="R340" s="162">
        <f ca="1"/>
        <v>5.9630067657949759E-3</v>
      </c>
      <c r="S340" s="162">
        <f ca="1"/>
        <v>0</v>
      </c>
      <c r="T340" s="162">
        <f ca="1"/>
        <v>1.7377282346582978E-2</v>
      </c>
      <c r="U340" s="162">
        <f ca="1"/>
        <v>3.1772964019143646E-2</v>
      </c>
      <c r="V340" s="138">
        <f ca="1"/>
        <v>5.6770480252576472E-2</v>
      </c>
      <c r="W340" s="137">
        <f ca="1"/>
        <v>0</v>
      </c>
      <c r="X340" s="162">
        <f ca="1"/>
        <v>0</v>
      </c>
      <c r="Y340" s="162">
        <f ca="1"/>
        <v>1.0044962880283448E-3</v>
      </c>
      <c r="Z340" s="162">
        <f ca="1"/>
        <v>0</v>
      </c>
      <c r="AA340" s="162">
        <f ca="1"/>
        <v>6.3357007537578891E-3</v>
      </c>
      <c r="AB340" s="162">
        <f ca="1"/>
        <v>0</v>
      </c>
      <c r="AC340" s="162">
        <f ca="1"/>
        <v>1.7991229666587727E-2</v>
      </c>
      <c r="AD340" s="162">
        <f ca="1"/>
        <v>3.2638165797865271E-2</v>
      </c>
      <c r="AE340" s="138">
        <f ca="1"/>
        <v>5.7968459791064242E-2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4.6652001085500938E-4</v>
      </c>
      <c r="P341" s="162">
        <f ca="1"/>
        <v>1.2426179985509656E-3</v>
      </c>
      <c r="Q341" s="162">
        <f ca="1"/>
        <v>3.8241014956054142E-3</v>
      </c>
      <c r="R341" s="162">
        <f ca="1"/>
        <v>8.3325309842998685E-3</v>
      </c>
      <c r="S341" s="162">
        <f ca="1"/>
        <v>0</v>
      </c>
      <c r="T341" s="162">
        <f ca="1"/>
        <v>2.2641432670126194E-2</v>
      </c>
      <c r="U341" s="162">
        <f ca="1"/>
        <v>4.0265057028887719E-2</v>
      </c>
      <c r="V341" s="138">
        <f ca="1"/>
        <v>7.1543182645169012E-2</v>
      </c>
      <c r="W341" s="137">
        <f ca="1"/>
        <v>0</v>
      </c>
      <c r="X341" s="162">
        <f ca="1"/>
        <v>5.5979745032941342E-4</v>
      </c>
      <c r="Y341" s="162">
        <f ca="1"/>
        <v>1.4090636913586252E-3</v>
      </c>
      <c r="Z341" s="162">
        <f ca="1"/>
        <v>4.1561047914970839E-3</v>
      </c>
      <c r="AA341" s="162">
        <f ca="1"/>
        <v>8.8282407810487129E-3</v>
      </c>
      <c r="AB341" s="162">
        <f ca="1"/>
        <v>0</v>
      </c>
      <c r="AC341" s="162">
        <f ca="1"/>
        <v>2.3455558876522065E-2</v>
      </c>
      <c r="AD341" s="162">
        <f ca="1"/>
        <v>4.1409860049732239E-2</v>
      </c>
      <c r="AE341" s="138">
        <f ca="1"/>
        <v>7.3117748896761592E-2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7.4632789407114153E-4</v>
      </c>
      <c r="P342" s="162">
        <f ca="1"/>
        <v>2.2560092327937875E-3</v>
      </c>
      <c r="Q342" s="162">
        <f ca="1"/>
        <v>6.4903190824309176E-3</v>
      </c>
      <c r="R342" s="162">
        <f ca="1"/>
        <v>1.1895269755694327E-2</v>
      </c>
      <c r="S342" s="162">
        <f ca="1"/>
        <v>0</v>
      </c>
      <c r="T342" s="162">
        <f ca="1"/>
        <v>2.3986821568656502E-2</v>
      </c>
      <c r="U342" s="162">
        <f ca="1"/>
        <v>3.8327051889193053E-2</v>
      </c>
      <c r="V342" s="138">
        <f ca="1"/>
        <v>6.3375228450853083E-2</v>
      </c>
      <c r="W342" s="137">
        <f ca="1"/>
        <v>0</v>
      </c>
      <c r="X342" s="162">
        <f ca="1"/>
        <v>8.3957855043315099E-4</v>
      </c>
      <c r="Y342" s="162">
        <f ca="1"/>
        <v>2.4222860411403646E-3</v>
      </c>
      <c r="Z342" s="162">
        <f ca="1"/>
        <v>6.8214337872323227E-3</v>
      </c>
      <c r="AA342" s="162">
        <f ca="1"/>
        <v>1.2389198628302456E-2</v>
      </c>
      <c r="AB342" s="162">
        <f ca="1"/>
        <v>0</v>
      </c>
      <c r="AC342" s="162">
        <f ca="1"/>
        <v>2.4799827084677872E-2</v>
      </c>
      <c r="AD342" s="162">
        <f ca="1"/>
        <v>3.9471958542433905E-2</v>
      </c>
      <c r="AE342" s="138">
        <f ca="1"/>
        <v>6.4961681444412278E-2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2.2313673581930704E-3</v>
      </c>
      <c r="Q343" s="162">
        <f ca="1"/>
        <v>0</v>
      </c>
      <c r="R343" s="162">
        <f ca="1"/>
        <v>1.2369776666049215E-2</v>
      </c>
      <c r="S343" s="162">
        <f ca="1"/>
        <v>0</v>
      </c>
      <c r="T343" s="162">
        <f ca="1"/>
        <v>3.2776218260553436E-2</v>
      </c>
      <c r="U343" s="162">
        <f ca="1"/>
        <v>6.3185356061101539E-2</v>
      </c>
      <c r="V343" s="138">
        <f ca="1"/>
        <v>8.707484313652325E-2</v>
      </c>
      <c r="W343" s="137">
        <f ca="1"/>
        <v>0</v>
      </c>
      <c r="X343" s="162">
        <f ca="1"/>
        <v>0</v>
      </c>
      <c r="Y343" s="162">
        <f ca="1"/>
        <v>2.3560806425472203E-3</v>
      </c>
      <c r="Z343" s="162">
        <f ca="1"/>
        <v>0</v>
      </c>
      <c r="AA343" s="162">
        <f ca="1"/>
        <v>1.2740068565724072E-2</v>
      </c>
      <c r="AB343" s="162">
        <f ca="1"/>
        <v>0</v>
      </c>
      <c r="AC343" s="162">
        <f ca="1"/>
        <v>3.3380544252578748E-2</v>
      </c>
      <c r="AD343" s="162">
        <f ca="1"/>
        <v>6.4004710354773731E-2</v>
      </c>
      <c r="AE343" s="138">
        <f ca="1"/>
        <v>8.8236871793043847E-2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3.8047983964776266E-3</v>
      </c>
      <c r="Q344" s="162">
        <f ca="1"/>
        <v>0</v>
      </c>
      <c r="R344" s="162">
        <f ca="1"/>
        <v>1.7768706715289406E-2</v>
      </c>
      <c r="S344" s="162">
        <f ca="1"/>
        <v>0</v>
      </c>
      <c r="T344" s="162">
        <f ca="1"/>
        <v>3.8067213745813788E-2</v>
      </c>
      <c r="U344" s="162">
        <f ca="1"/>
        <v>5.6373907280375501E-2</v>
      </c>
      <c r="V344" s="138">
        <f ca="1"/>
        <v>9.0750419671796534E-2</v>
      </c>
      <c r="W344" s="137">
        <f ca="1"/>
        <v>0</v>
      </c>
      <c r="X344" s="162">
        <f ca="1"/>
        <v>0</v>
      </c>
      <c r="Y344" s="162">
        <f ca="1"/>
        <v>3.92931501423055E-3</v>
      </c>
      <c r="Z344" s="162">
        <f ca="1"/>
        <v>0</v>
      </c>
      <c r="AA344" s="162">
        <f ca="1"/>
        <v>1.8136974395792205E-2</v>
      </c>
      <c r="AB344" s="162">
        <f ca="1"/>
        <v>0</v>
      </c>
      <c r="AC344" s="162">
        <f ca="1"/>
        <v>3.8668233898862536E-2</v>
      </c>
      <c r="AD344" s="162">
        <f ca="1"/>
        <v>5.7199218985011346E-2</v>
      </c>
      <c r="AE344" s="138">
        <f ca="1"/>
        <v>9.1917014418150478E-2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8.046113776490893E-4</v>
      </c>
      <c r="P345" s="162">
        <f ca="1"/>
        <v>2.2098074636112131E-3</v>
      </c>
      <c r="Q345" s="162">
        <f ca="1"/>
        <v>7.3514374668044447E-3</v>
      </c>
      <c r="R345" s="162">
        <f ca="1"/>
        <v>1.5141439599844597E-2</v>
      </c>
      <c r="S345" s="162">
        <f ca="1"/>
        <v>0</v>
      </c>
      <c r="T345" s="162">
        <f ca="1"/>
        <v>3.5528371880932386E-2</v>
      </c>
      <c r="U345" s="162">
        <f ca="1"/>
        <v>5.5668017898585997E-2</v>
      </c>
      <c r="V345" s="138">
        <f ca="1"/>
        <v>8.3451445785167722E-2</v>
      </c>
      <c r="W345" s="137">
        <f ca="1"/>
        <v>0</v>
      </c>
      <c r="X345" s="162">
        <f ca="1"/>
        <v>8.7454567628608704E-4</v>
      </c>
      <c r="Y345" s="162">
        <f ca="1"/>
        <v>2.3345234427606387E-3</v>
      </c>
      <c r="Z345" s="162">
        <f ca="1"/>
        <v>7.5995685897561893E-3</v>
      </c>
      <c r="AA345" s="162">
        <f ca="1"/>
        <v>1.5510692320776176E-2</v>
      </c>
      <c r="AB345" s="162">
        <f ca="1"/>
        <v>0</v>
      </c>
      <c r="AC345" s="162">
        <f ca="1"/>
        <v>3.6130978314359408E-2</v>
      </c>
      <c r="AD345" s="162">
        <f ca="1"/>
        <v>5.6511523152663723E-2</v>
      </c>
      <c r="AE345" s="138">
        <f ca="1"/>
        <v>8.4596415722645646E-2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1.0423728895398998E-3</v>
      </c>
      <c r="P346" s="162">
        <f ca="1"/>
        <v>2.9015581357427767E-3</v>
      </c>
      <c r="Q346" s="162">
        <f ca="1"/>
        <v>8.0578865574633118E-3</v>
      </c>
      <c r="R346" s="162">
        <f ca="1"/>
        <v>1.5432712313436014E-2</v>
      </c>
      <c r="S346" s="162">
        <f ca="1"/>
        <v>0</v>
      </c>
      <c r="T346" s="162">
        <f ca="1"/>
        <v>3.4095597220393126E-2</v>
      </c>
      <c r="U346" s="162">
        <f ca="1"/>
        <v>5.2714617883944714E-2</v>
      </c>
      <c r="V346" s="138">
        <f ca="1"/>
        <v>7.9348535082662708E-2</v>
      </c>
      <c r="W346" s="137">
        <f ca="1"/>
        <v>0</v>
      </c>
      <c r="X346" s="162">
        <f ca="1"/>
        <v>1.1122896506241542E-3</v>
      </c>
      <c r="Y346" s="162">
        <f ca="1"/>
        <v>3.0261876514627861E-3</v>
      </c>
      <c r="Z346" s="162">
        <f ca="1"/>
        <v>8.3058410902014934E-3</v>
      </c>
      <c r="AA346" s="162">
        <f ca="1"/>
        <v>1.5801855827571321E-2</v>
      </c>
      <c r="AB346" s="162">
        <f ca="1"/>
        <v>0</v>
      </c>
      <c r="AC346" s="162">
        <f ca="1"/>
        <v>3.4699098858215427E-2</v>
      </c>
      <c r="AD346" s="162">
        <f ca="1"/>
        <v>5.3560338510219907E-2</v>
      </c>
      <c r="AE346" s="138">
        <f ca="1"/>
        <v>8.0498630454408748E-2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9.7244888534098184E-4</v>
      </c>
      <c r="P347" s="162">
        <f ca="1"/>
        <v>2.7825904746762165E-3</v>
      </c>
      <c r="Q347" s="162">
        <f ca="1"/>
        <v>7.9323607054586631E-3</v>
      </c>
      <c r="R347" s="162">
        <f ca="1"/>
        <v>1.5126311895439892E-2</v>
      </c>
      <c r="S347" s="162">
        <f ca="1"/>
        <v>0</v>
      </c>
      <c r="T347" s="162">
        <f ca="1"/>
        <v>3.4132943545343131E-2</v>
      </c>
      <c r="U347" s="162">
        <f ca="1"/>
        <v>5.372016181397743E-2</v>
      </c>
      <c r="V347" s="138">
        <f ca="1"/>
        <v>8.3538046903640972E-2</v>
      </c>
      <c r="W347" s="137">
        <f ca="1"/>
        <v>0</v>
      </c>
      <c r="X347" s="162">
        <f ca="1"/>
        <v>1.0423708303506363E-3</v>
      </c>
      <c r="Y347" s="162">
        <f ca="1"/>
        <v>2.9072348604363141E-3</v>
      </c>
      <c r="Z347" s="162">
        <f ca="1"/>
        <v>8.180346615744738E-3</v>
      </c>
      <c r="AA347" s="162">
        <f ca="1"/>
        <v>1.5495570288190375E-2</v>
      </c>
      <c r="AB347" s="162">
        <f ca="1"/>
        <v>0</v>
      </c>
      <c r="AC347" s="162">
        <f ca="1"/>
        <v>3.4736421849012711E-2</v>
      </c>
      <c r="AD347" s="162">
        <f ca="1"/>
        <v>5.4565094097722366E-2</v>
      </c>
      <c r="AE347" s="138">
        <f ca="1"/>
        <v>8.4682908657322864E-2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4.4146289765953917E-3</v>
      </c>
      <c r="Q348" s="162">
        <f ca="1"/>
        <v>0</v>
      </c>
      <c r="R348" s="162">
        <f ca="1"/>
        <v>1.8952850561744006E-2</v>
      </c>
      <c r="S348" s="162">
        <f ca="1"/>
        <v>0</v>
      </c>
      <c r="T348" s="162">
        <f ca="1"/>
        <v>4.2667546070010332E-2</v>
      </c>
      <c r="U348" s="162">
        <f ca="1"/>
        <v>6.8989426374881369E-2</v>
      </c>
      <c r="V348" s="138">
        <f ca="1"/>
        <v>0.11887712430302522</v>
      </c>
      <c r="W348" s="137">
        <f ca="1"/>
        <v>0</v>
      </c>
      <c r="X348" s="162">
        <f ca="1"/>
        <v>0</v>
      </c>
      <c r="Y348" s="162">
        <f ca="1"/>
        <v>4.5805460449502844E-3</v>
      </c>
      <c r="Z348" s="162">
        <f ca="1"/>
        <v>0</v>
      </c>
      <c r="AA348" s="162">
        <f ca="1"/>
        <v>1.9443251526028993E-2</v>
      </c>
      <c r="AB348" s="162">
        <f ca="1"/>
        <v>0</v>
      </c>
      <c r="AC348" s="162">
        <f ca="1"/>
        <v>4.3464990800169301E-2</v>
      </c>
      <c r="AD348" s="162">
        <f ca="1"/>
        <v>7.0097082250768605E-2</v>
      </c>
      <c r="AE348" s="138">
        <f ca="1"/>
        <v>0.12039295923736271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8.5356688608728692E-4</v>
      </c>
      <c r="P349" s="162">
        <f ca="1"/>
        <v>2.423305539848597E-3</v>
      </c>
      <c r="Q349" s="162">
        <f ca="1"/>
        <v>6.9472113140021108E-3</v>
      </c>
      <c r="R349" s="162">
        <f ca="1"/>
        <v>1.3355244819469481E-2</v>
      </c>
      <c r="S349" s="162">
        <f ca="1"/>
        <v>0</v>
      </c>
      <c r="T349" s="162">
        <f ca="1"/>
        <v>3.0995164637676931E-2</v>
      </c>
      <c r="U349" s="162">
        <f ca="1"/>
        <v>4.9437108883913949E-2</v>
      </c>
      <c r="V349" s="138">
        <f ca="1"/>
        <v>7.7623757016714312E-2</v>
      </c>
      <c r="W349" s="137">
        <f ca="1"/>
        <v>0</v>
      </c>
      <c r="X349" s="162">
        <f ca="1"/>
        <v>9.2349759427612366E-4</v>
      </c>
      <c r="Y349" s="162">
        <f ca="1"/>
        <v>2.5479948334076186E-3</v>
      </c>
      <c r="Z349" s="162">
        <f ca="1"/>
        <v>7.1954434808551015E-3</v>
      </c>
      <c r="AA349" s="162">
        <f ca="1"/>
        <v>1.3725167237880198E-2</v>
      </c>
      <c r="AB349" s="162">
        <f ca="1"/>
        <v>0</v>
      </c>
      <c r="AC349" s="162">
        <f ca="1"/>
        <v>3.1600603440428254E-2</v>
      </c>
      <c r="AD349" s="162">
        <f ca="1"/>
        <v>5.0286125176361773E-2</v>
      </c>
      <c r="AE349" s="138">
        <f ca="1"/>
        <v>7.877600701418741E-2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9.9342659863688176E-4</v>
      </c>
      <c r="P350" s="162">
        <f ca="1"/>
        <v>2.352685060574955E-3</v>
      </c>
      <c r="Q350" s="162">
        <f ca="1"/>
        <v>6.9196498996747513E-3</v>
      </c>
      <c r="R350" s="162">
        <f ca="1"/>
        <v>1.3275427079684765E-2</v>
      </c>
      <c r="S350" s="162">
        <f ca="1"/>
        <v>0</v>
      </c>
      <c r="T350" s="162">
        <f ca="1"/>
        <v>2.9662162898201783E-2</v>
      </c>
      <c r="U350" s="162">
        <f ca="1"/>
        <v>4.7060268299159769E-2</v>
      </c>
      <c r="V350" s="138">
        <f ca="1"/>
        <v>7.3817416292890403E-2</v>
      </c>
      <c r="W350" s="137">
        <f ca="1"/>
        <v>0</v>
      </c>
      <c r="X350" s="162">
        <f ca="1"/>
        <v>1.0633469907477267E-3</v>
      </c>
      <c r="Y350" s="162">
        <f ca="1"/>
        <v>2.4773831811386593E-3</v>
      </c>
      <c r="Z350" s="162">
        <f ca="1"/>
        <v>7.167888956044699E-3</v>
      </c>
      <c r="AA350" s="162">
        <f ca="1"/>
        <v>1.3645379424117254E-2</v>
      </c>
      <c r="AB350" s="162">
        <f ca="1"/>
        <v>0</v>
      </c>
      <c r="AC350" s="162">
        <f ca="1"/>
        <v>3.0268434566727898E-2</v>
      </c>
      <c r="AD350" s="162">
        <f ca="1"/>
        <v>4.7911256641843925E-2</v>
      </c>
      <c r="AE350" s="138">
        <f ca="1"/>
        <v>7.4974421243825362E-2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1.7250410357425583E-3</v>
      </c>
      <c r="P351" s="162">
        <f ca="1"/>
        <v>3.6618805320735026E-3</v>
      </c>
      <c r="Q351" s="162">
        <f ca="1"/>
        <v>9.7137312203845472E-3</v>
      </c>
      <c r="R351" s="162">
        <f ca="1"/>
        <v>1.6763951443178993E-2</v>
      </c>
      <c r="S351" s="162">
        <f ca="1"/>
        <v>0</v>
      </c>
      <c r="T351" s="162">
        <f ca="1"/>
        <v>3.4963674458223681E-2</v>
      </c>
      <c r="U351" s="162">
        <f ca="1"/>
        <v>5.4608101992162705E-2</v>
      </c>
      <c r="V351" s="138">
        <f ca="1"/>
        <v>8.3908657187663938E-2</v>
      </c>
      <c r="W351" s="137">
        <f ca="1"/>
        <v>0</v>
      </c>
      <c r="X351" s="162">
        <f ca="1"/>
        <v>1.8181952434054294E-3</v>
      </c>
      <c r="Y351" s="162">
        <f ca="1"/>
        <v>3.8279230480653403E-3</v>
      </c>
      <c r="Z351" s="162">
        <f ca="1"/>
        <v>1.0043771633524545E-2</v>
      </c>
      <c r="AA351" s="162">
        <f ca="1"/>
        <v>1.7255446583451017E-2</v>
      </c>
      <c r="AB351" s="162">
        <f ca="1"/>
        <v>0</v>
      </c>
      <c r="AC351" s="162">
        <f ca="1"/>
        <v>3.5767536407137812E-2</v>
      </c>
      <c r="AD351" s="162">
        <f ca="1"/>
        <v>5.5733650790742439E-2</v>
      </c>
      <c r="AE351" s="138">
        <f ca="1"/>
        <v>8.5434204449855944E-2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1.3150497282607976E-3</v>
      </c>
      <c r="P352" s="162">
        <f ca="1"/>
        <v>3.8870147347170869E-3</v>
      </c>
      <c r="Q352" s="162">
        <f ca="1"/>
        <v>1.1118802829642505E-2</v>
      </c>
      <c r="R352" s="162">
        <f ca="1"/>
        <v>1.9191685276508941E-2</v>
      </c>
      <c r="S352" s="162">
        <f ca="1"/>
        <v>0</v>
      </c>
      <c r="T352" s="162">
        <f ca="1"/>
        <v>3.8281475494463924E-2</v>
      </c>
      <c r="U352" s="162">
        <f ca="1"/>
        <v>5.7778578161337246E-2</v>
      </c>
      <c r="V352" s="138">
        <f ca="1"/>
        <v>8.8106944186353564E-2</v>
      </c>
      <c r="W352" s="137">
        <f ca="1"/>
        <v>0</v>
      </c>
      <c r="X352" s="162">
        <f ca="1"/>
        <v>1.4082462908608928E-3</v>
      </c>
      <c r="Y352" s="162">
        <f ca="1"/>
        <v>4.053019731451224E-3</v>
      </c>
      <c r="Z352" s="162">
        <f ca="1"/>
        <v>1.1448374963633712E-2</v>
      </c>
      <c r="AA352" s="162">
        <f ca="1"/>
        <v>1.9681966853261179E-2</v>
      </c>
      <c r="AB352" s="162">
        <f ca="1"/>
        <v>0</v>
      </c>
      <c r="AC352" s="162">
        <f ca="1"/>
        <v>3.9082573760919392E-2</v>
      </c>
      <c r="AD352" s="162">
        <f ca="1"/>
        <v>5.8899197897447353E-2</v>
      </c>
      <c r="AE352" s="138">
        <f ca="1"/>
        <v>8.9625500131256364E-2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9.5147073317269903E-4</v>
      </c>
      <c r="P353" s="162">
        <f ca="1"/>
        <v>2.7339273749329429E-3</v>
      </c>
      <c r="Q353" s="162">
        <f ca="1"/>
        <v>7.1004377125489793E-3</v>
      </c>
      <c r="R353" s="162">
        <f ca="1"/>
        <v>1.4291350604214492E-2</v>
      </c>
      <c r="S353" s="162">
        <f ca="1"/>
        <v>0</v>
      </c>
      <c r="T353" s="162">
        <f ca="1"/>
        <v>3.7138404167587291E-2</v>
      </c>
      <c r="U353" s="162">
        <f ca="1"/>
        <v>5.9965340940681622E-2</v>
      </c>
      <c r="V353" s="138">
        <f ca="1"/>
        <v>9.0973556180883652E-2</v>
      </c>
      <c r="W353" s="137">
        <f ca="1"/>
        <v>0</v>
      </c>
      <c r="X353" s="162">
        <f ca="1"/>
        <v>1.0447015361707557E-3</v>
      </c>
      <c r="Y353" s="162">
        <f ca="1"/>
        <v>2.9001245368960316E-3</v>
      </c>
      <c r="Z353" s="162">
        <f ca="1"/>
        <v>7.4313490783362024E-3</v>
      </c>
      <c r="AA353" s="162">
        <f ca="1"/>
        <v>1.4784081735882193E-2</v>
      </c>
      <c r="AB353" s="162">
        <f ca="1"/>
        <v>0</v>
      </c>
      <c r="AC353" s="162">
        <f ca="1"/>
        <v>3.7940454596661732E-2</v>
      </c>
      <c r="AD353" s="162">
        <f ca="1"/>
        <v>6.1086545223132949E-2</v>
      </c>
      <c r="AE353" s="138">
        <f ca="1"/>
        <v>9.2511685509736652E-2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1.5386931361407452E-3</v>
      </c>
      <c r="P354" s="162">
        <f ca="1"/>
        <v>4.4888519075370059E-3</v>
      </c>
      <c r="Q354" s="162">
        <f ca="1"/>
        <v>1.1160609028969315E-2</v>
      </c>
      <c r="R354" s="162">
        <f ca="1"/>
        <v>1.8151787609635095E-2</v>
      </c>
      <c r="S354" s="162">
        <f ca="1"/>
        <v>0</v>
      </c>
      <c r="T354" s="162">
        <f ca="1"/>
        <v>3.563890334288955E-2</v>
      </c>
      <c r="U354" s="162">
        <f ca="1"/>
        <v>5.4298721680427819E-2</v>
      </c>
      <c r="V354" s="138">
        <f ca="1"/>
        <v>8.3602863583755793E-2</v>
      </c>
      <c r="W354" s="137">
        <f ca="1"/>
        <v>0</v>
      </c>
      <c r="X354" s="162">
        <f ca="1"/>
        <v>1.631866052319797E-3</v>
      </c>
      <c r="Y354" s="162">
        <f ca="1"/>
        <v>4.6547566064524259E-3</v>
      </c>
      <c r="Z354" s="162">
        <f ca="1"/>
        <v>1.1490167229876946E-2</v>
      </c>
      <c r="AA354" s="162">
        <f ca="1"/>
        <v>1.8642589005256949E-2</v>
      </c>
      <c r="AB354" s="162">
        <f ca="1"/>
        <v>0</v>
      </c>
      <c r="AC354" s="162">
        <f ca="1"/>
        <v>3.644220283547539E-2</v>
      </c>
      <c r="AD354" s="162">
        <f ca="1"/>
        <v>5.5423809605555041E-2</v>
      </c>
      <c r="AE354" s="138">
        <f ca="1"/>
        <v>8.512892007747197E-2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9.887649224937789E-4</v>
      </c>
      <c r="P355" s="162">
        <f ca="1"/>
        <v>3.001302707666853E-3</v>
      </c>
      <c r="Q355" s="162">
        <f ca="1"/>
        <v>6.9493904721865674E-3</v>
      </c>
      <c r="R355" s="162">
        <f ca="1"/>
        <v>1.3116497378158454E-2</v>
      </c>
      <c r="S355" s="162">
        <f ca="1"/>
        <v>0</v>
      </c>
      <c r="T355" s="162">
        <f ca="1"/>
        <v>3.0984756706920247E-2</v>
      </c>
      <c r="U355" s="162">
        <f ca="1"/>
        <v>4.9750113972640397E-2</v>
      </c>
      <c r="V355" s="138">
        <f ca="1"/>
        <v>7.8045825582617967E-2</v>
      </c>
      <c r="W355" s="137">
        <f ca="1"/>
        <v>0</v>
      </c>
      <c r="X355" s="162">
        <f ca="1"/>
        <v>1.0819920960958296E-3</v>
      </c>
      <c r="Y355" s="162">
        <f ca="1"/>
        <v>3.167455310777112E-3</v>
      </c>
      <c r="Z355" s="162">
        <f ca="1"/>
        <v>7.2803521786727332E-3</v>
      </c>
      <c r="AA355" s="162">
        <f ca="1"/>
        <v>1.3609815789572766E-2</v>
      </c>
      <c r="AB355" s="162">
        <f ca="1"/>
        <v>0</v>
      </c>
      <c r="AC355" s="162">
        <f ca="1"/>
        <v>3.179193303950012E-2</v>
      </c>
      <c r="AD355" s="162">
        <f ca="1"/>
        <v>5.088259506459103E-2</v>
      </c>
      <c r="AE355" s="138">
        <f ca="1"/>
        <v>7.9606599006237788E-2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7.6264761092903477E-4</v>
      </c>
      <c r="P356" s="162">
        <f ca="1"/>
        <v>2.0766394954144785E-3</v>
      </c>
      <c r="Q356" s="162">
        <f ca="1"/>
        <v>5.6963578345291532E-3</v>
      </c>
      <c r="R356" s="162">
        <f ca="1"/>
        <v>1.0593515193019876E-2</v>
      </c>
      <c r="S356" s="162">
        <f ca="1"/>
        <v>0</v>
      </c>
      <c r="T356" s="162">
        <f ca="1"/>
        <v>2.2562099553107617E-2</v>
      </c>
      <c r="U356" s="162">
        <f ca="1"/>
        <v>3.6027766066988209E-2</v>
      </c>
      <c r="V356" s="138">
        <f ca="1"/>
        <v>5.9208785247657048E-2</v>
      </c>
      <c r="W356" s="137">
        <f ca="1"/>
        <v>0</v>
      </c>
      <c r="X356" s="162">
        <f ca="1"/>
        <v>8.3258497881066873E-4</v>
      </c>
      <c r="Y356" s="162">
        <f ca="1"/>
        <v>2.2013721195349722E-3</v>
      </c>
      <c r="Z356" s="162">
        <f ca="1"/>
        <v>5.944902675682151E-3</v>
      </c>
      <c r="AA356" s="162">
        <f ca="1"/>
        <v>1.0964473065856128E-2</v>
      </c>
      <c r="AB356" s="162">
        <f ca="1"/>
        <v>0</v>
      </c>
      <c r="AC356" s="162">
        <f ca="1"/>
        <v>2.3172807374811422E-2</v>
      </c>
      <c r="AD356" s="162">
        <f ca="1"/>
        <v>3.6888359069950249E-2</v>
      </c>
      <c r="AE356" s="138">
        <f ca="1"/>
        <v>6.040283321516271E-2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1.6225539781941078E-3</v>
      </c>
      <c r="P357" s="162">
        <f ca="1"/>
        <v>3.7002790787327156E-3</v>
      </c>
      <c r="Q357" s="162">
        <f ca="1"/>
        <v>9.6099132364551032E-3</v>
      </c>
      <c r="R357" s="162">
        <f ca="1"/>
        <v>1.7142291395825682E-2</v>
      </c>
      <c r="S357" s="162">
        <f ca="1"/>
        <v>0</v>
      </c>
      <c r="T357" s="162">
        <f ca="1"/>
        <v>3.405234351150932E-2</v>
      </c>
      <c r="U357" s="162">
        <f ca="1"/>
        <v>5.2747865060161603E-2</v>
      </c>
      <c r="V357" s="138">
        <f ca="1"/>
        <v>8.4257567116688081E-2</v>
      </c>
      <c r="W357" s="137">
        <f ca="1"/>
        <v>0</v>
      </c>
      <c r="X357" s="162">
        <f ca="1"/>
        <v>1.7157184957725669E-3</v>
      </c>
      <c r="Y357" s="162">
        <f ca="1"/>
        <v>3.8663151954905217E-3</v>
      </c>
      <c r="Z357" s="162">
        <f ca="1"/>
        <v>9.9399882498333314E-3</v>
      </c>
      <c r="AA357" s="162">
        <f ca="1"/>
        <v>1.7633597413370672E-2</v>
      </c>
      <c r="AB357" s="162">
        <f ca="1"/>
        <v>0</v>
      </c>
      <c r="AC357" s="162">
        <f ca="1"/>
        <v>3.4856964586597483E-2</v>
      </c>
      <c r="AD357" s="162">
        <f ca="1"/>
        <v>5.3875312183766511E-2</v>
      </c>
      <c r="AE357" s="138">
        <f ca="1"/>
        <v>8.5782533346604573E-2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9.9342659863688176E-4</v>
      </c>
      <c r="P358" s="162">
        <f ca="1"/>
        <v>2.4466177335217276E-3</v>
      </c>
      <c r="Q358" s="162">
        <f ca="1"/>
        <v>6.6263901403936787E-3</v>
      </c>
      <c r="R358" s="162">
        <f ca="1"/>
        <v>1.3006430203929997E-2</v>
      </c>
      <c r="S358" s="162">
        <f ca="1"/>
        <v>0</v>
      </c>
      <c r="T358" s="162">
        <f ca="1"/>
        <v>3.1033134090604264E-2</v>
      </c>
      <c r="U358" s="162">
        <f ca="1"/>
        <v>4.9475155206134436E-2</v>
      </c>
      <c r="V358" s="138">
        <f ca="1"/>
        <v>7.6226782427879836E-2</v>
      </c>
      <c r="W358" s="137">
        <f ca="1"/>
        <v>0</v>
      </c>
      <c r="X358" s="162">
        <f ca="1"/>
        <v>1.0633469907477267E-3</v>
      </c>
      <c r="Y358" s="162">
        <f ca="1"/>
        <v>2.5713041132432446E-3</v>
      </c>
      <c r="Z358" s="162">
        <f ca="1"/>
        <v>6.8747025025085451E-3</v>
      </c>
      <c r="AA358" s="162">
        <f ca="1"/>
        <v>1.3376483403275241E-2</v>
      </c>
      <c r="AB358" s="162">
        <f ca="1"/>
        <v>0</v>
      </c>
      <c r="AC358" s="162">
        <f ca="1"/>
        <v>3.1638549169887731E-2</v>
      </c>
      <c r="AD358" s="162">
        <f ca="1"/>
        <v>5.0324249419683276E-2</v>
      </c>
      <c r="AE358" s="138">
        <f ca="1"/>
        <v>7.7380777552594315E-2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1.909496731951732E-3</v>
      </c>
      <c r="Q359" s="162">
        <f ca="1"/>
        <v>0</v>
      </c>
      <c r="R359" s="162">
        <f ca="1"/>
        <v>8.8514024901585886E-3</v>
      </c>
      <c r="S359" s="162">
        <f ca="1"/>
        <v>0</v>
      </c>
      <c r="T359" s="162">
        <f ca="1"/>
        <v>2.3415593087128594E-2</v>
      </c>
      <c r="U359" s="162">
        <f ca="1"/>
        <v>4.1948521728774391E-2</v>
      </c>
      <c r="V359" s="138">
        <f ca="1"/>
        <v>7.2367912750933461E-2</v>
      </c>
      <c r="W359" s="137">
        <f ca="1"/>
        <v>0</v>
      </c>
      <c r="X359" s="162">
        <f ca="1"/>
        <v>0</v>
      </c>
      <c r="Y359" s="162">
        <f ca="1"/>
        <v>2.0342502476217161E-3</v>
      </c>
      <c r="Z359" s="162">
        <f ca="1"/>
        <v>0</v>
      </c>
      <c r="AA359" s="162">
        <f ca="1"/>
        <v>9.2230135328381646E-3</v>
      </c>
      <c r="AB359" s="162">
        <f ca="1"/>
        <v>0</v>
      </c>
      <c r="AC359" s="162">
        <f ca="1"/>
        <v>2.4025767642044893E-2</v>
      </c>
      <c r="AD359" s="162">
        <f ca="1"/>
        <v>4.2804282674818839E-2</v>
      </c>
      <c r="AE359" s="138">
        <f ca="1"/>
        <v>7.3526728449307188E-2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6.3932792354196022E-2</v>
      </c>
      <c r="Q360" s="162">
        <f ca="1"/>
        <v>0</v>
      </c>
      <c r="R360" s="162">
        <f ca="1"/>
        <v>0.14910502285394267</v>
      </c>
      <c r="S360" s="162">
        <f ca="1"/>
        <v>0</v>
      </c>
      <c r="T360" s="162">
        <f ca="1"/>
        <v>0.20623459022616142</v>
      </c>
      <c r="U360" s="162">
        <f ca="1"/>
        <v>0.2353623654107263</v>
      </c>
      <c r="V360" s="138">
        <f ca="1"/>
        <v>0.27032334845315042</v>
      </c>
      <c r="W360" s="137">
        <f ca="1"/>
        <v>0</v>
      </c>
      <c r="X360" s="162">
        <f ca="1"/>
        <v>0</v>
      </c>
      <c r="Y360" s="162">
        <f ca="1"/>
        <v>6.4088790555272834E-2</v>
      </c>
      <c r="Z360" s="162">
        <f ca="1"/>
        <v>0</v>
      </c>
      <c r="AA360" s="162">
        <f ca="1"/>
        <v>0.14953036399835584</v>
      </c>
      <c r="AB360" s="162">
        <f ca="1"/>
        <v>0</v>
      </c>
      <c r="AC360" s="162">
        <f ca="1"/>
        <v>0.20689578586455348</v>
      </c>
      <c r="AD360" s="162">
        <f ca="1"/>
        <v>0.23622443818615857</v>
      </c>
      <c r="AE360" s="138">
        <f ca="1"/>
        <v>0.27149604064093125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3.0922734065620405E-3</v>
      </c>
      <c r="Q361" s="162">
        <f ca="1"/>
        <v>0</v>
      </c>
      <c r="R361" s="162">
        <f ca="1"/>
        <v>1.4131237602026503E-2</v>
      </c>
      <c r="S361" s="162">
        <f ca="1"/>
        <v>0</v>
      </c>
      <c r="T361" s="162">
        <f ca="1"/>
        <v>2.9031885239887423E-2</v>
      </c>
      <c r="U361" s="162">
        <f ca="1"/>
        <v>4.070138060899775E-2</v>
      </c>
      <c r="V361" s="138">
        <f ca="1"/>
        <v>6.0195235024388283E-2</v>
      </c>
      <c r="W361" s="137">
        <f ca="1"/>
        <v>0</v>
      </c>
      <c r="X361" s="162">
        <f ca="1"/>
        <v>0</v>
      </c>
      <c r="Y361" s="162">
        <f ca="1"/>
        <v>3.2584108491495734E-3</v>
      </c>
      <c r="Z361" s="162">
        <f ca="1"/>
        <v>0</v>
      </c>
      <c r="AA361" s="162">
        <f ca="1"/>
        <v>1.4624048770141673E-2</v>
      </c>
      <c r="AB361" s="162">
        <f ca="1"/>
        <v>0</v>
      </c>
      <c r="AC361" s="162">
        <f ca="1"/>
        <v>2.9840688287467887E-2</v>
      </c>
      <c r="AD361" s="162">
        <f ca="1"/>
        <v>4.1842013897039454E-2</v>
      </c>
      <c r="AE361" s="138">
        <f ca="1"/>
        <v>6.1760271739810357E-2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496" t="s">
        <v>456</v>
      </c>
      <c r="D3" s="497"/>
      <c r="E3" s="498"/>
    </row>
    <row r="4" spans="2:11">
      <c r="C4" s="499"/>
      <c r="D4" s="500"/>
      <c r="E4" s="501"/>
    </row>
    <row r="5" spans="2:11" ht="15.75" thickBot="1">
      <c r="C5" s="502"/>
      <c r="D5" s="503"/>
      <c r="E5" s="504"/>
    </row>
    <row r="6" spans="2:11" ht="15.75" thickBot="1"/>
    <row r="7" spans="2:11" ht="16.5" thickBot="1">
      <c r="B7" s="494" t="s">
        <v>454</v>
      </c>
      <c r="C7" s="495"/>
      <c r="D7" s="79"/>
      <c r="E7" s="494" t="s">
        <v>455</v>
      </c>
      <c r="F7" s="495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80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71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8"/>
      <c r="I12" s="79"/>
      <c r="J12" s="79"/>
      <c r="K12" s="79"/>
    </row>
    <row r="13" spans="2:11" ht="15.75" thickBot="1">
      <c r="B13" s="208" t="s">
        <v>496</v>
      </c>
      <c r="C13" s="470">
        <v>10000000</v>
      </c>
      <c r="D13" s="79"/>
      <c r="E13" s="79"/>
      <c r="F13" s="79"/>
      <c r="G13" s="225"/>
      <c r="H13" s="79"/>
      <c r="I13" s="79"/>
      <c r="J13" s="79"/>
      <c r="K13" s="79"/>
    </row>
    <row r="14" spans="2:11" ht="15.7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6" t="str" cm="1">
        <f t="array" aca="1" ref="F15:K22" ca="1">IF(NOT($F$9),"",GetCDS(C9,C10,C11,C12,C13,C19,C20,C21,C15,C16,C17,C23,C24,C26,C28:C30,C32))</f>
        <v>-250880,505775682</v>
      </c>
      <c r="G15" s="267" t="str">
        <f ca="1"/>
        <v>-250880,505775682</v>
      </c>
      <c r="H15" s="262" t="str">
        <f ca="1"/>
        <v>0</v>
      </c>
      <c r="I15" s="266" t="str">
        <f ca="1"/>
        <v>0</v>
      </c>
      <c r="J15" s="267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8" t="str">
        <f ca="1"/>
        <v>180529,85676777</v>
      </c>
      <c r="G16" s="269" t="str">
        <f ca="1"/>
        <v>180529,85676777</v>
      </c>
      <c r="H16" s="263" t="str">
        <f ca="1"/>
        <v>0</v>
      </c>
      <c r="I16" s="268" t="str">
        <f ca="1"/>
        <v>0</v>
      </c>
      <c r="J16" s="269" t="str">
        <f ca="1"/>
        <v>0</v>
      </c>
      <c r="K16" s="263" t="str">
        <f ca="1"/>
        <v>0</v>
      </c>
    </row>
    <row r="17" spans="2:11" ht="15.75" thickBot="1">
      <c r="B17" s="208" t="s">
        <v>439</v>
      </c>
      <c r="C17" s="195">
        <v>0</v>
      </c>
      <c r="E17" s="228" t="s">
        <v>438</v>
      </c>
      <c r="F17" s="278" t="str">
        <f ca="1"/>
        <v>431410,362543452</v>
      </c>
      <c r="G17" s="269" t="str">
        <f ca="1"/>
        <v>431410,362543452</v>
      </c>
      <c r="H17" s="263" t="str">
        <f ca="1"/>
        <v>0</v>
      </c>
      <c r="I17" s="268" t="str">
        <f ca="1"/>
        <v>0</v>
      </c>
      <c r="J17" s="269" t="str">
        <f ca="1"/>
        <v>0</v>
      </c>
      <c r="K17" s="263" t="str">
        <f ca="1"/>
        <v>0</v>
      </c>
    </row>
    <row r="18" spans="2:11" ht="15.75" thickBot="1">
      <c r="B18" s="201"/>
      <c r="C18" s="79"/>
      <c r="E18" s="228" t="s">
        <v>440</v>
      </c>
      <c r="F18" s="278" t="str">
        <f ca="1"/>
        <v>0,00418464349589161</v>
      </c>
      <c r="G18" s="269" t="str">
        <f ca="1"/>
        <v>0,00418464349589161</v>
      </c>
      <c r="H18" s="263" t="str">
        <f ca="1"/>
        <v>0</v>
      </c>
      <c r="I18" s="268" t="str">
        <f ca="1"/>
        <v>0</v>
      </c>
      <c r="J18" s="269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8" t="str">
        <f ca="1"/>
        <v>43141036,2543452</v>
      </c>
      <c r="G19" s="271" t="str">
        <f ca="1"/>
        <v>43141036,2543452</v>
      </c>
      <c r="H19" s="263" t="str">
        <f ca="1"/>
        <v>0</v>
      </c>
      <c r="I19" s="270" t="str">
        <f ca="1"/>
        <v>0</v>
      </c>
      <c r="J19" s="271" t="str">
        <f ca="1"/>
        <v>0</v>
      </c>
      <c r="K19" s="263" t="str">
        <f ca="1"/>
        <v>0</v>
      </c>
    </row>
    <row r="20" spans="2:11" ht="15.75" thickBot="1">
      <c r="B20" s="207" t="s">
        <v>444</v>
      </c>
      <c r="C20" s="69" t="s">
        <v>445</v>
      </c>
      <c r="E20" s="228" t="s">
        <v>443</v>
      </c>
      <c r="F20" s="279" t="str">
        <f ca="1"/>
        <v>00:00:00.0149474</v>
      </c>
      <c r="G20" s="273" t="str">
        <f ca="1"/>
        <v>00:00:00.0149474</v>
      </c>
      <c r="H20" s="263" t="str">
        <f ca="1"/>
        <v>0</v>
      </c>
      <c r="I20" s="272" t="str">
        <f ca="1"/>
        <v>0</v>
      </c>
      <c r="J20" s="273" t="str">
        <f ca="1"/>
        <v>0</v>
      </c>
      <c r="K20" s="263" t="str">
        <f ca="1"/>
        <v>0</v>
      </c>
    </row>
    <row r="21" spans="2:11" ht="15.7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.75" thickBot="1">
      <c r="B22" s="201"/>
      <c r="C22" s="79"/>
      <c r="E22" s="230"/>
      <c r="F22" s="274" t="str">
        <f ca="1"/>
        <v>4501,79110448506</v>
      </c>
      <c r="G22" s="274" t="str">
        <f ca="1"/>
        <v>4407,22018737239</v>
      </c>
      <c r="H22" s="275" t="str">
        <f ca="1"/>
        <v>10214581,7841905</v>
      </c>
      <c r="I22" s="274" t="str">
        <f ca="1"/>
        <v>10214581,7841905</v>
      </c>
      <c r="J22" s="274" t="str">
        <f ca="1"/>
        <v>-180529,85676777</v>
      </c>
      <c r="K22" s="275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defaultColWidth="11.42578125" defaultRowHeight="15"/>
  <sheetData>
    <row r="2" spans="2:11">
      <c r="J2" s="277"/>
      <c r="K2" s="175"/>
    </row>
    <row r="3" spans="2:11">
      <c r="J3" s="277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05">
        <v>1</v>
      </c>
      <c r="J6" s="506"/>
      <c r="K6" s="507"/>
    </row>
    <row r="7" spans="2:11" ht="15.75" thickBot="1">
      <c r="D7" s="169"/>
      <c r="H7" s="181" t="s">
        <v>425</v>
      </c>
      <c r="I7" s="508" t="str" cm="1">
        <f t="array" aca="1" ref="I7" ca="1">GetGetCDSName(I6)</f>
        <v>ABNAMRO_MMR.EUR.SU</v>
      </c>
      <c r="J7" s="509"/>
      <c r="K7" s="510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0.13698630136986301</v>
      </c>
      <c r="D10" s="176">
        <f ca="1">IF(NOT($C$6),"",IF(GetConvertDate(CDSRollDate,B10)&lt;Parameter_Date,0,GetGetDefaultprob($I$6,B10)))</f>
        <v>3.0567603901299201E-4</v>
      </c>
      <c r="E10" s="214">
        <f ca="1">IF(NOT($C$6),"",IF(C11=0,0,-LN(1-D11)/$C11))</f>
        <v>2.2317762024300016E-3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0.22191780821917809</v>
      </c>
      <c r="D11" s="168">
        <f ca="1">IF(NOT($C$6),"",IF(GetConvertDate(CDSRollDate,B11)&lt;Parameter_Date,0,GetGetDefaultprob($I$6,B11)))</f>
        <v>4.9514825690033515E-4</v>
      </c>
      <c r="E11" s="177">
        <f ca="1">IF(NOT($C$6),"",IF(C11=0,0,-LN((1-D11)/(1-D10))/($C11-$C10)))</f>
        <v>2.2317762024303784E-3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0.30684931506849317</v>
      </c>
      <c r="D12" s="168">
        <f ca="1">IF(NOT($C$6),"",IF(GetConvertDate(CDSRollDate,B12)&lt;Parameter_Date,0,GetGetDefaultprob($I$6,B12)))</f>
        <v>6.845845640893744E-4</v>
      </c>
      <c r="E12" s="177">
        <f ca="1">IF(NOT($C$6),"",IF(C12=0,0,-LN((1-D12)/(1-D11))/($C12-$C11)))</f>
        <v>2.231776202431686E-3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0.38904109589041097</v>
      </c>
      <c r="D13" s="168">
        <f ca="1">IF(NOT($C$6),"",IF(GetConvertDate(CDSRollDate,B13)&lt;Parameter_Date,0,GetGetDefaultprob($I$6,B13)))</f>
        <v>8.6787583730196793E-4</v>
      </c>
      <c r="E13" s="177">
        <f t="shared" ref="E13:E75" ca="1" si="2">IF(NOT($C$6),"",IF(C13=0,0,-LN((1-D13)/(1-D12))/($C13-$C12)))</f>
        <v>2.2317762024295635E-3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0.47397260273972602</v>
      </c>
      <c r="D14" s="168">
        <f ca="1">IF(NOT($C$6),"",IF(GetConvertDate(CDSRollDate,B14)&lt;Parameter_Date,0,GetGetDefaultprob($I$6,B14)))</f>
        <v>1.0572415013757608E-3</v>
      </c>
      <c r="E14" s="177">
        <f t="shared" ca="1" si="2"/>
        <v>2.2317762024303793E-3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0.55616438356164388</v>
      </c>
      <c r="D15" s="168">
        <f ca="1">IF(NOT($C$6),"",IF(GetConvertDate(CDSRollDate,B15)&lt;Parameter_Date,0,GetGetDefaultprob($I$6,B15)))</f>
        <v>1.2404644230314954E-3</v>
      </c>
      <c r="E15" s="177">
        <f t="shared" ca="1" si="2"/>
        <v>2.2317762024295618E-3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0.64109589041095894</v>
      </c>
      <c r="D16" s="168">
        <f ca="1">IF(NOT($C$6),"",IF(GetConvertDate(CDSRollDate,B16)&lt;Parameter_Date,0,GetGetDefaultprob($I$6,B16)))</f>
        <v>1.6340951857874986E-3</v>
      </c>
      <c r="E16" s="177">
        <f t="shared" ca="1" si="2"/>
        <v>4.6413557742230648E-3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0.72602739726027399</v>
      </c>
      <c r="D17" s="168">
        <f ca="1">IF(NOT($C$6),"",IF(GetConvertDate(CDSRollDate,B17)&lt;Parameter_Date,0,GetGetDefaultprob($I$6,B17)))</f>
        <v>2.027570810923307E-3</v>
      </c>
      <c r="E17" s="177">
        <f t="shared" ca="1" si="2"/>
        <v>4.6413557742230648E-3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0.80273972602739729</v>
      </c>
      <c r="D18" s="168">
        <f ca="1">IF(NOT($C$6),"",IF(GetConvertDate(CDSRollDate,B18)&lt;Parameter_Date,0,GetGetDefaultprob($I$6,B18)))</f>
        <v>2.382834856520577E-3</v>
      </c>
      <c r="E18" s="177">
        <f t="shared" ca="1" si="2"/>
        <v>4.64135577422324E-3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0.88767123287671235</v>
      </c>
      <c r="D19" s="168">
        <f ca="1">IF(NOT($C$6),"",IF(GetConvertDate(CDSRollDate,B19)&lt;Parameter_Date,0,GetGetDefaultprob($I$6,B19)))</f>
        <v>2.7760153886363659E-3</v>
      </c>
      <c r="E19" s="177">
        <f t="shared" ca="1" si="2"/>
        <v>4.6413557742230648E-3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0.96986301369863015</v>
      </c>
      <c r="D20" s="168">
        <f ca="1">IF(NOT($C$6),"",IF(GetConvertDate(CDSRollDate,B20)&lt;Parameter_Date,0,GetGetDefaultprob($I$6,B20)))</f>
        <v>3.1563651344286292E-3</v>
      </c>
      <c r="E20" s="177">
        <f t="shared" ca="1" si="2"/>
        <v>4.6413557742241507E-3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1.0547945205479452</v>
      </c>
      <c r="D21" s="168">
        <f ca="1">IF(NOT($C$6),"",IF(GetConvertDate(CDSRollDate,B21)&lt;Parameter_Date,0,GetGetDefaultprob($I$6,B21)))</f>
        <v>3.5492408030587397E-3</v>
      </c>
      <c r="E21" s="177">
        <f t="shared" ca="1" si="2"/>
        <v>4.6413557742230648E-3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1.1369863013698631</v>
      </c>
      <c r="D22" s="168">
        <f ca="1">IF(NOT($C$6),"",IF(GetConvertDate(CDSRollDate,B22)&lt;Parameter_Date,0,GetGetDefaultprob($I$6,B22)))</f>
        <v>3.9979127716890384E-3</v>
      </c>
      <c r="E22" s="177">
        <f t="shared" ca="1" si="2"/>
        <v>5.479519765866951E-3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1.2219178082191782</v>
      </c>
      <c r="D23" s="168">
        <f ca="1">IF(NOT($C$6),"",IF(GetConvertDate(CDSRollDate,B23)&lt;Parameter_Date,0,GetGetDefaultprob($I$6,B23)))</f>
        <v>4.4613282366897655E-3</v>
      </c>
      <c r="E23" s="177">
        <f t="shared" ca="1" si="2"/>
        <v>5.4795197658679268E-3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1.3068493150684932</v>
      </c>
      <c r="D24" s="168">
        <f ca="1">IF(NOT($C$6),"",IF(GetConvertDate(CDSRollDate,B24)&lt;Parameter_Date,0,GetGetDefaultprob($I$6,B24)))</f>
        <v>4.924528085783475E-3</v>
      </c>
      <c r="E24" s="177">
        <f t="shared" ca="1" si="2"/>
        <v>5.4795197658653108E-3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1.3890410958904109</v>
      </c>
      <c r="D25" s="168">
        <f ca="1">IF(NOT($C$6),"",IF(GetConvertDate(CDSRollDate,B25)&lt;Parameter_Date,0,GetGetDefaultprob($I$6,B25)))</f>
        <v>5.3725808036912959E-3</v>
      </c>
      <c r="E25" s="177">
        <f t="shared" ca="1" si="2"/>
        <v>5.4795197658669657E-3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1.473972602739726</v>
      </c>
      <c r="D26" s="168">
        <f ca="1">IF(NOT($C$6),"",IF(GetConvertDate(CDSRollDate,B26)&lt;Parameter_Date,0,GetGetDefaultprob($I$6,B26)))</f>
        <v>5.8353566692037617E-3</v>
      </c>
      <c r="E26" s="177">
        <f t="shared" ca="1" si="2"/>
        <v>5.4795197658679268E-3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1.5561643835616439</v>
      </c>
      <c r="D27" s="168">
        <f ca="1">IF(NOT($C$6),"",IF(GetConvertDate(CDSRollDate,B27)&lt;Parameter_Date,0,GetGetDefaultprob($I$6,B27)))</f>
        <v>6.2829992682472691E-3</v>
      </c>
      <c r="E27" s="177">
        <f t="shared" ca="1" si="2"/>
        <v>5.4795197658655996E-3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1.6410958904109589</v>
      </c>
      <c r="D28" s="168">
        <f ca="1">IF(NOT($C$6),"",IF(GetConvertDate(CDSRollDate,B28)&lt;Parameter_Date,0,GetGetDefaultprob($I$6,B28)))</f>
        <v>6.7453515382657203E-3</v>
      </c>
      <c r="E28" s="177">
        <f t="shared" ca="1" si="2"/>
        <v>5.4795197658666188E-3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1.726027397260274</v>
      </c>
      <c r="D29" s="168">
        <f ca="1">IF(NOT($C$6),"",IF(GetConvertDate(CDSRollDate,B29)&lt;Parameter_Date,0,GetGetDefaultprob($I$6,B29)))</f>
        <v>7.2074886870561183E-3</v>
      </c>
      <c r="E29" s="177">
        <f t="shared" ca="1" si="2"/>
        <v>5.4795197658679268E-3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1.8027397260273972</v>
      </c>
      <c r="D30" s="168">
        <f ca="1">IF(NOT($C$6),"",IF(GetConvertDate(CDSRollDate,B30)&lt;Parameter_Date,0,GetGetDefaultprob($I$6,B30)))</f>
        <v>7.6247180679348547E-3</v>
      </c>
      <c r="E30" s="177">
        <f t="shared" ca="1" si="2"/>
        <v>5.4795197658665459E-3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1.8876712328767122</v>
      </c>
      <c r="D31" s="168">
        <f ca="1">IF(NOT($C$6),"",IF(GetConvertDate(CDSRollDate,B31)&lt;Parameter_Date,0,GetGetDefaultprob($I$6,B31)))</f>
        <v>8.086446068938713E-3</v>
      </c>
      <c r="E31" s="177">
        <f t="shared" ca="1" si="2"/>
        <v>5.4795197658653108E-3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1.9698630136986301</v>
      </c>
      <c r="D32" s="168">
        <f ca="1">IF(NOT($C$6),"",IF(GetConvertDate(CDSRollDate,B32)&lt;Parameter_Date,0,GetGetDefaultprob($I$6,B32)))</f>
        <v>8.5330750697656388E-3</v>
      </c>
      <c r="E32" s="177">
        <f t="shared" ca="1" si="2"/>
        <v>5.479519765866951E-3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2.0547945205479454</v>
      </c>
      <c r="D33" s="168">
        <f ca="1">IF(NOT($C$6),"",IF(GetConvertDate(CDSRollDate,B33)&lt;Parameter_Date,0,GetGetDefaultprob($I$6,B33)))</f>
        <v>8.9943804344239098E-3</v>
      </c>
      <c r="E33" s="177">
        <f t="shared" ca="1" si="2"/>
        <v>5.479519765866604E-3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2.1369863013698631</v>
      </c>
      <c r="D34" s="168">
        <f ca="1">IF(NOT($C$6),"",IF(GetConvertDate(CDSRollDate,B34)&lt;Parameter_Date,0,GetGetDefaultprob($I$6,B34)))</f>
        <v>9.5957635207785108E-3</v>
      </c>
      <c r="E34" s="177">
        <f t="shared" ca="1" si="2"/>
        <v>7.3854763092055607E-3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2.2219178082191782</v>
      </c>
      <c r="D35" s="168">
        <f ca="1">IF(NOT($C$6),"",IF(GetConvertDate(CDSRollDate,B35)&lt;Parameter_Date,0,GetGetDefaultprob($I$6,B35)))</f>
        <v>1.021680931858493E-2</v>
      </c>
      <c r="E35" s="177">
        <f t="shared" ca="1" si="2"/>
        <v>7.3854763092050966E-3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2.3068493150684932</v>
      </c>
      <c r="D36" s="168">
        <f ca="1">IF(NOT($C$6),"",IF(GetConvertDate(CDSRollDate,B36)&lt;Parameter_Date,0,GetGetDefaultprob($I$6,B36)))</f>
        <v>1.0837465681584058E-2</v>
      </c>
      <c r="E36" s="177">
        <f t="shared" ca="1" si="2"/>
        <v>7.3854763092050966E-3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2.3890410958904109</v>
      </c>
      <c r="D37" s="168">
        <f ca="1">IF(NOT($C$6),"",IF(GetConvertDate(CDSRollDate,B37)&lt;Parameter_Date,0,GetGetDefaultprob($I$6,B37)))</f>
        <v>1.1437730307788163E-2</v>
      </c>
      <c r="E37" s="177">
        <f t="shared" ca="1" si="2"/>
        <v>7.3854763092055607E-3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2.473972602739726</v>
      </c>
      <c r="D38" s="168">
        <f ca="1">IF(NOT($C$6),"",IF(GetConvertDate(CDSRollDate,B38)&lt;Parameter_Date,0,GetGetDefaultprob($I$6,B38)))</f>
        <v>1.2057621076475566E-2</v>
      </c>
      <c r="E38" s="177">
        <f t="shared" ca="1" si="2"/>
        <v>7.3854763092064055E-3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2.5561643835616437</v>
      </c>
      <c r="D39" s="168">
        <f ca="1">IF(NOT($C$6),"",IF(GetConvertDate(CDSRollDate,B39)&lt;Parameter_Date,0,GetGetDefaultprob($I$6,B39)))</f>
        <v>1.2657145262057745E-2</v>
      </c>
      <c r="E39" s="177">
        <f t="shared" ca="1" si="2"/>
        <v>7.3854763092042084E-3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2.6410958904109587</v>
      </c>
      <c r="D40" s="168">
        <f ca="1">IF(NOT($C$6),"",IF(GetConvertDate(CDSRollDate,B40)&lt;Parameter_Date,0,GetGetDefaultprob($I$6,B40)))</f>
        <v>1.327627138081211E-2</v>
      </c>
      <c r="E40" s="177">
        <f t="shared" ca="1" si="2"/>
        <v>7.3854763092064055E-3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2.7260273972602738</v>
      </c>
      <c r="D41" s="168">
        <f ca="1">IF(NOT($C$6),"",IF(GetConvertDate(CDSRollDate,B41)&lt;Parameter_Date,0,GetGetDefaultprob($I$6,B41)))</f>
        <v>1.3895009268518721E-2</v>
      </c>
      <c r="E41" s="177">
        <f t="shared" ca="1" si="2"/>
        <v>7.3854763092050966E-3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2.8027397260273972</v>
      </c>
      <c r="D42" s="168">
        <f ca="1">IF(NOT($C$6),"",IF(GetConvertDate(CDSRollDate,B42)&lt;Parameter_Date,0,GetGetDefaultprob($I$6,B42)))</f>
        <v>1.4453535805757034E-2</v>
      </c>
      <c r="E42" s="177">
        <f t="shared" ca="1" si="2"/>
        <v>7.3854763092043099E-3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2.8876712328767122</v>
      </c>
      <c r="D43" s="168">
        <f ca="1">IF(NOT($C$6),"",IF(GetConvertDate(CDSRollDate,B43)&lt;Parameter_Date,0,GetGetDefaultprob($I$6,B43)))</f>
        <v>1.5071535474565745E-2</v>
      </c>
      <c r="E43" s="177">
        <f t="shared" ca="1" si="2"/>
        <v>7.3854763092064055E-3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2.9698630136986299</v>
      </c>
      <c r="D44" s="168">
        <f ca="1">IF(NOT($C$6),"",IF(GetConvertDate(CDSRollDate,B44)&lt;Parameter_Date,0,GetGetDefaultprob($I$6,B44)))</f>
        <v>1.5669230692575087E-2</v>
      </c>
      <c r="E44" s="177">
        <f t="shared" ca="1" si="2"/>
        <v>7.3854763092055607E-3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3.0547945205479454</v>
      </c>
      <c r="D45" s="168">
        <f ca="1">IF(NOT($C$6),"",IF(GetConvertDate(CDSRollDate,B45)&lt;Parameter_Date,0,GetGetDefaultprob($I$6,B45)))</f>
        <v>1.6286468044167113E-2</v>
      </c>
      <c r="E45" s="177">
        <f t="shared" ca="1" si="2"/>
        <v>7.3854763092050585E-3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3.1369863013698631</v>
      </c>
      <c r="D46" s="168">
        <f ca="1">IF(NOT($C$6),"",IF(GetConvertDate(CDSRollDate,B46)&lt;Parameter_Date,0,GetGetDefaultprob($I$6,B46)))</f>
        <v>1.7026842651751917E-2</v>
      </c>
      <c r="E46" s="177">
        <f t="shared" ca="1" si="2"/>
        <v>9.160474348529405E-3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3.2219178082191782</v>
      </c>
      <c r="D47" s="168">
        <f ca="1">IF(NOT($C$6),"",IF(GetConvertDate(CDSRollDate,B47)&lt;Parameter_Date,0,GetGetDefaultprob($I$6,B47)))</f>
        <v>1.7791311016887801E-2</v>
      </c>
      <c r="E47" s="177">
        <f t="shared" ca="1" si="2"/>
        <v>9.1604743485303244E-3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3.3068493150684932</v>
      </c>
      <c r="D48" s="168">
        <f ca="1">IF(NOT($C$6),"",IF(GetConvertDate(CDSRollDate,B48)&lt;Parameter_Date,0,GetGetDefaultprob($I$6,B48)))</f>
        <v>1.8555184847089623E-2</v>
      </c>
      <c r="E48" s="177">
        <f t="shared" ca="1" si="2"/>
        <v>9.1604743485303244E-3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3.3890410958904109</v>
      </c>
      <c r="D49" s="168">
        <f ca="1">IF(NOT($C$6),"",IF(GetConvertDate(CDSRollDate,B49)&lt;Parameter_Date,0,GetGetDefaultprob($I$6,B49)))</f>
        <v>1.9293851945061058E-2</v>
      </c>
      <c r="E49" s="177">
        <f t="shared" ca="1" si="2"/>
        <v>9.1604743485307564E-3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3.473972602739726</v>
      </c>
      <c r="D50" s="168">
        <f ca="1">IF(NOT($C$6),"",IF(GetConvertDate(CDSRollDate,B50)&lt;Parameter_Date,0,GetGetDefaultprob($I$6,B50)))</f>
        <v>2.0056557233682382E-2</v>
      </c>
      <c r="E50" s="177">
        <f t="shared" ca="1" si="2"/>
        <v>9.1604743485303244E-3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3.5561643835616437</v>
      </c>
      <c r="D51" s="168">
        <f ca="1">IF(NOT($C$6),"",IF(GetConvertDate(CDSRollDate,B51)&lt;Parameter_Date,0,GetGetDefaultprob($I$6,B51)))</f>
        <v>2.0794094350256254E-2</v>
      </c>
      <c r="E51" s="177">
        <f t="shared" ca="1" si="2"/>
        <v>9.160474348529405E-3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3.6410958904109587</v>
      </c>
      <c r="D52" s="168">
        <f ca="1">IF(NOT($C$6),"",IF(GetConvertDate(CDSRollDate,B52)&lt;Parameter_Date,0,GetGetDefaultprob($I$6,B52)))</f>
        <v>2.1555632884882048E-2</v>
      </c>
      <c r="E52" s="177">
        <f t="shared" ca="1" si="2"/>
        <v>9.1604743485303244E-3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3.7260273972602738</v>
      </c>
      <c r="D53" s="168">
        <f ca="1">IF(NOT($C$6),"",IF(GetConvertDate(CDSRollDate,B53)&lt;Parameter_Date,0,GetGetDefaultprob($I$6,B53)))</f>
        <v>2.2316579163133121E-2</v>
      </c>
      <c r="E53" s="177">
        <f t="shared" ca="1" si="2"/>
        <v>9.1604743485290165E-3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3.8054794520547945</v>
      </c>
      <c r="D54" s="168">
        <f ca="1">IF(NOT($C$6),"",IF(GetConvertDate(CDSRollDate,B54)&lt;Parameter_Date,0,GetGetDefaultprob($I$6,B54)))</f>
        <v>2.3027896367310396E-2</v>
      </c>
      <c r="E54" s="177">
        <f t="shared" ca="1" si="2"/>
        <v>9.1604743485299775E-3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3.8904109589041096</v>
      </c>
      <c r="D55" s="168">
        <f ca="1">IF(NOT($C$6),"",IF(GetConvertDate(CDSRollDate,B55)&lt;Parameter_Date,0,GetGetDefaultprob($I$6,B55)))</f>
        <v>2.3787697651063033E-2</v>
      </c>
      <c r="E55" s="177">
        <f t="shared" ca="1" si="2"/>
        <v>9.1604743485316324E-3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3.9726027397260273</v>
      </c>
      <c r="D56" s="168">
        <f ca="1">IF(NOT($C$6),"",IF(GetConvertDate(CDSRollDate,B56)&lt;Parameter_Date,0,GetGetDefaultprob($I$6,B56)))</f>
        <v>2.4522426590731117E-2</v>
      </c>
      <c r="E56" s="177">
        <f t="shared" ca="1" si="2"/>
        <v>9.1604743485307564E-3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4.0575342465753428</v>
      </c>
      <c r="D57" s="168">
        <f ca="1">IF(NOT($C$6),"",IF(GetConvertDate(CDSRollDate,B57)&lt;Parameter_Date,0,GetGetDefaultprob($I$6,B57)))</f>
        <v>2.5281065562910765E-2</v>
      </c>
      <c r="E57" s="177">
        <f t="shared" ca="1" si="2"/>
        <v>9.1604743485289679E-3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4.13972602739726</v>
      </c>
      <c r="D58" s="168">
        <f ca="1">IF(NOT($C$6),"",IF(GetConvertDate(CDSRollDate,B58)&lt;Parameter_Date,0,GetGetDefaultprob($I$6,B58)))</f>
        <v>2.6014670545607799E-2</v>
      </c>
      <c r="E58" s="177">
        <f t="shared" ca="1" si="2"/>
        <v>9.1604743485294553E-3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4.2246575342465755</v>
      </c>
      <c r="D59" s="168">
        <f ca="1">IF(NOT($C$6),"",IF(GetConvertDate(CDSRollDate,B59)&lt;Parameter_Date,0,GetGetDefaultprob($I$6,B59)))</f>
        <v>2.6772148984269495E-2</v>
      </c>
      <c r="E59" s="177">
        <f t="shared" ca="1" si="2"/>
        <v>9.1604743485315838E-3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4.3095890410958901</v>
      </c>
      <c r="D60" s="168">
        <f ca="1">IF(NOT($C$6),"",IF(GetConvertDate(CDSRollDate,B60)&lt;Parameter_Date,0,GetGetDefaultprob($I$6,B60)))</f>
        <v>2.752903832413478E-2</v>
      </c>
      <c r="E60" s="177">
        <f t="shared" ca="1" si="2"/>
        <v>9.1604743485290633E-3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4.3917808219178083</v>
      </c>
      <c r="D61" s="168">
        <f ca="1">IF(NOT($C$6),"",IF(GetConvertDate(CDSRollDate,B61)&lt;Parameter_Date,0,GetGetDefaultprob($I$6,B61)))</f>
        <v>2.8260951409854962E-2</v>
      </c>
      <c r="E61" s="177">
        <f t="shared" ca="1" si="2"/>
        <v>9.1604743485307078E-3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4.4767123287671229</v>
      </c>
      <c r="D62" s="168">
        <f ca="1">IF(NOT($C$6),"",IF(GetConvertDate(CDSRollDate,B62)&lt;Parameter_Date,0,GetGetDefaultprob($I$6,B62)))</f>
        <v>2.9016682892714973E-2</v>
      </c>
      <c r="E62" s="177">
        <f t="shared" ca="1" si="2"/>
        <v>9.1604743485290633E-3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4.558904109589041</v>
      </c>
      <c r="D63" s="168">
        <f ca="1">IF(NOT($C$6),"",IF(GetConvertDate(CDSRollDate,B63)&lt;Parameter_Date,0,GetGetDefaultprob($I$6,B63)))</f>
        <v>2.9747476329037292E-2</v>
      </c>
      <c r="E63" s="177">
        <f t="shared" ca="1" si="2"/>
        <v>9.1604743485307078E-3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4.6438356164383565</v>
      </c>
      <c r="D64" s="168">
        <f ca="1">IF(NOT($C$6),"",IF(GetConvertDate(CDSRollDate,B64)&lt;Parameter_Date,0,GetGetDefaultprob($I$6,B64)))</f>
        <v>3.0502051726132073E-2</v>
      </c>
      <c r="E64" s="177">
        <f t="shared" ca="1" si="2"/>
        <v>9.1604743485276599E-3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4.7287671232876711</v>
      </c>
      <c r="D65" s="168">
        <f ca="1">IF(NOT($C$6),"",IF(GetConvertDate(CDSRollDate,B65)&lt;Parameter_Date,0,GetGetDefaultprob($I$6,B65)))</f>
        <v>3.1256040282156339E-2</v>
      </c>
      <c r="E65" s="177">
        <f t="shared" ca="1" si="2"/>
        <v>9.1604743485316793E-3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4.8054794520547945</v>
      </c>
      <c r="D66" s="168">
        <f ca="1">IF(NOT($C$6),"",IF(GetConvertDate(CDSRollDate,B66)&lt;Parameter_Date,0,GetGetDefaultprob($I$6,B66)))</f>
        <v>3.1936558180939767E-2</v>
      </c>
      <c r="E66" s="177">
        <f t="shared" ca="1" si="2"/>
        <v>9.1604743485298127E-3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4.8904109589041092</v>
      </c>
      <c r="D67" s="168">
        <f ca="1">IF(NOT($C$6),"",IF(GetConvertDate(CDSRollDate,B67)&lt;Parameter_Date,0,GetGetDefaultprob($I$6,B67)))</f>
        <v>3.2689431106495248E-2</v>
      </c>
      <c r="E67" s="177">
        <f t="shared" ca="1" si="2"/>
        <v>9.160474348530373E-3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4.9726027397260273</v>
      </c>
      <c r="D68" s="168">
        <f ca="1">IF(NOT($C$6),"",IF(GetConvertDate(CDSRollDate,B68)&lt;Parameter_Date,0,GetGetDefaultprob($I$6,B68)))</f>
        <v>3.3417460313771907E-2</v>
      </c>
      <c r="E68" s="177">
        <f t="shared" ca="1" si="2"/>
        <v>9.1604743485293547E-3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5.0575342465753428</v>
      </c>
      <c r="D69" s="168">
        <f ca="1">IF(NOT($C$6),"",IF(GetConvertDate(CDSRollDate,B69)&lt;Parameter_Date,0,GetGetDefaultprob($I$6,B69)))</f>
        <v>3.4169181526461201E-2</v>
      </c>
      <c r="E69" s="177">
        <f t="shared" ca="1" si="2"/>
        <v>9.1604743485302776E-3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5.13972602739726</v>
      </c>
      <c r="D70" s="168">
        <f ca="1">IF(NOT($C$6),"",IF(GetConvertDate(CDSRollDate,B70)&lt;Parameter_Date,0,GetGetDefaultprob($I$6,B70)))</f>
        <v>3.4917694824076806E-2</v>
      </c>
      <c r="E70" s="177">
        <f t="shared" ca="1" si="2"/>
        <v>9.4327519268304245E-3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5.2246575342465755</v>
      </c>
      <c r="D71" s="168">
        <f ca="1">IF(NOT($C$6),"",IF(GetConvertDate(CDSRollDate,B71)&lt;Parameter_Date,0,GetGetDefaultprob($I$6,B71)))</f>
        <v>3.5690549149770989E-2</v>
      </c>
      <c r="E71" s="177">
        <f t="shared" ca="1" si="2"/>
        <v>9.4327519268293507E-3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5.3095890410958901</v>
      </c>
      <c r="D72" s="168">
        <f ca="1">IF(NOT($C$6),"",IF(GetConvertDate(CDSRollDate,B72)&lt;Parameter_Date,0,GetGetDefaultprob($I$6,B72)))</f>
        <v>3.6462784560575279E-2</v>
      </c>
      <c r="E72" s="177">
        <f t="shared" ca="1" si="2"/>
        <v>9.4327519268307576E-3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5.3917808219178083</v>
      </c>
      <c r="D73" s="168">
        <f ca="1">IF(NOT($C$6),"",IF(GetConvertDate(CDSRollDate,B73)&lt;Parameter_Date,0,GetGetDefaultprob($I$6,B73)))</f>
        <v>3.7209520329106516E-2</v>
      </c>
      <c r="E73" s="177">
        <f t="shared" ca="1" si="2"/>
        <v>9.4327519268316735E-3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5.4767123287671229</v>
      </c>
      <c r="D74" s="168">
        <f ca="1">IF(NOT($C$6),"",IF(GetConvertDate(CDSRollDate,B74)&lt;Parameter_Date,0,GetGetDefaultprob($I$6,B74)))</f>
        <v>3.7980539321953222E-2</v>
      </c>
      <c r="E74" s="177">
        <f t="shared" ca="1" si="2"/>
        <v>9.4327519268307576E-3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5.558904109589041</v>
      </c>
      <c r="D75" s="168">
        <f ca="1">IF(NOT($C$6),"",IF(GetConvertDate(CDSRollDate,B75)&lt;Parameter_Date,0,GetGetDefaultprob($I$6,B75)))</f>
        <v>3.8726098839323542E-2</v>
      </c>
      <c r="E75" s="177">
        <f t="shared" ca="1" si="2"/>
        <v>9.4327519268303222E-3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5.6438356164383565</v>
      </c>
      <c r="D76" s="168">
        <f ca="1">IF(NOT($C$6),"",IF(GetConvertDate(CDSRollDate,B76)&lt;Parameter_Date,0,GetGetDefaultprob($I$6,B76)))</f>
        <v>3.9495903330302728E-2</v>
      </c>
      <c r="E76" s="177">
        <f t="shared" ref="E76:E129" ca="1" si="6">IF(NOT($C$6),"",IF(C76=0,0,-LN((1-D76)/(1-D75))/($C76-$C75)))</f>
        <v>9.4327519268293507E-3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5.7287671232876711</v>
      </c>
      <c r="D77" s="168">
        <f ca="1">IF(NOT($C$6),"",IF(GetConvertDate(CDSRollDate,B77)&lt;Parameter_Date,0,GetGetDefaultprob($I$6,B77)))</f>
        <v>4.0265091348751558E-2</v>
      </c>
      <c r="E77" s="177">
        <f t="shared" ca="1" si="6"/>
        <v>9.4327519268307576E-3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5.8054794520547945</v>
      </c>
      <c r="D78" s="168">
        <f ca="1">IF(NOT($C$6),"",IF(GetConvertDate(CDSRollDate,B78)&lt;Parameter_Date,0,GetGetDefaultprob($I$6,B78)))</f>
        <v>4.0959312356387167E-2</v>
      </c>
      <c r="E78" s="177">
        <f t="shared" ca="1" si="6"/>
        <v>9.4327519268306813E-3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5.8904109589041092</v>
      </c>
      <c r="D79" s="168">
        <f ca="1">IF(NOT($C$6),"",IF(GetConvertDate(CDSRollDate,B79)&lt;Parameter_Date,0,GetGetDefaultprob($I$6,B79)))</f>
        <v>4.1727328451995782E-2</v>
      </c>
      <c r="E79" s="177">
        <f t="shared" ca="1" si="6"/>
        <v>9.4327519268307576E-3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5.9726027397260273</v>
      </c>
      <c r="D80" s="168">
        <f ca="1">IF(NOT($C$6),"",IF(GetConvertDate(CDSRollDate,B80)&lt;Parameter_Date,0,GetGetDefaultprob($I$6,B80)))</f>
        <v>4.2469984229462909E-2</v>
      </c>
      <c r="E80" s="177">
        <f t="shared" ca="1" si="6"/>
        <v>9.4327519268289708E-3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6.0575342465753428</v>
      </c>
      <c r="D81" s="168">
        <f ca="1">IF(NOT($C$6),"",IF(GetConvertDate(CDSRollDate,B81)&lt;Parameter_Date,0,GetGetDefaultprob($I$6,B81)))</f>
        <v>4.3236790553339621E-2</v>
      </c>
      <c r="E81" s="177">
        <f t="shared" ca="1" si="6"/>
        <v>9.4327519268306587E-3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6.13972602739726</v>
      </c>
      <c r="D82" s="168">
        <f ca="1">IF(NOT($C$6),"",IF(GetConvertDate(CDSRollDate,B82)&lt;Parameter_Date,0,GetGetDefaultprob($I$6,B82)))</f>
        <v>4.3978276506409619E-2</v>
      </c>
      <c r="E82" s="177">
        <f t="shared" ca="1" si="6"/>
        <v>9.4327519268304245E-3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6.2246575342465755</v>
      </c>
      <c r="D83" s="168">
        <f ca="1">IF(NOT($C$6),"",IF(GetConvertDate(CDSRollDate,B83)&lt;Parameter_Date,0,GetGetDefaultprob($I$6,B83)))</f>
        <v>4.4743874964175423E-2</v>
      </c>
      <c r="E83" s="177">
        <f t="shared" ca="1" si="6"/>
        <v>9.4327519268306587E-3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6.3095890410958901</v>
      </c>
      <c r="D84" s="168">
        <f ca="1">IF(NOT($C$6),"",IF(GetConvertDate(CDSRollDate,B84)&lt;Parameter_Date,0,GetGetDefaultprob($I$6,B84)))</f>
        <v>4.5508860317673538E-2</v>
      </c>
      <c r="E84" s="177">
        <f t="shared" ca="1" si="6"/>
        <v>9.4327519268294496E-3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6.3917808219178083</v>
      </c>
      <c r="D85" s="168">
        <f ca="1">IF(NOT($C$6),"",IF(GetConvertDate(CDSRollDate,B85)&lt;Parameter_Date,0,GetGetDefaultprob($I$6,B85)))</f>
        <v>4.6248585429818689E-2</v>
      </c>
      <c r="E85" s="177">
        <f t="shared" ca="1" si="6"/>
        <v>9.4327519268316735E-3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6.4767123287671229</v>
      </c>
      <c r="D86" s="168">
        <f ca="1">IF(NOT($C$6),"",IF(GetConvertDate(CDSRollDate,B86)&lt;Parameter_Date,0,GetGetDefaultprob($I$6,B86)))</f>
        <v>4.7012365785581434E-2</v>
      </c>
      <c r="E86" s="177">
        <f t="shared" ca="1" si="6"/>
        <v>9.4327519268307576E-3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6.558904109589041</v>
      </c>
      <c r="D87" s="168">
        <f ca="1">IF(NOT($C$6),"",IF(GetConvertDate(CDSRollDate,B87)&lt;Parameter_Date,0,GetGetDefaultprob($I$6,B87)))</f>
        <v>4.7750925689685531E-2</v>
      </c>
      <c r="E87" s="177">
        <f t="shared" ca="1" si="6"/>
        <v>9.4327519268289708E-3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6.6438356164383565</v>
      </c>
      <c r="D88" s="168">
        <f ca="1">IF(NOT($C$6),"",IF(GetConvertDate(CDSRollDate,B88)&lt;Parameter_Date,0,GetGetDefaultprob($I$6,B88)))</f>
        <v>4.8513502945813913E-2</v>
      </c>
      <c r="E88" s="177">
        <f t="shared" ca="1" si="6"/>
        <v>9.4327519268306587E-3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6.7287671232876711</v>
      </c>
      <c r="D89" s="168">
        <f ca="1">IF(NOT($C$6),"",IF(GetConvertDate(CDSRollDate,B89)&lt;Parameter_Date,0,GetGetDefaultprob($I$6,B89)))</f>
        <v>4.9275469517104376E-2</v>
      </c>
      <c r="E89" s="177">
        <f t="shared" ca="1" si="6"/>
        <v>9.4327519268307576E-3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6.8054794520547945</v>
      </c>
      <c r="D90" s="168">
        <f ca="1">IF(NOT($C$6),"",IF(GetConvertDate(CDSRollDate,B90)&lt;Parameter_Date,0,GetGetDefaultprob($I$6,B90)))</f>
        <v>4.9963172898096708E-2</v>
      </c>
      <c r="E90" s="177">
        <f t="shared" ca="1" si="6"/>
        <v>9.432751926832128E-3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6.8904109589041092</v>
      </c>
      <c r="D91" s="168">
        <f ca="1">IF(NOT($C$6),"",IF(GetConvertDate(CDSRollDate,B91)&lt;Parameter_Date,0,GetGetDefaultprob($I$6,B91)))</f>
        <v>5.072397854903099E-2</v>
      </c>
      <c r="E91" s="177">
        <f t="shared" ca="1" si="6"/>
        <v>9.4327519268294496E-3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6.9726027397260273</v>
      </c>
      <c r="D92" s="168">
        <f ca="1">IF(NOT($C$6),"",IF(GetConvertDate(CDSRollDate,B92)&lt;Parameter_Date,0,GetGetDefaultprob($I$6,B92)))</f>
        <v>5.1459661974712856E-2</v>
      </c>
      <c r="E92" s="177">
        <f t="shared" ca="1" si="6"/>
        <v>9.4327519268303222E-3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7.0575342465753428</v>
      </c>
      <c r="D93" s="168">
        <f ca="1">IF(NOT($C$6),"",IF(GetConvertDate(CDSRollDate,B93)&lt;Parameter_Date,0,GetGetDefaultprob($I$6,B93)))</f>
        <v>5.2219269211739805E-2</v>
      </c>
      <c r="E93" s="177">
        <f t="shared" ca="1" si="6"/>
        <v>9.4327519268293507E-3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7.13972602739726</v>
      </c>
      <c r="D94" s="168">
        <f ca="1">IF(NOT($C$6),"",IF(GetConvertDate(CDSRollDate,B94)&lt;Parameter_Date,0,GetGetDefaultprob($I$6,B94)))</f>
        <v>5.3009176963373816E-2</v>
      </c>
      <c r="E94" s="177">
        <f t="shared" ca="1" si="6"/>
        <v>1.0144278183725201E-2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7.2246575342465755</v>
      </c>
      <c r="D95" s="168">
        <f ca="1">IF(NOT($C$6),"",IF(GetConvertDate(CDSRollDate,B95)&lt;Parameter_Date,0,GetGetDefaultprob($I$6,B95)))</f>
        <v>5.3824723365603289E-2</v>
      </c>
      <c r="E95" s="177">
        <f t="shared" ca="1" si="6"/>
        <v>1.0144278183723833E-2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7.3095890410958901</v>
      </c>
      <c r="D96" s="168">
        <f ca="1">IF(NOT($C$6),"",IF(GetConvertDate(CDSRollDate,B96)&lt;Parameter_Date,0,GetGetDefaultprob($I$6,B96)))</f>
        <v>5.4639567421075119E-2</v>
      </c>
      <c r="E96" s="177">
        <f t="shared" ca="1" si="6"/>
        <v>1.0144278183726556E-2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7.3917808219178083</v>
      </c>
      <c r="D97" s="168">
        <f ca="1">IF(NOT($C$6),"",IF(GetConvertDate(CDSRollDate,B97)&lt;Parameter_Date,0,GetGetDefaultprob($I$6,B97)))</f>
        <v>5.542745802649085E-2</v>
      </c>
      <c r="E97" s="177">
        <f t="shared" ca="1" si="6"/>
        <v>1.0144278183723739E-2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7.4767123287671229</v>
      </c>
      <c r="D98" s="168">
        <f ca="1">IF(NOT($C$6),"",IF(GetConvertDate(CDSRollDate,B98)&lt;Parameter_Date,0,GetGetDefaultprob($I$6,B98)))</f>
        <v>5.6240921810417621E-2</v>
      </c>
      <c r="E98" s="177">
        <f t="shared" ca="1" si="6"/>
        <v>1.0144278183725248E-2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7.558904109589041</v>
      </c>
      <c r="D99" s="168">
        <f ca="1">IF(NOT($C$6),"",IF(GetConvertDate(CDSRollDate,B99)&lt;Parameter_Date,0,GetGetDefaultprob($I$6,B99)))</f>
        <v>5.7027477800975501E-2</v>
      </c>
      <c r="E99" s="177">
        <f t="shared" ca="1" si="6"/>
        <v>1.0144278183723739E-2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7.6438356164383565</v>
      </c>
      <c r="D100" s="168">
        <f ca="1">IF(NOT($C$6),"",IF(GetConvertDate(CDSRollDate,B100)&lt;Parameter_Date,0,GetGetDefaultprob($I$6,B100)))</f>
        <v>5.7839563651411408E-2</v>
      </c>
      <c r="E100" s="177">
        <f t="shared" ca="1" si="6"/>
        <v>1.0144278183725142E-2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7.7287671232876711</v>
      </c>
      <c r="D101" s="168">
        <f ca="1">IF(NOT($C$6),"",IF(GetConvertDate(CDSRollDate,B101)&lt;Parameter_Date,0,GetGetDefaultprob($I$6,B101)))</f>
        <v>5.8650950135309077E-2</v>
      </c>
      <c r="E101" s="177">
        <f t="shared" ca="1" si="6"/>
        <v>1.0144278183725248E-2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7.8082191780821919</v>
      </c>
      <c r="D102" s="168">
        <f ca="1">IF(NOT($C$6),"",IF(GetConvertDate(CDSRollDate,B102)&lt;Parameter_Date,0,GetGetDefaultprob($I$6,B102)))</f>
        <v>5.9409356496255006E-2</v>
      </c>
      <c r="E102" s="177">
        <f t="shared" ca="1" si="6"/>
        <v>1.0144278183724202E-2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7.8931506849315065</v>
      </c>
      <c r="D103" s="168">
        <f ca="1">IF(NOT($C$6),"",IF(GetConvertDate(CDSRollDate,B103)&lt;Parameter_Date,0,GetGetDefaultprob($I$6,B103)))</f>
        <v>6.0219391078026874E-2</v>
      </c>
      <c r="E103" s="177">
        <f t="shared" ca="1" si="6"/>
        <v>1.0144278183725248E-2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7.9753424657534246</v>
      </c>
      <c r="D104" s="168">
        <f ca="1">IF(NOT($C$6),"",IF(GetConvertDate(CDSRollDate,B104)&lt;Parameter_Date,0,GetGetDefaultprob($I$6,B104)))</f>
        <v>6.1002631297740306E-2</v>
      </c>
      <c r="E104" s="177">
        <f t="shared" ca="1" si="6"/>
        <v>1.0144278183725092E-2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8.0602739726027401</v>
      </c>
      <c r="D105" s="168">
        <f ca="1">IF(NOT($C$6),"",IF(GetConvertDate(CDSRollDate,B105)&lt;Parameter_Date,0,GetGetDefaultprob($I$6,B105)))</f>
        <v>6.1811293754777119E-2</v>
      </c>
      <c r="E105" s="177">
        <f t="shared" ca="1" si="6"/>
        <v>1.0144278183725142E-2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8.1424657534246574</v>
      </c>
      <c r="D106" s="168">
        <f ca="1">IF(NOT($C$6),"",IF(GetConvertDate(CDSRollDate,B106)&lt;Parameter_Date,0,GetGetDefaultprob($I$6,B106)))</f>
        <v>6.2593207236962156E-2</v>
      </c>
      <c r="E106" s="177">
        <f t="shared" ca="1" si="6"/>
        <v>1.014427818372385E-2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8.2273972602739729</v>
      </c>
      <c r="D107" s="168">
        <f ca="1">IF(NOT($C$6),"",IF(GetConvertDate(CDSRollDate,B107)&lt;Parameter_Date,0,GetGetDefaultprob($I$6,B107)))</f>
        <v>6.3400499893518258E-2</v>
      </c>
      <c r="E107" s="177">
        <f t="shared" ca="1" si="6"/>
        <v>1.014427818372645E-2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8.3123287671232884</v>
      </c>
      <c r="D108" s="168">
        <f ca="1">IF(NOT($C$6),"",IF(GetConvertDate(CDSRollDate,B108)&lt;Parameter_Date,0,GetGetDefaultprob($I$6,B108)))</f>
        <v>6.4207097311424044E-2</v>
      </c>
      <c r="E108" s="177">
        <f t="shared" ca="1" si="6"/>
        <v>1.0144278183725142E-2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8.3945205479452056</v>
      </c>
      <c r="D109" s="168">
        <f ca="1">IF(NOT($C$6),"",IF(GetConvertDate(CDSRollDate,B109)&lt;Parameter_Date,0,GetGetDefaultprob($I$6,B109)))</f>
        <v>6.498701406193963E-2</v>
      </c>
      <c r="E109" s="177">
        <f t="shared" ca="1" si="6"/>
        <v>1.014427818372385E-2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8.4794520547945211</v>
      </c>
      <c r="D110" s="168">
        <f ca="1">IF(NOT($C$6),"",IF(GetConvertDate(CDSRollDate,B110)&lt;Parameter_Date,0,GetGetDefaultprob($I$6,B110)))</f>
        <v>6.5792245177352604E-2</v>
      </c>
      <c r="E110" s="177">
        <f t="shared" ca="1" si="6"/>
        <v>1.0144278183725142E-2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8.5616438356164384</v>
      </c>
      <c r="D111" s="168">
        <f ca="1">IF(NOT($C$6),"",IF(GetConvertDate(CDSRollDate,B111)&lt;Parameter_Date,0,GetGetDefaultprob($I$6,B111)))</f>
        <v>6.657084081999376E-2</v>
      </c>
      <c r="E111" s="177">
        <f t="shared" ca="1" si="6"/>
        <v>1.0144278183725201E-2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8.6465753424657539</v>
      </c>
      <c r="D112" s="168">
        <f ca="1">IF(NOT($C$6),"",IF(GetConvertDate(CDSRollDate,B112)&lt;Parameter_Date,0,GetGetDefaultprob($I$6,B112)))</f>
        <v>6.7374707947305934E-2</v>
      </c>
      <c r="E112" s="177">
        <f t="shared" ca="1" si="6"/>
        <v>1.014427818372645E-2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8.7315068493150694</v>
      </c>
      <c r="D113" s="168">
        <f ca="1">IF(NOT($C$6),"",IF(GetConvertDate(CDSRollDate,B113)&lt;Parameter_Date,0,GetGetDefaultprob($I$6,B113)))</f>
        <v>6.817788278602599E-2</v>
      </c>
      <c r="E113" s="177">
        <f t="shared" ca="1" si="6"/>
        <v>1.0144278183725142E-2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8.8082191780821919</v>
      </c>
      <c r="D114" s="168">
        <f ca="1">IF(NOT($C$6),"",IF(GetConvertDate(CDSRollDate,B114)&lt;Parameter_Date,0,GetGetDefaultprob($I$6,B114)))</f>
        <v>6.8902736486562088E-2</v>
      </c>
      <c r="E114" s="177">
        <f t="shared" ca="1" si="6"/>
        <v>1.0144278183724244E-2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8.8931506849315074</v>
      </c>
      <c r="D115" s="168">
        <f ca="1">IF(NOT($C$6),"",IF(GetConvertDate(CDSRollDate,B115)&lt;Parameter_Date,0,GetGetDefaultprob($I$6,B115)))</f>
        <v>6.9704595390483792E-2</v>
      </c>
      <c r="E115" s="177">
        <f t="shared" ca="1" si="6"/>
        <v>1.0144278183723833E-2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8.9753424657534246</v>
      </c>
      <c r="D116" s="168">
        <f ca="1">IF(NOT($C$6),"",IF(GetConvertDate(CDSRollDate,B116)&lt;Parameter_Date,0,GetGetDefaultprob($I$6,B116)))</f>
        <v>7.0479930367804422E-2</v>
      </c>
      <c r="E116" s="177">
        <f t="shared" ca="1" si="6"/>
        <v>1.0144278183726553E-2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9.0602739726027401</v>
      </c>
      <c r="D117" s="168">
        <f ca="1">IF(NOT($C$6),"",IF(GetConvertDate(CDSRollDate,B117)&lt;Parameter_Date,0,GetGetDefaultprob($I$6,B117)))</f>
        <v>7.1280430995844024E-2</v>
      </c>
      <c r="E117" s="177">
        <f t="shared" ca="1" si="6"/>
        <v>1.0144278183723833E-2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9.1424657534246574</v>
      </c>
      <c r="D118" s="168">
        <f ca="1">IF(NOT($C$6),"",IF(GetConvertDate(CDSRollDate,B118)&lt;Parameter_Date,0,GetGetDefaultprob($I$6,B118)))</f>
        <v>7.2054452626396204E-2</v>
      </c>
      <c r="E118" s="177">
        <f t="shared" ca="1" si="6"/>
        <v>1.0144278183726553E-2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9.2273972602739729</v>
      </c>
      <c r="D119" s="168">
        <f ca="1">IF(NOT($C$6),"",IF(GetConvertDate(CDSRollDate,B119)&lt;Parameter_Date,0,GetGetDefaultprob($I$6,B119)))</f>
        <v>7.2853597279349258E-2</v>
      </c>
      <c r="E119" s="177">
        <f t="shared" ca="1" si="6"/>
        <v>1.0144278183723833E-2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9.3123287671232884</v>
      </c>
      <c r="D120" s="168">
        <f ca="1">IF(NOT($C$6),"",IF(GetConvertDate(CDSRollDate,B120)&lt;Parameter_Date,0,GetGetDefaultprob($I$6,B120)))</f>
        <v>7.3652053710694942E-2</v>
      </c>
      <c r="E120" s="177">
        <f t="shared" ca="1" si="6"/>
        <v>1.014427818372645E-2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9.3945205479452056</v>
      </c>
      <c r="D121" s="168">
        <f ca="1">IF(NOT($C$6),"",IF(GetConvertDate(CDSRollDate,B121)&lt;Parameter_Date,0,GetGetDefaultprob($I$6,B121)))</f>
        <v>7.4424098762587376E-2</v>
      </c>
      <c r="E121" s="177">
        <f t="shared" ca="1" si="6"/>
        <v>1.014427818372385E-2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9.4794520547945211</v>
      </c>
      <c r="D122" s="168">
        <f ca="1">IF(NOT($C$6),"",IF(GetConvertDate(CDSRollDate,B122)&lt;Parameter_Date,0,GetGetDefaultprob($I$6,B122)))</f>
        <v>7.522120268152932E-2</v>
      </c>
      <c r="E122" s="177">
        <f t="shared" ca="1" si="6"/>
        <v>1.0144278183725142E-2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9.5616438356164384</v>
      </c>
      <c r="D123" s="168">
        <f ca="1">IF(NOT($C$6),"",IF(GetConvertDate(CDSRollDate,B123)&lt;Parameter_Date,0,GetGetDefaultprob($I$6,B123)))</f>
        <v>7.5991939959487165E-2</v>
      </c>
      <c r="E123" s="177">
        <f t="shared" ca="1" si="6"/>
        <v>1.0144278183725201E-2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9.6465753424657539</v>
      </c>
      <c r="D124" s="168">
        <f ca="1">IF(NOT($C$6),"",IF(GetConvertDate(CDSRollDate,B124)&lt;Parameter_Date,0,GetGetDefaultprob($I$6,B124)))</f>
        <v>7.6787693657058065E-2</v>
      </c>
      <c r="E124" s="177">
        <f t="shared" ca="1" si="6"/>
        <v>1.0144278183725142E-2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9.7315068493150694</v>
      </c>
      <c r="D125" s="168">
        <f ca="1">IF(NOT($C$6),"",IF(GetConvertDate(CDSRollDate,B125)&lt;Parameter_Date,0,GetGetDefaultprob($I$6,B125)))</f>
        <v>7.7582762053304721E-2</v>
      </c>
      <c r="E125" s="177">
        <f t="shared" ca="1" si="6"/>
        <v>1.0144278183725142E-2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9.8082191780821919</v>
      </c>
      <c r="D126" s="168">
        <f ca="1">IF(NOT($C$6),"",IF(GetConvertDate(CDSRollDate,B126)&lt;Parameter_Date,0,GetGetDefaultprob($I$6,B126)))</f>
        <v>7.8300299806500551E-2</v>
      </c>
      <c r="E126" s="177">
        <f t="shared" ca="1" si="6"/>
        <v>1.0144278183724244E-2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9.8931506849315074</v>
      </c>
      <c r="D127" s="168">
        <f ca="1">IF(NOT($C$6),"",IF(GetConvertDate(CDSRollDate,B127)&lt;Parameter_Date,0,GetGetDefaultprob($I$6,B127)))</f>
        <v>7.9094065549676906E-2</v>
      </c>
      <c r="E127" s="177">
        <f t="shared" ca="1" si="6"/>
        <v>1.0144278183725142E-2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9.9753424657534246</v>
      </c>
      <c r="D128" s="168">
        <f ca="1">IF(NOT($C$6),"",IF(GetConvertDate(CDSRollDate,B128)&lt;Parameter_Date,0,GetGetDefaultprob($I$6,B128)))</f>
        <v>7.9861575072204372E-2</v>
      </c>
      <c r="E128" s="177">
        <f t="shared" ca="1" si="6"/>
        <v>1.014427818372385E-2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10.06027397260274</v>
      </c>
      <c r="D129" s="178">
        <f ca="1">IF(NOT($C$6),"",IF(GetConvertDate(CDSRollDate,B129)&lt;Parameter_Date,0,GetGetDefaultprob($I$6,B129)))</f>
        <v>8.0653996248575055E-2</v>
      </c>
      <c r="E129" s="217">
        <f t="shared" ca="1" si="6"/>
        <v>1.0144278183723833E-2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Z338"/>
  <sheetViews>
    <sheetView showGridLines="0" tabSelected="1" zoomScale="115" zoomScaleNormal="115" workbookViewId="0">
      <selection activeCell="I8" sqref="I8"/>
    </sheetView>
  </sheetViews>
  <sheetFormatPr defaultColWidth="11.42578125" defaultRowHeight="11.25"/>
  <cols>
    <col min="1" max="1" width="3.140625" style="231" customWidth="1"/>
    <col min="2" max="2" width="17.140625" style="231" customWidth="1"/>
    <col min="3" max="3" width="20" style="232" customWidth="1"/>
    <col min="4" max="4" width="10.42578125" style="232" bestFit="1" customWidth="1"/>
    <col min="5" max="5" width="10" style="232" bestFit="1" customWidth="1"/>
    <col min="6" max="6" width="7.42578125" style="232" customWidth="1"/>
    <col min="7" max="7" width="9.7109375" style="232" customWidth="1"/>
    <col min="8" max="8" width="11.28515625" style="232" customWidth="1"/>
    <col min="9" max="13" width="24.140625" style="231" customWidth="1"/>
    <col min="14" max="14" width="36.7109375" style="231" customWidth="1"/>
    <col min="15" max="15" width="23.140625" style="231" customWidth="1"/>
    <col min="16" max="16" width="25.140625" style="231" customWidth="1"/>
    <col min="17" max="17" width="23.5703125" style="231" customWidth="1"/>
    <col min="18" max="18" width="23.140625" style="231" customWidth="1"/>
    <col min="19" max="19" width="24.5703125" style="231" customWidth="1"/>
    <col min="20" max="20" width="22.140625" style="231" customWidth="1"/>
    <col min="21" max="21" width="13.140625" style="231" customWidth="1"/>
    <col min="22" max="22" width="11.42578125" style="231" customWidth="1"/>
    <col min="23" max="23" width="13.5703125" style="231" customWidth="1"/>
    <col min="24" max="24" width="13.140625" style="231" customWidth="1"/>
    <col min="25" max="31" width="11.42578125" style="231"/>
    <col min="32" max="33" width="11.42578125" style="231" customWidth="1"/>
    <col min="34" max="16384" width="11.42578125" style="231"/>
  </cols>
  <sheetData>
    <row r="1" spans="1:26">
      <c r="O1" s="232"/>
    </row>
    <row r="2" spans="1:26">
      <c r="O2" s="232"/>
    </row>
    <row r="3" spans="1:26">
      <c r="O3" s="232"/>
    </row>
    <row r="4" spans="1:26" ht="12" thickBot="1">
      <c r="O4" s="232"/>
    </row>
    <row r="5" spans="1:26" ht="12" thickBot="1">
      <c r="H5" s="281" t="s">
        <v>423</v>
      </c>
      <c r="I5" s="140" t="b">
        <v>1</v>
      </c>
      <c r="K5" s="281" t="s">
        <v>508</v>
      </c>
      <c r="L5" s="140" t="b">
        <v>0</v>
      </c>
      <c r="O5" s="232"/>
    </row>
    <row r="6" spans="1:26" ht="12" thickBot="1">
      <c r="B6" s="282" t="s">
        <v>432</v>
      </c>
      <c r="C6" s="233" t="s">
        <v>57</v>
      </c>
      <c r="O6" s="232"/>
    </row>
    <row r="7" spans="1:26" customFormat="1" ht="15.75" thickBot="1">
      <c r="A7" s="231"/>
      <c r="B7" s="282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10"/>
      <c r="J7" s="409"/>
      <c r="K7" s="409"/>
      <c r="L7" s="409"/>
      <c r="M7" s="409"/>
      <c r="N7" s="409"/>
      <c r="O7" s="466"/>
      <c r="P7" s="79"/>
      <c r="Q7" s="79"/>
      <c r="R7" s="79"/>
      <c r="S7" s="455"/>
      <c r="T7" s="79"/>
      <c r="U7" s="79"/>
      <c r="V7" s="79"/>
      <c r="W7" s="79"/>
      <c r="X7" s="79"/>
      <c r="Y7" s="79"/>
      <c r="Z7" s="79"/>
    </row>
    <row r="8" spans="1:26" customFormat="1" ht="15">
      <c r="A8" s="231"/>
      <c r="B8" s="283" t="s">
        <v>82</v>
      </c>
      <c r="C8" s="236" t="s">
        <v>66</v>
      </c>
      <c r="D8" s="232"/>
      <c r="E8" s="407"/>
      <c r="F8" s="232"/>
      <c r="G8" s="232"/>
      <c r="H8" s="324" t="s">
        <v>435</v>
      </c>
      <c r="I8" s="411" t="str" cm="1">
        <f t="array" aca="1" ref="I8:O114" ca="1">IF(NOT($I$5),"",GETCDO(C6,C19:C20,C21:C22,G39:G338,C8,C17,C39:C338,D39:D338,C12,C13,C14,C15,C9,C10,E39:E338,F39:F338,C24,C25,C27,L5,C29:C31,C36,C33,,C34))</f>
        <v>0,183705419067922</v>
      </c>
      <c r="J8" s="412" t="str">
        <f ca="1"/>
        <v>0,0612351396893073</v>
      </c>
      <c r="K8" s="421" t="str">
        <f ca="1"/>
        <v>0</v>
      </c>
      <c r="L8" s="421" t="str">
        <f ca="1"/>
        <v>0</v>
      </c>
      <c r="M8" s="422" t="str">
        <f ca="1"/>
        <v>0</v>
      </c>
      <c r="N8" s="422" t="str">
        <f ca="1"/>
        <v>0</v>
      </c>
      <c r="O8" s="467" t="str">
        <f ca="1"/>
        <v/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.75" thickBot="1">
      <c r="A9" s="231"/>
      <c r="B9" s="283" t="s">
        <v>437</v>
      </c>
      <c r="C9" s="237">
        <v>-0.05</v>
      </c>
      <c r="D9" s="232"/>
      <c r="E9" s="232"/>
      <c r="F9" s="232"/>
      <c r="G9" s="232"/>
      <c r="H9" s="398" t="s">
        <v>436</v>
      </c>
      <c r="I9" s="413" t="str">
        <f ca="1"/>
        <v>0,764335679356212</v>
      </c>
      <c r="J9" s="414" t="str">
        <f ca="1"/>
        <v>0,254778559785404</v>
      </c>
      <c r="K9" s="423" t="str">
        <f ca="1"/>
        <v>0</v>
      </c>
      <c r="L9" s="423" t="str">
        <f ca="1"/>
        <v>0</v>
      </c>
      <c r="M9" s="344" t="str">
        <f ca="1"/>
        <v>0</v>
      </c>
      <c r="N9" s="344" t="str">
        <f ca="1"/>
        <v>0</v>
      </c>
      <c r="O9" s="468" t="str">
        <f ca="1"/>
        <v/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.75" thickBot="1">
      <c r="A10" s="231"/>
      <c r="B10" s="284" t="s">
        <v>439</v>
      </c>
      <c r="C10" s="238">
        <v>0.1</v>
      </c>
      <c r="D10" s="232"/>
      <c r="E10" s="231"/>
      <c r="F10" s="232"/>
      <c r="G10" s="232"/>
      <c r="H10" s="398" t="s">
        <v>438</v>
      </c>
      <c r="I10" s="415" t="str">
        <f ca="1"/>
        <v>0,58063026028829</v>
      </c>
      <c r="J10" s="414" t="str">
        <f ca="1"/>
        <v>0,193543420096097</v>
      </c>
      <c r="K10" s="423" t="str">
        <f ca="1"/>
        <v>0</v>
      </c>
      <c r="L10" s="423" t="str">
        <f ca="1"/>
        <v>0</v>
      </c>
      <c r="M10" s="344" t="str">
        <f ca="1"/>
        <v>0</v>
      </c>
      <c r="N10" s="344" t="str">
        <f ca="1"/>
        <v>0</v>
      </c>
      <c r="O10" s="468" t="str">
        <f ca="1"/>
        <v/>
      </c>
      <c r="P10" s="79"/>
      <c r="Q10" s="79"/>
      <c r="R10" s="79"/>
      <c r="S10" s="79"/>
      <c r="T10" s="79"/>
      <c r="U10" s="452" t="s">
        <v>434</v>
      </c>
      <c r="V10" s="453">
        <f ca="1">C29</f>
        <v>0</v>
      </c>
      <c r="W10" s="79"/>
      <c r="X10" s="452" t="s">
        <v>504</v>
      </c>
      <c r="Y10" s="453">
        <v>0.95</v>
      </c>
      <c r="Z10" s="79"/>
    </row>
    <row r="11" spans="1:26" customFormat="1" ht="15.75" thickBot="1">
      <c r="A11" s="231"/>
      <c r="B11" s="231"/>
      <c r="C11" s="231"/>
      <c r="D11" s="232"/>
      <c r="E11" s="232"/>
      <c r="F11" s="232"/>
      <c r="H11" s="398" t="s">
        <v>440</v>
      </c>
      <c r="I11" s="416" t="str">
        <f ca="1"/>
        <v>0,0658194837259008</v>
      </c>
      <c r="J11" s="416" t="str">
        <f ca="1"/>
        <v>0,0658194837259008</v>
      </c>
      <c r="K11" s="423" t="str">
        <f ca="1"/>
        <v>0</v>
      </c>
      <c r="L11" s="423" t="str">
        <f ca="1"/>
        <v>0</v>
      </c>
      <c r="M11" s="344" t="str">
        <f ca="1"/>
        <v>0</v>
      </c>
      <c r="N11" s="344" t="str">
        <f ca="1"/>
        <v>0</v>
      </c>
      <c r="O11" s="468" t="str">
        <f ca="1"/>
        <v/>
      </c>
      <c r="P11" s="79"/>
      <c r="Q11" s="79"/>
      <c r="R11" s="79"/>
      <c r="S11" s="79"/>
      <c r="T11" s="79"/>
      <c r="U11" s="430" t="s">
        <v>505</v>
      </c>
      <c r="V11" s="454" t="e">
        <f ca="1">SUM(V15:V314)</f>
        <v>#VALUE!</v>
      </c>
      <c r="W11" s="79"/>
      <c r="X11" s="430" t="s">
        <v>505</v>
      </c>
      <c r="Y11" s="454" t="e">
        <f ca="1">SUM(Y15:Y314)</f>
        <v>#VALUE!</v>
      </c>
      <c r="Z11" s="79"/>
    </row>
    <row r="12" spans="1:26" customFormat="1" ht="15">
      <c r="A12" s="231"/>
      <c r="B12" s="282" t="s">
        <v>434</v>
      </c>
      <c r="C12" s="239">
        <v>0.05</v>
      </c>
      <c r="D12" s="232"/>
      <c r="E12" s="232"/>
      <c r="F12" s="232"/>
      <c r="G12" s="232"/>
      <c r="H12" s="398" t="s">
        <v>497</v>
      </c>
      <c r="I12" s="417" t="str">
        <f ca="1"/>
        <v>3,87086840192193</v>
      </c>
      <c r="J12" s="417" t="str">
        <f ca="1"/>
        <v>3,87086840192193</v>
      </c>
      <c r="K12" s="423" t="str">
        <f ca="1"/>
        <v>0</v>
      </c>
      <c r="L12" s="423" t="str">
        <f ca="1"/>
        <v>0</v>
      </c>
      <c r="M12" s="344" t="str">
        <f ca="1"/>
        <v>0</v>
      </c>
      <c r="N12" s="344" t="str">
        <f ca="1"/>
        <v>0</v>
      </c>
      <c r="O12" s="468" t="str">
        <f ca="1"/>
        <v/>
      </c>
      <c r="P12" s="295" t="s">
        <v>423</v>
      </c>
      <c r="Q12" s="459" t="b">
        <v>1</v>
      </c>
      <c r="R12" s="79"/>
      <c r="S12" s="79"/>
      <c r="T12" s="79"/>
      <c r="U12" s="430" t="s">
        <v>498</v>
      </c>
      <c r="V12" s="431" t="e">
        <f ca="1">$J$8+V11</f>
        <v>#VALUE!</v>
      </c>
      <c r="W12" s="79"/>
      <c r="X12" s="430" t="s">
        <v>498</v>
      </c>
      <c r="Y12" s="431" t="e">
        <f ca="1">$J$8+Y11</f>
        <v>#VALUE!</v>
      </c>
      <c r="Z12" s="79"/>
    </row>
    <row r="13" spans="1:26" customFormat="1" ht="15.75" thickBot="1">
      <c r="A13" s="231"/>
      <c r="B13" s="283" t="s">
        <v>458</v>
      </c>
      <c r="C13" s="236" t="s">
        <v>459</v>
      </c>
      <c r="D13" s="232"/>
      <c r="E13" s="232" t="s">
        <v>75</v>
      </c>
      <c r="F13" s="232"/>
      <c r="G13" s="232"/>
      <c r="H13" s="398" t="s">
        <v>443</v>
      </c>
      <c r="I13" s="418" t="str">
        <f ca="1"/>
        <v>00:00:00.5106778</v>
      </c>
      <c r="J13" s="418" t="str">
        <f ca="1"/>
        <v>00:00:00.5106778</v>
      </c>
      <c r="K13" s="424" t="str">
        <f ca="1"/>
        <v>0</v>
      </c>
      <c r="L13" s="425" t="str">
        <f ca="1"/>
        <v>11,8470730454305</v>
      </c>
      <c r="M13" s="344" t="str">
        <f ca="1"/>
        <v>0</v>
      </c>
      <c r="N13" s="344" t="str">
        <f ca="1"/>
        <v>0</v>
      </c>
      <c r="O13" s="468" t="str">
        <f ca="1"/>
        <v/>
      </c>
      <c r="P13" s="299" t="s">
        <v>499</v>
      </c>
      <c r="Q13" s="432">
        <f ca="1">L13</f>
        <v>0</v>
      </c>
      <c r="R13" s="433"/>
      <c r="S13" s="79"/>
      <c r="T13" s="79"/>
      <c r="U13" s="434" t="s">
        <v>500</v>
      </c>
      <c r="V13" s="435" t="e">
        <f ca="1">V12*(C20-C21)</f>
        <v>#VALUE!</v>
      </c>
      <c r="W13" s="79"/>
      <c r="X13" s="430" t="s">
        <v>500</v>
      </c>
      <c r="Y13" s="436" t="e">
        <f ca="1">Y12*(C20-C21)</f>
        <v>#VALUE!</v>
      </c>
      <c r="Z13" s="79"/>
    </row>
    <row r="14" spans="1:26" customFormat="1" ht="15.75" thickBot="1">
      <c r="A14" s="231"/>
      <c r="B14" s="283" t="s">
        <v>461</v>
      </c>
      <c r="C14" s="236" t="s">
        <v>445</v>
      </c>
      <c r="D14" s="232"/>
      <c r="E14" s="232"/>
      <c r="F14" s="232"/>
      <c r="G14" s="232"/>
      <c r="H14" s="398" t="s">
        <v>460</v>
      </c>
      <c r="I14" s="419" t="str">
        <f ca="1"/>
        <v>dPV</v>
      </c>
      <c r="J14" s="420" t="str">
        <f ca="1"/>
        <v>dHedge</v>
      </c>
      <c r="K14" s="420" t="str">
        <f ca="1"/>
        <v>delta not. (Hedge Crncy)</v>
      </c>
      <c r="L14" s="419" t="str">
        <f ca="1"/>
        <v>delta not. (Product CCY)</v>
      </c>
      <c r="M14" s="419" t="str">
        <f ca="1"/>
        <v>dPV(dBeta)</v>
      </c>
      <c r="N14" s="419" t="str">
        <f ca="1"/>
        <v>Name</v>
      </c>
      <c r="O14" s="419" t="str">
        <f ca="1"/>
        <v>Jump to Default</v>
      </c>
      <c r="P14" s="464" t="s">
        <v>501</v>
      </c>
      <c r="Q14" s="349" t="s">
        <v>436</v>
      </c>
      <c r="R14" s="437" t="s">
        <v>438</v>
      </c>
      <c r="S14" s="437" t="s">
        <v>440</v>
      </c>
      <c r="T14" s="437" t="s">
        <v>441</v>
      </c>
      <c r="U14" s="434" t="s">
        <v>506</v>
      </c>
      <c r="V14" s="438" t="s">
        <v>502</v>
      </c>
      <c r="W14" s="439" t="s">
        <v>503</v>
      </c>
      <c r="X14" s="440" t="s">
        <v>507</v>
      </c>
      <c r="Y14" s="441" t="s">
        <v>502</v>
      </c>
      <c r="Z14" s="79"/>
    </row>
    <row r="15" spans="1:26" customFormat="1" ht="15.75" thickBot="1">
      <c r="A15" s="231"/>
      <c r="B15" s="284" t="s">
        <v>462</v>
      </c>
      <c r="C15" s="240"/>
      <c r="D15" s="232"/>
      <c r="E15" s="232"/>
      <c r="F15" s="232"/>
      <c r="G15" s="232"/>
      <c r="H15" s="398">
        <v>1</v>
      </c>
      <c r="I15" s="417" t="str">
        <f ca="1"/>
        <v>0,000171520198330132</v>
      </c>
      <c r="J15" s="417" t="str">
        <f ca="1"/>
        <v>0,000450179110448506</v>
      </c>
      <c r="K15" s="426" t="str">
        <f ca="1"/>
        <v>0,38100434771229</v>
      </c>
      <c r="L15" s="426" t="str">
        <f ca="1"/>
        <v>0,38100434771229</v>
      </c>
      <c r="M15" s="426" t="str">
        <f ca="1"/>
        <v>-0,000217478970528618</v>
      </c>
      <c r="N15" s="426" t="str">
        <f ca="1"/>
        <v>ABNAMRO_MMR.EUR.SU</v>
      </c>
      <c r="O15" s="463" t="str">
        <f ca="1"/>
        <v/>
      </c>
      <c r="P15" s="442" t="e" cm="1">
        <f t="array" aca="1" ref="P15:T15" ca="1">IF(AND($Q$12,B39&lt;=$C$17,C39&lt;&gt;""),TRANSPOSE(INDEX(GetCDS(C39,$C$6,G39/10000,F39,D39,$C$13,$C$14,$C$15,$C$8,,,TRUE,TRUE,FALSE,$C$29:$C$31,$C$33),{1;2;3;4;5})),"")</f>
        <v>#VALUE!</v>
      </c>
      <c r="Q15" s="443" t="e">
        <f ca="1"/>
        <v>#VALUE!</v>
      </c>
      <c r="R15" s="443" t="e">
        <f ca="1"/>
        <v>#VALUE!</v>
      </c>
      <c r="S15" s="444" t="e">
        <f ca="1"/>
        <v>#VALUE!</v>
      </c>
      <c r="T15" s="445" t="e">
        <f ca="1"/>
        <v>#VALUE!</v>
      </c>
      <c r="U15" s="446" t="e">
        <f ca="1">IF($Q$12,IF(P15="","",$Q$13*D39/$C$18),"")</f>
        <v>#VALUE!</v>
      </c>
      <c r="V15" s="447" t="e">
        <f ca="1">IF($Q$12,IF(U15="","",U15*($V$10-S15)*T15),"")</f>
        <v>#VALUE!</v>
      </c>
      <c r="W15" s="446" t="e">
        <f ca="1">IF($Q$12,IF(OR(P15="",L15=""),"",L15/($C$20-$C$19)),"")</f>
        <v>#VALUE!</v>
      </c>
      <c r="X15" s="448" t="e">
        <f ca="1">IF($Q$12,IF(S15="","",S15*$Y$10),"")</f>
        <v>#VALUE!</v>
      </c>
      <c r="Y15" s="447" t="e">
        <f ca="1">IF($Q$12,IF(W15="","",W15*(X15-S15)*T15),"")</f>
        <v>#VALUE!</v>
      </c>
      <c r="Z15" s="135" t="e">
        <f ca="1">W15-U15</f>
        <v>#VALUE!</v>
      </c>
    </row>
    <row r="16" spans="1:26" customFormat="1" ht="15.75" thickBot="1">
      <c r="A16" s="231"/>
      <c r="B16" s="231"/>
      <c r="C16" s="232"/>
      <c r="D16" s="232"/>
      <c r="E16" s="232"/>
      <c r="F16" s="232"/>
      <c r="G16" s="232"/>
      <c r="H16" s="398">
        <v>2</v>
      </c>
      <c r="I16" s="417" t="str">
        <f ca="1"/>
        <v>0,000162796187098601</v>
      </c>
      <c r="J16" s="417" t="str">
        <f ca="1"/>
        <v>0,000451589154292941</v>
      </c>
      <c r="K16" s="426" t="str">
        <f ca="1"/>
        <v>0,360496228819962</v>
      </c>
      <c r="L16" s="426" t="str">
        <f ca="1"/>
        <v>0,360496228819962</v>
      </c>
      <c r="M16" s="426" t="str">
        <f ca="1"/>
        <v>-0,000193174930914975</v>
      </c>
      <c r="N16" s="426" t="str">
        <f ca="1"/>
        <v>ACCOR_MMR.EUR.SU</v>
      </c>
      <c r="O16" s="465" t="str">
        <f ca="1"/>
        <v/>
      </c>
      <c r="P16" s="442" t="e" cm="1">
        <f t="array" aca="1" ref="P16:T16" ca="1">IF(AND($Q$12,B40&lt;=$C$17,C40&lt;&gt;""),TRANSPOSE(INDEX(GetCDS(C40,$C$6,G40/10000,F40,D40,$C$13,$C$14,$C$15,$C$8,,,TRUE,TRUE,FALSE,$C$29:$C$31,$C$33),{1;2;3;4;5})),"")</f>
        <v>#VALUE!</v>
      </c>
      <c r="Q16" s="443" t="e">
        <f ca="1"/>
        <v>#VALUE!</v>
      </c>
      <c r="R16" s="443" t="e">
        <f ca="1"/>
        <v>#VALUE!</v>
      </c>
      <c r="S16" s="444" t="e">
        <f ca="1"/>
        <v>#VALUE!</v>
      </c>
      <c r="T16" s="445" t="e">
        <f ca="1"/>
        <v>#VALUE!</v>
      </c>
      <c r="U16" s="446" t="e">
        <f ca="1">IF($Q$12,IF(P16="","",$Q$13*D40/$C$18),"")</f>
        <v>#VALUE!</v>
      </c>
      <c r="V16" s="447" t="e">
        <f t="shared" ref="V16:V79" ca="1" si="0">IF($Q$12,IF(U16="","",U16*($V$10-S16)*T16),"")</f>
        <v>#VALUE!</v>
      </c>
      <c r="W16" s="446" t="e">
        <f t="shared" ref="W16:W79" ca="1" si="1">IF($Q$12,IF(OR(P16="",L16=""),"",L16/($C$20-$C$19)),"")</f>
        <v>#VALUE!</v>
      </c>
      <c r="X16" s="448" t="e">
        <f t="shared" ref="X16:X79" ca="1" si="2">IF($Q$12,IF(S16="","",S16*$Y$10),"")</f>
        <v>#VALUE!</v>
      </c>
      <c r="Y16" s="447" t="e">
        <f t="shared" ref="Y16:Y79" ca="1" si="3">IF($Q$12,IF(W16="","",W16*(X16-S16)*T16),"")</f>
        <v>#VALUE!</v>
      </c>
      <c r="Z16" s="79"/>
    </row>
    <row r="17" spans="1:26" customFormat="1" ht="15">
      <c r="A17" s="231"/>
      <c r="B17" s="282" t="s">
        <v>463</v>
      </c>
      <c r="C17" s="241">
        <f ca="1">COUNTA(C39:C338)</f>
        <v>100</v>
      </c>
      <c r="D17" s="232"/>
      <c r="E17" s="231"/>
      <c r="F17" s="232"/>
      <c r="G17" s="232"/>
      <c r="H17" s="398">
        <v>3</v>
      </c>
      <c r="I17" s="417" t="str">
        <f ca="1"/>
        <v>0,000170113858506093</v>
      </c>
      <c r="J17" s="417" t="str">
        <f ca="1"/>
        <v>0,00045010156676384</v>
      </c>
      <c r="K17" s="426" t="str">
        <f ca="1"/>
        <v>0,377945492901047</v>
      </c>
      <c r="L17" s="426" t="str">
        <f ca="1"/>
        <v>0,377945492901047</v>
      </c>
      <c r="M17" s="426" t="str">
        <f ca="1"/>
        <v>-0,000215277600895614</v>
      </c>
      <c r="N17" s="426" t="str">
        <f ca="1"/>
        <v>ADECCO_MMR.EUR.SU</v>
      </c>
      <c r="O17" s="465" t="str">
        <f ca="1"/>
        <v/>
      </c>
      <c r="P17" s="442" t="e" cm="1">
        <f t="array" aca="1" ref="P17:T17" ca="1">IF(AND($Q$12,B41&lt;=$C$17,C41&lt;&gt;""),TRANSPOSE(INDEX(GetCDS(C41,$C$6,G41/10000,F41,D41,$C$13,$C$14,$C$15,$C$8,,,TRUE,TRUE,FALSE,$C$29:$C$31,$C$33),{1;2;3;4;5})),"")</f>
        <v>#VALUE!</v>
      </c>
      <c r="Q17" s="443" t="e">
        <f ca="1"/>
        <v>#VALUE!</v>
      </c>
      <c r="R17" s="443" t="e">
        <f ca="1"/>
        <v>#VALUE!</v>
      </c>
      <c r="S17" s="444" t="e">
        <f ca="1"/>
        <v>#VALUE!</v>
      </c>
      <c r="T17" s="445" t="e">
        <f ca="1"/>
        <v>#VALUE!</v>
      </c>
      <c r="U17" s="446" t="e">
        <f t="shared" ref="U17:U79" ca="1" si="4">IF($Q$12,IF(P17="","",$Q$13*D41/$C$18),"")</f>
        <v>#VALUE!</v>
      </c>
      <c r="V17" s="447" t="e">
        <f t="shared" ca="1" si="0"/>
        <v>#VALUE!</v>
      </c>
      <c r="W17" s="446" t="e">
        <f t="shared" ca="1" si="1"/>
        <v>#VALUE!</v>
      </c>
      <c r="X17" s="448" t="e">
        <f t="shared" ca="1" si="2"/>
        <v>#VALUE!</v>
      </c>
      <c r="Y17" s="447" t="e">
        <f t="shared" ca="1" si="3"/>
        <v>#VALUE!</v>
      </c>
      <c r="Z17" s="79"/>
    </row>
    <row r="18" spans="1:26" customFormat="1" ht="15">
      <c r="A18" s="231"/>
      <c r="B18" s="283" t="s">
        <v>464</v>
      </c>
      <c r="C18" s="242">
        <f ca="1">SUM(OFFSET(D38,1,0,C17))</f>
        <v>100</v>
      </c>
      <c r="D18" s="232"/>
      <c r="E18" s="232"/>
      <c r="F18" s="232"/>
      <c r="G18" s="243"/>
      <c r="H18" s="398">
        <v>4</v>
      </c>
      <c r="I18" s="417" t="str">
        <f ca="1"/>
        <v>0,000167797783785062</v>
      </c>
      <c r="J18" s="417" t="str">
        <f ca="1"/>
        <v>0,000450907894132723</v>
      </c>
      <c r="K18" s="426" t="str">
        <f ca="1"/>
        <v>0,372133169475342</v>
      </c>
      <c r="L18" s="426" t="str">
        <f ca="1"/>
        <v>0,372133169475342</v>
      </c>
      <c r="M18" s="426" t="str">
        <f ca="1"/>
        <v>-0,000206259168412592</v>
      </c>
      <c r="N18" s="426" t="str">
        <f ca="1"/>
        <v>AEGON_MMR.EUR.SU</v>
      </c>
      <c r="O18" s="465" t="str">
        <f ca="1"/>
        <v/>
      </c>
      <c r="P18" s="442" t="e" cm="1">
        <f t="array" aca="1" ref="P18:T18" ca="1">IF(AND($Q$12,B42&lt;=$C$17,C42&lt;&gt;""),TRANSPOSE(INDEX(GetCDS(C42,$C$6,G42/10000,F42,D42,$C$13,$C$14,$C$15,$C$8,,,TRUE,TRUE,FALSE,$C$29:$C$31,$C$33),{1;2;3;4;5})),"")</f>
        <v>#VALUE!</v>
      </c>
      <c r="Q18" s="443" t="e">
        <f ca="1"/>
        <v>#VALUE!</v>
      </c>
      <c r="R18" s="443" t="e">
        <f ca="1"/>
        <v>#VALUE!</v>
      </c>
      <c r="S18" s="444" t="e">
        <f ca="1"/>
        <v>#VALUE!</v>
      </c>
      <c r="T18" s="445" t="e">
        <f ca="1"/>
        <v>#VALUE!</v>
      </c>
      <c r="U18" s="446" t="e">
        <f t="shared" ca="1" si="4"/>
        <v>#VALUE!</v>
      </c>
      <c r="V18" s="447" t="e">
        <f t="shared" ca="1" si="0"/>
        <v>#VALUE!</v>
      </c>
      <c r="W18" s="446" t="e">
        <f t="shared" ca="1" si="1"/>
        <v>#VALUE!</v>
      </c>
      <c r="X18" s="448" t="e">
        <f t="shared" ca="1" si="2"/>
        <v>#VALUE!</v>
      </c>
      <c r="Y18" s="447" t="e">
        <f t="shared" ca="1" si="3"/>
        <v>#VALUE!</v>
      </c>
      <c r="Z18" s="79"/>
    </row>
    <row r="19" spans="1:26" customFormat="1" ht="15">
      <c r="A19" s="231"/>
      <c r="B19" s="283" t="s">
        <v>465</v>
      </c>
      <c r="C19" s="244">
        <v>0</v>
      </c>
      <c r="D19" s="245"/>
      <c r="E19" s="232"/>
      <c r="F19" s="232"/>
      <c r="G19" s="246"/>
      <c r="H19" s="398">
        <v>5</v>
      </c>
      <c r="I19" s="417" t="str">
        <f ca="1"/>
        <v>0,000138785842176481</v>
      </c>
      <c r="J19" s="417" t="str">
        <f ca="1"/>
        <v>0,000455686653369646</v>
      </c>
      <c r="K19" s="426" t="str">
        <f ca="1"/>
        <v>0,304564202506717</v>
      </c>
      <c r="L19" s="426" t="str">
        <f ca="1"/>
        <v>0,304564202506717</v>
      </c>
      <c r="M19" s="426" t="str">
        <f ca="1"/>
        <v>-0,000130746397892079</v>
      </c>
      <c r="N19" s="426" t="str">
        <f ca="1"/>
        <v>AKZONOBEL_MMR.EUR.SU</v>
      </c>
      <c r="O19" s="465" t="str">
        <f ca="1"/>
        <v/>
      </c>
      <c r="P19" s="442" t="e" cm="1">
        <f t="array" aca="1" ref="P19:T19" ca="1">IF(AND($Q$12,B43&lt;=$C$17,C43&lt;&gt;""),TRANSPOSE(INDEX(GetCDS(C43,$C$6,G43/10000,F43,D43,$C$13,$C$14,$C$15,$C$8,,,TRUE,TRUE,FALSE,$C$29:$C$31,$C$33),{1;2;3;4;5})),"")</f>
        <v>#VALUE!</v>
      </c>
      <c r="Q19" s="443" t="e">
        <f ca="1"/>
        <v>#VALUE!</v>
      </c>
      <c r="R19" s="443" t="e">
        <f ca="1"/>
        <v>#VALUE!</v>
      </c>
      <c r="S19" s="444" t="e">
        <f ca="1"/>
        <v>#VALUE!</v>
      </c>
      <c r="T19" s="445" t="e">
        <f ca="1"/>
        <v>#VALUE!</v>
      </c>
      <c r="U19" s="446" t="e">
        <f t="shared" ca="1" si="4"/>
        <v>#VALUE!</v>
      </c>
      <c r="V19" s="447" t="e">
        <f t="shared" ca="1" si="0"/>
        <v>#VALUE!</v>
      </c>
      <c r="W19" s="446" t="e">
        <f t="shared" ca="1" si="1"/>
        <v>#VALUE!</v>
      </c>
      <c r="X19" s="448" t="e">
        <f t="shared" ca="1" si="2"/>
        <v>#VALUE!</v>
      </c>
      <c r="Y19" s="447" t="e">
        <f t="shared" ca="1" si="3"/>
        <v>#VALUE!</v>
      </c>
      <c r="Z19" s="79"/>
    </row>
    <row r="20" spans="1:26" customFormat="1" ht="15">
      <c r="A20" s="231"/>
      <c r="B20" s="283" t="s">
        <v>466</v>
      </c>
      <c r="C20" s="244">
        <v>3</v>
      </c>
      <c r="D20" s="245"/>
      <c r="E20" s="232"/>
      <c r="F20" s="232"/>
      <c r="G20" s="246"/>
      <c r="H20" s="398">
        <v>6</v>
      </c>
      <c r="I20" s="417" t="str">
        <f ca="1"/>
        <v>0,000156425534015891</v>
      </c>
      <c r="J20" s="417" t="str">
        <f ca="1"/>
        <v>0,000453141491554767</v>
      </c>
      <c r="K20" s="426" t="str">
        <f ca="1"/>
        <v>0,345202407926014</v>
      </c>
      <c r="L20" s="426" t="str">
        <f ca="1"/>
        <v>0,345202407926014</v>
      </c>
      <c r="M20" s="426" t="str">
        <f ca="1"/>
        <v>-0,000173275764065784</v>
      </c>
      <c r="N20" s="426" t="str">
        <f ca="1"/>
        <v>ALLIANZ_MMR.EUR.SU</v>
      </c>
      <c r="O20" s="465" t="str">
        <f ca="1"/>
        <v/>
      </c>
      <c r="P20" s="442" t="e" cm="1">
        <f t="array" aca="1" ref="P20:T20" ca="1">IF(AND($Q$12,B44&lt;=$C$17,C44&lt;&gt;""),TRANSPOSE(INDEX(GetCDS(C44,$C$6,G44/10000,F44,D44,$C$13,$C$14,$C$15,$C$8,,,TRUE,TRUE,FALSE,$C$29:$C$31,$C$33),{1;2;3;4;5})),"")</f>
        <v>#VALUE!</v>
      </c>
      <c r="Q20" s="443" t="e">
        <f ca="1"/>
        <v>#VALUE!</v>
      </c>
      <c r="R20" s="443" t="e">
        <f ca="1"/>
        <v>#VALUE!</v>
      </c>
      <c r="S20" s="444" t="e">
        <f ca="1"/>
        <v>#VALUE!</v>
      </c>
      <c r="T20" s="445" t="e">
        <f ca="1"/>
        <v>#VALUE!</v>
      </c>
      <c r="U20" s="446" t="e">
        <f t="shared" ca="1" si="4"/>
        <v>#VALUE!</v>
      </c>
      <c r="V20" s="447" t="e">
        <f t="shared" ca="1" si="0"/>
        <v>#VALUE!</v>
      </c>
      <c r="W20" s="446" t="e">
        <f t="shared" ca="1" si="1"/>
        <v>#VALUE!</v>
      </c>
      <c r="X20" s="448" t="e">
        <f t="shared" ca="1" si="2"/>
        <v>#VALUE!</v>
      </c>
      <c r="Y20" s="447" t="e">
        <f t="shared" ca="1" si="3"/>
        <v>#VALUE!</v>
      </c>
      <c r="Z20" s="79"/>
    </row>
    <row r="21" spans="1:26" customFormat="1" ht="15">
      <c r="A21" s="231"/>
      <c r="B21" s="283" t="s">
        <v>467</v>
      </c>
      <c r="C21" s="247">
        <v>0.4</v>
      </c>
      <c r="D21" s="232"/>
      <c r="E21" s="232"/>
      <c r="F21" s="232"/>
      <c r="G21" s="248"/>
      <c r="H21" s="398">
        <v>7</v>
      </c>
      <c r="I21" s="417" t="str">
        <f ca="1"/>
        <v>0,000195452242134331</v>
      </c>
      <c r="J21" s="417" t="str">
        <f ca="1"/>
        <v>0,000443798883250881</v>
      </c>
      <c r="K21" s="426" t="str">
        <f ca="1"/>
        <v>0,44040724190791</v>
      </c>
      <c r="L21" s="426" t="str">
        <f ca="1"/>
        <v>0,44040724190791</v>
      </c>
      <c r="M21" s="426" t="str">
        <f ca="1"/>
        <v>-0,000302041839157318</v>
      </c>
      <c r="N21" s="426" t="str">
        <f ca="1"/>
        <v>ALTADIS_MMR.EUR.SU</v>
      </c>
      <c r="O21" s="465" t="str">
        <f ca="1"/>
        <v/>
      </c>
      <c r="P21" s="442" t="e" cm="1">
        <f t="array" aca="1" ref="P21:T21" ca="1">IF(AND($Q$12,B45&lt;=$C$17,C45&lt;&gt;""),TRANSPOSE(INDEX(GetCDS(C45,$C$6,G45/10000,F45,D45,$C$13,$C$14,$C$15,$C$8,,,TRUE,TRUE,FALSE,$C$29:$C$31,$C$33),{1;2;3;4;5})),"")</f>
        <v>#VALUE!</v>
      </c>
      <c r="Q21" s="443" t="e">
        <f ca="1"/>
        <v>#VALUE!</v>
      </c>
      <c r="R21" s="443" t="e">
        <f ca="1"/>
        <v>#VALUE!</v>
      </c>
      <c r="S21" s="444" t="e">
        <f ca="1"/>
        <v>#VALUE!</v>
      </c>
      <c r="T21" s="445" t="e">
        <f ca="1"/>
        <v>#VALUE!</v>
      </c>
      <c r="U21" s="446" t="e">
        <f t="shared" ca="1" si="4"/>
        <v>#VALUE!</v>
      </c>
      <c r="V21" s="447" t="e">
        <f t="shared" ca="1" si="0"/>
        <v>#VALUE!</v>
      </c>
      <c r="W21" s="446" t="e">
        <f t="shared" ca="1" si="1"/>
        <v>#VALUE!</v>
      </c>
      <c r="X21" s="448" t="e">
        <f t="shared" ca="1" si="2"/>
        <v>#VALUE!</v>
      </c>
      <c r="Y21" s="447" t="e">
        <f t="shared" ca="1" si="3"/>
        <v>#VALUE!</v>
      </c>
      <c r="Z21" s="79"/>
    </row>
    <row r="22" spans="1:26" customFormat="1" ht="15.75" thickBot="1">
      <c r="A22" s="231"/>
      <c r="B22" s="284" t="s">
        <v>468</v>
      </c>
      <c r="C22" s="249">
        <v>0.5</v>
      </c>
      <c r="D22" s="232"/>
      <c r="E22" s="232"/>
      <c r="F22" s="232"/>
      <c r="G22" s="248"/>
      <c r="H22" s="398">
        <v>8</v>
      </c>
      <c r="I22" s="417" t="str">
        <f ca="1"/>
        <v>0,000189149740467909</v>
      </c>
      <c r="J22" s="417" t="str">
        <f ca="1"/>
        <v>0,000445675221618789</v>
      </c>
      <c r="K22" s="426" t="str">
        <f ca="1"/>
        <v>0,424411614764842</v>
      </c>
      <c r="L22" s="426" t="str">
        <f ca="1"/>
        <v>0,424411614764842</v>
      </c>
      <c r="M22" s="426" t="str">
        <f ca="1"/>
        <v>-0,000277951661526598</v>
      </c>
      <c r="N22" s="426" t="str">
        <f ca="1"/>
        <v>ARCELORFINANCESCA_MMR.EUR.SU</v>
      </c>
      <c r="O22" s="465" t="str">
        <f ca="1"/>
        <v/>
      </c>
      <c r="P22" s="442" t="e" cm="1">
        <f t="array" aca="1" ref="P22:T22" ca="1">IF(AND($Q$12,B46&lt;=$C$17,C46&lt;&gt;""),TRANSPOSE(INDEX(GetCDS(C46,$C$6,G46/10000,F46,D46,$C$13,$C$14,$C$15,$C$8,,,TRUE,TRUE,FALSE,$C$29:$C$31,$C$33),{1;2;3;4;5})),"")</f>
        <v>#VALUE!</v>
      </c>
      <c r="Q22" s="443" t="e">
        <f ca="1"/>
        <v>#VALUE!</v>
      </c>
      <c r="R22" s="443" t="e">
        <f ca="1"/>
        <v>#VALUE!</v>
      </c>
      <c r="S22" s="444" t="e">
        <f ca="1"/>
        <v>#VALUE!</v>
      </c>
      <c r="T22" s="445" t="e">
        <f ca="1"/>
        <v>#VALUE!</v>
      </c>
      <c r="U22" s="446" t="e">
        <f t="shared" ca="1" si="4"/>
        <v>#VALUE!</v>
      </c>
      <c r="V22" s="447" t="e">
        <f t="shared" ca="1" si="0"/>
        <v>#VALUE!</v>
      </c>
      <c r="W22" s="446" t="e">
        <f t="shared" ca="1" si="1"/>
        <v>#VALUE!</v>
      </c>
      <c r="X22" s="448" t="e">
        <f t="shared" ca="1" si="2"/>
        <v>#VALUE!</v>
      </c>
      <c r="Y22" s="447" t="e">
        <f t="shared" ca="1" si="3"/>
        <v>#VALUE!</v>
      </c>
      <c r="Z22" s="79"/>
    </row>
    <row r="23" spans="1:26" customFormat="1" ht="15.75" thickBot="1">
      <c r="A23" s="231"/>
      <c r="B23" s="231"/>
      <c r="C23" s="232"/>
      <c r="D23" s="232"/>
      <c r="E23" s="232"/>
      <c r="F23" s="232"/>
      <c r="G23" s="232"/>
      <c r="H23" s="398">
        <v>9</v>
      </c>
      <c r="I23" s="417" t="str">
        <f ca="1"/>
        <v>0,000134256177572034</v>
      </c>
      <c r="J23" s="417" t="str">
        <f ca="1"/>
        <v>0,00045644485485904</v>
      </c>
      <c r="K23" s="426" t="str">
        <f ca="1"/>
        <v>0,294134496517647</v>
      </c>
      <c r="L23" s="426" t="str">
        <f ca="1"/>
        <v>0,294134496517647</v>
      </c>
      <c r="M23" s="426" t="str">
        <f ca="1"/>
        <v>-0,000120032345079446</v>
      </c>
      <c r="N23" s="426" t="str">
        <f ca="1"/>
        <v>AUCHAN_MMR.EUR.SU</v>
      </c>
      <c r="O23" s="465" t="str">
        <f ca="1"/>
        <v/>
      </c>
      <c r="P23" s="442" t="e" cm="1">
        <f t="array" aca="1" ref="P23:T23" ca="1">IF(AND($Q$12,B47&lt;=$C$17,C47&lt;&gt;""),TRANSPOSE(INDEX(GetCDS(C47,$C$6,G47/10000,F47,D47,$C$13,$C$14,$C$15,$C$8,,,TRUE,TRUE,FALSE,$C$29:$C$31,$C$33),{1;2;3;4;5})),"")</f>
        <v>#VALUE!</v>
      </c>
      <c r="Q23" s="443" t="e">
        <f ca="1"/>
        <v>#VALUE!</v>
      </c>
      <c r="R23" s="443" t="e">
        <f ca="1"/>
        <v>#VALUE!</v>
      </c>
      <c r="S23" s="444" t="e">
        <f ca="1"/>
        <v>#VALUE!</v>
      </c>
      <c r="T23" s="445" t="e">
        <f ca="1"/>
        <v>#VALUE!</v>
      </c>
      <c r="U23" s="446" t="e">
        <f t="shared" ca="1" si="4"/>
        <v>#VALUE!</v>
      </c>
      <c r="V23" s="447" t="e">
        <f t="shared" ca="1" si="0"/>
        <v>#VALUE!</v>
      </c>
      <c r="W23" s="446" t="e">
        <f t="shared" ca="1" si="1"/>
        <v>#VALUE!</v>
      </c>
      <c r="X23" s="448" t="e">
        <f t="shared" ca="1" si="2"/>
        <v>#VALUE!</v>
      </c>
      <c r="Y23" s="447" t="e">
        <f t="shared" ca="1" si="3"/>
        <v>#VALUE!</v>
      </c>
      <c r="Z23" s="79"/>
    </row>
    <row r="24" spans="1:26" customFormat="1" ht="15">
      <c r="A24" s="250"/>
      <c r="B24" s="285" t="s">
        <v>447</v>
      </c>
      <c r="C24" s="63" t="b">
        <v>1</v>
      </c>
      <c r="D24" s="232"/>
      <c r="E24" s="232"/>
      <c r="F24" s="232"/>
      <c r="G24" s="232"/>
      <c r="H24" s="398">
        <v>10</v>
      </c>
      <c r="I24" s="417" t="str">
        <f ca="1"/>
        <v>0,000154000791214592</v>
      </c>
      <c r="J24" s="417" t="str">
        <f ca="1"/>
        <v>0,000453497125856779</v>
      </c>
      <c r="K24" s="426" t="str">
        <f ca="1"/>
        <v>0,339584933253199</v>
      </c>
      <c r="L24" s="426" t="str">
        <f ca="1"/>
        <v>0,339584933253199</v>
      </c>
      <c r="M24" s="426" t="str">
        <f ca="1"/>
        <v>-0,000167030907819709</v>
      </c>
      <c r="N24" s="426" t="str">
        <f ca="1"/>
        <v>AVIVA_MMR.EUR.SU</v>
      </c>
      <c r="O24" s="465" t="str">
        <f ca="1"/>
        <v/>
      </c>
      <c r="P24" s="442" t="e" cm="1">
        <f t="array" aca="1" ref="P24:T24" ca="1">IF(AND($Q$12,B48&lt;=$C$17,C48&lt;&gt;""),TRANSPOSE(INDEX(GetCDS(C48,$C$6,G48/10000,F48,D48,$C$13,$C$14,$C$15,$C$8,,,TRUE,TRUE,FALSE,$C$29:$C$31,$C$33),{1;2;3;4;5})),"")</f>
        <v>#VALUE!</v>
      </c>
      <c r="Q24" s="443" t="e">
        <f ca="1"/>
        <v>#VALUE!</v>
      </c>
      <c r="R24" s="443" t="e">
        <f ca="1"/>
        <v>#VALUE!</v>
      </c>
      <c r="S24" s="444" t="e">
        <f ca="1"/>
        <v>#VALUE!</v>
      </c>
      <c r="T24" s="445" t="e">
        <f ca="1"/>
        <v>#VALUE!</v>
      </c>
      <c r="U24" s="446" t="e">
        <f t="shared" ca="1" si="4"/>
        <v>#VALUE!</v>
      </c>
      <c r="V24" s="447" t="e">
        <f t="shared" ca="1" si="0"/>
        <v>#VALUE!</v>
      </c>
      <c r="W24" s="446" t="e">
        <f t="shared" ca="1" si="1"/>
        <v>#VALUE!</v>
      </c>
      <c r="X24" s="448" t="e">
        <f t="shared" ca="1" si="2"/>
        <v>#VALUE!</v>
      </c>
      <c r="Y24" s="447" t="e">
        <f t="shared" ca="1" si="3"/>
        <v>#VALUE!</v>
      </c>
      <c r="Z24" s="79"/>
    </row>
    <row r="25" spans="1:26" customFormat="1" ht="15.75" thickBot="1">
      <c r="A25" s="250"/>
      <c r="B25" s="457" t="s">
        <v>448</v>
      </c>
      <c r="C25" s="458" t="b">
        <v>1</v>
      </c>
      <c r="D25" s="232"/>
      <c r="E25" s="232"/>
      <c r="F25" s="232"/>
      <c r="G25" s="232"/>
      <c r="H25" s="398">
        <v>11</v>
      </c>
      <c r="I25" s="417" t="str">
        <f ca="1"/>
        <v>0,000160350461748582</v>
      </c>
      <c r="J25" s="417" t="str">
        <f ca="1"/>
        <v>0,000452394938582209</v>
      </c>
      <c r="K25" s="426" t="str">
        <f ca="1"/>
        <v>0,354447957024265</v>
      </c>
      <c r="L25" s="426" t="str">
        <f ca="1"/>
        <v>0,354447957024265</v>
      </c>
      <c r="M25" s="426" t="str">
        <f ca="1"/>
        <v>-0,000184323459224234</v>
      </c>
      <c r="N25" s="426" t="str">
        <f ca="1"/>
        <v>AXA_MMR.EUR.SU</v>
      </c>
      <c r="O25" s="465" t="str">
        <f ca="1"/>
        <v/>
      </c>
      <c r="P25" s="442" t="e" cm="1">
        <f t="array" aca="1" ref="P25:T25" ca="1">IF(AND($Q$12,B49&lt;=$C$17,C49&lt;&gt;""),TRANSPOSE(INDEX(GetCDS(C49,$C$6,G49/10000,F49,D49,$C$13,$C$14,$C$15,$C$8,,,TRUE,TRUE,FALSE,$C$29:$C$31,$C$33),{1;2;3;4;5})),"")</f>
        <v>#VALUE!</v>
      </c>
      <c r="Q25" s="443" t="e">
        <f ca="1"/>
        <v>#VALUE!</v>
      </c>
      <c r="R25" s="443" t="e">
        <f ca="1"/>
        <v>#VALUE!</v>
      </c>
      <c r="S25" s="444" t="e">
        <f ca="1"/>
        <v>#VALUE!</v>
      </c>
      <c r="T25" s="445" t="e">
        <f ca="1"/>
        <v>#VALUE!</v>
      </c>
      <c r="U25" s="446" t="e">
        <f t="shared" ca="1" si="4"/>
        <v>#VALUE!</v>
      </c>
      <c r="V25" s="447" t="e">
        <f t="shared" ca="1" si="0"/>
        <v>#VALUE!</v>
      </c>
      <c r="W25" s="446" t="e">
        <f t="shared" ca="1" si="1"/>
        <v>#VALUE!</v>
      </c>
      <c r="X25" s="448" t="e">
        <f t="shared" ca="1" si="2"/>
        <v>#VALUE!</v>
      </c>
      <c r="Y25" s="447" t="e">
        <f t="shared" ca="1" si="3"/>
        <v>#VALUE!</v>
      </c>
      <c r="Z25" s="79"/>
    </row>
    <row r="26" spans="1:26" customFormat="1" ht="15.75" thickBot="1">
      <c r="A26" s="231"/>
      <c r="B26" s="231"/>
      <c r="C26" s="232"/>
      <c r="D26" s="232"/>
      <c r="E26" s="232"/>
      <c r="F26" s="232"/>
      <c r="G26" s="232"/>
      <c r="H26" s="398">
        <v>12</v>
      </c>
      <c r="I26" s="417" t="str">
        <f ca="1"/>
        <v>0,000179977178986613</v>
      </c>
      <c r="J26" s="417" t="str">
        <f ca="1"/>
        <v>0,000448343428325925</v>
      </c>
      <c r="K26" s="426" t="str">
        <f ca="1"/>
        <v>0,401427048141716</v>
      </c>
      <c r="L26" s="426" t="str">
        <f ca="1"/>
        <v>0,401427048141716</v>
      </c>
      <c r="M26" s="426" t="str">
        <f ca="1"/>
        <v>-0,000244611335087175</v>
      </c>
      <c r="N26" s="426" t="str">
        <f ca="1"/>
        <v>BANCOESPIRITOSANTO_MMR.EUR.SU</v>
      </c>
      <c r="O26" s="465" t="str">
        <f ca="1"/>
        <v/>
      </c>
      <c r="P26" s="442" t="e" cm="1">
        <f t="array" aca="1" ref="P26:T26" ca="1">IF(AND($Q$12,B50&lt;=$C$17,C50&lt;&gt;""),TRANSPOSE(INDEX(GetCDS(C50,$C$6,G50/10000,F50,D50,$C$13,$C$14,$C$15,$C$8,,,TRUE,TRUE,FALSE,$C$29:$C$31,$C$33),{1;2;3;4;5})),"")</f>
        <v>#VALUE!</v>
      </c>
      <c r="Q26" s="443" t="e">
        <f ca="1"/>
        <v>#VALUE!</v>
      </c>
      <c r="R26" s="443" t="e">
        <f ca="1"/>
        <v>#VALUE!</v>
      </c>
      <c r="S26" s="444" t="e">
        <f ca="1"/>
        <v>#VALUE!</v>
      </c>
      <c r="T26" s="445" t="e">
        <f ca="1"/>
        <v>#VALUE!</v>
      </c>
      <c r="U26" s="446" t="e">
        <f t="shared" ca="1" si="4"/>
        <v>#VALUE!</v>
      </c>
      <c r="V26" s="447" t="e">
        <f t="shared" ca="1" si="0"/>
        <v>#VALUE!</v>
      </c>
      <c r="W26" s="446" t="e">
        <f t="shared" ca="1" si="1"/>
        <v>#VALUE!</v>
      </c>
      <c r="X26" s="448" t="e">
        <f t="shared" ca="1" si="2"/>
        <v>#VALUE!</v>
      </c>
      <c r="Y26" s="447" t="e">
        <f t="shared" ca="1" si="3"/>
        <v>#VALUE!</v>
      </c>
      <c r="Z26" s="79"/>
    </row>
    <row r="27" spans="1:26" customFormat="1" ht="15.75" thickBot="1">
      <c r="A27" s="231"/>
      <c r="B27" s="462" t="s">
        <v>449</v>
      </c>
      <c r="C27" s="185" t="b">
        <v>1</v>
      </c>
      <c r="D27" s="232"/>
      <c r="E27" s="232"/>
      <c r="F27" s="232"/>
      <c r="G27" s="232"/>
      <c r="H27" s="398">
        <v>13</v>
      </c>
      <c r="I27" s="417" t="str">
        <f ca="1"/>
        <v>0,000171992643062113</v>
      </c>
      <c r="J27" s="417" t="str">
        <f ca="1"/>
        <v>0,000450216054906344</v>
      </c>
      <c r="K27" s="426" t="str">
        <f ca="1"/>
        <v>0,382022456080318</v>
      </c>
      <c r="L27" s="426" t="str">
        <f ca="1"/>
        <v>0,382022456080318</v>
      </c>
      <c r="M27" s="426" t="str">
        <f ca="1"/>
        <v>-0,000218412748806052</v>
      </c>
      <c r="N27" s="426" t="str">
        <f ca="1"/>
        <v>BARCLAYS_MMR.EUR.SU</v>
      </c>
      <c r="O27" s="465" t="str">
        <f ca="1"/>
        <v/>
      </c>
      <c r="P27" s="442" t="e" cm="1">
        <f t="array" aca="1" ref="P27:T27" ca="1">IF(AND($Q$12,B51&lt;=$C$17,C51&lt;&gt;""),TRANSPOSE(INDEX(GetCDS(C51,$C$6,G51/10000,F51,D51,$C$13,$C$14,$C$15,$C$8,,,TRUE,TRUE,FALSE,$C$29:$C$31,$C$33),{1;2;3;4;5})),"")</f>
        <v>#VALUE!</v>
      </c>
      <c r="Q27" s="443" t="e">
        <f ca="1"/>
        <v>#VALUE!</v>
      </c>
      <c r="R27" s="443" t="e">
        <f ca="1"/>
        <v>#VALUE!</v>
      </c>
      <c r="S27" s="444" t="e">
        <f ca="1"/>
        <v>#VALUE!</v>
      </c>
      <c r="T27" s="445" t="e">
        <f ca="1"/>
        <v>#VALUE!</v>
      </c>
      <c r="U27" s="446" t="e">
        <f t="shared" ca="1" si="4"/>
        <v>#VALUE!</v>
      </c>
      <c r="V27" s="447" t="e">
        <f t="shared" ca="1" si="0"/>
        <v>#VALUE!</v>
      </c>
      <c r="W27" s="446" t="e">
        <f t="shared" ca="1" si="1"/>
        <v>#VALUE!</v>
      </c>
      <c r="X27" s="448" t="e">
        <f t="shared" ca="1" si="2"/>
        <v>#VALUE!</v>
      </c>
      <c r="Y27" s="447" t="e">
        <f t="shared" ca="1" si="3"/>
        <v>#VALUE!</v>
      </c>
      <c r="Z27" s="79"/>
    </row>
    <row r="28" spans="1:26" customFormat="1" ht="15.75" thickBot="1">
      <c r="A28" s="231"/>
      <c r="B28" s="283" t="s">
        <v>450</v>
      </c>
      <c r="C28" s="251"/>
      <c r="D28" s="232"/>
      <c r="E28" s="232"/>
      <c r="F28" s="232"/>
      <c r="G28" s="232"/>
      <c r="H28" s="398">
        <v>14</v>
      </c>
      <c r="I28" s="417" t="str">
        <f ca="1"/>
        <v>0,000122959025626734</v>
      </c>
      <c r="J28" s="417" t="str">
        <f ca="1"/>
        <v>0,000457942889705021</v>
      </c>
      <c r="K28" s="426" t="str">
        <f ca="1"/>
        <v>0,268502969236921</v>
      </c>
      <c r="L28" s="426" t="str">
        <f ca="1"/>
        <v>0,268502969236921</v>
      </c>
      <c r="M28" s="426" t="str">
        <f ca="1"/>
        <v>-9,64364767104486E-05</v>
      </c>
      <c r="N28" s="426" t="str">
        <f ca="1"/>
        <v>BASF_MMR.EUR.SU</v>
      </c>
      <c r="O28" s="465" t="str">
        <f ca="1"/>
        <v/>
      </c>
      <c r="P28" s="442" t="e" cm="1">
        <f t="array" aca="1" ref="P28:T28" ca="1">IF(AND($Q$12,B52&lt;=$C$17,C52&lt;&gt;""),TRANSPOSE(INDEX(GetCDS(C52,$C$6,G52/10000,F52,D52,$C$13,$C$14,$C$15,$C$8,,,TRUE,TRUE,FALSE,$C$29:$C$31,$C$33),{1;2;3;4;5})),"")</f>
        <v>#VALUE!</v>
      </c>
      <c r="Q28" s="443" t="e">
        <f ca="1"/>
        <v>#VALUE!</v>
      </c>
      <c r="R28" s="443" t="e">
        <f ca="1"/>
        <v>#VALUE!</v>
      </c>
      <c r="S28" s="444" t="e">
        <f ca="1"/>
        <v>#VALUE!</v>
      </c>
      <c r="T28" s="445" t="e">
        <f ca="1"/>
        <v>#VALUE!</v>
      </c>
      <c r="U28" s="446" t="e">
        <f t="shared" ca="1" si="4"/>
        <v>#VALUE!</v>
      </c>
      <c r="V28" s="447" t="e">
        <f t="shared" ca="1" si="0"/>
        <v>#VALUE!</v>
      </c>
      <c r="W28" s="446" t="e">
        <f t="shared" ca="1" si="1"/>
        <v>#VALUE!</v>
      </c>
      <c r="X28" s="448" t="e">
        <f t="shared" ca="1" si="2"/>
        <v>#VALUE!</v>
      </c>
      <c r="Y28" s="447" t="e">
        <f t="shared" ca="1" si="3"/>
        <v>#VALUE!</v>
      </c>
      <c r="Z28" s="79"/>
    </row>
    <row r="29" spans="1:26" customFormat="1" ht="15.75" thickBot="1">
      <c r="A29" s="231"/>
      <c r="B29" s="283" t="s">
        <v>469</v>
      </c>
      <c r="C29" s="252"/>
      <c r="D29" s="232"/>
      <c r="E29" s="232"/>
      <c r="F29" s="232"/>
      <c r="G29" s="232"/>
      <c r="H29" s="398">
        <v>15</v>
      </c>
      <c r="I29" s="417" t="str">
        <f ca="1"/>
        <v>0,000156599119707157</v>
      </c>
      <c r="J29" s="417" t="str">
        <f ca="1"/>
        <v>0,000452697186446413</v>
      </c>
      <c r="K29" s="426" t="str">
        <f ca="1"/>
        <v>0,34592465868063</v>
      </c>
      <c r="L29" s="426" t="str">
        <f ca="1"/>
        <v>0,34592465868063</v>
      </c>
      <c r="M29" s="426" t="str">
        <f ca="1"/>
        <v>-0,000176178544033423</v>
      </c>
      <c r="N29" s="426" t="str">
        <f ca="1"/>
        <v>BAT_MMR.EUR.SU</v>
      </c>
      <c r="O29" s="465" t="str">
        <f ca="1"/>
        <v/>
      </c>
      <c r="P29" s="442" t="e" cm="1">
        <f t="array" aca="1" ref="P29:T29" ca="1">IF(AND($Q$12,B53&lt;=$C$17,C53&lt;&gt;""),TRANSPOSE(INDEX(GetCDS(C53,$C$6,G53/10000,F53,D53,$C$13,$C$14,$C$15,$C$8,,,TRUE,TRUE,FALSE,$C$29:$C$31,$C$33),{1;2;3;4;5})),"")</f>
        <v>#VALUE!</v>
      </c>
      <c r="Q29" s="443" t="e">
        <f ca="1"/>
        <v>#VALUE!</v>
      </c>
      <c r="R29" s="443" t="e">
        <f ca="1"/>
        <v>#VALUE!</v>
      </c>
      <c r="S29" s="444" t="e">
        <f ca="1"/>
        <v>#VALUE!</v>
      </c>
      <c r="T29" s="445" t="e">
        <f ca="1"/>
        <v>#VALUE!</v>
      </c>
      <c r="U29" s="446" t="e">
        <f t="shared" ca="1" si="4"/>
        <v>#VALUE!</v>
      </c>
      <c r="V29" s="447" t="e">
        <f t="shared" ca="1" si="0"/>
        <v>#VALUE!</v>
      </c>
      <c r="W29" s="446" t="e">
        <f t="shared" ca="1" si="1"/>
        <v>#VALUE!</v>
      </c>
      <c r="X29" s="448" t="e">
        <f t="shared" ca="1" si="2"/>
        <v>#VALUE!</v>
      </c>
      <c r="Y29" s="447" t="e">
        <f t="shared" ca="1" si="3"/>
        <v>#VALUE!</v>
      </c>
      <c r="Z29" s="79"/>
    </row>
    <row r="30" spans="1:26" customFormat="1" ht="15">
      <c r="A30" s="231"/>
      <c r="B30" s="283" t="s">
        <v>447</v>
      </c>
      <c r="C30" s="63" t="b">
        <v>1</v>
      </c>
      <c r="D30" s="232"/>
      <c r="E30" s="232"/>
      <c r="F30" s="232"/>
      <c r="G30" s="232"/>
      <c r="H30" s="398">
        <v>16</v>
      </c>
      <c r="I30" s="417" t="str">
        <f ca="1"/>
        <v>0,00013881725046585</v>
      </c>
      <c r="J30" s="417" t="str">
        <f ca="1"/>
        <v>0,000455687610797807</v>
      </c>
      <c r="K30" s="426" t="str">
        <f ca="1"/>
        <v>0,304632487643919</v>
      </c>
      <c r="L30" s="426" t="str">
        <f ca="1"/>
        <v>0,304632487643919</v>
      </c>
      <c r="M30" s="426" t="str">
        <f ca="1"/>
        <v>-0,000130758323755642</v>
      </c>
      <c r="N30" s="426" t="str">
        <f ca="1"/>
        <v>BAYER_MMR.EUR.SU</v>
      </c>
      <c r="O30" s="465" t="str">
        <f ca="1"/>
        <v/>
      </c>
      <c r="P30" s="442" t="e" cm="1">
        <f t="array" aca="1" ref="P30:T30" ca="1">IF(AND($Q$12,B54&lt;=$C$17,C54&lt;&gt;""),TRANSPOSE(INDEX(GetCDS(C54,$C$6,G54/10000,F54,D54,$C$13,$C$14,$C$15,$C$8,,,TRUE,TRUE,FALSE,$C$29:$C$31,$C$33),{1;2;3;4;5})),"")</f>
        <v>#VALUE!</v>
      </c>
      <c r="Q30" s="443" t="e">
        <f ca="1"/>
        <v>#VALUE!</v>
      </c>
      <c r="R30" s="443" t="e">
        <f ca="1"/>
        <v>#VALUE!</v>
      </c>
      <c r="S30" s="444" t="e">
        <f ca="1"/>
        <v>#VALUE!</v>
      </c>
      <c r="T30" s="445" t="e">
        <f ca="1"/>
        <v>#VALUE!</v>
      </c>
      <c r="U30" s="446" t="e">
        <f t="shared" ca="1" si="4"/>
        <v>#VALUE!</v>
      </c>
      <c r="V30" s="447" t="e">
        <f t="shared" ca="1" si="0"/>
        <v>#VALUE!</v>
      </c>
      <c r="W30" s="446" t="e">
        <f t="shared" ca="1" si="1"/>
        <v>#VALUE!</v>
      </c>
      <c r="X30" s="448" t="e">
        <f t="shared" ca="1" si="2"/>
        <v>#VALUE!</v>
      </c>
      <c r="Y30" s="447" t="e">
        <f t="shared" ca="1" si="3"/>
        <v>#VALUE!</v>
      </c>
      <c r="Z30" s="79"/>
    </row>
    <row r="31" spans="1:26" customFormat="1" ht="15.75" thickBot="1">
      <c r="A31" s="231"/>
      <c r="B31" s="284" t="s">
        <v>448</v>
      </c>
      <c r="C31" s="458" t="b">
        <v>1</v>
      </c>
      <c r="D31" s="232"/>
      <c r="E31" s="232"/>
      <c r="F31" s="232"/>
      <c r="G31" s="232"/>
      <c r="H31" s="398">
        <v>17</v>
      </c>
      <c r="I31" s="417" t="str">
        <f ca="1"/>
        <v>0,000158992319060803</v>
      </c>
      <c r="J31" s="417" t="str">
        <f ca="1"/>
        <v>0,000452796975989538</v>
      </c>
      <c r="K31" s="426" t="str">
        <f ca="1"/>
        <v>0,351133791724962</v>
      </c>
      <c r="L31" s="426" t="str">
        <f ca="1"/>
        <v>0,351133791724962</v>
      </c>
      <c r="M31" s="426" t="str">
        <f ca="1"/>
        <v>-0,000179993520260479</v>
      </c>
      <c r="N31" s="426" t="str">
        <f ca="1"/>
        <v>BBVA_MMR.EUR.SU</v>
      </c>
      <c r="O31" s="465" t="str">
        <f ca="1"/>
        <v/>
      </c>
      <c r="P31" s="442" t="e" cm="1">
        <f t="array" aca="1" ref="P31:T31" ca="1">IF(AND($Q$12,B55&lt;=$C$17,C55&lt;&gt;""),TRANSPOSE(INDEX(GetCDS(C55,$C$6,G55/10000,F55,D55,$C$13,$C$14,$C$15,$C$8,,,TRUE,TRUE,FALSE,$C$29:$C$31,$C$33),{1;2;3;4;5})),"")</f>
        <v>#VALUE!</v>
      </c>
      <c r="Q31" s="443" t="e">
        <f ca="1"/>
        <v>#VALUE!</v>
      </c>
      <c r="R31" s="443" t="e">
        <f ca="1"/>
        <v>#VALUE!</v>
      </c>
      <c r="S31" s="444" t="e">
        <f ca="1"/>
        <v>#VALUE!</v>
      </c>
      <c r="T31" s="445" t="e">
        <f ca="1"/>
        <v>#VALUE!</v>
      </c>
      <c r="U31" s="446" t="e">
        <f t="shared" ca="1" si="4"/>
        <v>#VALUE!</v>
      </c>
      <c r="V31" s="447" t="e">
        <f t="shared" ca="1" si="0"/>
        <v>#VALUE!</v>
      </c>
      <c r="W31" s="446" t="e">
        <f t="shared" ca="1" si="1"/>
        <v>#VALUE!</v>
      </c>
      <c r="X31" s="448" t="e">
        <f t="shared" ca="1" si="2"/>
        <v>#VALUE!</v>
      </c>
      <c r="Y31" s="447" t="e">
        <f t="shared" ca="1" si="3"/>
        <v>#VALUE!</v>
      </c>
      <c r="Z31" s="79"/>
    </row>
    <row r="32" spans="1:26" customFormat="1" ht="15.75" thickBot="1">
      <c r="A32" s="231"/>
      <c r="B32" s="231"/>
      <c r="C32" s="232"/>
      <c r="D32" s="232"/>
      <c r="E32" s="232"/>
      <c r="F32" s="232"/>
      <c r="G32" s="232"/>
      <c r="H32" s="398">
        <v>18</v>
      </c>
      <c r="I32" s="417" t="str">
        <f ca="1"/>
        <v>0,00015260427088375</v>
      </c>
      <c r="J32" s="417" t="str">
        <f ca="1"/>
        <v>0,000453446891781938</v>
      </c>
      <c r="K32" s="426" t="str">
        <f ca="1"/>
        <v>0,336542765314923</v>
      </c>
      <c r="L32" s="426" t="str">
        <f ca="1"/>
        <v>0,336542765314923</v>
      </c>
      <c r="M32" s="426" t="str">
        <f ca="1"/>
        <v>-0,000165039151344093</v>
      </c>
      <c r="N32" s="426" t="str">
        <f ca="1"/>
        <v>BERTELSMANNAG_MMR.EUR.SU</v>
      </c>
      <c r="O32" s="465" t="str">
        <f ca="1"/>
        <v/>
      </c>
      <c r="P32" s="442" t="e" cm="1">
        <f t="array" aca="1" ref="P32:T32" ca="1">IF(AND($Q$12,B56&lt;=$C$17,C56&lt;&gt;""),TRANSPOSE(INDEX(GetCDS(C56,$C$6,G56/10000,F56,D56,$C$13,$C$14,$C$15,$C$8,,,TRUE,TRUE,FALSE,$C$29:$C$31,$C$33),{1;2;3;4;5})),"")</f>
        <v>#VALUE!</v>
      </c>
      <c r="Q32" s="443" t="e">
        <f ca="1"/>
        <v>#VALUE!</v>
      </c>
      <c r="R32" s="443" t="e">
        <f ca="1"/>
        <v>#VALUE!</v>
      </c>
      <c r="S32" s="444" t="e">
        <f ca="1"/>
        <v>#VALUE!</v>
      </c>
      <c r="T32" s="445" t="e">
        <f ca="1"/>
        <v>#VALUE!</v>
      </c>
      <c r="U32" s="446" t="e">
        <f t="shared" ca="1" si="4"/>
        <v>#VALUE!</v>
      </c>
      <c r="V32" s="447" t="e">
        <f t="shared" ca="1" si="0"/>
        <v>#VALUE!</v>
      </c>
      <c r="W32" s="446" t="e">
        <f t="shared" ca="1" si="1"/>
        <v>#VALUE!</v>
      </c>
      <c r="X32" s="448" t="e">
        <f t="shared" ca="1" si="2"/>
        <v>#VALUE!</v>
      </c>
      <c r="Y32" s="447" t="e">
        <f t="shared" ca="1" si="3"/>
        <v>#VALUE!</v>
      </c>
      <c r="Z32" s="79"/>
    </row>
    <row r="33" spans="1:26" customFormat="1" ht="15">
      <c r="A33" s="231"/>
      <c r="B33" s="282" t="s">
        <v>451</v>
      </c>
      <c r="C33" s="253" t="s">
        <v>452</v>
      </c>
      <c r="D33" s="254"/>
      <c r="E33" s="254"/>
      <c r="F33" s="254"/>
      <c r="G33" s="232"/>
      <c r="H33" s="398">
        <v>19</v>
      </c>
      <c r="I33" s="417" t="str">
        <f ca="1"/>
        <v>0,000141479647970466</v>
      </c>
      <c r="J33" s="417" t="str">
        <f ca="1"/>
        <v>0,000455318665271907</v>
      </c>
      <c r="K33" s="426" t="str">
        <f ca="1"/>
        <v>0,310726659725178</v>
      </c>
      <c r="L33" s="426" t="str">
        <f ca="1"/>
        <v>0,310726659725178</v>
      </c>
      <c r="M33" s="426" t="str">
        <f ca="1"/>
        <v>-0,000136755117013698</v>
      </c>
      <c r="N33" s="426" t="str">
        <f ca="1"/>
        <v>BMW_MMR.EUR.SU</v>
      </c>
      <c r="O33" s="465" t="str">
        <f ca="1"/>
        <v/>
      </c>
      <c r="P33" s="442" t="e" cm="1">
        <f t="array" aca="1" ref="P33:T33" ca="1">IF(AND($Q$12,B57&lt;=$C$17,C57&lt;&gt;""),TRANSPOSE(INDEX(GetCDS(C57,$C$6,G57/10000,F57,D57,$C$13,$C$14,$C$15,$C$8,,,TRUE,TRUE,FALSE,$C$29:$C$31,$C$33),{1;2;3;4;5})),"")</f>
        <v>#VALUE!</v>
      </c>
      <c r="Q33" s="443" t="e">
        <f ca="1"/>
        <v>#VALUE!</v>
      </c>
      <c r="R33" s="443" t="e">
        <f ca="1"/>
        <v>#VALUE!</v>
      </c>
      <c r="S33" s="444" t="e">
        <f ca="1"/>
        <v>#VALUE!</v>
      </c>
      <c r="T33" s="445" t="e">
        <f ca="1"/>
        <v>#VALUE!</v>
      </c>
      <c r="U33" s="446" t="e">
        <f t="shared" ca="1" si="4"/>
        <v>#VALUE!</v>
      </c>
      <c r="V33" s="447" t="e">
        <f t="shared" ca="1" si="0"/>
        <v>#VALUE!</v>
      </c>
      <c r="W33" s="446" t="e">
        <f t="shared" ca="1" si="1"/>
        <v>#VALUE!</v>
      </c>
      <c r="X33" s="448" t="e">
        <f t="shared" ca="1" si="2"/>
        <v>#VALUE!</v>
      </c>
      <c r="Y33" s="447" t="e">
        <f t="shared" ca="1" si="3"/>
        <v>#VALUE!</v>
      </c>
      <c r="Z33" s="79"/>
    </row>
    <row r="34" spans="1:26" customFormat="1" ht="15">
      <c r="A34" s="231"/>
      <c r="B34" s="283" t="s">
        <v>470</v>
      </c>
      <c r="C34" s="255">
        <v>0.01</v>
      </c>
      <c r="D34" s="254"/>
      <c r="E34" s="254"/>
      <c r="F34" s="254"/>
      <c r="G34" s="232"/>
      <c r="H34" s="398">
        <v>20</v>
      </c>
      <c r="I34" s="417" t="str">
        <f ca="1"/>
        <v>0,000151377586679669</v>
      </c>
      <c r="J34" s="417" t="str">
        <f ca="1"/>
        <v>0,000453848032941734</v>
      </c>
      <c r="K34" s="426" t="str">
        <f ca="1"/>
        <v>0,333542454064361</v>
      </c>
      <c r="L34" s="426" t="str">
        <f ca="1"/>
        <v>0,333542454064361</v>
      </c>
      <c r="M34" s="426" t="str">
        <f ca="1"/>
        <v>-0,000160683788525118</v>
      </c>
      <c r="N34" s="426" t="str">
        <f ca="1"/>
        <v>BNPPARIBAS_MMR.EUR.SU</v>
      </c>
      <c r="O34" s="465" t="str">
        <f ca="1"/>
        <v/>
      </c>
      <c r="P34" s="442" t="e" cm="1">
        <f t="array" aca="1" ref="P34:T34" ca="1">IF(AND($Q$12,B58&lt;=$C$17,C58&lt;&gt;""),TRANSPOSE(INDEX(GetCDS(C58,$C$6,G58/10000,F58,D58,$C$13,$C$14,$C$15,$C$8,,,TRUE,TRUE,FALSE,$C$29:$C$31,$C$33),{1;2;3;4;5})),"")</f>
        <v>#VALUE!</v>
      </c>
      <c r="Q34" s="443" t="e">
        <f ca="1"/>
        <v>#VALUE!</v>
      </c>
      <c r="R34" s="443" t="e">
        <f ca="1"/>
        <v>#VALUE!</v>
      </c>
      <c r="S34" s="444" t="e">
        <f ca="1"/>
        <v>#VALUE!</v>
      </c>
      <c r="T34" s="445" t="e">
        <f ca="1"/>
        <v>#VALUE!</v>
      </c>
      <c r="U34" s="446" t="e">
        <f t="shared" ca="1" si="4"/>
        <v>#VALUE!</v>
      </c>
      <c r="V34" s="447" t="e">
        <f t="shared" ca="1" si="0"/>
        <v>#VALUE!</v>
      </c>
      <c r="W34" s="446" t="e">
        <f t="shared" ca="1" si="1"/>
        <v>#VALUE!</v>
      </c>
      <c r="X34" s="448" t="e">
        <f t="shared" ca="1" si="2"/>
        <v>#VALUE!</v>
      </c>
      <c r="Y34" s="447" t="e">
        <f t="shared" ca="1" si="3"/>
        <v>#VALUE!</v>
      </c>
      <c r="Z34" s="79"/>
    </row>
    <row r="35" spans="1:26" customFormat="1" ht="15">
      <c r="A35" s="231"/>
      <c r="B35" s="283" t="s">
        <v>471</v>
      </c>
      <c r="C35" s="255">
        <v>1</v>
      </c>
      <c r="D35" s="232"/>
      <c r="E35" s="232"/>
      <c r="F35" s="232"/>
      <c r="G35" s="232"/>
      <c r="H35" s="398">
        <v>21</v>
      </c>
      <c r="I35" s="417" t="str">
        <f ca="1"/>
        <v>0,000169318656182726</v>
      </c>
      <c r="J35" s="417" t="str">
        <f ca="1"/>
        <v>0,000450518054392997</v>
      </c>
      <c r="K35" s="426" t="str">
        <f ca="1"/>
        <v>0,375831011724617</v>
      </c>
      <c r="L35" s="426" t="str">
        <f ca="1"/>
        <v>0,375831011724617</v>
      </c>
      <c r="M35" s="426" t="str">
        <f ca="1"/>
        <v>-0,000211338025711716</v>
      </c>
      <c r="N35" s="426" t="str">
        <f ca="1"/>
        <v>BRITISHTELECOM_MMR.EUR.SU</v>
      </c>
      <c r="O35" s="465" t="str">
        <f ca="1"/>
        <v/>
      </c>
      <c r="P35" s="442" t="e" cm="1">
        <f t="array" aca="1" ref="P35:T35" ca="1">IF(AND($Q$12,B59&lt;=$C$17,C59&lt;&gt;""),TRANSPOSE(INDEX(GetCDS(C59,$C$6,G59/10000,F59,D59,$C$13,$C$14,$C$15,$C$8,,,TRUE,TRUE,FALSE,$C$29:$C$31,$C$33),{1;2;3;4;5})),"")</f>
        <v>#VALUE!</v>
      </c>
      <c r="Q35" s="443" t="e">
        <f ca="1"/>
        <v>#VALUE!</v>
      </c>
      <c r="R35" s="443" t="e">
        <f ca="1"/>
        <v>#VALUE!</v>
      </c>
      <c r="S35" s="444" t="e">
        <f ca="1"/>
        <v>#VALUE!</v>
      </c>
      <c r="T35" s="445" t="e">
        <f ca="1"/>
        <v>#VALUE!</v>
      </c>
      <c r="U35" s="446" t="e">
        <f t="shared" ca="1" si="4"/>
        <v>#VALUE!</v>
      </c>
      <c r="V35" s="447" t="e">
        <f t="shared" ca="1" si="0"/>
        <v>#VALUE!</v>
      </c>
      <c r="W35" s="446" t="e">
        <f t="shared" ca="1" si="1"/>
        <v>#VALUE!</v>
      </c>
      <c r="X35" s="448" t="e">
        <f t="shared" ca="1" si="2"/>
        <v>#VALUE!</v>
      </c>
      <c r="Y35" s="447" t="e">
        <f t="shared" ca="1" si="3"/>
        <v>#VALUE!</v>
      </c>
      <c r="Z35" s="79"/>
    </row>
    <row r="36" spans="1:26" customFormat="1" ht="15.75" thickBot="1">
      <c r="A36" s="231"/>
      <c r="B36" s="284" t="s">
        <v>472</v>
      </c>
      <c r="C36" s="256"/>
      <c r="D36" s="232"/>
      <c r="E36" s="232"/>
      <c r="F36" s="232"/>
      <c r="G36" s="232"/>
      <c r="H36" s="398">
        <v>22</v>
      </c>
      <c r="I36" s="417" t="str">
        <f ca="1"/>
        <v>0,000158453089468935</v>
      </c>
      <c r="J36" s="417" t="str">
        <f ca="1"/>
        <v>0,00045276484470119</v>
      </c>
      <c r="K36" s="426" t="str">
        <f ca="1"/>
        <v>0,349967740038449</v>
      </c>
      <c r="L36" s="426" t="str">
        <f ca="1"/>
        <v>0,349967740038449</v>
      </c>
      <c r="M36" s="426" t="str">
        <f ca="1"/>
        <v>-0,000179069759286032</v>
      </c>
      <c r="N36" s="426" t="str">
        <f ca="1"/>
        <v>BSCH_MMR.EUR.SU</v>
      </c>
      <c r="O36" s="465" t="str">
        <f ca="1"/>
        <v/>
      </c>
      <c r="P36" s="442" t="e" cm="1">
        <f t="array" aca="1" ref="P36:T36" ca="1">IF(AND($Q$12,B60&lt;=$C$17,C60&lt;&gt;""),TRANSPOSE(INDEX(GetCDS(C60,$C$6,G60/10000,F60,D60,$C$13,$C$14,$C$15,$C$8,,,TRUE,TRUE,FALSE,$C$29:$C$31,$C$33),{1;2;3;4;5})),"")</f>
        <v>#VALUE!</v>
      </c>
      <c r="Q36" s="443" t="e">
        <f ca="1"/>
        <v>#VALUE!</v>
      </c>
      <c r="R36" s="443" t="e">
        <f ca="1"/>
        <v>#VALUE!</v>
      </c>
      <c r="S36" s="444" t="e">
        <f ca="1"/>
        <v>#VALUE!</v>
      </c>
      <c r="T36" s="445" t="e">
        <f ca="1"/>
        <v>#VALUE!</v>
      </c>
      <c r="U36" s="446" t="e">
        <f t="shared" ca="1" si="4"/>
        <v>#VALUE!</v>
      </c>
      <c r="V36" s="447" t="e">
        <f t="shared" ca="1" si="0"/>
        <v>#VALUE!</v>
      </c>
      <c r="W36" s="446" t="e">
        <f t="shared" ca="1" si="1"/>
        <v>#VALUE!</v>
      </c>
      <c r="X36" s="448" t="e">
        <f t="shared" ca="1" si="2"/>
        <v>#VALUE!</v>
      </c>
      <c r="Y36" s="447" t="e">
        <f t="shared" ca="1" si="3"/>
        <v>#VALUE!</v>
      </c>
      <c r="Z36" s="79"/>
    </row>
    <row r="37" spans="1:26" customFormat="1" ht="15.75" thickBot="1">
      <c r="A37" s="231"/>
      <c r="B37" s="231"/>
      <c r="C37" s="232"/>
      <c r="D37" s="232"/>
      <c r="E37" s="232"/>
      <c r="F37" s="232"/>
      <c r="G37" s="232"/>
      <c r="H37" s="398">
        <v>23</v>
      </c>
      <c r="I37" s="417" t="str">
        <f ca="1"/>
        <v>0,000162745497730121</v>
      </c>
      <c r="J37" s="417" t="str">
        <f ca="1"/>
        <v>0,000451585244888564</v>
      </c>
      <c r="K37" s="426" t="str">
        <f ca="1"/>
        <v>0,360387102041567</v>
      </c>
      <c r="L37" s="426" t="str">
        <f ca="1"/>
        <v>0,360387102041567</v>
      </c>
      <c r="M37" s="426" t="str">
        <f ca="1"/>
        <v>-0,000193309732390357</v>
      </c>
      <c r="N37" s="426" t="str">
        <f ca="1"/>
        <v>CADBURYSCHWEPPES_MMR.EUR.SU</v>
      </c>
      <c r="O37" s="465" t="str">
        <f ca="1"/>
        <v/>
      </c>
      <c r="P37" s="442" t="e" cm="1">
        <f t="array" aca="1" ref="P37:T37" ca="1">IF(AND($Q$12,B61&lt;=$C$17,C61&lt;&gt;""),TRANSPOSE(INDEX(GetCDS(C61,$C$6,G61/10000,F61,D61,$C$13,$C$14,$C$15,$C$8,,,TRUE,TRUE,FALSE,$C$29:$C$31,$C$33),{1;2;3;4;5})),"")</f>
        <v>#VALUE!</v>
      </c>
      <c r="Q37" s="443" t="e">
        <f ca="1"/>
        <v>#VALUE!</v>
      </c>
      <c r="R37" s="443" t="e">
        <f ca="1"/>
        <v>#VALUE!</v>
      </c>
      <c r="S37" s="444" t="e">
        <f ca="1"/>
        <v>#VALUE!</v>
      </c>
      <c r="T37" s="445" t="e">
        <f ca="1"/>
        <v>#VALUE!</v>
      </c>
      <c r="U37" s="446" t="e">
        <f t="shared" ca="1" si="4"/>
        <v>#VALUE!</v>
      </c>
      <c r="V37" s="447" t="e">
        <f t="shared" ca="1" si="0"/>
        <v>#VALUE!</v>
      </c>
      <c r="W37" s="446" t="e">
        <f t="shared" ca="1" si="1"/>
        <v>#VALUE!</v>
      </c>
      <c r="X37" s="448" t="e">
        <f t="shared" ca="1" si="2"/>
        <v>#VALUE!</v>
      </c>
      <c r="Y37" s="447" t="e">
        <f t="shared" ca="1" si="3"/>
        <v>#VALUE!</v>
      </c>
      <c r="Z37" s="79"/>
    </row>
    <row r="38" spans="1:26" customFormat="1" ht="15.75" thickBot="1">
      <c r="A38" s="231"/>
      <c r="B38" s="286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8">
        <v>24</v>
      </c>
      <c r="I38" s="417" t="str">
        <f ca="1"/>
        <v>0,000181137045955904</v>
      </c>
      <c r="J38" s="417" t="str">
        <f ca="1"/>
        <v>0,000447944567345779</v>
      </c>
      <c r="K38" s="426" t="str">
        <f ca="1"/>
        <v>0,404373797921474</v>
      </c>
      <c r="L38" s="426" t="str">
        <f ca="1"/>
        <v>0,404373797921474</v>
      </c>
      <c r="M38" s="426" t="str">
        <f ca="1"/>
        <v>-0,000248975162120791</v>
      </c>
      <c r="N38" s="426" t="str">
        <f ca="1"/>
        <v>CAPITALIA_MMR.EUR.SU</v>
      </c>
      <c r="O38" s="465" t="str">
        <f ca="1"/>
        <v/>
      </c>
      <c r="P38" s="442" t="e" cm="1">
        <f t="array" aca="1" ref="P38:T38" ca="1">IF(AND($Q$12,B62&lt;=$C$17,C62&lt;&gt;""),TRANSPOSE(INDEX(GetCDS(C62,$C$6,G62/10000,F62,D62,$C$13,$C$14,$C$15,$C$8,,,TRUE,TRUE,FALSE,$C$29:$C$31,$C$33),{1;2;3;4;5})),"")</f>
        <v>#VALUE!</v>
      </c>
      <c r="Q38" s="443" t="e">
        <f ca="1"/>
        <v>#VALUE!</v>
      </c>
      <c r="R38" s="443" t="e">
        <f ca="1"/>
        <v>#VALUE!</v>
      </c>
      <c r="S38" s="444" t="e">
        <f ca="1"/>
        <v>#VALUE!</v>
      </c>
      <c r="T38" s="445" t="e">
        <f ca="1"/>
        <v>#VALUE!</v>
      </c>
      <c r="U38" s="446" t="e">
        <f t="shared" ca="1" si="4"/>
        <v>#VALUE!</v>
      </c>
      <c r="V38" s="447" t="e">
        <f t="shared" ca="1" si="0"/>
        <v>#VALUE!</v>
      </c>
      <c r="W38" s="446" t="e">
        <f t="shared" ca="1" si="1"/>
        <v>#VALUE!</v>
      </c>
      <c r="X38" s="448" t="e">
        <f t="shared" ca="1" si="2"/>
        <v>#VALUE!</v>
      </c>
      <c r="Y38" s="447" t="e">
        <f t="shared" ca="1" si="3"/>
        <v>#VALUE!</v>
      </c>
      <c r="Z38" s="79"/>
    </row>
    <row r="39" spans="1:26" customFormat="1" ht="15">
      <c r="A39" s="231"/>
      <c r="B39" s="287">
        <v>1</v>
      </c>
      <c r="C39" s="258" t="s">
        <v>86</v>
      </c>
      <c r="D39" s="259">
        <v>1</v>
      </c>
      <c r="E39" s="252"/>
      <c r="F39" s="237">
        <v>0.4</v>
      </c>
      <c r="G39" s="456">
        <v>100</v>
      </c>
      <c r="H39" s="398">
        <v>25</v>
      </c>
      <c r="I39" s="417" t="str">
        <f ca="1"/>
        <v>0,00013442524542695</v>
      </c>
      <c r="J39" s="417" t="str">
        <f ca="1"/>
        <v>0,000456448785902445</v>
      </c>
      <c r="K39" s="426" t="str">
        <f ca="1"/>
        <v>0,294502361664032</v>
      </c>
      <c r="L39" s="426" t="str">
        <f ca="1"/>
        <v>0,294502361664032</v>
      </c>
      <c r="M39" s="426" t="str">
        <f ca="1"/>
        <v>-0,000120117122341257</v>
      </c>
      <c r="N39" s="426" t="str">
        <f ca="1"/>
        <v>CARREFOUR_MMR.EUR.SU</v>
      </c>
      <c r="O39" s="465" t="str">
        <f ca="1"/>
        <v/>
      </c>
      <c r="P39" s="442" t="e" cm="1">
        <f t="array" aca="1" ref="P39:T39" ca="1">IF(AND($Q$12,B63&lt;=$C$17,C63&lt;&gt;""),TRANSPOSE(INDEX(GetCDS(C63,$C$6,G63/10000,F63,D63,$C$13,$C$14,$C$15,$C$8,,,TRUE,TRUE,FALSE,$C$29:$C$31,$C$33),{1;2;3;4;5})),"")</f>
        <v>#VALUE!</v>
      </c>
      <c r="Q39" s="443" t="e">
        <f ca="1"/>
        <v>#VALUE!</v>
      </c>
      <c r="R39" s="443" t="e">
        <f ca="1"/>
        <v>#VALUE!</v>
      </c>
      <c r="S39" s="444" t="e">
        <f ca="1"/>
        <v>#VALUE!</v>
      </c>
      <c r="T39" s="445" t="e">
        <f ca="1"/>
        <v>#VALUE!</v>
      </c>
      <c r="U39" s="446" t="e">
        <f t="shared" ca="1" si="4"/>
        <v>#VALUE!</v>
      </c>
      <c r="V39" s="447" t="e">
        <f t="shared" ca="1" si="0"/>
        <v>#VALUE!</v>
      </c>
      <c r="W39" s="446" t="e">
        <f t="shared" ca="1" si="1"/>
        <v>#VALUE!</v>
      </c>
      <c r="X39" s="448" t="e">
        <f t="shared" ca="1" si="2"/>
        <v>#VALUE!</v>
      </c>
      <c r="Y39" s="447" t="e">
        <f t="shared" ca="1" si="3"/>
        <v>#VALUE!</v>
      </c>
      <c r="Z39" s="79"/>
    </row>
    <row r="40" spans="1:26" customFormat="1" ht="15">
      <c r="A40" s="231"/>
      <c r="B40" s="288">
        <v>2</v>
      </c>
      <c r="C40" s="260" t="s">
        <v>88</v>
      </c>
      <c r="D40" s="261">
        <v>1</v>
      </c>
      <c r="E40" s="252"/>
      <c r="F40" s="237">
        <v>0.4</v>
      </c>
      <c r="G40" s="456">
        <v>100</v>
      </c>
      <c r="H40" s="398">
        <v>26</v>
      </c>
      <c r="I40" s="417" t="str">
        <f ca="1"/>
        <v>0,000209462781338621</v>
      </c>
      <c r="J40" s="417" t="str">
        <f ca="1"/>
        <v>0,0004398170387159</v>
      </c>
      <c r="K40" s="426" t="str">
        <f ca="1"/>
        <v>0,476249810489774</v>
      </c>
      <c r="L40" s="426" t="str">
        <f ca="1"/>
        <v>0,476249810489774</v>
      </c>
      <c r="M40" s="426" t="str">
        <f ca="1"/>
        <v>-0,000354926891334184</v>
      </c>
      <c r="N40" s="426" t="str">
        <f ca="1"/>
        <v>CASINOGUICHARD_MMR.EUR.SU</v>
      </c>
      <c r="O40" s="465" t="str">
        <f ca="1"/>
        <v/>
      </c>
      <c r="P40" s="442" t="e" cm="1">
        <f t="array" aca="1" ref="P40:T40" ca="1">IF(AND($Q$12,B64&lt;=$C$17,C64&lt;&gt;""),TRANSPOSE(INDEX(GetCDS(C64,$C$6,G64/10000,F64,D64,$C$13,$C$14,$C$15,$C$8,,,TRUE,TRUE,FALSE,$C$29:$C$31,$C$33),{1;2;3;4;5})),"")</f>
        <v>#VALUE!</v>
      </c>
      <c r="Q40" s="443" t="e">
        <f ca="1"/>
        <v>#VALUE!</v>
      </c>
      <c r="R40" s="443" t="e">
        <f ca="1"/>
        <v>#VALUE!</v>
      </c>
      <c r="S40" s="444" t="e">
        <f ca="1"/>
        <v>#VALUE!</v>
      </c>
      <c r="T40" s="445" t="e">
        <f ca="1"/>
        <v>#VALUE!</v>
      </c>
      <c r="U40" s="446" t="e">
        <f t="shared" ca="1" si="4"/>
        <v>#VALUE!</v>
      </c>
      <c r="V40" s="447" t="e">
        <f t="shared" ca="1" si="0"/>
        <v>#VALUE!</v>
      </c>
      <c r="W40" s="446" t="e">
        <f t="shared" ca="1" si="1"/>
        <v>#VALUE!</v>
      </c>
      <c r="X40" s="448" t="e">
        <f t="shared" ca="1" si="2"/>
        <v>#VALUE!</v>
      </c>
      <c r="Y40" s="447" t="e">
        <f t="shared" ca="1" si="3"/>
        <v>#VALUE!</v>
      </c>
      <c r="Z40" s="79"/>
    </row>
    <row r="41" spans="1:26" customFormat="1" ht="12.75" customHeight="1">
      <c r="A41" s="231"/>
      <c r="B41" s="288">
        <v>3</v>
      </c>
      <c r="C41" s="260" t="s">
        <v>89</v>
      </c>
      <c r="D41" s="261">
        <v>1</v>
      </c>
      <c r="E41" s="252"/>
      <c r="F41" s="237">
        <v>0.4</v>
      </c>
      <c r="G41" s="456">
        <v>100</v>
      </c>
      <c r="H41" s="398">
        <v>27</v>
      </c>
      <c r="I41" s="417" t="str">
        <f ca="1"/>
        <v>0,000134483604628688</v>
      </c>
      <c r="J41" s="417" t="str">
        <f ca="1"/>
        <v>0,000456450378647447</v>
      </c>
      <c r="K41" s="426" t="str">
        <f ca="1"/>
        <v>0,294629188450209</v>
      </c>
      <c r="L41" s="426" t="str">
        <f ca="1"/>
        <v>0,294629188450209</v>
      </c>
      <c r="M41" s="426" t="str">
        <f ca="1"/>
        <v>-0,000120209241983571</v>
      </c>
      <c r="N41" s="426" t="str">
        <f ca="1"/>
        <v>CENTRICA_MMR.EUR.SU</v>
      </c>
      <c r="O41" s="465" t="str">
        <f ca="1"/>
        <v/>
      </c>
      <c r="P41" s="442" t="e" cm="1">
        <f t="array" aca="1" ref="P41:T41" ca="1">IF(AND($Q$12,B65&lt;=$C$17,C65&lt;&gt;""),TRANSPOSE(INDEX(GetCDS(C65,$C$6,G65/10000,F65,D65,$C$13,$C$14,$C$15,$C$8,,,TRUE,TRUE,FALSE,$C$29:$C$31,$C$33),{1;2;3;4;5})),"")</f>
        <v>#VALUE!</v>
      </c>
      <c r="Q41" s="443" t="e">
        <f ca="1"/>
        <v>#VALUE!</v>
      </c>
      <c r="R41" s="443" t="e">
        <f ca="1"/>
        <v>#VALUE!</v>
      </c>
      <c r="S41" s="444" t="e">
        <f ca="1"/>
        <v>#VALUE!</v>
      </c>
      <c r="T41" s="445" t="e">
        <f ca="1"/>
        <v>#VALUE!</v>
      </c>
      <c r="U41" s="446" t="e">
        <f t="shared" ca="1" si="4"/>
        <v>#VALUE!</v>
      </c>
      <c r="V41" s="447" t="e">
        <f t="shared" ca="1" si="0"/>
        <v>#VALUE!</v>
      </c>
      <c r="W41" s="446" t="e">
        <f t="shared" ca="1" si="1"/>
        <v>#VALUE!</v>
      </c>
      <c r="X41" s="448" t="e">
        <f t="shared" ca="1" si="2"/>
        <v>#VALUE!</v>
      </c>
      <c r="Y41" s="447" t="e">
        <f t="shared" ca="1" si="3"/>
        <v>#VALUE!</v>
      </c>
      <c r="Z41" s="79"/>
    </row>
    <row r="42" spans="1:26" customFormat="1" ht="15">
      <c r="A42" s="231"/>
      <c r="B42" s="288">
        <v>4</v>
      </c>
      <c r="C42" s="260" t="s">
        <v>90</v>
      </c>
      <c r="D42" s="261">
        <v>1</v>
      </c>
      <c r="E42" s="252"/>
      <c r="F42" s="237">
        <v>0.4</v>
      </c>
      <c r="G42" s="456">
        <v>100</v>
      </c>
      <c r="H42" s="398">
        <v>28</v>
      </c>
      <c r="I42" s="417" t="str">
        <f ca="1"/>
        <v>0,000187642301119295</v>
      </c>
      <c r="J42" s="417" t="str">
        <f ca="1"/>
        <v>0,000446035207172786</v>
      </c>
      <c r="K42" s="426" t="str">
        <f ca="1"/>
        <v>0,420689439088618</v>
      </c>
      <c r="L42" s="426" t="str">
        <f ca="1"/>
        <v>0,420689439088618</v>
      </c>
      <c r="M42" s="426" t="str">
        <f ca="1"/>
        <v>-0,000272949463513128</v>
      </c>
      <c r="N42" s="426" t="str">
        <f ca="1"/>
        <v>CIBASC_MMR.EUR.SU</v>
      </c>
      <c r="O42" s="465" t="str">
        <f ca="1"/>
        <v/>
      </c>
      <c r="P42" s="442" t="e" cm="1">
        <f t="array" aca="1" ref="P42:T42" ca="1">IF(AND($Q$12,B66&lt;=$C$17,C66&lt;&gt;""),TRANSPOSE(INDEX(GetCDS(C66,$C$6,G66/10000,F66,D66,$C$13,$C$14,$C$15,$C$8,,,TRUE,TRUE,FALSE,$C$29:$C$31,$C$33),{1;2;3;4;5})),"")</f>
        <v>#VALUE!</v>
      </c>
      <c r="Q42" s="443" t="e">
        <f ca="1"/>
        <v>#VALUE!</v>
      </c>
      <c r="R42" s="443" t="e">
        <f ca="1"/>
        <v>#VALUE!</v>
      </c>
      <c r="S42" s="444" t="e">
        <f ca="1"/>
        <v>#VALUE!</v>
      </c>
      <c r="T42" s="445" t="e">
        <f ca="1"/>
        <v>#VALUE!</v>
      </c>
      <c r="U42" s="446" t="e">
        <f t="shared" ca="1" si="4"/>
        <v>#VALUE!</v>
      </c>
      <c r="V42" s="447" t="e">
        <f t="shared" ca="1" si="0"/>
        <v>#VALUE!</v>
      </c>
      <c r="W42" s="446" t="e">
        <f t="shared" ca="1" si="1"/>
        <v>#VALUE!</v>
      </c>
      <c r="X42" s="448" t="e">
        <f t="shared" ca="1" si="2"/>
        <v>#VALUE!</v>
      </c>
      <c r="Y42" s="447" t="e">
        <f t="shared" ca="1" si="3"/>
        <v>#VALUE!</v>
      </c>
      <c r="Z42" s="79"/>
    </row>
    <row r="43" spans="1:26" customFormat="1" ht="15">
      <c r="A43" s="231"/>
      <c r="B43" s="288">
        <v>5</v>
      </c>
      <c r="C43" s="260" t="s">
        <v>93</v>
      </c>
      <c r="D43" s="261">
        <v>1</v>
      </c>
      <c r="E43" s="252"/>
      <c r="F43" s="237">
        <v>0.4</v>
      </c>
      <c r="G43" s="456">
        <v>100</v>
      </c>
      <c r="H43" s="398">
        <v>29</v>
      </c>
      <c r="I43" s="417" t="str">
        <f ca="1"/>
        <v>0,000176768654802805</v>
      </c>
      <c r="J43" s="417" t="str">
        <f ca="1"/>
        <v>0,000449087889992109</v>
      </c>
      <c r="K43" s="426" t="str">
        <f ca="1"/>
        <v>0,393617059693841</v>
      </c>
      <c r="L43" s="426" t="str">
        <f ca="1"/>
        <v>0,393617059693841</v>
      </c>
      <c r="M43" s="426" t="str">
        <f ca="1"/>
        <v>-0,000233898859600057</v>
      </c>
      <c r="N43" s="426" t="str">
        <f ca="1"/>
        <v>COMMERZBANK_MMR.EUR.SU</v>
      </c>
      <c r="O43" s="465" t="str">
        <f ca="1"/>
        <v/>
      </c>
      <c r="P43" s="442" t="e" cm="1">
        <f t="array" aca="1" ref="P43:T43" ca="1">IF(AND($Q$12,B67&lt;=$C$17,C67&lt;&gt;""),TRANSPOSE(INDEX(GetCDS(C67,$C$6,G67/10000,F67,D67,$C$13,$C$14,$C$15,$C$8,,,TRUE,TRUE,FALSE,$C$29:$C$31,$C$33),{1;2;3;4;5})),"")</f>
        <v>#VALUE!</v>
      </c>
      <c r="Q43" s="443" t="e">
        <f ca="1"/>
        <v>#VALUE!</v>
      </c>
      <c r="R43" s="443" t="e">
        <f ca="1"/>
        <v>#VALUE!</v>
      </c>
      <c r="S43" s="444" t="e">
        <f ca="1"/>
        <v>#VALUE!</v>
      </c>
      <c r="T43" s="445" t="e">
        <f ca="1"/>
        <v>#VALUE!</v>
      </c>
      <c r="U43" s="446" t="e">
        <f t="shared" ca="1" si="4"/>
        <v>#VALUE!</v>
      </c>
      <c r="V43" s="447" t="e">
        <f t="shared" ca="1" si="0"/>
        <v>#VALUE!</v>
      </c>
      <c r="W43" s="446" t="e">
        <f t="shared" ca="1" si="1"/>
        <v>#VALUE!</v>
      </c>
      <c r="X43" s="448" t="e">
        <f t="shared" ca="1" si="2"/>
        <v>#VALUE!</v>
      </c>
      <c r="Y43" s="447" t="e">
        <f t="shared" ca="1" si="3"/>
        <v>#VALUE!</v>
      </c>
      <c r="Z43" s="79"/>
    </row>
    <row r="44" spans="1:26" customFormat="1" ht="15">
      <c r="A44" s="231"/>
      <c r="B44" s="288">
        <v>6</v>
      </c>
      <c r="C44" s="260" t="s">
        <v>94</v>
      </c>
      <c r="D44" s="261">
        <v>1</v>
      </c>
      <c r="E44" s="252"/>
      <c r="F44" s="237">
        <v>0.4</v>
      </c>
      <c r="G44" s="456">
        <v>100</v>
      </c>
      <c r="H44" s="398">
        <v>30</v>
      </c>
      <c r="I44" s="417" t="str">
        <f ca="1"/>
        <v>0,000146147085782555</v>
      </c>
      <c r="J44" s="417" t="str">
        <f ca="1"/>
        <v>0,000454567728674936</v>
      </c>
      <c r="K44" s="426" t="str">
        <f ca="1"/>
        <v>0,321507833845956</v>
      </c>
      <c r="L44" s="426" t="str">
        <f ca="1"/>
        <v>0,321507833845956</v>
      </c>
      <c r="M44" s="426" t="str">
        <f ca="1"/>
        <v>-0,000148428801762068</v>
      </c>
      <c r="N44" s="426" t="str">
        <f ca="1"/>
        <v>COMPASS_MMR.EUR.SU</v>
      </c>
      <c r="O44" s="465" t="str">
        <f ca="1"/>
        <v/>
      </c>
      <c r="P44" s="442" t="e" cm="1">
        <f t="array" aca="1" ref="P44:T44" ca="1">IF(AND($Q$12,B68&lt;=$C$17,C68&lt;&gt;""),TRANSPOSE(INDEX(GetCDS(C68,$C$6,G68/10000,F68,D68,$C$13,$C$14,$C$15,$C$8,,,TRUE,TRUE,FALSE,$C$29:$C$31,$C$33),{1;2;3;4;5})),"")</f>
        <v>#VALUE!</v>
      </c>
      <c r="Q44" s="443" t="e">
        <f ca="1"/>
        <v>#VALUE!</v>
      </c>
      <c r="R44" s="443" t="e">
        <f ca="1"/>
        <v>#VALUE!</v>
      </c>
      <c r="S44" s="444" t="e">
        <f ca="1"/>
        <v>#VALUE!</v>
      </c>
      <c r="T44" s="445" t="e">
        <f ca="1"/>
        <v>#VALUE!</v>
      </c>
      <c r="U44" s="446" t="e">
        <f t="shared" ca="1" si="4"/>
        <v>#VALUE!</v>
      </c>
      <c r="V44" s="447" t="e">
        <f t="shared" ca="1" si="0"/>
        <v>#VALUE!</v>
      </c>
      <c r="W44" s="446" t="e">
        <f t="shared" ca="1" si="1"/>
        <v>#VALUE!</v>
      </c>
      <c r="X44" s="448" t="e">
        <f t="shared" ca="1" si="2"/>
        <v>#VALUE!</v>
      </c>
      <c r="Y44" s="447" t="e">
        <f t="shared" ca="1" si="3"/>
        <v>#VALUE!</v>
      </c>
      <c r="Z44" s="79"/>
    </row>
    <row r="45" spans="1:26" customFormat="1" ht="15">
      <c r="A45" s="231"/>
      <c r="B45" s="288">
        <v>7</v>
      </c>
      <c r="C45" s="260" t="s">
        <v>95</v>
      </c>
      <c r="D45" s="261">
        <v>1</v>
      </c>
      <c r="E45" s="252"/>
      <c r="F45" s="237">
        <v>0.4</v>
      </c>
      <c r="G45" s="456">
        <v>100</v>
      </c>
      <c r="H45" s="398">
        <v>31</v>
      </c>
      <c r="I45" s="417" t="str">
        <f ca="1"/>
        <v>0,000199073567441044</v>
      </c>
      <c r="J45" s="417" t="str">
        <f ca="1"/>
        <v>0,000443143020136776</v>
      </c>
      <c r="K45" s="426" t="str">
        <f ca="1"/>
        <v>0,44923096696773</v>
      </c>
      <c r="L45" s="426" t="str">
        <f ca="1"/>
        <v>0,44923096696773</v>
      </c>
      <c r="M45" s="426" t="str">
        <f ca="1"/>
        <v>-0,000313620013433957</v>
      </c>
      <c r="N45" s="426" t="str">
        <f ca="1"/>
        <v>CONTINENTAL_MMR.EUR.SU</v>
      </c>
      <c r="O45" s="465" t="str">
        <f ca="1"/>
        <v/>
      </c>
      <c r="P45" s="442" t="e" cm="1">
        <f t="array" aca="1" ref="P45:T45" ca="1">IF(AND($Q$12,B69&lt;=$C$17,C69&lt;&gt;""),TRANSPOSE(INDEX(GetCDS(C69,$C$6,G69/10000,F69,D69,$C$13,$C$14,$C$15,$C$8,,,TRUE,TRUE,FALSE,$C$29:$C$31,$C$33),{1;2;3;4;5})),"")</f>
        <v>#VALUE!</v>
      </c>
      <c r="Q45" s="443" t="e">
        <f ca="1"/>
        <v>#VALUE!</v>
      </c>
      <c r="R45" s="443" t="e">
        <f ca="1"/>
        <v>#VALUE!</v>
      </c>
      <c r="S45" s="444" t="e">
        <f ca="1"/>
        <v>#VALUE!</v>
      </c>
      <c r="T45" s="445" t="e">
        <f ca="1"/>
        <v>#VALUE!</v>
      </c>
      <c r="U45" s="446" t="e">
        <f t="shared" ca="1" si="4"/>
        <v>#VALUE!</v>
      </c>
      <c r="V45" s="447" t="e">
        <f t="shared" ca="1" si="0"/>
        <v>#VALUE!</v>
      </c>
      <c r="W45" s="446" t="e">
        <f t="shared" ca="1" si="1"/>
        <v>#VALUE!</v>
      </c>
      <c r="X45" s="448" t="e">
        <f t="shared" ca="1" si="2"/>
        <v>#VALUE!</v>
      </c>
      <c r="Y45" s="447" t="e">
        <f t="shared" ca="1" si="3"/>
        <v>#VALUE!</v>
      </c>
      <c r="Z45" s="79"/>
    </row>
    <row r="46" spans="1:26" customFormat="1" ht="15">
      <c r="A46" s="231"/>
      <c r="B46" s="288">
        <v>8</v>
      </c>
      <c r="C46" s="260" t="s">
        <v>96</v>
      </c>
      <c r="D46" s="261">
        <v>1</v>
      </c>
      <c r="E46" s="252"/>
      <c r="F46" s="237">
        <v>0.4</v>
      </c>
      <c r="G46" s="456">
        <v>100</v>
      </c>
      <c r="H46" s="398">
        <v>32</v>
      </c>
      <c r="I46" s="417" t="str">
        <f ca="1"/>
        <v>0,000151219620074628</v>
      </c>
      <c r="J46" s="417" t="str">
        <f ca="1"/>
        <v>0,000453840723287098</v>
      </c>
      <c r="K46" s="426" t="str">
        <f ca="1"/>
        <v>0,333199759993699</v>
      </c>
      <c r="L46" s="426" t="str">
        <f ca="1"/>
        <v>0,333199759993699</v>
      </c>
      <c r="M46" s="426" t="str">
        <f ca="1"/>
        <v>-0,000160690947807596</v>
      </c>
      <c r="N46" s="426" t="str">
        <f ca="1"/>
        <v>CREDITAGRICOLE_MMR.EUR.SU</v>
      </c>
      <c r="O46" s="465" t="str">
        <f ca="1"/>
        <v/>
      </c>
      <c r="P46" s="442" t="e" cm="1">
        <f t="array" aca="1" ref="P46:T46" ca="1">IF(AND($Q$12,B70&lt;=$C$17,C70&lt;&gt;""),TRANSPOSE(INDEX(GetCDS(C70,$C$6,G70/10000,F70,D70,$C$13,$C$14,$C$15,$C$8,,,TRUE,TRUE,FALSE,$C$29:$C$31,$C$33),{1;2;3;4;5})),"")</f>
        <v>#VALUE!</v>
      </c>
      <c r="Q46" s="443" t="e">
        <f ca="1"/>
        <v>#VALUE!</v>
      </c>
      <c r="R46" s="443" t="e">
        <f ca="1"/>
        <v>#VALUE!</v>
      </c>
      <c r="S46" s="444" t="e">
        <f ca="1"/>
        <v>#VALUE!</v>
      </c>
      <c r="T46" s="445" t="e">
        <f ca="1"/>
        <v>#VALUE!</v>
      </c>
      <c r="U46" s="446" t="e">
        <f t="shared" ca="1" si="4"/>
        <v>#VALUE!</v>
      </c>
      <c r="V46" s="447" t="e">
        <f t="shared" ca="1" si="0"/>
        <v>#VALUE!</v>
      </c>
      <c r="W46" s="446" t="e">
        <f t="shared" ca="1" si="1"/>
        <v>#VALUE!</v>
      </c>
      <c r="X46" s="448" t="e">
        <f t="shared" ca="1" si="2"/>
        <v>#VALUE!</v>
      </c>
      <c r="Y46" s="447" t="e">
        <f t="shared" ca="1" si="3"/>
        <v>#VALUE!</v>
      </c>
      <c r="Z46" s="79"/>
    </row>
    <row r="47" spans="1:26" customFormat="1" ht="15">
      <c r="A47" s="231"/>
      <c r="B47" s="288">
        <v>9</v>
      </c>
      <c r="C47" s="260" t="s">
        <v>97</v>
      </c>
      <c r="D47" s="261">
        <v>1</v>
      </c>
      <c r="E47" s="252"/>
      <c r="F47" s="237">
        <v>0.4</v>
      </c>
      <c r="G47" s="456">
        <v>100</v>
      </c>
      <c r="H47" s="398">
        <v>33</v>
      </c>
      <c r="I47" s="417" t="str">
        <f ca="1"/>
        <v>0,00018399320815592</v>
      </c>
      <c r="J47" s="417" t="str">
        <f ca="1"/>
        <v>0,000447193198331623</v>
      </c>
      <c r="K47" s="426" t="str">
        <f ca="1"/>
        <v>0,411440086392989</v>
      </c>
      <c r="L47" s="426" t="str">
        <f ca="1"/>
        <v>0,411440086392989</v>
      </c>
      <c r="M47" s="426" t="str">
        <f ca="1"/>
        <v>-0,000258996507166831</v>
      </c>
      <c r="N47" s="426" t="str">
        <f ca="1"/>
        <v>CREDITSUISSEGROUP_MMR.EUR.SU</v>
      </c>
      <c r="O47" s="465" t="str">
        <f ca="1"/>
        <v/>
      </c>
      <c r="P47" s="442" t="e" cm="1">
        <f t="array" aca="1" ref="P47:T47" ca="1">IF(AND($Q$12,B71&lt;=$C$17,C71&lt;&gt;""),TRANSPOSE(INDEX(GetCDS(C71,$C$6,G71/10000,F71,D71,$C$13,$C$14,$C$15,$C$8,,,TRUE,TRUE,FALSE,$C$29:$C$31,$C$33),{1;2;3;4;5})),"")</f>
        <v>#VALUE!</v>
      </c>
      <c r="Q47" s="443" t="e">
        <f ca="1"/>
        <v>#VALUE!</v>
      </c>
      <c r="R47" s="443" t="e">
        <f ca="1"/>
        <v>#VALUE!</v>
      </c>
      <c r="S47" s="444" t="e">
        <f ca="1"/>
        <v>#VALUE!</v>
      </c>
      <c r="T47" s="445" t="e">
        <f ca="1"/>
        <v>#VALUE!</v>
      </c>
      <c r="U47" s="446" t="e">
        <f t="shared" ca="1" si="4"/>
        <v>#VALUE!</v>
      </c>
      <c r="V47" s="447" t="e">
        <f t="shared" ca="1" si="0"/>
        <v>#VALUE!</v>
      </c>
      <c r="W47" s="446" t="e">
        <f t="shared" ca="1" si="1"/>
        <v>#VALUE!</v>
      </c>
      <c r="X47" s="448" t="e">
        <f t="shared" ca="1" si="2"/>
        <v>#VALUE!</v>
      </c>
      <c r="Y47" s="447" t="e">
        <f t="shared" ca="1" si="3"/>
        <v>#VALUE!</v>
      </c>
      <c r="Z47" s="79"/>
    </row>
    <row r="48" spans="1:26" customFormat="1" ht="15">
      <c r="A48" s="231"/>
      <c r="B48" s="288">
        <v>10</v>
      </c>
      <c r="C48" s="260" t="s">
        <v>98</v>
      </c>
      <c r="D48" s="261">
        <v>1</v>
      </c>
      <c r="E48" s="252"/>
      <c r="F48" s="237">
        <v>0.4</v>
      </c>
      <c r="G48" s="456">
        <v>100</v>
      </c>
      <c r="H48" s="398">
        <v>34</v>
      </c>
      <c r="I48" s="417" t="str">
        <f ca="1"/>
        <v>0,000145687499496727</v>
      </c>
      <c r="J48" s="417" t="str">
        <f ca="1"/>
        <v>0,000455001476927594</v>
      </c>
      <c r="K48" s="426" t="str">
        <f ca="1"/>
        <v>0,320191267247053</v>
      </c>
      <c r="L48" s="426" t="str">
        <f ca="1"/>
        <v>0,320191267247053</v>
      </c>
      <c r="M48" s="426" t="str">
        <f ca="1"/>
        <v>-0,000145167774283705</v>
      </c>
      <c r="N48" s="426" t="str">
        <f ca="1"/>
        <v>DAIMLERCHRYSLER_MMR.EUR.SU</v>
      </c>
      <c r="O48" s="465" t="str">
        <f ca="1"/>
        <v/>
      </c>
      <c r="P48" s="442" t="e" cm="1">
        <f t="array" aca="1" ref="P48:T48" ca="1">IF(AND($Q$12,B72&lt;=$C$17,C72&lt;&gt;""),TRANSPOSE(INDEX(GetCDS(C72,$C$6,G72/10000,F72,D72,$C$13,$C$14,$C$15,$C$8,,,TRUE,TRUE,FALSE,$C$29:$C$31,$C$33),{1;2;3;4;5})),"")</f>
        <v>#VALUE!</v>
      </c>
      <c r="Q48" s="443" t="e">
        <f ca="1"/>
        <v>#VALUE!</v>
      </c>
      <c r="R48" s="443" t="e">
        <f ca="1"/>
        <v>#VALUE!</v>
      </c>
      <c r="S48" s="444" t="e">
        <f ca="1"/>
        <v>#VALUE!</v>
      </c>
      <c r="T48" s="445" t="e">
        <f ca="1"/>
        <v>#VALUE!</v>
      </c>
      <c r="U48" s="446" t="e">
        <f t="shared" ca="1" si="4"/>
        <v>#VALUE!</v>
      </c>
      <c r="V48" s="447" t="e">
        <f t="shared" ca="1" si="0"/>
        <v>#VALUE!</v>
      </c>
      <c r="W48" s="446" t="e">
        <f t="shared" ca="1" si="1"/>
        <v>#VALUE!</v>
      </c>
      <c r="X48" s="448" t="e">
        <f t="shared" ca="1" si="2"/>
        <v>#VALUE!</v>
      </c>
      <c r="Y48" s="447" t="e">
        <f t="shared" ca="1" si="3"/>
        <v>#VALUE!</v>
      </c>
      <c r="Z48" s="79"/>
    </row>
    <row r="49" spans="1:26" customFormat="1" ht="15">
      <c r="A49" s="231"/>
      <c r="B49" s="288">
        <v>11</v>
      </c>
      <c r="C49" s="260" t="s">
        <v>99</v>
      </c>
      <c r="D49" s="261">
        <v>1</v>
      </c>
      <c r="E49" s="252"/>
      <c r="F49" s="237">
        <v>0.4</v>
      </c>
      <c r="G49" s="456">
        <v>100</v>
      </c>
      <c r="H49" s="398">
        <v>35</v>
      </c>
      <c r="I49" s="417" t="str">
        <f ca="1"/>
        <v>0,000144249881423142</v>
      </c>
      <c r="J49" s="417" t="str">
        <f ca="1"/>
        <v>0,000454954515383985</v>
      </c>
      <c r="K49" s="426" t="str">
        <f ca="1"/>
        <v>0,317064402144452</v>
      </c>
      <c r="L49" s="426" t="str">
        <f ca="1"/>
        <v>0,317064402144452</v>
      </c>
      <c r="M49" s="426" t="str">
        <f ca="1"/>
        <v>-0,000143083688295608</v>
      </c>
      <c r="N49" s="426" t="str">
        <f ca="1"/>
        <v>DANONE_MMR.EUR.SU</v>
      </c>
      <c r="O49" s="465" t="str">
        <f ca="1"/>
        <v/>
      </c>
      <c r="P49" s="442" t="e" cm="1">
        <f t="array" aca="1" ref="P49:T49" ca="1">IF(AND($Q$12,B73&lt;=$C$17,C73&lt;&gt;""),TRANSPOSE(INDEX(GetCDS(C73,$C$6,G73/10000,F73,D73,$C$13,$C$14,$C$15,$C$8,,,TRUE,TRUE,FALSE,$C$29:$C$31,$C$33),{1;2;3;4;5})),"")</f>
        <v>#VALUE!</v>
      </c>
      <c r="Q49" s="443" t="e">
        <f ca="1"/>
        <v>#VALUE!</v>
      </c>
      <c r="R49" s="443" t="e">
        <f ca="1"/>
        <v>#VALUE!</v>
      </c>
      <c r="S49" s="444" t="e">
        <f ca="1"/>
        <v>#VALUE!</v>
      </c>
      <c r="T49" s="445" t="e">
        <f ca="1"/>
        <v>#VALUE!</v>
      </c>
      <c r="U49" s="446" t="e">
        <f t="shared" ca="1" si="4"/>
        <v>#VALUE!</v>
      </c>
      <c r="V49" s="447" t="e">
        <f t="shared" ca="1" si="0"/>
        <v>#VALUE!</v>
      </c>
      <c r="W49" s="446" t="e">
        <f t="shared" ca="1" si="1"/>
        <v>#VALUE!</v>
      </c>
      <c r="X49" s="448" t="e">
        <f t="shared" ca="1" si="2"/>
        <v>#VALUE!</v>
      </c>
      <c r="Y49" s="447" t="e">
        <f t="shared" ca="1" si="3"/>
        <v>#VALUE!</v>
      </c>
      <c r="Z49" s="79"/>
    </row>
    <row r="50" spans="1:26" customFormat="1" ht="15">
      <c r="A50" s="231"/>
      <c r="B50" s="288">
        <v>12</v>
      </c>
      <c r="C50" s="260" t="s">
        <v>100</v>
      </c>
      <c r="D50" s="261">
        <v>1</v>
      </c>
      <c r="E50" s="252"/>
      <c r="F50" s="237">
        <v>0.4</v>
      </c>
      <c r="G50" s="456">
        <v>100</v>
      </c>
      <c r="H50" s="398">
        <v>36</v>
      </c>
      <c r="I50" s="417" t="str">
        <f ca="1"/>
        <v>0,000173368598826462</v>
      </c>
      <c r="J50" s="417" t="str">
        <f ca="1"/>
        <v>0,000449822596627343</v>
      </c>
      <c r="K50" s="426" t="str">
        <f ca="1"/>
        <v>0,385415495189295</v>
      </c>
      <c r="L50" s="426" t="str">
        <f ca="1"/>
        <v>0,385415495189295</v>
      </c>
      <c r="M50" s="426" t="str">
        <f ca="1"/>
        <v>-0,00022306411641404</v>
      </c>
      <c r="N50" s="426" t="str">
        <f ca="1"/>
        <v>DEUTSCHEBANK_MMR.EUR.SU</v>
      </c>
      <c r="O50" s="465" t="str">
        <f ca="1"/>
        <v/>
      </c>
      <c r="P50" s="442" t="e" cm="1">
        <f t="array" aca="1" ref="P50:T50" ca="1">IF(AND($Q$12,B74&lt;=$C$17,C74&lt;&gt;""),TRANSPOSE(INDEX(GetCDS(C74,$C$6,G74/10000,F74,D74,$C$13,$C$14,$C$15,$C$8,,,TRUE,TRUE,FALSE,$C$29:$C$31,$C$33),{1;2;3;4;5})),"")</f>
        <v>#VALUE!</v>
      </c>
      <c r="Q50" s="443" t="e">
        <f ca="1"/>
        <v>#VALUE!</v>
      </c>
      <c r="R50" s="443" t="e">
        <f ca="1"/>
        <v>#VALUE!</v>
      </c>
      <c r="S50" s="444" t="e">
        <f ca="1"/>
        <v>#VALUE!</v>
      </c>
      <c r="T50" s="445" t="e">
        <f ca="1"/>
        <v>#VALUE!</v>
      </c>
      <c r="U50" s="446" t="e">
        <f t="shared" ca="1" si="4"/>
        <v>#VALUE!</v>
      </c>
      <c r="V50" s="447" t="e">
        <f t="shared" ca="1" si="0"/>
        <v>#VALUE!</v>
      </c>
      <c r="W50" s="446" t="e">
        <f t="shared" ca="1" si="1"/>
        <v>#VALUE!</v>
      </c>
      <c r="X50" s="448" t="e">
        <f t="shared" ca="1" si="2"/>
        <v>#VALUE!</v>
      </c>
      <c r="Y50" s="447" t="e">
        <f t="shared" ca="1" si="3"/>
        <v>#VALUE!</v>
      </c>
      <c r="Z50" s="79"/>
    </row>
    <row r="51" spans="1:26" customFormat="1" ht="15">
      <c r="A51" s="231"/>
      <c r="B51" s="288">
        <v>13</v>
      </c>
      <c r="C51" s="260" t="s">
        <v>101</v>
      </c>
      <c r="D51" s="261">
        <v>1</v>
      </c>
      <c r="E51" s="252"/>
      <c r="F51" s="237">
        <v>0.4</v>
      </c>
      <c r="G51" s="456">
        <v>100</v>
      </c>
      <c r="H51" s="398">
        <v>37</v>
      </c>
      <c r="I51" s="417" t="str">
        <f ca="1"/>
        <v>0,000136585267177925</v>
      </c>
      <c r="J51" s="417" t="str">
        <f ca="1"/>
        <v>0,000456067379995978</v>
      </c>
      <c r="K51" s="426" t="str">
        <f ca="1"/>
        <v>0,299484841865098</v>
      </c>
      <c r="L51" s="426" t="str">
        <f ca="1"/>
        <v>0,299484841865098</v>
      </c>
      <c r="M51" s="426" t="str">
        <f ca="1"/>
        <v>-0,00012531831959095</v>
      </c>
      <c r="N51" s="426" t="str">
        <f ca="1"/>
        <v>DEUTSCHEPOSTAG_MMR.EUR.SU</v>
      </c>
      <c r="O51" s="465" t="str">
        <f ca="1"/>
        <v/>
      </c>
      <c r="P51" s="442" t="e" cm="1">
        <f t="array" aca="1" ref="P51:T51" ca="1">IF(AND($Q$12,B75&lt;=$C$17,C75&lt;&gt;""),TRANSPOSE(INDEX(GetCDS(C75,$C$6,G75/10000,F75,D75,$C$13,$C$14,$C$15,$C$8,,,TRUE,TRUE,FALSE,$C$29:$C$31,$C$33),{1;2;3;4;5})),"")</f>
        <v>#VALUE!</v>
      </c>
      <c r="Q51" s="443" t="e">
        <f ca="1"/>
        <v>#VALUE!</v>
      </c>
      <c r="R51" s="443" t="e">
        <f ca="1"/>
        <v>#VALUE!</v>
      </c>
      <c r="S51" s="444" t="e">
        <f ca="1"/>
        <v>#VALUE!</v>
      </c>
      <c r="T51" s="445" t="e">
        <f ca="1"/>
        <v>#VALUE!</v>
      </c>
      <c r="U51" s="446" t="e">
        <f t="shared" ca="1" si="4"/>
        <v>#VALUE!</v>
      </c>
      <c r="V51" s="447" t="e">
        <f t="shared" ca="1" si="0"/>
        <v>#VALUE!</v>
      </c>
      <c r="W51" s="446" t="e">
        <f t="shared" ca="1" si="1"/>
        <v>#VALUE!</v>
      </c>
      <c r="X51" s="448" t="e">
        <f t="shared" ca="1" si="2"/>
        <v>#VALUE!</v>
      </c>
      <c r="Y51" s="447" t="e">
        <f t="shared" ca="1" si="3"/>
        <v>#VALUE!</v>
      </c>
      <c r="Z51" s="79"/>
    </row>
    <row r="52" spans="1:26" customFormat="1" ht="15">
      <c r="A52" s="231"/>
      <c r="B52" s="288">
        <v>14</v>
      </c>
      <c r="C52" s="260" t="s">
        <v>102</v>
      </c>
      <c r="D52" s="261">
        <v>1</v>
      </c>
      <c r="E52" s="252"/>
      <c r="F52" s="237">
        <v>0.4</v>
      </c>
      <c r="G52" s="456">
        <v>100</v>
      </c>
      <c r="H52" s="398">
        <v>38</v>
      </c>
      <c r="I52" s="417" t="str">
        <f ca="1"/>
        <v>0,000169048885623746</v>
      </c>
      <c r="J52" s="417" t="str">
        <f ca="1"/>
        <v>0,000450507050870556</v>
      </c>
      <c r="K52" s="426" t="str">
        <f ca="1"/>
        <v>0,375241375905388</v>
      </c>
      <c r="L52" s="426" t="str">
        <f ca="1"/>
        <v>0,375241375905388</v>
      </c>
      <c r="M52" s="426" t="str">
        <f ca="1"/>
        <v>-0,000210777730596679</v>
      </c>
      <c r="N52" s="426" t="str">
        <f ca="1"/>
        <v>DEUTSCHETELEKOM_MMR.EUR.SU</v>
      </c>
      <c r="O52" s="465" t="str">
        <f ca="1"/>
        <v/>
      </c>
      <c r="P52" s="442" t="e" cm="1">
        <f t="array" aca="1" ref="P52:T52" ca="1">IF(AND($Q$12,B76&lt;=$C$17,C76&lt;&gt;""),TRANSPOSE(INDEX(GetCDS(C76,$C$6,G76/10000,F76,D76,$C$13,$C$14,$C$15,$C$8,,,TRUE,TRUE,FALSE,$C$29:$C$31,$C$33),{1;2;3;4;5})),"")</f>
        <v>#VALUE!</v>
      </c>
      <c r="Q52" s="443" t="e">
        <f ca="1"/>
        <v>#VALUE!</v>
      </c>
      <c r="R52" s="443" t="e">
        <f ca="1"/>
        <v>#VALUE!</v>
      </c>
      <c r="S52" s="444" t="e">
        <f ca="1"/>
        <v>#VALUE!</v>
      </c>
      <c r="T52" s="445" t="e">
        <f ca="1"/>
        <v>#VALUE!</v>
      </c>
      <c r="U52" s="446" t="e">
        <f t="shared" ca="1" si="4"/>
        <v>#VALUE!</v>
      </c>
      <c r="V52" s="447" t="e">
        <f t="shared" ca="1" si="0"/>
        <v>#VALUE!</v>
      </c>
      <c r="W52" s="446" t="e">
        <f t="shared" ca="1" si="1"/>
        <v>#VALUE!</v>
      </c>
      <c r="X52" s="448" t="e">
        <f t="shared" ca="1" si="2"/>
        <v>#VALUE!</v>
      </c>
      <c r="Y52" s="447" t="e">
        <f t="shared" ca="1" si="3"/>
        <v>#VALUE!</v>
      </c>
      <c r="Z52" s="79"/>
    </row>
    <row r="53" spans="1:26" customFormat="1" ht="15">
      <c r="A53" s="231"/>
      <c r="B53" s="288">
        <v>15</v>
      </c>
      <c r="C53" s="260" t="s">
        <v>103</v>
      </c>
      <c r="D53" s="261">
        <v>1</v>
      </c>
      <c r="E53" s="252"/>
      <c r="F53" s="237">
        <v>0.4</v>
      </c>
      <c r="G53" s="456">
        <v>100</v>
      </c>
      <c r="H53" s="398">
        <v>39</v>
      </c>
      <c r="I53" s="417" t="str">
        <f ca="1"/>
        <v>0,000148402619929611</v>
      </c>
      <c r="J53" s="417" t="str">
        <f ca="1"/>
        <v>0,000454197663787742</v>
      </c>
      <c r="K53" s="426" t="str">
        <f ca="1"/>
        <v>0,326735762337525</v>
      </c>
      <c r="L53" s="426" t="str">
        <f ca="1"/>
        <v>0,326735762337525</v>
      </c>
      <c r="M53" s="426" t="str">
        <f ca="1"/>
        <v>-0,00015386210314956</v>
      </c>
      <c r="N53" s="426" t="str">
        <f ca="1"/>
        <v>DIAGEO_MMR.EUR.SU</v>
      </c>
      <c r="O53" s="465" t="str">
        <f ca="1"/>
        <v/>
      </c>
      <c r="P53" s="442" t="e" cm="1">
        <f t="array" aca="1" ref="P53:T53" ca="1">IF(AND($Q$12,B77&lt;=$C$17,C77&lt;&gt;""),TRANSPOSE(INDEX(GetCDS(C77,$C$6,G77/10000,F77,D77,$C$13,$C$14,$C$15,$C$8,,,TRUE,TRUE,FALSE,$C$29:$C$31,$C$33),{1;2;3;4;5})),"")</f>
        <v>#VALUE!</v>
      </c>
      <c r="Q53" s="443" t="e">
        <f ca="1"/>
        <v>#VALUE!</v>
      </c>
      <c r="R53" s="443" t="e">
        <f ca="1"/>
        <v>#VALUE!</v>
      </c>
      <c r="S53" s="444" t="e">
        <f ca="1"/>
        <v>#VALUE!</v>
      </c>
      <c r="T53" s="445" t="e">
        <f ca="1"/>
        <v>#VALUE!</v>
      </c>
      <c r="U53" s="446" t="e">
        <f t="shared" ca="1" si="4"/>
        <v>#VALUE!</v>
      </c>
      <c r="V53" s="447" t="e">
        <f t="shared" ca="1" si="0"/>
        <v>#VALUE!</v>
      </c>
      <c r="W53" s="446" t="e">
        <f t="shared" ca="1" si="1"/>
        <v>#VALUE!</v>
      </c>
      <c r="X53" s="448" t="e">
        <f t="shared" ca="1" si="2"/>
        <v>#VALUE!</v>
      </c>
      <c r="Y53" s="447" t="e">
        <f t="shared" ca="1" si="3"/>
        <v>#VALUE!</v>
      </c>
      <c r="Z53" s="79"/>
    </row>
    <row r="54" spans="1:26" customFormat="1" ht="15">
      <c r="A54" s="231"/>
      <c r="B54" s="288">
        <v>16</v>
      </c>
      <c r="C54" s="260" t="s">
        <v>104</v>
      </c>
      <c r="D54" s="261">
        <v>1</v>
      </c>
      <c r="E54" s="252"/>
      <c r="F54" s="237">
        <v>0.4</v>
      </c>
      <c r="G54" s="456">
        <v>100</v>
      </c>
      <c r="H54" s="398">
        <v>40</v>
      </c>
      <c r="I54" s="417" t="str">
        <f ca="1"/>
        <v>0,000221959145719807</v>
      </c>
      <c r="J54" s="417" t="str">
        <f ca="1"/>
        <v>0,000435457218943041</v>
      </c>
      <c r="K54" s="426" t="str">
        <f ca="1"/>
        <v>0,509715159295223</v>
      </c>
      <c r="L54" s="426" t="str">
        <f ca="1"/>
        <v>0,509715159295223</v>
      </c>
      <c r="M54" s="426" t="str">
        <f ca="1"/>
        <v>-0,00040718045714041</v>
      </c>
      <c r="N54" s="426" t="str">
        <f ca="1"/>
        <v>DIXONSGROUPPLC_MMR.EUR.SU</v>
      </c>
      <c r="O54" s="465" t="str">
        <f ca="1"/>
        <v/>
      </c>
      <c r="P54" s="442" t="e" cm="1">
        <f t="array" aca="1" ref="P54:T54" ca="1">IF(AND($Q$12,B78&lt;=$C$17,C78&lt;&gt;""),TRANSPOSE(INDEX(GetCDS(C78,$C$6,G78/10000,F78,D78,$C$13,$C$14,$C$15,$C$8,,,TRUE,TRUE,FALSE,$C$29:$C$31,$C$33),{1;2;3;4;5})),"")</f>
        <v>#VALUE!</v>
      </c>
      <c r="Q54" s="443" t="e">
        <f ca="1"/>
        <v>#VALUE!</v>
      </c>
      <c r="R54" s="443" t="e">
        <f ca="1"/>
        <v>#VALUE!</v>
      </c>
      <c r="S54" s="444" t="e">
        <f ca="1"/>
        <v>#VALUE!</v>
      </c>
      <c r="T54" s="445" t="e">
        <f ca="1"/>
        <v>#VALUE!</v>
      </c>
      <c r="U54" s="446" t="e">
        <f t="shared" ca="1" si="4"/>
        <v>#VALUE!</v>
      </c>
      <c r="V54" s="447" t="e">
        <f t="shared" ca="1" si="0"/>
        <v>#VALUE!</v>
      </c>
      <c r="W54" s="446" t="e">
        <f t="shared" ca="1" si="1"/>
        <v>#VALUE!</v>
      </c>
      <c r="X54" s="448" t="e">
        <f t="shared" ca="1" si="2"/>
        <v>#VALUE!</v>
      </c>
      <c r="Y54" s="447" t="e">
        <f t="shared" ca="1" si="3"/>
        <v>#VALUE!</v>
      </c>
      <c r="Z54" s="79"/>
    </row>
    <row r="55" spans="1:26" customFormat="1" ht="15">
      <c r="A55" s="231"/>
      <c r="B55" s="288">
        <v>17</v>
      </c>
      <c r="C55" s="260" t="s">
        <v>105</v>
      </c>
      <c r="D55" s="261">
        <v>1</v>
      </c>
      <c r="E55" s="252"/>
      <c r="F55" s="237">
        <v>0.4</v>
      </c>
      <c r="G55" s="456">
        <v>100</v>
      </c>
      <c r="H55" s="398">
        <v>41</v>
      </c>
      <c r="I55" s="417" t="str">
        <f ca="1"/>
        <v>0,000146058206776134</v>
      </c>
      <c r="J55" s="417" t="str">
        <f ca="1"/>
        <v>0,000454566770791027</v>
      </c>
      <c r="K55" s="426" t="str">
        <f ca="1"/>
        <v>0,321312986697129</v>
      </c>
      <c r="L55" s="426" t="str">
        <f ca="1"/>
        <v>0,321312986697129</v>
      </c>
      <c r="M55" s="426" t="str">
        <f ca="1"/>
        <v>-0,000148181227314037</v>
      </c>
      <c r="N55" s="426" t="str">
        <f ca="1"/>
        <v>DSM_MMR.EUR.SU</v>
      </c>
      <c r="O55" s="465" t="str">
        <f ca="1"/>
        <v/>
      </c>
      <c r="P55" s="442" t="e" cm="1">
        <f t="array" aca="1" ref="P55:T55" ca="1">IF(AND($Q$12,B79&lt;=$C$17,C79&lt;&gt;""),TRANSPOSE(INDEX(GetCDS(C79,$C$6,G79/10000,F79,D79,$C$13,$C$14,$C$15,$C$8,,,TRUE,TRUE,FALSE,$C$29:$C$31,$C$33),{1;2;3;4;5})),"")</f>
        <v>#VALUE!</v>
      </c>
      <c r="Q55" s="443" t="e">
        <f ca="1"/>
        <v>#VALUE!</v>
      </c>
      <c r="R55" s="443" t="e">
        <f ca="1"/>
        <v>#VALUE!</v>
      </c>
      <c r="S55" s="444" t="e">
        <f ca="1"/>
        <v>#VALUE!</v>
      </c>
      <c r="T55" s="445" t="e">
        <f ca="1"/>
        <v>#VALUE!</v>
      </c>
      <c r="U55" s="446" t="e">
        <f t="shared" ca="1" si="4"/>
        <v>#VALUE!</v>
      </c>
      <c r="V55" s="447" t="e">
        <f t="shared" ca="1" si="0"/>
        <v>#VALUE!</v>
      </c>
      <c r="W55" s="446" t="e">
        <f t="shared" ca="1" si="1"/>
        <v>#VALUE!</v>
      </c>
      <c r="X55" s="448" t="e">
        <f t="shared" ca="1" si="2"/>
        <v>#VALUE!</v>
      </c>
      <c r="Y55" s="447" t="e">
        <f t="shared" ca="1" si="3"/>
        <v>#VALUE!</v>
      </c>
      <c r="Z55" s="79"/>
    </row>
    <row r="56" spans="1:26" customFormat="1" ht="15">
      <c r="A56" s="231"/>
      <c r="B56" s="288">
        <v>18</v>
      </c>
      <c r="C56" s="260" t="s">
        <v>106</v>
      </c>
      <c r="D56" s="261">
        <v>1</v>
      </c>
      <c r="E56" s="252"/>
      <c r="F56" s="237">
        <v>0.4</v>
      </c>
      <c r="G56" s="456">
        <v>100</v>
      </c>
      <c r="H56" s="398">
        <v>42</v>
      </c>
      <c r="I56" s="417" t="str">
        <f ca="1"/>
        <v>0,000145850250138446</v>
      </c>
      <c r="J56" s="417" t="str">
        <f ca="1"/>
        <v>0,000454563175123533</v>
      </c>
      <c r="K56" s="426" t="str">
        <f ca="1"/>
        <v>0,32085804156663</v>
      </c>
      <c r="L56" s="426" t="str">
        <f ca="1"/>
        <v>0,32085804156663</v>
      </c>
      <c r="M56" s="426" t="str">
        <f ca="1"/>
        <v>-0,000147822316633439</v>
      </c>
      <c r="N56" s="426" t="str">
        <f ca="1"/>
        <v>EADS_MMR.EUR.SU</v>
      </c>
      <c r="O56" s="465" t="str">
        <f ca="1"/>
        <v/>
      </c>
      <c r="P56" s="442" t="e" cm="1">
        <f t="array" aca="1" ref="P56:T56" ca="1">IF(AND($Q$12,B80&lt;=$C$17,C80&lt;&gt;""),TRANSPOSE(INDEX(GetCDS(C80,$C$6,G80/10000,F80,D80,$C$13,$C$14,$C$15,$C$8,,,TRUE,TRUE,FALSE,$C$29:$C$31,$C$33),{1;2;3;4;5})),"")</f>
        <v>#VALUE!</v>
      </c>
      <c r="Q56" s="443" t="e">
        <f ca="1"/>
        <v>#VALUE!</v>
      </c>
      <c r="R56" s="443" t="e">
        <f ca="1"/>
        <v>#VALUE!</v>
      </c>
      <c r="S56" s="444" t="e">
        <f ca="1"/>
        <v>#VALUE!</v>
      </c>
      <c r="T56" s="445" t="e">
        <f ca="1"/>
        <v>#VALUE!</v>
      </c>
      <c r="U56" s="446" t="e">
        <f t="shared" ca="1" si="4"/>
        <v>#VALUE!</v>
      </c>
      <c r="V56" s="447" t="e">
        <f t="shared" ca="1" si="0"/>
        <v>#VALUE!</v>
      </c>
      <c r="W56" s="446" t="e">
        <f t="shared" ca="1" si="1"/>
        <v>#VALUE!</v>
      </c>
      <c r="X56" s="448" t="e">
        <f t="shared" ca="1" si="2"/>
        <v>#VALUE!</v>
      </c>
      <c r="Y56" s="447" t="e">
        <f t="shared" ca="1" si="3"/>
        <v>#VALUE!</v>
      </c>
      <c r="Z56" s="79"/>
    </row>
    <row r="57" spans="1:26" customFormat="1" ht="15">
      <c r="A57" s="231"/>
      <c r="B57" s="288">
        <v>19</v>
      </c>
      <c r="C57" s="260" t="s">
        <v>107</v>
      </c>
      <c r="D57" s="261">
        <v>1</v>
      </c>
      <c r="E57" s="252"/>
      <c r="F57" s="237">
        <v>0.4</v>
      </c>
      <c r="G57" s="456">
        <v>100</v>
      </c>
      <c r="H57" s="398">
        <v>43</v>
      </c>
      <c r="I57" s="417" t="str">
        <f ca="1"/>
        <v>0,000128888539577177</v>
      </c>
      <c r="J57" s="417" t="str">
        <f ca="1"/>
        <v>0,00045719512383252</v>
      </c>
      <c r="K57" s="426" t="str">
        <f ca="1"/>
        <v>0,281911448435289</v>
      </c>
      <c r="L57" s="426" t="str">
        <f ca="1"/>
        <v>0,281911448435289</v>
      </c>
      <c r="M57" s="426" t="str">
        <f ca="1"/>
        <v>-0,000108328043996453</v>
      </c>
      <c r="N57" s="426" t="str">
        <f ca="1"/>
        <v>EDF_MMR.EUR.SU</v>
      </c>
      <c r="O57" s="465" t="str">
        <f ca="1"/>
        <v/>
      </c>
      <c r="P57" s="442" t="e" cm="1">
        <f t="array" aca="1" ref="P57:T57" ca="1">IF(AND($Q$12,B81&lt;=$C$17,C81&lt;&gt;""),TRANSPOSE(INDEX(GetCDS(C81,$C$6,G81/10000,F81,D81,$C$13,$C$14,$C$15,$C$8,,,TRUE,TRUE,FALSE,$C$29:$C$31,$C$33),{1;2;3;4;5})),"")</f>
        <v>#VALUE!</v>
      </c>
      <c r="Q57" s="443" t="e">
        <f ca="1"/>
        <v>#VALUE!</v>
      </c>
      <c r="R57" s="443" t="e">
        <f ca="1"/>
        <v>#VALUE!</v>
      </c>
      <c r="S57" s="444" t="e">
        <f ca="1"/>
        <v>#VALUE!</v>
      </c>
      <c r="T57" s="445" t="e">
        <f ca="1"/>
        <v>#VALUE!</v>
      </c>
      <c r="U57" s="446" t="e">
        <f t="shared" ca="1" si="4"/>
        <v>#VALUE!</v>
      </c>
      <c r="V57" s="447" t="e">
        <f t="shared" ca="1" si="0"/>
        <v>#VALUE!</v>
      </c>
      <c r="W57" s="446" t="e">
        <f t="shared" ca="1" si="1"/>
        <v>#VALUE!</v>
      </c>
      <c r="X57" s="448" t="e">
        <f t="shared" ca="1" si="2"/>
        <v>#VALUE!</v>
      </c>
      <c r="Y57" s="447" t="e">
        <f t="shared" ca="1" si="3"/>
        <v>#VALUE!</v>
      </c>
      <c r="Z57" s="79"/>
    </row>
    <row r="58" spans="1:26" customFormat="1" ht="15">
      <c r="A58" s="231"/>
      <c r="B58" s="288">
        <v>20</v>
      </c>
      <c r="C58" s="260" t="s">
        <v>108</v>
      </c>
      <c r="D58" s="261">
        <v>1</v>
      </c>
      <c r="E58" s="252"/>
      <c r="F58" s="237">
        <v>0.4</v>
      </c>
      <c r="G58" s="456">
        <v>100</v>
      </c>
      <c r="H58" s="398">
        <v>44</v>
      </c>
      <c r="I58" s="417" t="str">
        <f ca="1"/>
        <v>0,000159590894425477</v>
      </c>
      <c r="J58" s="417" t="str">
        <f ca="1"/>
        <v>0,000452354985284844</v>
      </c>
      <c r="K58" s="426" t="str">
        <f ca="1"/>
        <v>0,352800122949864</v>
      </c>
      <c r="L58" s="426" t="str">
        <f ca="1"/>
        <v>0,352800122949864</v>
      </c>
      <c r="M58" s="426" t="str">
        <f ca="1"/>
        <v>-0,00018327551301458</v>
      </c>
      <c r="N58" s="426" t="str">
        <f ca="1"/>
        <v>EDISON_MMR.EUR.SU</v>
      </c>
      <c r="O58" s="465" t="str">
        <f ca="1"/>
        <v/>
      </c>
      <c r="P58" s="442" t="e" cm="1">
        <f t="array" aca="1" ref="P58:T58" ca="1">IF(AND($Q$12,B82&lt;=$C$17,C82&lt;&gt;""),TRANSPOSE(INDEX(GetCDS(C82,$C$6,G82/10000,F82,D82,$C$13,$C$14,$C$15,$C$8,,,TRUE,TRUE,FALSE,$C$29:$C$31,$C$33),{1;2;3;4;5})),"")</f>
        <v>#VALUE!</v>
      </c>
      <c r="Q58" s="443" t="e">
        <f ca="1"/>
        <v>#VALUE!</v>
      </c>
      <c r="R58" s="443" t="e">
        <f ca="1"/>
        <v>#VALUE!</v>
      </c>
      <c r="S58" s="444" t="e">
        <f ca="1"/>
        <v>#VALUE!</v>
      </c>
      <c r="T58" s="445" t="e">
        <f ca="1"/>
        <v>#VALUE!</v>
      </c>
      <c r="U58" s="446" t="e">
        <f t="shared" ca="1" si="4"/>
        <v>#VALUE!</v>
      </c>
      <c r="V58" s="447" t="e">
        <f t="shared" ca="1" si="0"/>
        <v>#VALUE!</v>
      </c>
      <c r="W58" s="446" t="e">
        <f t="shared" ca="1" si="1"/>
        <v>#VALUE!</v>
      </c>
      <c r="X58" s="448" t="e">
        <f t="shared" ca="1" si="2"/>
        <v>#VALUE!</v>
      </c>
      <c r="Y58" s="447" t="e">
        <f t="shared" ca="1" si="3"/>
        <v>#VALUE!</v>
      </c>
      <c r="Z58" s="79"/>
    </row>
    <row r="59" spans="1:26" customFormat="1" ht="15">
      <c r="A59" s="231"/>
      <c r="B59" s="288">
        <v>21</v>
      </c>
      <c r="C59" s="260" t="s">
        <v>109</v>
      </c>
      <c r="D59" s="261">
        <v>1</v>
      </c>
      <c r="E59" s="252"/>
      <c r="F59" s="237">
        <v>0.4</v>
      </c>
      <c r="G59" s="456">
        <v>100</v>
      </c>
      <c r="H59" s="398">
        <v>45</v>
      </c>
      <c r="I59" s="417" t="str">
        <f ca="1"/>
        <v>0,000163745087840183</v>
      </c>
      <c r="J59" s="417" t="str">
        <f ca="1"/>
        <v>0,000451626579157448</v>
      </c>
      <c r="K59" s="426" t="str">
        <f ca="1"/>
        <v>0,362567429369779</v>
      </c>
      <c r="L59" s="426" t="str">
        <f ca="1"/>
        <v>0,362567429369779</v>
      </c>
      <c r="M59" s="426" t="str">
        <f ca="1"/>
        <v>-0,000194809178180177</v>
      </c>
      <c r="N59" s="426" t="str">
        <f ca="1"/>
        <v>ELECTRICITEDEPORTUGAL_MMR.EUR.SU</v>
      </c>
      <c r="O59" s="465" t="str">
        <f ca="1"/>
        <v/>
      </c>
      <c r="P59" s="442" t="e" cm="1">
        <f t="array" aca="1" ref="P59:T59" ca="1">IF(AND($Q$12,B83&lt;=$C$17,C83&lt;&gt;""),TRANSPOSE(INDEX(GetCDS(C83,$C$6,G83/10000,F83,D83,$C$13,$C$14,$C$15,$C$8,,,TRUE,TRUE,FALSE,$C$29:$C$31,$C$33),{1;2;3;4;5})),"")</f>
        <v>#VALUE!</v>
      </c>
      <c r="Q59" s="443" t="e">
        <f ca="1"/>
        <v>#VALUE!</v>
      </c>
      <c r="R59" s="443" t="e">
        <f ca="1"/>
        <v>#VALUE!</v>
      </c>
      <c r="S59" s="444" t="e">
        <f ca="1"/>
        <v>#VALUE!</v>
      </c>
      <c r="T59" s="445" t="e">
        <f ca="1"/>
        <v>#VALUE!</v>
      </c>
      <c r="U59" s="446" t="e">
        <f t="shared" ca="1" si="4"/>
        <v>#VALUE!</v>
      </c>
      <c r="V59" s="447" t="e">
        <f t="shared" ca="1" si="0"/>
        <v>#VALUE!</v>
      </c>
      <c r="W59" s="446" t="e">
        <f t="shared" ca="1" si="1"/>
        <v>#VALUE!</v>
      </c>
      <c r="X59" s="448" t="e">
        <f t="shared" ca="1" si="2"/>
        <v>#VALUE!</v>
      </c>
      <c r="Y59" s="447" t="e">
        <f t="shared" ca="1" si="3"/>
        <v>#VALUE!</v>
      </c>
      <c r="Z59" s="79"/>
    </row>
    <row r="60" spans="1:26" customFormat="1" ht="15">
      <c r="A60" s="231"/>
      <c r="B60" s="288">
        <v>22</v>
      </c>
      <c r="C60" s="260" t="s">
        <v>110</v>
      </c>
      <c r="D60" s="261">
        <v>1</v>
      </c>
      <c r="E60" s="252"/>
      <c r="F60" s="237">
        <v>0.4</v>
      </c>
      <c r="G60" s="456">
        <v>100</v>
      </c>
      <c r="H60" s="398">
        <v>46</v>
      </c>
      <c r="I60" s="417" t="str">
        <f ca="1"/>
        <v>0,000160444988952957</v>
      </c>
      <c r="J60" s="417" t="str">
        <f ca="1"/>
        <v>0,000451945427406778</v>
      </c>
      <c r="K60" s="426" t="str">
        <f ca="1"/>
        <v>0,355009652102414</v>
      </c>
      <c r="L60" s="426" t="str">
        <f ca="1"/>
        <v>0,355009652102414</v>
      </c>
      <c r="M60" s="426" t="str">
        <f ca="1"/>
        <v>-0,000187207971438985</v>
      </c>
      <c r="N60" s="426" t="str">
        <f ca="1"/>
        <v>ELECTROLUX_MMR.EUR.SU</v>
      </c>
      <c r="O60" s="465" t="str">
        <f ca="1"/>
        <v/>
      </c>
      <c r="P60" s="442" t="e" cm="1">
        <f t="array" aca="1" ref="P60:T60" ca="1">IF(AND($Q$12,B84&lt;=$C$17,C84&lt;&gt;""),TRANSPOSE(INDEX(GetCDS(C84,$C$6,G84/10000,F84,D84,$C$13,$C$14,$C$15,$C$8,,,TRUE,TRUE,FALSE,$C$29:$C$31,$C$33),{1;2;3;4;5})),"")</f>
        <v>#VALUE!</v>
      </c>
      <c r="Q60" s="443" t="e">
        <f ca="1"/>
        <v>#VALUE!</v>
      </c>
      <c r="R60" s="443" t="e">
        <f ca="1"/>
        <v>#VALUE!</v>
      </c>
      <c r="S60" s="444" t="e">
        <f ca="1"/>
        <v>#VALUE!</v>
      </c>
      <c r="T60" s="445" t="e">
        <f ca="1"/>
        <v>#VALUE!</v>
      </c>
      <c r="U60" s="446" t="e">
        <f t="shared" ca="1" si="4"/>
        <v>#VALUE!</v>
      </c>
      <c r="V60" s="447" t="e">
        <f t="shared" ca="1" si="0"/>
        <v>#VALUE!</v>
      </c>
      <c r="W60" s="446" t="e">
        <f t="shared" ca="1" si="1"/>
        <v>#VALUE!</v>
      </c>
      <c r="X60" s="448" t="e">
        <f t="shared" ca="1" si="2"/>
        <v>#VALUE!</v>
      </c>
      <c r="Y60" s="447" t="e">
        <f t="shared" ca="1" si="3"/>
        <v>#VALUE!</v>
      </c>
      <c r="Z60" s="79"/>
    </row>
    <row r="61" spans="1:26" customFormat="1" ht="15">
      <c r="A61" s="231"/>
      <c r="B61" s="288">
        <v>23</v>
      </c>
      <c r="C61" s="260" t="s">
        <v>111</v>
      </c>
      <c r="D61" s="261">
        <v>1</v>
      </c>
      <c r="E61" s="252"/>
      <c r="F61" s="237">
        <v>0.4</v>
      </c>
      <c r="G61" s="456">
        <v>100</v>
      </c>
      <c r="H61" s="398">
        <v>47</v>
      </c>
      <c r="I61" s="417" t="str">
        <f ca="1"/>
        <v>0,000179635777930209</v>
      </c>
      <c r="J61" s="417" t="str">
        <f ca="1"/>
        <v>0,000448317128944609</v>
      </c>
      <c r="K61" s="426" t="str">
        <f ca="1"/>
        <v>0,400689079966881</v>
      </c>
      <c r="L61" s="426" t="str">
        <f ca="1"/>
        <v>0,400689079966881</v>
      </c>
      <c r="M61" s="426" t="str">
        <f ca="1"/>
        <v>-0,000243906359075119</v>
      </c>
      <c r="N61" s="426" t="str">
        <f ca="1"/>
        <v>ENDESA_MMR.EUR.SU</v>
      </c>
      <c r="O61" s="465" t="str">
        <f ca="1"/>
        <v/>
      </c>
      <c r="P61" s="442" t="e" cm="1">
        <f t="array" aca="1" ref="P61:T61" ca="1">IF(AND($Q$12,B85&lt;=$C$17,C85&lt;&gt;""),TRANSPOSE(INDEX(GetCDS(C85,$C$6,G85/10000,F85,D85,$C$13,$C$14,$C$15,$C$8,,,TRUE,TRUE,FALSE,$C$29:$C$31,$C$33),{1;2;3;4;5})),"")</f>
        <v>#VALUE!</v>
      </c>
      <c r="Q61" s="443" t="e">
        <f ca="1"/>
        <v>#VALUE!</v>
      </c>
      <c r="R61" s="443" t="e">
        <f ca="1"/>
        <v>#VALUE!</v>
      </c>
      <c r="S61" s="444" t="e">
        <f ca="1"/>
        <v>#VALUE!</v>
      </c>
      <c r="T61" s="445" t="e">
        <f ca="1"/>
        <v>#VALUE!</v>
      </c>
      <c r="U61" s="446" t="e">
        <f t="shared" ca="1" si="4"/>
        <v>#VALUE!</v>
      </c>
      <c r="V61" s="447" t="e">
        <f t="shared" ca="1" si="0"/>
        <v>#VALUE!</v>
      </c>
      <c r="W61" s="446" t="e">
        <f t="shared" ca="1" si="1"/>
        <v>#VALUE!</v>
      </c>
      <c r="X61" s="448" t="e">
        <f t="shared" ca="1" si="2"/>
        <v>#VALUE!</v>
      </c>
      <c r="Y61" s="447" t="e">
        <f t="shared" ca="1" si="3"/>
        <v>#VALUE!</v>
      </c>
      <c r="Z61" s="79"/>
    </row>
    <row r="62" spans="1:26" customFormat="1" ht="15">
      <c r="A62" s="231"/>
      <c r="B62" s="288">
        <v>24</v>
      </c>
      <c r="C62" s="260" t="s">
        <v>112</v>
      </c>
      <c r="D62" s="261">
        <v>1</v>
      </c>
      <c r="E62" s="252"/>
      <c r="F62" s="237">
        <v>0.4</v>
      </c>
      <c r="G62" s="456">
        <v>100</v>
      </c>
      <c r="H62" s="398">
        <v>48</v>
      </c>
      <c r="I62" s="417" t="str">
        <f ca="1"/>
        <v>0,000167538835779535</v>
      </c>
      <c r="J62" s="417" t="str">
        <f ca="1"/>
        <v>0,000450888885905171</v>
      </c>
      <c r="K62" s="426" t="str">
        <f ca="1"/>
        <v>0,371574551994548</v>
      </c>
      <c r="L62" s="426" t="str">
        <f ca="1"/>
        <v>0,371574551994548</v>
      </c>
      <c r="M62" s="426" t="str">
        <f ca="1"/>
        <v>-0,00020598081290737</v>
      </c>
      <c r="N62" s="426" t="str">
        <f ca="1"/>
        <v>ENEL_MMR.EUR.SU</v>
      </c>
      <c r="O62" s="465" t="str">
        <f ca="1"/>
        <v/>
      </c>
      <c r="P62" s="442" t="e" cm="1">
        <f t="array" aca="1" ref="P62:T62" ca="1">IF(AND($Q$12,B86&lt;=$C$17,C86&lt;&gt;""),TRANSPOSE(INDEX(GetCDS(C86,$C$6,G86/10000,F86,D86,$C$13,$C$14,$C$15,$C$8,,,TRUE,TRUE,FALSE,$C$29:$C$31,$C$33),{1;2;3;4;5})),"")</f>
        <v>#VALUE!</v>
      </c>
      <c r="Q62" s="443" t="e">
        <f ca="1"/>
        <v>#VALUE!</v>
      </c>
      <c r="R62" s="443" t="e">
        <f ca="1"/>
        <v>#VALUE!</v>
      </c>
      <c r="S62" s="444" t="e">
        <f ca="1"/>
        <v>#VALUE!</v>
      </c>
      <c r="T62" s="445" t="e">
        <f ca="1"/>
        <v>#VALUE!</v>
      </c>
      <c r="U62" s="446" t="e">
        <f t="shared" ca="1" si="4"/>
        <v>#VALUE!</v>
      </c>
      <c r="V62" s="447" t="e">
        <f t="shared" ca="1" si="0"/>
        <v>#VALUE!</v>
      </c>
      <c r="W62" s="446" t="e">
        <f t="shared" ca="1" si="1"/>
        <v>#VALUE!</v>
      </c>
      <c r="X62" s="448" t="e">
        <f t="shared" ca="1" si="2"/>
        <v>#VALUE!</v>
      </c>
      <c r="Y62" s="447" t="e">
        <f t="shared" ca="1" si="3"/>
        <v>#VALUE!</v>
      </c>
      <c r="Z62" s="79"/>
    </row>
    <row r="63" spans="1:26" customFormat="1" ht="15">
      <c r="A63" s="231"/>
      <c r="B63" s="288">
        <v>25</v>
      </c>
      <c r="C63" s="260" t="s">
        <v>113</v>
      </c>
      <c r="D63" s="261">
        <v>1</v>
      </c>
      <c r="E63" s="252"/>
      <c r="F63" s="237">
        <v>0.4</v>
      </c>
      <c r="G63" s="456">
        <v>100</v>
      </c>
      <c r="H63" s="398">
        <v>49</v>
      </c>
      <c r="I63" s="417" t="str">
        <f ca="1"/>
        <v>0,00013259826023222</v>
      </c>
      <c r="J63" s="417" t="str">
        <f ca="1"/>
        <v>0,000456842362364639</v>
      </c>
      <c r="K63" s="426" t="str">
        <f ca="1"/>
        <v>0,290249484627224</v>
      </c>
      <c r="L63" s="426" t="str">
        <f ca="1"/>
        <v>0,290249484627224</v>
      </c>
      <c r="M63" s="426" t="str">
        <f ca="1"/>
        <v>-0,000115310085692988</v>
      </c>
      <c r="N63" s="426" t="str">
        <f ca="1"/>
        <v>ENERGIEBADENWUERTTEMBERG_MMR.EUR.SU</v>
      </c>
      <c r="O63" s="465" t="str">
        <f ca="1"/>
        <v/>
      </c>
      <c r="P63" s="442" t="e" cm="1">
        <f t="array" aca="1" ref="P63:T63" ca="1">IF(AND($Q$12,B87&lt;=$C$17,C87&lt;&gt;""),TRANSPOSE(INDEX(GetCDS(C87,$C$6,G87/10000,F87,D87,$C$13,$C$14,$C$15,$C$8,,,TRUE,TRUE,FALSE,$C$29:$C$31,$C$33),{1;2;3;4;5})),"")</f>
        <v>#VALUE!</v>
      </c>
      <c r="Q63" s="443" t="e">
        <f ca="1"/>
        <v>#VALUE!</v>
      </c>
      <c r="R63" s="443" t="e">
        <f ca="1"/>
        <v>#VALUE!</v>
      </c>
      <c r="S63" s="444" t="e">
        <f ca="1"/>
        <v>#VALUE!</v>
      </c>
      <c r="T63" s="445" t="e">
        <f ca="1"/>
        <v>#VALUE!</v>
      </c>
      <c r="U63" s="446" t="e">
        <f t="shared" ca="1" si="4"/>
        <v>#VALUE!</v>
      </c>
      <c r="V63" s="447" t="e">
        <f t="shared" ca="1" si="0"/>
        <v>#VALUE!</v>
      </c>
      <c r="W63" s="446" t="e">
        <f t="shared" ca="1" si="1"/>
        <v>#VALUE!</v>
      </c>
      <c r="X63" s="448" t="e">
        <f t="shared" ca="1" si="2"/>
        <v>#VALUE!</v>
      </c>
      <c r="Y63" s="447" t="e">
        <f t="shared" ca="1" si="3"/>
        <v>#VALUE!</v>
      </c>
      <c r="Z63" s="79"/>
    </row>
    <row r="64" spans="1:26" customFormat="1" ht="15">
      <c r="A64" s="231"/>
      <c r="B64" s="288">
        <v>26</v>
      </c>
      <c r="C64" s="260" t="s">
        <v>114</v>
      </c>
      <c r="D64" s="261">
        <v>1</v>
      </c>
      <c r="E64" s="252"/>
      <c r="F64" s="237">
        <v>0.4</v>
      </c>
      <c r="G64" s="456">
        <v>100</v>
      </c>
      <c r="H64" s="398">
        <v>50</v>
      </c>
      <c r="I64" s="417" t="str">
        <f ca="1"/>
        <v>0,00013797082103093</v>
      </c>
      <c r="J64" s="417" t="str">
        <f ca="1"/>
        <v>0,000456104570435064</v>
      </c>
      <c r="K64" s="426" t="str">
        <f ca="1"/>
        <v>0,302498220746448</v>
      </c>
      <c r="L64" s="426" t="str">
        <f ca="1"/>
        <v>0,302498220746448</v>
      </c>
      <c r="M64" s="426" t="str">
        <f ca="1"/>
        <v>-0,000127065540273619</v>
      </c>
      <c r="N64" s="426" t="str">
        <f ca="1"/>
        <v>EON_MMR.EUR.SU</v>
      </c>
      <c r="O64" s="465" t="str">
        <f ca="1"/>
        <v/>
      </c>
      <c r="P64" s="442" t="e" cm="1">
        <f t="array" aca="1" ref="P64:T64" ca="1">IF(AND($Q$12,B88&lt;=$C$17,C88&lt;&gt;""),TRANSPOSE(INDEX(GetCDS(C88,$C$6,G88/10000,F88,D88,$C$13,$C$14,$C$15,$C$8,,,TRUE,TRUE,FALSE,$C$29:$C$31,$C$33),{1;2;3;4;5})),"")</f>
        <v>#VALUE!</v>
      </c>
      <c r="Q64" s="443" t="e">
        <f ca="1"/>
        <v>#VALUE!</v>
      </c>
      <c r="R64" s="443" t="e">
        <f ca="1"/>
        <v>#VALUE!</v>
      </c>
      <c r="S64" s="444" t="e">
        <f ca="1"/>
        <v>#VALUE!</v>
      </c>
      <c r="T64" s="445" t="e">
        <f ca="1"/>
        <v>#VALUE!</v>
      </c>
      <c r="U64" s="446" t="e">
        <f t="shared" ca="1" si="4"/>
        <v>#VALUE!</v>
      </c>
      <c r="V64" s="447" t="e">
        <f t="shared" ca="1" si="0"/>
        <v>#VALUE!</v>
      </c>
      <c r="W64" s="446" t="e">
        <f t="shared" ca="1" si="1"/>
        <v>#VALUE!</v>
      </c>
      <c r="X64" s="448" t="e">
        <f t="shared" ca="1" si="2"/>
        <v>#VALUE!</v>
      </c>
      <c r="Y64" s="447" t="e">
        <f t="shared" ca="1" si="3"/>
        <v>#VALUE!</v>
      </c>
      <c r="Z64" s="79"/>
    </row>
    <row r="65" spans="1:26" customFormat="1" ht="15">
      <c r="A65" s="231"/>
      <c r="B65" s="288">
        <v>27</v>
      </c>
      <c r="C65" s="260" t="s">
        <v>115</v>
      </c>
      <c r="D65" s="261">
        <v>1</v>
      </c>
      <c r="E65" s="252"/>
      <c r="F65" s="237">
        <v>0.4</v>
      </c>
      <c r="G65" s="456">
        <v>100</v>
      </c>
      <c r="H65" s="398">
        <v>51</v>
      </c>
      <c r="I65" s="417" t="str">
        <f ca="1"/>
        <v>0,000143670391349349</v>
      </c>
      <c r="J65" s="417" t="str">
        <f ca="1"/>
        <v>0,000454939027099593</v>
      </c>
      <c r="K65" s="426" t="str">
        <f ca="1"/>
        <v>0,315801421270234</v>
      </c>
      <c r="L65" s="426" t="str">
        <f ca="1"/>
        <v>0,315801421270234</v>
      </c>
      <c r="M65" s="426" t="str">
        <f ca="1"/>
        <v>-0,000142391933967811</v>
      </c>
      <c r="N65" s="426" t="str">
        <f ca="1"/>
        <v>FORTUMOYJ_MMR.EUR.SU</v>
      </c>
      <c r="O65" s="465" t="str">
        <f ca="1"/>
        <v/>
      </c>
      <c r="P65" s="442" t="e" cm="1">
        <f t="array" aca="1" ref="P65:T65" ca="1">IF(AND($Q$12,B89&lt;=$C$17,C89&lt;&gt;""),TRANSPOSE(INDEX(GetCDS(C89,$C$6,G89/10000,F89,D89,$C$13,$C$14,$C$15,$C$8,,,TRUE,TRUE,FALSE,$C$29:$C$31,$C$33),{1;2;3;4;5})),"")</f>
        <v>#VALUE!</v>
      </c>
      <c r="Q65" s="443" t="e">
        <f ca="1"/>
        <v>#VALUE!</v>
      </c>
      <c r="R65" s="443" t="e">
        <f ca="1"/>
        <v>#VALUE!</v>
      </c>
      <c r="S65" s="444" t="e">
        <f ca="1"/>
        <v>#VALUE!</v>
      </c>
      <c r="T65" s="445" t="e">
        <f ca="1"/>
        <v>#VALUE!</v>
      </c>
      <c r="U65" s="446" t="e">
        <f t="shared" ca="1" si="4"/>
        <v>#VALUE!</v>
      </c>
      <c r="V65" s="447" t="e">
        <f t="shared" ca="1" si="0"/>
        <v>#VALUE!</v>
      </c>
      <c r="W65" s="446" t="e">
        <f t="shared" ca="1" si="1"/>
        <v>#VALUE!</v>
      </c>
      <c r="X65" s="448" t="e">
        <f t="shared" ca="1" si="2"/>
        <v>#VALUE!</v>
      </c>
      <c r="Y65" s="447" t="e">
        <f t="shared" ca="1" si="3"/>
        <v>#VALUE!</v>
      </c>
      <c r="Z65" s="79"/>
    </row>
    <row r="66" spans="1:26" customFormat="1" ht="15">
      <c r="A66" s="231"/>
      <c r="B66" s="288">
        <v>28</v>
      </c>
      <c r="C66" s="260" t="s">
        <v>116</v>
      </c>
      <c r="D66" s="261">
        <v>1</v>
      </c>
      <c r="E66" s="252"/>
      <c r="F66" s="237">
        <v>0.4</v>
      </c>
      <c r="G66" s="456">
        <v>100</v>
      </c>
      <c r="H66" s="398">
        <v>52</v>
      </c>
      <c r="I66" s="417" t="str">
        <f ca="1"/>
        <v>0,000151417187745562</v>
      </c>
      <c r="J66" s="417" t="str">
        <f ca="1"/>
        <v>0,000453848592594783</v>
      </c>
      <c r="K66" s="426" t="str">
        <f ca="1"/>
        <v>0,333629298881079</v>
      </c>
      <c r="L66" s="426" t="str">
        <f ca="1"/>
        <v>0,333629298881079</v>
      </c>
      <c r="M66" s="426" t="str">
        <f ca="1"/>
        <v>-0,000160750507749797</v>
      </c>
      <c r="N66" s="426" t="str">
        <f ca="1"/>
        <v>FRANCETELECOM_MMR.EUR.SU</v>
      </c>
      <c r="O66" s="465" t="str">
        <f ca="1"/>
        <v/>
      </c>
      <c r="P66" s="442" t="e" cm="1">
        <f t="array" aca="1" ref="P66:T66" ca="1">IF(AND($Q$12,B90&lt;=$C$17,C90&lt;&gt;""),TRANSPOSE(INDEX(GetCDS(C90,$C$6,G90/10000,F90,D90,$C$13,$C$14,$C$15,$C$8,,,TRUE,TRUE,FALSE,$C$29:$C$31,$C$33),{1;2;3;4;5})),"")</f>
        <v>#VALUE!</v>
      </c>
      <c r="Q66" s="443" t="e">
        <f ca="1"/>
        <v>#VALUE!</v>
      </c>
      <c r="R66" s="443" t="e">
        <f ca="1"/>
        <v>#VALUE!</v>
      </c>
      <c r="S66" s="444" t="e">
        <f ca="1"/>
        <v>#VALUE!</v>
      </c>
      <c r="T66" s="445" t="e">
        <f ca="1"/>
        <v>#VALUE!</v>
      </c>
      <c r="U66" s="446" t="e">
        <f t="shared" ca="1" si="4"/>
        <v>#VALUE!</v>
      </c>
      <c r="V66" s="447" t="e">
        <f t="shared" ca="1" si="0"/>
        <v>#VALUE!</v>
      </c>
      <c r="W66" s="446" t="e">
        <f t="shared" ca="1" si="1"/>
        <v>#VALUE!</v>
      </c>
      <c r="X66" s="448" t="e">
        <f t="shared" ca="1" si="2"/>
        <v>#VALUE!</v>
      </c>
      <c r="Y66" s="447" t="e">
        <f t="shared" ca="1" si="3"/>
        <v>#VALUE!</v>
      </c>
      <c r="Z66" s="79"/>
    </row>
    <row r="67" spans="1:26" customFormat="1" ht="15">
      <c r="A67" s="231"/>
      <c r="B67" s="288">
        <v>29</v>
      </c>
      <c r="C67" s="260" t="s">
        <v>117</v>
      </c>
      <c r="D67" s="261">
        <v>1</v>
      </c>
      <c r="E67" s="252"/>
      <c r="F67" s="237">
        <v>0.4</v>
      </c>
      <c r="G67" s="456">
        <v>100</v>
      </c>
      <c r="H67" s="398">
        <v>53</v>
      </c>
      <c r="I67" s="417" t="str">
        <f ca="1"/>
        <v>0,000133823832573055</v>
      </c>
      <c r="J67" s="417" t="str">
        <f ca="1"/>
        <v>0,000456436600530913</v>
      </c>
      <c r="K67" s="426" t="str">
        <f ca="1"/>
        <v>0,293192597651887</v>
      </c>
      <c r="L67" s="426" t="str">
        <f ca="1"/>
        <v>0,293192597651887</v>
      </c>
      <c r="M67" s="426" t="str">
        <f ca="1"/>
        <v>-0,000119534556120349</v>
      </c>
      <c r="N67" s="426" t="str">
        <f ca="1"/>
        <v>GALLAHERGROUPPLC_MMR.EUR.SU</v>
      </c>
      <c r="O67" s="465" t="str">
        <f ca="1"/>
        <v/>
      </c>
      <c r="P67" s="442" t="e" cm="1">
        <f t="array" aca="1" ref="P67:T67" ca="1">IF(AND($Q$12,B91&lt;=$C$17,C91&lt;&gt;""),TRANSPOSE(INDEX(GetCDS(C91,$C$6,G91/10000,F91,D91,$C$13,$C$14,$C$15,$C$8,,,TRUE,TRUE,FALSE,$C$29:$C$31,$C$33),{1;2;3;4;5})),"")</f>
        <v>#VALUE!</v>
      </c>
      <c r="Q67" s="443" t="e">
        <f ca="1"/>
        <v>#VALUE!</v>
      </c>
      <c r="R67" s="443" t="e">
        <f ca="1"/>
        <v>#VALUE!</v>
      </c>
      <c r="S67" s="444" t="e">
        <f ca="1"/>
        <v>#VALUE!</v>
      </c>
      <c r="T67" s="445" t="e">
        <f ca="1"/>
        <v>#VALUE!</v>
      </c>
      <c r="U67" s="446" t="e">
        <f t="shared" ca="1" si="4"/>
        <v>#VALUE!</v>
      </c>
      <c r="V67" s="447" t="e">
        <f t="shared" ca="1" si="0"/>
        <v>#VALUE!</v>
      </c>
      <c r="W67" s="446" t="e">
        <f t="shared" ca="1" si="1"/>
        <v>#VALUE!</v>
      </c>
      <c r="X67" s="448" t="e">
        <f t="shared" ca="1" si="2"/>
        <v>#VALUE!</v>
      </c>
      <c r="Y67" s="447" t="e">
        <f t="shared" ca="1" si="3"/>
        <v>#VALUE!</v>
      </c>
      <c r="Z67" s="79"/>
    </row>
    <row r="68" spans="1:26" customFormat="1" ht="15">
      <c r="A68" s="231"/>
      <c r="B68" s="288">
        <v>30</v>
      </c>
      <c r="C68" s="260" t="s">
        <v>118</v>
      </c>
      <c r="D68" s="261">
        <v>1</v>
      </c>
      <c r="E68" s="252"/>
      <c r="F68" s="237">
        <v>0.4</v>
      </c>
      <c r="G68" s="456">
        <v>100</v>
      </c>
      <c r="H68" s="398">
        <v>54</v>
      </c>
      <c r="I68" s="417" t="str">
        <f ca="1"/>
        <v>0,000125980473803499</v>
      </c>
      <c r="J68" s="417" t="str">
        <f ca="1"/>
        <v>0,000457569002008241</v>
      </c>
      <c r="K68" s="426" t="str">
        <f ca="1"/>
        <v>0,275325630124809</v>
      </c>
      <c r="L68" s="426" t="str">
        <f ca="1"/>
        <v>0,275325630124809</v>
      </c>
      <c r="M68" s="426" t="str">
        <f ca="1"/>
        <v>-0,0001024598137358</v>
      </c>
      <c r="N68" s="426" t="str">
        <f ca="1"/>
        <v>GASNATURALSDGSA_MMR.EUR.SU</v>
      </c>
      <c r="O68" s="465" t="str">
        <f ca="1"/>
        <v/>
      </c>
      <c r="P68" s="442" t="e" cm="1">
        <f t="array" aca="1" ref="P68:T68" ca="1">IF(AND($Q$12,B92&lt;=$C$17,C92&lt;&gt;""),TRANSPOSE(INDEX(GetCDS(C92,$C$6,G92/10000,F92,D92,$C$13,$C$14,$C$15,$C$8,,,TRUE,TRUE,FALSE,$C$29:$C$31,$C$33),{1;2;3;4;5})),"")</f>
        <v>#VALUE!</v>
      </c>
      <c r="Q68" s="443" t="e">
        <f ca="1"/>
        <v>#VALUE!</v>
      </c>
      <c r="R68" s="443" t="e">
        <f ca="1"/>
        <v>#VALUE!</v>
      </c>
      <c r="S68" s="444" t="e">
        <f ca="1"/>
        <v>#VALUE!</v>
      </c>
      <c r="T68" s="445" t="e">
        <f ca="1"/>
        <v>#VALUE!</v>
      </c>
      <c r="U68" s="446" t="e">
        <f t="shared" ca="1" si="4"/>
        <v>#VALUE!</v>
      </c>
      <c r="V68" s="447" t="e">
        <f t="shared" ca="1" si="0"/>
        <v>#VALUE!</v>
      </c>
      <c r="W68" s="446" t="e">
        <f t="shared" ca="1" si="1"/>
        <v>#VALUE!</v>
      </c>
      <c r="X68" s="448" t="e">
        <f t="shared" ca="1" si="2"/>
        <v>#VALUE!</v>
      </c>
      <c r="Y68" s="447" t="e">
        <f t="shared" ca="1" si="3"/>
        <v>#VALUE!</v>
      </c>
      <c r="Z68" s="79"/>
    </row>
    <row r="69" spans="1:26" customFormat="1" ht="15">
      <c r="A69" s="231"/>
      <c r="B69" s="288">
        <v>31</v>
      </c>
      <c r="C69" s="260" t="s">
        <v>119</v>
      </c>
      <c r="D69" s="261">
        <v>1</v>
      </c>
      <c r="E69" s="252"/>
      <c r="F69" s="237">
        <v>0.4</v>
      </c>
      <c r="G69" s="456">
        <v>100</v>
      </c>
      <c r="H69" s="398">
        <v>55</v>
      </c>
      <c r="I69" s="417" t="str">
        <f ca="1"/>
        <v>0,000128821669504142</v>
      </c>
      <c r="J69" s="417" t="str">
        <f ca="1"/>
        <v>0,000457194794886127</v>
      </c>
      <c r="K69" s="426" t="str">
        <f ca="1"/>
        <v>0,281765389599913</v>
      </c>
      <c r="L69" s="426" t="str">
        <f ca="1"/>
        <v>0,281765389599913</v>
      </c>
      <c r="M69" s="426" t="str">
        <f ca="1"/>
        <v>-0,000108385680941558</v>
      </c>
      <c r="N69" s="426" t="str">
        <f ca="1"/>
        <v>GAZDEFRANCE_MMR.EUR.SU</v>
      </c>
      <c r="O69" s="465" t="str">
        <f ca="1"/>
        <v/>
      </c>
      <c r="P69" s="442" t="e" cm="1">
        <f t="array" aca="1" ref="P69:T69" ca="1">IF(AND($Q$12,B93&lt;=$C$17,C93&lt;&gt;""),TRANSPOSE(INDEX(GetCDS(C93,$C$6,G93/10000,F93,D93,$C$13,$C$14,$C$15,$C$8,,,TRUE,TRUE,FALSE,$C$29:$C$31,$C$33),{1;2;3;4;5})),"")</f>
        <v>#VALUE!</v>
      </c>
      <c r="Q69" s="443" t="e">
        <f ca="1"/>
        <v>#VALUE!</v>
      </c>
      <c r="R69" s="443" t="e">
        <f ca="1"/>
        <v>#VALUE!</v>
      </c>
      <c r="S69" s="444" t="e">
        <f ca="1"/>
        <v>#VALUE!</v>
      </c>
      <c r="T69" s="445" t="e">
        <f ca="1"/>
        <v>#VALUE!</v>
      </c>
      <c r="U69" s="446" t="e">
        <f t="shared" ca="1" si="4"/>
        <v>#VALUE!</v>
      </c>
      <c r="V69" s="447" t="e">
        <f t="shared" ca="1" si="0"/>
        <v>#VALUE!</v>
      </c>
      <c r="W69" s="446" t="e">
        <f t="shared" ca="1" si="1"/>
        <v>#VALUE!</v>
      </c>
      <c r="X69" s="448" t="e">
        <f t="shared" ca="1" si="2"/>
        <v>#VALUE!</v>
      </c>
      <c r="Y69" s="447" t="e">
        <f t="shared" ca="1" si="3"/>
        <v>#VALUE!</v>
      </c>
      <c r="Z69" s="79"/>
    </row>
    <row r="70" spans="1:26" customFormat="1" ht="15">
      <c r="A70" s="231"/>
      <c r="B70" s="288">
        <v>32</v>
      </c>
      <c r="C70" s="260" t="s">
        <v>120</v>
      </c>
      <c r="D70" s="261">
        <v>1</v>
      </c>
      <c r="E70" s="252"/>
      <c r="F70" s="237">
        <v>0.4</v>
      </c>
      <c r="G70" s="456">
        <v>100</v>
      </c>
      <c r="H70" s="398">
        <v>56</v>
      </c>
      <c r="I70" s="417" t="str">
        <f ca="1"/>
        <v>0,000154079990203115</v>
      </c>
      <c r="J70" s="417" t="str">
        <f ca="1"/>
        <v>0,00045349660620922</v>
      </c>
      <c r="K70" s="426" t="str">
        <f ca="1"/>
        <v>0,339759963125348</v>
      </c>
      <c r="L70" s="426" t="str">
        <f ca="1"/>
        <v>0,339759963125348</v>
      </c>
      <c r="M70" s="426" t="str">
        <f ca="1"/>
        <v>-0,00016727621619379</v>
      </c>
      <c r="N70" s="426" t="str">
        <f ca="1"/>
        <v>GENERALI_MMR.EUR.SU</v>
      </c>
      <c r="O70" s="465" t="str">
        <f ca="1"/>
        <v/>
      </c>
      <c r="P70" s="442" t="e" cm="1">
        <f t="array" aca="1" ref="P70:T70" ca="1">IF(AND($Q$12,B94&lt;=$C$17,C94&lt;&gt;""),TRANSPOSE(INDEX(GetCDS(C94,$C$6,G94/10000,F94,D94,$C$13,$C$14,$C$15,$C$8,,,TRUE,TRUE,FALSE,$C$29:$C$31,$C$33),{1;2;3;4;5})),"")</f>
        <v>#VALUE!</v>
      </c>
      <c r="Q70" s="443" t="e">
        <f ca="1"/>
        <v>#VALUE!</v>
      </c>
      <c r="R70" s="443" t="e">
        <f ca="1"/>
        <v>#VALUE!</v>
      </c>
      <c r="S70" s="444" t="e">
        <f ca="1"/>
        <v>#VALUE!</v>
      </c>
      <c r="T70" s="445" t="e">
        <f ca="1"/>
        <v>#VALUE!</v>
      </c>
      <c r="U70" s="446" t="e">
        <f t="shared" ca="1" si="4"/>
        <v>#VALUE!</v>
      </c>
      <c r="V70" s="447" t="e">
        <f t="shared" ca="1" si="0"/>
        <v>#VALUE!</v>
      </c>
      <c r="W70" s="446" t="e">
        <f t="shared" ca="1" si="1"/>
        <v>#VALUE!</v>
      </c>
      <c r="X70" s="448" t="e">
        <f t="shared" ca="1" si="2"/>
        <v>#VALUE!</v>
      </c>
      <c r="Y70" s="447" t="e">
        <f t="shared" ca="1" si="3"/>
        <v>#VALUE!</v>
      </c>
      <c r="Z70" s="79"/>
    </row>
    <row r="71" spans="1:26" customFormat="1" ht="15">
      <c r="A71" s="231"/>
      <c r="B71" s="288">
        <v>33</v>
      </c>
      <c r="C71" s="260" t="s">
        <v>121</v>
      </c>
      <c r="D71" s="261">
        <v>1</v>
      </c>
      <c r="E71" s="252"/>
      <c r="F71" s="237">
        <v>0.4</v>
      </c>
      <c r="G71" s="456">
        <v>100</v>
      </c>
      <c r="H71" s="398">
        <v>57</v>
      </c>
      <c r="I71" s="417" t="str">
        <f ca="1"/>
        <v>0,000193395527141815</v>
      </c>
      <c r="J71" s="417" t="str">
        <f ca="1"/>
        <v>0,000444573384637832</v>
      </c>
      <c r="K71" s="426" t="str">
        <f ca="1"/>
        <v>0,435013731870978</v>
      </c>
      <c r="L71" s="426" t="str">
        <f ca="1"/>
        <v>0,435013731870978</v>
      </c>
      <c r="M71" s="426" t="str">
        <f ca="1"/>
        <v>-0,000293212228659389</v>
      </c>
      <c r="N71" s="426" t="str">
        <f ca="1"/>
        <v>GKN HOLDINGS  PLC_MMR.EUR.SU</v>
      </c>
      <c r="O71" s="465" t="str">
        <f ca="1"/>
        <v/>
      </c>
      <c r="P71" s="442" t="e" cm="1">
        <f t="array" aca="1" ref="P71:T71" ca="1">IF(AND($Q$12,B95&lt;=$C$17,C95&lt;&gt;""),TRANSPOSE(INDEX(GetCDS(C95,$C$6,G95/10000,F95,D95,$C$13,$C$14,$C$15,$C$8,,,TRUE,TRUE,FALSE,$C$29:$C$31,$C$33),{1;2;3;4;5})),"")</f>
        <v>#VALUE!</v>
      </c>
      <c r="Q71" s="443" t="e">
        <f ca="1"/>
        <v>#VALUE!</v>
      </c>
      <c r="R71" s="443" t="e">
        <f ca="1"/>
        <v>#VALUE!</v>
      </c>
      <c r="S71" s="444" t="e">
        <f ca="1"/>
        <v>#VALUE!</v>
      </c>
      <c r="T71" s="445" t="e">
        <f ca="1"/>
        <v>#VALUE!</v>
      </c>
      <c r="U71" s="446" t="e">
        <f t="shared" ca="1" si="4"/>
        <v>#VALUE!</v>
      </c>
      <c r="V71" s="447" t="e">
        <f t="shared" ca="1" si="0"/>
        <v>#VALUE!</v>
      </c>
      <c r="W71" s="446" t="e">
        <f t="shared" ca="1" si="1"/>
        <v>#VALUE!</v>
      </c>
      <c r="X71" s="448" t="e">
        <f t="shared" ca="1" si="2"/>
        <v>#VALUE!</v>
      </c>
      <c r="Y71" s="447" t="e">
        <f t="shared" ca="1" si="3"/>
        <v>#VALUE!</v>
      </c>
      <c r="Z71" s="79"/>
    </row>
    <row r="72" spans="1:26" customFormat="1" ht="15">
      <c r="A72" s="231"/>
      <c r="B72" s="288">
        <v>34</v>
      </c>
      <c r="C72" s="260" t="s">
        <v>122</v>
      </c>
      <c r="D72" s="261">
        <v>1</v>
      </c>
      <c r="E72" s="252"/>
      <c r="F72" s="237">
        <v>0.4</v>
      </c>
      <c r="G72" s="456">
        <v>100</v>
      </c>
      <c r="H72" s="398">
        <v>58</v>
      </c>
      <c r="I72" s="417" t="str">
        <f ca="1"/>
        <v>0,000200343190682339</v>
      </c>
      <c r="J72" s="417" t="str">
        <f ca="1"/>
        <v>0,000442773412903438</v>
      </c>
      <c r="K72" s="426" t="str">
        <f ca="1"/>
        <v>0,452473398004208</v>
      </c>
      <c r="L72" s="426" t="str">
        <f ca="1"/>
        <v>0,452473398004208</v>
      </c>
      <c r="M72" s="426" t="str">
        <f ca="1"/>
        <v>-0,000318421913327783</v>
      </c>
      <c r="N72" s="426" t="str">
        <f ca="1"/>
        <v>GLENCOREINTAG_MMR.EUR.SU</v>
      </c>
      <c r="O72" s="465" t="str">
        <f ca="1"/>
        <v/>
      </c>
      <c r="P72" s="442" t="e" cm="1">
        <f t="array" aca="1" ref="P72:T72" ca="1">IF(AND($Q$12,B96&lt;=$C$17,C96&lt;&gt;""),TRANSPOSE(INDEX(GetCDS(C96,$C$6,G96/10000,F96,D96,$C$13,$C$14,$C$15,$C$8,,,TRUE,TRUE,FALSE,$C$29:$C$31,$C$33),{1;2;3;4;5})),"")</f>
        <v>#VALUE!</v>
      </c>
      <c r="Q72" s="443" t="e">
        <f ca="1"/>
        <v>#VALUE!</v>
      </c>
      <c r="R72" s="443" t="e">
        <f ca="1"/>
        <v>#VALUE!</v>
      </c>
      <c r="S72" s="444" t="e">
        <f ca="1"/>
        <v>#VALUE!</v>
      </c>
      <c r="T72" s="445" t="e">
        <f ca="1"/>
        <v>#VALUE!</v>
      </c>
      <c r="U72" s="446" t="e">
        <f t="shared" ca="1" si="4"/>
        <v>#VALUE!</v>
      </c>
      <c r="V72" s="447" t="e">
        <f t="shared" ca="1" si="0"/>
        <v>#VALUE!</v>
      </c>
      <c r="W72" s="446" t="e">
        <f t="shared" ca="1" si="1"/>
        <v>#VALUE!</v>
      </c>
      <c r="X72" s="448" t="e">
        <f t="shared" ca="1" si="2"/>
        <v>#VALUE!</v>
      </c>
      <c r="Y72" s="447" t="e">
        <f t="shared" ca="1" si="3"/>
        <v>#VALUE!</v>
      </c>
      <c r="Z72" s="79"/>
    </row>
    <row r="73" spans="1:26" customFormat="1" ht="15">
      <c r="A73" s="231"/>
      <c r="B73" s="288">
        <v>35</v>
      </c>
      <c r="C73" s="260" t="s">
        <v>123</v>
      </c>
      <c r="D73" s="261">
        <v>1</v>
      </c>
      <c r="E73" s="252"/>
      <c r="F73" s="237">
        <v>0.4</v>
      </c>
      <c r="G73" s="456">
        <v>100</v>
      </c>
      <c r="H73" s="398">
        <v>59</v>
      </c>
      <c r="I73" s="417" t="str">
        <f ca="1"/>
        <v>0,000160579415775186</v>
      </c>
      <c r="J73" s="417" t="str">
        <f ca="1"/>
        <v>0,000451950474508988</v>
      </c>
      <c r="K73" s="426" t="str">
        <f ca="1"/>
        <v>0,355303124639141</v>
      </c>
      <c r="L73" s="426" t="str">
        <f ca="1"/>
        <v>0,355303124639141</v>
      </c>
      <c r="M73" s="426" t="str">
        <f ca="1"/>
        <v>-0,000187372319197055</v>
      </c>
      <c r="N73" s="426" t="str">
        <f ca="1"/>
        <v>GREATUNIVERSALSTORES_MMR.EUR.SU</v>
      </c>
      <c r="O73" s="465" t="str">
        <f ca="1"/>
        <v/>
      </c>
      <c r="P73" s="442" t="e" cm="1">
        <f t="array" aca="1" ref="P73:T73" ca="1">IF(AND($Q$12,B97&lt;=$C$17,C97&lt;&gt;""),TRANSPOSE(INDEX(GetCDS(C97,$C$6,G97/10000,F97,D97,$C$13,$C$14,$C$15,$C$8,,,TRUE,TRUE,FALSE,$C$29:$C$31,$C$33),{1;2;3;4;5})),"")</f>
        <v>#VALUE!</v>
      </c>
      <c r="Q73" s="443" t="e">
        <f ca="1"/>
        <v>#VALUE!</v>
      </c>
      <c r="R73" s="443" t="e">
        <f ca="1"/>
        <v>#VALUE!</v>
      </c>
      <c r="S73" s="444" t="e">
        <f ca="1"/>
        <v>#VALUE!</v>
      </c>
      <c r="T73" s="445" t="e">
        <f ca="1"/>
        <v>#VALUE!</v>
      </c>
      <c r="U73" s="446" t="e">
        <f t="shared" ca="1" si="4"/>
        <v>#VALUE!</v>
      </c>
      <c r="V73" s="447" t="e">
        <f t="shared" ca="1" si="0"/>
        <v>#VALUE!</v>
      </c>
      <c r="W73" s="446" t="e">
        <f t="shared" ca="1" si="1"/>
        <v>#VALUE!</v>
      </c>
      <c r="X73" s="448" t="e">
        <f t="shared" ca="1" si="2"/>
        <v>#VALUE!</v>
      </c>
      <c r="Y73" s="447" t="e">
        <f t="shared" ca="1" si="3"/>
        <v>#VALUE!</v>
      </c>
      <c r="Z73" s="79"/>
    </row>
    <row r="74" spans="1:26" customFormat="1" ht="15">
      <c r="A74" s="231"/>
      <c r="B74" s="288">
        <v>36</v>
      </c>
      <c r="C74" s="260" t="s">
        <v>124</v>
      </c>
      <c r="D74" s="261">
        <v>1</v>
      </c>
      <c r="E74" s="252"/>
      <c r="F74" s="237">
        <v>0.4</v>
      </c>
      <c r="G74" s="456">
        <v>100</v>
      </c>
      <c r="H74" s="398">
        <v>60</v>
      </c>
      <c r="I74" s="417" t="str">
        <f ca="1"/>
        <v>0,00015214287700962</v>
      </c>
      <c r="J74" s="417" t="str">
        <f ca="1"/>
        <v>0,000453879124153848</v>
      </c>
      <c r="K74" s="426" t="str">
        <f ca="1"/>
        <v>0,335205716485099</v>
      </c>
      <c r="L74" s="426" t="str">
        <f ca="1"/>
        <v>0,335205716485099</v>
      </c>
      <c r="M74" s="426" t="str">
        <f ca="1"/>
        <v>-0,000161848180978886</v>
      </c>
      <c r="N74" s="426" t="str">
        <f ca="1"/>
        <v>HANNOVERRUECK_MMR.EUR.SU</v>
      </c>
      <c r="O74" s="465" t="str">
        <f ca="1"/>
        <v/>
      </c>
      <c r="P74" s="442" t="e" cm="1">
        <f t="array" aca="1" ref="P74:T74" ca="1">IF(AND($Q$12,B98&lt;=$C$17,C98&lt;&gt;""),TRANSPOSE(INDEX(GetCDS(C98,$C$6,G98/10000,F98,D98,$C$13,$C$14,$C$15,$C$8,,,TRUE,TRUE,FALSE,$C$29:$C$31,$C$33),{1;2;3;4;5})),"")</f>
        <v>#VALUE!</v>
      </c>
      <c r="Q74" s="443" t="e">
        <f ca="1"/>
        <v>#VALUE!</v>
      </c>
      <c r="R74" s="443" t="e">
        <f ca="1"/>
        <v>#VALUE!</v>
      </c>
      <c r="S74" s="444" t="e">
        <f ca="1"/>
        <v>#VALUE!</v>
      </c>
      <c r="T74" s="445" t="e">
        <f ca="1"/>
        <v>#VALUE!</v>
      </c>
      <c r="U74" s="446" t="e">
        <f t="shared" ca="1" si="4"/>
        <v>#VALUE!</v>
      </c>
      <c r="V74" s="447" t="e">
        <f t="shared" ca="1" si="0"/>
        <v>#VALUE!</v>
      </c>
      <c r="W74" s="446" t="e">
        <f t="shared" ca="1" si="1"/>
        <v>#VALUE!</v>
      </c>
      <c r="X74" s="448" t="e">
        <f t="shared" ca="1" si="2"/>
        <v>#VALUE!</v>
      </c>
      <c r="Y74" s="447" t="e">
        <f t="shared" ca="1" si="3"/>
        <v>#VALUE!</v>
      </c>
      <c r="Z74" s="79"/>
    </row>
    <row r="75" spans="1:26" customFormat="1" ht="15">
      <c r="A75" s="231"/>
      <c r="B75" s="288">
        <v>37</v>
      </c>
      <c r="C75" s="260" t="s">
        <v>125</v>
      </c>
      <c r="D75" s="261">
        <v>1</v>
      </c>
      <c r="E75" s="252"/>
      <c r="F75" s="237">
        <v>0.4</v>
      </c>
      <c r="G75" s="456">
        <v>100</v>
      </c>
      <c r="H75" s="398">
        <v>61</v>
      </c>
      <c r="I75" s="417" t="str">
        <f ca="1"/>
        <v>0,00018186675207632</v>
      </c>
      <c r="J75" s="417" t="str">
        <f ca="1"/>
        <v>0,000447523377709401</v>
      </c>
      <c r="K75" s="426" t="str">
        <f ca="1"/>
        <v>0,40638492006202</v>
      </c>
      <c r="L75" s="426" t="str">
        <f ca="1"/>
        <v>0,40638492006202</v>
      </c>
      <c r="M75" s="426" t="str">
        <f ca="1"/>
        <v>-0,000252796305564806</v>
      </c>
      <c r="N75" s="426" t="str">
        <f ca="1"/>
        <v>HELLENIC TELCOM_MMR.EUR.SU</v>
      </c>
      <c r="O75" s="465" t="str">
        <f ca="1"/>
        <v/>
      </c>
      <c r="P75" s="442" t="e" cm="1">
        <f t="array" aca="1" ref="P75:T75" ca="1">IF(AND($Q$12,B99&lt;=$C$17,C99&lt;&gt;""),TRANSPOSE(INDEX(GetCDS(C99,$C$6,G99/10000,F99,D99,$C$13,$C$14,$C$15,$C$8,,,TRUE,TRUE,FALSE,$C$29:$C$31,$C$33),{1;2;3;4;5})),"")</f>
        <v>#VALUE!</v>
      </c>
      <c r="Q75" s="443" t="e">
        <f ca="1"/>
        <v>#VALUE!</v>
      </c>
      <c r="R75" s="443" t="e">
        <f ca="1"/>
        <v>#VALUE!</v>
      </c>
      <c r="S75" s="444" t="e">
        <f ca="1"/>
        <v>#VALUE!</v>
      </c>
      <c r="T75" s="445" t="e">
        <f ca="1"/>
        <v>#VALUE!</v>
      </c>
      <c r="U75" s="446" t="e">
        <f t="shared" ca="1" si="4"/>
        <v>#VALUE!</v>
      </c>
      <c r="V75" s="447" t="e">
        <f t="shared" ca="1" si="0"/>
        <v>#VALUE!</v>
      </c>
      <c r="W75" s="446" t="e">
        <f t="shared" ca="1" si="1"/>
        <v>#VALUE!</v>
      </c>
      <c r="X75" s="448" t="e">
        <f t="shared" ca="1" si="2"/>
        <v>#VALUE!</v>
      </c>
      <c r="Y75" s="447" t="e">
        <f t="shared" ca="1" si="3"/>
        <v>#VALUE!</v>
      </c>
      <c r="Z75" s="79"/>
    </row>
    <row r="76" spans="1:26" customFormat="1" ht="15">
      <c r="A76" s="231"/>
      <c r="B76" s="288">
        <v>38</v>
      </c>
      <c r="C76" s="260" t="s">
        <v>126</v>
      </c>
      <c r="D76" s="261">
        <v>1</v>
      </c>
      <c r="E76" s="252"/>
      <c r="F76" s="237">
        <v>0.4</v>
      </c>
      <c r="G76" s="456">
        <v>100</v>
      </c>
      <c r="H76" s="398">
        <v>62</v>
      </c>
      <c r="I76" s="417" t="str">
        <f ca="1"/>
        <v>0,00013627343070628</v>
      </c>
      <c r="J76" s="417" t="str">
        <f ca="1"/>
        <v>0,000456061722034133</v>
      </c>
      <c r="K76" s="426" t="str">
        <f ca="1"/>
        <v>0,298804797952504</v>
      </c>
      <c r="L76" s="426" t="str">
        <f ca="1"/>
        <v>0,298804797952504</v>
      </c>
      <c r="M76" s="426" t="str">
        <f ca="1"/>
        <v>-0,000124960874151436</v>
      </c>
      <c r="N76" s="426" t="str">
        <f ca="1"/>
        <v>HENKELKG_MMR.EUR.SU</v>
      </c>
      <c r="O76" s="465" t="str">
        <f ca="1"/>
        <v/>
      </c>
      <c r="P76" s="442" t="e" cm="1">
        <f t="array" aca="1" ref="P76:T76" ca="1">IF(AND($Q$12,B100&lt;=$C$17,C100&lt;&gt;""),TRANSPOSE(INDEX(GetCDS(C100,$C$6,G100/10000,F100,D100,$C$13,$C$14,$C$15,$C$8,,,TRUE,TRUE,FALSE,$C$29:$C$31,$C$33),{1;2;3;4;5})),"")</f>
        <v>#VALUE!</v>
      </c>
      <c r="Q76" s="443" t="e">
        <f ca="1"/>
        <v>#VALUE!</v>
      </c>
      <c r="R76" s="443" t="e">
        <f ca="1"/>
        <v>#VALUE!</v>
      </c>
      <c r="S76" s="444" t="e">
        <f ca="1"/>
        <v>#VALUE!</v>
      </c>
      <c r="T76" s="445" t="e">
        <f ca="1"/>
        <v>#VALUE!</v>
      </c>
      <c r="U76" s="446" t="e">
        <f t="shared" ca="1" si="4"/>
        <v>#VALUE!</v>
      </c>
      <c r="V76" s="447" t="e">
        <f t="shared" ca="1" si="0"/>
        <v>#VALUE!</v>
      </c>
      <c r="W76" s="446" t="e">
        <f t="shared" ca="1" si="1"/>
        <v>#VALUE!</v>
      </c>
      <c r="X76" s="448" t="e">
        <f t="shared" ca="1" si="2"/>
        <v>#VALUE!</v>
      </c>
      <c r="Y76" s="447" t="e">
        <f t="shared" ca="1" si="3"/>
        <v>#VALUE!</v>
      </c>
      <c r="Z76" s="79"/>
    </row>
    <row r="77" spans="1:26" customFormat="1" ht="15">
      <c r="A77" s="231"/>
      <c r="B77" s="288">
        <v>39</v>
      </c>
      <c r="C77" s="260" t="s">
        <v>127</v>
      </c>
      <c r="D77" s="261">
        <v>1</v>
      </c>
      <c r="E77" s="252"/>
      <c r="F77" s="237">
        <v>0.4</v>
      </c>
      <c r="G77" s="456">
        <v>100</v>
      </c>
      <c r="H77" s="398">
        <v>63</v>
      </c>
      <c r="I77" s="417" t="str">
        <f ca="1"/>
        <v>0,000159861073638545</v>
      </c>
      <c r="J77" s="417" t="str">
        <f ca="1"/>
        <v>0,00045236596016532</v>
      </c>
      <c r="K77" s="426" t="str">
        <f ca="1"/>
        <v>0,353388821696758</v>
      </c>
      <c r="L77" s="426" t="str">
        <f ca="1"/>
        <v>0,353388821696758</v>
      </c>
      <c r="M77" s="426" t="str">
        <f ca="1"/>
        <v>-0,000183743803576419</v>
      </c>
      <c r="N77" s="426" t="str">
        <f ca="1"/>
        <v>IBERDROLA_MMR.EUR.SU</v>
      </c>
      <c r="O77" s="465" t="str">
        <f ca="1"/>
        <v/>
      </c>
      <c r="P77" s="442" t="e" cm="1">
        <f t="array" aca="1" ref="P77:T77" ca="1">IF(AND($Q$12,B101&lt;=$C$17,C101&lt;&gt;""),TRANSPOSE(INDEX(GetCDS(C101,$C$6,G101/10000,F101,D101,$C$13,$C$14,$C$15,$C$8,,,TRUE,TRUE,FALSE,$C$29:$C$31,$C$33),{1;2;3;4;5})),"")</f>
        <v>#VALUE!</v>
      </c>
      <c r="Q77" s="443" t="e">
        <f ca="1"/>
        <v>#VALUE!</v>
      </c>
      <c r="R77" s="443" t="e">
        <f ca="1"/>
        <v>#VALUE!</v>
      </c>
      <c r="S77" s="444" t="e">
        <f ca="1"/>
        <v>#VALUE!</v>
      </c>
      <c r="T77" s="445" t="e">
        <f ca="1"/>
        <v>#VALUE!</v>
      </c>
      <c r="U77" s="446" t="e">
        <f t="shared" ca="1" si="4"/>
        <v>#VALUE!</v>
      </c>
      <c r="V77" s="447" t="e">
        <f t="shared" ca="1" si="0"/>
        <v>#VALUE!</v>
      </c>
      <c r="W77" s="446" t="e">
        <f t="shared" ca="1" si="1"/>
        <v>#VALUE!</v>
      </c>
      <c r="X77" s="448" t="e">
        <f t="shared" ca="1" si="2"/>
        <v>#VALUE!</v>
      </c>
      <c r="Y77" s="447" t="e">
        <f t="shared" ca="1" si="3"/>
        <v>#VALUE!</v>
      </c>
      <c r="Z77" s="79"/>
    </row>
    <row r="78" spans="1:26" customFormat="1" ht="15">
      <c r="A78" s="231"/>
      <c r="B78" s="288">
        <v>40</v>
      </c>
      <c r="C78" s="260" t="s">
        <v>128</v>
      </c>
      <c r="D78" s="261">
        <v>1</v>
      </c>
      <c r="E78" s="252"/>
      <c r="F78" s="237">
        <v>0.4</v>
      </c>
      <c r="G78" s="456">
        <v>100</v>
      </c>
      <c r="H78" s="398">
        <v>64</v>
      </c>
      <c r="I78" s="417" t="str">
        <f ca="1"/>
        <v>0,000103280761837876</v>
      </c>
      <c r="J78" s="417" t="str">
        <f ca="1"/>
        <v>0,000460201215548203</v>
      </c>
      <c r="K78" s="426" t="str">
        <f ca="1"/>
        <v>0,224425226071699</v>
      </c>
      <c r="L78" s="426" t="str">
        <f ca="1"/>
        <v>0,224425226071699</v>
      </c>
      <c r="M78" s="426" t="str">
        <f ca="1"/>
        <v>-6,22586551464855E-05</v>
      </c>
      <c r="N78" s="426" t="str">
        <f ca="1"/>
        <v>ICI_MMR.EUR.SU</v>
      </c>
      <c r="O78" s="465" t="str">
        <f ca="1"/>
        <v/>
      </c>
      <c r="P78" s="442" t="e" cm="1">
        <f t="array" aca="1" ref="P78:T78" ca="1">IF(AND($Q$12,B102&lt;=$C$17,C102&lt;&gt;""),TRANSPOSE(INDEX(GetCDS(C102,$C$6,G102/10000,F102,D102,$C$13,$C$14,$C$15,$C$8,,,TRUE,TRUE,FALSE,$C$29:$C$31,$C$33),{1;2;3;4;5})),"")</f>
        <v>#VALUE!</v>
      </c>
      <c r="Q78" s="443" t="e">
        <f ca="1"/>
        <v>#VALUE!</v>
      </c>
      <c r="R78" s="443" t="e">
        <f ca="1"/>
        <v>#VALUE!</v>
      </c>
      <c r="S78" s="444" t="e">
        <f ca="1"/>
        <v>#VALUE!</v>
      </c>
      <c r="T78" s="445" t="e">
        <f ca="1"/>
        <v>#VALUE!</v>
      </c>
      <c r="U78" s="446" t="e">
        <f t="shared" ca="1" si="4"/>
        <v>#VALUE!</v>
      </c>
      <c r="V78" s="447" t="e">
        <f t="shared" ca="1" si="0"/>
        <v>#VALUE!</v>
      </c>
      <c r="W78" s="446" t="e">
        <f t="shared" ca="1" si="1"/>
        <v>#VALUE!</v>
      </c>
      <c r="X78" s="448" t="e">
        <f t="shared" ca="1" si="2"/>
        <v>#VALUE!</v>
      </c>
      <c r="Y78" s="447" t="e">
        <f t="shared" ca="1" si="3"/>
        <v>#VALUE!</v>
      </c>
      <c r="Z78" s="79"/>
    </row>
    <row r="79" spans="1:26" customFormat="1" ht="15">
      <c r="A79" s="231"/>
      <c r="B79" s="288">
        <v>41</v>
      </c>
      <c r="C79" s="260" t="s">
        <v>129</v>
      </c>
      <c r="D79" s="261">
        <v>1</v>
      </c>
      <c r="E79" s="252"/>
      <c r="F79" s="237">
        <v>0.4</v>
      </c>
      <c r="G79" s="456">
        <v>100</v>
      </c>
      <c r="H79" s="398">
        <v>65</v>
      </c>
      <c r="I79" s="417" t="str">
        <f ca="1"/>
        <v>0,000152301985838421</v>
      </c>
      <c r="J79" s="417" t="str">
        <f ca="1"/>
        <v>0,000453882388716334</v>
      </c>
      <c r="K79" s="426" t="str">
        <f ca="1"/>
        <v>0,335553856295593</v>
      </c>
      <c r="L79" s="426" t="str">
        <f ca="1"/>
        <v>0,335553856295593</v>
      </c>
      <c r="M79" s="426" t="str">
        <f ca="1"/>
        <v>-0,000162221813226315</v>
      </c>
      <c r="N79" s="426" t="str">
        <f ca="1"/>
        <v>INTESA_MMR.EUR.SU</v>
      </c>
      <c r="O79" s="465" t="str">
        <f ca="1"/>
        <v/>
      </c>
      <c r="P79" s="442" t="e" cm="1">
        <f t="array" aca="1" ref="P79:T79" ca="1">IF(AND($Q$12,B103&lt;=$C$17,C103&lt;&gt;""),TRANSPOSE(INDEX(GetCDS(C103,$C$6,G103/10000,F103,D103,$C$13,$C$14,$C$15,$C$8,,,TRUE,TRUE,FALSE,$C$29:$C$31,$C$33),{1;2;3;4;5})),"")</f>
        <v>#VALUE!</v>
      </c>
      <c r="Q79" s="443" t="e">
        <f ca="1"/>
        <v>#VALUE!</v>
      </c>
      <c r="R79" s="443" t="e">
        <f ca="1"/>
        <v>#VALUE!</v>
      </c>
      <c r="S79" s="444" t="e">
        <f ca="1"/>
        <v>#VALUE!</v>
      </c>
      <c r="T79" s="445" t="e">
        <f ca="1"/>
        <v>#VALUE!</v>
      </c>
      <c r="U79" s="446" t="e">
        <f t="shared" ca="1" si="4"/>
        <v>#VALUE!</v>
      </c>
      <c r="V79" s="447" t="e">
        <f t="shared" ca="1" si="0"/>
        <v>#VALUE!</v>
      </c>
      <c r="W79" s="446" t="e">
        <f t="shared" ca="1" si="1"/>
        <v>#VALUE!</v>
      </c>
      <c r="X79" s="448" t="e">
        <f t="shared" ca="1" si="2"/>
        <v>#VALUE!</v>
      </c>
      <c r="Y79" s="447" t="e">
        <f t="shared" ca="1" si="3"/>
        <v>#VALUE!</v>
      </c>
      <c r="Z79" s="79"/>
    </row>
    <row r="80" spans="1:26" customFormat="1" ht="15">
      <c r="A80" s="231"/>
      <c r="B80" s="288">
        <v>42</v>
      </c>
      <c r="C80" s="260" t="s">
        <v>130</v>
      </c>
      <c r="D80" s="261">
        <v>1</v>
      </c>
      <c r="E80" s="252"/>
      <c r="F80" s="237">
        <v>0.4</v>
      </c>
      <c r="G80" s="456">
        <v>100</v>
      </c>
      <c r="H80" s="398">
        <v>66</v>
      </c>
      <c r="I80" s="417" t="str">
        <f ca="1"/>
        <v>0,000248518273306364</v>
      </c>
      <c r="J80" s="417" t="str">
        <f ca="1"/>
        <v>0,000441221574466262</v>
      </c>
      <c r="K80" s="426" t="str">
        <f ca="1"/>
        <v>0,563250501988694</v>
      </c>
      <c r="L80" s="426" t="str">
        <f ca="1"/>
        <v>0,563250501988694</v>
      </c>
      <c r="M80" s="426" t="str">
        <f ca="1"/>
        <v>-0,000494524700519095</v>
      </c>
      <c r="N80" s="426" t="str">
        <f ca="1"/>
        <v>KINGFISHER_MMR.EUR.SU</v>
      </c>
      <c r="O80" s="465" t="str">
        <f ca="1"/>
        <v/>
      </c>
      <c r="P80" s="442" t="e" cm="1">
        <f t="array" aca="1" ref="P80:T80" ca="1">IF(AND($Q$12,B104&lt;=$C$17,C104&lt;&gt;""),TRANSPOSE(INDEX(GetCDS(C104,$C$6,G104/10000,F104,D104,$C$13,$C$14,$C$15,$C$8,,,TRUE,TRUE,FALSE,$C$29:$C$31,$C$33),{1;2;3;4;5})),"")</f>
        <v>#VALUE!</v>
      </c>
      <c r="Q80" s="443" t="e">
        <f ca="1"/>
        <v>#VALUE!</v>
      </c>
      <c r="R80" s="443" t="e">
        <f ca="1"/>
        <v>#VALUE!</v>
      </c>
      <c r="S80" s="444" t="e">
        <f ca="1"/>
        <v>#VALUE!</v>
      </c>
      <c r="T80" s="445" t="e">
        <f ca="1"/>
        <v>#VALUE!</v>
      </c>
      <c r="U80" s="446" t="e">
        <f t="shared" ref="U80:U143" ca="1" si="5">IF($Q$12,IF(P80="","",$Q$13*D104/$C$18),"")</f>
        <v>#VALUE!</v>
      </c>
      <c r="V80" s="447" t="e">
        <f t="shared" ref="V80:V143" ca="1" si="6">IF($Q$12,IF(U80="","",U80*($V$10-S80)*T80),"")</f>
        <v>#VALUE!</v>
      </c>
      <c r="W80" s="446" t="e">
        <f t="shared" ref="W80:W143" ca="1" si="7">IF($Q$12,IF(OR(P80="",L80=""),"",L80/($C$20-$C$19)),"")</f>
        <v>#VALUE!</v>
      </c>
      <c r="X80" s="448" t="e">
        <f t="shared" ref="X80:X143" ca="1" si="8">IF($Q$12,IF(S80="","",S80*$Y$10),"")</f>
        <v>#VALUE!</v>
      </c>
      <c r="Y80" s="447" t="e">
        <f t="shared" ref="Y80:Y143" ca="1" si="9">IF($Q$12,IF(W80="","",W80*(X80-S80)*T80),"")</f>
        <v>#VALUE!</v>
      </c>
      <c r="Z80" s="79"/>
    </row>
    <row r="81" spans="1:26" customFormat="1" ht="15">
      <c r="A81" s="231"/>
      <c r="B81" s="288">
        <v>43</v>
      </c>
      <c r="C81" s="260" t="s">
        <v>131</v>
      </c>
      <c r="D81" s="261">
        <v>1</v>
      </c>
      <c r="E81" s="252"/>
      <c r="F81" s="237">
        <v>0.4</v>
      </c>
      <c r="G81" s="456">
        <v>100</v>
      </c>
      <c r="H81" s="398">
        <v>67</v>
      </c>
      <c r="I81" s="417" t="str">
        <f ca="1"/>
        <v>0,000170503023411861</v>
      </c>
      <c r="J81" s="417" t="str">
        <f ca="1"/>
        <v>0,000450119365778652</v>
      </c>
      <c r="K81" s="426" t="str">
        <f ca="1"/>
        <v>0,378795129413975</v>
      </c>
      <c r="L81" s="426" t="str">
        <f ca="1"/>
        <v>0,378795129413975</v>
      </c>
      <c r="M81" s="426" t="str">
        <f ca="1"/>
        <v>-0,000215883775618142</v>
      </c>
      <c r="N81" s="426" t="str">
        <f ca="1"/>
        <v>KPN_MMR.EUR.SU</v>
      </c>
      <c r="O81" s="465" t="str">
        <f ca="1"/>
        <v/>
      </c>
      <c r="P81" s="442" t="e" cm="1">
        <f t="array" aca="1" ref="P81:T81" ca="1">IF(AND($Q$12,B105&lt;=$C$17,C105&lt;&gt;""),TRANSPOSE(INDEX(GetCDS(C105,$C$6,G105/10000,F105,D105,$C$13,$C$14,$C$15,$C$8,,,TRUE,TRUE,FALSE,$C$29:$C$31,$C$33),{1;2;3;4;5})),"")</f>
        <v>#VALUE!</v>
      </c>
      <c r="Q81" s="443" t="e">
        <f ca="1"/>
        <v>#VALUE!</v>
      </c>
      <c r="R81" s="443" t="e">
        <f ca="1"/>
        <v>#VALUE!</v>
      </c>
      <c r="S81" s="444" t="e">
        <f ca="1"/>
        <v>#VALUE!</v>
      </c>
      <c r="T81" s="445" t="e">
        <f ca="1"/>
        <v>#VALUE!</v>
      </c>
      <c r="U81" s="446" t="e">
        <f t="shared" ca="1" si="5"/>
        <v>#VALUE!</v>
      </c>
      <c r="V81" s="447" t="e">
        <f t="shared" ca="1" si="6"/>
        <v>#VALUE!</v>
      </c>
      <c r="W81" s="446" t="e">
        <f t="shared" ca="1" si="7"/>
        <v>#VALUE!</v>
      </c>
      <c r="X81" s="448" t="e">
        <f t="shared" ca="1" si="8"/>
        <v>#VALUE!</v>
      </c>
      <c r="Y81" s="447" t="e">
        <f t="shared" ca="1" si="9"/>
        <v>#VALUE!</v>
      </c>
      <c r="Z81" s="79"/>
    </row>
    <row r="82" spans="1:26" customFormat="1" ht="15">
      <c r="A82" s="231"/>
      <c r="B82" s="288">
        <v>44</v>
      </c>
      <c r="C82" s="260" t="s">
        <v>132</v>
      </c>
      <c r="D82" s="261">
        <v>1</v>
      </c>
      <c r="E82" s="252"/>
      <c r="F82" s="237">
        <v>0.4</v>
      </c>
      <c r="G82" s="456">
        <v>100</v>
      </c>
      <c r="H82" s="398">
        <v>68</v>
      </c>
      <c r="I82" s="417" t="str">
        <f ca="1"/>
        <v>0,000187523733001282</v>
      </c>
      <c r="J82" s="417" t="str">
        <f ca="1"/>
        <v>0,00044602900985881</v>
      </c>
      <c r="K82" s="426" t="str">
        <f ca="1"/>
        <v>0,420429453816563</v>
      </c>
      <c r="L82" s="426" t="str">
        <f ca="1"/>
        <v>0,420429453816563</v>
      </c>
      <c r="M82" s="426" t="str">
        <f ca="1"/>
        <v>-0,000272674497385439</v>
      </c>
      <c r="N82" s="426" t="str">
        <f ca="1"/>
        <v>LAFARGE_MMR.EUR.SU</v>
      </c>
      <c r="O82" s="465" t="str">
        <f ca="1"/>
        <v/>
      </c>
      <c r="P82" s="442" t="e" cm="1">
        <f t="array" aca="1" ref="P82:T82" ca="1">IF(AND($Q$12,B106&lt;=$C$17,C106&lt;&gt;""),TRANSPOSE(INDEX(GetCDS(C106,$C$6,G106/10000,F106,D106,$C$13,$C$14,$C$15,$C$8,,,TRUE,TRUE,FALSE,$C$29:$C$31,$C$33),{1;2;3;4;5})),"")</f>
        <v>#VALUE!</v>
      </c>
      <c r="Q82" s="443" t="e">
        <f ca="1"/>
        <v>#VALUE!</v>
      </c>
      <c r="R82" s="443" t="e">
        <f ca="1"/>
        <v>#VALUE!</v>
      </c>
      <c r="S82" s="444" t="e">
        <f ca="1"/>
        <v>#VALUE!</v>
      </c>
      <c r="T82" s="445" t="e">
        <f ca="1"/>
        <v>#VALUE!</v>
      </c>
      <c r="U82" s="446" t="e">
        <f t="shared" ca="1" si="5"/>
        <v>#VALUE!</v>
      </c>
      <c r="V82" s="447" t="e">
        <f t="shared" ca="1" si="6"/>
        <v>#VALUE!</v>
      </c>
      <c r="W82" s="446" t="e">
        <f t="shared" ca="1" si="7"/>
        <v>#VALUE!</v>
      </c>
      <c r="X82" s="448" t="e">
        <f t="shared" ca="1" si="8"/>
        <v>#VALUE!</v>
      </c>
      <c r="Y82" s="447" t="e">
        <f t="shared" ca="1" si="9"/>
        <v>#VALUE!</v>
      </c>
      <c r="Z82" s="79"/>
    </row>
    <row r="83" spans="1:26" customFormat="1" ht="15">
      <c r="A83" s="231"/>
      <c r="B83" s="288">
        <v>45</v>
      </c>
      <c r="C83" s="260" t="s">
        <v>133</v>
      </c>
      <c r="D83" s="261">
        <v>1</v>
      </c>
      <c r="E83" s="252"/>
      <c r="F83" s="237">
        <v>0.4</v>
      </c>
      <c r="G83" s="456">
        <v>100</v>
      </c>
      <c r="H83" s="398">
        <v>69</v>
      </c>
      <c r="I83" s="417" t="str">
        <f ca="1"/>
        <v>0,000143451153830032</v>
      </c>
      <c r="J83" s="417" t="str">
        <f ca="1"/>
        <v>0,000454932368834436</v>
      </c>
      <c r="K83" s="426" t="str">
        <f ca="1"/>
        <v>0,315324130919861</v>
      </c>
      <c r="L83" s="426" t="str">
        <f ca="1"/>
        <v>0,315324130919861</v>
      </c>
      <c r="M83" s="426" t="str">
        <f ca="1"/>
        <v>-0,000142317401012337</v>
      </c>
      <c r="N83" s="426" t="str">
        <f ca="1"/>
        <v>LINDE_MMR.EUR.SU</v>
      </c>
      <c r="O83" s="465" t="str">
        <f ca="1"/>
        <v/>
      </c>
      <c r="P83" s="442" t="e" cm="1">
        <f t="array" aca="1" ref="P83:T83" ca="1">IF(AND($Q$12,B107&lt;=$C$17,C107&lt;&gt;""),TRANSPOSE(INDEX(GetCDS(C107,$C$6,G107/10000,F107,D107,$C$13,$C$14,$C$15,$C$8,,,TRUE,TRUE,FALSE,$C$29:$C$31,$C$33),{1;2;3;4;5})),"")</f>
        <v>#VALUE!</v>
      </c>
      <c r="Q83" s="443" t="e">
        <f ca="1"/>
        <v>#VALUE!</v>
      </c>
      <c r="R83" s="443" t="e">
        <f ca="1"/>
        <v>#VALUE!</v>
      </c>
      <c r="S83" s="444" t="e">
        <f ca="1"/>
        <v>#VALUE!</v>
      </c>
      <c r="T83" s="445" t="e">
        <f ca="1"/>
        <v>#VALUE!</v>
      </c>
      <c r="U83" s="446" t="e">
        <f t="shared" ca="1" si="5"/>
        <v>#VALUE!</v>
      </c>
      <c r="V83" s="447" t="e">
        <f t="shared" ca="1" si="6"/>
        <v>#VALUE!</v>
      </c>
      <c r="W83" s="446" t="e">
        <f t="shared" ca="1" si="7"/>
        <v>#VALUE!</v>
      </c>
      <c r="X83" s="448" t="e">
        <f t="shared" ca="1" si="8"/>
        <v>#VALUE!</v>
      </c>
      <c r="Y83" s="447" t="e">
        <f t="shared" ca="1" si="9"/>
        <v>#VALUE!</v>
      </c>
      <c r="Z83" s="79"/>
    </row>
    <row r="84" spans="1:26" customFormat="1" ht="15">
      <c r="A84" s="231"/>
      <c r="B84" s="288">
        <v>46</v>
      </c>
      <c r="C84" s="260" t="s">
        <v>134</v>
      </c>
      <c r="D84" s="261">
        <v>1</v>
      </c>
      <c r="E84" s="252"/>
      <c r="F84" s="237">
        <v>0.4</v>
      </c>
      <c r="G84" s="456">
        <v>100</v>
      </c>
      <c r="H84" s="398">
        <v>70</v>
      </c>
      <c r="I84" s="417" t="str">
        <f ca="1"/>
        <v>0,000175150104090771</v>
      </c>
      <c r="J84" s="417" t="str">
        <f ca="1"/>
        <v>0,0004489858350614</v>
      </c>
      <c r="K84" s="426" t="str">
        <f ca="1"/>
        <v>0,390101625515243</v>
      </c>
      <c r="L84" s="426" t="str">
        <f ca="1"/>
        <v>0,390101625515243</v>
      </c>
      <c r="M84" s="426" t="str">
        <f ca="1"/>
        <v>-0,000231218122672061</v>
      </c>
      <c r="N84" s="426" t="str">
        <f ca="1"/>
        <v>LUFTHANSA_MMR.EUR.SU</v>
      </c>
      <c r="O84" s="465" t="str">
        <f ca="1"/>
        <v/>
      </c>
      <c r="P84" s="442" t="e" cm="1">
        <f t="array" aca="1" ref="P84:T84" ca="1">IF(AND($Q$12,B108&lt;=$C$17,C108&lt;&gt;""),TRANSPOSE(INDEX(GetCDS(C108,$C$6,G108/10000,F108,D108,$C$13,$C$14,$C$15,$C$8,,,TRUE,TRUE,FALSE,$C$29:$C$31,$C$33),{1;2;3;4;5})),"")</f>
        <v>#VALUE!</v>
      </c>
      <c r="Q84" s="443" t="e">
        <f ca="1"/>
        <v>#VALUE!</v>
      </c>
      <c r="R84" s="443" t="e">
        <f ca="1"/>
        <v>#VALUE!</v>
      </c>
      <c r="S84" s="444" t="e">
        <f ca="1"/>
        <v>#VALUE!</v>
      </c>
      <c r="T84" s="445" t="e">
        <f ca="1"/>
        <v>#VALUE!</v>
      </c>
      <c r="U84" s="446" t="e">
        <f t="shared" ca="1" si="5"/>
        <v>#VALUE!</v>
      </c>
      <c r="V84" s="447" t="e">
        <f t="shared" ca="1" si="6"/>
        <v>#VALUE!</v>
      </c>
      <c r="W84" s="446" t="e">
        <f t="shared" ca="1" si="7"/>
        <v>#VALUE!</v>
      </c>
      <c r="X84" s="448" t="e">
        <f t="shared" ca="1" si="8"/>
        <v>#VALUE!</v>
      </c>
      <c r="Y84" s="447" t="e">
        <f t="shared" ca="1" si="9"/>
        <v>#VALUE!</v>
      </c>
      <c r="Z84" s="79"/>
    </row>
    <row r="85" spans="1:26" customFormat="1" ht="15">
      <c r="A85" s="231"/>
      <c r="B85" s="288">
        <v>47</v>
      </c>
      <c r="C85" s="260" t="s">
        <v>135</v>
      </c>
      <c r="D85" s="261">
        <v>1</v>
      </c>
      <c r="E85" s="252"/>
      <c r="F85" s="237">
        <v>0.4</v>
      </c>
      <c r="G85" s="456">
        <v>100</v>
      </c>
      <c r="H85" s="398">
        <v>71</v>
      </c>
      <c r="I85" s="417" t="str">
        <f ca="1"/>
        <v>0,000146250164327566</v>
      </c>
      <c r="J85" s="417" t="str">
        <f ca="1"/>
        <v>0,000454572718224635</v>
      </c>
      <c r="K85" s="426" t="str">
        <f ca="1"/>
        <v>0,321731064061117</v>
      </c>
      <c r="L85" s="426" t="str">
        <f ca="1"/>
        <v>0,321731064061117</v>
      </c>
      <c r="M85" s="426" t="str">
        <f ca="1"/>
        <v>-0,00014839550372141</v>
      </c>
      <c r="N85" s="426" t="str">
        <f ca="1"/>
        <v>LVMH_MMR.EUR.SU</v>
      </c>
      <c r="O85" s="465" t="str">
        <f ca="1"/>
        <v/>
      </c>
      <c r="P85" s="442" t="e" cm="1">
        <f t="array" aca="1" ref="P85:T85" ca="1">IF(AND($Q$12,B109&lt;=$C$17,C109&lt;&gt;""),TRANSPOSE(INDEX(GetCDS(C109,$C$6,G109/10000,F109,D109,$C$13,$C$14,$C$15,$C$8,,,TRUE,TRUE,FALSE,$C$29:$C$31,$C$33),{1;2;3;4;5})),"")</f>
        <v>#VALUE!</v>
      </c>
      <c r="Q85" s="443" t="e">
        <f ca="1"/>
        <v>#VALUE!</v>
      </c>
      <c r="R85" s="443" t="e">
        <f ca="1"/>
        <v>#VALUE!</v>
      </c>
      <c r="S85" s="444" t="e">
        <f ca="1"/>
        <v>#VALUE!</v>
      </c>
      <c r="T85" s="445" t="e">
        <f ca="1"/>
        <v>#VALUE!</v>
      </c>
      <c r="U85" s="446" t="e">
        <f t="shared" ca="1" si="5"/>
        <v>#VALUE!</v>
      </c>
      <c r="V85" s="447" t="e">
        <f t="shared" ca="1" si="6"/>
        <v>#VALUE!</v>
      </c>
      <c r="W85" s="446" t="e">
        <f t="shared" ca="1" si="7"/>
        <v>#VALUE!</v>
      </c>
      <c r="X85" s="448" t="e">
        <f t="shared" ca="1" si="8"/>
        <v>#VALUE!</v>
      </c>
      <c r="Y85" s="447" t="e">
        <f t="shared" ca="1" si="9"/>
        <v>#VALUE!</v>
      </c>
      <c r="Z85" s="79"/>
    </row>
    <row r="86" spans="1:26" customFormat="1" ht="15">
      <c r="A86" s="231"/>
      <c r="B86" s="288">
        <v>48</v>
      </c>
      <c r="C86" s="260" t="s">
        <v>136</v>
      </c>
      <c r="D86" s="261">
        <v>1</v>
      </c>
      <c r="E86" s="252"/>
      <c r="F86" s="237">
        <v>0.4</v>
      </c>
      <c r="G86" s="456">
        <v>100</v>
      </c>
      <c r="H86" s="398">
        <v>72</v>
      </c>
      <c r="I86" s="417" t="str">
        <f ca="1"/>
        <v>0,000170104387743675</v>
      </c>
      <c r="J86" s="417" t="str">
        <f ca="1"/>
        <v>0,000450104964278887</v>
      </c>
      <c r="K86" s="426" t="str">
        <f ca="1"/>
        <v>0,377921598834617</v>
      </c>
      <c r="L86" s="426" t="str">
        <f ca="1"/>
        <v>0,377921598834617</v>
      </c>
      <c r="M86" s="426" t="str">
        <f ca="1"/>
        <v>-0,000215035392039775</v>
      </c>
      <c r="N86" s="426" t="str">
        <f ca="1"/>
        <v>MARKSANDSPENCERPLC_MMR.EUR.SU</v>
      </c>
      <c r="O86" s="465" t="str">
        <f ca="1"/>
        <v/>
      </c>
      <c r="P86" s="442" t="e" cm="1">
        <f t="array" aca="1" ref="P86:T86" ca="1">IF(AND($Q$12,B110&lt;=$C$17,C110&lt;&gt;""),TRANSPOSE(INDEX(GetCDS(C110,$C$6,G110/10000,F110,D110,$C$13,$C$14,$C$15,$C$8,,,TRUE,TRUE,FALSE,$C$29:$C$31,$C$33),{1;2;3;4;5})),"")</f>
        <v>#VALUE!</v>
      </c>
      <c r="Q86" s="443" t="e">
        <f ca="1"/>
        <v>#VALUE!</v>
      </c>
      <c r="R86" s="443" t="e">
        <f ca="1"/>
        <v>#VALUE!</v>
      </c>
      <c r="S86" s="444" t="e">
        <f ca="1"/>
        <v>#VALUE!</v>
      </c>
      <c r="T86" s="445" t="e">
        <f ca="1"/>
        <v>#VALUE!</v>
      </c>
      <c r="U86" s="446" t="e">
        <f t="shared" ca="1" si="5"/>
        <v>#VALUE!</v>
      </c>
      <c r="V86" s="447" t="e">
        <f t="shared" ca="1" si="6"/>
        <v>#VALUE!</v>
      </c>
      <c r="W86" s="446" t="e">
        <f t="shared" ca="1" si="7"/>
        <v>#VALUE!</v>
      </c>
      <c r="X86" s="448" t="e">
        <f t="shared" ca="1" si="8"/>
        <v>#VALUE!</v>
      </c>
      <c r="Y86" s="447" t="e">
        <f t="shared" ca="1" si="9"/>
        <v>#VALUE!</v>
      </c>
      <c r="Z86" s="79"/>
    </row>
    <row r="87" spans="1:26" customFormat="1" ht="15">
      <c r="A87" s="231"/>
      <c r="B87" s="288">
        <v>49</v>
      </c>
      <c r="C87" s="260" t="s">
        <v>137</v>
      </c>
      <c r="D87" s="261">
        <v>1</v>
      </c>
      <c r="E87" s="252"/>
      <c r="F87" s="237">
        <v>0.4</v>
      </c>
      <c r="G87" s="456">
        <v>100</v>
      </c>
      <c r="H87" s="398">
        <v>73</v>
      </c>
      <c r="I87" s="417" t="str">
        <f ca="1"/>
        <v>0,000153060627893753</v>
      </c>
      <c r="J87" s="417" t="str">
        <f ca="1"/>
        <v>0,000453458079408678</v>
      </c>
      <c r="K87" s="426" t="str">
        <f ca="1"/>
        <v>0,337540855140013</v>
      </c>
      <c r="L87" s="426" t="str">
        <f ca="1"/>
        <v>0,337540855140013</v>
      </c>
      <c r="M87" s="426" t="str">
        <f ca="1"/>
        <v>-0,000165954701415538</v>
      </c>
      <c r="N87" s="426" t="str">
        <f ca="1"/>
        <v>METRO_MMR.EUR.SU</v>
      </c>
      <c r="O87" s="465" t="str">
        <f ca="1"/>
        <v/>
      </c>
      <c r="P87" s="442" t="e" cm="1">
        <f t="array" aca="1" ref="P87:T87" ca="1">IF(AND($Q$12,B111&lt;=$C$17,C111&lt;&gt;""),TRANSPOSE(INDEX(GetCDS(C111,$C$6,G111/10000,F111,D111,$C$13,$C$14,$C$15,$C$8,,,TRUE,TRUE,FALSE,$C$29:$C$31,$C$33),{1;2;3;4;5})),"")</f>
        <v>#VALUE!</v>
      </c>
      <c r="Q87" s="443" t="e">
        <f ca="1"/>
        <v>#VALUE!</v>
      </c>
      <c r="R87" s="443" t="e">
        <f ca="1"/>
        <v>#VALUE!</v>
      </c>
      <c r="S87" s="444" t="e">
        <f ca="1"/>
        <v>#VALUE!</v>
      </c>
      <c r="T87" s="445" t="e">
        <f ca="1"/>
        <v>#VALUE!</v>
      </c>
      <c r="U87" s="446" t="e">
        <f t="shared" ca="1" si="5"/>
        <v>#VALUE!</v>
      </c>
      <c r="V87" s="447" t="e">
        <f t="shared" ca="1" si="6"/>
        <v>#VALUE!</v>
      </c>
      <c r="W87" s="446" t="e">
        <f t="shared" ca="1" si="7"/>
        <v>#VALUE!</v>
      </c>
      <c r="X87" s="448" t="e">
        <f t="shared" ca="1" si="8"/>
        <v>#VALUE!</v>
      </c>
      <c r="Y87" s="447" t="e">
        <f t="shared" ca="1" si="9"/>
        <v>#VALUE!</v>
      </c>
      <c r="Z87" s="79"/>
    </row>
    <row r="88" spans="1:26" customFormat="1" ht="15">
      <c r="A88" s="231"/>
      <c r="B88" s="288">
        <v>50</v>
      </c>
      <c r="C88" s="260" t="s">
        <v>138</v>
      </c>
      <c r="D88" s="261">
        <v>1</v>
      </c>
      <c r="E88" s="252"/>
      <c r="F88" s="237">
        <v>0.4</v>
      </c>
      <c r="G88" s="456">
        <v>100</v>
      </c>
      <c r="H88" s="398">
        <v>74</v>
      </c>
      <c r="I88" s="417" t="str">
        <f ca="1"/>
        <v>0,000170097144362247</v>
      </c>
      <c r="J88" s="417" t="str">
        <f ca="1"/>
        <v>0,000450104623306701</v>
      </c>
      <c r="K88" s="426" t="str">
        <f ca="1"/>
        <v>0,377905792463596</v>
      </c>
      <c r="L88" s="426" t="str">
        <f ca="1"/>
        <v>0,377905792463596</v>
      </c>
      <c r="M88" s="426" t="str">
        <f ca="1"/>
        <v>-0,000214989764106655</v>
      </c>
      <c r="N88" s="426" t="str">
        <f ca="1"/>
        <v>MICHELIN_MMR.EUR.SU</v>
      </c>
      <c r="O88" s="465" t="str">
        <f ca="1"/>
        <v/>
      </c>
      <c r="P88" s="442" t="e" cm="1">
        <f t="array" aca="1" ref="P88:T88" ca="1">IF(AND($Q$12,B112&lt;=$C$17,C112&lt;&gt;""),TRANSPOSE(INDEX(GetCDS(C112,$C$6,G112/10000,F112,D112,$C$13,$C$14,$C$15,$C$8,,,TRUE,TRUE,FALSE,$C$29:$C$31,$C$33),{1;2;3;4;5})),"")</f>
        <v>#VALUE!</v>
      </c>
      <c r="Q88" s="443" t="e">
        <f ca="1"/>
        <v>#VALUE!</v>
      </c>
      <c r="R88" s="443" t="e">
        <f ca="1"/>
        <v>#VALUE!</v>
      </c>
      <c r="S88" s="444" t="e">
        <f ca="1"/>
        <v>#VALUE!</v>
      </c>
      <c r="T88" s="445" t="e">
        <f ca="1"/>
        <v>#VALUE!</v>
      </c>
      <c r="U88" s="446" t="e">
        <f t="shared" ca="1" si="5"/>
        <v>#VALUE!</v>
      </c>
      <c r="V88" s="447" t="e">
        <f t="shared" ca="1" si="6"/>
        <v>#VALUE!</v>
      </c>
      <c r="W88" s="446" t="e">
        <f t="shared" ca="1" si="7"/>
        <v>#VALUE!</v>
      </c>
      <c r="X88" s="448" t="e">
        <f t="shared" ca="1" si="8"/>
        <v>#VALUE!</v>
      </c>
      <c r="Y88" s="447" t="e">
        <f t="shared" ca="1" si="9"/>
        <v>#VALUE!</v>
      </c>
      <c r="Z88" s="79"/>
    </row>
    <row r="89" spans="1:26" customFormat="1" ht="15">
      <c r="A89" s="231"/>
      <c r="B89" s="288">
        <v>51</v>
      </c>
      <c r="C89" s="260" t="s">
        <v>139</v>
      </c>
      <c r="D89" s="261">
        <v>1</v>
      </c>
      <c r="E89" s="252"/>
      <c r="F89" s="237">
        <v>0.4</v>
      </c>
      <c r="G89" s="456">
        <v>100</v>
      </c>
      <c r="H89" s="398">
        <v>75</v>
      </c>
      <c r="I89" s="417" t="str">
        <f ca="1"/>
        <v>0,000166524683192582</v>
      </c>
      <c r="J89" s="417" t="str">
        <f ca="1"/>
        <v>0,000451314983327618</v>
      </c>
      <c r="K89" s="426" t="str">
        <f ca="1"/>
        <v>0,368976633491688</v>
      </c>
      <c r="L89" s="426" t="str">
        <f ca="1"/>
        <v>0,368976633491688</v>
      </c>
      <c r="M89" s="426" t="str">
        <f ca="1"/>
        <v>-0,000201807494864003</v>
      </c>
      <c r="N89" s="426" t="str">
        <f ca="1"/>
        <v>MONTEDEIPASCHI_MMR.EUR.SU</v>
      </c>
      <c r="O89" s="465" t="str">
        <f ca="1"/>
        <v/>
      </c>
      <c r="P89" s="442" t="e" cm="1">
        <f t="array" aca="1" ref="P89:T89" ca="1">IF(AND($Q$12,B113&lt;=$C$17,C113&lt;&gt;""),TRANSPOSE(INDEX(GetCDS(C113,$C$6,G113/10000,F113,D113,$C$13,$C$14,$C$15,$C$8,,,TRUE,TRUE,FALSE,$C$29:$C$31,$C$33),{1;2;3;4;5})),"")</f>
        <v>#VALUE!</v>
      </c>
      <c r="Q89" s="443" t="e">
        <f ca="1"/>
        <v>#VALUE!</v>
      </c>
      <c r="R89" s="443" t="e">
        <f ca="1"/>
        <v>#VALUE!</v>
      </c>
      <c r="S89" s="444" t="e">
        <f ca="1"/>
        <v>#VALUE!</v>
      </c>
      <c r="T89" s="445" t="e">
        <f ca="1"/>
        <v>#VALUE!</v>
      </c>
      <c r="U89" s="446" t="e">
        <f t="shared" ca="1" si="5"/>
        <v>#VALUE!</v>
      </c>
      <c r="V89" s="447" t="e">
        <f t="shared" ca="1" si="6"/>
        <v>#VALUE!</v>
      </c>
      <c r="W89" s="446" t="e">
        <f t="shared" ca="1" si="7"/>
        <v>#VALUE!</v>
      </c>
      <c r="X89" s="448" t="e">
        <f t="shared" ca="1" si="8"/>
        <v>#VALUE!</v>
      </c>
      <c r="Y89" s="447" t="e">
        <f t="shared" ca="1" si="9"/>
        <v>#VALUE!</v>
      </c>
      <c r="Z89" s="79"/>
    </row>
    <row r="90" spans="1:26" customFormat="1" ht="15">
      <c r="A90" s="231"/>
      <c r="B90" s="288">
        <v>52</v>
      </c>
      <c r="C90" s="260" t="s">
        <v>140</v>
      </c>
      <c r="D90" s="261">
        <v>1</v>
      </c>
      <c r="E90" s="252"/>
      <c r="F90" s="237">
        <v>0.4</v>
      </c>
      <c r="G90" s="456">
        <v>100</v>
      </c>
      <c r="H90" s="398">
        <v>76</v>
      </c>
      <c r="I90" s="417" t="str">
        <f ca="1"/>
        <v>0,000150176287002024</v>
      </c>
      <c r="J90" s="417" t="str">
        <f ca="1"/>
        <v>0,000454259283458587</v>
      </c>
      <c r="K90" s="426" t="str">
        <f ca="1"/>
        <v>0,330595966820159</v>
      </c>
      <c r="L90" s="426" t="str">
        <f ca="1"/>
        <v>0,330595966820159</v>
      </c>
      <c r="M90" s="426" t="str">
        <f ca="1"/>
        <v>-0,00015653047805615</v>
      </c>
      <c r="N90" s="426" t="str">
        <f ca="1"/>
        <v>MUNICHRE_MMR.EUR.SU</v>
      </c>
      <c r="O90" s="465" t="str">
        <f ca="1"/>
        <v/>
      </c>
      <c r="P90" s="442" t="e" cm="1">
        <f t="array" aca="1" ref="P90:T90" ca="1">IF(AND($Q$12,B114&lt;=$C$17,C114&lt;&gt;""),TRANSPOSE(INDEX(GetCDS(C114,$C$6,G114/10000,F114,D114,$C$13,$C$14,$C$15,$C$8,,,TRUE,TRUE,FALSE,$C$29:$C$31,$C$33),{1;2;3;4;5})),"")</f>
        <v>#VALUE!</v>
      </c>
      <c r="Q90" s="443" t="e">
        <f ca="1"/>
        <v>#VALUE!</v>
      </c>
      <c r="R90" s="443" t="e">
        <f ca="1"/>
        <v>#VALUE!</v>
      </c>
      <c r="S90" s="444" t="e">
        <f ca="1"/>
        <v>#VALUE!</v>
      </c>
      <c r="T90" s="445" t="e">
        <f ca="1"/>
        <v>#VALUE!</v>
      </c>
      <c r="U90" s="446" t="e">
        <f t="shared" ca="1" si="5"/>
        <v>#VALUE!</v>
      </c>
      <c r="V90" s="447" t="e">
        <f t="shared" ca="1" si="6"/>
        <v>#VALUE!</v>
      </c>
      <c r="W90" s="446" t="e">
        <f t="shared" ca="1" si="7"/>
        <v>#VALUE!</v>
      </c>
      <c r="X90" s="448" t="e">
        <f t="shared" ca="1" si="8"/>
        <v>#VALUE!</v>
      </c>
      <c r="Y90" s="447" t="e">
        <f t="shared" ca="1" si="9"/>
        <v>#VALUE!</v>
      </c>
      <c r="Z90" s="79"/>
    </row>
    <row r="91" spans="1:26" customFormat="1" ht="15">
      <c r="A91" s="231"/>
      <c r="B91" s="288">
        <v>53</v>
      </c>
      <c r="C91" s="260" t="s">
        <v>141</v>
      </c>
      <c r="D91" s="261">
        <v>1</v>
      </c>
      <c r="E91" s="252"/>
      <c r="F91" s="237">
        <v>0.4</v>
      </c>
      <c r="G91" s="456">
        <v>100</v>
      </c>
      <c r="H91" s="398">
        <v>77</v>
      </c>
      <c r="I91" s="417" t="str">
        <f ca="1"/>
        <v>0,000157031940218166</v>
      </c>
      <c r="J91" s="417" t="str">
        <f ca="1"/>
        <v>0,000452710269160025</v>
      </c>
      <c r="K91" s="426" t="str">
        <f ca="1"/>
        <v>0,346870727075683</v>
      </c>
      <c r="L91" s="426" t="str">
        <f ca="1"/>
        <v>0,346870727075683</v>
      </c>
      <c r="M91" s="426" t="str">
        <f ca="1"/>
        <v>-0,0001766575227927</v>
      </c>
      <c r="N91" s="426" t="str">
        <f ca="1"/>
        <v>NATIONALGRIDTRANSCOPLC_MMR.EUR.SU</v>
      </c>
      <c r="O91" s="465" t="str">
        <f ca="1"/>
        <v/>
      </c>
      <c r="P91" s="442" t="e" cm="1">
        <f t="array" aca="1" ref="P91:T91" ca="1">IF(AND($Q$12,B115&lt;=$C$17,C115&lt;&gt;""),TRANSPOSE(INDEX(GetCDS(C115,$C$6,G115/10000,F115,D115,$C$13,$C$14,$C$15,$C$8,,,TRUE,TRUE,FALSE,$C$29:$C$31,$C$33),{1;2;3;4;5})),"")</f>
        <v>#VALUE!</v>
      </c>
      <c r="Q91" s="443" t="e">
        <f ca="1"/>
        <v>#VALUE!</v>
      </c>
      <c r="R91" s="443" t="e">
        <f ca="1"/>
        <v>#VALUE!</v>
      </c>
      <c r="S91" s="444" t="e">
        <f ca="1"/>
        <v>#VALUE!</v>
      </c>
      <c r="T91" s="445" t="e">
        <f ca="1"/>
        <v>#VALUE!</v>
      </c>
      <c r="U91" s="446" t="e">
        <f t="shared" ca="1" si="5"/>
        <v>#VALUE!</v>
      </c>
      <c r="V91" s="447" t="e">
        <f t="shared" ca="1" si="6"/>
        <v>#VALUE!</v>
      </c>
      <c r="W91" s="446" t="e">
        <f t="shared" ca="1" si="7"/>
        <v>#VALUE!</v>
      </c>
      <c r="X91" s="448" t="e">
        <f t="shared" ca="1" si="8"/>
        <v>#VALUE!</v>
      </c>
      <c r="Y91" s="447" t="e">
        <f t="shared" ca="1" si="9"/>
        <v>#VALUE!</v>
      </c>
      <c r="Z91" s="79"/>
    </row>
    <row r="92" spans="1:26" customFormat="1" ht="15">
      <c r="A92" s="231"/>
      <c r="B92" s="288">
        <v>54</v>
      </c>
      <c r="C92" s="260" t="s">
        <v>142</v>
      </c>
      <c r="D92" s="261">
        <v>1</v>
      </c>
      <c r="E92" s="252"/>
      <c r="F92" s="237">
        <v>0.4</v>
      </c>
      <c r="G92" s="456">
        <v>100</v>
      </c>
      <c r="H92" s="398">
        <v>78</v>
      </c>
      <c r="I92" s="417" t="str">
        <f ca="1"/>
        <v>0,000199837464550478</v>
      </c>
      <c r="J92" s="417" t="str">
        <f ca="1"/>
        <v>0,000442733958306558</v>
      </c>
      <c r="K92" s="426" t="str">
        <f ca="1"/>
        <v>0,451371440570878</v>
      </c>
      <c r="L92" s="426" t="str">
        <f ca="1"/>
        <v>0,451371440570878</v>
      </c>
      <c r="M92" s="426" t="str">
        <f ca="1"/>
        <v>-0,000317276896819729</v>
      </c>
      <c r="N92" s="426" t="str">
        <f ca="1"/>
        <v>NEXTPLC_MMR.EUR.SU</v>
      </c>
      <c r="O92" s="465" t="str">
        <f ca="1"/>
        <v/>
      </c>
      <c r="P92" s="442" t="e" cm="1">
        <f t="array" aca="1" ref="P92:T92" ca="1">IF(AND($Q$12,B116&lt;=$C$17,C116&lt;&gt;""),TRANSPOSE(INDEX(GetCDS(C116,$C$6,G116/10000,F116,D116,$C$13,$C$14,$C$15,$C$8,,,TRUE,TRUE,FALSE,$C$29:$C$31,$C$33),{1;2;3;4;5})),"")</f>
        <v>#VALUE!</v>
      </c>
      <c r="Q92" s="443" t="e">
        <f ca="1"/>
        <v>#VALUE!</v>
      </c>
      <c r="R92" s="443" t="e">
        <f ca="1"/>
        <v>#VALUE!</v>
      </c>
      <c r="S92" s="444" t="e">
        <f ca="1"/>
        <v>#VALUE!</v>
      </c>
      <c r="T92" s="445" t="e">
        <f ca="1"/>
        <v>#VALUE!</v>
      </c>
      <c r="U92" s="446" t="e">
        <f t="shared" ca="1" si="5"/>
        <v>#VALUE!</v>
      </c>
      <c r="V92" s="447" t="e">
        <f t="shared" ca="1" si="6"/>
        <v>#VALUE!</v>
      </c>
      <c r="W92" s="446" t="e">
        <f t="shared" ca="1" si="7"/>
        <v>#VALUE!</v>
      </c>
      <c r="X92" s="448" t="e">
        <f t="shared" ca="1" si="8"/>
        <v>#VALUE!</v>
      </c>
      <c r="Y92" s="447" t="e">
        <f t="shared" ca="1" si="9"/>
        <v>#VALUE!</v>
      </c>
      <c r="Z92" s="79"/>
    </row>
    <row r="93" spans="1:26" customFormat="1" ht="15">
      <c r="A93" s="231"/>
      <c r="B93" s="288">
        <v>55</v>
      </c>
      <c r="C93" s="260" t="s">
        <v>143</v>
      </c>
      <c r="D93" s="261">
        <v>1</v>
      </c>
      <c r="E93" s="252"/>
      <c r="F93" s="237">
        <v>0.4</v>
      </c>
      <c r="G93" s="456">
        <v>100</v>
      </c>
      <c r="H93" s="398">
        <v>79</v>
      </c>
      <c r="I93" s="417" t="str">
        <f ca="1"/>
        <v>0,000158639961593487</v>
      </c>
      <c r="J93" s="417" t="str">
        <f ca="1"/>
        <v>0,00045232319278269</v>
      </c>
      <c r="K93" s="426" t="str">
        <f ca="1"/>
        <v>0,350722589787039</v>
      </c>
      <c r="L93" s="426" t="str">
        <f ca="1"/>
        <v>0,350722589787039</v>
      </c>
      <c r="M93" s="426" t="str">
        <f ca="1"/>
        <v>-0,000181955599192274</v>
      </c>
      <c r="N93" s="426" t="str">
        <f ca="1"/>
        <v>PEARSON_MMR.EUR.SU</v>
      </c>
      <c r="O93" s="465" t="str">
        <f ca="1"/>
        <v/>
      </c>
      <c r="P93" s="442" t="e" cm="1">
        <f t="array" aca="1" ref="P93:T93" ca="1">IF(AND($Q$12,B117&lt;=$C$17,C117&lt;&gt;""),TRANSPOSE(INDEX(GetCDS(C117,$C$6,G117/10000,F117,D117,$C$13,$C$14,$C$15,$C$8,,,TRUE,TRUE,FALSE,$C$29:$C$31,$C$33),{1;2;3;4;5})),"")</f>
        <v>#VALUE!</v>
      </c>
      <c r="Q93" s="443" t="e">
        <f ca="1"/>
        <v>#VALUE!</v>
      </c>
      <c r="R93" s="443" t="e">
        <f ca="1"/>
        <v>#VALUE!</v>
      </c>
      <c r="S93" s="444" t="e">
        <f ca="1"/>
        <v>#VALUE!</v>
      </c>
      <c r="T93" s="445" t="e">
        <f ca="1"/>
        <v>#VALUE!</v>
      </c>
      <c r="U93" s="446" t="e">
        <f t="shared" ca="1" si="5"/>
        <v>#VALUE!</v>
      </c>
      <c r="V93" s="447" t="e">
        <f t="shared" ca="1" si="6"/>
        <v>#VALUE!</v>
      </c>
      <c r="W93" s="446" t="e">
        <f t="shared" ca="1" si="7"/>
        <v>#VALUE!</v>
      </c>
      <c r="X93" s="448" t="e">
        <f t="shared" ca="1" si="8"/>
        <v>#VALUE!</v>
      </c>
      <c r="Y93" s="447" t="e">
        <f t="shared" ca="1" si="9"/>
        <v>#VALUE!</v>
      </c>
      <c r="Z93" s="79"/>
    </row>
    <row r="94" spans="1:26" customFormat="1" ht="15">
      <c r="A94" s="231"/>
      <c r="B94" s="288">
        <v>56</v>
      </c>
      <c r="C94" s="260" t="s">
        <v>144</v>
      </c>
      <c r="D94" s="261">
        <v>1</v>
      </c>
      <c r="E94" s="252"/>
      <c r="F94" s="237">
        <v>0.4</v>
      </c>
      <c r="G94" s="456">
        <v>100</v>
      </c>
      <c r="H94" s="398">
        <v>80</v>
      </c>
      <c r="I94" s="417" t="str">
        <f ca="1"/>
        <v>0,000164578766560087</v>
      </c>
      <c r="J94" s="417" t="str">
        <f ca="1"/>
        <v>0,000451215514481725</v>
      </c>
      <c r="K94" s="426" t="str">
        <f ca="1"/>
        <v>0,364745362865294</v>
      </c>
      <c r="L94" s="426" t="str">
        <f ca="1"/>
        <v>0,364745362865294</v>
      </c>
      <c r="M94" s="426" t="str">
        <f ca="1"/>
        <v>-0,00019846714462286</v>
      </c>
      <c r="N94" s="426" t="str">
        <f ca="1"/>
        <v>PEUGEOT_MMR.EUR.SU</v>
      </c>
      <c r="O94" s="465" t="str">
        <f ca="1"/>
        <v/>
      </c>
      <c r="P94" s="442" t="e" cm="1">
        <f t="array" aca="1" ref="P94:T94" ca="1">IF(AND($Q$12,B118&lt;=$C$17,C118&lt;&gt;""),TRANSPOSE(INDEX(GetCDS(C118,$C$6,G118/10000,F118,D118,$C$13,$C$14,$C$15,$C$8,,,TRUE,TRUE,FALSE,$C$29:$C$31,$C$33),{1;2;3;4;5})),"")</f>
        <v>#VALUE!</v>
      </c>
      <c r="Q94" s="443" t="e">
        <f ca="1"/>
        <v>#VALUE!</v>
      </c>
      <c r="R94" s="443" t="e">
        <f ca="1"/>
        <v>#VALUE!</v>
      </c>
      <c r="S94" s="444" t="e">
        <f ca="1"/>
        <v>#VALUE!</v>
      </c>
      <c r="T94" s="445" t="e">
        <f ca="1"/>
        <v>#VALUE!</v>
      </c>
      <c r="U94" s="446" t="e">
        <f t="shared" ca="1" si="5"/>
        <v>#VALUE!</v>
      </c>
      <c r="V94" s="447" t="e">
        <f t="shared" ca="1" si="6"/>
        <v>#VALUE!</v>
      </c>
      <c r="W94" s="446" t="e">
        <f t="shared" ca="1" si="7"/>
        <v>#VALUE!</v>
      </c>
      <c r="X94" s="448" t="e">
        <f t="shared" ca="1" si="8"/>
        <v>#VALUE!</v>
      </c>
      <c r="Y94" s="447" t="e">
        <f t="shared" ca="1" si="9"/>
        <v>#VALUE!</v>
      </c>
      <c r="Z94" s="79"/>
    </row>
    <row r="95" spans="1:26" customFormat="1" ht="15">
      <c r="A95" s="231"/>
      <c r="B95" s="288">
        <v>57</v>
      </c>
      <c r="C95" s="260" t="s">
        <v>145</v>
      </c>
      <c r="D95" s="261">
        <v>1</v>
      </c>
      <c r="E95" s="252"/>
      <c r="F95" s="237">
        <v>0.4</v>
      </c>
      <c r="G95" s="456">
        <v>100</v>
      </c>
      <c r="H95" s="398">
        <v>81</v>
      </c>
      <c r="I95" s="417" t="str">
        <f ca="1"/>
        <v>0,000143779682749723</v>
      </c>
      <c r="J95" s="417" t="str">
        <f ca="1"/>
        <v>0,000454942053837183</v>
      </c>
      <c r="K95" s="426" t="str">
        <f ca="1"/>
        <v>0,316039551712183</v>
      </c>
      <c r="L95" s="426" t="str">
        <f ca="1"/>
        <v>0,316039551712183</v>
      </c>
      <c r="M95" s="426" t="str">
        <f ca="1"/>
        <v>-0,000142457089235015</v>
      </c>
      <c r="N95" s="426" t="str">
        <f ca="1"/>
        <v>PHILIPSELEC_MMR.EUR.SU</v>
      </c>
      <c r="O95" s="465" t="str">
        <f ca="1"/>
        <v/>
      </c>
      <c r="P95" s="442" t="e" cm="1">
        <f t="array" aca="1" ref="P95:T95" ca="1">IF(AND($Q$12,B119&lt;=$C$17,C119&lt;&gt;""),TRANSPOSE(INDEX(GetCDS(C119,$C$6,G119/10000,F119,D119,$C$13,$C$14,$C$15,$C$8,,,TRUE,TRUE,FALSE,$C$29:$C$31,$C$33),{1;2;3;4;5})),"")</f>
        <v>#VALUE!</v>
      </c>
      <c r="Q95" s="443" t="e">
        <f ca="1"/>
        <v>#VALUE!</v>
      </c>
      <c r="R95" s="443" t="e">
        <f ca="1"/>
        <v>#VALUE!</v>
      </c>
      <c r="S95" s="444" t="e">
        <f ca="1"/>
        <v>#VALUE!</v>
      </c>
      <c r="T95" s="445" t="e">
        <f ca="1"/>
        <v>#VALUE!</v>
      </c>
      <c r="U95" s="446" t="e">
        <f t="shared" ca="1" si="5"/>
        <v>#VALUE!</v>
      </c>
      <c r="V95" s="447" t="e">
        <f t="shared" ca="1" si="6"/>
        <v>#VALUE!</v>
      </c>
      <c r="W95" s="446" t="e">
        <f t="shared" ca="1" si="7"/>
        <v>#VALUE!</v>
      </c>
      <c r="X95" s="448" t="e">
        <f t="shared" ca="1" si="8"/>
        <v>#VALUE!</v>
      </c>
      <c r="Y95" s="447" t="e">
        <f t="shared" ca="1" si="9"/>
        <v>#VALUE!</v>
      </c>
      <c r="Z95" s="79"/>
    </row>
    <row r="96" spans="1:26" customFormat="1" ht="15">
      <c r="A96" s="231"/>
      <c r="B96" s="288">
        <v>58</v>
      </c>
      <c r="C96" s="260" t="s">
        <v>146</v>
      </c>
      <c r="D96" s="261">
        <v>1</v>
      </c>
      <c r="E96" s="252"/>
      <c r="F96" s="237">
        <v>0.4</v>
      </c>
      <c r="G96" s="456">
        <v>100</v>
      </c>
      <c r="H96" s="398">
        <v>82</v>
      </c>
      <c r="I96" s="417" t="str">
        <f ca="1"/>
        <v>0,000209579519019742</v>
      </c>
      <c r="J96" s="417" t="str">
        <f ca="1"/>
        <v>0,000439831182842283</v>
      </c>
      <c r="K96" s="426" t="str">
        <f ca="1"/>
        <v>0,476499909954984</v>
      </c>
      <c r="L96" s="426" t="str">
        <f ca="1"/>
        <v>0,476499909954984</v>
      </c>
      <c r="M96" s="426" t="str">
        <f ca="1"/>
        <v>-0,000355113660025453</v>
      </c>
      <c r="N96" s="426" t="str">
        <f ca="1"/>
        <v>PINAULTPRINTEMPS_MMR.EUR.SU</v>
      </c>
      <c r="O96" s="465" t="str">
        <f ca="1"/>
        <v/>
      </c>
      <c r="P96" s="442" t="e" cm="1">
        <f t="array" aca="1" ref="P96:T96" ca="1">IF(AND($Q$12,B120&lt;=$C$17,C120&lt;&gt;""),TRANSPOSE(INDEX(GetCDS(C120,$C$6,G120/10000,F120,D120,$C$13,$C$14,$C$15,$C$8,,,TRUE,TRUE,FALSE,$C$29:$C$31,$C$33),{1;2;3;4;5})),"")</f>
        <v>#VALUE!</v>
      </c>
      <c r="Q96" s="443" t="e">
        <f ca="1"/>
        <v>#VALUE!</v>
      </c>
      <c r="R96" s="443" t="e">
        <f ca="1"/>
        <v>#VALUE!</v>
      </c>
      <c r="S96" s="444" t="e">
        <f ca="1"/>
        <v>#VALUE!</v>
      </c>
      <c r="T96" s="445" t="e">
        <f ca="1"/>
        <v>#VALUE!</v>
      </c>
      <c r="U96" s="446" t="e">
        <f t="shared" ca="1" si="5"/>
        <v>#VALUE!</v>
      </c>
      <c r="V96" s="447" t="e">
        <f t="shared" ca="1" si="6"/>
        <v>#VALUE!</v>
      </c>
      <c r="W96" s="446" t="e">
        <f t="shared" ca="1" si="7"/>
        <v>#VALUE!</v>
      </c>
      <c r="X96" s="448" t="e">
        <f t="shared" ca="1" si="8"/>
        <v>#VALUE!</v>
      </c>
      <c r="Y96" s="447" t="e">
        <f t="shared" ca="1" si="9"/>
        <v>#VALUE!</v>
      </c>
      <c r="Z96" s="79"/>
    </row>
    <row r="97" spans="1:26" customFormat="1" ht="15">
      <c r="A97" s="231"/>
      <c r="B97" s="288">
        <v>59</v>
      </c>
      <c r="C97" s="260" t="s">
        <v>147</v>
      </c>
      <c r="D97" s="261">
        <v>1</v>
      </c>
      <c r="E97" s="252"/>
      <c r="F97" s="237">
        <v>0.4</v>
      </c>
      <c r="G97" s="456">
        <v>100</v>
      </c>
      <c r="H97" s="398">
        <v>83</v>
      </c>
      <c r="I97" s="417" t="str">
        <f ca="1"/>
        <v>0,00018283347109631</v>
      </c>
      <c r="J97" s="417" t="str">
        <f ca="1"/>
        <v>0,000447123447468044</v>
      </c>
      <c r="K97" s="426" t="str">
        <f ca="1"/>
        <v>0,408910496936927</v>
      </c>
      <c r="L97" s="426" t="str">
        <f ca="1"/>
        <v>0,408910496936927</v>
      </c>
      <c r="M97" s="426" t="str">
        <f ca="1"/>
        <v>-0,000257076155007608</v>
      </c>
      <c r="N97" s="426" t="str">
        <f ca="1"/>
        <v>PORTUGALTELECOM_MMR.EUR.SU</v>
      </c>
      <c r="O97" s="465" t="str">
        <f ca="1"/>
        <v/>
      </c>
      <c r="P97" s="442" t="e" cm="1">
        <f t="array" aca="1" ref="P97:T97" ca="1">IF(AND($Q$12,B121&lt;=$C$17,C121&lt;&gt;""),TRANSPOSE(INDEX(GetCDS(C121,$C$6,G121/10000,F121,D121,$C$13,$C$14,$C$15,$C$8,,,TRUE,TRUE,FALSE,$C$29:$C$31,$C$33),{1;2;3;4;5})),"")</f>
        <v>#VALUE!</v>
      </c>
      <c r="Q97" s="443" t="e">
        <f ca="1"/>
        <v>#VALUE!</v>
      </c>
      <c r="R97" s="443" t="e">
        <f ca="1"/>
        <v>#VALUE!</v>
      </c>
      <c r="S97" s="444" t="e">
        <f ca="1"/>
        <v>#VALUE!</v>
      </c>
      <c r="T97" s="445" t="e">
        <f ca="1"/>
        <v>#VALUE!</v>
      </c>
      <c r="U97" s="446" t="e">
        <f t="shared" ca="1" si="5"/>
        <v>#VALUE!</v>
      </c>
      <c r="V97" s="447" t="e">
        <f t="shared" ca="1" si="6"/>
        <v>#VALUE!</v>
      </c>
      <c r="W97" s="446" t="e">
        <f t="shared" ca="1" si="7"/>
        <v>#VALUE!</v>
      </c>
      <c r="X97" s="448" t="e">
        <f t="shared" ca="1" si="8"/>
        <v>#VALUE!</v>
      </c>
      <c r="Y97" s="447" t="e">
        <f t="shared" ca="1" si="9"/>
        <v>#VALUE!</v>
      </c>
      <c r="Z97" s="79"/>
    </row>
    <row r="98" spans="1:26" customFormat="1" ht="15">
      <c r="A98" s="231"/>
      <c r="B98" s="288">
        <v>60</v>
      </c>
      <c r="C98" s="260" t="s">
        <v>148</v>
      </c>
      <c r="D98" s="261">
        <v>1</v>
      </c>
      <c r="E98" s="252"/>
      <c r="F98" s="237">
        <v>0.4</v>
      </c>
      <c r="G98" s="456">
        <v>100</v>
      </c>
      <c r="H98" s="398">
        <v>84</v>
      </c>
      <c r="I98" s="417" t="str">
        <f ca="1"/>
        <v>0,000150434730863958</v>
      </c>
      <c r="J98" s="417" t="str">
        <f ca="1"/>
        <v>0,000453818410232968</v>
      </c>
      <c r="K98" s="426" t="str">
        <f ca="1"/>
        <v>0,331486619916394</v>
      </c>
      <c r="L98" s="426" t="str">
        <f ca="1"/>
        <v>0,331486619916394</v>
      </c>
      <c r="M98" s="426" t="str">
        <f ca="1"/>
        <v>-0,00015951592706731</v>
      </c>
      <c r="N98" s="426" t="str">
        <f ca="1"/>
        <v>REEDELSEVIER_MMR.EUR.SU</v>
      </c>
      <c r="O98" s="465" t="str">
        <f ca="1"/>
        <v/>
      </c>
      <c r="P98" s="442" t="e" cm="1">
        <f t="array" aca="1" ref="P98:T98" ca="1">IF(AND($Q$12,B122&lt;=$C$17,C122&lt;&gt;""),TRANSPOSE(INDEX(GetCDS(C122,$C$6,G122/10000,F122,D122,$C$13,$C$14,$C$15,$C$8,,,TRUE,TRUE,FALSE,$C$29:$C$31,$C$33),{1;2;3;4;5})),"")</f>
        <v>#VALUE!</v>
      </c>
      <c r="Q98" s="443" t="e">
        <f ca="1"/>
        <v>#VALUE!</v>
      </c>
      <c r="R98" s="443" t="e">
        <f ca="1"/>
        <v>#VALUE!</v>
      </c>
      <c r="S98" s="444" t="e">
        <f ca="1"/>
        <v>#VALUE!</v>
      </c>
      <c r="T98" s="445" t="e">
        <f ca="1"/>
        <v>#VALUE!</v>
      </c>
      <c r="U98" s="446" t="e">
        <f t="shared" ca="1" si="5"/>
        <v>#VALUE!</v>
      </c>
      <c r="V98" s="447" t="e">
        <f t="shared" ca="1" si="6"/>
        <v>#VALUE!</v>
      </c>
      <c r="W98" s="446" t="e">
        <f t="shared" ca="1" si="7"/>
        <v>#VALUE!</v>
      </c>
      <c r="X98" s="448" t="e">
        <f t="shared" ca="1" si="8"/>
        <v>#VALUE!</v>
      </c>
      <c r="Y98" s="447" t="e">
        <f t="shared" ca="1" si="9"/>
        <v>#VALUE!</v>
      </c>
      <c r="Z98" s="79"/>
    </row>
    <row r="99" spans="1:26" customFormat="1" ht="15">
      <c r="A99" s="231"/>
      <c r="B99" s="288">
        <v>61</v>
      </c>
      <c r="C99" s="260" t="s">
        <v>149</v>
      </c>
      <c r="D99" s="261">
        <v>1</v>
      </c>
      <c r="E99" s="252"/>
      <c r="F99" s="237">
        <v>0.4</v>
      </c>
      <c r="G99" s="456">
        <v>100</v>
      </c>
      <c r="H99" s="398">
        <v>85</v>
      </c>
      <c r="I99" s="417" t="str">
        <f ca="1"/>
        <v>0,000164640312326081</v>
      </c>
      <c r="J99" s="417" t="str">
        <f ca="1"/>
        <v>0,00045121712937892</v>
      </c>
      <c r="K99" s="426" t="str">
        <f ca="1"/>
        <v>0,364880456893782</v>
      </c>
      <c r="L99" s="426" t="str">
        <f ca="1"/>
        <v>0,364880456893782</v>
      </c>
      <c r="M99" s="426" t="str">
        <f ca="1"/>
        <v>-0,00019861650155355</v>
      </c>
      <c r="N99" s="426" t="str">
        <f ca="1"/>
        <v>RENAULT_MMR.EUR.SU</v>
      </c>
      <c r="O99" s="465" t="str">
        <f ca="1"/>
        <v/>
      </c>
      <c r="P99" s="442" t="e" cm="1">
        <f t="array" aca="1" ref="P99:T99" ca="1">IF(AND($Q$12,B123&lt;=$C$17,C123&lt;&gt;""),TRANSPOSE(INDEX(GetCDS(C123,$C$6,G123/10000,F123,D123,$C$13,$C$14,$C$15,$C$8,,,TRUE,TRUE,FALSE,$C$29:$C$31,$C$33),{1;2;3;4;5})),"")</f>
        <v>#VALUE!</v>
      </c>
      <c r="Q99" s="443" t="e">
        <f ca="1"/>
        <v>#VALUE!</v>
      </c>
      <c r="R99" s="443" t="e">
        <f ca="1"/>
        <v>#VALUE!</v>
      </c>
      <c r="S99" s="444" t="e">
        <f ca="1"/>
        <v>#VALUE!</v>
      </c>
      <c r="T99" s="445" t="e">
        <f ca="1"/>
        <v>#VALUE!</v>
      </c>
      <c r="U99" s="446" t="e">
        <f t="shared" ca="1" si="5"/>
        <v>#VALUE!</v>
      </c>
      <c r="V99" s="447" t="e">
        <f t="shared" ca="1" si="6"/>
        <v>#VALUE!</v>
      </c>
      <c r="W99" s="446" t="e">
        <f t="shared" ca="1" si="7"/>
        <v>#VALUE!</v>
      </c>
      <c r="X99" s="448" t="e">
        <f t="shared" ca="1" si="8"/>
        <v>#VALUE!</v>
      </c>
      <c r="Y99" s="447" t="e">
        <f t="shared" ca="1" si="9"/>
        <v>#VALUE!</v>
      </c>
      <c r="Z99" s="79"/>
    </row>
    <row r="100" spans="1:26" customFormat="1" ht="15">
      <c r="A100" s="231"/>
      <c r="B100" s="288">
        <v>62</v>
      </c>
      <c r="C100" s="260" t="s">
        <v>150</v>
      </c>
      <c r="D100" s="261">
        <v>1</v>
      </c>
      <c r="E100" s="252"/>
      <c r="F100" s="237">
        <v>0.4</v>
      </c>
      <c r="G100" s="456">
        <v>100</v>
      </c>
      <c r="H100" s="398">
        <v>86</v>
      </c>
      <c r="I100" s="417" t="str">
        <f ca="1"/>
        <v>0,000183881679377418</v>
      </c>
      <c r="J100" s="417" t="str">
        <f ca="1"/>
        <v>0,000447184659361195</v>
      </c>
      <c r="K100" s="426" t="str">
        <f ca="1"/>
        <v>0,411198540755163</v>
      </c>
      <c r="L100" s="426" t="str">
        <f ca="1"/>
        <v>0,411198540755163</v>
      </c>
      <c r="M100" s="426" t="str">
        <f ca="1"/>
        <v>-0,000258839716092374</v>
      </c>
      <c r="N100" s="426" t="str">
        <f ca="1"/>
        <v>REPSOL_MMR.EUR.SU</v>
      </c>
      <c r="O100" s="465" t="str">
        <f ca="1"/>
        <v/>
      </c>
      <c r="P100" s="442" t="e" cm="1">
        <f t="array" aca="1" ref="P100:T100" ca="1">IF(AND($Q$12,B124&lt;=$C$17,C124&lt;&gt;""),TRANSPOSE(INDEX(GetCDS(C124,$C$6,G124/10000,F124,D124,$C$13,$C$14,$C$15,$C$8,,,TRUE,TRUE,FALSE,$C$29:$C$31,$C$33),{1;2;3;4;5})),"")</f>
        <v>#VALUE!</v>
      </c>
      <c r="Q100" s="443" t="e">
        <f ca="1"/>
        <v>#VALUE!</v>
      </c>
      <c r="R100" s="443" t="e">
        <f ca="1"/>
        <v>#VALUE!</v>
      </c>
      <c r="S100" s="444" t="e">
        <f ca="1"/>
        <v>#VALUE!</v>
      </c>
      <c r="T100" s="445" t="e">
        <f ca="1"/>
        <v>#VALUE!</v>
      </c>
      <c r="U100" s="446" t="e">
        <f t="shared" ca="1" si="5"/>
        <v>#VALUE!</v>
      </c>
      <c r="V100" s="447" t="e">
        <f t="shared" ca="1" si="6"/>
        <v>#VALUE!</v>
      </c>
      <c r="W100" s="446" t="e">
        <f t="shared" ca="1" si="7"/>
        <v>#VALUE!</v>
      </c>
      <c r="X100" s="448" t="e">
        <f t="shared" ca="1" si="8"/>
        <v>#VALUE!</v>
      </c>
      <c r="Y100" s="447" t="e">
        <f t="shared" ca="1" si="9"/>
        <v>#VALUE!</v>
      </c>
      <c r="Z100" s="79"/>
    </row>
    <row r="101" spans="1:26" customFormat="1" ht="15">
      <c r="A101" s="231"/>
      <c r="B101" s="288">
        <v>63</v>
      </c>
      <c r="C101" s="260" t="s">
        <v>151</v>
      </c>
      <c r="D101" s="261">
        <v>1</v>
      </c>
      <c r="E101" s="252"/>
      <c r="F101" s="237">
        <v>0.4</v>
      </c>
      <c r="G101" s="456">
        <v>100</v>
      </c>
      <c r="H101" s="398">
        <v>87</v>
      </c>
      <c r="I101" s="417" t="str">
        <f ca="1"/>
        <v>0,000128365775285056</v>
      </c>
      <c r="J101" s="417" t="str">
        <f ca="1"/>
        <v>0,000457186101288494</v>
      </c>
      <c r="K101" s="426" t="str">
        <f ca="1"/>
        <v>0,280773573219485</v>
      </c>
      <c r="L101" s="426" t="str">
        <f ca="1"/>
        <v>0,280773573219485</v>
      </c>
      <c r="M101" s="426" t="str">
        <f ca="1"/>
        <v>-0,000107798606975629</v>
      </c>
      <c r="N101" s="426" t="str">
        <f ca="1"/>
        <v>REUTERS_MMR.EUR.SU</v>
      </c>
      <c r="O101" s="465" t="str">
        <f ca="1"/>
        <v/>
      </c>
      <c r="P101" s="442" t="e" cm="1">
        <f t="array" aca="1" ref="P101:T101" ca="1">IF(AND($Q$12,B125&lt;=$C$17,C125&lt;&gt;""),TRANSPOSE(INDEX(GetCDS(C125,$C$6,G125/10000,F125,D125,$C$13,$C$14,$C$15,$C$8,,,TRUE,TRUE,FALSE,$C$29:$C$31,$C$33),{1;2;3;4;5})),"")</f>
        <v>#VALUE!</v>
      </c>
      <c r="Q101" s="443" t="e">
        <f ca="1"/>
        <v>#VALUE!</v>
      </c>
      <c r="R101" s="443" t="e">
        <f ca="1"/>
        <v>#VALUE!</v>
      </c>
      <c r="S101" s="444" t="e">
        <f ca="1"/>
        <v>#VALUE!</v>
      </c>
      <c r="T101" s="445" t="e">
        <f ca="1"/>
        <v>#VALUE!</v>
      </c>
      <c r="U101" s="446" t="e">
        <f t="shared" ca="1" si="5"/>
        <v>#VALUE!</v>
      </c>
      <c r="V101" s="447" t="e">
        <f t="shared" ca="1" si="6"/>
        <v>#VALUE!</v>
      </c>
      <c r="W101" s="446" t="e">
        <f t="shared" ca="1" si="7"/>
        <v>#VALUE!</v>
      </c>
      <c r="X101" s="448" t="e">
        <f t="shared" ca="1" si="8"/>
        <v>#VALUE!</v>
      </c>
      <c r="Y101" s="447" t="e">
        <f t="shared" ca="1" si="9"/>
        <v>#VALUE!</v>
      </c>
      <c r="Z101" s="79"/>
    </row>
    <row r="102" spans="1:26" customFormat="1" ht="15">
      <c r="A102" s="231"/>
      <c r="B102" s="288">
        <v>64</v>
      </c>
      <c r="C102" s="260" t="s">
        <v>152</v>
      </c>
      <c r="D102" s="261">
        <v>1</v>
      </c>
      <c r="E102" s="252"/>
      <c r="F102" s="237">
        <v>0.4</v>
      </c>
      <c r="G102" s="456">
        <v>100</v>
      </c>
      <c r="H102" s="398">
        <v>88</v>
      </c>
      <c r="I102" s="417" t="str">
        <f ca="1"/>
        <v>0,00017541784313233</v>
      </c>
      <c r="J102" s="417" t="str">
        <f ca="1"/>
        <v>0,000449482877163431</v>
      </c>
      <c r="K102" s="426" t="str">
        <f ca="1"/>
        <v>0,390265907879175</v>
      </c>
      <c r="L102" s="426" t="str">
        <f ca="1"/>
        <v>0,390265907879175</v>
      </c>
      <c r="M102" s="426" t="str">
        <f ca="1"/>
        <v>-0,000229202886894587</v>
      </c>
      <c r="N102" s="426" t="str">
        <f ca="1"/>
        <v>ROYALBANKSCOTLAND_MMR.EUR.SU</v>
      </c>
      <c r="O102" s="465" t="str">
        <f ca="1"/>
        <v/>
      </c>
      <c r="P102" s="442" t="e" cm="1">
        <f t="array" aca="1" ref="P102:T102" ca="1">IF(AND($Q$12,B126&lt;=$C$17,C126&lt;&gt;""),TRANSPOSE(INDEX(GetCDS(C126,$C$6,G126/10000,F126,D126,$C$13,$C$14,$C$15,$C$8,,,TRUE,TRUE,FALSE,$C$29:$C$31,$C$33),{1;2;3;4;5})),"")</f>
        <v>#VALUE!</v>
      </c>
      <c r="Q102" s="443" t="e">
        <f ca="1"/>
        <v>#VALUE!</v>
      </c>
      <c r="R102" s="443" t="e">
        <f ca="1"/>
        <v>#VALUE!</v>
      </c>
      <c r="S102" s="444" t="e">
        <f ca="1"/>
        <v>#VALUE!</v>
      </c>
      <c r="T102" s="445" t="e">
        <f ca="1"/>
        <v>#VALUE!</v>
      </c>
      <c r="U102" s="446" t="e">
        <f t="shared" ca="1" si="5"/>
        <v>#VALUE!</v>
      </c>
      <c r="V102" s="447" t="e">
        <f t="shared" ca="1" si="6"/>
        <v>#VALUE!</v>
      </c>
      <c r="W102" s="446" t="e">
        <f t="shared" ca="1" si="7"/>
        <v>#VALUE!</v>
      </c>
      <c r="X102" s="448" t="e">
        <f t="shared" ca="1" si="8"/>
        <v>#VALUE!</v>
      </c>
      <c r="Y102" s="447" t="e">
        <f t="shared" ca="1" si="9"/>
        <v>#VALUE!</v>
      </c>
      <c r="Z102" s="79"/>
    </row>
    <row r="103" spans="1:26" customFormat="1" ht="15">
      <c r="A103" s="231"/>
      <c r="B103" s="288">
        <v>65</v>
      </c>
      <c r="C103" s="260" t="s">
        <v>153</v>
      </c>
      <c r="D103" s="261">
        <v>1</v>
      </c>
      <c r="E103" s="252"/>
      <c r="F103" s="237">
        <v>0.4</v>
      </c>
      <c r="G103" s="456">
        <v>100</v>
      </c>
      <c r="H103" s="398">
        <v>89</v>
      </c>
      <c r="I103" s="417" t="str">
        <f ca="1"/>
        <v>0,00012925592159967</v>
      </c>
      <c r="J103" s="417" t="str">
        <f ca="1"/>
        <v>0,000457204278738883</v>
      </c>
      <c r="K103" s="426" t="str">
        <f ca="1"/>
        <v>0,282709343744988</v>
      </c>
      <c r="L103" s="426" t="str">
        <f ca="1"/>
        <v>0,282709343744988</v>
      </c>
      <c r="M103" s="426" t="str">
        <f ca="1"/>
        <v>-0,000108683474688598</v>
      </c>
      <c r="N103" s="426" t="str">
        <f ca="1"/>
        <v>RWE_MMR.EUR.SU</v>
      </c>
      <c r="O103" s="465" t="str">
        <f ca="1"/>
        <v/>
      </c>
      <c r="P103" s="442" t="e" cm="1">
        <f t="array" aca="1" ref="P103:T103" ca="1">IF(AND($Q$12,B127&lt;=$C$17,C127&lt;&gt;""),TRANSPOSE(INDEX(GetCDS(C127,$C$6,G127/10000,F127,D127,$C$13,$C$14,$C$15,$C$8,,,TRUE,TRUE,FALSE,$C$29:$C$31,$C$33),{1;2;3;4;5})),"")</f>
        <v>#VALUE!</v>
      </c>
      <c r="Q103" s="443" t="e">
        <f ca="1"/>
        <v>#VALUE!</v>
      </c>
      <c r="R103" s="443" t="e">
        <f ca="1"/>
        <v>#VALUE!</v>
      </c>
      <c r="S103" s="444" t="e">
        <f ca="1"/>
        <v>#VALUE!</v>
      </c>
      <c r="T103" s="445" t="e">
        <f ca="1"/>
        <v>#VALUE!</v>
      </c>
      <c r="U103" s="446" t="e">
        <f t="shared" ca="1" si="5"/>
        <v>#VALUE!</v>
      </c>
      <c r="V103" s="447" t="e">
        <f t="shared" ca="1" si="6"/>
        <v>#VALUE!</v>
      </c>
      <c r="W103" s="446" t="e">
        <f t="shared" ca="1" si="7"/>
        <v>#VALUE!</v>
      </c>
      <c r="X103" s="448" t="e">
        <f t="shared" ca="1" si="8"/>
        <v>#VALUE!</v>
      </c>
      <c r="Y103" s="447" t="e">
        <f t="shared" ca="1" si="9"/>
        <v>#VALUE!</v>
      </c>
      <c r="Z103" s="79"/>
    </row>
    <row r="104" spans="1:26" customFormat="1" ht="15">
      <c r="A104" s="231"/>
      <c r="B104" s="288">
        <v>66</v>
      </c>
      <c r="C104" s="260" t="s">
        <v>154</v>
      </c>
      <c r="D104" s="261">
        <v>1</v>
      </c>
      <c r="E104" s="252"/>
      <c r="F104" s="237">
        <v>0.4</v>
      </c>
      <c r="G104" s="456">
        <v>100</v>
      </c>
      <c r="H104" s="398">
        <v>90</v>
      </c>
      <c r="I104" s="417" t="str">
        <f ca="1"/>
        <v>0,000190293265762987</v>
      </c>
      <c r="J104" s="417" t="str">
        <f ca="1"/>
        <v>0,000445287701529065</v>
      </c>
      <c r="K104" s="426" t="str">
        <f ca="1"/>
        <v>0,427349026504758</v>
      </c>
      <c r="L104" s="426" t="str">
        <f ca="1"/>
        <v>0,427349026504758</v>
      </c>
      <c r="M104" s="426" t="str">
        <f ca="1"/>
        <v>-0,000282703112698623</v>
      </c>
      <c r="N104" s="426" t="str">
        <f ca="1"/>
        <v>SAFEWAYPLC_MMR.EUR.SU</v>
      </c>
      <c r="O104" s="465" t="str">
        <f ca="1"/>
        <v/>
      </c>
      <c r="P104" s="442" t="e" cm="1">
        <f t="array" aca="1" ref="P104:T104" ca="1">IF(AND($Q$12,B128&lt;=$C$17,C128&lt;&gt;""),TRANSPOSE(INDEX(GetCDS(C128,$C$6,G128/10000,F128,D128,$C$13,$C$14,$C$15,$C$8,,,TRUE,TRUE,FALSE,$C$29:$C$31,$C$33),{1;2;3;4;5})),"")</f>
        <v>#VALUE!</v>
      </c>
      <c r="Q104" s="443" t="e">
        <f ca="1"/>
        <v>#VALUE!</v>
      </c>
      <c r="R104" s="443" t="e">
        <f ca="1"/>
        <v>#VALUE!</v>
      </c>
      <c r="S104" s="444" t="e">
        <f ca="1"/>
        <v>#VALUE!</v>
      </c>
      <c r="T104" s="445" t="e">
        <f ca="1"/>
        <v>#VALUE!</v>
      </c>
      <c r="U104" s="446" t="e">
        <f t="shared" ca="1" si="5"/>
        <v>#VALUE!</v>
      </c>
      <c r="V104" s="447" t="e">
        <f t="shared" ca="1" si="6"/>
        <v>#VALUE!</v>
      </c>
      <c r="W104" s="446" t="e">
        <f t="shared" ca="1" si="7"/>
        <v>#VALUE!</v>
      </c>
      <c r="X104" s="448" t="e">
        <f t="shared" ca="1" si="8"/>
        <v>#VALUE!</v>
      </c>
      <c r="Y104" s="447" t="e">
        <f t="shared" ca="1" si="9"/>
        <v>#VALUE!</v>
      </c>
      <c r="Z104" s="79"/>
    </row>
    <row r="105" spans="1:26" customFormat="1" ht="15">
      <c r="A105" s="231"/>
      <c r="B105" s="288">
        <v>67</v>
      </c>
      <c r="C105" s="260" t="s">
        <v>155</v>
      </c>
      <c r="D105" s="261">
        <v>1</v>
      </c>
      <c r="E105" s="252"/>
      <c r="F105" s="237">
        <v>0.4</v>
      </c>
      <c r="G105" s="456">
        <v>100</v>
      </c>
      <c r="H105" s="398">
        <v>91</v>
      </c>
      <c r="I105" s="417" t="str">
        <f ca="1"/>
        <v>0,00012564307437839</v>
      </c>
      <c r="J105" s="417" t="str">
        <f ca="1"/>
        <v>0,000457563958535351</v>
      </c>
      <c r="K105" s="426" t="str">
        <f ca="1"/>
        <v>0,274591282889872</v>
      </c>
      <c r="L105" s="426" t="str">
        <f ca="1"/>
        <v>0,274591282889872</v>
      </c>
      <c r="M105" s="426" t="str">
        <f ca="1"/>
        <v>-0,000102017787590536</v>
      </c>
      <c r="N105" s="426" t="str">
        <f ca="1"/>
        <v>SANOFIAVENTIS_MMR.EUR.SU</v>
      </c>
      <c r="O105" s="465" t="str">
        <f ca="1"/>
        <v/>
      </c>
      <c r="P105" s="442" t="e" cm="1">
        <f t="array" aca="1" ref="P105:T105" ca="1">IF(AND($Q$12,B129&lt;=$C$17,C129&lt;&gt;""),TRANSPOSE(INDEX(GetCDS(C129,$C$6,G129/10000,F129,D129,$C$13,$C$14,$C$15,$C$8,,,TRUE,TRUE,FALSE,$C$29:$C$31,$C$33),{1;2;3;4;5})),"")</f>
        <v>#VALUE!</v>
      </c>
      <c r="Q105" s="443" t="e">
        <f ca="1"/>
        <v>#VALUE!</v>
      </c>
      <c r="R105" s="443" t="e">
        <f ca="1"/>
        <v>#VALUE!</v>
      </c>
      <c r="S105" s="444" t="e">
        <f ca="1"/>
        <v>#VALUE!</v>
      </c>
      <c r="T105" s="445" t="e">
        <f ca="1"/>
        <v>#VALUE!</v>
      </c>
      <c r="U105" s="446" t="e">
        <f t="shared" ca="1" si="5"/>
        <v>#VALUE!</v>
      </c>
      <c r="V105" s="447" t="e">
        <f t="shared" ca="1" si="6"/>
        <v>#VALUE!</v>
      </c>
      <c r="W105" s="446" t="e">
        <f t="shared" ca="1" si="7"/>
        <v>#VALUE!</v>
      </c>
      <c r="X105" s="448" t="e">
        <f t="shared" ca="1" si="8"/>
        <v>#VALUE!</v>
      </c>
      <c r="Y105" s="447" t="e">
        <f t="shared" ca="1" si="9"/>
        <v>#VALUE!</v>
      </c>
      <c r="Z105" s="79"/>
    </row>
    <row r="106" spans="1:26" customFormat="1" ht="15">
      <c r="A106" s="231"/>
      <c r="B106" s="288">
        <v>68</v>
      </c>
      <c r="C106" s="260" t="s">
        <v>156</v>
      </c>
      <c r="D106" s="261">
        <v>1</v>
      </c>
      <c r="E106" s="252"/>
      <c r="F106" s="237">
        <v>0.4</v>
      </c>
      <c r="G106" s="456">
        <v>100</v>
      </c>
      <c r="H106" s="398">
        <v>92</v>
      </c>
      <c r="I106" s="417" t="str">
        <f ca="1"/>
        <v>0,000125903909023672</v>
      </c>
      <c r="J106" s="417" t="str">
        <f ca="1"/>
        <v>0,000457567336821883</v>
      </c>
      <c r="K106" s="426" t="str">
        <f ca="1"/>
        <v>0,275159302012597</v>
      </c>
      <c r="L106" s="426" t="str">
        <f ca="1"/>
        <v>0,275159302012597</v>
      </c>
      <c r="M106" s="426" t="str">
        <f ca="1"/>
        <v>-0,000102333046260283</v>
      </c>
      <c r="N106" s="426" t="str">
        <f ca="1"/>
        <v>SIEMENS_MMR.EUR.SU</v>
      </c>
      <c r="O106" s="465" t="str">
        <f ca="1"/>
        <v/>
      </c>
      <c r="P106" s="442" t="e" cm="1">
        <f t="array" aca="1" ref="P106:T106" ca="1">IF(AND($Q$12,B130&lt;=$C$17,C130&lt;&gt;""),TRANSPOSE(INDEX(GetCDS(C130,$C$6,G130/10000,F130,D130,$C$13,$C$14,$C$15,$C$8,,,TRUE,TRUE,FALSE,$C$29:$C$31,$C$33),{1;2;3;4;5})),"")</f>
        <v>#VALUE!</v>
      </c>
      <c r="Q106" s="443" t="e">
        <f ca="1"/>
        <v>#VALUE!</v>
      </c>
      <c r="R106" s="443" t="e">
        <f ca="1"/>
        <v>#VALUE!</v>
      </c>
      <c r="S106" s="444" t="e">
        <f ca="1"/>
        <v>#VALUE!</v>
      </c>
      <c r="T106" s="445" t="e">
        <f ca="1"/>
        <v>#VALUE!</v>
      </c>
      <c r="U106" s="446" t="e">
        <f t="shared" ca="1" si="5"/>
        <v>#VALUE!</v>
      </c>
      <c r="V106" s="447" t="e">
        <f t="shared" ca="1" si="6"/>
        <v>#VALUE!</v>
      </c>
      <c r="W106" s="446" t="e">
        <f t="shared" ca="1" si="7"/>
        <v>#VALUE!</v>
      </c>
      <c r="X106" s="448" t="e">
        <f t="shared" ca="1" si="8"/>
        <v>#VALUE!</v>
      </c>
      <c r="Y106" s="447" t="e">
        <f t="shared" ca="1" si="9"/>
        <v>#VALUE!</v>
      </c>
      <c r="Z106" s="79"/>
    </row>
    <row r="107" spans="1:26" customFormat="1" ht="15">
      <c r="A107" s="231"/>
      <c r="B107" s="288">
        <v>69</v>
      </c>
      <c r="C107" s="260" t="s">
        <v>157</v>
      </c>
      <c r="D107" s="261">
        <v>1</v>
      </c>
      <c r="E107" s="252"/>
      <c r="F107" s="237">
        <v>0.4</v>
      </c>
      <c r="G107" s="456">
        <v>100</v>
      </c>
      <c r="H107" s="398">
        <v>93</v>
      </c>
      <c r="I107" s="417" t="str">
        <f ca="1"/>
        <v>0,00014890068430935</v>
      </c>
      <c r="J107" s="417" t="str">
        <f ca="1"/>
        <v>0,000454211362484972</v>
      </c>
      <c r="K107" s="426" t="str">
        <f ca="1"/>
        <v>0,327822455815989</v>
      </c>
      <c r="L107" s="426" t="str">
        <f ca="1"/>
        <v>0,327822455815989</v>
      </c>
      <c r="M107" s="426" t="str">
        <f ca="1"/>
        <v>-0,000154706398445792</v>
      </c>
      <c r="N107" s="426" t="str">
        <f ca="1"/>
        <v>SODEXHOALLIANCE_MMR.EUR.SU</v>
      </c>
      <c r="O107" s="465" t="str">
        <f ca="1"/>
        <v/>
      </c>
      <c r="P107" s="442" t="e" cm="1">
        <f t="array" aca="1" ref="P107:T107" ca="1">IF(AND($Q$12,B131&lt;=$C$17,C131&lt;&gt;""),TRANSPOSE(INDEX(GetCDS(C131,$C$6,G131/10000,F131,D131,$C$13,$C$14,$C$15,$C$8,,,TRUE,TRUE,FALSE,$C$29:$C$31,$C$33),{1;2;3;4;5})),"")</f>
        <v>#VALUE!</v>
      </c>
      <c r="Q107" s="443" t="e">
        <f ca="1"/>
        <v>#VALUE!</v>
      </c>
      <c r="R107" s="443" t="e">
        <f ca="1"/>
        <v>#VALUE!</v>
      </c>
      <c r="S107" s="444" t="e">
        <f ca="1"/>
        <v>#VALUE!</v>
      </c>
      <c r="T107" s="445" t="e">
        <f ca="1"/>
        <v>#VALUE!</v>
      </c>
      <c r="U107" s="446" t="e">
        <f t="shared" ca="1" si="5"/>
        <v>#VALUE!</v>
      </c>
      <c r="V107" s="447" t="e">
        <f t="shared" ca="1" si="6"/>
        <v>#VALUE!</v>
      </c>
      <c r="W107" s="446" t="e">
        <f t="shared" ca="1" si="7"/>
        <v>#VALUE!</v>
      </c>
      <c r="X107" s="448" t="e">
        <f t="shared" ca="1" si="8"/>
        <v>#VALUE!</v>
      </c>
      <c r="Y107" s="447" t="e">
        <f t="shared" ca="1" si="9"/>
        <v>#VALUE!</v>
      </c>
      <c r="Z107" s="79"/>
    </row>
    <row r="108" spans="1:26" customFormat="1" ht="15">
      <c r="A108" s="231"/>
      <c r="B108" s="288">
        <v>70</v>
      </c>
      <c r="C108" s="260" t="s">
        <v>158</v>
      </c>
      <c r="D108" s="261">
        <v>1</v>
      </c>
      <c r="E108" s="252"/>
      <c r="F108" s="237">
        <v>0.4</v>
      </c>
      <c r="G108" s="456">
        <v>100</v>
      </c>
      <c r="H108" s="398">
        <v>94</v>
      </c>
      <c r="I108" s="417" t="str">
        <f ca="1"/>
        <v>0,000128365775285056</v>
      </c>
      <c r="J108" s="417" t="str">
        <f ca="1"/>
        <v>0,000457186101288494</v>
      </c>
      <c r="K108" s="426" t="str">
        <f ca="1"/>
        <v>0,280773573219485</v>
      </c>
      <c r="L108" s="426" t="str">
        <f ca="1"/>
        <v>0,280773573219485</v>
      </c>
      <c r="M108" s="426" t="str">
        <f ca="1"/>
        <v>-0,000107798606975629</v>
      </c>
      <c r="N108" s="426" t="str">
        <f ca="1"/>
        <v>SOLVAY_MMR.EUR.SU</v>
      </c>
      <c r="O108" s="465" t="str">
        <f ca="1"/>
        <v/>
      </c>
      <c r="P108" s="442" t="e" cm="1">
        <f t="array" aca="1" ref="P108:T108" ca="1">IF(AND($Q$12,B132&lt;=$C$17,C132&lt;&gt;""),TRANSPOSE(INDEX(GetCDS(C132,$C$6,G132/10000,F132,D132,$C$13,$C$14,$C$15,$C$8,,,TRUE,TRUE,FALSE,$C$29:$C$31,$C$33),{1;2;3;4;5})),"")</f>
        <v>#VALUE!</v>
      </c>
      <c r="Q108" s="443" t="e">
        <f ca="1"/>
        <v>#VALUE!</v>
      </c>
      <c r="R108" s="443" t="e">
        <f ca="1"/>
        <v>#VALUE!</v>
      </c>
      <c r="S108" s="444" t="e">
        <f ca="1"/>
        <v>#VALUE!</v>
      </c>
      <c r="T108" s="445" t="e">
        <f ca="1"/>
        <v>#VALUE!</v>
      </c>
      <c r="U108" s="446" t="e">
        <f t="shared" ca="1" si="5"/>
        <v>#VALUE!</v>
      </c>
      <c r="V108" s="447" t="e">
        <f t="shared" ca="1" si="6"/>
        <v>#VALUE!</v>
      </c>
      <c r="W108" s="446" t="e">
        <f t="shared" ca="1" si="7"/>
        <v>#VALUE!</v>
      </c>
      <c r="X108" s="448" t="e">
        <f t="shared" ca="1" si="8"/>
        <v>#VALUE!</v>
      </c>
      <c r="Y108" s="447" t="e">
        <f t="shared" ca="1" si="9"/>
        <v>#VALUE!</v>
      </c>
      <c r="Z108" s="79"/>
    </row>
    <row r="109" spans="1:26" customFormat="1" ht="15">
      <c r="A109" s="231"/>
      <c r="B109" s="288">
        <v>71</v>
      </c>
      <c r="C109" s="260" t="s">
        <v>159</v>
      </c>
      <c r="D109" s="261">
        <v>1</v>
      </c>
      <c r="E109" s="252"/>
      <c r="F109" s="237">
        <v>0.4</v>
      </c>
      <c r="G109" s="456">
        <v>100</v>
      </c>
      <c r="H109" s="398">
        <v>95</v>
      </c>
      <c r="I109" s="417" t="str">
        <f ca="1"/>
        <v>0,00017476210742673</v>
      </c>
      <c r="J109" s="417" t="str">
        <f ca="1"/>
        <v>0,000448971378909375</v>
      </c>
      <c r="K109" s="426" t="str">
        <f ca="1"/>
        <v>0,389249995960223</v>
      </c>
      <c r="L109" s="426" t="str">
        <f ca="1"/>
        <v>0,389249995960223</v>
      </c>
      <c r="M109" s="426" t="str">
        <f ca="1"/>
        <v>-0,000230477990940958</v>
      </c>
      <c r="N109" s="426" t="str">
        <f ca="1"/>
        <v>STGOBAIN_MMR.EUR.SU</v>
      </c>
      <c r="O109" s="465" t="str">
        <f ca="1"/>
        <v/>
      </c>
      <c r="P109" s="442" t="e" cm="1">
        <f t="array" aca="1" ref="P109:T109" ca="1">IF(AND($Q$12,B133&lt;=$C$17,C133&lt;&gt;""),TRANSPOSE(INDEX(GetCDS(C133,$C$6,G133/10000,F133,D133,$C$13,$C$14,$C$15,$C$8,,,TRUE,TRUE,FALSE,$C$29:$C$31,$C$33),{1;2;3;4;5})),"")</f>
        <v>#VALUE!</v>
      </c>
      <c r="Q109" s="443" t="e">
        <f ca="1"/>
        <v>#VALUE!</v>
      </c>
      <c r="R109" s="443" t="e">
        <f ca="1"/>
        <v>#VALUE!</v>
      </c>
      <c r="S109" s="444" t="e">
        <f ca="1"/>
        <v>#VALUE!</v>
      </c>
      <c r="T109" s="445" t="e">
        <f ca="1"/>
        <v>#VALUE!</v>
      </c>
      <c r="U109" s="446" t="e">
        <f t="shared" ca="1" si="5"/>
        <v>#VALUE!</v>
      </c>
      <c r="V109" s="447" t="e">
        <f t="shared" ca="1" si="6"/>
        <v>#VALUE!</v>
      </c>
      <c r="W109" s="446" t="e">
        <f t="shared" ca="1" si="7"/>
        <v>#VALUE!</v>
      </c>
      <c r="X109" s="448" t="e">
        <f t="shared" ca="1" si="8"/>
        <v>#VALUE!</v>
      </c>
      <c r="Y109" s="447" t="e">
        <f t="shared" ca="1" si="9"/>
        <v>#VALUE!</v>
      </c>
      <c r="Z109" s="79"/>
    </row>
    <row r="110" spans="1:26" customFormat="1" ht="15">
      <c r="A110" s="231"/>
      <c r="B110" s="288">
        <v>72</v>
      </c>
      <c r="C110" s="260" t="s">
        <v>160</v>
      </c>
      <c r="D110" s="261">
        <v>1</v>
      </c>
      <c r="E110" s="252"/>
      <c r="F110" s="237">
        <v>0.4</v>
      </c>
      <c r="G110" s="456">
        <v>100</v>
      </c>
      <c r="H110" s="398">
        <v>96</v>
      </c>
      <c r="I110" s="417" t="str">
        <f ca="1"/>
        <v>0,000141147403429787</v>
      </c>
      <c r="J110" s="417" t="str">
        <f ca="1"/>
        <v>0,000455310579348913</v>
      </c>
      <c r="K110" s="426" t="str">
        <f ca="1"/>
        <v>0,310002468274789</v>
      </c>
      <c r="L110" s="426" t="str">
        <f ca="1"/>
        <v>0,310002468274789</v>
      </c>
      <c r="M110" s="426" t="str">
        <f ca="1"/>
        <v>-0,000136563134714951</v>
      </c>
      <c r="N110" s="426" t="str">
        <f ca="1"/>
        <v>STMICRO_MMR.EUR.SU</v>
      </c>
      <c r="O110" s="465" t="str">
        <f ca="1"/>
        <v/>
      </c>
      <c r="P110" s="442" t="e" cm="1">
        <f t="array" aca="1" ref="P110:T110" ca="1">IF(AND($Q$12,B134&lt;=$C$17,C134&lt;&gt;""),TRANSPOSE(INDEX(GetCDS(C134,$C$6,G134/10000,F134,D134,$C$13,$C$14,$C$15,$C$8,,,TRUE,TRUE,FALSE,$C$29:$C$31,$C$33),{1;2;3;4;5})),"")</f>
        <v>#VALUE!</v>
      </c>
      <c r="Q110" s="443" t="e">
        <f ca="1"/>
        <v>#VALUE!</v>
      </c>
      <c r="R110" s="443" t="e">
        <f ca="1"/>
        <v>#VALUE!</v>
      </c>
      <c r="S110" s="444" t="e">
        <f ca="1"/>
        <v>#VALUE!</v>
      </c>
      <c r="T110" s="445" t="e">
        <f ca="1"/>
        <v>#VALUE!</v>
      </c>
      <c r="U110" s="446" t="e">
        <f t="shared" ca="1" si="5"/>
        <v>#VALUE!</v>
      </c>
      <c r="V110" s="447" t="e">
        <f t="shared" ca="1" si="6"/>
        <v>#VALUE!</v>
      </c>
      <c r="W110" s="446" t="e">
        <f t="shared" ca="1" si="7"/>
        <v>#VALUE!</v>
      </c>
      <c r="X110" s="448" t="e">
        <f t="shared" ca="1" si="8"/>
        <v>#VALUE!</v>
      </c>
      <c r="Y110" s="447" t="e">
        <f t="shared" ca="1" si="9"/>
        <v>#VALUE!</v>
      </c>
      <c r="Z110" s="79"/>
    </row>
    <row r="111" spans="1:26" customFormat="1" ht="15">
      <c r="A111" s="231"/>
      <c r="B111" s="288">
        <v>73</v>
      </c>
      <c r="C111" s="260" t="s">
        <v>161</v>
      </c>
      <c r="D111" s="261">
        <v>1</v>
      </c>
      <c r="E111" s="252"/>
      <c r="F111" s="237">
        <v>0.4</v>
      </c>
      <c r="G111" s="456">
        <v>100</v>
      </c>
      <c r="H111" s="398">
        <v>97</v>
      </c>
      <c r="I111" s="417" t="str">
        <f ca="1"/>
        <v>0,000184088234317414</v>
      </c>
      <c r="J111" s="417" t="str">
        <f ca="1"/>
        <v>0,000446742874160799</v>
      </c>
      <c r="K111" s="426" t="str">
        <f ca="1"/>
        <v>0,412067533619247</v>
      </c>
      <c r="L111" s="426" t="str">
        <f ca="1"/>
        <v>0,412067533619247</v>
      </c>
      <c r="M111" s="426" t="str">
        <f ca="1"/>
        <v>-0,00026163660214904</v>
      </c>
      <c r="N111" s="426" t="str">
        <f ca="1"/>
        <v>SUEDZUCKERAG_MMR.EUR.SU</v>
      </c>
      <c r="O111" s="465" t="str">
        <f ca="1"/>
        <v/>
      </c>
      <c r="P111" s="442" t="e" cm="1">
        <f t="array" aca="1" ref="P111:T111" ca="1">IF(AND($Q$12,B135&lt;=$C$17,C135&lt;&gt;""),TRANSPOSE(INDEX(GetCDS(C135,$C$6,G135/10000,F135,D135,$C$13,$C$14,$C$15,$C$8,,,TRUE,TRUE,FALSE,$C$29:$C$31,$C$33),{1;2;3;4;5})),"")</f>
        <v>#VALUE!</v>
      </c>
      <c r="Q111" s="443" t="e">
        <f ca="1"/>
        <v>#VALUE!</v>
      </c>
      <c r="R111" s="443" t="e">
        <f ca="1"/>
        <v>#VALUE!</v>
      </c>
      <c r="S111" s="444" t="e">
        <f ca="1"/>
        <v>#VALUE!</v>
      </c>
      <c r="T111" s="445" t="e">
        <f ca="1"/>
        <v>#VALUE!</v>
      </c>
      <c r="U111" s="446" t="e">
        <f t="shared" ca="1" si="5"/>
        <v>#VALUE!</v>
      </c>
      <c r="V111" s="447" t="e">
        <f t="shared" ca="1" si="6"/>
        <v>#VALUE!</v>
      </c>
      <c r="W111" s="446" t="e">
        <f t="shared" ca="1" si="7"/>
        <v>#VALUE!</v>
      </c>
      <c r="X111" s="448" t="e">
        <f t="shared" ca="1" si="8"/>
        <v>#VALUE!</v>
      </c>
      <c r="Y111" s="447" t="e">
        <f t="shared" ca="1" si="9"/>
        <v>#VALUE!</v>
      </c>
      <c r="Z111" s="79"/>
    </row>
    <row r="112" spans="1:26" customFormat="1" ht="15">
      <c r="A112" s="231"/>
      <c r="B112" s="288">
        <v>74</v>
      </c>
      <c r="C112" s="260" t="s">
        <v>162</v>
      </c>
      <c r="D112" s="261">
        <v>1</v>
      </c>
      <c r="E112" s="252"/>
      <c r="F112" s="237">
        <v>0.4</v>
      </c>
      <c r="G112" s="456">
        <v>100</v>
      </c>
      <c r="H112" s="398">
        <v>98</v>
      </c>
      <c r="I112" s="417" t="str">
        <f ca="1"/>
        <v>0,000139693612598979</v>
      </c>
      <c r="J112" s="417" t="str">
        <f ca="1"/>
        <v>0,000455708274934678</v>
      </c>
      <c r="K112" s="426" t="str">
        <f ca="1"/>
        <v>0,306541751121379</v>
      </c>
      <c r="L112" s="426" t="str">
        <f ca="1"/>
        <v>0,306541751121379</v>
      </c>
      <c r="M112" s="426" t="str">
        <f ca="1"/>
        <v>-0,000131876884180215</v>
      </c>
      <c r="N112" s="426" t="str">
        <f ca="1"/>
        <v>SUEZLYONNAISE_MMR.EUR.SU</v>
      </c>
      <c r="O112" s="465" t="str">
        <f ca="1"/>
        <v/>
      </c>
      <c r="P112" s="442" t="e" cm="1">
        <f t="array" aca="1" ref="P112:T112" ca="1">IF(AND($Q$12,B136&lt;=$C$17,C136&lt;&gt;""),TRANSPOSE(INDEX(GetCDS(C136,$C$6,G136/10000,F136,D136,$C$13,$C$14,$C$15,$C$8,,,TRUE,TRUE,FALSE,$C$29:$C$31,$C$33),{1;2;3;4;5})),"")</f>
        <v>#VALUE!</v>
      </c>
      <c r="Q112" s="443" t="e">
        <f ca="1"/>
        <v>#VALUE!</v>
      </c>
      <c r="R112" s="443" t="e">
        <f ca="1"/>
        <v>#VALUE!</v>
      </c>
      <c r="S112" s="444" t="e">
        <f ca="1"/>
        <v>#VALUE!</v>
      </c>
      <c r="T112" s="445" t="e">
        <f ca="1"/>
        <v>#VALUE!</v>
      </c>
      <c r="U112" s="446" t="e">
        <f t="shared" ca="1" si="5"/>
        <v>#VALUE!</v>
      </c>
      <c r="V112" s="447" t="e">
        <f t="shared" ca="1" si="6"/>
        <v>#VALUE!</v>
      </c>
      <c r="W112" s="446" t="e">
        <f t="shared" ca="1" si="7"/>
        <v>#VALUE!</v>
      </c>
      <c r="X112" s="448" t="e">
        <f t="shared" ca="1" si="8"/>
        <v>#VALUE!</v>
      </c>
      <c r="Y112" s="447" t="e">
        <f t="shared" ca="1" si="9"/>
        <v>#VALUE!</v>
      </c>
      <c r="Z112" s="79"/>
    </row>
    <row r="113" spans="1:26" customFormat="1" ht="15">
      <c r="A113" s="231"/>
      <c r="B113" s="288">
        <v>75</v>
      </c>
      <c r="C113" s="260" t="s">
        <v>163</v>
      </c>
      <c r="D113" s="261">
        <v>1</v>
      </c>
      <c r="E113" s="252"/>
      <c r="F113" s="237">
        <v>0.4</v>
      </c>
      <c r="G113" s="456">
        <v>100</v>
      </c>
      <c r="H113" s="398">
        <v>99</v>
      </c>
      <c r="I113" s="417" t="str">
        <f ca="1"/>
        <v>0,000172682830609717</v>
      </c>
      <c r="J113" s="417" t="str">
        <f ca="1"/>
        <v>0,000449328714889967</v>
      </c>
      <c r="K113" s="426" t="str">
        <f ca="1"/>
        <v>0,384312920334958</v>
      </c>
      <c r="L113" s="426" t="str">
        <f ca="1"/>
        <v>0,384312920334958</v>
      </c>
      <c r="M113" s="426" t="str">
        <f ca="1"/>
        <v>-0,000224459565452051</v>
      </c>
      <c r="N113" s="426" t="str">
        <f ca="1"/>
        <v>SVENSKACELLULOSAAB_MMR.EUR.SU</v>
      </c>
      <c r="O113" s="465" t="str">
        <f ca="1"/>
        <v/>
      </c>
      <c r="P113" s="442" t="e" cm="1">
        <f t="array" aca="1" ref="P113:T113" ca="1">IF(AND($Q$12,B137&lt;=$C$17,C137&lt;&gt;""),TRANSPOSE(INDEX(GetCDS(C137,$C$6,G137/10000,F137,D137,$C$13,$C$14,$C$15,$C$8,,,TRUE,TRUE,FALSE,$C$29:$C$31,$C$33),{1;2;3;4;5})),"")</f>
        <v>#VALUE!</v>
      </c>
      <c r="Q113" s="443" t="e">
        <f ca="1"/>
        <v>#VALUE!</v>
      </c>
      <c r="R113" s="443" t="e">
        <f ca="1"/>
        <v>#VALUE!</v>
      </c>
      <c r="S113" s="444" t="e">
        <f ca="1"/>
        <v>#VALUE!</v>
      </c>
      <c r="T113" s="445" t="e">
        <f ca="1"/>
        <v>#VALUE!</v>
      </c>
      <c r="U113" s="446" t="e">
        <f t="shared" ca="1" si="5"/>
        <v>#VALUE!</v>
      </c>
      <c r="V113" s="447" t="e">
        <f t="shared" ca="1" si="6"/>
        <v>#VALUE!</v>
      </c>
      <c r="W113" s="446" t="e">
        <f t="shared" ca="1" si="7"/>
        <v>#VALUE!</v>
      </c>
      <c r="X113" s="448" t="e">
        <f t="shared" ca="1" si="8"/>
        <v>#VALUE!</v>
      </c>
      <c r="Y113" s="447" t="e">
        <f t="shared" ca="1" si="9"/>
        <v>#VALUE!</v>
      </c>
      <c r="Z113" s="79"/>
    </row>
    <row r="114" spans="1:26" customFormat="1" ht="15">
      <c r="A114" s="231"/>
      <c r="B114" s="288">
        <v>76</v>
      </c>
      <c r="C114" s="260" t="s">
        <v>164</v>
      </c>
      <c r="D114" s="261">
        <v>1</v>
      </c>
      <c r="E114" s="252"/>
      <c r="F114" s="237">
        <v>0.4</v>
      </c>
      <c r="G114" s="456">
        <v>100</v>
      </c>
      <c r="H114" s="398">
        <v>100</v>
      </c>
      <c r="I114" s="417" t="str">
        <f ca="1"/>
        <v>0,000158720622019715</v>
      </c>
      <c r="J114" s="417" t="str">
        <f ca="1"/>
        <v>0,000452787876189395</v>
      </c>
      <c r="K114" s="426" t="str">
        <f ca="1"/>
        <v>0,350540794854066</v>
      </c>
      <c r="L114" s="426" t="str">
        <f ca="1"/>
        <v>0,350540794854066</v>
      </c>
      <c r="M114" s="426" t="str">
        <f ca="1"/>
        <v>-0,000179337692105941</v>
      </c>
      <c r="N114" s="426" t="str">
        <f ca="1"/>
        <v>SWISSRE_MMR.EUR.SU</v>
      </c>
      <c r="O114" s="465" t="str">
        <f ca="1"/>
        <v/>
      </c>
      <c r="P114" s="442" t="e" cm="1">
        <f t="array" aca="1" ref="P114:T114" ca="1">IF(AND($Q$12,B138&lt;=$C$17,C138&lt;&gt;""),TRANSPOSE(INDEX(GetCDS(C138,$C$6,G138/10000,F138,D138,$C$13,$C$14,$C$15,$C$8,,,TRUE,TRUE,FALSE,$C$29:$C$31,$C$33),{1;2;3;4;5})),"")</f>
        <v>#VALUE!</v>
      </c>
      <c r="Q114" s="443" t="e">
        <f ca="1"/>
        <v>#VALUE!</v>
      </c>
      <c r="R114" s="443" t="e">
        <f ca="1"/>
        <v>#VALUE!</v>
      </c>
      <c r="S114" s="444" t="e">
        <f ca="1"/>
        <v>#VALUE!</v>
      </c>
      <c r="T114" s="445" t="e">
        <f ca="1"/>
        <v>#VALUE!</v>
      </c>
      <c r="U114" s="446" t="e">
        <f t="shared" ca="1" si="5"/>
        <v>#VALUE!</v>
      </c>
      <c r="V114" s="447" t="e">
        <f t="shared" ca="1" si="6"/>
        <v>#VALUE!</v>
      </c>
      <c r="W114" s="446" t="e">
        <f t="shared" ca="1" si="7"/>
        <v>#VALUE!</v>
      </c>
      <c r="X114" s="448" t="e">
        <f t="shared" ca="1" si="8"/>
        <v>#VALUE!</v>
      </c>
      <c r="Y114" s="447" t="e">
        <f t="shared" ca="1" si="9"/>
        <v>#VALUE!</v>
      </c>
      <c r="Z114" s="79"/>
    </row>
    <row r="115" spans="1:26" customFormat="1" ht="15">
      <c r="A115" s="231"/>
      <c r="B115" s="288">
        <v>77</v>
      </c>
      <c r="C115" s="260" t="s">
        <v>165</v>
      </c>
      <c r="D115" s="261">
        <v>1</v>
      </c>
      <c r="E115" s="252"/>
      <c r="F115" s="237">
        <v>0.4</v>
      </c>
      <c r="G115" s="456">
        <v>100</v>
      </c>
      <c r="H115" s="398">
        <v>101</v>
      </c>
      <c r="I115" s="417"/>
      <c r="J115" s="417"/>
      <c r="K115" s="426"/>
      <c r="L115" s="426"/>
      <c r="M115" s="426"/>
      <c r="N115" s="426"/>
      <c r="O115" s="465"/>
      <c r="P115" s="442" t="str" cm="1">
        <f t="array" aca="1" ref="P115" ca="1">IF(AND($Q$12,B139&lt;=$C$17,C139&lt;&gt;""),TRANSPOSE(INDEX(GetCDS(C139,$C$6,G139/10000,F139,D139,$C$13,$C$14,$C$15,$C$8,,,TRUE,TRUE,FALSE,$C$29:$C$31,$C$33),{1;2;3;4;5})),"")</f>
        <v/>
      </c>
      <c r="Q115" s="443"/>
      <c r="R115" s="443"/>
      <c r="S115" s="444"/>
      <c r="T115" s="445"/>
      <c r="U115" s="446" t="str">
        <f t="shared" ca="1" si="5"/>
        <v/>
      </c>
      <c r="V115" s="447" t="str">
        <f t="shared" ca="1" si="6"/>
        <v/>
      </c>
      <c r="W115" s="446" t="str">
        <f t="shared" ca="1" si="7"/>
        <v/>
      </c>
      <c r="X115" s="448" t="str">
        <f t="shared" ca="1" si="8"/>
        <v/>
      </c>
      <c r="Y115" s="447" t="str">
        <f t="shared" ca="1" si="9"/>
        <v/>
      </c>
      <c r="Z115" s="79"/>
    </row>
    <row r="116" spans="1:26" customFormat="1" ht="15">
      <c r="A116" s="231"/>
      <c r="B116" s="288">
        <v>78</v>
      </c>
      <c r="C116" s="260" t="s">
        <v>166</v>
      </c>
      <c r="D116" s="261">
        <v>1</v>
      </c>
      <c r="E116" s="252"/>
      <c r="F116" s="237">
        <v>0.4</v>
      </c>
      <c r="G116" s="456">
        <v>100</v>
      </c>
      <c r="H116" s="398">
        <v>102</v>
      </c>
      <c r="I116" s="417"/>
      <c r="J116" s="417"/>
      <c r="K116" s="426"/>
      <c r="L116" s="426"/>
      <c r="M116" s="426"/>
      <c r="N116" s="426"/>
      <c r="O116" s="465"/>
      <c r="P116" s="442" t="str" cm="1">
        <f t="array" aca="1" ref="P116" ca="1">IF(AND($Q$12,B140&lt;=$C$17,C140&lt;&gt;""),TRANSPOSE(INDEX(GetCDS(C140,$C$6,G140/10000,F140,D140,$C$13,$C$14,$C$15,$C$8,,,TRUE,TRUE,FALSE,$C$29:$C$31,$C$33),{1;2;3;4;5})),"")</f>
        <v/>
      </c>
      <c r="Q116" s="443"/>
      <c r="R116" s="443"/>
      <c r="S116" s="444"/>
      <c r="T116" s="445"/>
      <c r="U116" s="446" t="str">
        <f t="shared" ca="1" si="5"/>
        <v/>
      </c>
      <c r="V116" s="447" t="str">
        <f t="shared" ca="1" si="6"/>
        <v/>
      </c>
      <c r="W116" s="446" t="str">
        <f t="shared" ca="1" si="7"/>
        <v/>
      </c>
      <c r="X116" s="448" t="str">
        <f t="shared" ca="1" si="8"/>
        <v/>
      </c>
      <c r="Y116" s="447" t="str">
        <f t="shared" ca="1" si="9"/>
        <v/>
      </c>
      <c r="Z116" s="79"/>
    </row>
    <row r="117" spans="1:26" customFormat="1" ht="15">
      <c r="A117" s="231"/>
      <c r="B117" s="288">
        <v>79</v>
      </c>
      <c r="C117" s="260" t="s">
        <v>167</v>
      </c>
      <c r="D117" s="261">
        <v>1</v>
      </c>
      <c r="E117" s="252"/>
      <c r="F117" s="237">
        <v>0.4</v>
      </c>
      <c r="G117" s="456">
        <v>100</v>
      </c>
      <c r="H117" s="398">
        <v>103</v>
      </c>
      <c r="I117" s="417"/>
      <c r="J117" s="417"/>
      <c r="K117" s="426"/>
      <c r="L117" s="426"/>
      <c r="M117" s="426"/>
      <c r="N117" s="426"/>
      <c r="O117" s="465"/>
      <c r="P117" s="442" t="str" cm="1">
        <f t="array" aca="1" ref="P117" ca="1">IF(AND($Q$12,B141&lt;=$C$17,C141&lt;&gt;""),TRANSPOSE(INDEX(GetCDS(C141,$C$6,G141/10000,F141,D141,$C$13,$C$14,$C$15,$C$8,,,TRUE,TRUE,FALSE,$C$29:$C$31,$C$33),{1;2;3;4;5})),"")</f>
        <v/>
      </c>
      <c r="Q117" s="443"/>
      <c r="R117" s="443"/>
      <c r="S117" s="444"/>
      <c r="T117" s="445"/>
      <c r="U117" s="446" t="str">
        <f t="shared" ca="1" si="5"/>
        <v/>
      </c>
      <c r="V117" s="447" t="str">
        <f t="shared" ca="1" si="6"/>
        <v/>
      </c>
      <c r="W117" s="446" t="str">
        <f t="shared" ca="1" si="7"/>
        <v/>
      </c>
      <c r="X117" s="448" t="str">
        <f t="shared" ca="1" si="8"/>
        <v/>
      </c>
      <c r="Y117" s="447" t="str">
        <f t="shared" ca="1" si="9"/>
        <v/>
      </c>
      <c r="Z117" s="79"/>
    </row>
    <row r="118" spans="1:26" customFormat="1" ht="15">
      <c r="A118" s="231"/>
      <c r="B118" s="288">
        <v>80</v>
      </c>
      <c r="C118" s="260" t="s">
        <v>168</v>
      </c>
      <c r="D118" s="261">
        <v>1</v>
      </c>
      <c r="E118" s="252"/>
      <c r="F118" s="237">
        <v>0.4</v>
      </c>
      <c r="G118" s="456">
        <v>100</v>
      </c>
      <c r="H118" s="398">
        <v>104</v>
      </c>
      <c r="I118" s="417"/>
      <c r="J118" s="417"/>
      <c r="K118" s="426"/>
      <c r="L118" s="426"/>
      <c r="M118" s="426"/>
      <c r="N118" s="426"/>
      <c r="O118" s="465"/>
      <c r="P118" s="442" t="str" cm="1">
        <f t="array" aca="1" ref="P118" ca="1">IF(AND($Q$12,B142&lt;=$C$17,C142&lt;&gt;""),TRANSPOSE(INDEX(GetCDS(C142,$C$6,G142/10000,F142,D142,$C$13,$C$14,$C$15,$C$8,,,TRUE,TRUE,FALSE,$C$29:$C$31,$C$33),{1;2;3;4;5})),"")</f>
        <v/>
      </c>
      <c r="Q118" s="443"/>
      <c r="R118" s="443"/>
      <c r="S118" s="444"/>
      <c r="T118" s="445"/>
      <c r="U118" s="446" t="str">
        <f t="shared" ca="1" si="5"/>
        <v/>
      </c>
      <c r="V118" s="447" t="str">
        <f t="shared" ca="1" si="6"/>
        <v/>
      </c>
      <c r="W118" s="446" t="str">
        <f t="shared" ca="1" si="7"/>
        <v/>
      </c>
      <c r="X118" s="448" t="str">
        <f t="shared" ca="1" si="8"/>
        <v/>
      </c>
      <c r="Y118" s="447" t="str">
        <f t="shared" ca="1" si="9"/>
        <v/>
      </c>
      <c r="Z118" s="79"/>
    </row>
    <row r="119" spans="1:26" customFormat="1" ht="15">
      <c r="A119" s="231"/>
      <c r="B119" s="288">
        <v>81</v>
      </c>
      <c r="C119" s="260" t="s">
        <v>169</v>
      </c>
      <c r="D119" s="261">
        <v>1</v>
      </c>
      <c r="E119" s="252"/>
      <c r="F119" s="237">
        <v>0.4</v>
      </c>
      <c r="G119" s="456">
        <v>100</v>
      </c>
      <c r="H119" s="398">
        <v>105</v>
      </c>
      <c r="I119" s="417"/>
      <c r="J119" s="417"/>
      <c r="K119" s="426"/>
      <c r="L119" s="426"/>
      <c r="M119" s="426"/>
      <c r="N119" s="426"/>
      <c r="O119" s="465"/>
      <c r="P119" s="442" t="str" cm="1">
        <f t="array" aca="1" ref="P119" ca="1">IF(AND($Q$12,B143&lt;=$C$17,C143&lt;&gt;""),TRANSPOSE(INDEX(GetCDS(C143,$C$6,G143/10000,F143,D143,$C$13,$C$14,$C$15,$C$8,,,TRUE,TRUE,FALSE,$C$29:$C$31,$C$33),{1;2;3;4;5})),"")</f>
        <v/>
      </c>
      <c r="Q119" s="443"/>
      <c r="R119" s="443"/>
      <c r="S119" s="444"/>
      <c r="T119" s="445"/>
      <c r="U119" s="446" t="str">
        <f t="shared" ca="1" si="5"/>
        <v/>
      </c>
      <c r="V119" s="447" t="str">
        <f t="shared" ca="1" si="6"/>
        <v/>
      </c>
      <c r="W119" s="446" t="str">
        <f t="shared" ca="1" si="7"/>
        <v/>
      </c>
      <c r="X119" s="448" t="str">
        <f t="shared" ca="1" si="8"/>
        <v/>
      </c>
      <c r="Y119" s="447" t="str">
        <f t="shared" ca="1" si="9"/>
        <v/>
      </c>
      <c r="Z119" s="79"/>
    </row>
    <row r="120" spans="1:26" customFormat="1" ht="15">
      <c r="A120" s="231"/>
      <c r="B120" s="288">
        <v>82</v>
      </c>
      <c r="C120" s="260" t="s">
        <v>170</v>
      </c>
      <c r="D120" s="261">
        <v>1</v>
      </c>
      <c r="E120" s="252"/>
      <c r="F120" s="237">
        <v>0.4</v>
      </c>
      <c r="G120" s="456">
        <v>100</v>
      </c>
      <c r="H120" s="398">
        <v>106</v>
      </c>
      <c r="I120" s="417"/>
      <c r="J120" s="417"/>
      <c r="K120" s="426"/>
      <c r="L120" s="426"/>
      <c r="M120" s="426"/>
      <c r="N120" s="426"/>
      <c r="O120" s="465"/>
      <c r="P120" s="442" t="str" cm="1">
        <f t="array" aca="1" ref="P120" ca="1">IF(AND($Q$12,B144&lt;=$C$17,C144&lt;&gt;""),TRANSPOSE(INDEX(GetCDS(C144,$C$6,G144/10000,F144,D144,$C$13,$C$14,$C$15,$C$8,,,TRUE,TRUE,FALSE,$C$29:$C$31,$C$33),{1;2;3;4;5})),"")</f>
        <v/>
      </c>
      <c r="Q120" s="443"/>
      <c r="R120" s="443"/>
      <c r="S120" s="444"/>
      <c r="T120" s="445"/>
      <c r="U120" s="446" t="str">
        <f t="shared" ca="1" si="5"/>
        <v/>
      </c>
      <c r="V120" s="447" t="str">
        <f t="shared" ca="1" si="6"/>
        <v/>
      </c>
      <c r="W120" s="446" t="str">
        <f t="shared" ca="1" si="7"/>
        <v/>
      </c>
      <c r="X120" s="448" t="str">
        <f t="shared" ca="1" si="8"/>
        <v/>
      </c>
      <c r="Y120" s="447" t="str">
        <f t="shared" ca="1" si="9"/>
        <v/>
      </c>
      <c r="Z120" s="79"/>
    </row>
    <row r="121" spans="1:26" customFormat="1" ht="15">
      <c r="A121" s="231"/>
      <c r="B121" s="288">
        <v>83</v>
      </c>
      <c r="C121" s="260" t="s">
        <v>171</v>
      </c>
      <c r="D121" s="261">
        <v>1</v>
      </c>
      <c r="E121" s="252"/>
      <c r="F121" s="237">
        <v>0.4</v>
      </c>
      <c r="G121" s="456">
        <v>100</v>
      </c>
      <c r="H121" s="398">
        <v>107</v>
      </c>
      <c r="I121" s="417"/>
      <c r="J121" s="417"/>
      <c r="K121" s="426"/>
      <c r="L121" s="426"/>
      <c r="M121" s="426"/>
      <c r="N121" s="426"/>
      <c r="O121" s="465"/>
      <c r="P121" s="442" t="str" cm="1">
        <f t="array" aca="1" ref="P121" ca="1">IF(AND($Q$12,B145&lt;=$C$17,C145&lt;&gt;""),TRANSPOSE(INDEX(GetCDS(C145,$C$6,G145/10000,F145,D145,$C$13,$C$14,$C$15,$C$8,,,TRUE,TRUE,FALSE,$C$29:$C$31,$C$33),{1;2;3;4;5})),"")</f>
        <v/>
      </c>
      <c r="Q121" s="443"/>
      <c r="R121" s="443"/>
      <c r="S121" s="444"/>
      <c r="T121" s="445"/>
      <c r="U121" s="446" t="str">
        <f t="shared" ca="1" si="5"/>
        <v/>
      </c>
      <c r="V121" s="447" t="str">
        <f t="shared" ca="1" si="6"/>
        <v/>
      </c>
      <c r="W121" s="446" t="str">
        <f t="shared" ca="1" si="7"/>
        <v/>
      </c>
      <c r="X121" s="448" t="str">
        <f t="shared" ca="1" si="8"/>
        <v/>
      </c>
      <c r="Y121" s="447" t="str">
        <f t="shared" ca="1" si="9"/>
        <v/>
      </c>
      <c r="Z121" s="79"/>
    </row>
    <row r="122" spans="1:26" customFormat="1" ht="15">
      <c r="A122" s="231"/>
      <c r="B122" s="288">
        <v>84</v>
      </c>
      <c r="C122" s="260" t="s">
        <v>172</v>
      </c>
      <c r="D122" s="261">
        <v>1</v>
      </c>
      <c r="E122" s="252"/>
      <c r="F122" s="237">
        <v>0.4</v>
      </c>
      <c r="G122" s="456">
        <v>100</v>
      </c>
      <c r="H122" s="398">
        <v>108</v>
      </c>
      <c r="I122" s="417"/>
      <c r="J122" s="417"/>
      <c r="K122" s="426"/>
      <c r="L122" s="426"/>
      <c r="M122" s="426"/>
      <c r="N122" s="426"/>
      <c r="O122" s="465"/>
      <c r="P122" s="442" t="str" cm="1">
        <f t="array" aca="1" ref="P122" ca="1">IF(AND($Q$12,B146&lt;=$C$17,C146&lt;&gt;""),TRANSPOSE(INDEX(GetCDS(C146,$C$6,G146/10000,F146,D146,$C$13,$C$14,$C$15,$C$8,,,TRUE,TRUE,FALSE,$C$29:$C$31,$C$33),{1;2;3;4;5})),"")</f>
        <v/>
      </c>
      <c r="Q122" s="443"/>
      <c r="R122" s="443"/>
      <c r="S122" s="444"/>
      <c r="T122" s="445"/>
      <c r="U122" s="446" t="str">
        <f t="shared" ca="1" si="5"/>
        <v/>
      </c>
      <c r="V122" s="447" t="str">
        <f t="shared" ca="1" si="6"/>
        <v/>
      </c>
      <c r="W122" s="446" t="str">
        <f t="shared" ca="1" si="7"/>
        <v/>
      </c>
      <c r="X122" s="448" t="str">
        <f t="shared" ca="1" si="8"/>
        <v/>
      </c>
      <c r="Y122" s="447" t="str">
        <f t="shared" ca="1" si="9"/>
        <v/>
      </c>
      <c r="Z122" s="79"/>
    </row>
    <row r="123" spans="1:26" customFormat="1" ht="15">
      <c r="A123" s="231"/>
      <c r="B123" s="288">
        <v>85</v>
      </c>
      <c r="C123" s="260" t="s">
        <v>173</v>
      </c>
      <c r="D123" s="261">
        <v>1</v>
      </c>
      <c r="E123" s="252"/>
      <c r="F123" s="237">
        <v>0.4</v>
      </c>
      <c r="G123" s="456">
        <v>100</v>
      </c>
      <c r="H123" s="398">
        <v>109</v>
      </c>
      <c r="I123" s="417"/>
      <c r="J123" s="417"/>
      <c r="K123" s="426"/>
      <c r="L123" s="426"/>
      <c r="M123" s="426"/>
      <c r="N123" s="426"/>
      <c r="O123" s="465"/>
      <c r="P123" s="442" t="str" cm="1">
        <f t="array" aca="1" ref="P123" ca="1">IF(AND($Q$12,B147&lt;=$C$17,C147&lt;&gt;""),TRANSPOSE(INDEX(GetCDS(C147,$C$6,G147/10000,F147,D147,$C$13,$C$14,$C$15,$C$8,,,TRUE,TRUE,FALSE,$C$29:$C$31,$C$33),{1;2;3;4;5})),"")</f>
        <v/>
      </c>
      <c r="Q123" s="443"/>
      <c r="R123" s="443"/>
      <c r="S123" s="444"/>
      <c r="T123" s="445"/>
      <c r="U123" s="446" t="str">
        <f t="shared" ca="1" si="5"/>
        <v/>
      </c>
      <c r="V123" s="447" t="str">
        <f t="shared" ca="1" si="6"/>
        <v/>
      </c>
      <c r="W123" s="446" t="str">
        <f t="shared" ca="1" si="7"/>
        <v/>
      </c>
      <c r="X123" s="448" t="str">
        <f t="shared" ca="1" si="8"/>
        <v/>
      </c>
      <c r="Y123" s="447" t="str">
        <f t="shared" ca="1" si="9"/>
        <v/>
      </c>
      <c r="Z123" s="79"/>
    </row>
    <row r="124" spans="1:26" customFormat="1" ht="15">
      <c r="A124" s="231"/>
      <c r="B124" s="288">
        <v>86</v>
      </c>
      <c r="C124" s="260" t="s">
        <v>174</v>
      </c>
      <c r="D124" s="261">
        <v>1</v>
      </c>
      <c r="E124" s="252"/>
      <c r="F124" s="237">
        <v>0.4</v>
      </c>
      <c r="G124" s="456">
        <v>100</v>
      </c>
      <c r="H124" s="398">
        <v>110</v>
      </c>
      <c r="I124" s="417"/>
      <c r="J124" s="417"/>
      <c r="K124" s="426"/>
      <c r="L124" s="426"/>
      <c r="M124" s="426"/>
      <c r="N124" s="426"/>
      <c r="O124" s="465"/>
      <c r="P124" s="442" t="str" cm="1">
        <f t="array" aca="1" ref="P124" ca="1">IF(AND($Q$12,B148&lt;=$C$17,C148&lt;&gt;""),TRANSPOSE(INDEX(GetCDS(C148,$C$6,G148/10000,F148,D148,$C$13,$C$14,$C$15,$C$8,,,TRUE,TRUE,FALSE,$C$29:$C$31,$C$33),{1;2;3;4;5})),"")</f>
        <v/>
      </c>
      <c r="Q124" s="443"/>
      <c r="R124" s="443"/>
      <c r="S124" s="444"/>
      <c r="T124" s="445"/>
      <c r="U124" s="446" t="str">
        <f t="shared" ca="1" si="5"/>
        <v/>
      </c>
      <c r="V124" s="447" t="str">
        <f t="shared" ca="1" si="6"/>
        <v/>
      </c>
      <c r="W124" s="446" t="str">
        <f t="shared" ca="1" si="7"/>
        <v/>
      </c>
      <c r="X124" s="448" t="str">
        <f t="shared" ca="1" si="8"/>
        <v/>
      </c>
      <c r="Y124" s="447" t="str">
        <f t="shared" ca="1" si="9"/>
        <v/>
      </c>
      <c r="Z124" s="79"/>
    </row>
    <row r="125" spans="1:26" customFormat="1" ht="15">
      <c r="A125" s="231"/>
      <c r="B125" s="288">
        <v>87</v>
      </c>
      <c r="C125" s="260" t="s">
        <v>175</v>
      </c>
      <c r="D125" s="261">
        <v>1</v>
      </c>
      <c r="E125" s="252"/>
      <c r="F125" s="237">
        <v>0.4</v>
      </c>
      <c r="G125" s="456">
        <v>100</v>
      </c>
      <c r="H125" s="398">
        <v>111</v>
      </c>
      <c r="I125" s="417"/>
      <c r="J125" s="417"/>
      <c r="K125" s="426"/>
      <c r="L125" s="426"/>
      <c r="M125" s="426"/>
      <c r="N125" s="426"/>
      <c r="O125" s="465"/>
      <c r="P125" s="442" t="str" cm="1">
        <f t="array" aca="1" ref="P125" ca="1">IF(AND($Q$12,B149&lt;=$C$17,C149&lt;&gt;""),TRANSPOSE(INDEX(GetCDS(C149,$C$6,G149/10000,F149,D149,$C$13,$C$14,$C$15,$C$8,,,TRUE,TRUE,FALSE,$C$29:$C$31,$C$33),{1;2;3;4;5})),"")</f>
        <v/>
      </c>
      <c r="Q125" s="443"/>
      <c r="R125" s="443"/>
      <c r="S125" s="444"/>
      <c r="T125" s="445"/>
      <c r="U125" s="446" t="str">
        <f t="shared" ca="1" si="5"/>
        <v/>
      </c>
      <c r="V125" s="447" t="str">
        <f t="shared" ca="1" si="6"/>
        <v/>
      </c>
      <c r="W125" s="446" t="str">
        <f t="shared" ca="1" si="7"/>
        <v/>
      </c>
      <c r="X125" s="448" t="str">
        <f t="shared" ca="1" si="8"/>
        <v/>
      </c>
      <c r="Y125" s="447" t="str">
        <f t="shared" ca="1" si="9"/>
        <v/>
      </c>
      <c r="Z125" s="79"/>
    </row>
    <row r="126" spans="1:26" customFormat="1" ht="15">
      <c r="A126" s="231"/>
      <c r="B126" s="288">
        <v>88</v>
      </c>
      <c r="C126" s="260" t="s">
        <v>176</v>
      </c>
      <c r="D126" s="261">
        <v>1</v>
      </c>
      <c r="E126" s="252"/>
      <c r="F126" s="237">
        <v>0.4</v>
      </c>
      <c r="G126" s="456">
        <v>100</v>
      </c>
      <c r="H126" s="398">
        <v>112</v>
      </c>
      <c r="I126" s="417"/>
      <c r="J126" s="417"/>
      <c r="K126" s="426"/>
      <c r="L126" s="426"/>
      <c r="M126" s="426"/>
      <c r="N126" s="426"/>
      <c r="O126" s="465"/>
      <c r="P126" s="442" t="str" cm="1">
        <f t="array" aca="1" ref="P126" ca="1">IF(AND($Q$12,B150&lt;=$C$17,C150&lt;&gt;""),TRANSPOSE(INDEX(GetCDS(C150,$C$6,G150/10000,F150,D150,$C$13,$C$14,$C$15,$C$8,,,TRUE,TRUE,FALSE,$C$29:$C$31,$C$33),{1;2;3;4;5})),"")</f>
        <v/>
      </c>
      <c r="Q126" s="443"/>
      <c r="R126" s="443"/>
      <c r="S126" s="444"/>
      <c r="T126" s="445"/>
      <c r="U126" s="446" t="str">
        <f t="shared" ca="1" si="5"/>
        <v/>
      </c>
      <c r="V126" s="447" t="str">
        <f t="shared" ca="1" si="6"/>
        <v/>
      </c>
      <c r="W126" s="446" t="str">
        <f t="shared" ca="1" si="7"/>
        <v/>
      </c>
      <c r="X126" s="448" t="str">
        <f t="shared" ca="1" si="8"/>
        <v/>
      </c>
      <c r="Y126" s="447" t="str">
        <f t="shared" ca="1" si="9"/>
        <v/>
      </c>
      <c r="Z126" s="79"/>
    </row>
    <row r="127" spans="1:26" customFormat="1" ht="15">
      <c r="A127" s="231"/>
      <c r="B127" s="288">
        <v>89</v>
      </c>
      <c r="C127" s="260" t="s">
        <v>177</v>
      </c>
      <c r="D127" s="261">
        <v>1</v>
      </c>
      <c r="E127" s="252"/>
      <c r="F127" s="237">
        <v>0.4</v>
      </c>
      <c r="G127" s="456">
        <v>100</v>
      </c>
      <c r="H127" s="398">
        <v>113</v>
      </c>
      <c r="I127" s="417"/>
      <c r="J127" s="417"/>
      <c r="K127" s="426"/>
      <c r="L127" s="426"/>
      <c r="M127" s="426"/>
      <c r="N127" s="426"/>
      <c r="O127" s="465"/>
      <c r="P127" s="442" t="str" cm="1">
        <f t="array" aca="1" ref="P127" ca="1">IF(AND($Q$12,B151&lt;=$C$17,C151&lt;&gt;""),TRANSPOSE(INDEX(GetCDS(C151,$C$6,G151/10000,F151,D151,$C$13,$C$14,$C$15,$C$8,,,TRUE,TRUE,FALSE,$C$29:$C$31,$C$33),{1;2;3;4;5})),"")</f>
        <v/>
      </c>
      <c r="Q127" s="443"/>
      <c r="R127" s="443"/>
      <c r="S127" s="444"/>
      <c r="T127" s="445"/>
      <c r="U127" s="446" t="str">
        <f t="shared" ca="1" si="5"/>
        <v/>
      </c>
      <c r="V127" s="447" t="str">
        <f t="shared" ca="1" si="6"/>
        <v/>
      </c>
      <c r="W127" s="446" t="str">
        <f t="shared" ca="1" si="7"/>
        <v/>
      </c>
      <c r="X127" s="448" t="str">
        <f t="shared" ca="1" si="8"/>
        <v/>
      </c>
      <c r="Y127" s="447" t="str">
        <f t="shared" ca="1" si="9"/>
        <v/>
      </c>
      <c r="Z127" s="79"/>
    </row>
    <row r="128" spans="1:26" customFormat="1" ht="15">
      <c r="A128" s="231"/>
      <c r="B128" s="288">
        <v>90</v>
      </c>
      <c r="C128" s="260" t="s">
        <v>178</v>
      </c>
      <c r="D128" s="261">
        <v>1</v>
      </c>
      <c r="E128" s="252"/>
      <c r="F128" s="237">
        <v>0.4</v>
      </c>
      <c r="G128" s="456">
        <v>100</v>
      </c>
      <c r="H128" s="398">
        <v>114</v>
      </c>
      <c r="I128" s="417"/>
      <c r="J128" s="417"/>
      <c r="K128" s="426"/>
      <c r="L128" s="426"/>
      <c r="M128" s="426"/>
      <c r="N128" s="426"/>
      <c r="O128" s="465"/>
      <c r="P128" s="442" t="str" cm="1">
        <f t="array" aca="1" ref="P128" ca="1">IF(AND($Q$12,B152&lt;=$C$17,C152&lt;&gt;""),TRANSPOSE(INDEX(GetCDS(C152,$C$6,G152/10000,F152,D152,$C$13,$C$14,$C$15,$C$8,,,TRUE,TRUE,FALSE,$C$29:$C$31,$C$33),{1;2;3;4;5})),"")</f>
        <v/>
      </c>
      <c r="Q128" s="443"/>
      <c r="R128" s="443"/>
      <c r="S128" s="444"/>
      <c r="T128" s="445"/>
      <c r="U128" s="446" t="str">
        <f t="shared" ca="1" si="5"/>
        <v/>
      </c>
      <c r="V128" s="447" t="str">
        <f t="shared" ca="1" si="6"/>
        <v/>
      </c>
      <c r="W128" s="446" t="str">
        <f t="shared" ca="1" si="7"/>
        <v/>
      </c>
      <c r="X128" s="448" t="str">
        <f t="shared" ca="1" si="8"/>
        <v/>
      </c>
      <c r="Y128" s="447" t="str">
        <f t="shared" ca="1" si="9"/>
        <v/>
      </c>
      <c r="Z128" s="79"/>
    </row>
    <row r="129" spans="1:26" customFormat="1" ht="15">
      <c r="A129" s="231"/>
      <c r="B129" s="288">
        <v>91</v>
      </c>
      <c r="C129" s="260" t="s">
        <v>179</v>
      </c>
      <c r="D129" s="261">
        <v>1</v>
      </c>
      <c r="E129" s="252"/>
      <c r="F129" s="237">
        <v>0.4</v>
      </c>
      <c r="G129" s="456">
        <v>100</v>
      </c>
      <c r="H129" s="398">
        <v>115</v>
      </c>
      <c r="I129" s="417"/>
      <c r="J129" s="417"/>
      <c r="K129" s="426"/>
      <c r="L129" s="426"/>
      <c r="M129" s="426"/>
      <c r="N129" s="426"/>
      <c r="O129" s="465"/>
      <c r="P129" s="442" t="str" cm="1">
        <f t="array" aca="1" ref="P129" ca="1">IF(AND($Q$12,B153&lt;=$C$17,C153&lt;&gt;""),TRANSPOSE(INDEX(GetCDS(C153,$C$6,G153/10000,F153,D153,$C$13,$C$14,$C$15,$C$8,,,TRUE,TRUE,FALSE,$C$29:$C$31,$C$33),{1;2;3;4;5})),"")</f>
        <v/>
      </c>
      <c r="Q129" s="443"/>
      <c r="R129" s="443"/>
      <c r="S129" s="444"/>
      <c r="T129" s="445"/>
      <c r="U129" s="446" t="str">
        <f t="shared" ca="1" si="5"/>
        <v/>
      </c>
      <c r="V129" s="447" t="str">
        <f t="shared" ca="1" si="6"/>
        <v/>
      </c>
      <c r="W129" s="446" t="str">
        <f t="shared" ca="1" si="7"/>
        <v/>
      </c>
      <c r="X129" s="448" t="str">
        <f t="shared" ca="1" si="8"/>
        <v/>
      </c>
      <c r="Y129" s="447" t="str">
        <f t="shared" ca="1" si="9"/>
        <v/>
      </c>
      <c r="Z129" s="79"/>
    </row>
    <row r="130" spans="1:26" customFormat="1" ht="15">
      <c r="A130" s="231"/>
      <c r="B130" s="288">
        <v>92</v>
      </c>
      <c r="C130" s="260" t="s">
        <v>180</v>
      </c>
      <c r="D130" s="261">
        <v>1</v>
      </c>
      <c r="E130" s="252"/>
      <c r="F130" s="237">
        <v>0.4</v>
      </c>
      <c r="G130" s="456">
        <v>100</v>
      </c>
      <c r="H130" s="398">
        <v>116</v>
      </c>
      <c r="I130" s="417"/>
      <c r="J130" s="417"/>
      <c r="K130" s="426"/>
      <c r="L130" s="426"/>
      <c r="M130" s="426"/>
      <c r="N130" s="426"/>
      <c r="O130" s="465"/>
      <c r="P130" s="442" t="str" cm="1">
        <f t="array" aca="1" ref="P130" ca="1">IF(AND($Q$12,B154&lt;=$C$17,C154&lt;&gt;""),TRANSPOSE(INDEX(GetCDS(C154,$C$6,G154/10000,F154,D154,$C$13,$C$14,$C$15,$C$8,,,TRUE,TRUE,FALSE,$C$29:$C$31,$C$33),{1;2;3;4;5})),"")</f>
        <v/>
      </c>
      <c r="Q130" s="443"/>
      <c r="R130" s="443"/>
      <c r="S130" s="444"/>
      <c r="T130" s="445"/>
      <c r="U130" s="446" t="str">
        <f t="shared" ca="1" si="5"/>
        <v/>
      </c>
      <c r="V130" s="447" t="str">
        <f t="shared" ca="1" si="6"/>
        <v/>
      </c>
      <c r="W130" s="446" t="str">
        <f t="shared" ca="1" si="7"/>
        <v/>
      </c>
      <c r="X130" s="448" t="str">
        <f t="shared" ca="1" si="8"/>
        <v/>
      </c>
      <c r="Y130" s="447" t="str">
        <f t="shared" ca="1" si="9"/>
        <v/>
      </c>
      <c r="Z130" s="79"/>
    </row>
    <row r="131" spans="1:26" customFormat="1" ht="15">
      <c r="A131" s="231"/>
      <c r="B131" s="288">
        <v>93</v>
      </c>
      <c r="C131" s="260" t="s">
        <v>181</v>
      </c>
      <c r="D131" s="261">
        <v>1</v>
      </c>
      <c r="E131" s="252"/>
      <c r="F131" s="237">
        <v>0.4</v>
      </c>
      <c r="G131" s="456">
        <v>100</v>
      </c>
      <c r="H131" s="398">
        <v>117</v>
      </c>
      <c r="I131" s="417"/>
      <c r="J131" s="417"/>
      <c r="K131" s="426"/>
      <c r="L131" s="426"/>
      <c r="M131" s="426"/>
      <c r="N131" s="426"/>
      <c r="O131" s="465"/>
      <c r="P131" s="442" t="str" cm="1">
        <f t="array" aca="1" ref="P131" ca="1">IF(AND($Q$12,B155&lt;=$C$17,C155&lt;&gt;""),TRANSPOSE(INDEX(GetCDS(C155,$C$6,G155/10000,F155,D155,$C$13,$C$14,$C$15,$C$8,,,TRUE,TRUE,FALSE,$C$29:$C$31,$C$33),{1;2;3;4;5})),"")</f>
        <v/>
      </c>
      <c r="Q131" s="443"/>
      <c r="R131" s="443"/>
      <c r="S131" s="444"/>
      <c r="T131" s="445"/>
      <c r="U131" s="446" t="str">
        <f t="shared" ca="1" si="5"/>
        <v/>
      </c>
      <c r="V131" s="447" t="str">
        <f t="shared" ca="1" si="6"/>
        <v/>
      </c>
      <c r="W131" s="446" t="str">
        <f t="shared" ca="1" si="7"/>
        <v/>
      </c>
      <c r="X131" s="448" t="str">
        <f t="shared" ca="1" si="8"/>
        <v/>
      </c>
      <c r="Y131" s="447" t="str">
        <f t="shared" ca="1" si="9"/>
        <v/>
      </c>
      <c r="Z131" s="79"/>
    </row>
    <row r="132" spans="1:26" customFormat="1" ht="15">
      <c r="A132" s="231"/>
      <c r="B132" s="288">
        <v>94</v>
      </c>
      <c r="C132" s="260" t="s">
        <v>182</v>
      </c>
      <c r="D132" s="261">
        <v>1</v>
      </c>
      <c r="E132" s="252"/>
      <c r="F132" s="237">
        <v>0.4</v>
      </c>
      <c r="G132" s="456">
        <v>100</v>
      </c>
      <c r="H132" s="398">
        <v>118</v>
      </c>
      <c r="I132" s="417"/>
      <c r="J132" s="417"/>
      <c r="K132" s="426"/>
      <c r="L132" s="426"/>
      <c r="M132" s="426"/>
      <c r="N132" s="426"/>
      <c r="O132" s="465"/>
      <c r="P132" s="442" t="str" cm="1">
        <f t="array" aca="1" ref="P132" ca="1">IF(AND($Q$12,B156&lt;=$C$17,C156&lt;&gt;""),TRANSPOSE(INDEX(GetCDS(C156,$C$6,G156/10000,F156,D156,$C$13,$C$14,$C$15,$C$8,,,TRUE,TRUE,FALSE,$C$29:$C$31,$C$33),{1;2;3;4;5})),"")</f>
        <v/>
      </c>
      <c r="Q132" s="443"/>
      <c r="R132" s="443"/>
      <c r="S132" s="444"/>
      <c r="T132" s="445"/>
      <c r="U132" s="446" t="str">
        <f t="shared" ca="1" si="5"/>
        <v/>
      </c>
      <c r="V132" s="447" t="str">
        <f t="shared" ca="1" si="6"/>
        <v/>
      </c>
      <c r="W132" s="446" t="str">
        <f t="shared" ca="1" si="7"/>
        <v/>
      </c>
      <c r="X132" s="448" t="str">
        <f t="shared" ca="1" si="8"/>
        <v/>
      </c>
      <c r="Y132" s="447" t="str">
        <f t="shared" ca="1" si="9"/>
        <v/>
      </c>
      <c r="Z132" s="79"/>
    </row>
    <row r="133" spans="1:26" customFormat="1" ht="15">
      <c r="A133" s="231"/>
      <c r="B133" s="288">
        <v>95</v>
      </c>
      <c r="C133" s="260" t="s">
        <v>183</v>
      </c>
      <c r="D133" s="261">
        <v>1</v>
      </c>
      <c r="E133" s="252"/>
      <c r="F133" s="237">
        <v>0.4</v>
      </c>
      <c r="G133" s="456">
        <v>100</v>
      </c>
      <c r="H133" s="398">
        <v>119</v>
      </c>
      <c r="I133" s="417"/>
      <c r="J133" s="417"/>
      <c r="K133" s="426"/>
      <c r="L133" s="426"/>
      <c r="M133" s="426"/>
      <c r="N133" s="426"/>
      <c r="O133" s="465"/>
      <c r="P133" s="442" t="str" cm="1">
        <f t="array" aca="1" ref="P133" ca="1">IF(AND($Q$12,B157&lt;=$C$17,C157&lt;&gt;""),TRANSPOSE(INDEX(GetCDS(C157,$C$6,G157/10000,F157,D157,$C$13,$C$14,$C$15,$C$8,,,TRUE,TRUE,FALSE,$C$29:$C$31,$C$33),{1;2;3;4;5})),"")</f>
        <v/>
      </c>
      <c r="Q133" s="443"/>
      <c r="R133" s="443"/>
      <c r="S133" s="444"/>
      <c r="T133" s="445"/>
      <c r="U133" s="446" t="str">
        <f t="shared" ca="1" si="5"/>
        <v/>
      </c>
      <c r="V133" s="447" t="str">
        <f t="shared" ca="1" si="6"/>
        <v/>
      </c>
      <c r="W133" s="446" t="str">
        <f t="shared" ca="1" si="7"/>
        <v/>
      </c>
      <c r="X133" s="448" t="str">
        <f t="shared" ca="1" si="8"/>
        <v/>
      </c>
      <c r="Y133" s="447" t="str">
        <f t="shared" ca="1" si="9"/>
        <v/>
      </c>
      <c r="Z133" s="79"/>
    </row>
    <row r="134" spans="1:26" customFormat="1" ht="15">
      <c r="A134" s="231"/>
      <c r="B134" s="288">
        <v>96</v>
      </c>
      <c r="C134" s="260" t="s">
        <v>184</v>
      </c>
      <c r="D134" s="261">
        <v>1</v>
      </c>
      <c r="E134" s="252"/>
      <c r="F134" s="237">
        <v>0.4</v>
      </c>
      <c r="G134" s="456">
        <v>100</v>
      </c>
      <c r="H134" s="398">
        <v>120</v>
      </c>
      <c r="I134" s="417"/>
      <c r="J134" s="417"/>
      <c r="K134" s="426"/>
      <c r="L134" s="426"/>
      <c r="M134" s="426"/>
      <c r="N134" s="426"/>
      <c r="O134" s="465"/>
      <c r="P134" s="442" t="str" cm="1">
        <f t="array" aca="1" ref="P134" ca="1">IF(AND($Q$12,B158&lt;=$C$17,C158&lt;&gt;""),TRANSPOSE(INDEX(GetCDS(C158,$C$6,G158/10000,F158,D158,$C$13,$C$14,$C$15,$C$8,,,TRUE,TRUE,FALSE,$C$29:$C$31,$C$33),{1;2;3;4;5})),"")</f>
        <v/>
      </c>
      <c r="Q134" s="443"/>
      <c r="R134" s="443"/>
      <c r="S134" s="444"/>
      <c r="T134" s="445"/>
      <c r="U134" s="446" t="str">
        <f t="shared" ca="1" si="5"/>
        <v/>
      </c>
      <c r="V134" s="447" t="str">
        <f t="shared" ca="1" si="6"/>
        <v/>
      </c>
      <c r="W134" s="446" t="str">
        <f t="shared" ca="1" si="7"/>
        <v/>
      </c>
      <c r="X134" s="448" t="str">
        <f t="shared" ca="1" si="8"/>
        <v/>
      </c>
      <c r="Y134" s="447" t="str">
        <f t="shared" ca="1" si="9"/>
        <v/>
      </c>
      <c r="Z134" s="79"/>
    </row>
    <row r="135" spans="1:26" customFormat="1" ht="15">
      <c r="A135" s="231"/>
      <c r="B135" s="288">
        <v>97</v>
      </c>
      <c r="C135" s="260" t="s">
        <v>185</v>
      </c>
      <c r="D135" s="261">
        <v>1</v>
      </c>
      <c r="E135" s="252"/>
      <c r="F135" s="237">
        <v>0.4</v>
      </c>
      <c r="G135" s="456">
        <v>100</v>
      </c>
      <c r="H135" s="398">
        <v>121</v>
      </c>
      <c r="I135" s="417"/>
      <c r="J135" s="417"/>
      <c r="K135" s="426"/>
      <c r="L135" s="426"/>
      <c r="M135" s="426"/>
      <c r="N135" s="426"/>
      <c r="O135" s="465"/>
      <c r="P135" s="442" t="str" cm="1">
        <f t="array" aca="1" ref="P135" ca="1">IF(AND($Q$12,B159&lt;=$C$17,C159&lt;&gt;""),TRANSPOSE(INDEX(GetCDS(C159,$C$6,G159/10000,F159,D159,$C$13,$C$14,$C$15,$C$8,,,TRUE,TRUE,FALSE,$C$29:$C$31,$C$33),{1;2;3;4;5})),"")</f>
        <v/>
      </c>
      <c r="Q135" s="443"/>
      <c r="R135" s="443"/>
      <c r="S135" s="444"/>
      <c r="T135" s="445"/>
      <c r="U135" s="446" t="str">
        <f t="shared" ca="1" si="5"/>
        <v/>
      </c>
      <c r="V135" s="447" t="str">
        <f t="shared" ca="1" si="6"/>
        <v/>
      </c>
      <c r="W135" s="446" t="str">
        <f t="shared" ca="1" si="7"/>
        <v/>
      </c>
      <c r="X135" s="448" t="str">
        <f t="shared" ca="1" si="8"/>
        <v/>
      </c>
      <c r="Y135" s="447" t="str">
        <f t="shared" ca="1" si="9"/>
        <v/>
      </c>
      <c r="Z135" s="79"/>
    </row>
    <row r="136" spans="1:26" customFormat="1" ht="15">
      <c r="A136" s="231"/>
      <c r="B136" s="288">
        <v>98</v>
      </c>
      <c r="C136" s="260" t="s">
        <v>186</v>
      </c>
      <c r="D136" s="261">
        <v>1</v>
      </c>
      <c r="E136" s="252"/>
      <c r="F136" s="237">
        <v>0.4</v>
      </c>
      <c r="G136" s="456">
        <v>100</v>
      </c>
      <c r="H136" s="398">
        <v>122</v>
      </c>
      <c r="I136" s="417"/>
      <c r="J136" s="417"/>
      <c r="K136" s="426"/>
      <c r="L136" s="426"/>
      <c r="M136" s="426"/>
      <c r="N136" s="426"/>
      <c r="O136" s="465"/>
      <c r="P136" s="442" t="str" cm="1">
        <f t="array" aca="1" ref="P136" ca="1">IF(AND($Q$12,B160&lt;=$C$17,C160&lt;&gt;""),TRANSPOSE(INDEX(GetCDS(C160,$C$6,G160/10000,F160,D160,$C$13,$C$14,$C$15,$C$8,,,TRUE,TRUE,FALSE,$C$29:$C$31,$C$33),{1;2;3;4;5})),"")</f>
        <v/>
      </c>
      <c r="Q136" s="443"/>
      <c r="R136" s="443"/>
      <c r="S136" s="444"/>
      <c r="T136" s="445"/>
      <c r="U136" s="446" t="str">
        <f t="shared" ca="1" si="5"/>
        <v/>
      </c>
      <c r="V136" s="447" t="str">
        <f t="shared" ca="1" si="6"/>
        <v/>
      </c>
      <c r="W136" s="446" t="str">
        <f t="shared" ca="1" si="7"/>
        <v/>
      </c>
      <c r="X136" s="448" t="str">
        <f t="shared" ca="1" si="8"/>
        <v/>
      </c>
      <c r="Y136" s="447" t="str">
        <f t="shared" ca="1" si="9"/>
        <v/>
      </c>
      <c r="Z136" s="79"/>
    </row>
    <row r="137" spans="1:26" customFormat="1" ht="15">
      <c r="A137" s="231"/>
      <c r="B137" s="288">
        <v>99</v>
      </c>
      <c r="C137" s="260" t="s">
        <v>187</v>
      </c>
      <c r="D137" s="261">
        <v>1</v>
      </c>
      <c r="E137" s="252"/>
      <c r="F137" s="237">
        <v>0.4</v>
      </c>
      <c r="G137" s="456">
        <v>100</v>
      </c>
      <c r="H137" s="398">
        <v>123</v>
      </c>
      <c r="I137" s="417"/>
      <c r="J137" s="417"/>
      <c r="K137" s="426"/>
      <c r="L137" s="426"/>
      <c r="M137" s="426"/>
      <c r="N137" s="426"/>
      <c r="O137" s="465"/>
      <c r="P137" s="442" t="str" cm="1">
        <f t="array" aca="1" ref="P137" ca="1">IF(AND($Q$12,B161&lt;=$C$17,C161&lt;&gt;""),TRANSPOSE(INDEX(GetCDS(C161,$C$6,G161/10000,F161,D161,$C$13,$C$14,$C$15,$C$8,,,TRUE,TRUE,FALSE,$C$29:$C$31,$C$33),{1;2;3;4;5})),"")</f>
        <v/>
      </c>
      <c r="Q137" s="443"/>
      <c r="R137" s="443"/>
      <c r="S137" s="444"/>
      <c r="T137" s="445"/>
      <c r="U137" s="446" t="str">
        <f t="shared" ca="1" si="5"/>
        <v/>
      </c>
      <c r="V137" s="447" t="str">
        <f t="shared" ca="1" si="6"/>
        <v/>
      </c>
      <c r="W137" s="446" t="str">
        <f t="shared" ca="1" si="7"/>
        <v/>
      </c>
      <c r="X137" s="448" t="str">
        <f t="shared" ca="1" si="8"/>
        <v/>
      </c>
      <c r="Y137" s="447" t="str">
        <f t="shared" ca="1" si="9"/>
        <v/>
      </c>
      <c r="Z137" s="79"/>
    </row>
    <row r="138" spans="1:26" customFormat="1" ht="15">
      <c r="A138" s="231"/>
      <c r="B138" s="288">
        <v>100</v>
      </c>
      <c r="C138" s="260" t="s">
        <v>188</v>
      </c>
      <c r="D138" s="261">
        <v>1</v>
      </c>
      <c r="E138" s="252"/>
      <c r="F138" s="237">
        <v>0.4</v>
      </c>
      <c r="G138" s="456">
        <v>100</v>
      </c>
      <c r="H138" s="398">
        <v>124</v>
      </c>
      <c r="I138" s="417"/>
      <c r="J138" s="417"/>
      <c r="K138" s="426"/>
      <c r="L138" s="426"/>
      <c r="M138" s="426"/>
      <c r="N138" s="426"/>
      <c r="O138" s="465"/>
      <c r="P138" s="442" t="str" cm="1">
        <f t="array" aca="1" ref="P138" ca="1">IF(AND($Q$12,B162&lt;=$C$17,C162&lt;&gt;""),TRANSPOSE(INDEX(GetCDS(C162,$C$6,G162/10000,F162,D162,$C$13,$C$14,$C$15,$C$8,,,TRUE,TRUE,FALSE,$C$29:$C$31,$C$33),{1;2;3;4;5})),"")</f>
        <v/>
      </c>
      <c r="Q138" s="443"/>
      <c r="R138" s="443"/>
      <c r="S138" s="444"/>
      <c r="T138" s="445"/>
      <c r="U138" s="446" t="str">
        <f t="shared" ca="1" si="5"/>
        <v/>
      </c>
      <c r="V138" s="447" t="str">
        <f t="shared" ca="1" si="6"/>
        <v/>
      </c>
      <c r="W138" s="446" t="str">
        <f t="shared" ca="1" si="7"/>
        <v/>
      </c>
      <c r="X138" s="448" t="str">
        <f t="shared" ca="1" si="8"/>
        <v/>
      </c>
      <c r="Y138" s="447" t="str">
        <f t="shared" ca="1" si="9"/>
        <v/>
      </c>
      <c r="Z138" s="79"/>
    </row>
    <row r="139" spans="1:26" customFormat="1" ht="15">
      <c r="A139" s="231"/>
      <c r="B139" s="288">
        <v>101</v>
      </c>
      <c r="C139" s="260"/>
      <c r="D139" s="261"/>
      <c r="E139" s="252"/>
      <c r="F139" s="237"/>
      <c r="G139" s="244"/>
      <c r="H139" s="398">
        <v>125</v>
      </c>
      <c r="I139" s="417"/>
      <c r="J139" s="417"/>
      <c r="K139" s="426"/>
      <c r="L139" s="426"/>
      <c r="M139" s="426"/>
      <c r="N139" s="426"/>
      <c r="O139" s="465"/>
      <c r="P139" s="442" t="str" cm="1">
        <f t="array" aca="1" ref="P139" ca="1">IF(AND($Q$12,B163&lt;=$C$17,C163&lt;&gt;""),TRANSPOSE(INDEX(GetCDS(C163,$C$6,G163/10000,F163,D163,$C$13,$C$14,$C$15,$C$8,,,TRUE,TRUE,FALSE,$C$29:$C$31,$C$33),{1;2;3;4;5})),"")</f>
        <v/>
      </c>
      <c r="Q139" s="443"/>
      <c r="R139" s="443"/>
      <c r="S139" s="444"/>
      <c r="T139" s="445"/>
      <c r="U139" s="446" t="str">
        <f t="shared" ca="1" si="5"/>
        <v/>
      </c>
      <c r="V139" s="447" t="str">
        <f t="shared" ca="1" si="6"/>
        <v/>
      </c>
      <c r="W139" s="446" t="str">
        <f t="shared" ca="1" si="7"/>
        <v/>
      </c>
      <c r="X139" s="448" t="str">
        <f t="shared" ca="1" si="8"/>
        <v/>
      </c>
      <c r="Y139" s="447" t="str">
        <f t="shared" ca="1" si="9"/>
        <v/>
      </c>
      <c r="Z139" s="79"/>
    </row>
    <row r="140" spans="1:26" customFormat="1" ht="15">
      <c r="A140" s="231"/>
      <c r="B140" s="288">
        <v>102</v>
      </c>
      <c r="C140" s="260"/>
      <c r="D140" s="261"/>
      <c r="E140" s="252"/>
      <c r="F140" s="237"/>
      <c r="G140" s="244"/>
      <c r="H140" s="398">
        <v>126</v>
      </c>
      <c r="I140" s="417"/>
      <c r="J140" s="417"/>
      <c r="K140" s="426"/>
      <c r="L140" s="426"/>
      <c r="M140" s="417"/>
      <c r="N140" s="417"/>
      <c r="O140" s="465"/>
      <c r="P140" s="442" t="str" cm="1">
        <f t="array" aca="1" ref="P140" ca="1">IF(AND($Q$12,B164&lt;=$C$17,C164&lt;&gt;""),TRANSPOSE(INDEX(GetCDS(C164,$C$6,G164/10000,F164,D164,$C$13,$C$14,$C$15,$C$8,,,TRUE,TRUE,FALSE,$C$29:$C$31,$C$33),{1;2;3;4;5})),"")</f>
        <v/>
      </c>
      <c r="Q140" s="443"/>
      <c r="R140" s="443"/>
      <c r="S140" s="444"/>
      <c r="T140" s="445"/>
      <c r="U140" s="446" t="str">
        <f t="shared" ca="1" si="5"/>
        <v/>
      </c>
      <c r="V140" s="447" t="str">
        <f t="shared" ca="1" si="6"/>
        <v/>
      </c>
      <c r="W140" s="446" t="str">
        <f t="shared" ca="1" si="7"/>
        <v/>
      </c>
      <c r="X140" s="448" t="str">
        <f t="shared" ca="1" si="8"/>
        <v/>
      </c>
      <c r="Y140" s="447" t="str">
        <f t="shared" ca="1" si="9"/>
        <v/>
      </c>
      <c r="Z140" s="79"/>
    </row>
    <row r="141" spans="1:26" customFormat="1" ht="15">
      <c r="A141" s="231"/>
      <c r="B141" s="288">
        <v>103</v>
      </c>
      <c r="C141" s="260"/>
      <c r="D141" s="261"/>
      <c r="E141" s="252"/>
      <c r="F141" s="237"/>
      <c r="G141" s="244"/>
      <c r="H141" s="398">
        <v>127</v>
      </c>
      <c r="I141" s="417"/>
      <c r="J141" s="417"/>
      <c r="K141" s="426"/>
      <c r="L141" s="426"/>
      <c r="M141" s="417"/>
      <c r="N141" s="417"/>
      <c r="O141" s="465"/>
      <c r="P141" s="442" t="str" cm="1">
        <f t="array" aca="1" ref="P141" ca="1">IF(AND($Q$12,B165&lt;=$C$17,C165&lt;&gt;""),TRANSPOSE(INDEX(GetCDS(C165,$C$6,G165/10000,F165,D165,$C$13,$C$14,$C$15,$C$8,,,TRUE,TRUE,FALSE,$C$29:$C$31,$C$33),{1;2;3;4;5})),"")</f>
        <v/>
      </c>
      <c r="Q141" s="443"/>
      <c r="R141" s="443"/>
      <c r="S141" s="444"/>
      <c r="T141" s="445"/>
      <c r="U141" s="446" t="str">
        <f t="shared" ca="1" si="5"/>
        <v/>
      </c>
      <c r="V141" s="447" t="str">
        <f t="shared" ca="1" si="6"/>
        <v/>
      </c>
      <c r="W141" s="446" t="str">
        <f t="shared" ca="1" si="7"/>
        <v/>
      </c>
      <c r="X141" s="448" t="str">
        <f t="shared" ca="1" si="8"/>
        <v/>
      </c>
      <c r="Y141" s="447" t="str">
        <f t="shared" ca="1" si="9"/>
        <v/>
      </c>
      <c r="Z141" s="79"/>
    </row>
    <row r="142" spans="1:26" customFormat="1" ht="15">
      <c r="A142" s="231"/>
      <c r="B142" s="288">
        <v>104</v>
      </c>
      <c r="C142" s="260"/>
      <c r="D142" s="261"/>
      <c r="E142" s="252"/>
      <c r="F142" s="237"/>
      <c r="G142" s="244"/>
      <c r="H142" s="398">
        <v>128</v>
      </c>
      <c r="I142" s="417"/>
      <c r="J142" s="417"/>
      <c r="K142" s="426"/>
      <c r="L142" s="426"/>
      <c r="M142" s="417"/>
      <c r="N142" s="417"/>
      <c r="O142" s="465"/>
      <c r="P142" s="442" t="str" cm="1">
        <f t="array" aca="1" ref="P142" ca="1">IF(AND($Q$12,B166&lt;=$C$17,C166&lt;&gt;""),TRANSPOSE(INDEX(GetCDS(C166,$C$6,G166/10000,F166,D166,$C$13,$C$14,$C$15,$C$8,,,TRUE,TRUE,FALSE,$C$29:$C$31,$C$33),{1;2;3;4;5})),"")</f>
        <v/>
      </c>
      <c r="Q142" s="443"/>
      <c r="R142" s="443"/>
      <c r="S142" s="444"/>
      <c r="T142" s="445"/>
      <c r="U142" s="446" t="str">
        <f t="shared" ca="1" si="5"/>
        <v/>
      </c>
      <c r="V142" s="447" t="str">
        <f t="shared" ca="1" si="6"/>
        <v/>
      </c>
      <c r="W142" s="446" t="str">
        <f t="shared" ca="1" si="7"/>
        <v/>
      </c>
      <c r="X142" s="448" t="str">
        <f t="shared" ca="1" si="8"/>
        <v/>
      </c>
      <c r="Y142" s="447" t="str">
        <f t="shared" ca="1" si="9"/>
        <v/>
      </c>
      <c r="Z142" s="79"/>
    </row>
    <row r="143" spans="1:26" customFormat="1" ht="15">
      <c r="A143" s="231"/>
      <c r="B143" s="288">
        <v>105</v>
      </c>
      <c r="C143" s="260"/>
      <c r="D143" s="261"/>
      <c r="E143" s="252"/>
      <c r="F143" s="237"/>
      <c r="G143" s="244"/>
      <c r="H143" s="398">
        <v>129</v>
      </c>
      <c r="I143" s="417"/>
      <c r="J143" s="417"/>
      <c r="K143" s="426"/>
      <c r="L143" s="426"/>
      <c r="M143" s="417"/>
      <c r="N143" s="417"/>
      <c r="O143" s="465"/>
      <c r="P143" s="442" t="str" cm="1">
        <f t="array" aca="1" ref="P143" ca="1">IF(AND($Q$12,B167&lt;=$C$17,C167&lt;&gt;""),TRANSPOSE(INDEX(GetCDS(C167,$C$6,G167/10000,F167,D167,$C$13,$C$14,$C$15,$C$8,,,TRUE,TRUE,FALSE,$C$29:$C$31,$C$33),{1;2;3;4;5})),"")</f>
        <v/>
      </c>
      <c r="Q143" s="443"/>
      <c r="R143" s="443"/>
      <c r="S143" s="444"/>
      <c r="T143" s="445"/>
      <c r="U143" s="446" t="str">
        <f t="shared" ca="1" si="5"/>
        <v/>
      </c>
      <c r="V143" s="447" t="str">
        <f t="shared" ca="1" si="6"/>
        <v/>
      </c>
      <c r="W143" s="446" t="str">
        <f t="shared" ca="1" si="7"/>
        <v/>
      </c>
      <c r="X143" s="448" t="str">
        <f t="shared" ca="1" si="8"/>
        <v/>
      </c>
      <c r="Y143" s="447" t="str">
        <f t="shared" ca="1" si="9"/>
        <v/>
      </c>
      <c r="Z143" s="79"/>
    </row>
    <row r="144" spans="1:26" customFormat="1" ht="15">
      <c r="A144" s="231"/>
      <c r="B144" s="288">
        <v>106</v>
      </c>
      <c r="C144" s="260"/>
      <c r="D144" s="261"/>
      <c r="E144" s="252"/>
      <c r="F144" s="237"/>
      <c r="G144" s="244"/>
      <c r="H144" s="398">
        <v>130</v>
      </c>
      <c r="I144" s="417"/>
      <c r="J144" s="417"/>
      <c r="K144" s="426"/>
      <c r="L144" s="426"/>
      <c r="M144" s="417"/>
      <c r="N144" s="417"/>
      <c r="O144" s="465"/>
      <c r="P144" s="442" t="str" cm="1">
        <f t="array" aca="1" ref="P144" ca="1">IF(AND($Q$12,B168&lt;=$C$17,C168&lt;&gt;""),TRANSPOSE(INDEX(GetCDS(C168,$C$6,G168/10000,F168,D168,$C$13,$C$14,$C$15,$C$8,,,TRUE,TRUE,FALSE,$C$29:$C$31,$C$33),{1;2;3;4;5})),"")</f>
        <v/>
      </c>
      <c r="Q144" s="443"/>
      <c r="R144" s="443"/>
      <c r="S144" s="444"/>
      <c r="T144" s="445"/>
      <c r="U144" s="446" t="str">
        <f t="shared" ref="U144:U207" ca="1" si="10">IF($Q$12,IF(P144="","",$Q$13*D168/$C$18),"")</f>
        <v/>
      </c>
      <c r="V144" s="447" t="str">
        <f t="shared" ref="V144:V207" ca="1" si="11">IF($Q$12,IF(U144="","",U144*($V$10-S144)*T144),"")</f>
        <v/>
      </c>
      <c r="W144" s="446" t="str">
        <f t="shared" ref="W144:W207" ca="1" si="12">IF($Q$12,IF(OR(P144="",L144=""),"",L144/($C$20-$C$19)),"")</f>
        <v/>
      </c>
      <c r="X144" s="448" t="str">
        <f t="shared" ref="X144:X207" ca="1" si="13">IF($Q$12,IF(S144="","",S144*$Y$10),"")</f>
        <v/>
      </c>
      <c r="Y144" s="447" t="str">
        <f t="shared" ref="Y144:Y207" ca="1" si="14">IF($Q$12,IF(W144="","",W144*(X144-S144)*T144),"")</f>
        <v/>
      </c>
      <c r="Z144" s="79"/>
    </row>
    <row r="145" spans="1:26" customFormat="1" ht="15">
      <c r="A145" s="231"/>
      <c r="B145" s="288">
        <v>107</v>
      </c>
      <c r="C145" s="260"/>
      <c r="D145" s="261"/>
      <c r="E145" s="252"/>
      <c r="F145" s="237"/>
      <c r="G145" s="244"/>
      <c r="H145" s="398">
        <v>131</v>
      </c>
      <c r="I145" s="417"/>
      <c r="J145" s="417"/>
      <c r="K145" s="426"/>
      <c r="L145" s="426"/>
      <c r="M145" s="417"/>
      <c r="N145" s="417"/>
      <c r="O145" s="465"/>
      <c r="P145" s="442" t="str" cm="1">
        <f t="array" aca="1" ref="P145" ca="1">IF(AND($Q$12,B169&lt;=$C$17,C169&lt;&gt;""),TRANSPOSE(INDEX(GetCDS(C169,$C$6,G169/10000,F169,D169,$C$13,$C$14,$C$15,$C$8,,,TRUE,TRUE,FALSE,$C$29:$C$31,$C$33),{1;2;3;4;5})),"")</f>
        <v/>
      </c>
      <c r="Q145" s="443"/>
      <c r="R145" s="443"/>
      <c r="S145" s="444"/>
      <c r="T145" s="445"/>
      <c r="U145" s="446" t="str">
        <f t="shared" ca="1" si="10"/>
        <v/>
      </c>
      <c r="V145" s="447" t="str">
        <f t="shared" ca="1" si="11"/>
        <v/>
      </c>
      <c r="W145" s="446" t="str">
        <f t="shared" ca="1" si="12"/>
        <v/>
      </c>
      <c r="X145" s="448" t="str">
        <f t="shared" ca="1" si="13"/>
        <v/>
      </c>
      <c r="Y145" s="447" t="str">
        <f t="shared" ca="1" si="14"/>
        <v/>
      </c>
      <c r="Z145" s="79"/>
    </row>
    <row r="146" spans="1:26" customFormat="1" ht="15">
      <c r="A146" s="231"/>
      <c r="B146" s="288">
        <v>108</v>
      </c>
      <c r="C146" s="260"/>
      <c r="D146" s="261"/>
      <c r="E146" s="252"/>
      <c r="F146" s="237"/>
      <c r="G146" s="244"/>
      <c r="H146" s="398">
        <v>132</v>
      </c>
      <c r="I146" s="417"/>
      <c r="J146" s="417"/>
      <c r="K146" s="426"/>
      <c r="L146" s="426"/>
      <c r="M146" s="417"/>
      <c r="N146" s="417"/>
      <c r="O146" s="465"/>
      <c r="P146" s="442" t="str" cm="1">
        <f t="array" aca="1" ref="P146" ca="1">IF(AND($Q$12,B170&lt;=$C$17,C170&lt;&gt;""),TRANSPOSE(INDEX(GetCDS(C170,$C$6,G170/10000,F170,D170,$C$13,$C$14,$C$15,$C$8,,,TRUE,TRUE,FALSE,$C$29:$C$31,$C$33),{1;2;3;4;5})),"")</f>
        <v/>
      </c>
      <c r="Q146" s="443"/>
      <c r="R146" s="443"/>
      <c r="S146" s="444"/>
      <c r="T146" s="445"/>
      <c r="U146" s="446" t="str">
        <f t="shared" ca="1" si="10"/>
        <v/>
      </c>
      <c r="V146" s="447" t="str">
        <f t="shared" ca="1" si="11"/>
        <v/>
      </c>
      <c r="W146" s="446" t="str">
        <f t="shared" ca="1" si="12"/>
        <v/>
      </c>
      <c r="X146" s="448" t="str">
        <f t="shared" ca="1" si="13"/>
        <v/>
      </c>
      <c r="Y146" s="447" t="str">
        <f t="shared" ca="1" si="14"/>
        <v/>
      </c>
      <c r="Z146" s="79"/>
    </row>
    <row r="147" spans="1:26" customFormat="1" ht="15">
      <c r="A147" s="231"/>
      <c r="B147" s="288">
        <v>109</v>
      </c>
      <c r="C147" s="260"/>
      <c r="D147" s="261"/>
      <c r="E147" s="252"/>
      <c r="F147" s="237"/>
      <c r="G147" s="244"/>
      <c r="H147" s="398">
        <v>133</v>
      </c>
      <c r="I147" s="417"/>
      <c r="J147" s="417"/>
      <c r="K147" s="426"/>
      <c r="L147" s="426"/>
      <c r="M147" s="417"/>
      <c r="N147" s="417"/>
      <c r="O147" s="465"/>
      <c r="P147" s="442" t="str" cm="1">
        <f t="array" aca="1" ref="P147" ca="1">IF(AND($Q$12,B171&lt;=$C$17,C171&lt;&gt;""),TRANSPOSE(INDEX(GetCDS(C171,$C$6,G171/10000,F171,D171,$C$13,$C$14,$C$15,$C$8,,,TRUE,TRUE,FALSE,$C$29:$C$31,$C$33),{1;2;3;4;5})),"")</f>
        <v/>
      </c>
      <c r="Q147" s="443"/>
      <c r="R147" s="443"/>
      <c r="S147" s="444"/>
      <c r="T147" s="445"/>
      <c r="U147" s="446" t="str">
        <f t="shared" ca="1" si="10"/>
        <v/>
      </c>
      <c r="V147" s="447" t="str">
        <f t="shared" ca="1" si="11"/>
        <v/>
      </c>
      <c r="W147" s="446" t="str">
        <f t="shared" ca="1" si="12"/>
        <v/>
      </c>
      <c r="X147" s="448" t="str">
        <f t="shared" ca="1" si="13"/>
        <v/>
      </c>
      <c r="Y147" s="447" t="str">
        <f t="shared" ca="1" si="14"/>
        <v/>
      </c>
      <c r="Z147" s="79"/>
    </row>
    <row r="148" spans="1:26" customFormat="1" ht="15">
      <c r="A148" s="231"/>
      <c r="B148" s="288">
        <v>110</v>
      </c>
      <c r="C148" s="260"/>
      <c r="D148" s="261"/>
      <c r="E148" s="252"/>
      <c r="F148" s="237"/>
      <c r="G148" s="244"/>
      <c r="H148" s="398">
        <v>134</v>
      </c>
      <c r="I148" s="417"/>
      <c r="J148" s="417"/>
      <c r="K148" s="426"/>
      <c r="L148" s="426"/>
      <c r="M148" s="417"/>
      <c r="N148" s="417"/>
      <c r="O148" s="465"/>
      <c r="P148" s="442" t="str" cm="1">
        <f t="array" aca="1" ref="P148" ca="1">IF(AND($Q$12,B172&lt;=$C$17,C172&lt;&gt;""),TRANSPOSE(INDEX(GetCDS(C172,$C$6,G172/10000,F172,D172,$C$13,$C$14,$C$15,$C$8,,,TRUE,TRUE,FALSE,$C$29:$C$31,$C$33),{1;2;3;4;5})),"")</f>
        <v/>
      </c>
      <c r="Q148" s="443"/>
      <c r="R148" s="443"/>
      <c r="S148" s="444"/>
      <c r="T148" s="445"/>
      <c r="U148" s="446" t="str">
        <f t="shared" ca="1" si="10"/>
        <v/>
      </c>
      <c r="V148" s="447" t="str">
        <f t="shared" ca="1" si="11"/>
        <v/>
      </c>
      <c r="W148" s="446" t="str">
        <f t="shared" ca="1" si="12"/>
        <v/>
      </c>
      <c r="X148" s="448" t="str">
        <f t="shared" ca="1" si="13"/>
        <v/>
      </c>
      <c r="Y148" s="447" t="str">
        <f t="shared" ca="1" si="14"/>
        <v/>
      </c>
      <c r="Z148" s="79"/>
    </row>
    <row r="149" spans="1:26" customFormat="1" ht="15">
      <c r="A149" s="231"/>
      <c r="B149" s="288">
        <v>111</v>
      </c>
      <c r="C149" s="260"/>
      <c r="D149" s="261"/>
      <c r="E149" s="252"/>
      <c r="F149" s="237"/>
      <c r="G149" s="244"/>
      <c r="H149" s="398">
        <v>135</v>
      </c>
      <c r="I149" s="417"/>
      <c r="J149" s="417"/>
      <c r="K149" s="426"/>
      <c r="L149" s="426"/>
      <c r="M149" s="417"/>
      <c r="N149" s="417"/>
      <c r="O149" s="465"/>
      <c r="P149" s="442" t="str" cm="1">
        <f t="array" aca="1" ref="P149" ca="1">IF(AND($Q$12,B173&lt;=$C$17,C173&lt;&gt;""),TRANSPOSE(INDEX(GetCDS(C173,$C$6,G173/10000,F173,D173,$C$13,$C$14,$C$15,$C$8,,,TRUE,TRUE,FALSE,$C$29:$C$31,$C$33),{1;2;3;4;5})),"")</f>
        <v/>
      </c>
      <c r="Q149" s="443"/>
      <c r="R149" s="443"/>
      <c r="S149" s="444"/>
      <c r="T149" s="445"/>
      <c r="U149" s="446" t="str">
        <f t="shared" ca="1" si="10"/>
        <v/>
      </c>
      <c r="V149" s="447" t="str">
        <f t="shared" ca="1" si="11"/>
        <v/>
      </c>
      <c r="W149" s="446" t="str">
        <f t="shared" ca="1" si="12"/>
        <v/>
      </c>
      <c r="X149" s="448" t="str">
        <f t="shared" ca="1" si="13"/>
        <v/>
      </c>
      <c r="Y149" s="447" t="str">
        <f t="shared" ca="1" si="14"/>
        <v/>
      </c>
      <c r="Z149" s="79"/>
    </row>
    <row r="150" spans="1:26" customFormat="1" ht="15">
      <c r="A150" s="231"/>
      <c r="B150" s="288">
        <v>112</v>
      </c>
      <c r="C150" s="260"/>
      <c r="D150" s="261"/>
      <c r="E150" s="252"/>
      <c r="F150" s="237"/>
      <c r="G150" s="244"/>
      <c r="H150" s="398">
        <v>136</v>
      </c>
      <c r="I150" s="417"/>
      <c r="J150" s="417"/>
      <c r="K150" s="426"/>
      <c r="L150" s="426"/>
      <c r="M150" s="417"/>
      <c r="N150" s="417"/>
      <c r="O150" s="465"/>
      <c r="P150" s="442" t="str" cm="1">
        <f t="array" aca="1" ref="P150" ca="1">IF(AND($Q$12,B174&lt;=$C$17,C174&lt;&gt;""),TRANSPOSE(INDEX(GetCDS(C174,$C$6,G174/10000,F174,D174,$C$13,$C$14,$C$15,$C$8,,,TRUE,TRUE,FALSE,$C$29:$C$31,$C$33),{1;2;3;4;5})),"")</f>
        <v/>
      </c>
      <c r="Q150" s="443"/>
      <c r="R150" s="443"/>
      <c r="S150" s="444"/>
      <c r="T150" s="445"/>
      <c r="U150" s="446" t="str">
        <f t="shared" ca="1" si="10"/>
        <v/>
      </c>
      <c r="V150" s="447" t="str">
        <f t="shared" ca="1" si="11"/>
        <v/>
      </c>
      <c r="W150" s="446" t="str">
        <f t="shared" ca="1" si="12"/>
        <v/>
      </c>
      <c r="X150" s="448" t="str">
        <f t="shared" ca="1" si="13"/>
        <v/>
      </c>
      <c r="Y150" s="447" t="str">
        <f t="shared" ca="1" si="14"/>
        <v/>
      </c>
      <c r="Z150" s="79"/>
    </row>
    <row r="151" spans="1:26" customFormat="1" ht="15">
      <c r="A151" s="231"/>
      <c r="B151" s="288">
        <v>113</v>
      </c>
      <c r="C151" s="260"/>
      <c r="D151" s="261"/>
      <c r="E151" s="252"/>
      <c r="F151" s="237"/>
      <c r="G151" s="244"/>
      <c r="H151" s="398">
        <v>137</v>
      </c>
      <c r="I151" s="417"/>
      <c r="J151" s="417"/>
      <c r="K151" s="426"/>
      <c r="L151" s="426"/>
      <c r="M151" s="417"/>
      <c r="N151" s="417"/>
      <c r="O151" s="465"/>
      <c r="P151" s="442" t="str" cm="1">
        <f t="array" aca="1" ref="P151" ca="1">IF(AND($Q$12,B175&lt;=$C$17,C175&lt;&gt;""),TRANSPOSE(INDEX(GetCDS(C175,$C$6,G175/10000,F175,D175,$C$13,$C$14,$C$15,$C$8,,,TRUE,TRUE,FALSE,$C$29:$C$31,$C$33),{1;2;3;4;5})),"")</f>
        <v/>
      </c>
      <c r="Q151" s="443"/>
      <c r="R151" s="443"/>
      <c r="S151" s="444"/>
      <c r="T151" s="445"/>
      <c r="U151" s="446" t="str">
        <f t="shared" ca="1" si="10"/>
        <v/>
      </c>
      <c r="V151" s="447" t="str">
        <f t="shared" ca="1" si="11"/>
        <v/>
      </c>
      <c r="W151" s="446" t="str">
        <f t="shared" ca="1" si="12"/>
        <v/>
      </c>
      <c r="X151" s="448" t="str">
        <f t="shared" ca="1" si="13"/>
        <v/>
      </c>
      <c r="Y151" s="447" t="str">
        <f t="shared" ca="1" si="14"/>
        <v/>
      </c>
      <c r="Z151" s="79"/>
    </row>
    <row r="152" spans="1:26" customFormat="1" ht="15">
      <c r="A152" s="231"/>
      <c r="B152" s="288">
        <v>114</v>
      </c>
      <c r="C152" s="260"/>
      <c r="D152" s="261"/>
      <c r="E152" s="252"/>
      <c r="F152" s="237"/>
      <c r="G152" s="244"/>
      <c r="H152" s="398">
        <v>138</v>
      </c>
      <c r="I152" s="417"/>
      <c r="J152" s="417"/>
      <c r="K152" s="426"/>
      <c r="L152" s="426"/>
      <c r="M152" s="417"/>
      <c r="N152" s="417"/>
      <c r="O152" s="465"/>
      <c r="P152" s="442" t="str" cm="1">
        <f t="array" aca="1" ref="P152" ca="1">IF(AND($Q$12,B176&lt;=$C$17,C176&lt;&gt;""),TRANSPOSE(INDEX(GetCDS(C176,$C$6,G176/10000,F176,D176,$C$13,$C$14,$C$15,$C$8,,,TRUE,TRUE,FALSE,$C$29:$C$31,$C$33),{1;2;3;4;5})),"")</f>
        <v/>
      </c>
      <c r="Q152" s="443"/>
      <c r="R152" s="443"/>
      <c r="S152" s="444"/>
      <c r="T152" s="445"/>
      <c r="U152" s="446" t="str">
        <f t="shared" ca="1" si="10"/>
        <v/>
      </c>
      <c r="V152" s="447" t="str">
        <f t="shared" ca="1" si="11"/>
        <v/>
      </c>
      <c r="W152" s="446" t="str">
        <f t="shared" ca="1" si="12"/>
        <v/>
      </c>
      <c r="X152" s="448" t="str">
        <f t="shared" ca="1" si="13"/>
        <v/>
      </c>
      <c r="Y152" s="447" t="str">
        <f t="shared" ca="1" si="14"/>
        <v/>
      </c>
      <c r="Z152" s="79"/>
    </row>
    <row r="153" spans="1:26" customFormat="1" ht="15">
      <c r="A153" s="231"/>
      <c r="B153" s="288">
        <v>115</v>
      </c>
      <c r="C153" s="260"/>
      <c r="D153" s="261"/>
      <c r="E153" s="252"/>
      <c r="F153" s="237"/>
      <c r="G153" s="244"/>
      <c r="H153" s="398">
        <v>139</v>
      </c>
      <c r="I153" s="417"/>
      <c r="J153" s="417"/>
      <c r="K153" s="426"/>
      <c r="L153" s="426"/>
      <c r="M153" s="417"/>
      <c r="N153" s="417"/>
      <c r="O153" s="465"/>
      <c r="P153" s="442" t="str" cm="1">
        <f t="array" aca="1" ref="P153" ca="1">IF(AND($Q$12,B177&lt;=$C$17,C177&lt;&gt;""),TRANSPOSE(INDEX(GetCDS(C177,$C$6,G177/10000,F177,D177,$C$13,$C$14,$C$15,$C$8,,,TRUE,TRUE,FALSE,$C$29:$C$31,$C$33),{1;2;3;4;5})),"")</f>
        <v/>
      </c>
      <c r="Q153" s="443"/>
      <c r="R153" s="443"/>
      <c r="S153" s="444"/>
      <c r="T153" s="445"/>
      <c r="U153" s="446" t="str">
        <f t="shared" ca="1" si="10"/>
        <v/>
      </c>
      <c r="V153" s="447" t="str">
        <f t="shared" ca="1" si="11"/>
        <v/>
      </c>
      <c r="W153" s="446" t="str">
        <f t="shared" ca="1" si="12"/>
        <v/>
      </c>
      <c r="X153" s="448" t="str">
        <f t="shared" ca="1" si="13"/>
        <v/>
      </c>
      <c r="Y153" s="447" t="str">
        <f t="shared" ca="1" si="14"/>
        <v/>
      </c>
      <c r="Z153" s="79"/>
    </row>
    <row r="154" spans="1:26" customFormat="1" ht="15">
      <c r="A154" s="231"/>
      <c r="B154" s="288">
        <v>116</v>
      </c>
      <c r="C154" s="260"/>
      <c r="D154" s="261"/>
      <c r="E154" s="252"/>
      <c r="F154" s="237"/>
      <c r="G154" s="244"/>
      <c r="H154" s="398">
        <v>140</v>
      </c>
      <c r="I154" s="417"/>
      <c r="J154" s="417"/>
      <c r="K154" s="426"/>
      <c r="L154" s="426"/>
      <c r="M154" s="417"/>
      <c r="N154" s="417"/>
      <c r="O154" s="465"/>
      <c r="P154" s="442" t="str" cm="1">
        <f t="array" aca="1" ref="P154" ca="1">IF(AND($Q$12,B178&lt;=$C$17,C178&lt;&gt;""),TRANSPOSE(INDEX(GetCDS(C178,$C$6,G178/10000,F178,D178,$C$13,$C$14,$C$15,$C$8,,,TRUE,TRUE,FALSE,$C$29:$C$31,$C$33),{1;2;3;4;5})),"")</f>
        <v/>
      </c>
      <c r="Q154" s="443"/>
      <c r="R154" s="443"/>
      <c r="S154" s="444"/>
      <c r="T154" s="445"/>
      <c r="U154" s="446" t="str">
        <f t="shared" ca="1" si="10"/>
        <v/>
      </c>
      <c r="V154" s="447" t="str">
        <f t="shared" ca="1" si="11"/>
        <v/>
      </c>
      <c r="W154" s="446" t="str">
        <f t="shared" ca="1" si="12"/>
        <v/>
      </c>
      <c r="X154" s="448" t="str">
        <f t="shared" ca="1" si="13"/>
        <v/>
      </c>
      <c r="Y154" s="447" t="str">
        <f t="shared" ca="1" si="14"/>
        <v/>
      </c>
      <c r="Z154" s="79"/>
    </row>
    <row r="155" spans="1:26" customFormat="1" ht="15">
      <c r="A155" s="231"/>
      <c r="B155" s="288">
        <v>117</v>
      </c>
      <c r="C155" s="260"/>
      <c r="D155" s="261"/>
      <c r="E155" s="252"/>
      <c r="F155" s="237"/>
      <c r="G155" s="244"/>
      <c r="H155" s="398">
        <v>141</v>
      </c>
      <c r="I155" s="417"/>
      <c r="J155" s="417"/>
      <c r="K155" s="426"/>
      <c r="L155" s="426"/>
      <c r="M155" s="417"/>
      <c r="N155" s="417"/>
      <c r="O155" s="465"/>
      <c r="P155" s="442" t="str" cm="1">
        <f t="array" aca="1" ref="P155" ca="1">IF(AND($Q$12,B179&lt;=$C$17,C179&lt;&gt;""),TRANSPOSE(INDEX(GetCDS(C179,$C$6,G179/10000,F179,D179,$C$13,$C$14,$C$15,$C$8,,,TRUE,TRUE,FALSE,$C$29:$C$31,$C$33),{1;2;3;4;5})),"")</f>
        <v/>
      </c>
      <c r="Q155" s="443"/>
      <c r="R155" s="443"/>
      <c r="S155" s="444"/>
      <c r="T155" s="445"/>
      <c r="U155" s="446" t="str">
        <f t="shared" ca="1" si="10"/>
        <v/>
      </c>
      <c r="V155" s="447" t="str">
        <f t="shared" ca="1" si="11"/>
        <v/>
      </c>
      <c r="W155" s="446" t="str">
        <f t="shared" ca="1" si="12"/>
        <v/>
      </c>
      <c r="X155" s="448" t="str">
        <f t="shared" ca="1" si="13"/>
        <v/>
      </c>
      <c r="Y155" s="447" t="str">
        <f t="shared" ca="1" si="14"/>
        <v/>
      </c>
      <c r="Z155" s="79"/>
    </row>
    <row r="156" spans="1:26" customFormat="1" ht="15">
      <c r="A156" s="231"/>
      <c r="B156" s="288">
        <v>118</v>
      </c>
      <c r="C156" s="260"/>
      <c r="D156" s="261"/>
      <c r="E156" s="252"/>
      <c r="F156" s="237"/>
      <c r="G156" s="244"/>
      <c r="H156" s="398">
        <v>142</v>
      </c>
      <c r="I156" s="417"/>
      <c r="J156" s="417"/>
      <c r="K156" s="426"/>
      <c r="L156" s="426"/>
      <c r="M156" s="417"/>
      <c r="N156" s="417"/>
      <c r="O156" s="465"/>
      <c r="P156" s="442" t="str" cm="1">
        <f t="array" aca="1" ref="P156" ca="1">IF(AND($Q$12,B180&lt;=$C$17,C180&lt;&gt;""),TRANSPOSE(INDEX(GetCDS(C180,$C$6,G180/10000,F180,D180,$C$13,$C$14,$C$15,$C$8,,,TRUE,TRUE,FALSE,$C$29:$C$31,$C$33),{1;2;3;4;5})),"")</f>
        <v/>
      </c>
      <c r="Q156" s="443"/>
      <c r="R156" s="443"/>
      <c r="S156" s="444"/>
      <c r="T156" s="445"/>
      <c r="U156" s="446" t="str">
        <f t="shared" ca="1" si="10"/>
        <v/>
      </c>
      <c r="V156" s="447" t="str">
        <f t="shared" ca="1" si="11"/>
        <v/>
      </c>
      <c r="W156" s="446" t="str">
        <f t="shared" ca="1" si="12"/>
        <v/>
      </c>
      <c r="X156" s="448" t="str">
        <f t="shared" ca="1" si="13"/>
        <v/>
      </c>
      <c r="Y156" s="447" t="str">
        <f t="shared" ca="1" si="14"/>
        <v/>
      </c>
      <c r="Z156" s="79"/>
    </row>
    <row r="157" spans="1:26" customFormat="1" ht="15">
      <c r="A157" s="231"/>
      <c r="B157" s="288">
        <v>119</v>
      </c>
      <c r="C157" s="260"/>
      <c r="D157" s="261"/>
      <c r="E157" s="252"/>
      <c r="F157" s="237"/>
      <c r="G157" s="244"/>
      <c r="H157" s="398">
        <v>143</v>
      </c>
      <c r="I157" s="417"/>
      <c r="J157" s="417"/>
      <c r="K157" s="426"/>
      <c r="L157" s="426"/>
      <c r="M157" s="417"/>
      <c r="N157" s="417"/>
      <c r="O157" s="465"/>
      <c r="P157" s="442" t="str" cm="1">
        <f t="array" aca="1" ref="P157" ca="1">IF(AND($Q$12,B181&lt;=$C$17,C181&lt;&gt;""),TRANSPOSE(INDEX(GetCDS(C181,$C$6,G181/10000,F181,D181,$C$13,$C$14,$C$15,$C$8,,,TRUE,TRUE,FALSE,$C$29:$C$31,$C$33),{1;2;3;4;5})),"")</f>
        <v/>
      </c>
      <c r="Q157" s="443"/>
      <c r="R157" s="443"/>
      <c r="S157" s="444"/>
      <c r="T157" s="445"/>
      <c r="U157" s="446" t="str">
        <f t="shared" ca="1" si="10"/>
        <v/>
      </c>
      <c r="V157" s="447" t="str">
        <f t="shared" ca="1" si="11"/>
        <v/>
      </c>
      <c r="W157" s="446" t="str">
        <f t="shared" ca="1" si="12"/>
        <v/>
      </c>
      <c r="X157" s="448" t="str">
        <f t="shared" ca="1" si="13"/>
        <v/>
      </c>
      <c r="Y157" s="447" t="str">
        <f t="shared" ca="1" si="14"/>
        <v/>
      </c>
      <c r="Z157" s="79"/>
    </row>
    <row r="158" spans="1:26" customFormat="1" ht="15">
      <c r="A158" s="231"/>
      <c r="B158" s="288">
        <v>120</v>
      </c>
      <c r="C158" s="260"/>
      <c r="D158" s="261"/>
      <c r="E158" s="252"/>
      <c r="F158" s="237"/>
      <c r="G158" s="244"/>
      <c r="H158" s="398">
        <v>144</v>
      </c>
      <c r="I158" s="417"/>
      <c r="J158" s="417"/>
      <c r="K158" s="426"/>
      <c r="L158" s="426"/>
      <c r="M158" s="417"/>
      <c r="N158" s="417"/>
      <c r="O158" s="465"/>
      <c r="P158" s="442" t="str" cm="1">
        <f t="array" aca="1" ref="P158" ca="1">IF(AND($Q$12,B182&lt;=$C$17,C182&lt;&gt;""),TRANSPOSE(INDEX(GetCDS(C182,$C$6,G182/10000,F182,D182,$C$13,$C$14,$C$15,$C$8,,,TRUE,TRUE,FALSE,$C$29:$C$31,$C$33),{1;2;3;4;5})),"")</f>
        <v/>
      </c>
      <c r="Q158" s="443"/>
      <c r="R158" s="443"/>
      <c r="S158" s="444"/>
      <c r="T158" s="445"/>
      <c r="U158" s="446" t="str">
        <f t="shared" ca="1" si="10"/>
        <v/>
      </c>
      <c r="V158" s="447" t="str">
        <f t="shared" ca="1" si="11"/>
        <v/>
      </c>
      <c r="W158" s="446" t="str">
        <f t="shared" ca="1" si="12"/>
        <v/>
      </c>
      <c r="X158" s="448" t="str">
        <f t="shared" ca="1" si="13"/>
        <v/>
      </c>
      <c r="Y158" s="447" t="str">
        <f t="shared" ca="1" si="14"/>
        <v/>
      </c>
      <c r="Z158" s="79"/>
    </row>
    <row r="159" spans="1:26" customFormat="1" ht="15">
      <c r="A159" s="231"/>
      <c r="B159" s="288">
        <v>121</v>
      </c>
      <c r="C159" s="260"/>
      <c r="D159" s="261"/>
      <c r="E159" s="252"/>
      <c r="F159" s="237"/>
      <c r="G159" s="244"/>
      <c r="H159" s="398">
        <v>145</v>
      </c>
      <c r="I159" s="417"/>
      <c r="J159" s="417"/>
      <c r="K159" s="426"/>
      <c r="L159" s="426"/>
      <c r="M159" s="417"/>
      <c r="N159" s="417"/>
      <c r="O159" s="465"/>
      <c r="P159" s="442" t="str" cm="1">
        <f t="array" aca="1" ref="P159" ca="1">IF(AND($Q$12,B183&lt;=$C$17,C183&lt;&gt;""),TRANSPOSE(INDEX(GetCDS(C183,$C$6,G183/10000,F183,D183,$C$13,$C$14,$C$15,$C$8,,,TRUE,TRUE,FALSE,$C$29:$C$31,$C$33),{1;2;3;4;5})),"")</f>
        <v/>
      </c>
      <c r="Q159" s="443"/>
      <c r="R159" s="443"/>
      <c r="S159" s="444"/>
      <c r="T159" s="445"/>
      <c r="U159" s="446" t="str">
        <f t="shared" ca="1" si="10"/>
        <v/>
      </c>
      <c r="V159" s="447" t="str">
        <f t="shared" ca="1" si="11"/>
        <v/>
      </c>
      <c r="W159" s="446" t="str">
        <f t="shared" ca="1" si="12"/>
        <v/>
      </c>
      <c r="X159" s="448" t="str">
        <f t="shared" ca="1" si="13"/>
        <v/>
      </c>
      <c r="Y159" s="447" t="str">
        <f t="shared" ca="1" si="14"/>
        <v/>
      </c>
      <c r="Z159" s="79"/>
    </row>
    <row r="160" spans="1:26" customFormat="1" ht="15">
      <c r="A160" s="231"/>
      <c r="B160" s="288">
        <v>122</v>
      </c>
      <c r="C160" s="260"/>
      <c r="D160" s="261"/>
      <c r="E160" s="252"/>
      <c r="F160" s="237"/>
      <c r="G160" s="244"/>
      <c r="H160" s="398">
        <v>146</v>
      </c>
      <c r="I160" s="417"/>
      <c r="J160" s="417"/>
      <c r="K160" s="426"/>
      <c r="L160" s="426"/>
      <c r="M160" s="417"/>
      <c r="N160" s="417"/>
      <c r="O160" s="465"/>
      <c r="P160" s="442" t="str" cm="1">
        <f t="array" aca="1" ref="P160" ca="1">IF(AND($Q$12,B184&lt;=$C$17,C184&lt;&gt;""),TRANSPOSE(INDEX(GetCDS(C184,$C$6,G184/10000,F184,D184,$C$13,$C$14,$C$15,$C$8,,,TRUE,TRUE,FALSE,$C$29:$C$31,$C$33),{1;2;3;4;5})),"")</f>
        <v/>
      </c>
      <c r="Q160" s="443"/>
      <c r="R160" s="443"/>
      <c r="S160" s="444"/>
      <c r="T160" s="445"/>
      <c r="U160" s="446" t="str">
        <f t="shared" ca="1" si="10"/>
        <v/>
      </c>
      <c r="V160" s="447" t="str">
        <f t="shared" ca="1" si="11"/>
        <v/>
      </c>
      <c r="W160" s="446" t="str">
        <f t="shared" ca="1" si="12"/>
        <v/>
      </c>
      <c r="X160" s="448" t="str">
        <f t="shared" ca="1" si="13"/>
        <v/>
      </c>
      <c r="Y160" s="447" t="str">
        <f t="shared" ca="1" si="14"/>
        <v/>
      </c>
      <c r="Z160" s="79"/>
    </row>
    <row r="161" spans="1:26" customFormat="1" ht="15">
      <c r="A161" s="231"/>
      <c r="B161" s="288">
        <v>123</v>
      </c>
      <c r="C161" s="260"/>
      <c r="D161" s="261"/>
      <c r="E161" s="252"/>
      <c r="F161" s="237"/>
      <c r="G161" s="244"/>
      <c r="H161" s="398">
        <v>147</v>
      </c>
      <c r="I161" s="417"/>
      <c r="J161" s="417"/>
      <c r="K161" s="426"/>
      <c r="L161" s="426"/>
      <c r="M161" s="417"/>
      <c r="N161" s="417"/>
      <c r="O161" s="465"/>
      <c r="P161" s="442" t="str" cm="1">
        <f t="array" aca="1" ref="P161" ca="1">IF(AND($Q$12,B185&lt;=$C$17,C185&lt;&gt;""),TRANSPOSE(INDEX(GetCDS(C185,$C$6,G185/10000,F185,D185,$C$13,$C$14,$C$15,$C$8,,,TRUE,TRUE,FALSE,$C$29:$C$31,$C$33),{1;2;3;4;5})),"")</f>
        <v/>
      </c>
      <c r="Q161" s="443"/>
      <c r="R161" s="443"/>
      <c r="S161" s="444"/>
      <c r="T161" s="445"/>
      <c r="U161" s="446" t="str">
        <f t="shared" ca="1" si="10"/>
        <v/>
      </c>
      <c r="V161" s="447" t="str">
        <f t="shared" ca="1" si="11"/>
        <v/>
      </c>
      <c r="W161" s="446" t="str">
        <f t="shared" ca="1" si="12"/>
        <v/>
      </c>
      <c r="X161" s="448" t="str">
        <f t="shared" ca="1" si="13"/>
        <v/>
      </c>
      <c r="Y161" s="447" t="str">
        <f t="shared" ca="1" si="14"/>
        <v/>
      </c>
      <c r="Z161" s="79"/>
    </row>
    <row r="162" spans="1:26" customFormat="1" ht="15">
      <c r="A162" s="231"/>
      <c r="B162" s="288">
        <v>124</v>
      </c>
      <c r="C162" s="260"/>
      <c r="D162" s="261"/>
      <c r="E162" s="252"/>
      <c r="F162" s="237"/>
      <c r="G162" s="244"/>
      <c r="H162" s="398">
        <v>148</v>
      </c>
      <c r="I162" s="417"/>
      <c r="J162" s="417"/>
      <c r="K162" s="426"/>
      <c r="L162" s="426"/>
      <c r="M162" s="417"/>
      <c r="N162" s="417"/>
      <c r="O162" s="465"/>
      <c r="P162" s="442" t="str" cm="1">
        <f t="array" aca="1" ref="P162" ca="1">IF(AND($Q$12,B186&lt;=$C$17,C186&lt;&gt;""),TRANSPOSE(INDEX(GetCDS(C186,$C$6,G186/10000,F186,D186,$C$13,$C$14,$C$15,$C$8,,,TRUE,TRUE,FALSE,$C$29:$C$31,$C$33),{1;2;3;4;5})),"")</f>
        <v/>
      </c>
      <c r="Q162" s="443"/>
      <c r="R162" s="443"/>
      <c r="S162" s="444"/>
      <c r="T162" s="445"/>
      <c r="U162" s="446" t="str">
        <f t="shared" ca="1" si="10"/>
        <v/>
      </c>
      <c r="V162" s="447" t="str">
        <f t="shared" ca="1" si="11"/>
        <v/>
      </c>
      <c r="W162" s="446" t="str">
        <f t="shared" ca="1" si="12"/>
        <v/>
      </c>
      <c r="X162" s="448" t="str">
        <f t="shared" ca="1" si="13"/>
        <v/>
      </c>
      <c r="Y162" s="447" t="str">
        <f t="shared" ca="1" si="14"/>
        <v/>
      </c>
      <c r="Z162" s="79"/>
    </row>
    <row r="163" spans="1:26" customFormat="1" ht="15">
      <c r="A163" s="231"/>
      <c r="B163" s="288">
        <v>125</v>
      </c>
      <c r="C163" s="260"/>
      <c r="D163" s="261"/>
      <c r="E163" s="252"/>
      <c r="F163" s="237"/>
      <c r="G163" s="244"/>
      <c r="H163" s="398">
        <v>149</v>
      </c>
      <c r="I163" s="417"/>
      <c r="J163" s="417"/>
      <c r="K163" s="426"/>
      <c r="L163" s="426"/>
      <c r="M163" s="426"/>
      <c r="N163" s="426"/>
      <c r="O163" s="465"/>
      <c r="P163" s="442" t="str" cm="1">
        <f t="array" aca="1" ref="P163" ca="1">IF(AND($Q$12,B187&lt;=$C$17,C187&lt;&gt;""),TRANSPOSE(INDEX(GetCDS(C187,$C$6,G187/10000,F187,D187,$C$13,$C$14,$C$15,$C$8,,,TRUE,TRUE,FALSE,$C$29:$C$31,$C$33),{1;2;3;4;5})),"")</f>
        <v/>
      </c>
      <c r="Q163" s="443"/>
      <c r="R163" s="443"/>
      <c r="S163" s="444"/>
      <c r="T163" s="445"/>
      <c r="U163" s="446" t="str">
        <f t="shared" ca="1" si="10"/>
        <v/>
      </c>
      <c r="V163" s="447" t="str">
        <f t="shared" ca="1" si="11"/>
        <v/>
      </c>
      <c r="W163" s="446" t="str">
        <f t="shared" ca="1" si="12"/>
        <v/>
      </c>
      <c r="X163" s="448" t="str">
        <f t="shared" ca="1" si="13"/>
        <v/>
      </c>
      <c r="Y163" s="447" t="str">
        <f t="shared" ca="1" si="14"/>
        <v/>
      </c>
      <c r="Z163" s="79"/>
    </row>
    <row r="164" spans="1:26" customFormat="1" ht="15">
      <c r="A164" s="231"/>
      <c r="B164" s="288">
        <v>126</v>
      </c>
      <c r="C164" s="260"/>
      <c r="D164" s="261"/>
      <c r="E164" s="252"/>
      <c r="F164" s="237"/>
      <c r="G164" s="244"/>
      <c r="H164" s="398">
        <v>150</v>
      </c>
      <c r="I164" s="417"/>
      <c r="J164" s="417"/>
      <c r="K164" s="426"/>
      <c r="L164" s="426"/>
      <c r="M164" s="426"/>
      <c r="N164" s="426"/>
      <c r="O164" s="465"/>
      <c r="P164" s="442" t="str" cm="1">
        <f t="array" aca="1" ref="P164" ca="1">IF(AND($Q$12,B188&lt;=$C$17,C188&lt;&gt;""),TRANSPOSE(INDEX(GetCDS(C188,$C$6,G188/10000,F188,D188,$C$13,$C$14,$C$15,$C$8,,,TRUE,TRUE,FALSE,$C$29:$C$31,$C$33),{1;2;3;4;5})),"")</f>
        <v/>
      </c>
      <c r="Q164" s="443"/>
      <c r="R164" s="443"/>
      <c r="S164" s="444"/>
      <c r="T164" s="445"/>
      <c r="U164" s="446" t="str">
        <f t="shared" ca="1" si="10"/>
        <v/>
      </c>
      <c r="V164" s="447" t="str">
        <f t="shared" ca="1" si="11"/>
        <v/>
      </c>
      <c r="W164" s="446" t="str">
        <f t="shared" ca="1" si="12"/>
        <v/>
      </c>
      <c r="X164" s="448" t="str">
        <f t="shared" ca="1" si="13"/>
        <v/>
      </c>
      <c r="Y164" s="447" t="str">
        <f t="shared" ca="1" si="14"/>
        <v/>
      </c>
      <c r="Z164" s="79"/>
    </row>
    <row r="165" spans="1:26" customFormat="1" ht="15">
      <c r="A165" s="231"/>
      <c r="B165" s="288">
        <v>127</v>
      </c>
      <c r="C165" s="260"/>
      <c r="D165" s="261"/>
      <c r="E165" s="252"/>
      <c r="F165" s="237"/>
      <c r="G165" s="244"/>
      <c r="H165" s="398">
        <v>151</v>
      </c>
      <c r="I165" s="417"/>
      <c r="J165" s="417"/>
      <c r="K165" s="426"/>
      <c r="L165" s="426"/>
      <c r="M165" s="426"/>
      <c r="N165" s="426"/>
      <c r="O165" s="465"/>
      <c r="P165" s="442" t="str" cm="1">
        <f t="array" aca="1" ref="P165" ca="1">IF(AND($Q$12,B189&lt;=$C$17,C189&lt;&gt;""),TRANSPOSE(INDEX(GetCDS(C189,$C$6,G189/10000,F189,D189,$C$13,$C$14,$C$15,$C$8,,,TRUE,TRUE,FALSE,$C$29:$C$31,$C$33),{1;2;3;4;5})),"")</f>
        <v/>
      </c>
      <c r="Q165" s="443"/>
      <c r="R165" s="443"/>
      <c r="S165" s="444"/>
      <c r="T165" s="445"/>
      <c r="U165" s="446" t="str">
        <f t="shared" ca="1" si="10"/>
        <v/>
      </c>
      <c r="V165" s="447" t="str">
        <f t="shared" ca="1" si="11"/>
        <v/>
      </c>
      <c r="W165" s="446" t="str">
        <f t="shared" ca="1" si="12"/>
        <v/>
      </c>
      <c r="X165" s="448" t="str">
        <f t="shared" ca="1" si="13"/>
        <v/>
      </c>
      <c r="Y165" s="447" t="str">
        <f t="shared" ca="1" si="14"/>
        <v/>
      </c>
      <c r="Z165" s="79"/>
    </row>
    <row r="166" spans="1:26" customFormat="1" ht="15">
      <c r="A166" s="231"/>
      <c r="B166" s="288">
        <v>128</v>
      </c>
      <c r="C166" s="260"/>
      <c r="D166" s="261"/>
      <c r="E166" s="252"/>
      <c r="F166" s="237"/>
      <c r="G166" s="244"/>
      <c r="H166" s="398">
        <v>152</v>
      </c>
      <c r="I166" s="417"/>
      <c r="J166" s="417"/>
      <c r="K166" s="426"/>
      <c r="L166" s="426"/>
      <c r="M166" s="426"/>
      <c r="N166" s="426"/>
      <c r="O166" s="465"/>
      <c r="P166" s="442" t="str" cm="1">
        <f t="array" aca="1" ref="P166" ca="1">IF(AND($Q$12,B190&lt;=$C$17,C190&lt;&gt;""),TRANSPOSE(INDEX(GetCDS(C190,$C$6,G190/10000,F190,D190,$C$13,$C$14,$C$15,$C$8,,,TRUE,TRUE,FALSE,$C$29:$C$31,$C$33),{1;2;3;4;5})),"")</f>
        <v/>
      </c>
      <c r="Q166" s="443"/>
      <c r="R166" s="443"/>
      <c r="S166" s="444"/>
      <c r="T166" s="445"/>
      <c r="U166" s="446" t="str">
        <f t="shared" ca="1" si="10"/>
        <v/>
      </c>
      <c r="V166" s="447" t="str">
        <f t="shared" ca="1" si="11"/>
        <v/>
      </c>
      <c r="W166" s="446" t="str">
        <f t="shared" ca="1" si="12"/>
        <v/>
      </c>
      <c r="X166" s="448" t="str">
        <f t="shared" ca="1" si="13"/>
        <v/>
      </c>
      <c r="Y166" s="447" t="str">
        <f t="shared" ca="1" si="14"/>
        <v/>
      </c>
      <c r="Z166" s="79"/>
    </row>
    <row r="167" spans="1:26" customFormat="1" ht="15">
      <c r="A167" s="231"/>
      <c r="B167" s="288">
        <v>129</v>
      </c>
      <c r="C167" s="260"/>
      <c r="D167" s="261"/>
      <c r="E167" s="252"/>
      <c r="F167" s="237"/>
      <c r="G167" s="244"/>
      <c r="H167" s="398">
        <v>153</v>
      </c>
      <c r="I167" s="417"/>
      <c r="J167" s="417"/>
      <c r="K167" s="426"/>
      <c r="L167" s="426"/>
      <c r="M167" s="426"/>
      <c r="N167" s="426"/>
      <c r="O167" s="465"/>
      <c r="P167" s="442" t="str" cm="1">
        <f t="array" aca="1" ref="P167" ca="1">IF(AND($Q$12,B191&lt;=$C$17,C191&lt;&gt;""),TRANSPOSE(INDEX(GetCDS(C191,$C$6,G191/10000,F191,D191,$C$13,$C$14,$C$15,$C$8,,,TRUE,TRUE,FALSE,$C$29:$C$31,$C$33),{1;2;3;4;5})),"")</f>
        <v/>
      </c>
      <c r="Q167" s="443"/>
      <c r="R167" s="443"/>
      <c r="S167" s="444"/>
      <c r="T167" s="445"/>
      <c r="U167" s="446" t="str">
        <f t="shared" ca="1" si="10"/>
        <v/>
      </c>
      <c r="V167" s="447" t="str">
        <f t="shared" ca="1" si="11"/>
        <v/>
      </c>
      <c r="W167" s="446" t="str">
        <f t="shared" ca="1" si="12"/>
        <v/>
      </c>
      <c r="X167" s="448" t="str">
        <f t="shared" ca="1" si="13"/>
        <v/>
      </c>
      <c r="Y167" s="447" t="str">
        <f t="shared" ca="1" si="14"/>
        <v/>
      </c>
      <c r="Z167" s="79"/>
    </row>
    <row r="168" spans="1:26" customFormat="1" ht="15">
      <c r="A168" s="231"/>
      <c r="B168" s="288">
        <v>130</v>
      </c>
      <c r="C168" s="260"/>
      <c r="D168" s="261"/>
      <c r="E168" s="252"/>
      <c r="F168" s="237"/>
      <c r="G168" s="244"/>
      <c r="H168" s="398">
        <v>154</v>
      </c>
      <c r="I168" s="417"/>
      <c r="J168" s="417"/>
      <c r="K168" s="426"/>
      <c r="L168" s="426"/>
      <c r="M168" s="426"/>
      <c r="N168" s="426"/>
      <c r="O168" s="465"/>
      <c r="P168" s="442" t="str" cm="1">
        <f t="array" aca="1" ref="P168" ca="1">IF(AND($Q$12,B192&lt;=$C$17,C192&lt;&gt;""),TRANSPOSE(INDEX(GetCDS(C192,$C$6,G192/10000,F192,D192,$C$13,$C$14,$C$15,$C$8,,,TRUE,TRUE,FALSE,$C$29:$C$31,$C$33),{1;2;3;4;5})),"")</f>
        <v/>
      </c>
      <c r="Q168" s="443"/>
      <c r="R168" s="443"/>
      <c r="S168" s="444"/>
      <c r="T168" s="445"/>
      <c r="U168" s="446" t="str">
        <f t="shared" ca="1" si="10"/>
        <v/>
      </c>
      <c r="V168" s="447" t="str">
        <f t="shared" ca="1" si="11"/>
        <v/>
      </c>
      <c r="W168" s="446" t="str">
        <f t="shared" ca="1" si="12"/>
        <v/>
      </c>
      <c r="X168" s="448" t="str">
        <f t="shared" ca="1" si="13"/>
        <v/>
      </c>
      <c r="Y168" s="447" t="str">
        <f t="shared" ca="1" si="14"/>
        <v/>
      </c>
      <c r="Z168" s="79"/>
    </row>
    <row r="169" spans="1:26" customFormat="1" ht="15">
      <c r="A169" s="231"/>
      <c r="B169" s="288">
        <v>131</v>
      </c>
      <c r="C169" s="260"/>
      <c r="D169" s="261"/>
      <c r="E169" s="252"/>
      <c r="F169" s="237"/>
      <c r="G169" s="244"/>
      <c r="H169" s="398">
        <v>155</v>
      </c>
      <c r="I169" s="417"/>
      <c r="J169" s="417"/>
      <c r="K169" s="426"/>
      <c r="L169" s="426"/>
      <c r="M169" s="426"/>
      <c r="N169" s="426"/>
      <c r="O169" s="465"/>
      <c r="P169" s="442" t="str" cm="1">
        <f t="array" aca="1" ref="P169" ca="1">IF(AND($Q$12,B193&lt;=$C$17,C193&lt;&gt;""),TRANSPOSE(INDEX(GetCDS(C193,$C$6,G193/10000,F193,D193,$C$13,$C$14,$C$15,$C$8,,,TRUE,TRUE,FALSE,$C$29:$C$31,$C$33),{1;2;3;4;5})),"")</f>
        <v/>
      </c>
      <c r="Q169" s="443"/>
      <c r="R169" s="443"/>
      <c r="S169" s="444"/>
      <c r="T169" s="445"/>
      <c r="U169" s="446" t="str">
        <f t="shared" ca="1" si="10"/>
        <v/>
      </c>
      <c r="V169" s="447" t="str">
        <f t="shared" ca="1" si="11"/>
        <v/>
      </c>
      <c r="W169" s="446" t="str">
        <f t="shared" ca="1" si="12"/>
        <v/>
      </c>
      <c r="X169" s="448" t="str">
        <f t="shared" ca="1" si="13"/>
        <v/>
      </c>
      <c r="Y169" s="447" t="str">
        <f t="shared" ca="1" si="14"/>
        <v/>
      </c>
      <c r="Z169" s="79"/>
    </row>
    <row r="170" spans="1:26" customFormat="1" ht="15">
      <c r="A170" s="231"/>
      <c r="B170" s="288">
        <v>132</v>
      </c>
      <c r="C170" s="260"/>
      <c r="D170" s="261"/>
      <c r="E170" s="252"/>
      <c r="F170" s="237"/>
      <c r="G170" s="244"/>
      <c r="H170" s="398">
        <v>156</v>
      </c>
      <c r="I170" s="417"/>
      <c r="J170" s="417"/>
      <c r="K170" s="426"/>
      <c r="L170" s="426"/>
      <c r="M170" s="426"/>
      <c r="N170" s="426"/>
      <c r="O170" s="465"/>
      <c r="P170" s="442" t="str" cm="1">
        <f t="array" aca="1" ref="P170" ca="1">IF(AND($Q$12,B194&lt;=$C$17,C194&lt;&gt;""),TRANSPOSE(INDEX(GetCDS(C194,$C$6,G194/10000,F194,D194,$C$13,$C$14,$C$15,$C$8,,,TRUE,TRUE,FALSE,$C$29:$C$31,$C$33),{1;2;3;4;5})),"")</f>
        <v/>
      </c>
      <c r="Q170" s="443"/>
      <c r="R170" s="443"/>
      <c r="S170" s="444"/>
      <c r="T170" s="445"/>
      <c r="U170" s="446" t="str">
        <f t="shared" ca="1" si="10"/>
        <v/>
      </c>
      <c r="V170" s="447" t="str">
        <f t="shared" ca="1" si="11"/>
        <v/>
      </c>
      <c r="W170" s="446" t="str">
        <f t="shared" ca="1" si="12"/>
        <v/>
      </c>
      <c r="X170" s="448" t="str">
        <f t="shared" ca="1" si="13"/>
        <v/>
      </c>
      <c r="Y170" s="447" t="str">
        <f t="shared" ca="1" si="14"/>
        <v/>
      </c>
      <c r="Z170" s="79"/>
    </row>
    <row r="171" spans="1:26" customFormat="1" ht="15">
      <c r="A171" s="231"/>
      <c r="B171" s="288">
        <v>133</v>
      </c>
      <c r="C171" s="260"/>
      <c r="D171" s="261"/>
      <c r="E171" s="252"/>
      <c r="F171" s="237"/>
      <c r="G171" s="244"/>
      <c r="H171" s="398">
        <v>157</v>
      </c>
      <c r="I171" s="417"/>
      <c r="J171" s="417"/>
      <c r="K171" s="426"/>
      <c r="L171" s="426"/>
      <c r="M171" s="426"/>
      <c r="N171" s="426"/>
      <c r="O171" s="465"/>
      <c r="P171" s="442" t="str" cm="1">
        <f t="array" aca="1" ref="P171" ca="1">IF(AND($Q$12,B195&lt;=$C$17,C195&lt;&gt;""),TRANSPOSE(INDEX(GetCDS(C195,$C$6,G195/10000,F195,D195,$C$13,$C$14,$C$15,$C$8,,,TRUE,TRUE,FALSE,$C$29:$C$31,$C$33),{1;2;3;4;5})),"")</f>
        <v/>
      </c>
      <c r="Q171" s="443"/>
      <c r="R171" s="443"/>
      <c r="S171" s="444"/>
      <c r="T171" s="445"/>
      <c r="U171" s="446" t="str">
        <f t="shared" ca="1" si="10"/>
        <v/>
      </c>
      <c r="V171" s="447" t="str">
        <f t="shared" ca="1" si="11"/>
        <v/>
      </c>
      <c r="W171" s="446" t="str">
        <f t="shared" ca="1" si="12"/>
        <v/>
      </c>
      <c r="X171" s="448" t="str">
        <f t="shared" ca="1" si="13"/>
        <v/>
      </c>
      <c r="Y171" s="447" t="str">
        <f t="shared" ca="1" si="14"/>
        <v/>
      </c>
      <c r="Z171" s="79"/>
    </row>
    <row r="172" spans="1:26" customFormat="1" ht="15">
      <c r="A172" s="231"/>
      <c r="B172" s="288">
        <v>134</v>
      </c>
      <c r="C172" s="260"/>
      <c r="D172" s="261"/>
      <c r="E172" s="252"/>
      <c r="F172" s="237"/>
      <c r="G172" s="244"/>
      <c r="H172" s="398">
        <v>158</v>
      </c>
      <c r="I172" s="417"/>
      <c r="J172" s="417"/>
      <c r="K172" s="426"/>
      <c r="L172" s="426"/>
      <c r="M172" s="426"/>
      <c r="N172" s="426"/>
      <c r="O172" s="465"/>
      <c r="P172" s="442" t="str" cm="1">
        <f t="array" aca="1" ref="P172" ca="1">IF(AND($Q$12,B196&lt;=$C$17,C196&lt;&gt;""),TRANSPOSE(INDEX(GetCDS(C196,$C$6,G196/10000,F196,D196,$C$13,$C$14,$C$15,$C$8,,,TRUE,TRUE,FALSE,$C$29:$C$31,$C$33),{1;2;3;4;5})),"")</f>
        <v/>
      </c>
      <c r="Q172" s="443"/>
      <c r="R172" s="443"/>
      <c r="S172" s="444"/>
      <c r="T172" s="445"/>
      <c r="U172" s="446" t="str">
        <f t="shared" ca="1" si="10"/>
        <v/>
      </c>
      <c r="V172" s="447" t="str">
        <f t="shared" ca="1" si="11"/>
        <v/>
      </c>
      <c r="W172" s="446" t="str">
        <f t="shared" ca="1" si="12"/>
        <v/>
      </c>
      <c r="X172" s="448" t="str">
        <f t="shared" ca="1" si="13"/>
        <v/>
      </c>
      <c r="Y172" s="447" t="str">
        <f t="shared" ca="1" si="14"/>
        <v/>
      </c>
      <c r="Z172" s="79"/>
    </row>
    <row r="173" spans="1:26" customFormat="1" ht="15">
      <c r="A173" s="231"/>
      <c r="B173" s="288">
        <v>135</v>
      </c>
      <c r="C173" s="260"/>
      <c r="D173" s="261"/>
      <c r="E173" s="252"/>
      <c r="F173" s="237"/>
      <c r="G173" s="244"/>
      <c r="H173" s="398">
        <v>159</v>
      </c>
      <c r="I173" s="417"/>
      <c r="J173" s="417"/>
      <c r="K173" s="426"/>
      <c r="L173" s="426"/>
      <c r="M173" s="426"/>
      <c r="N173" s="426"/>
      <c r="O173" s="465"/>
      <c r="P173" s="442" t="str" cm="1">
        <f t="array" aca="1" ref="P173" ca="1">IF(AND($Q$12,B197&lt;=$C$17,C197&lt;&gt;""),TRANSPOSE(INDEX(GetCDS(C197,$C$6,G197/10000,F197,D197,$C$13,$C$14,$C$15,$C$8,,,TRUE,TRUE,FALSE,$C$29:$C$31,$C$33),{1;2;3;4;5})),"")</f>
        <v/>
      </c>
      <c r="Q173" s="443"/>
      <c r="R173" s="443"/>
      <c r="S173" s="444"/>
      <c r="T173" s="445"/>
      <c r="U173" s="446" t="str">
        <f t="shared" ca="1" si="10"/>
        <v/>
      </c>
      <c r="V173" s="447" t="str">
        <f t="shared" ca="1" si="11"/>
        <v/>
      </c>
      <c r="W173" s="446" t="str">
        <f t="shared" ca="1" si="12"/>
        <v/>
      </c>
      <c r="X173" s="448" t="str">
        <f t="shared" ca="1" si="13"/>
        <v/>
      </c>
      <c r="Y173" s="447" t="str">
        <f t="shared" ca="1" si="14"/>
        <v/>
      </c>
      <c r="Z173" s="79"/>
    </row>
    <row r="174" spans="1:26" customFormat="1" ht="15">
      <c r="A174" s="231"/>
      <c r="B174" s="288">
        <v>136</v>
      </c>
      <c r="C174" s="260"/>
      <c r="D174" s="261"/>
      <c r="E174" s="252"/>
      <c r="F174" s="237"/>
      <c r="G174" s="244"/>
      <c r="H174" s="398">
        <v>160</v>
      </c>
      <c r="I174" s="417"/>
      <c r="J174" s="417"/>
      <c r="K174" s="426"/>
      <c r="L174" s="426"/>
      <c r="M174" s="426"/>
      <c r="N174" s="426"/>
      <c r="O174" s="465"/>
      <c r="P174" s="442" t="str" cm="1">
        <f t="array" aca="1" ref="P174" ca="1">IF(AND($Q$12,B198&lt;=$C$17,C198&lt;&gt;""),TRANSPOSE(INDEX(GetCDS(C198,$C$6,G198/10000,F198,D198,$C$13,$C$14,$C$15,$C$8,,,TRUE,TRUE,FALSE,$C$29:$C$31,$C$33),{1;2;3;4;5})),"")</f>
        <v/>
      </c>
      <c r="Q174" s="443"/>
      <c r="R174" s="443"/>
      <c r="S174" s="444"/>
      <c r="T174" s="445"/>
      <c r="U174" s="446" t="str">
        <f t="shared" ca="1" si="10"/>
        <v/>
      </c>
      <c r="V174" s="447" t="str">
        <f t="shared" ca="1" si="11"/>
        <v/>
      </c>
      <c r="W174" s="446" t="str">
        <f t="shared" ca="1" si="12"/>
        <v/>
      </c>
      <c r="X174" s="448" t="str">
        <f t="shared" ca="1" si="13"/>
        <v/>
      </c>
      <c r="Y174" s="447" t="str">
        <f t="shared" ca="1" si="14"/>
        <v/>
      </c>
      <c r="Z174" s="79"/>
    </row>
    <row r="175" spans="1:26" customFormat="1" ht="15">
      <c r="A175" s="231"/>
      <c r="B175" s="288">
        <v>137</v>
      </c>
      <c r="C175" s="260"/>
      <c r="D175" s="261"/>
      <c r="E175" s="252"/>
      <c r="F175" s="237"/>
      <c r="G175" s="244"/>
      <c r="H175" s="398">
        <v>161</v>
      </c>
      <c r="I175" s="417"/>
      <c r="J175" s="417"/>
      <c r="K175" s="426"/>
      <c r="L175" s="426"/>
      <c r="M175" s="426"/>
      <c r="N175" s="426"/>
      <c r="O175" s="465"/>
      <c r="P175" s="442" t="str" cm="1">
        <f t="array" aca="1" ref="P175" ca="1">IF(AND($Q$12,B199&lt;=$C$17,C199&lt;&gt;""),TRANSPOSE(INDEX(GetCDS(C199,$C$6,G199/10000,F199,D199,$C$13,$C$14,$C$15,$C$8,,,TRUE,TRUE,FALSE,$C$29:$C$31,$C$33),{1;2;3;4;5})),"")</f>
        <v/>
      </c>
      <c r="Q175" s="443"/>
      <c r="R175" s="443"/>
      <c r="S175" s="444"/>
      <c r="T175" s="445"/>
      <c r="U175" s="446" t="str">
        <f t="shared" ca="1" si="10"/>
        <v/>
      </c>
      <c r="V175" s="447" t="str">
        <f t="shared" ca="1" si="11"/>
        <v/>
      </c>
      <c r="W175" s="446" t="str">
        <f t="shared" ca="1" si="12"/>
        <v/>
      </c>
      <c r="X175" s="448" t="str">
        <f t="shared" ca="1" si="13"/>
        <v/>
      </c>
      <c r="Y175" s="447" t="str">
        <f t="shared" ca="1" si="14"/>
        <v/>
      </c>
      <c r="Z175" s="79"/>
    </row>
    <row r="176" spans="1:26" customFormat="1" ht="15">
      <c r="A176" s="231"/>
      <c r="B176" s="288">
        <v>138</v>
      </c>
      <c r="C176" s="260"/>
      <c r="D176" s="261"/>
      <c r="E176" s="252"/>
      <c r="F176" s="237"/>
      <c r="G176" s="244"/>
      <c r="H176" s="398">
        <v>162</v>
      </c>
      <c r="I176" s="417"/>
      <c r="J176" s="417"/>
      <c r="K176" s="426"/>
      <c r="L176" s="426"/>
      <c r="M176" s="426"/>
      <c r="N176" s="426"/>
      <c r="O176" s="465"/>
      <c r="P176" s="442" t="str" cm="1">
        <f t="array" aca="1" ref="P176" ca="1">IF(AND($Q$12,B200&lt;=$C$17,C200&lt;&gt;""),TRANSPOSE(INDEX(GetCDS(C200,$C$6,G200/10000,F200,D200,$C$13,$C$14,$C$15,$C$8,,,TRUE,TRUE,FALSE,$C$29:$C$31,$C$33),{1;2;3;4;5})),"")</f>
        <v/>
      </c>
      <c r="Q176" s="443"/>
      <c r="R176" s="443"/>
      <c r="S176" s="444"/>
      <c r="T176" s="445"/>
      <c r="U176" s="446" t="str">
        <f t="shared" ca="1" si="10"/>
        <v/>
      </c>
      <c r="V176" s="447" t="str">
        <f t="shared" ca="1" si="11"/>
        <v/>
      </c>
      <c r="W176" s="446" t="str">
        <f t="shared" ca="1" si="12"/>
        <v/>
      </c>
      <c r="X176" s="448" t="str">
        <f t="shared" ca="1" si="13"/>
        <v/>
      </c>
      <c r="Y176" s="447" t="str">
        <f t="shared" ca="1" si="14"/>
        <v/>
      </c>
      <c r="Z176" s="79"/>
    </row>
    <row r="177" spans="1:26" customFormat="1" ht="15">
      <c r="A177" s="231"/>
      <c r="B177" s="288">
        <v>139</v>
      </c>
      <c r="C177" s="260"/>
      <c r="D177" s="261"/>
      <c r="E177" s="252"/>
      <c r="F177" s="237"/>
      <c r="G177" s="244"/>
      <c r="H177" s="398">
        <v>163</v>
      </c>
      <c r="I177" s="417"/>
      <c r="J177" s="417"/>
      <c r="K177" s="426"/>
      <c r="L177" s="426"/>
      <c r="M177" s="426"/>
      <c r="N177" s="426"/>
      <c r="O177" s="465"/>
      <c r="P177" s="442" t="str" cm="1">
        <f t="array" aca="1" ref="P177" ca="1">IF(AND($Q$12,B201&lt;=$C$17,C201&lt;&gt;""),TRANSPOSE(INDEX(GetCDS(C201,$C$6,G201/10000,F201,D201,$C$13,$C$14,$C$15,$C$8,,,TRUE,TRUE,FALSE,$C$29:$C$31,$C$33),{1;2;3;4;5})),"")</f>
        <v/>
      </c>
      <c r="Q177" s="443"/>
      <c r="R177" s="443"/>
      <c r="S177" s="444"/>
      <c r="T177" s="445"/>
      <c r="U177" s="446" t="str">
        <f t="shared" ca="1" si="10"/>
        <v/>
      </c>
      <c r="V177" s="447" t="str">
        <f t="shared" ca="1" si="11"/>
        <v/>
      </c>
      <c r="W177" s="446" t="str">
        <f t="shared" ca="1" si="12"/>
        <v/>
      </c>
      <c r="X177" s="448" t="str">
        <f t="shared" ca="1" si="13"/>
        <v/>
      </c>
      <c r="Y177" s="447" t="str">
        <f t="shared" ca="1" si="14"/>
        <v/>
      </c>
      <c r="Z177" s="79"/>
    </row>
    <row r="178" spans="1:26" customFormat="1" ht="15">
      <c r="A178" s="231"/>
      <c r="B178" s="288">
        <v>140</v>
      </c>
      <c r="C178" s="260"/>
      <c r="D178" s="261"/>
      <c r="E178" s="252"/>
      <c r="F178" s="237"/>
      <c r="G178" s="244"/>
      <c r="H178" s="398">
        <v>164</v>
      </c>
      <c r="I178" s="417"/>
      <c r="J178" s="417"/>
      <c r="K178" s="426"/>
      <c r="L178" s="426"/>
      <c r="M178" s="426"/>
      <c r="N178" s="426"/>
      <c r="O178" s="465"/>
      <c r="P178" s="442" t="str" cm="1">
        <f t="array" aca="1" ref="P178" ca="1">IF(AND($Q$12,B202&lt;=$C$17,C202&lt;&gt;""),TRANSPOSE(INDEX(GetCDS(C202,$C$6,G202/10000,F202,D202,$C$13,$C$14,$C$15,$C$8,,,TRUE,TRUE,FALSE,$C$29:$C$31,$C$33),{1;2;3;4;5})),"")</f>
        <v/>
      </c>
      <c r="Q178" s="443"/>
      <c r="R178" s="443"/>
      <c r="S178" s="444"/>
      <c r="T178" s="445"/>
      <c r="U178" s="446" t="str">
        <f t="shared" ca="1" si="10"/>
        <v/>
      </c>
      <c r="V178" s="447" t="str">
        <f t="shared" ca="1" si="11"/>
        <v/>
      </c>
      <c r="W178" s="446" t="str">
        <f t="shared" ca="1" si="12"/>
        <v/>
      </c>
      <c r="X178" s="448" t="str">
        <f t="shared" ca="1" si="13"/>
        <v/>
      </c>
      <c r="Y178" s="447" t="str">
        <f t="shared" ca="1" si="14"/>
        <v/>
      </c>
      <c r="Z178" s="79"/>
    </row>
    <row r="179" spans="1:26" customFormat="1" ht="15">
      <c r="A179" s="231"/>
      <c r="B179" s="288">
        <v>141</v>
      </c>
      <c r="C179" s="260"/>
      <c r="D179" s="261"/>
      <c r="E179" s="252"/>
      <c r="F179" s="237"/>
      <c r="G179" s="244"/>
      <c r="H179" s="398">
        <v>165</v>
      </c>
      <c r="I179" s="417"/>
      <c r="J179" s="417"/>
      <c r="K179" s="426"/>
      <c r="L179" s="426"/>
      <c r="M179" s="426"/>
      <c r="N179" s="426"/>
      <c r="O179" s="465"/>
      <c r="P179" s="442" t="str" cm="1">
        <f t="array" aca="1" ref="P179" ca="1">IF(AND($Q$12,B203&lt;=$C$17,C203&lt;&gt;""),TRANSPOSE(INDEX(GetCDS(C203,$C$6,G203/10000,F203,D203,$C$13,$C$14,$C$15,$C$8,,,TRUE,TRUE,FALSE,$C$29:$C$31,$C$33),{1;2;3;4;5})),"")</f>
        <v/>
      </c>
      <c r="Q179" s="443"/>
      <c r="R179" s="443"/>
      <c r="S179" s="444"/>
      <c r="T179" s="445"/>
      <c r="U179" s="446" t="str">
        <f t="shared" ca="1" si="10"/>
        <v/>
      </c>
      <c r="V179" s="447" t="str">
        <f t="shared" ca="1" si="11"/>
        <v/>
      </c>
      <c r="W179" s="446" t="str">
        <f t="shared" ca="1" si="12"/>
        <v/>
      </c>
      <c r="X179" s="448" t="str">
        <f t="shared" ca="1" si="13"/>
        <v/>
      </c>
      <c r="Y179" s="447" t="str">
        <f t="shared" ca="1" si="14"/>
        <v/>
      </c>
      <c r="Z179" s="79"/>
    </row>
    <row r="180" spans="1:26" customFormat="1" ht="15">
      <c r="A180" s="231"/>
      <c r="B180" s="288">
        <v>142</v>
      </c>
      <c r="C180" s="260"/>
      <c r="D180" s="261"/>
      <c r="E180" s="252"/>
      <c r="F180" s="237"/>
      <c r="G180" s="244"/>
      <c r="H180" s="398">
        <v>166</v>
      </c>
      <c r="I180" s="417"/>
      <c r="J180" s="417"/>
      <c r="K180" s="426"/>
      <c r="L180" s="426"/>
      <c r="M180" s="426"/>
      <c r="N180" s="426"/>
      <c r="O180" s="465"/>
      <c r="P180" s="442" t="str" cm="1">
        <f t="array" aca="1" ref="P180" ca="1">IF(AND($Q$12,B204&lt;=$C$17,C204&lt;&gt;""),TRANSPOSE(INDEX(GetCDS(C204,$C$6,G204/10000,F204,D204,$C$13,$C$14,$C$15,$C$8,,,TRUE,TRUE,FALSE,$C$29:$C$31,$C$33),{1;2;3;4;5})),"")</f>
        <v/>
      </c>
      <c r="Q180" s="443"/>
      <c r="R180" s="443"/>
      <c r="S180" s="444"/>
      <c r="T180" s="445"/>
      <c r="U180" s="446" t="str">
        <f t="shared" ca="1" si="10"/>
        <v/>
      </c>
      <c r="V180" s="447" t="str">
        <f t="shared" ca="1" si="11"/>
        <v/>
      </c>
      <c r="W180" s="446" t="str">
        <f t="shared" ca="1" si="12"/>
        <v/>
      </c>
      <c r="X180" s="448" t="str">
        <f t="shared" ca="1" si="13"/>
        <v/>
      </c>
      <c r="Y180" s="447" t="str">
        <f t="shared" ca="1" si="14"/>
        <v/>
      </c>
      <c r="Z180" s="79"/>
    </row>
    <row r="181" spans="1:26" customFormat="1" ht="15">
      <c r="A181" s="231"/>
      <c r="B181" s="288">
        <v>143</v>
      </c>
      <c r="C181" s="260"/>
      <c r="D181" s="261"/>
      <c r="E181" s="252"/>
      <c r="F181" s="237"/>
      <c r="G181" s="244"/>
      <c r="H181" s="398">
        <v>167</v>
      </c>
      <c r="I181" s="417"/>
      <c r="J181" s="417"/>
      <c r="K181" s="426"/>
      <c r="L181" s="426"/>
      <c r="M181" s="426"/>
      <c r="N181" s="426"/>
      <c r="O181" s="465"/>
      <c r="P181" s="442" t="str" cm="1">
        <f t="array" aca="1" ref="P181" ca="1">IF(AND($Q$12,B205&lt;=$C$17,C205&lt;&gt;""),TRANSPOSE(INDEX(GetCDS(C205,$C$6,G205/10000,F205,D205,$C$13,$C$14,$C$15,$C$8,,,TRUE,TRUE,FALSE,$C$29:$C$31,$C$33),{1;2;3;4;5})),"")</f>
        <v/>
      </c>
      <c r="Q181" s="443"/>
      <c r="R181" s="443"/>
      <c r="S181" s="444"/>
      <c r="T181" s="445"/>
      <c r="U181" s="446" t="str">
        <f t="shared" ca="1" si="10"/>
        <v/>
      </c>
      <c r="V181" s="447" t="str">
        <f t="shared" ca="1" si="11"/>
        <v/>
      </c>
      <c r="W181" s="446" t="str">
        <f t="shared" ca="1" si="12"/>
        <v/>
      </c>
      <c r="X181" s="448" t="str">
        <f t="shared" ca="1" si="13"/>
        <v/>
      </c>
      <c r="Y181" s="447" t="str">
        <f t="shared" ca="1" si="14"/>
        <v/>
      </c>
      <c r="Z181" s="79"/>
    </row>
    <row r="182" spans="1:26" customFormat="1" ht="15">
      <c r="A182" s="231"/>
      <c r="B182" s="288">
        <v>144</v>
      </c>
      <c r="C182" s="260"/>
      <c r="D182" s="261"/>
      <c r="E182" s="252"/>
      <c r="F182" s="237"/>
      <c r="G182" s="244"/>
      <c r="H182" s="398">
        <v>168</v>
      </c>
      <c r="I182" s="417"/>
      <c r="J182" s="417"/>
      <c r="K182" s="426"/>
      <c r="L182" s="426"/>
      <c r="M182" s="426"/>
      <c r="N182" s="426"/>
      <c r="O182" s="465"/>
      <c r="P182" s="442" t="str" cm="1">
        <f t="array" aca="1" ref="P182" ca="1">IF(AND($Q$12,B206&lt;=$C$17,C206&lt;&gt;""),TRANSPOSE(INDEX(GetCDS(C206,$C$6,G206/10000,F206,D206,$C$13,$C$14,$C$15,$C$8,,,TRUE,TRUE,FALSE,$C$29:$C$31,$C$33),{1;2;3;4;5})),"")</f>
        <v/>
      </c>
      <c r="Q182" s="443"/>
      <c r="R182" s="443"/>
      <c r="S182" s="444"/>
      <c r="T182" s="445"/>
      <c r="U182" s="446" t="str">
        <f t="shared" ca="1" si="10"/>
        <v/>
      </c>
      <c r="V182" s="447" t="str">
        <f t="shared" ca="1" si="11"/>
        <v/>
      </c>
      <c r="W182" s="446" t="str">
        <f t="shared" ca="1" si="12"/>
        <v/>
      </c>
      <c r="X182" s="448" t="str">
        <f t="shared" ca="1" si="13"/>
        <v/>
      </c>
      <c r="Y182" s="447" t="str">
        <f t="shared" ca="1" si="14"/>
        <v/>
      </c>
      <c r="Z182" s="79"/>
    </row>
    <row r="183" spans="1:26" customFormat="1" ht="15">
      <c r="A183" s="231"/>
      <c r="B183" s="288">
        <v>145</v>
      </c>
      <c r="C183" s="260"/>
      <c r="D183" s="261"/>
      <c r="E183" s="252"/>
      <c r="F183" s="237"/>
      <c r="G183" s="244"/>
      <c r="H183" s="398">
        <v>169</v>
      </c>
      <c r="I183" s="417"/>
      <c r="J183" s="417"/>
      <c r="K183" s="426"/>
      <c r="L183" s="426"/>
      <c r="M183" s="426"/>
      <c r="N183" s="426"/>
      <c r="O183" s="465"/>
      <c r="P183" s="442" t="str" cm="1">
        <f t="array" aca="1" ref="P183" ca="1">IF(AND($Q$12,B207&lt;=$C$17,C207&lt;&gt;""),TRANSPOSE(INDEX(GetCDS(C207,$C$6,G207/10000,F207,D207,$C$13,$C$14,$C$15,$C$8,,,TRUE,TRUE,FALSE,$C$29:$C$31,$C$33),{1;2;3;4;5})),"")</f>
        <v/>
      </c>
      <c r="Q183" s="443"/>
      <c r="R183" s="443"/>
      <c r="S183" s="444"/>
      <c r="T183" s="445"/>
      <c r="U183" s="446" t="str">
        <f t="shared" ca="1" si="10"/>
        <v/>
      </c>
      <c r="V183" s="447" t="str">
        <f t="shared" ca="1" si="11"/>
        <v/>
      </c>
      <c r="W183" s="446" t="str">
        <f t="shared" ca="1" si="12"/>
        <v/>
      </c>
      <c r="X183" s="448" t="str">
        <f t="shared" ca="1" si="13"/>
        <v/>
      </c>
      <c r="Y183" s="447" t="str">
        <f t="shared" ca="1" si="14"/>
        <v/>
      </c>
      <c r="Z183" s="79"/>
    </row>
    <row r="184" spans="1:26" customFormat="1" ht="15">
      <c r="A184" s="231"/>
      <c r="B184" s="288">
        <v>146</v>
      </c>
      <c r="C184" s="260"/>
      <c r="D184" s="261"/>
      <c r="E184" s="252"/>
      <c r="F184" s="237"/>
      <c r="G184" s="244"/>
      <c r="H184" s="398">
        <v>170</v>
      </c>
      <c r="I184" s="417"/>
      <c r="J184" s="417"/>
      <c r="K184" s="426"/>
      <c r="L184" s="426"/>
      <c r="M184" s="426"/>
      <c r="N184" s="426"/>
      <c r="O184" s="465"/>
      <c r="P184" s="442" t="str" cm="1">
        <f t="array" aca="1" ref="P184" ca="1">IF(AND($Q$12,B208&lt;=$C$17,C208&lt;&gt;""),TRANSPOSE(INDEX(GetCDS(C208,$C$6,G208/10000,F208,D208,$C$13,$C$14,$C$15,$C$8,,,TRUE,TRUE,FALSE,$C$29:$C$31,$C$33),{1;2;3;4;5})),"")</f>
        <v/>
      </c>
      <c r="Q184" s="443"/>
      <c r="R184" s="443"/>
      <c r="S184" s="444"/>
      <c r="T184" s="445"/>
      <c r="U184" s="446" t="str">
        <f t="shared" ca="1" si="10"/>
        <v/>
      </c>
      <c r="V184" s="447" t="str">
        <f t="shared" ca="1" si="11"/>
        <v/>
      </c>
      <c r="W184" s="446" t="str">
        <f t="shared" ca="1" si="12"/>
        <v/>
      </c>
      <c r="X184" s="448" t="str">
        <f t="shared" ca="1" si="13"/>
        <v/>
      </c>
      <c r="Y184" s="447" t="str">
        <f t="shared" ca="1" si="14"/>
        <v/>
      </c>
      <c r="Z184" s="79"/>
    </row>
    <row r="185" spans="1:26" customFormat="1" ht="15">
      <c r="A185" s="231"/>
      <c r="B185" s="288">
        <v>147</v>
      </c>
      <c r="C185" s="260"/>
      <c r="D185" s="261"/>
      <c r="E185" s="252"/>
      <c r="F185" s="237"/>
      <c r="G185" s="244"/>
      <c r="H185" s="398">
        <v>171</v>
      </c>
      <c r="I185" s="417"/>
      <c r="J185" s="417"/>
      <c r="K185" s="426"/>
      <c r="L185" s="426"/>
      <c r="M185" s="426"/>
      <c r="N185" s="426"/>
      <c r="O185" s="465"/>
      <c r="P185" s="442" t="str" cm="1">
        <f t="array" aca="1" ref="P185" ca="1">IF(AND($Q$12,B209&lt;=$C$17,C209&lt;&gt;""),TRANSPOSE(INDEX(GetCDS(C209,$C$6,G209/10000,F209,D209,$C$13,$C$14,$C$15,$C$8,,,TRUE,TRUE,FALSE,$C$29:$C$31,$C$33),{1;2;3;4;5})),"")</f>
        <v/>
      </c>
      <c r="Q185" s="443"/>
      <c r="R185" s="443"/>
      <c r="S185" s="444"/>
      <c r="T185" s="445"/>
      <c r="U185" s="446" t="str">
        <f t="shared" ca="1" si="10"/>
        <v/>
      </c>
      <c r="V185" s="447" t="str">
        <f t="shared" ca="1" si="11"/>
        <v/>
      </c>
      <c r="W185" s="446" t="str">
        <f t="shared" ca="1" si="12"/>
        <v/>
      </c>
      <c r="X185" s="448" t="str">
        <f t="shared" ca="1" si="13"/>
        <v/>
      </c>
      <c r="Y185" s="447" t="str">
        <f t="shared" ca="1" si="14"/>
        <v/>
      </c>
      <c r="Z185" s="79"/>
    </row>
    <row r="186" spans="1:26" customFormat="1" ht="15">
      <c r="A186" s="231"/>
      <c r="B186" s="288">
        <v>148</v>
      </c>
      <c r="C186" s="260"/>
      <c r="D186" s="261"/>
      <c r="E186" s="252"/>
      <c r="F186" s="237"/>
      <c r="G186" s="244"/>
      <c r="H186" s="398">
        <v>172</v>
      </c>
      <c r="I186" s="417"/>
      <c r="J186" s="417"/>
      <c r="K186" s="426"/>
      <c r="L186" s="426"/>
      <c r="M186" s="426"/>
      <c r="N186" s="426"/>
      <c r="O186" s="465"/>
      <c r="P186" s="442" t="str" cm="1">
        <f t="array" aca="1" ref="P186" ca="1">IF(AND($Q$12,B210&lt;=$C$17,C210&lt;&gt;""),TRANSPOSE(INDEX(GetCDS(C210,$C$6,G210/10000,F210,D210,$C$13,$C$14,$C$15,$C$8,,,TRUE,TRUE,FALSE,$C$29:$C$31,$C$33),{1;2;3;4;5})),"")</f>
        <v/>
      </c>
      <c r="Q186" s="443"/>
      <c r="R186" s="443"/>
      <c r="S186" s="444"/>
      <c r="T186" s="445"/>
      <c r="U186" s="446" t="str">
        <f t="shared" ca="1" si="10"/>
        <v/>
      </c>
      <c r="V186" s="447" t="str">
        <f t="shared" ca="1" si="11"/>
        <v/>
      </c>
      <c r="W186" s="446" t="str">
        <f t="shared" ca="1" si="12"/>
        <v/>
      </c>
      <c r="X186" s="448" t="str">
        <f t="shared" ca="1" si="13"/>
        <v/>
      </c>
      <c r="Y186" s="447" t="str">
        <f t="shared" ca="1" si="14"/>
        <v/>
      </c>
      <c r="Z186" s="79"/>
    </row>
    <row r="187" spans="1:26" customFormat="1" ht="15">
      <c r="A187" s="231"/>
      <c r="B187" s="288">
        <v>149</v>
      </c>
      <c r="C187" s="260"/>
      <c r="D187" s="261"/>
      <c r="E187" s="252"/>
      <c r="F187" s="237"/>
      <c r="G187" s="244"/>
      <c r="H187" s="398">
        <v>173</v>
      </c>
      <c r="I187" s="417"/>
      <c r="J187" s="417"/>
      <c r="K187" s="426"/>
      <c r="L187" s="426"/>
      <c r="M187" s="426"/>
      <c r="N187" s="426"/>
      <c r="O187" s="465"/>
      <c r="P187" s="442" t="str" cm="1">
        <f t="array" aca="1" ref="P187" ca="1">IF(AND($Q$12,B211&lt;=$C$17,C211&lt;&gt;""),TRANSPOSE(INDEX(GetCDS(C211,$C$6,G211/10000,F211,D211,$C$13,$C$14,$C$15,$C$8,,,TRUE,TRUE,FALSE,$C$29:$C$31,$C$33),{1;2;3;4;5})),"")</f>
        <v/>
      </c>
      <c r="Q187" s="443"/>
      <c r="R187" s="443"/>
      <c r="S187" s="444"/>
      <c r="T187" s="445"/>
      <c r="U187" s="446" t="str">
        <f t="shared" ca="1" si="10"/>
        <v/>
      </c>
      <c r="V187" s="447" t="str">
        <f t="shared" ca="1" si="11"/>
        <v/>
      </c>
      <c r="W187" s="446" t="str">
        <f t="shared" ca="1" si="12"/>
        <v/>
      </c>
      <c r="X187" s="448" t="str">
        <f t="shared" ca="1" si="13"/>
        <v/>
      </c>
      <c r="Y187" s="447" t="str">
        <f t="shared" ca="1" si="14"/>
        <v/>
      </c>
      <c r="Z187" s="79"/>
    </row>
    <row r="188" spans="1:26" customFormat="1" ht="15">
      <c r="A188" s="231"/>
      <c r="B188" s="288">
        <v>150</v>
      </c>
      <c r="C188" s="260"/>
      <c r="D188" s="261"/>
      <c r="E188" s="252"/>
      <c r="F188" s="237"/>
      <c r="G188" s="244"/>
      <c r="H188" s="398">
        <v>174</v>
      </c>
      <c r="I188" s="417"/>
      <c r="J188" s="417"/>
      <c r="K188" s="426"/>
      <c r="L188" s="426"/>
      <c r="M188" s="426"/>
      <c r="N188" s="426"/>
      <c r="O188" s="465"/>
      <c r="P188" s="442" t="str" cm="1">
        <f t="array" aca="1" ref="P188" ca="1">IF(AND($Q$12,B212&lt;=$C$17,C212&lt;&gt;""),TRANSPOSE(INDEX(GetCDS(C212,$C$6,G212/10000,F212,D212,$C$13,$C$14,$C$15,$C$8,,,TRUE,TRUE,FALSE,$C$29:$C$31,$C$33),{1;2;3;4;5})),"")</f>
        <v/>
      </c>
      <c r="Q188" s="443"/>
      <c r="R188" s="443"/>
      <c r="S188" s="444"/>
      <c r="T188" s="445"/>
      <c r="U188" s="446" t="str">
        <f t="shared" ca="1" si="10"/>
        <v/>
      </c>
      <c r="V188" s="447" t="str">
        <f t="shared" ca="1" si="11"/>
        <v/>
      </c>
      <c r="W188" s="446" t="str">
        <f t="shared" ca="1" si="12"/>
        <v/>
      </c>
      <c r="X188" s="448" t="str">
        <f t="shared" ca="1" si="13"/>
        <v/>
      </c>
      <c r="Y188" s="447" t="str">
        <f t="shared" ca="1" si="14"/>
        <v/>
      </c>
      <c r="Z188" s="79"/>
    </row>
    <row r="189" spans="1:26" customFormat="1" ht="15">
      <c r="A189" s="231"/>
      <c r="B189" s="288">
        <v>151</v>
      </c>
      <c r="C189" s="260"/>
      <c r="D189" s="261"/>
      <c r="E189" s="252"/>
      <c r="F189" s="237"/>
      <c r="G189" s="244"/>
      <c r="H189" s="398">
        <v>175</v>
      </c>
      <c r="I189" s="417"/>
      <c r="J189" s="417"/>
      <c r="K189" s="426"/>
      <c r="L189" s="426"/>
      <c r="M189" s="426"/>
      <c r="N189" s="426"/>
      <c r="O189" s="465"/>
      <c r="P189" s="442" t="str" cm="1">
        <f t="array" aca="1" ref="P189" ca="1">IF(AND($Q$12,B213&lt;=$C$17,C213&lt;&gt;""),TRANSPOSE(INDEX(GetCDS(C213,$C$6,G213/10000,F213,D213,$C$13,$C$14,$C$15,$C$8,,,TRUE,TRUE,FALSE,$C$29:$C$31,$C$33),{1;2;3;4;5})),"")</f>
        <v/>
      </c>
      <c r="Q189" s="443"/>
      <c r="R189" s="443"/>
      <c r="S189" s="444"/>
      <c r="T189" s="445"/>
      <c r="U189" s="446" t="str">
        <f t="shared" ca="1" si="10"/>
        <v/>
      </c>
      <c r="V189" s="447" t="str">
        <f t="shared" ca="1" si="11"/>
        <v/>
      </c>
      <c r="W189" s="446" t="str">
        <f t="shared" ca="1" si="12"/>
        <v/>
      </c>
      <c r="X189" s="448" t="str">
        <f t="shared" ca="1" si="13"/>
        <v/>
      </c>
      <c r="Y189" s="447" t="str">
        <f t="shared" ca="1" si="14"/>
        <v/>
      </c>
      <c r="Z189" s="79"/>
    </row>
    <row r="190" spans="1:26" customFormat="1" ht="15">
      <c r="A190" s="231"/>
      <c r="B190" s="288">
        <v>152</v>
      </c>
      <c r="C190" s="260"/>
      <c r="D190" s="261"/>
      <c r="E190" s="252"/>
      <c r="F190" s="237"/>
      <c r="G190" s="244"/>
      <c r="H190" s="398">
        <v>176</v>
      </c>
      <c r="I190" s="417"/>
      <c r="J190" s="417"/>
      <c r="K190" s="426"/>
      <c r="L190" s="426"/>
      <c r="M190" s="426"/>
      <c r="N190" s="426"/>
      <c r="O190" s="465"/>
      <c r="P190" s="442" t="str" cm="1">
        <f t="array" aca="1" ref="P190" ca="1">IF(AND($Q$12,B214&lt;=$C$17,C214&lt;&gt;""),TRANSPOSE(INDEX(GetCDS(C214,$C$6,G214/10000,F214,D214,$C$13,$C$14,$C$15,$C$8,,,TRUE,TRUE,FALSE,$C$29:$C$31,$C$33),{1;2;3;4;5})),"")</f>
        <v/>
      </c>
      <c r="Q190" s="443"/>
      <c r="R190" s="443"/>
      <c r="S190" s="444"/>
      <c r="T190" s="445"/>
      <c r="U190" s="446" t="str">
        <f t="shared" ca="1" si="10"/>
        <v/>
      </c>
      <c r="V190" s="447" t="str">
        <f t="shared" ca="1" si="11"/>
        <v/>
      </c>
      <c r="W190" s="446" t="str">
        <f t="shared" ca="1" si="12"/>
        <v/>
      </c>
      <c r="X190" s="448" t="str">
        <f t="shared" ca="1" si="13"/>
        <v/>
      </c>
      <c r="Y190" s="447" t="str">
        <f t="shared" ca="1" si="14"/>
        <v/>
      </c>
      <c r="Z190" s="79"/>
    </row>
    <row r="191" spans="1:26" customFormat="1" ht="15">
      <c r="A191" s="231"/>
      <c r="B191" s="288">
        <v>153</v>
      </c>
      <c r="C191" s="260"/>
      <c r="D191" s="261"/>
      <c r="E191" s="252"/>
      <c r="F191" s="237"/>
      <c r="G191" s="244"/>
      <c r="H191" s="398">
        <v>177</v>
      </c>
      <c r="I191" s="417"/>
      <c r="J191" s="417"/>
      <c r="K191" s="426"/>
      <c r="L191" s="426"/>
      <c r="M191" s="426"/>
      <c r="N191" s="426"/>
      <c r="O191" s="465"/>
      <c r="P191" s="442" t="str" cm="1">
        <f t="array" aca="1" ref="P191" ca="1">IF(AND($Q$12,B215&lt;=$C$17,C215&lt;&gt;""),TRANSPOSE(INDEX(GetCDS(C215,$C$6,G215/10000,F215,D215,$C$13,$C$14,$C$15,$C$8,,,TRUE,TRUE,FALSE,$C$29:$C$31,$C$33),{1;2;3;4;5})),"")</f>
        <v/>
      </c>
      <c r="Q191" s="443"/>
      <c r="R191" s="443"/>
      <c r="S191" s="444"/>
      <c r="T191" s="445"/>
      <c r="U191" s="446" t="str">
        <f t="shared" ca="1" si="10"/>
        <v/>
      </c>
      <c r="V191" s="447" t="str">
        <f t="shared" ca="1" si="11"/>
        <v/>
      </c>
      <c r="W191" s="446" t="str">
        <f t="shared" ca="1" si="12"/>
        <v/>
      </c>
      <c r="X191" s="448" t="str">
        <f t="shared" ca="1" si="13"/>
        <v/>
      </c>
      <c r="Y191" s="447" t="str">
        <f t="shared" ca="1" si="14"/>
        <v/>
      </c>
      <c r="Z191" s="79"/>
    </row>
    <row r="192" spans="1:26" customFormat="1" ht="15">
      <c r="A192" s="231"/>
      <c r="B192" s="288">
        <v>154</v>
      </c>
      <c r="C192" s="260"/>
      <c r="D192" s="261"/>
      <c r="E192" s="252"/>
      <c r="F192" s="237"/>
      <c r="G192" s="244"/>
      <c r="H192" s="398">
        <v>178</v>
      </c>
      <c r="I192" s="417"/>
      <c r="J192" s="417"/>
      <c r="K192" s="426"/>
      <c r="L192" s="426"/>
      <c r="M192" s="426"/>
      <c r="N192" s="426"/>
      <c r="O192" s="465"/>
      <c r="P192" s="442" t="str" cm="1">
        <f t="array" aca="1" ref="P192" ca="1">IF(AND($Q$12,B216&lt;=$C$17,C216&lt;&gt;""),TRANSPOSE(INDEX(GetCDS(C216,$C$6,G216/10000,F216,D216,$C$13,$C$14,$C$15,$C$8,,,TRUE,TRUE,FALSE,$C$29:$C$31,$C$33),{1;2;3;4;5})),"")</f>
        <v/>
      </c>
      <c r="Q192" s="443"/>
      <c r="R192" s="443"/>
      <c r="S192" s="444"/>
      <c r="T192" s="445"/>
      <c r="U192" s="446" t="str">
        <f t="shared" ca="1" si="10"/>
        <v/>
      </c>
      <c r="V192" s="447" t="str">
        <f t="shared" ca="1" si="11"/>
        <v/>
      </c>
      <c r="W192" s="446" t="str">
        <f t="shared" ca="1" si="12"/>
        <v/>
      </c>
      <c r="X192" s="448" t="str">
        <f t="shared" ca="1" si="13"/>
        <v/>
      </c>
      <c r="Y192" s="447" t="str">
        <f t="shared" ca="1" si="14"/>
        <v/>
      </c>
      <c r="Z192" s="79"/>
    </row>
    <row r="193" spans="1:26" customFormat="1" ht="15">
      <c r="A193" s="231"/>
      <c r="B193" s="288">
        <v>155</v>
      </c>
      <c r="C193" s="260"/>
      <c r="D193" s="261"/>
      <c r="E193" s="252"/>
      <c r="F193" s="237"/>
      <c r="G193" s="244"/>
      <c r="H193" s="398">
        <v>179</v>
      </c>
      <c r="I193" s="417"/>
      <c r="J193" s="417"/>
      <c r="K193" s="426"/>
      <c r="L193" s="426"/>
      <c r="M193" s="426"/>
      <c r="N193" s="426"/>
      <c r="O193" s="465"/>
      <c r="P193" s="442" t="str" cm="1">
        <f t="array" aca="1" ref="P193" ca="1">IF(AND($Q$12,B217&lt;=$C$17,C217&lt;&gt;""),TRANSPOSE(INDEX(GetCDS(C217,$C$6,G217/10000,F217,D217,$C$13,$C$14,$C$15,$C$8,,,TRUE,TRUE,FALSE,$C$29:$C$31,$C$33),{1;2;3;4;5})),"")</f>
        <v/>
      </c>
      <c r="Q193" s="443"/>
      <c r="R193" s="443"/>
      <c r="S193" s="444"/>
      <c r="T193" s="445"/>
      <c r="U193" s="446" t="str">
        <f t="shared" ca="1" si="10"/>
        <v/>
      </c>
      <c r="V193" s="447" t="str">
        <f t="shared" ca="1" si="11"/>
        <v/>
      </c>
      <c r="W193" s="446" t="str">
        <f t="shared" ca="1" si="12"/>
        <v/>
      </c>
      <c r="X193" s="448" t="str">
        <f t="shared" ca="1" si="13"/>
        <v/>
      </c>
      <c r="Y193" s="447" t="str">
        <f t="shared" ca="1" si="14"/>
        <v/>
      </c>
      <c r="Z193" s="79"/>
    </row>
    <row r="194" spans="1:26" customFormat="1" ht="15">
      <c r="A194" s="231"/>
      <c r="B194" s="288">
        <v>156</v>
      </c>
      <c r="C194" s="260"/>
      <c r="D194" s="261"/>
      <c r="E194" s="252"/>
      <c r="F194" s="237"/>
      <c r="G194" s="244"/>
      <c r="H194" s="398">
        <v>180</v>
      </c>
      <c r="I194" s="417"/>
      <c r="J194" s="417"/>
      <c r="K194" s="426"/>
      <c r="L194" s="426"/>
      <c r="M194" s="426"/>
      <c r="N194" s="426"/>
      <c r="O194" s="465"/>
      <c r="P194" s="442" t="str" cm="1">
        <f t="array" aca="1" ref="P194" ca="1">IF(AND($Q$12,B218&lt;=$C$17,C218&lt;&gt;""),TRANSPOSE(INDEX(GetCDS(C218,$C$6,G218/10000,F218,D218,$C$13,$C$14,$C$15,$C$8,,,TRUE,TRUE,FALSE,$C$29:$C$31,$C$33),{1;2;3;4;5})),"")</f>
        <v/>
      </c>
      <c r="Q194" s="443"/>
      <c r="R194" s="443"/>
      <c r="S194" s="444"/>
      <c r="T194" s="445"/>
      <c r="U194" s="446" t="str">
        <f t="shared" ca="1" si="10"/>
        <v/>
      </c>
      <c r="V194" s="447" t="str">
        <f t="shared" ca="1" si="11"/>
        <v/>
      </c>
      <c r="W194" s="446" t="str">
        <f t="shared" ca="1" si="12"/>
        <v/>
      </c>
      <c r="X194" s="448" t="str">
        <f t="shared" ca="1" si="13"/>
        <v/>
      </c>
      <c r="Y194" s="447" t="str">
        <f t="shared" ca="1" si="14"/>
        <v/>
      </c>
      <c r="Z194" s="79"/>
    </row>
    <row r="195" spans="1:26" customFormat="1" ht="15">
      <c r="A195" s="231"/>
      <c r="B195" s="288">
        <v>157</v>
      </c>
      <c r="C195" s="260"/>
      <c r="D195" s="261"/>
      <c r="E195" s="252"/>
      <c r="F195" s="237"/>
      <c r="G195" s="244"/>
      <c r="H195" s="398">
        <v>181</v>
      </c>
      <c r="I195" s="417"/>
      <c r="J195" s="417"/>
      <c r="K195" s="426"/>
      <c r="L195" s="426"/>
      <c r="M195" s="426"/>
      <c r="N195" s="426"/>
      <c r="O195" s="465"/>
      <c r="P195" s="442" t="str" cm="1">
        <f t="array" aca="1" ref="P195" ca="1">IF(AND($Q$12,B219&lt;=$C$17,C219&lt;&gt;""),TRANSPOSE(INDEX(GetCDS(C219,$C$6,G219/10000,F219,D219,$C$13,$C$14,$C$15,$C$8,,,TRUE,TRUE,FALSE,$C$29:$C$31,$C$33),{1;2;3;4;5})),"")</f>
        <v/>
      </c>
      <c r="Q195" s="443"/>
      <c r="R195" s="443"/>
      <c r="S195" s="444"/>
      <c r="T195" s="445"/>
      <c r="U195" s="446" t="str">
        <f t="shared" ca="1" si="10"/>
        <v/>
      </c>
      <c r="V195" s="447" t="str">
        <f t="shared" ca="1" si="11"/>
        <v/>
      </c>
      <c r="W195" s="446" t="str">
        <f t="shared" ca="1" si="12"/>
        <v/>
      </c>
      <c r="X195" s="448" t="str">
        <f t="shared" ca="1" si="13"/>
        <v/>
      </c>
      <c r="Y195" s="447" t="str">
        <f t="shared" ca="1" si="14"/>
        <v/>
      </c>
      <c r="Z195" s="79"/>
    </row>
    <row r="196" spans="1:26" customFormat="1" ht="15">
      <c r="A196" s="231"/>
      <c r="B196" s="288">
        <v>158</v>
      </c>
      <c r="C196" s="260"/>
      <c r="D196" s="261"/>
      <c r="E196" s="252"/>
      <c r="F196" s="237"/>
      <c r="G196" s="244"/>
      <c r="H196" s="398">
        <v>182</v>
      </c>
      <c r="I196" s="417"/>
      <c r="J196" s="417"/>
      <c r="K196" s="426"/>
      <c r="L196" s="426"/>
      <c r="M196" s="426"/>
      <c r="N196" s="426"/>
      <c r="O196" s="465"/>
      <c r="P196" s="442" t="str" cm="1">
        <f t="array" aca="1" ref="P196" ca="1">IF(AND($Q$12,B220&lt;=$C$17,C220&lt;&gt;""),TRANSPOSE(INDEX(GetCDS(C220,$C$6,G220/10000,F220,D220,$C$13,$C$14,$C$15,$C$8,,,TRUE,TRUE,FALSE,$C$29:$C$31,$C$33),{1;2;3;4;5})),"")</f>
        <v/>
      </c>
      <c r="Q196" s="443"/>
      <c r="R196" s="443"/>
      <c r="S196" s="444"/>
      <c r="T196" s="445"/>
      <c r="U196" s="446" t="str">
        <f t="shared" ca="1" si="10"/>
        <v/>
      </c>
      <c r="V196" s="447" t="str">
        <f t="shared" ca="1" si="11"/>
        <v/>
      </c>
      <c r="W196" s="446" t="str">
        <f t="shared" ca="1" si="12"/>
        <v/>
      </c>
      <c r="X196" s="448" t="str">
        <f t="shared" ca="1" si="13"/>
        <v/>
      </c>
      <c r="Y196" s="447" t="str">
        <f t="shared" ca="1" si="14"/>
        <v/>
      </c>
      <c r="Z196" s="79"/>
    </row>
    <row r="197" spans="1:26" customFormat="1" ht="15">
      <c r="A197" s="231"/>
      <c r="B197" s="288">
        <v>159</v>
      </c>
      <c r="C197" s="260"/>
      <c r="D197" s="261"/>
      <c r="E197" s="252"/>
      <c r="F197" s="237"/>
      <c r="G197" s="244"/>
      <c r="H197" s="398">
        <v>183</v>
      </c>
      <c r="I197" s="417"/>
      <c r="J197" s="417"/>
      <c r="K197" s="426"/>
      <c r="L197" s="426"/>
      <c r="M197" s="426"/>
      <c r="N197" s="426"/>
      <c r="O197" s="465"/>
      <c r="P197" s="442" t="str" cm="1">
        <f t="array" aca="1" ref="P197" ca="1">IF(AND($Q$12,B221&lt;=$C$17,C221&lt;&gt;""),TRANSPOSE(INDEX(GetCDS(C221,$C$6,G221/10000,F221,D221,$C$13,$C$14,$C$15,$C$8,,,TRUE,TRUE,FALSE,$C$29:$C$31,$C$33),{1;2;3;4;5})),"")</f>
        <v/>
      </c>
      <c r="Q197" s="443"/>
      <c r="R197" s="443"/>
      <c r="S197" s="444"/>
      <c r="T197" s="445"/>
      <c r="U197" s="446" t="str">
        <f t="shared" ca="1" si="10"/>
        <v/>
      </c>
      <c r="V197" s="447" t="str">
        <f t="shared" ca="1" si="11"/>
        <v/>
      </c>
      <c r="W197" s="446" t="str">
        <f t="shared" ca="1" si="12"/>
        <v/>
      </c>
      <c r="X197" s="448" t="str">
        <f t="shared" ca="1" si="13"/>
        <v/>
      </c>
      <c r="Y197" s="447" t="str">
        <f t="shared" ca="1" si="14"/>
        <v/>
      </c>
      <c r="Z197" s="79"/>
    </row>
    <row r="198" spans="1:26" customFormat="1" ht="15">
      <c r="A198" s="231"/>
      <c r="B198" s="288">
        <v>160</v>
      </c>
      <c r="C198" s="260"/>
      <c r="D198" s="261"/>
      <c r="E198" s="252"/>
      <c r="F198" s="237"/>
      <c r="G198" s="244"/>
      <c r="H198" s="398">
        <v>184</v>
      </c>
      <c r="I198" s="417"/>
      <c r="J198" s="417"/>
      <c r="K198" s="426"/>
      <c r="L198" s="426"/>
      <c r="M198" s="426"/>
      <c r="N198" s="426"/>
      <c r="O198" s="465"/>
      <c r="P198" s="442" t="str" cm="1">
        <f t="array" aca="1" ref="P198" ca="1">IF(AND($Q$12,B222&lt;=$C$17,C222&lt;&gt;""),TRANSPOSE(INDEX(GetCDS(C222,$C$6,G222/10000,F222,D222,$C$13,$C$14,$C$15,$C$8,,,TRUE,TRUE,FALSE,$C$29:$C$31,$C$33),{1;2;3;4;5})),"")</f>
        <v/>
      </c>
      <c r="Q198" s="443"/>
      <c r="R198" s="443"/>
      <c r="S198" s="444"/>
      <c r="T198" s="445"/>
      <c r="U198" s="446" t="str">
        <f t="shared" ca="1" si="10"/>
        <v/>
      </c>
      <c r="V198" s="447" t="str">
        <f t="shared" ca="1" si="11"/>
        <v/>
      </c>
      <c r="W198" s="446" t="str">
        <f t="shared" ca="1" si="12"/>
        <v/>
      </c>
      <c r="X198" s="448" t="str">
        <f t="shared" ca="1" si="13"/>
        <v/>
      </c>
      <c r="Y198" s="447" t="str">
        <f t="shared" ca="1" si="14"/>
        <v/>
      </c>
      <c r="Z198" s="79"/>
    </row>
    <row r="199" spans="1:26" customFormat="1" ht="15">
      <c r="A199" s="231"/>
      <c r="B199" s="288">
        <v>161</v>
      </c>
      <c r="C199" s="260"/>
      <c r="D199" s="261"/>
      <c r="E199" s="252"/>
      <c r="F199" s="237"/>
      <c r="G199" s="244"/>
      <c r="H199" s="398">
        <v>185</v>
      </c>
      <c r="I199" s="417"/>
      <c r="J199" s="417"/>
      <c r="K199" s="426"/>
      <c r="L199" s="426"/>
      <c r="M199" s="426"/>
      <c r="N199" s="426"/>
      <c r="O199" s="465"/>
      <c r="P199" s="442" t="str" cm="1">
        <f t="array" aca="1" ref="P199" ca="1">IF(AND($Q$12,B223&lt;=$C$17,C223&lt;&gt;""),TRANSPOSE(INDEX(GetCDS(C223,$C$6,G223/10000,F223,D223,$C$13,$C$14,$C$15,$C$8,,,TRUE,TRUE,FALSE,$C$29:$C$31,$C$33),{1;2;3;4;5})),"")</f>
        <v/>
      </c>
      <c r="Q199" s="443"/>
      <c r="R199" s="443"/>
      <c r="S199" s="444"/>
      <c r="T199" s="445"/>
      <c r="U199" s="446" t="str">
        <f t="shared" ca="1" si="10"/>
        <v/>
      </c>
      <c r="V199" s="447" t="str">
        <f t="shared" ca="1" si="11"/>
        <v/>
      </c>
      <c r="W199" s="446" t="str">
        <f t="shared" ca="1" si="12"/>
        <v/>
      </c>
      <c r="X199" s="448" t="str">
        <f t="shared" ca="1" si="13"/>
        <v/>
      </c>
      <c r="Y199" s="447" t="str">
        <f t="shared" ca="1" si="14"/>
        <v/>
      </c>
      <c r="Z199" s="79"/>
    </row>
    <row r="200" spans="1:26" customFormat="1" ht="15">
      <c r="A200" s="231"/>
      <c r="B200" s="288">
        <v>162</v>
      </c>
      <c r="C200" s="260"/>
      <c r="D200" s="261"/>
      <c r="E200" s="252"/>
      <c r="F200" s="237"/>
      <c r="G200" s="244"/>
      <c r="H200" s="398">
        <v>186</v>
      </c>
      <c r="I200" s="417"/>
      <c r="J200" s="417"/>
      <c r="K200" s="426"/>
      <c r="L200" s="426"/>
      <c r="M200" s="426"/>
      <c r="N200" s="426"/>
      <c r="O200" s="465"/>
      <c r="P200" s="442" t="str" cm="1">
        <f t="array" aca="1" ref="P200" ca="1">IF(AND($Q$12,B224&lt;=$C$17,C224&lt;&gt;""),TRANSPOSE(INDEX(GetCDS(C224,$C$6,G224/10000,F224,D224,$C$13,$C$14,$C$15,$C$8,,,TRUE,TRUE,FALSE,$C$29:$C$31,$C$33),{1;2;3;4;5})),"")</f>
        <v/>
      </c>
      <c r="Q200" s="443"/>
      <c r="R200" s="443"/>
      <c r="S200" s="444"/>
      <c r="T200" s="445"/>
      <c r="U200" s="446" t="str">
        <f t="shared" ca="1" si="10"/>
        <v/>
      </c>
      <c r="V200" s="447" t="str">
        <f t="shared" ca="1" si="11"/>
        <v/>
      </c>
      <c r="W200" s="446" t="str">
        <f t="shared" ca="1" si="12"/>
        <v/>
      </c>
      <c r="X200" s="448" t="str">
        <f t="shared" ca="1" si="13"/>
        <v/>
      </c>
      <c r="Y200" s="447" t="str">
        <f t="shared" ca="1" si="14"/>
        <v/>
      </c>
      <c r="Z200" s="79"/>
    </row>
    <row r="201" spans="1:26" customFormat="1" ht="15">
      <c r="A201" s="231"/>
      <c r="B201" s="288">
        <v>163</v>
      </c>
      <c r="C201" s="260"/>
      <c r="D201" s="261"/>
      <c r="E201" s="252"/>
      <c r="F201" s="237"/>
      <c r="G201" s="244"/>
      <c r="H201" s="398">
        <v>187</v>
      </c>
      <c r="I201" s="417"/>
      <c r="J201" s="417"/>
      <c r="K201" s="426"/>
      <c r="L201" s="426"/>
      <c r="M201" s="426"/>
      <c r="N201" s="426"/>
      <c r="O201" s="465"/>
      <c r="P201" s="442" t="str" cm="1">
        <f t="array" aca="1" ref="P201" ca="1">IF(AND($Q$12,B225&lt;=$C$17,C225&lt;&gt;""),TRANSPOSE(INDEX(GetCDS(C225,$C$6,G225/10000,F225,D225,$C$13,$C$14,$C$15,$C$8,,,TRUE,TRUE,FALSE,$C$29:$C$31,$C$33),{1;2;3;4;5})),"")</f>
        <v/>
      </c>
      <c r="Q201" s="443"/>
      <c r="R201" s="443"/>
      <c r="S201" s="444"/>
      <c r="T201" s="445"/>
      <c r="U201" s="446" t="str">
        <f t="shared" ca="1" si="10"/>
        <v/>
      </c>
      <c r="V201" s="447" t="str">
        <f t="shared" ca="1" si="11"/>
        <v/>
      </c>
      <c r="W201" s="446" t="str">
        <f t="shared" ca="1" si="12"/>
        <v/>
      </c>
      <c r="X201" s="448" t="str">
        <f t="shared" ca="1" si="13"/>
        <v/>
      </c>
      <c r="Y201" s="447" t="str">
        <f t="shared" ca="1" si="14"/>
        <v/>
      </c>
      <c r="Z201" s="79"/>
    </row>
    <row r="202" spans="1:26" customFormat="1" ht="15">
      <c r="A202" s="231"/>
      <c r="B202" s="288">
        <v>164</v>
      </c>
      <c r="C202" s="260"/>
      <c r="D202" s="261"/>
      <c r="E202" s="252"/>
      <c r="F202" s="237"/>
      <c r="G202" s="244"/>
      <c r="H202" s="398">
        <v>188</v>
      </c>
      <c r="I202" s="417"/>
      <c r="J202" s="417"/>
      <c r="K202" s="426"/>
      <c r="L202" s="426"/>
      <c r="M202" s="426"/>
      <c r="N202" s="426"/>
      <c r="O202" s="465"/>
      <c r="P202" s="442" t="str" cm="1">
        <f t="array" aca="1" ref="P202" ca="1">IF(AND($Q$12,B226&lt;=$C$17,C226&lt;&gt;""),TRANSPOSE(INDEX(GetCDS(C226,$C$6,G226/10000,F226,D226,$C$13,$C$14,$C$15,$C$8,,,TRUE,TRUE,FALSE,$C$29:$C$31,$C$33),{1;2;3;4;5})),"")</f>
        <v/>
      </c>
      <c r="Q202" s="443"/>
      <c r="R202" s="443"/>
      <c r="S202" s="444"/>
      <c r="T202" s="445"/>
      <c r="U202" s="446" t="str">
        <f t="shared" ca="1" si="10"/>
        <v/>
      </c>
      <c r="V202" s="447" t="str">
        <f t="shared" ca="1" si="11"/>
        <v/>
      </c>
      <c r="W202" s="446" t="str">
        <f t="shared" ca="1" si="12"/>
        <v/>
      </c>
      <c r="X202" s="448" t="str">
        <f t="shared" ca="1" si="13"/>
        <v/>
      </c>
      <c r="Y202" s="447" t="str">
        <f t="shared" ca="1" si="14"/>
        <v/>
      </c>
      <c r="Z202" s="79"/>
    </row>
    <row r="203" spans="1:26" customFormat="1" ht="15">
      <c r="A203" s="231"/>
      <c r="B203" s="288">
        <v>165</v>
      </c>
      <c r="C203" s="260"/>
      <c r="D203" s="261"/>
      <c r="E203" s="252"/>
      <c r="F203" s="237"/>
      <c r="G203" s="244"/>
      <c r="H203" s="398">
        <v>189</v>
      </c>
      <c r="I203" s="417"/>
      <c r="J203" s="417"/>
      <c r="K203" s="426"/>
      <c r="L203" s="426"/>
      <c r="M203" s="426"/>
      <c r="N203" s="426"/>
      <c r="O203" s="465"/>
      <c r="P203" s="442" t="str" cm="1">
        <f t="array" aca="1" ref="P203" ca="1">IF(AND($Q$12,B227&lt;=$C$17,C227&lt;&gt;""),TRANSPOSE(INDEX(GetCDS(C227,$C$6,G227/10000,F227,D227,$C$13,$C$14,$C$15,$C$8,,,TRUE,TRUE,FALSE,$C$29:$C$31,$C$33),{1;2;3;4;5})),"")</f>
        <v/>
      </c>
      <c r="Q203" s="443"/>
      <c r="R203" s="443"/>
      <c r="S203" s="444"/>
      <c r="T203" s="445"/>
      <c r="U203" s="446" t="str">
        <f t="shared" ca="1" si="10"/>
        <v/>
      </c>
      <c r="V203" s="447" t="str">
        <f t="shared" ca="1" si="11"/>
        <v/>
      </c>
      <c r="W203" s="446" t="str">
        <f t="shared" ca="1" si="12"/>
        <v/>
      </c>
      <c r="X203" s="448" t="str">
        <f t="shared" ca="1" si="13"/>
        <v/>
      </c>
      <c r="Y203" s="447" t="str">
        <f t="shared" ca="1" si="14"/>
        <v/>
      </c>
      <c r="Z203" s="79"/>
    </row>
    <row r="204" spans="1:26" customFormat="1" ht="15">
      <c r="A204" s="231"/>
      <c r="B204" s="288">
        <v>166</v>
      </c>
      <c r="C204" s="260"/>
      <c r="D204" s="261"/>
      <c r="E204" s="252"/>
      <c r="F204" s="237"/>
      <c r="G204" s="244"/>
      <c r="H204" s="398">
        <v>190</v>
      </c>
      <c r="I204" s="417"/>
      <c r="J204" s="417"/>
      <c r="K204" s="426"/>
      <c r="L204" s="426"/>
      <c r="M204" s="426"/>
      <c r="N204" s="426"/>
      <c r="O204" s="465"/>
      <c r="P204" s="442" t="str" cm="1">
        <f t="array" aca="1" ref="P204" ca="1">IF(AND($Q$12,B228&lt;=$C$17,C228&lt;&gt;""),TRANSPOSE(INDEX(GetCDS(C228,$C$6,G228/10000,F228,D228,$C$13,$C$14,$C$15,$C$8,,,TRUE,TRUE,FALSE,$C$29:$C$31,$C$33),{1;2;3;4;5})),"")</f>
        <v/>
      </c>
      <c r="Q204" s="443"/>
      <c r="R204" s="443"/>
      <c r="S204" s="444"/>
      <c r="T204" s="445"/>
      <c r="U204" s="446" t="str">
        <f t="shared" ca="1" si="10"/>
        <v/>
      </c>
      <c r="V204" s="447" t="str">
        <f t="shared" ca="1" si="11"/>
        <v/>
      </c>
      <c r="W204" s="446" t="str">
        <f t="shared" ca="1" si="12"/>
        <v/>
      </c>
      <c r="X204" s="448" t="str">
        <f t="shared" ca="1" si="13"/>
        <v/>
      </c>
      <c r="Y204" s="447" t="str">
        <f t="shared" ca="1" si="14"/>
        <v/>
      </c>
      <c r="Z204" s="79"/>
    </row>
    <row r="205" spans="1:26" customFormat="1" ht="15">
      <c r="A205" s="231"/>
      <c r="B205" s="288">
        <v>167</v>
      </c>
      <c r="C205" s="260"/>
      <c r="D205" s="261"/>
      <c r="E205" s="252"/>
      <c r="F205" s="237"/>
      <c r="G205" s="244"/>
      <c r="H205" s="398">
        <v>191</v>
      </c>
      <c r="I205" s="417"/>
      <c r="J205" s="417"/>
      <c r="K205" s="426"/>
      <c r="L205" s="426"/>
      <c r="M205" s="426"/>
      <c r="N205" s="426"/>
      <c r="O205" s="465"/>
      <c r="P205" s="442" t="str" cm="1">
        <f t="array" aca="1" ref="P205" ca="1">IF(AND($Q$12,B229&lt;=$C$17,C229&lt;&gt;""),TRANSPOSE(INDEX(GetCDS(C229,$C$6,G229/10000,F229,D229,$C$13,$C$14,$C$15,$C$8,,,TRUE,TRUE,FALSE,$C$29:$C$31,$C$33),{1;2;3;4;5})),"")</f>
        <v/>
      </c>
      <c r="Q205" s="443"/>
      <c r="R205" s="443"/>
      <c r="S205" s="444"/>
      <c r="T205" s="445"/>
      <c r="U205" s="446" t="str">
        <f t="shared" ca="1" si="10"/>
        <v/>
      </c>
      <c r="V205" s="447" t="str">
        <f t="shared" ca="1" si="11"/>
        <v/>
      </c>
      <c r="W205" s="446" t="str">
        <f t="shared" ca="1" si="12"/>
        <v/>
      </c>
      <c r="X205" s="448" t="str">
        <f t="shared" ca="1" si="13"/>
        <v/>
      </c>
      <c r="Y205" s="447" t="str">
        <f t="shared" ca="1" si="14"/>
        <v/>
      </c>
      <c r="Z205" s="79"/>
    </row>
    <row r="206" spans="1:26" customFormat="1" ht="15">
      <c r="A206" s="231"/>
      <c r="B206" s="288">
        <v>168</v>
      </c>
      <c r="C206" s="260"/>
      <c r="D206" s="261"/>
      <c r="E206" s="252"/>
      <c r="F206" s="237"/>
      <c r="G206" s="244"/>
      <c r="H206" s="398">
        <v>192</v>
      </c>
      <c r="I206" s="417"/>
      <c r="J206" s="417"/>
      <c r="K206" s="426"/>
      <c r="L206" s="426"/>
      <c r="M206" s="426"/>
      <c r="N206" s="426"/>
      <c r="O206" s="465"/>
      <c r="P206" s="442" t="str" cm="1">
        <f t="array" aca="1" ref="P206" ca="1">IF(AND($Q$12,B230&lt;=$C$17,C230&lt;&gt;""),TRANSPOSE(INDEX(GetCDS(C230,$C$6,G230/10000,F230,D230,$C$13,$C$14,$C$15,$C$8,,,TRUE,TRUE,FALSE,$C$29:$C$31,$C$33),{1;2;3;4;5})),"")</f>
        <v/>
      </c>
      <c r="Q206" s="443"/>
      <c r="R206" s="443"/>
      <c r="S206" s="444"/>
      <c r="T206" s="445"/>
      <c r="U206" s="446" t="str">
        <f t="shared" ca="1" si="10"/>
        <v/>
      </c>
      <c r="V206" s="447" t="str">
        <f t="shared" ca="1" si="11"/>
        <v/>
      </c>
      <c r="W206" s="446" t="str">
        <f t="shared" ca="1" si="12"/>
        <v/>
      </c>
      <c r="X206" s="448" t="str">
        <f t="shared" ca="1" si="13"/>
        <v/>
      </c>
      <c r="Y206" s="447" t="str">
        <f t="shared" ca="1" si="14"/>
        <v/>
      </c>
      <c r="Z206" s="79"/>
    </row>
    <row r="207" spans="1:26" customFormat="1" ht="15">
      <c r="A207" s="231"/>
      <c r="B207" s="288">
        <v>169</v>
      </c>
      <c r="C207" s="260"/>
      <c r="D207" s="261"/>
      <c r="E207" s="252"/>
      <c r="F207" s="237"/>
      <c r="G207" s="244"/>
      <c r="H207" s="398">
        <v>193</v>
      </c>
      <c r="I207" s="417"/>
      <c r="J207" s="417"/>
      <c r="K207" s="426"/>
      <c r="L207" s="426"/>
      <c r="M207" s="426"/>
      <c r="N207" s="426"/>
      <c r="O207" s="465"/>
      <c r="P207" s="442" t="str" cm="1">
        <f t="array" aca="1" ref="P207" ca="1">IF(AND($Q$12,B231&lt;=$C$17,C231&lt;&gt;""),TRANSPOSE(INDEX(GetCDS(C231,$C$6,G231/10000,F231,D231,$C$13,$C$14,$C$15,$C$8,,,TRUE,TRUE,FALSE,$C$29:$C$31,$C$33),{1;2;3;4;5})),"")</f>
        <v/>
      </c>
      <c r="Q207" s="443"/>
      <c r="R207" s="443"/>
      <c r="S207" s="444"/>
      <c r="T207" s="445"/>
      <c r="U207" s="446" t="str">
        <f t="shared" ca="1" si="10"/>
        <v/>
      </c>
      <c r="V207" s="447" t="str">
        <f t="shared" ca="1" si="11"/>
        <v/>
      </c>
      <c r="W207" s="446" t="str">
        <f t="shared" ca="1" si="12"/>
        <v/>
      </c>
      <c r="X207" s="448" t="str">
        <f t="shared" ca="1" si="13"/>
        <v/>
      </c>
      <c r="Y207" s="447" t="str">
        <f t="shared" ca="1" si="14"/>
        <v/>
      </c>
      <c r="Z207" s="79"/>
    </row>
    <row r="208" spans="1:26" customFormat="1" ht="15">
      <c r="A208" s="231"/>
      <c r="B208" s="288">
        <v>170</v>
      </c>
      <c r="C208" s="260"/>
      <c r="D208" s="261"/>
      <c r="E208" s="252"/>
      <c r="F208" s="237"/>
      <c r="G208" s="244"/>
      <c r="H208" s="398">
        <v>194</v>
      </c>
      <c r="I208" s="417"/>
      <c r="J208" s="417"/>
      <c r="K208" s="426"/>
      <c r="L208" s="426"/>
      <c r="M208" s="426"/>
      <c r="N208" s="426"/>
      <c r="O208" s="465"/>
      <c r="P208" s="442" t="str" cm="1">
        <f t="array" aca="1" ref="P208" ca="1">IF(AND($Q$12,B232&lt;=$C$17,C232&lt;&gt;""),TRANSPOSE(INDEX(GetCDS(C232,$C$6,G232/10000,F232,D232,$C$13,$C$14,$C$15,$C$8,,,TRUE,TRUE,FALSE,$C$29:$C$31,$C$33),{1;2;3;4;5})),"")</f>
        <v/>
      </c>
      <c r="Q208" s="443"/>
      <c r="R208" s="443"/>
      <c r="S208" s="444"/>
      <c r="T208" s="445"/>
      <c r="U208" s="446" t="str">
        <f t="shared" ref="U208:U271" ca="1" si="15">IF($Q$12,IF(P208="","",$Q$13*D232/$C$18),"")</f>
        <v/>
      </c>
      <c r="V208" s="447" t="str">
        <f t="shared" ref="V208:V271" ca="1" si="16">IF($Q$12,IF(U208="","",U208*($V$10-S208)*T208),"")</f>
        <v/>
      </c>
      <c r="W208" s="446" t="str">
        <f t="shared" ref="W208:W271" ca="1" si="17">IF($Q$12,IF(OR(P208="",L208=""),"",L208/($C$20-$C$19)),"")</f>
        <v/>
      </c>
      <c r="X208" s="448" t="str">
        <f t="shared" ref="X208:X271" ca="1" si="18">IF($Q$12,IF(S208="","",S208*$Y$10),"")</f>
        <v/>
      </c>
      <c r="Y208" s="447" t="str">
        <f t="shared" ref="Y208:Y271" ca="1" si="19">IF($Q$12,IF(W208="","",W208*(X208-S208)*T208),"")</f>
        <v/>
      </c>
      <c r="Z208" s="79"/>
    </row>
    <row r="209" spans="1:26" customFormat="1" ht="15">
      <c r="A209" s="231"/>
      <c r="B209" s="288">
        <v>171</v>
      </c>
      <c r="C209" s="260"/>
      <c r="D209" s="261"/>
      <c r="E209" s="252"/>
      <c r="F209" s="237"/>
      <c r="G209" s="244"/>
      <c r="H209" s="398">
        <v>195</v>
      </c>
      <c r="I209" s="417"/>
      <c r="J209" s="417"/>
      <c r="K209" s="426"/>
      <c r="L209" s="426"/>
      <c r="M209" s="426"/>
      <c r="N209" s="426"/>
      <c r="O209" s="465"/>
      <c r="P209" s="442" t="str" cm="1">
        <f t="array" aca="1" ref="P209" ca="1">IF(AND($Q$12,B233&lt;=$C$17,C233&lt;&gt;""),TRANSPOSE(INDEX(GetCDS(C233,$C$6,G233/10000,F233,D233,$C$13,$C$14,$C$15,$C$8,,,TRUE,TRUE,FALSE,$C$29:$C$31,$C$33),{1;2;3;4;5})),"")</f>
        <v/>
      </c>
      <c r="Q209" s="443"/>
      <c r="R209" s="443"/>
      <c r="S209" s="444"/>
      <c r="T209" s="445"/>
      <c r="U209" s="446" t="str">
        <f t="shared" ca="1" si="15"/>
        <v/>
      </c>
      <c r="V209" s="447" t="str">
        <f t="shared" ca="1" si="16"/>
        <v/>
      </c>
      <c r="W209" s="446" t="str">
        <f t="shared" ca="1" si="17"/>
        <v/>
      </c>
      <c r="X209" s="448" t="str">
        <f t="shared" ca="1" si="18"/>
        <v/>
      </c>
      <c r="Y209" s="447" t="str">
        <f t="shared" ca="1" si="19"/>
        <v/>
      </c>
      <c r="Z209" s="79"/>
    </row>
    <row r="210" spans="1:26" customFormat="1" ht="15">
      <c r="A210" s="231"/>
      <c r="B210" s="288">
        <v>172</v>
      </c>
      <c r="C210" s="260"/>
      <c r="D210" s="261"/>
      <c r="E210" s="252"/>
      <c r="F210" s="237"/>
      <c r="G210" s="244"/>
      <c r="H210" s="398">
        <v>196</v>
      </c>
      <c r="I210" s="417"/>
      <c r="J210" s="417"/>
      <c r="K210" s="426"/>
      <c r="L210" s="426"/>
      <c r="M210" s="426"/>
      <c r="N210" s="426"/>
      <c r="O210" s="465"/>
      <c r="P210" s="442" t="str" cm="1">
        <f t="array" aca="1" ref="P210" ca="1">IF(AND($Q$12,B234&lt;=$C$17,C234&lt;&gt;""),TRANSPOSE(INDEX(GetCDS(C234,$C$6,G234/10000,F234,D234,$C$13,$C$14,$C$15,$C$8,,,TRUE,TRUE,FALSE,$C$29:$C$31,$C$33),{1;2;3;4;5})),"")</f>
        <v/>
      </c>
      <c r="Q210" s="443"/>
      <c r="R210" s="443"/>
      <c r="S210" s="444"/>
      <c r="T210" s="445"/>
      <c r="U210" s="446" t="str">
        <f t="shared" ca="1" si="15"/>
        <v/>
      </c>
      <c r="V210" s="447" t="str">
        <f t="shared" ca="1" si="16"/>
        <v/>
      </c>
      <c r="W210" s="446" t="str">
        <f t="shared" ca="1" si="17"/>
        <v/>
      </c>
      <c r="X210" s="448" t="str">
        <f t="shared" ca="1" si="18"/>
        <v/>
      </c>
      <c r="Y210" s="447" t="str">
        <f t="shared" ca="1" si="19"/>
        <v/>
      </c>
      <c r="Z210" s="79"/>
    </row>
    <row r="211" spans="1:26" customFormat="1" ht="15">
      <c r="A211" s="231"/>
      <c r="B211" s="288">
        <v>173</v>
      </c>
      <c r="C211" s="260"/>
      <c r="D211" s="261"/>
      <c r="E211" s="252"/>
      <c r="F211" s="237"/>
      <c r="G211" s="244"/>
      <c r="H211" s="398">
        <v>197</v>
      </c>
      <c r="I211" s="417"/>
      <c r="J211" s="417"/>
      <c r="K211" s="426"/>
      <c r="L211" s="426"/>
      <c r="M211" s="426"/>
      <c r="N211" s="426"/>
      <c r="O211" s="465"/>
      <c r="P211" s="442" t="str" cm="1">
        <f t="array" aca="1" ref="P211" ca="1">IF(AND($Q$12,B235&lt;=$C$17,C235&lt;&gt;""),TRANSPOSE(INDEX(GetCDS(C235,$C$6,G235/10000,F235,D235,$C$13,$C$14,$C$15,$C$8,,,TRUE,TRUE,FALSE,$C$29:$C$31,$C$33),{1;2;3;4;5})),"")</f>
        <v/>
      </c>
      <c r="Q211" s="443"/>
      <c r="R211" s="443"/>
      <c r="S211" s="444"/>
      <c r="T211" s="445"/>
      <c r="U211" s="446" t="str">
        <f t="shared" ca="1" si="15"/>
        <v/>
      </c>
      <c r="V211" s="447" t="str">
        <f t="shared" ca="1" si="16"/>
        <v/>
      </c>
      <c r="W211" s="446" t="str">
        <f t="shared" ca="1" si="17"/>
        <v/>
      </c>
      <c r="X211" s="448" t="str">
        <f t="shared" ca="1" si="18"/>
        <v/>
      </c>
      <c r="Y211" s="447" t="str">
        <f t="shared" ca="1" si="19"/>
        <v/>
      </c>
      <c r="Z211" s="79"/>
    </row>
    <row r="212" spans="1:26" customFormat="1" ht="15">
      <c r="A212" s="231"/>
      <c r="B212" s="288">
        <v>174</v>
      </c>
      <c r="C212" s="260"/>
      <c r="D212" s="261"/>
      <c r="E212" s="252"/>
      <c r="F212" s="237"/>
      <c r="G212" s="244"/>
      <c r="H212" s="398">
        <v>198</v>
      </c>
      <c r="I212" s="417"/>
      <c r="J212" s="417"/>
      <c r="K212" s="426"/>
      <c r="L212" s="426"/>
      <c r="M212" s="426"/>
      <c r="N212" s="426"/>
      <c r="O212" s="465"/>
      <c r="P212" s="442" t="str" cm="1">
        <f t="array" aca="1" ref="P212" ca="1">IF(AND($Q$12,B236&lt;=$C$17,C236&lt;&gt;""),TRANSPOSE(INDEX(GetCDS(C236,$C$6,G236/10000,F236,D236,$C$13,$C$14,$C$15,$C$8,,,TRUE,TRUE,FALSE,$C$29:$C$31,$C$33),{1;2;3;4;5})),"")</f>
        <v/>
      </c>
      <c r="Q212" s="443"/>
      <c r="R212" s="443"/>
      <c r="S212" s="444"/>
      <c r="T212" s="445"/>
      <c r="U212" s="446" t="str">
        <f t="shared" ca="1" si="15"/>
        <v/>
      </c>
      <c r="V212" s="447" t="str">
        <f t="shared" ca="1" si="16"/>
        <v/>
      </c>
      <c r="W212" s="446" t="str">
        <f t="shared" ca="1" si="17"/>
        <v/>
      </c>
      <c r="X212" s="448" t="str">
        <f t="shared" ca="1" si="18"/>
        <v/>
      </c>
      <c r="Y212" s="447" t="str">
        <f t="shared" ca="1" si="19"/>
        <v/>
      </c>
      <c r="Z212" s="79"/>
    </row>
    <row r="213" spans="1:26" customFormat="1" ht="15">
      <c r="A213" s="231"/>
      <c r="B213" s="288">
        <v>175</v>
      </c>
      <c r="C213" s="260"/>
      <c r="D213" s="261"/>
      <c r="E213" s="252"/>
      <c r="F213" s="237"/>
      <c r="G213" s="244"/>
      <c r="H213" s="398">
        <v>199</v>
      </c>
      <c r="I213" s="417"/>
      <c r="J213" s="417"/>
      <c r="K213" s="426"/>
      <c r="L213" s="426"/>
      <c r="M213" s="426"/>
      <c r="N213" s="426"/>
      <c r="O213" s="465"/>
      <c r="P213" s="442" t="str" cm="1">
        <f t="array" aca="1" ref="P213" ca="1">IF(AND($Q$12,B237&lt;=$C$17,C237&lt;&gt;""),TRANSPOSE(INDEX(GetCDS(C237,$C$6,G237/10000,F237,D237,$C$13,$C$14,$C$15,$C$8,,,TRUE,TRUE,FALSE,$C$29:$C$31,$C$33),{1;2;3;4;5})),"")</f>
        <v/>
      </c>
      <c r="Q213" s="443"/>
      <c r="R213" s="443"/>
      <c r="S213" s="444"/>
      <c r="T213" s="445"/>
      <c r="U213" s="446" t="str">
        <f t="shared" ca="1" si="15"/>
        <v/>
      </c>
      <c r="V213" s="447" t="str">
        <f t="shared" ca="1" si="16"/>
        <v/>
      </c>
      <c r="W213" s="446" t="str">
        <f t="shared" ca="1" si="17"/>
        <v/>
      </c>
      <c r="X213" s="448" t="str">
        <f t="shared" ca="1" si="18"/>
        <v/>
      </c>
      <c r="Y213" s="447" t="str">
        <f t="shared" ca="1" si="19"/>
        <v/>
      </c>
      <c r="Z213" s="79"/>
    </row>
    <row r="214" spans="1:26" customFormat="1" ht="15">
      <c r="A214" s="231"/>
      <c r="B214" s="288">
        <v>176</v>
      </c>
      <c r="C214" s="260"/>
      <c r="D214" s="261"/>
      <c r="E214" s="252"/>
      <c r="F214" s="237"/>
      <c r="G214" s="244"/>
      <c r="H214" s="398">
        <v>200</v>
      </c>
      <c r="I214" s="417"/>
      <c r="J214" s="417"/>
      <c r="K214" s="426"/>
      <c r="L214" s="426"/>
      <c r="M214" s="426"/>
      <c r="N214" s="426"/>
      <c r="O214" s="465"/>
      <c r="P214" s="442" t="str" cm="1">
        <f t="array" aca="1" ref="P214" ca="1">IF(AND($Q$12,B238&lt;=$C$17,C238&lt;&gt;""),TRANSPOSE(INDEX(GetCDS(C238,$C$6,G238/10000,F238,D238,$C$13,$C$14,$C$15,$C$8,,,TRUE,TRUE,FALSE,$C$29:$C$31,$C$33),{1;2;3;4;5})),"")</f>
        <v/>
      </c>
      <c r="Q214" s="443"/>
      <c r="R214" s="443"/>
      <c r="S214" s="444"/>
      <c r="T214" s="445"/>
      <c r="U214" s="446" t="str">
        <f t="shared" ca="1" si="15"/>
        <v/>
      </c>
      <c r="V214" s="447" t="str">
        <f t="shared" ca="1" si="16"/>
        <v/>
      </c>
      <c r="W214" s="446" t="str">
        <f t="shared" ca="1" si="17"/>
        <v/>
      </c>
      <c r="X214" s="448" t="str">
        <f t="shared" ca="1" si="18"/>
        <v/>
      </c>
      <c r="Y214" s="447" t="str">
        <f t="shared" ca="1" si="19"/>
        <v/>
      </c>
      <c r="Z214" s="79"/>
    </row>
    <row r="215" spans="1:26" customFormat="1" ht="15">
      <c r="A215" s="231"/>
      <c r="B215" s="288">
        <v>177</v>
      </c>
      <c r="C215" s="260"/>
      <c r="D215" s="261"/>
      <c r="E215" s="252"/>
      <c r="F215" s="237"/>
      <c r="G215" s="244"/>
      <c r="H215" s="398">
        <v>201</v>
      </c>
      <c r="I215" s="417"/>
      <c r="J215" s="417"/>
      <c r="K215" s="426"/>
      <c r="L215" s="426"/>
      <c r="M215" s="426"/>
      <c r="N215" s="426"/>
      <c r="O215" s="465"/>
      <c r="P215" s="442" t="str" cm="1">
        <f t="array" aca="1" ref="P215" ca="1">IF(AND($Q$12,B239&lt;=$C$17,C239&lt;&gt;""),TRANSPOSE(INDEX(GetCDS(C239,$C$6,G239/10000,F239,D239,$C$13,$C$14,$C$15,$C$8,,,TRUE,TRUE,FALSE,$C$29:$C$31,$C$33),{1;2;3;4;5})),"")</f>
        <v/>
      </c>
      <c r="Q215" s="443"/>
      <c r="R215" s="443"/>
      <c r="S215" s="444"/>
      <c r="T215" s="445"/>
      <c r="U215" s="446" t="str">
        <f t="shared" ca="1" si="15"/>
        <v/>
      </c>
      <c r="V215" s="447" t="str">
        <f t="shared" ca="1" si="16"/>
        <v/>
      </c>
      <c r="W215" s="446" t="str">
        <f t="shared" ca="1" si="17"/>
        <v/>
      </c>
      <c r="X215" s="448" t="str">
        <f t="shared" ca="1" si="18"/>
        <v/>
      </c>
      <c r="Y215" s="447" t="str">
        <f t="shared" ca="1" si="19"/>
        <v/>
      </c>
      <c r="Z215" s="79"/>
    </row>
    <row r="216" spans="1:26" customFormat="1" ht="15">
      <c r="A216" s="231"/>
      <c r="B216" s="288">
        <v>178</v>
      </c>
      <c r="C216" s="260"/>
      <c r="D216" s="261"/>
      <c r="E216" s="252"/>
      <c r="F216" s="237"/>
      <c r="G216" s="244"/>
      <c r="H216" s="398">
        <v>202</v>
      </c>
      <c r="I216" s="417"/>
      <c r="J216" s="417"/>
      <c r="K216" s="426"/>
      <c r="L216" s="426"/>
      <c r="M216" s="426"/>
      <c r="N216" s="426"/>
      <c r="O216" s="465"/>
      <c r="P216" s="442" t="str" cm="1">
        <f t="array" aca="1" ref="P216" ca="1">IF(AND($Q$12,B240&lt;=$C$17,C240&lt;&gt;""),TRANSPOSE(INDEX(GetCDS(C240,$C$6,G240/10000,F240,D240,$C$13,$C$14,$C$15,$C$8,,,TRUE,TRUE,FALSE,$C$29:$C$31,$C$33),{1;2;3;4;5})),"")</f>
        <v/>
      </c>
      <c r="Q216" s="443"/>
      <c r="R216" s="443"/>
      <c r="S216" s="444"/>
      <c r="T216" s="445"/>
      <c r="U216" s="446" t="str">
        <f t="shared" ca="1" si="15"/>
        <v/>
      </c>
      <c r="V216" s="447" t="str">
        <f t="shared" ca="1" si="16"/>
        <v/>
      </c>
      <c r="W216" s="446" t="str">
        <f t="shared" ca="1" si="17"/>
        <v/>
      </c>
      <c r="X216" s="448" t="str">
        <f t="shared" ca="1" si="18"/>
        <v/>
      </c>
      <c r="Y216" s="447" t="str">
        <f t="shared" ca="1" si="19"/>
        <v/>
      </c>
      <c r="Z216" s="79"/>
    </row>
    <row r="217" spans="1:26" customFormat="1" ht="15">
      <c r="A217" s="231"/>
      <c r="B217" s="288">
        <v>179</v>
      </c>
      <c r="C217" s="260"/>
      <c r="D217" s="261"/>
      <c r="E217" s="252"/>
      <c r="F217" s="237"/>
      <c r="G217" s="244"/>
      <c r="H217" s="398">
        <v>203</v>
      </c>
      <c r="I217" s="417"/>
      <c r="J217" s="417"/>
      <c r="K217" s="426"/>
      <c r="L217" s="426"/>
      <c r="M217" s="426"/>
      <c r="N217" s="426"/>
      <c r="O217" s="465"/>
      <c r="P217" s="442" t="str" cm="1">
        <f t="array" aca="1" ref="P217" ca="1">IF(AND($Q$12,B241&lt;=$C$17,C241&lt;&gt;""),TRANSPOSE(INDEX(GetCDS(C241,$C$6,G241/10000,F241,D241,$C$13,$C$14,$C$15,$C$8,,,TRUE,TRUE,FALSE,$C$29:$C$31,$C$33),{1;2;3;4;5})),"")</f>
        <v/>
      </c>
      <c r="Q217" s="443"/>
      <c r="R217" s="443"/>
      <c r="S217" s="444"/>
      <c r="T217" s="445"/>
      <c r="U217" s="446" t="str">
        <f t="shared" ca="1" si="15"/>
        <v/>
      </c>
      <c r="V217" s="447" t="str">
        <f t="shared" ca="1" si="16"/>
        <v/>
      </c>
      <c r="W217" s="446" t="str">
        <f t="shared" ca="1" si="17"/>
        <v/>
      </c>
      <c r="X217" s="448" t="str">
        <f t="shared" ca="1" si="18"/>
        <v/>
      </c>
      <c r="Y217" s="447" t="str">
        <f t="shared" ca="1" si="19"/>
        <v/>
      </c>
      <c r="Z217" s="79"/>
    </row>
    <row r="218" spans="1:26" customFormat="1" ht="15">
      <c r="A218" s="231"/>
      <c r="B218" s="288">
        <v>180</v>
      </c>
      <c r="C218" s="260"/>
      <c r="D218" s="261"/>
      <c r="E218" s="252"/>
      <c r="F218" s="237"/>
      <c r="G218" s="244"/>
      <c r="H218" s="398">
        <v>204</v>
      </c>
      <c r="I218" s="417"/>
      <c r="J218" s="417"/>
      <c r="K218" s="426"/>
      <c r="L218" s="426"/>
      <c r="M218" s="426"/>
      <c r="N218" s="426"/>
      <c r="O218" s="465"/>
      <c r="P218" s="442" t="str" cm="1">
        <f t="array" aca="1" ref="P218" ca="1">IF(AND($Q$12,B242&lt;=$C$17,C242&lt;&gt;""),TRANSPOSE(INDEX(GetCDS(C242,$C$6,G242/10000,F242,D242,$C$13,$C$14,$C$15,$C$8,,,TRUE,TRUE,FALSE,$C$29:$C$31,$C$33),{1;2;3;4;5})),"")</f>
        <v/>
      </c>
      <c r="Q218" s="443"/>
      <c r="R218" s="443"/>
      <c r="S218" s="444"/>
      <c r="T218" s="445"/>
      <c r="U218" s="446" t="str">
        <f t="shared" ca="1" si="15"/>
        <v/>
      </c>
      <c r="V218" s="447" t="str">
        <f t="shared" ca="1" si="16"/>
        <v/>
      </c>
      <c r="W218" s="446" t="str">
        <f t="shared" ca="1" si="17"/>
        <v/>
      </c>
      <c r="X218" s="448" t="str">
        <f t="shared" ca="1" si="18"/>
        <v/>
      </c>
      <c r="Y218" s="447" t="str">
        <f t="shared" ca="1" si="19"/>
        <v/>
      </c>
      <c r="Z218" s="79"/>
    </row>
    <row r="219" spans="1:26" customFormat="1" ht="15">
      <c r="A219" s="231"/>
      <c r="B219" s="288">
        <v>181</v>
      </c>
      <c r="C219" s="260"/>
      <c r="D219" s="261"/>
      <c r="E219" s="252"/>
      <c r="F219" s="237"/>
      <c r="G219" s="244"/>
      <c r="H219" s="398">
        <v>205</v>
      </c>
      <c r="I219" s="417"/>
      <c r="J219" s="417"/>
      <c r="K219" s="426"/>
      <c r="L219" s="426"/>
      <c r="M219" s="426"/>
      <c r="N219" s="426"/>
      <c r="O219" s="465"/>
      <c r="P219" s="442" t="str" cm="1">
        <f t="array" aca="1" ref="P219" ca="1">IF(AND($Q$12,B243&lt;=$C$17,C243&lt;&gt;""),TRANSPOSE(INDEX(GetCDS(C243,$C$6,G243/10000,F243,D243,$C$13,$C$14,$C$15,$C$8,,,TRUE,TRUE,FALSE,$C$29:$C$31,$C$33),{1;2;3;4;5})),"")</f>
        <v/>
      </c>
      <c r="Q219" s="443"/>
      <c r="R219" s="443"/>
      <c r="S219" s="444"/>
      <c r="T219" s="445"/>
      <c r="U219" s="446" t="str">
        <f t="shared" ca="1" si="15"/>
        <v/>
      </c>
      <c r="V219" s="447" t="str">
        <f t="shared" ca="1" si="16"/>
        <v/>
      </c>
      <c r="W219" s="446" t="str">
        <f t="shared" ca="1" si="17"/>
        <v/>
      </c>
      <c r="X219" s="448" t="str">
        <f t="shared" ca="1" si="18"/>
        <v/>
      </c>
      <c r="Y219" s="447" t="str">
        <f t="shared" ca="1" si="19"/>
        <v/>
      </c>
      <c r="Z219" s="79"/>
    </row>
    <row r="220" spans="1:26" customFormat="1" ht="15">
      <c r="A220" s="231"/>
      <c r="B220" s="288">
        <v>182</v>
      </c>
      <c r="C220" s="260"/>
      <c r="D220" s="261"/>
      <c r="E220" s="252"/>
      <c r="F220" s="237"/>
      <c r="G220" s="244"/>
      <c r="H220" s="398">
        <v>206</v>
      </c>
      <c r="I220" s="417"/>
      <c r="J220" s="417"/>
      <c r="K220" s="426"/>
      <c r="L220" s="426"/>
      <c r="M220" s="426"/>
      <c r="N220" s="426"/>
      <c r="O220" s="465"/>
      <c r="P220" s="442" t="str" cm="1">
        <f t="array" aca="1" ref="P220" ca="1">IF(AND($Q$12,B244&lt;=$C$17,C244&lt;&gt;""),TRANSPOSE(INDEX(GetCDS(C244,$C$6,G244/10000,F244,D244,$C$13,$C$14,$C$15,$C$8,,,TRUE,TRUE,FALSE,$C$29:$C$31,$C$33),{1;2;3;4;5})),"")</f>
        <v/>
      </c>
      <c r="Q220" s="443"/>
      <c r="R220" s="443"/>
      <c r="S220" s="444"/>
      <c r="T220" s="445"/>
      <c r="U220" s="446" t="str">
        <f t="shared" ca="1" si="15"/>
        <v/>
      </c>
      <c r="V220" s="447" t="str">
        <f t="shared" ca="1" si="16"/>
        <v/>
      </c>
      <c r="W220" s="446" t="str">
        <f t="shared" ca="1" si="17"/>
        <v/>
      </c>
      <c r="X220" s="448" t="str">
        <f t="shared" ca="1" si="18"/>
        <v/>
      </c>
      <c r="Y220" s="447" t="str">
        <f t="shared" ca="1" si="19"/>
        <v/>
      </c>
      <c r="Z220" s="79"/>
    </row>
    <row r="221" spans="1:26" customFormat="1" ht="15">
      <c r="A221" s="231"/>
      <c r="B221" s="288">
        <v>183</v>
      </c>
      <c r="C221" s="260"/>
      <c r="D221" s="261"/>
      <c r="E221" s="252"/>
      <c r="F221" s="237"/>
      <c r="G221" s="244"/>
      <c r="H221" s="398">
        <v>207</v>
      </c>
      <c r="I221" s="417"/>
      <c r="J221" s="417"/>
      <c r="K221" s="426"/>
      <c r="L221" s="426"/>
      <c r="M221" s="426"/>
      <c r="N221" s="426"/>
      <c r="O221" s="465"/>
      <c r="P221" s="442" t="str" cm="1">
        <f t="array" aca="1" ref="P221" ca="1">IF(AND($Q$12,B245&lt;=$C$17,C245&lt;&gt;""),TRANSPOSE(INDEX(GetCDS(C245,$C$6,G245/10000,F245,D245,$C$13,$C$14,$C$15,$C$8,,,TRUE,TRUE,FALSE,$C$29:$C$31,$C$33),{1;2;3;4;5})),"")</f>
        <v/>
      </c>
      <c r="Q221" s="443"/>
      <c r="R221" s="443"/>
      <c r="S221" s="444"/>
      <c r="T221" s="445"/>
      <c r="U221" s="446" t="str">
        <f t="shared" ca="1" si="15"/>
        <v/>
      </c>
      <c r="V221" s="447" t="str">
        <f t="shared" ca="1" si="16"/>
        <v/>
      </c>
      <c r="W221" s="446" t="str">
        <f t="shared" ca="1" si="17"/>
        <v/>
      </c>
      <c r="X221" s="448" t="str">
        <f t="shared" ca="1" si="18"/>
        <v/>
      </c>
      <c r="Y221" s="447" t="str">
        <f t="shared" ca="1" si="19"/>
        <v/>
      </c>
      <c r="Z221" s="79"/>
    </row>
    <row r="222" spans="1:26" customFormat="1" ht="15">
      <c r="A222" s="231"/>
      <c r="B222" s="288">
        <v>184</v>
      </c>
      <c r="C222" s="260"/>
      <c r="D222" s="261"/>
      <c r="E222" s="252"/>
      <c r="F222" s="237"/>
      <c r="G222" s="244"/>
      <c r="H222" s="398">
        <v>208</v>
      </c>
      <c r="I222" s="417"/>
      <c r="J222" s="417"/>
      <c r="K222" s="426"/>
      <c r="L222" s="426"/>
      <c r="M222" s="426"/>
      <c r="N222" s="426"/>
      <c r="O222" s="465"/>
      <c r="P222" s="442" t="str" cm="1">
        <f t="array" aca="1" ref="P222" ca="1">IF(AND($Q$12,B246&lt;=$C$17,C246&lt;&gt;""),TRANSPOSE(INDEX(GetCDS(C246,$C$6,G246/10000,F246,D246,$C$13,$C$14,$C$15,$C$8,,,TRUE,TRUE,FALSE,$C$29:$C$31,$C$33),{1;2;3;4;5})),"")</f>
        <v/>
      </c>
      <c r="Q222" s="443"/>
      <c r="R222" s="443"/>
      <c r="S222" s="444"/>
      <c r="T222" s="445"/>
      <c r="U222" s="446" t="str">
        <f t="shared" ca="1" si="15"/>
        <v/>
      </c>
      <c r="V222" s="447" t="str">
        <f t="shared" ca="1" si="16"/>
        <v/>
      </c>
      <c r="W222" s="446" t="str">
        <f t="shared" ca="1" si="17"/>
        <v/>
      </c>
      <c r="X222" s="448" t="str">
        <f t="shared" ca="1" si="18"/>
        <v/>
      </c>
      <c r="Y222" s="447" t="str">
        <f t="shared" ca="1" si="19"/>
        <v/>
      </c>
      <c r="Z222" s="79"/>
    </row>
    <row r="223" spans="1:26" customFormat="1" ht="15">
      <c r="A223" s="231"/>
      <c r="B223" s="288">
        <v>185</v>
      </c>
      <c r="C223" s="260"/>
      <c r="D223" s="261"/>
      <c r="E223" s="252"/>
      <c r="F223" s="237"/>
      <c r="G223" s="244"/>
      <c r="H223" s="398">
        <v>209</v>
      </c>
      <c r="I223" s="417"/>
      <c r="J223" s="417"/>
      <c r="K223" s="426"/>
      <c r="L223" s="426"/>
      <c r="M223" s="426"/>
      <c r="N223" s="426"/>
      <c r="O223" s="465"/>
      <c r="P223" s="442" t="str" cm="1">
        <f t="array" aca="1" ref="P223" ca="1">IF(AND($Q$12,B247&lt;=$C$17,C247&lt;&gt;""),TRANSPOSE(INDEX(GetCDS(C247,$C$6,G247/10000,F247,D247,$C$13,$C$14,$C$15,$C$8,,,TRUE,TRUE,FALSE,$C$29:$C$31,$C$33),{1;2;3;4;5})),"")</f>
        <v/>
      </c>
      <c r="Q223" s="443"/>
      <c r="R223" s="443"/>
      <c r="S223" s="444"/>
      <c r="T223" s="445"/>
      <c r="U223" s="446" t="str">
        <f t="shared" ca="1" si="15"/>
        <v/>
      </c>
      <c r="V223" s="447" t="str">
        <f t="shared" ca="1" si="16"/>
        <v/>
      </c>
      <c r="W223" s="446" t="str">
        <f t="shared" ca="1" si="17"/>
        <v/>
      </c>
      <c r="X223" s="448" t="str">
        <f t="shared" ca="1" si="18"/>
        <v/>
      </c>
      <c r="Y223" s="447" t="str">
        <f t="shared" ca="1" si="19"/>
        <v/>
      </c>
      <c r="Z223" s="79"/>
    </row>
    <row r="224" spans="1:26" customFormat="1" ht="15">
      <c r="A224" s="231"/>
      <c r="B224" s="288">
        <v>186</v>
      </c>
      <c r="C224" s="260"/>
      <c r="D224" s="261"/>
      <c r="E224" s="252"/>
      <c r="F224" s="237"/>
      <c r="G224" s="244"/>
      <c r="H224" s="398">
        <v>210</v>
      </c>
      <c r="I224" s="417"/>
      <c r="J224" s="417"/>
      <c r="K224" s="426"/>
      <c r="L224" s="426"/>
      <c r="M224" s="426"/>
      <c r="N224" s="426"/>
      <c r="O224" s="465"/>
      <c r="P224" s="442" t="str" cm="1">
        <f t="array" aca="1" ref="P224" ca="1">IF(AND($Q$12,B248&lt;=$C$17,C248&lt;&gt;""),TRANSPOSE(INDEX(GetCDS(C248,$C$6,G248/10000,F248,D248,$C$13,$C$14,$C$15,$C$8,,,TRUE,TRUE,FALSE,$C$29:$C$31,$C$33),{1;2;3;4;5})),"")</f>
        <v/>
      </c>
      <c r="Q224" s="443"/>
      <c r="R224" s="443"/>
      <c r="S224" s="444"/>
      <c r="T224" s="445"/>
      <c r="U224" s="446" t="str">
        <f t="shared" ca="1" si="15"/>
        <v/>
      </c>
      <c r="V224" s="447" t="str">
        <f t="shared" ca="1" si="16"/>
        <v/>
      </c>
      <c r="W224" s="446" t="str">
        <f t="shared" ca="1" si="17"/>
        <v/>
      </c>
      <c r="X224" s="448" t="str">
        <f t="shared" ca="1" si="18"/>
        <v/>
      </c>
      <c r="Y224" s="447" t="str">
        <f t="shared" ca="1" si="19"/>
        <v/>
      </c>
      <c r="Z224" s="79"/>
    </row>
    <row r="225" spans="1:26" customFormat="1" ht="15">
      <c r="A225" s="231"/>
      <c r="B225" s="288">
        <v>187</v>
      </c>
      <c r="C225" s="260"/>
      <c r="D225" s="261"/>
      <c r="E225" s="252"/>
      <c r="F225" s="237"/>
      <c r="G225" s="244"/>
      <c r="H225" s="398">
        <v>211</v>
      </c>
      <c r="I225" s="417"/>
      <c r="J225" s="417"/>
      <c r="K225" s="426"/>
      <c r="L225" s="426"/>
      <c r="M225" s="426"/>
      <c r="N225" s="426"/>
      <c r="O225" s="465"/>
      <c r="P225" s="442" t="str" cm="1">
        <f t="array" aca="1" ref="P225" ca="1">IF(AND($Q$12,B249&lt;=$C$17,C249&lt;&gt;""),TRANSPOSE(INDEX(GetCDS(C249,$C$6,G249/10000,F249,D249,$C$13,$C$14,$C$15,$C$8,,,TRUE,TRUE,FALSE,$C$29:$C$31,$C$33),{1;2;3;4;5})),"")</f>
        <v/>
      </c>
      <c r="Q225" s="443"/>
      <c r="R225" s="443"/>
      <c r="S225" s="444"/>
      <c r="T225" s="445"/>
      <c r="U225" s="446" t="str">
        <f t="shared" ca="1" si="15"/>
        <v/>
      </c>
      <c r="V225" s="447" t="str">
        <f t="shared" ca="1" si="16"/>
        <v/>
      </c>
      <c r="W225" s="446" t="str">
        <f t="shared" ca="1" si="17"/>
        <v/>
      </c>
      <c r="X225" s="448" t="str">
        <f t="shared" ca="1" si="18"/>
        <v/>
      </c>
      <c r="Y225" s="447" t="str">
        <f t="shared" ca="1" si="19"/>
        <v/>
      </c>
      <c r="Z225" s="79"/>
    </row>
    <row r="226" spans="1:26" customFormat="1" ht="15">
      <c r="A226" s="231"/>
      <c r="B226" s="288">
        <v>188</v>
      </c>
      <c r="C226" s="260"/>
      <c r="D226" s="261"/>
      <c r="E226" s="252"/>
      <c r="F226" s="237"/>
      <c r="G226" s="244"/>
      <c r="H226" s="398">
        <v>212</v>
      </c>
      <c r="I226" s="417"/>
      <c r="J226" s="417"/>
      <c r="K226" s="426"/>
      <c r="L226" s="426"/>
      <c r="M226" s="426"/>
      <c r="N226" s="426"/>
      <c r="O226" s="465"/>
      <c r="P226" s="442" t="str" cm="1">
        <f t="array" aca="1" ref="P226" ca="1">IF(AND($Q$12,B250&lt;=$C$17,C250&lt;&gt;""),TRANSPOSE(INDEX(GetCDS(C250,$C$6,G250/10000,F250,D250,$C$13,$C$14,$C$15,$C$8,,,TRUE,TRUE,FALSE,$C$29:$C$31,$C$33),{1;2;3;4;5})),"")</f>
        <v/>
      </c>
      <c r="Q226" s="443"/>
      <c r="R226" s="443"/>
      <c r="S226" s="444"/>
      <c r="T226" s="445"/>
      <c r="U226" s="446" t="str">
        <f t="shared" ca="1" si="15"/>
        <v/>
      </c>
      <c r="V226" s="447" t="str">
        <f t="shared" ca="1" si="16"/>
        <v/>
      </c>
      <c r="W226" s="446" t="str">
        <f t="shared" ca="1" si="17"/>
        <v/>
      </c>
      <c r="X226" s="448" t="str">
        <f t="shared" ca="1" si="18"/>
        <v/>
      </c>
      <c r="Y226" s="447" t="str">
        <f t="shared" ca="1" si="19"/>
        <v/>
      </c>
      <c r="Z226" s="79"/>
    </row>
    <row r="227" spans="1:26" customFormat="1" ht="15">
      <c r="A227" s="231"/>
      <c r="B227" s="288">
        <v>189</v>
      </c>
      <c r="C227" s="260"/>
      <c r="D227" s="261"/>
      <c r="E227" s="252"/>
      <c r="F227" s="237"/>
      <c r="G227" s="244"/>
      <c r="H227" s="398">
        <v>213</v>
      </c>
      <c r="I227" s="417"/>
      <c r="J227" s="417"/>
      <c r="K227" s="426"/>
      <c r="L227" s="426"/>
      <c r="M227" s="426"/>
      <c r="N227" s="426"/>
      <c r="O227" s="465"/>
      <c r="P227" s="442" t="str" cm="1">
        <f t="array" aca="1" ref="P227" ca="1">IF(AND($Q$12,B251&lt;=$C$17,C251&lt;&gt;""),TRANSPOSE(INDEX(GetCDS(C251,$C$6,G251/10000,F251,D251,$C$13,$C$14,$C$15,$C$8,,,TRUE,TRUE,FALSE,$C$29:$C$31,$C$33),{1;2;3;4;5})),"")</f>
        <v/>
      </c>
      <c r="Q227" s="443"/>
      <c r="R227" s="443"/>
      <c r="S227" s="444"/>
      <c r="T227" s="445"/>
      <c r="U227" s="446" t="str">
        <f t="shared" ca="1" si="15"/>
        <v/>
      </c>
      <c r="V227" s="447" t="str">
        <f t="shared" ca="1" si="16"/>
        <v/>
      </c>
      <c r="W227" s="446" t="str">
        <f t="shared" ca="1" si="17"/>
        <v/>
      </c>
      <c r="X227" s="448" t="str">
        <f t="shared" ca="1" si="18"/>
        <v/>
      </c>
      <c r="Y227" s="447" t="str">
        <f t="shared" ca="1" si="19"/>
        <v/>
      </c>
      <c r="Z227" s="79"/>
    </row>
    <row r="228" spans="1:26" customFormat="1" ht="15">
      <c r="A228" s="231"/>
      <c r="B228" s="288">
        <v>190</v>
      </c>
      <c r="C228" s="260"/>
      <c r="D228" s="261"/>
      <c r="E228" s="252"/>
      <c r="F228" s="237"/>
      <c r="G228" s="244"/>
      <c r="H228" s="398">
        <v>214</v>
      </c>
      <c r="I228" s="417"/>
      <c r="J228" s="417"/>
      <c r="K228" s="426"/>
      <c r="L228" s="426"/>
      <c r="M228" s="426"/>
      <c r="N228" s="426"/>
      <c r="O228" s="465"/>
      <c r="P228" s="442" t="str" cm="1">
        <f t="array" aca="1" ref="P228" ca="1">IF(AND($Q$12,B252&lt;=$C$17,C252&lt;&gt;""),TRANSPOSE(INDEX(GetCDS(C252,$C$6,G252/10000,F252,D252,$C$13,$C$14,$C$15,$C$8,,,TRUE,TRUE,FALSE,$C$29:$C$31,$C$33),{1;2;3;4;5})),"")</f>
        <v/>
      </c>
      <c r="Q228" s="443"/>
      <c r="R228" s="443"/>
      <c r="S228" s="444"/>
      <c r="T228" s="445"/>
      <c r="U228" s="446" t="str">
        <f t="shared" ca="1" si="15"/>
        <v/>
      </c>
      <c r="V228" s="447" t="str">
        <f t="shared" ca="1" si="16"/>
        <v/>
      </c>
      <c r="W228" s="446" t="str">
        <f t="shared" ca="1" si="17"/>
        <v/>
      </c>
      <c r="X228" s="448" t="str">
        <f t="shared" ca="1" si="18"/>
        <v/>
      </c>
      <c r="Y228" s="447" t="str">
        <f t="shared" ca="1" si="19"/>
        <v/>
      </c>
      <c r="Z228" s="79"/>
    </row>
    <row r="229" spans="1:26" customFormat="1" ht="15">
      <c r="A229" s="231"/>
      <c r="B229" s="288">
        <v>191</v>
      </c>
      <c r="C229" s="260"/>
      <c r="D229" s="261"/>
      <c r="E229" s="252"/>
      <c r="F229" s="237"/>
      <c r="G229" s="244"/>
      <c r="H229" s="398">
        <v>215</v>
      </c>
      <c r="I229" s="417"/>
      <c r="J229" s="417"/>
      <c r="K229" s="426"/>
      <c r="L229" s="426"/>
      <c r="M229" s="426"/>
      <c r="N229" s="426"/>
      <c r="O229" s="465"/>
      <c r="P229" s="442" t="str" cm="1">
        <f t="array" aca="1" ref="P229" ca="1">IF(AND($Q$12,B253&lt;=$C$17,C253&lt;&gt;""),TRANSPOSE(INDEX(GetCDS(C253,$C$6,G253/10000,F253,D253,$C$13,$C$14,$C$15,$C$8,,,TRUE,TRUE,FALSE,$C$29:$C$31,$C$33),{1;2;3;4;5})),"")</f>
        <v/>
      </c>
      <c r="Q229" s="443"/>
      <c r="R229" s="443"/>
      <c r="S229" s="444"/>
      <c r="T229" s="445"/>
      <c r="U229" s="446" t="str">
        <f t="shared" ca="1" si="15"/>
        <v/>
      </c>
      <c r="V229" s="447" t="str">
        <f t="shared" ca="1" si="16"/>
        <v/>
      </c>
      <c r="W229" s="446" t="str">
        <f t="shared" ca="1" si="17"/>
        <v/>
      </c>
      <c r="X229" s="448" t="str">
        <f t="shared" ca="1" si="18"/>
        <v/>
      </c>
      <c r="Y229" s="447" t="str">
        <f t="shared" ca="1" si="19"/>
        <v/>
      </c>
      <c r="Z229" s="79"/>
    </row>
    <row r="230" spans="1:26" customFormat="1" ht="15">
      <c r="A230" s="231"/>
      <c r="B230" s="288">
        <v>192</v>
      </c>
      <c r="C230" s="260"/>
      <c r="D230" s="261"/>
      <c r="E230" s="252"/>
      <c r="F230" s="237"/>
      <c r="G230" s="244"/>
      <c r="H230" s="398">
        <v>216</v>
      </c>
      <c r="I230" s="417"/>
      <c r="J230" s="417"/>
      <c r="K230" s="426"/>
      <c r="L230" s="426"/>
      <c r="M230" s="426"/>
      <c r="N230" s="426"/>
      <c r="O230" s="465"/>
      <c r="P230" s="442" t="str" cm="1">
        <f t="array" aca="1" ref="P230" ca="1">IF(AND($Q$12,B254&lt;=$C$17,C254&lt;&gt;""),TRANSPOSE(INDEX(GetCDS(C254,$C$6,G254/10000,F254,D254,$C$13,$C$14,$C$15,$C$8,,,TRUE,TRUE,FALSE,$C$29:$C$31,$C$33),{1;2;3;4;5})),"")</f>
        <v/>
      </c>
      <c r="Q230" s="443"/>
      <c r="R230" s="443"/>
      <c r="S230" s="444"/>
      <c r="T230" s="445"/>
      <c r="U230" s="446" t="str">
        <f t="shared" ca="1" si="15"/>
        <v/>
      </c>
      <c r="V230" s="447" t="str">
        <f t="shared" ca="1" si="16"/>
        <v/>
      </c>
      <c r="W230" s="446" t="str">
        <f t="shared" ca="1" si="17"/>
        <v/>
      </c>
      <c r="X230" s="448" t="str">
        <f t="shared" ca="1" si="18"/>
        <v/>
      </c>
      <c r="Y230" s="447" t="str">
        <f t="shared" ca="1" si="19"/>
        <v/>
      </c>
      <c r="Z230" s="79"/>
    </row>
    <row r="231" spans="1:26" customFormat="1" ht="15">
      <c r="A231" s="231"/>
      <c r="B231" s="288">
        <v>193</v>
      </c>
      <c r="C231" s="260"/>
      <c r="D231" s="261"/>
      <c r="E231" s="252"/>
      <c r="F231" s="237"/>
      <c r="G231" s="244"/>
      <c r="H231" s="398">
        <v>217</v>
      </c>
      <c r="I231" s="417"/>
      <c r="J231" s="417"/>
      <c r="K231" s="426"/>
      <c r="L231" s="426"/>
      <c r="M231" s="426"/>
      <c r="N231" s="426"/>
      <c r="O231" s="465"/>
      <c r="P231" s="442" t="str" cm="1">
        <f t="array" aca="1" ref="P231" ca="1">IF(AND($Q$12,B255&lt;=$C$17,C255&lt;&gt;""),TRANSPOSE(INDEX(GetCDS(C255,$C$6,G255/10000,F255,D255,$C$13,$C$14,$C$15,$C$8,,,TRUE,TRUE,FALSE,$C$29:$C$31,$C$33),{1;2;3;4;5})),"")</f>
        <v/>
      </c>
      <c r="Q231" s="443"/>
      <c r="R231" s="443"/>
      <c r="S231" s="444"/>
      <c r="T231" s="445"/>
      <c r="U231" s="446" t="str">
        <f t="shared" ca="1" si="15"/>
        <v/>
      </c>
      <c r="V231" s="447" t="str">
        <f t="shared" ca="1" si="16"/>
        <v/>
      </c>
      <c r="W231" s="446" t="str">
        <f t="shared" ca="1" si="17"/>
        <v/>
      </c>
      <c r="X231" s="448" t="str">
        <f t="shared" ca="1" si="18"/>
        <v/>
      </c>
      <c r="Y231" s="447" t="str">
        <f t="shared" ca="1" si="19"/>
        <v/>
      </c>
      <c r="Z231" s="79"/>
    </row>
    <row r="232" spans="1:26" customFormat="1" ht="15">
      <c r="A232" s="231"/>
      <c r="B232" s="288">
        <v>194</v>
      </c>
      <c r="C232" s="260"/>
      <c r="D232" s="261"/>
      <c r="E232" s="252"/>
      <c r="F232" s="237"/>
      <c r="G232" s="244"/>
      <c r="H232" s="398">
        <v>218</v>
      </c>
      <c r="I232" s="417"/>
      <c r="J232" s="417"/>
      <c r="K232" s="426"/>
      <c r="L232" s="426"/>
      <c r="M232" s="426"/>
      <c r="N232" s="426"/>
      <c r="O232" s="465"/>
      <c r="P232" s="442" t="str" cm="1">
        <f t="array" aca="1" ref="P232" ca="1">IF(AND($Q$12,B256&lt;=$C$17,C256&lt;&gt;""),TRANSPOSE(INDEX(GetCDS(C256,$C$6,G256/10000,F256,D256,$C$13,$C$14,$C$15,$C$8,,,TRUE,TRUE,FALSE,$C$29:$C$31,$C$33),{1;2;3;4;5})),"")</f>
        <v/>
      </c>
      <c r="Q232" s="443"/>
      <c r="R232" s="443"/>
      <c r="S232" s="444"/>
      <c r="T232" s="445"/>
      <c r="U232" s="446" t="str">
        <f t="shared" ca="1" si="15"/>
        <v/>
      </c>
      <c r="V232" s="447" t="str">
        <f t="shared" ca="1" si="16"/>
        <v/>
      </c>
      <c r="W232" s="446" t="str">
        <f t="shared" ca="1" si="17"/>
        <v/>
      </c>
      <c r="X232" s="448" t="str">
        <f t="shared" ca="1" si="18"/>
        <v/>
      </c>
      <c r="Y232" s="447" t="str">
        <f t="shared" ca="1" si="19"/>
        <v/>
      </c>
      <c r="Z232" s="79"/>
    </row>
    <row r="233" spans="1:26" customFormat="1" ht="15">
      <c r="A233" s="231"/>
      <c r="B233" s="288">
        <v>195</v>
      </c>
      <c r="C233" s="260"/>
      <c r="D233" s="261"/>
      <c r="E233" s="252"/>
      <c r="F233" s="237"/>
      <c r="G233" s="244"/>
      <c r="H233" s="398">
        <v>219</v>
      </c>
      <c r="I233" s="417"/>
      <c r="J233" s="417"/>
      <c r="K233" s="426"/>
      <c r="L233" s="426"/>
      <c r="M233" s="426"/>
      <c r="N233" s="426"/>
      <c r="O233" s="465"/>
      <c r="P233" s="442" t="str" cm="1">
        <f t="array" aca="1" ref="P233" ca="1">IF(AND($Q$12,B257&lt;=$C$17,C257&lt;&gt;""),TRANSPOSE(INDEX(GetCDS(C257,$C$6,G257/10000,F257,D257,$C$13,$C$14,$C$15,$C$8,,,TRUE,TRUE,FALSE,$C$29:$C$31,$C$33),{1;2;3;4;5})),"")</f>
        <v/>
      </c>
      <c r="Q233" s="443"/>
      <c r="R233" s="443"/>
      <c r="S233" s="444"/>
      <c r="T233" s="445"/>
      <c r="U233" s="446" t="str">
        <f t="shared" ca="1" si="15"/>
        <v/>
      </c>
      <c r="V233" s="447" t="str">
        <f t="shared" ca="1" si="16"/>
        <v/>
      </c>
      <c r="W233" s="446" t="str">
        <f t="shared" ca="1" si="17"/>
        <v/>
      </c>
      <c r="X233" s="448" t="str">
        <f t="shared" ca="1" si="18"/>
        <v/>
      </c>
      <c r="Y233" s="447" t="str">
        <f t="shared" ca="1" si="19"/>
        <v/>
      </c>
      <c r="Z233" s="79"/>
    </row>
    <row r="234" spans="1:26" customFormat="1" ht="15">
      <c r="A234" s="231"/>
      <c r="B234" s="288">
        <v>196</v>
      </c>
      <c r="C234" s="260"/>
      <c r="D234" s="261"/>
      <c r="E234" s="252"/>
      <c r="F234" s="237"/>
      <c r="G234" s="244"/>
      <c r="H234" s="398">
        <v>220</v>
      </c>
      <c r="I234" s="417"/>
      <c r="J234" s="417"/>
      <c r="K234" s="426"/>
      <c r="L234" s="426"/>
      <c r="M234" s="426"/>
      <c r="N234" s="426"/>
      <c r="O234" s="465"/>
      <c r="P234" s="442" t="str" cm="1">
        <f t="array" aca="1" ref="P234" ca="1">IF(AND($Q$12,B258&lt;=$C$17,C258&lt;&gt;""),TRANSPOSE(INDEX(GetCDS(C258,$C$6,G258/10000,F258,D258,$C$13,$C$14,$C$15,$C$8,,,TRUE,TRUE,FALSE,$C$29:$C$31,$C$33),{1;2;3;4;5})),"")</f>
        <v/>
      </c>
      <c r="Q234" s="443"/>
      <c r="R234" s="443"/>
      <c r="S234" s="444"/>
      <c r="T234" s="445"/>
      <c r="U234" s="446" t="str">
        <f t="shared" ca="1" si="15"/>
        <v/>
      </c>
      <c r="V234" s="447" t="str">
        <f t="shared" ca="1" si="16"/>
        <v/>
      </c>
      <c r="W234" s="446" t="str">
        <f t="shared" ca="1" si="17"/>
        <v/>
      </c>
      <c r="X234" s="448" t="str">
        <f t="shared" ca="1" si="18"/>
        <v/>
      </c>
      <c r="Y234" s="447" t="str">
        <f t="shared" ca="1" si="19"/>
        <v/>
      </c>
      <c r="Z234" s="79"/>
    </row>
    <row r="235" spans="1:26" customFormat="1" ht="15">
      <c r="A235" s="231"/>
      <c r="B235" s="288">
        <v>197</v>
      </c>
      <c r="C235" s="260"/>
      <c r="D235" s="261"/>
      <c r="E235" s="252"/>
      <c r="F235" s="237"/>
      <c r="G235" s="244"/>
      <c r="H235" s="398">
        <v>221</v>
      </c>
      <c r="I235" s="417"/>
      <c r="J235" s="417"/>
      <c r="K235" s="426"/>
      <c r="L235" s="426"/>
      <c r="M235" s="426"/>
      <c r="N235" s="426"/>
      <c r="O235" s="465"/>
      <c r="P235" s="442" t="str" cm="1">
        <f t="array" aca="1" ref="P235" ca="1">IF(AND($Q$12,B259&lt;=$C$17,C259&lt;&gt;""),TRANSPOSE(INDEX(GetCDS(C259,$C$6,G259/10000,F259,D259,$C$13,$C$14,$C$15,$C$8,,,TRUE,TRUE,FALSE,$C$29:$C$31,$C$33),{1;2;3;4;5})),"")</f>
        <v/>
      </c>
      <c r="Q235" s="443"/>
      <c r="R235" s="443"/>
      <c r="S235" s="444"/>
      <c r="T235" s="445"/>
      <c r="U235" s="446" t="str">
        <f t="shared" ca="1" si="15"/>
        <v/>
      </c>
      <c r="V235" s="447" t="str">
        <f t="shared" ca="1" si="16"/>
        <v/>
      </c>
      <c r="W235" s="446" t="str">
        <f t="shared" ca="1" si="17"/>
        <v/>
      </c>
      <c r="X235" s="448" t="str">
        <f t="shared" ca="1" si="18"/>
        <v/>
      </c>
      <c r="Y235" s="447" t="str">
        <f t="shared" ca="1" si="19"/>
        <v/>
      </c>
      <c r="Z235" s="79"/>
    </row>
    <row r="236" spans="1:26" customFormat="1" ht="15">
      <c r="A236" s="231"/>
      <c r="B236" s="288">
        <v>198</v>
      </c>
      <c r="C236" s="260"/>
      <c r="D236" s="261"/>
      <c r="E236" s="252"/>
      <c r="F236" s="237"/>
      <c r="G236" s="244"/>
      <c r="H236" s="398">
        <v>222</v>
      </c>
      <c r="I236" s="417"/>
      <c r="J236" s="417"/>
      <c r="K236" s="426"/>
      <c r="L236" s="426"/>
      <c r="M236" s="426"/>
      <c r="N236" s="426"/>
      <c r="O236" s="465"/>
      <c r="P236" s="442" t="str" cm="1">
        <f t="array" aca="1" ref="P236" ca="1">IF(AND($Q$12,B260&lt;=$C$17,C260&lt;&gt;""),TRANSPOSE(INDEX(GetCDS(C260,$C$6,G260/10000,F260,D260,$C$13,$C$14,$C$15,$C$8,,,TRUE,TRUE,FALSE,$C$29:$C$31,$C$33),{1;2;3;4;5})),"")</f>
        <v/>
      </c>
      <c r="Q236" s="443"/>
      <c r="R236" s="443"/>
      <c r="S236" s="444"/>
      <c r="T236" s="445"/>
      <c r="U236" s="446" t="str">
        <f t="shared" ca="1" si="15"/>
        <v/>
      </c>
      <c r="V236" s="447" t="str">
        <f t="shared" ca="1" si="16"/>
        <v/>
      </c>
      <c r="W236" s="446" t="str">
        <f t="shared" ca="1" si="17"/>
        <v/>
      </c>
      <c r="X236" s="448" t="str">
        <f t="shared" ca="1" si="18"/>
        <v/>
      </c>
      <c r="Y236" s="447" t="str">
        <f t="shared" ca="1" si="19"/>
        <v/>
      </c>
      <c r="Z236" s="79"/>
    </row>
    <row r="237" spans="1:26" customFormat="1" ht="15">
      <c r="A237" s="231"/>
      <c r="B237" s="288">
        <v>199</v>
      </c>
      <c r="C237" s="260"/>
      <c r="D237" s="261"/>
      <c r="E237" s="252"/>
      <c r="F237" s="237"/>
      <c r="G237" s="244"/>
      <c r="H237" s="398">
        <v>223</v>
      </c>
      <c r="I237" s="417"/>
      <c r="J237" s="417"/>
      <c r="K237" s="426"/>
      <c r="L237" s="426"/>
      <c r="M237" s="426"/>
      <c r="N237" s="426"/>
      <c r="O237" s="465"/>
      <c r="P237" s="442" t="str" cm="1">
        <f t="array" aca="1" ref="P237" ca="1">IF(AND($Q$12,B261&lt;=$C$17,C261&lt;&gt;""),TRANSPOSE(INDEX(GetCDS(C261,$C$6,G261/10000,F261,D261,$C$13,$C$14,$C$15,$C$8,,,TRUE,TRUE,FALSE,$C$29:$C$31,$C$33),{1;2;3;4;5})),"")</f>
        <v/>
      </c>
      <c r="Q237" s="443"/>
      <c r="R237" s="443"/>
      <c r="S237" s="444"/>
      <c r="T237" s="445"/>
      <c r="U237" s="446" t="str">
        <f t="shared" ca="1" si="15"/>
        <v/>
      </c>
      <c r="V237" s="447" t="str">
        <f t="shared" ca="1" si="16"/>
        <v/>
      </c>
      <c r="W237" s="446" t="str">
        <f t="shared" ca="1" si="17"/>
        <v/>
      </c>
      <c r="X237" s="448" t="str">
        <f t="shared" ca="1" si="18"/>
        <v/>
      </c>
      <c r="Y237" s="447" t="str">
        <f t="shared" ca="1" si="19"/>
        <v/>
      </c>
      <c r="Z237" s="79"/>
    </row>
    <row r="238" spans="1:26" customFormat="1" ht="15">
      <c r="A238" s="231"/>
      <c r="B238" s="288">
        <v>200</v>
      </c>
      <c r="C238" s="260"/>
      <c r="D238" s="261"/>
      <c r="E238" s="252"/>
      <c r="F238" s="237"/>
      <c r="G238" s="244"/>
      <c r="H238" s="398">
        <v>224</v>
      </c>
      <c r="I238" s="417"/>
      <c r="J238" s="417"/>
      <c r="K238" s="426"/>
      <c r="L238" s="426"/>
      <c r="M238" s="426"/>
      <c r="N238" s="426"/>
      <c r="O238" s="465"/>
      <c r="P238" s="442" t="str" cm="1">
        <f t="array" aca="1" ref="P238" ca="1">IF(AND($Q$12,B262&lt;=$C$17,C262&lt;&gt;""),TRANSPOSE(INDEX(GetCDS(C262,$C$6,G262/10000,F262,D262,$C$13,$C$14,$C$15,$C$8,,,TRUE,TRUE,FALSE,$C$29:$C$31,$C$33),{1;2;3;4;5})),"")</f>
        <v/>
      </c>
      <c r="Q238" s="443"/>
      <c r="R238" s="443"/>
      <c r="S238" s="444"/>
      <c r="T238" s="445"/>
      <c r="U238" s="446" t="str">
        <f t="shared" ca="1" si="15"/>
        <v/>
      </c>
      <c r="V238" s="447" t="str">
        <f t="shared" ca="1" si="16"/>
        <v/>
      </c>
      <c r="W238" s="446" t="str">
        <f t="shared" ca="1" si="17"/>
        <v/>
      </c>
      <c r="X238" s="448" t="str">
        <f t="shared" ca="1" si="18"/>
        <v/>
      </c>
      <c r="Y238" s="447" t="str">
        <f t="shared" ca="1" si="19"/>
        <v/>
      </c>
      <c r="Z238" s="79"/>
    </row>
    <row r="239" spans="1:26" customFormat="1" ht="15">
      <c r="A239" s="231"/>
      <c r="B239" s="288">
        <v>201</v>
      </c>
      <c r="C239" s="260"/>
      <c r="D239" s="261"/>
      <c r="E239" s="252"/>
      <c r="F239" s="237"/>
      <c r="G239" s="244"/>
      <c r="H239" s="398">
        <v>225</v>
      </c>
      <c r="I239" s="417"/>
      <c r="J239" s="417"/>
      <c r="K239" s="426"/>
      <c r="L239" s="426"/>
      <c r="M239" s="426"/>
      <c r="N239" s="426"/>
      <c r="O239" s="465"/>
      <c r="P239" s="442" t="str" cm="1">
        <f t="array" aca="1" ref="P239" ca="1">IF(AND($Q$12,B263&lt;=$C$17,C263&lt;&gt;""),TRANSPOSE(INDEX(GetCDS(C263,$C$6,G263/10000,F263,D263,$C$13,$C$14,$C$15,$C$8,,,TRUE,TRUE,FALSE,$C$29:$C$31,$C$33),{1;2;3;4;5})),"")</f>
        <v/>
      </c>
      <c r="Q239" s="443"/>
      <c r="R239" s="443"/>
      <c r="S239" s="444"/>
      <c r="T239" s="445"/>
      <c r="U239" s="446" t="str">
        <f t="shared" ca="1" si="15"/>
        <v/>
      </c>
      <c r="V239" s="447" t="str">
        <f t="shared" ca="1" si="16"/>
        <v/>
      </c>
      <c r="W239" s="446" t="str">
        <f t="shared" ca="1" si="17"/>
        <v/>
      </c>
      <c r="X239" s="448" t="str">
        <f t="shared" ca="1" si="18"/>
        <v/>
      </c>
      <c r="Y239" s="447" t="str">
        <f t="shared" ca="1" si="19"/>
        <v/>
      </c>
      <c r="Z239" s="79"/>
    </row>
    <row r="240" spans="1:26" customFormat="1" ht="15">
      <c r="A240" s="231"/>
      <c r="B240" s="288">
        <v>202</v>
      </c>
      <c r="C240" s="260"/>
      <c r="D240" s="261"/>
      <c r="E240" s="252"/>
      <c r="F240" s="237"/>
      <c r="G240" s="244"/>
      <c r="H240" s="398">
        <v>226</v>
      </c>
      <c r="I240" s="417"/>
      <c r="J240" s="417"/>
      <c r="K240" s="426"/>
      <c r="L240" s="426"/>
      <c r="M240" s="426"/>
      <c r="N240" s="426"/>
      <c r="O240" s="465"/>
      <c r="P240" s="442" t="str" cm="1">
        <f t="array" aca="1" ref="P240" ca="1">IF(AND($Q$12,B264&lt;=$C$17,C264&lt;&gt;""),TRANSPOSE(INDEX(GetCDS(C264,$C$6,G264/10000,F264,D264,$C$13,$C$14,$C$15,$C$8,,,TRUE,TRUE,FALSE,$C$29:$C$31,$C$33),{1;2;3;4;5})),"")</f>
        <v/>
      </c>
      <c r="Q240" s="443"/>
      <c r="R240" s="443"/>
      <c r="S240" s="444"/>
      <c r="T240" s="445"/>
      <c r="U240" s="446" t="str">
        <f t="shared" ca="1" si="15"/>
        <v/>
      </c>
      <c r="V240" s="447" t="str">
        <f t="shared" ca="1" si="16"/>
        <v/>
      </c>
      <c r="W240" s="446" t="str">
        <f t="shared" ca="1" si="17"/>
        <v/>
      </c>
      <c r="X240" s="448" t="str">
        <f t="shared" ca="1" si="18"/>
        <v/>
      </c>
      <c r="Y240" s="447" t="str">
        <f t="shared" ca="1" si="19"/>
        <v/>
      </c>
      <c r="Z240" s="79"/>
    </row>
    <row r="241" spans="1:26" customFormat="1" ht="15">
      <c r="A241" s="231"/>
      <c r="B241" s="288">
        <v>203</v>
      </c>
      <c r="C241" s="260"/>
      <c r="D241" s="261"/>
      <c r="E241" s="252"/>
      <c r="F241" s="237"/>
      <c r="G241" s="244"/>
      <c r="H241" s="398">
        <v>227</v>
      </c>
      <c r="I241" s="417"/>
      <c r="J241" s="417"/>
      <c r="K241" s="426"/>
      <c r="L241" s="426"/>
      <c r="M241" s="426"/>
      <c r="N241" s="426"/>
      <c r="O241" s="465"/>
      <c r="P241" s="442" t="str" cm="1">
        <f t="array" aca="1" ref="P241" ca="1">IF(AND($Q$12,B265&lt;=$C$17,C265&lt;&gt;""),TRANSPOSE(INDEX(GetCDS(C265,$C$6,G265/10000,F265,D265,$C$13,$C$14,$C$15,$C$8,,,TRUE,TRUE,FALSE,$C$29:$C$31,$C$33),{1;2;3;4;5})),"")</f>
        <v/>
      </c>
      <c r="Q241" s="443"/>
      <c r="R241" s="443"/>
      <c r="S241" s="444"/>
      <c r="T241" s="445"/>
      <c r="U241" s="446" t="str">
        <f t="shared" ca="1" si="15"/>
        <v/>
      </c>
      <c r="V241" s="447" t="str">
        <f t="shared" ca="1" si="16"/>
        <v/>
      </c>
      <c r="W241" s="446" t="str">
        <f t="shared" ca="1" si="17"/>
        <v/>
      </c>
      <c r="X241" s="448" t="str">
        <f t="shared" ca="1" si="18"/>
        <v/>
      </c>
      <c r="Y241" s="447" t="str">
        <f t="shared" ca="1" si="19"/>
        <v/>
      </c>
      <c r="Z241" s="79"/>
    </row>
    <row r="242" spans="1:26" customFormat="1" ht="15">
      <c r="A242" s="231"/>
      <c r="B242" s="288">
        <v>204</v>
      </c>
      <c r="C242" s="260"/>
      <c r="D242" s="261"/>
      <c r="E242" s="252"/>
      <c r="F242" s="237"/>
      <c r="G242" s="244"/>
      <c r="H242" s="398">
        <v>228</v>
      </c>
      <c r="I242" s="417"/>
      <c r="J242" s="417"/>
      <c r="K242" s="426"/>
      <c r="L242" s="426"/>
      <c r="M242" s="426"/>
      <c r="N242" s="426"/>
      <c r="O242" s="465"/>
      <c r="P242" s="442" t="str" cm="1">
        <f t="array" aca="1" ref="P242" ca="1">IF(AND($Q$12,B266&lt;=$C$17,C266&lt;&gt;""),TRANSPOSE(INDEX(GetCDS(C266,$C$6,G266/10000,F266,D266,$C$13,$C$14,$C$15,$C$8,,,TRUE,TRUE,FALSE,$C$29:$C$31,$C$33),{1;2;3;4;5})),"")</f>
        <v/>
      </c>
      <c r="Q242" s="443"/>
      <c r="R242" s="443"/>
      <c r="S242" s="444"/>
      <c r="T242" s="445"/>
      <c r="U242" s="446" t="str">
        <f t="shared" ca="1" si="15"/>
        <v/>
      </c>
      <c r="V242" s="447" t="str">
        <f t="shared" ca="1" si="16"/>
        <v/>
      </c>
      <c r="W242" s="446" t="str">
        <f t="shared" ca="1" si="17"/>
        <v/>
      </c>
      <c r="X242" s="448" t="str">
        <f t="shared" ca="1" si="18"/>
        <v/>
      </c>
      <c r="Y242" s="447" t="str">
        <f t="shared" ca="1" si="19"/>
        <v/>
      </c>
      <c r="Z242" s="79"/>
    </row>
    <row r="243" spans="1:26" customFormat="1" ht="15">
      <c r="A243" s="231"/>
      <c r="B243" s="288">
        <v>205</v>
      </c>
      <c r="C243" s="260"/>
      <c r="D243" s="261"/>
      <c r="E243" s="252"/>
      <c r="F243" s="237"/>
      <c r="G243" s="244"/>
      <c r="H243" s="398">
        <v>229</v>
      </c>
      <c r="I243" s="417"/>
      <c r="J243" s="417"/>
      <c r="K243" s="426"/>
      <c r="L243" s="426"/>
      <c r="M243" s="426"/>
      <c r="N243" s="426"/>
      <c r="O243" s="465"/>
      <c r="P243" s="442" t="str" cm="1">
        <f t="array" aca="1" ref="P243" ca="1">IF(AND($Q$12,B267&lt;=$C$17,C267&lt;&gt;""),TRANSPOSE(INDEX(GetCDS(C267,$C$6,G267/10000,F267,D267,$C$13,$C$14,$C$15,$C$8,,,TRUE,TRUE,FALSE,$C$29:$C$31,$C$33),{1;2;3;4;5})),"")</f>
        <v/>
      </c>
      <c r="Q243" s="443"/>
      <c r="R243" s="443"/>
      <c r="S243" s="444"/>
      <c r="T243" s="445"/>
      <c r="U243" s="446" t="str">
        <f t="shared" ca="1" si="15"/>
        <v/>
      </c>
      <c r="V243" s="447" t="str">
        <f t="shared" ca="1" si="16"/>
        <v/>
      </c>
      <c r="W243" s="446" t="str">
        <f t="shared" ca="1" si="17"/>
        <v/>
      </c>
      <c r="X243" s="448" t="str">
        <f t="shared" ca="1" si="18"/>
        <v/>
      </c>
      <c r="Y243" s="447" t="str">
        <f t="shared" ca="1" si="19"/>
        <v/>
      </c>
      <c r="Z243" s="79"/>
    </row>
    <row r="244" spans="1:26" customFormat="1" ht="15">
      <c r="A244" s="231"/>
      <c r="B244" s="288">
        <v>206</v>
      </c>
      <c r="C244" s="260"/>
      <c r="D244" s="261"/>
      <c r="E244" s="252"/>
      <c r="F244" s="237"/>
      <c r="G244" s="244"/>
      <c r="H244" s="398">
        <v>230</v>
      </c>
      <c r="I244" s="417"/>
      <c r="J244" s="417"/>
      <c r="K244" s="426"/>
      <c r="L244" s="426"/>
      <c r="M244" s="426"/>
      <c r="N244" s="426"/>
      <c r="O244" s="465"/>
      <c r="P244" s="442" t="str" cm="1">
        <f t="array" aca="1" ref="P244" ca="1">IF(AND($Q$12,B268&lt;=$C$17,C268&lt;&gt;""),TRANSPOSE(INDEX(GetCDS(C268,$C$6,G268/10000,F268,D268,$C$13,$C$14,$C$15,$C$8,,,TRUE,TRUE,FALSE,$C$29:$C$31,$C$33),{1;2;3;4;5})),"")</f>
        <v/>
      </c>
      <c r="Q244" s="443"/>
      <c r="R244" s="443"/>
      <c r="S244" s="444"/>
      <c r="T244" s="445"/>
      <c r="U244" s="446" t="str">
        <f t="shared" ca="1" si="15"/>
        <v/>
      </c>
      <c r="V244" s="447" t="str">
        <f t="shared" ca="1" si="16"/>
        <v/>
      </c>
      <c r="W244" s="446" t="str">
        <f t="shared" ca="1" si="17"/>
        <v/>
      </c>
      <c r="X244" s="448" t="str">
        <f t="shared" ca="1" si="18"/>
        <v/>
      </c>
      <c r="Y244" s="447" t="str">
        <f t="shared" ca="1" si="19"/>
        <v/>
      </c>
      <c r="Z244" s="79"/>
    </row>
    <row r="245" spans="1:26" customFormat="1" ht="15">
      <c r="A245" s="231"/>
      <c r="B245" s="288">
        <v>207</v>
      </c>
      <c r="C245" s="260"/>
      <c r="D245" s="261"/>
      <c r="E245" s="252"/>
      <c r="F245" s="237"/>
      <c r="G245" s="244"/>
      <c r="H245" s="398">
        <v>231</v>
      </c>
      <c r="I245" s="417"/>
      <c r="J245" s="417"/>
      <c r="K245" s="426"/>
      <c r="L245" s="426"/>
      <c r="M245" s="426"/>
      <c r="N245" s="426"/>
      <c r="O245" s="465"/>
      <c r="P245" s="442" t="str" cm="1">
        <f t="array" aca="1" ref="P245" ca="1">IF(AND($Q$12,B269&lt;=$C$17,C269&lt;&gt;""),TRANSPOSE(INDEX(GetCDS(C269,$C$6,G269/10000,F269,D269,$C$13,$C$14,$C$15,$C$8,,,TRUE,TRUE,FALSE,$C$29:$C$31,$C$33),{1;2;3;4;5})),"")</f>
        <v/>
      </c>
      <c r="Q245" s="443"/>
      <c r="R245" s="443"/>
      <c r="S245" s="444"/>
      <c r="T245" s="445"/>
      <c r="U245" s="446" t="str">
        <f t="shared" ca="1" si="15"/>
        <v/>
      </c>
      <c r="V245" s="447" t="str">
        <f t="shared" ca="1" si="16"/>
        <v/>
      </c>
      <c r="W245" s="446" t="str">
        <f t="shared" ca="1" si="17"/>
        <v/>
      </c>
      <c r="X245" s="448" t="str">
        <f t="shared" ca="1" si="18"/>
        <v/>
      </c>
      <c r="Y245" s="447" t="str">
        <f t="shared" ca="1" si="19"/>
        <v/>
      </c>
      <c r="Z245" s="79"/>
    </row>
    <row r="246" spans="1:26" customFormat="1" ht="15">
      <c r="A246" s="231"/>
      <c r="B246" s="288">
        <v>208</v>
      </c>
      <c r="C246" s="260"/>
      <c r="D246" s="261"/>
      <c r="E246" s="252"/>
      <c r="F246" s="237"/>
      <c r="G246" s="244"/>
      <c r="H246" s="398">
        <v>232</v>
      </c>
      <c r="I246" s="417"/>
      <c r="J246" s="417"/>
      <c r="K246" s="426"/>
      <c r="L246" s="426"/>
      <c r="M246" s="426"/>
      <c r="N246" s="426"/>
      <c r="O246" s="465"/>
      <c r="P246" s="442" t="str" cm="1">
        <f t="array" aca="1" ref="P246" ca="1">IF(AND($Q$12,B270&lt;=$C$17,C270&lt;&gt;""),TRANSPOSE(INDEX(GetCDS(C270,$C$6,G270/10000,F270,D270,$C$13,$C$14,$C$15,$C$8,,,TRUE,TRUE,FALSE,$C$29:$C$31,$C$33),{1;2;3;4;5})),"")</f>
        <v/>
      </c>
      <c r="Q246" s="443"/>
      <c r="R246" s="443"/>
      <c r="S246" s="444"/>
      <c r="T246" s="445"/>
      <c r="U246" s="446" t="str">
        <f t="shared" ca="1" si="15"/>
        <v/>
      </c>
      <c r="V246" s="447" t="str">
        <f t="shared" ca="1" si="16"/>
        <v/>
      </c>
      <c r="W246" s="446" t="str">
        <f t="shared" ca="1" si="17"/>
        <v/>
      </c>
      <c r="X246" s="448" t="str">
        <f t="shared" ca="1" si="18"/>
        <v/>
      </c>
      <c r="Y246" s="447" t="str">
        <f t="shared" ca="1" si="19"/>
        <v/>
      </c>
      <c r="Z246" s="79"/>
    </row>
    <row r="247" spans="1:26" customFormat="1" ht="15">
      <c r="A247" s="231"/>
      <c r="B247" s="288">
        <v>209</v>
      </c>
      <c r="C247" s="260"/>
      <c r="D247" s="261"/>
      <c r="E247" s="252"/>
      <c r="F247" s="237"/>
      <c r="G247" s="244"/>
      <c r="H247" s="398">
        <v>233</v>
      </c>
      <c r="I247" s="417"/>
      <c r="J247" s="417"/>
      <c r="K247" s="426"/>
      <c r="L247" s="426"/>
      <c r="M247" s="426"/>
      <c r="N247" s="426"/>
      <c r="O247" s="465"/>
      <c r="P247" s="442" t="str" cm="1">
        <f t="array" aca="1" ref="P247" ca="1">IF(AND($Q$12,B271&lt;=$C$17,C271&lt;&gt;""),TRANSPOSE(INDEX(GetCDS(C271,$C$6,G271/10000,F271,D271,$C$13,$C$14,$C$15,$C$8,,,TRUE,TRUE,FALSE,$C$29:$C$31,$C$33),{1;2;3;4;5})),"")</f>
        <v/>
      </c>
      <c r="Q247" s="443"/>
      <c r="R247" s="443"/>
      <c r="S247" s="444"/>
      <c r="T247" s="445"/>
      <c r="U247" s="446" t="str">
        <f t="shared" ca="1" si="15"/>
        <v/>
      </c>
      <c r="V247" s="447" t="str">
        <f t="shared" ca="1" si="16"/>
        <v/>
      </c>
      <c r="W247" s="446" t="str">
        <f t="shared" ca="1" si="17"/>
        <v/>
      </c>
      <c r="X247" s="448" t="str">
        <f t="shared" ca="1" si="18"/>
        <v/>
      </c>
      <c r="Y247" s="447" t="str">
        <f t="shared" ca="1" si="19"/>
        <v/>
      </c>
      <c r="Z247" s="79"/>
    </row>
    <row r="248" spans="1:26" customFormat="1" ht="15">
      <c r="A248" s="231"/>
      <c r="B248" s="288">
        <v>210</v>
      </c>
      <c r="C248" s="260"/>
      <c r="D248" s="261"/>
      <c r="E248" s="252"/>
      <c r="F248" s="237"/>
      <c r="G248" s="244"/>
      <c r="H248" s="398">
        <v>234</v>
      </c>
      <c r="I248" s="417"/>
      <c r="J248" s="417"/>
      <c r="K248" s="426"/>
      <c r="L248" s="426"/>
      <c r="M248" s="426"/>
      <c r="N248" s="426"/>
      <c r="O248" s="465"/>
      <c r="P248" s="442" t="str" cm="1">
        <f t="array" aca="1" ref="P248" ca="1">IF(AND($Q$12,B272&lt;=$C$17,C272&lt;&gt;""),TRANSPOSE(INDEX(GetCDS(C272,$C$6,G272/10000,F272,D272,$C$13,$C$14,$C$15,$C$8,,,TRUE,TRUE,FALSE,$C$29:$C$31,$C$33),{1;2;3;4;5})),"")</f>
        <v/>
      </c>
      <c r="Q248" s="443"/>
      <c r="R248" s="443"/>
      <c r="S248" s="444"/>
      <c r="T248" s="445"/>
      <c r="U248" s="446" t="str">
        <f t="shared" ca="1" si="15"/>
        <v/>
      </c>
      <c r="V248" s="447" t="str">
        <f t="shared" ca="1" si="16"/>
        <v/>
      </c>
      <c r="W248" s="446" t="str">
        <f t="shared" ca="1" si="17"/>
        <v/>
      </c>
      <c r="X248" s="448" t="str">
        <f t="shared" ca="1" si="18"/>
        <v/>
      </c>
      <c r="Y248" s="447" t="str">
        <f t="shared" ca="1" si="19"/>
        <v/>
      </c>
      <c r="Z248" s="79"/>
    </row>
    <row r="249" spans="1:26" customFormat="1" ht="15">
      <c r="A249" s="231"/>
      <c r="B249" s="288">
        <v>211</v>
      </c>
      <c r="C249" s="260"/>
      <c r="D249" s="261"/>
      <c r="E249" s="252"/>
      <c r="F249" s="237"/>
      <c r="G249" s="244"/>
      <c r="H249" s="398">
        <v>235</v>
      </c>
      <c r="I249" s="417"/>
      <c r="J249" s="417"/>
      <c r="K249" s="426"/>
      <c r="L249" s="426"/>
      <c r="M249" s="426"/>
      <c r="N249" s="426"/>
      <c r="O249" s="465"/>
      <c r="P249" s="442" t="str" cm="1">
        <f t="array" aca="1" ref="P249" ca="1">IF(AND($Q$12,B273&lt;=$C$17,C273&lt;&gt;""),TRANSPOSE(INDEX(GetCDS(C273,$C$6,G273/10000,F273,D273,$C$13,$C$14,$C$15,$C$8,,,TRUE,TRUE,FALSE,$C$29:$C$31,$C$33),{1;2;3;4;5})),"")</f>
        <v/>
      </c>
      <c r="Q249" s="443"/>
      <c r="R249" s="443"/>
      <c r="S249" s="444"/>
      <c r="T249" s="445"/>
      <c r="U249" s="446" t="str">
        <f t="shared" ca="1" si="15"/>
        <v/>
      </c>
      <c r="V249" s="447" t="str">
        <f t="shared" ca="1" si="16"/>
        <v/>
      </c>
      <c r="W249" s="446" t="str">
        <f t="shared" ca="1" si="17"/>
        <v/>
      </c>
      <c r="X249" s="448" t="str">
        <f t="shared" ca="1" si="18"/>
        <v/>
      </c>
      <c r="Y249" s="447" t="str">
        <f t="shared" ca="1" si="19"/>
        <v/>
      </c>
      <c r="Z249" s="79"/>
    </row>
    <row r="250" spans="1:26" customFormat="1" ht="15">
      <c r="A250" s="231"/>
      <c r="B250" s="288">
        <v>212</v>
      </c>
      <c r="C250" s="260"/>
      <c r="D250" s="261"/>
      <c r="E250" s="252"/>
      <c r="F250" s="237"/>
      <c r="G250" s="244"/>
      <c r="H250" s="398">
        <v>236</v>
      </c>
      <c r="I250" s="417"/>
      <c r="J250" s="417"/>
      <c r="K250" s="426"/>
      <c r="L250" s="426"/>
      <c r="M250" s="426"/>
      <c r="N250" s="426"/>
      <c r="O250" s="465"/>
      <c r="P250" s="442" t="str" cm="1">
        <f t="array" aca="1" ref="P250" ca="1">IF(AND($Q$12,B274&lt;=$C$17,C274&lt;&gt;""),TRANSPOSE(INDEX(GetCDS(C274,$C$6,G274/10000,F274,D274,$C$13,$C$14,$C$15,$C$8,,,TRUE,TRUE,FALSE,$C$29:$C$31,$C$33),{1;2;3;4;5})),"")</f>
        <v/>
      </c>
      <c r="Q250" s="443"/>
      <c r="R250" s="443"/>
      <c r="S250" s="444"/>
      <c r="T250" s="445"/>
      <c r="U250" s="446" t="str">
        <f t="shared" ca="1" si="15"/>
        <v/>
      </c>
      <c r="V250" s="447" t="str">
        <f t="shared" ca="1" si="16"/>
        <v/>
      </c>
      <c r="W250" s="446" t="str">
        <f t="shared" ca="1" si="17"/>
        <v/>
      </c>
      <c r="X250" s="448" t="str">
        <f t="shared" ca="1" si="18"/>
        <v/>
      </c>
      <c r="Y250" s="447" t="str">
        <f t="shared" ca="1" si="19"/>
        <v/>
      </c>
      <c r="Z250" s="79"/>
    </row>
    <row r="251" spans="1:26" customFormat="1" ht="15">
      <c r="A251" s="231"/>
      <c r="B251" s="288">
        <v>213</v>
      </c>
      <c r="C251" s="260"/>
      <c r="D251" s="261"/>
      <c r="E251" s="252"/>
      <c r="F251" s="237"/>
      <c r="G251" s="244"/>
      <c r="H251" s="398">
        <v>237</v>
      </c>
      <c r="I251" s="417"/>
      <c r="J251" s="417"/>
      <c r="K251" s="426"/>
      <c r="L251" s="426"/>
      <c r="M251" s="426"/>
      <c r="N251" s="426"/>
      <c r="O251" s="465"/>
      <c r="P251" s="442" t="str" cm="1">
        <f t="array" aca="1" ref="P251" ca="1">IF(AND($Q$12,B275&lt;=$C$17,C275&lt;&gt;""),TRANSPOSE(INDEX(GetCDS(C275,$C$6,G275/10000,F275,D275,$C$13,$C$14,$C$15,$C$8,,,TRUE,TRUE,FALSE,$C$29:$C$31,$C$33),{1;2;3;4;5})),"")</f>
        <v/>
      </c>
      <c r="Q251" s="443"/>
      <c r="R251" s="443"/>
      <c r="S251" s="444"/>
      <c r="T251" s="445"/>
      <c r="U251" s="446" t="str">
        <f t="shared" ca="1" si="15"/>
        <v/>
      </c>
      <c r="V251" s="447" t="str">
        <f t="shared" ca="1" si="16"/>
        <v/>
      </c>
      <c r="W251" s="446" t="str">
        <f t="shared" ca="1" si="17"/>
        <v/>
      </c>
      <c r="X251" s="448" t="str">
        <f t="shared" ca="1" si="18"/>
        <v/>
      </c>
      <c r="Y251" s="447" t="str">
        <f t="shared" ca="1" si="19"/>
        <v/>
      </c>
      <c r="Z251" s="79"/>
    </row>
    <row r="252" spans="1:26" customFormat="1" ht="15">
      <c r="A252" s="231"/>
      <c r="B252" s="288">
        <v>214</v>
      </c>
      <c r="C252" s="260"/>
      <c r="D252" s="261"/>
      <c r="E252" s="252"/>
      <c r="F252" s="237"/>
      <c r="G252" s="244"/>
      <c r="H252" s="398">
        <v>238</v>
      </c>
      <c r="I252" s="417"/>
      <c r="J252" s="417"/>
      <c r="K252" s="426"/>
      <c r="L252" s="426"/>
      <c r="M252" s="426"/>
      <c r="N252" s="426"/>
      <c r="O252" s="465"/>
      <c r="P252" s="442" t="str" cm="1">
        <f t="array" aca="1" ref="P252" ca="1">IF(AND($Q$12,B276&lt;=$C$17,C276&lt;&gt;""),TRANSPOSE(INDEX(GetCDS(C276,$C$6,G276/10000,F276,D276,$C$13,$C$14,$C$15,$C$8,,,TRUE,TRUE,FALSE,$C$29:$C$31,$C$33),{1;2;3;4;5})),"")</f>
        <v/>
      </c>
      <c r="Q252" s="443"/>
      <c r="R252" s="443"/>
      <c r="S252" s="444"/>
      <c r="T252" s="445"/>
      <c r="U252" s="446" t="str">
        <f t="shared" ca="1" si="15"/>
        <v/>
      </c>
      <c r="V252" s="447" t="str">
        <f t="shared" ca="1" si="16"/>
        <v/>
      </c>
      <c r="W252" s="446" t="str">
        <f t="shared" ca="1" si="17"/>
        <v/>
      </c>
      <c r="X252" s="448" t="str">
        <f t="shared" ca="1" si="18"/>
        <v/>
      </c>
      <c r="Y252" s="447" t="str">
        <f t="shared" ca="1" si="19"/>
        <v/>
      </c>
      <c r="Z252" s="79"/>
    </row>
    <row r="253" spans="1:26" customFormat="1" ht="15">
      <c r="A253" s="231"/>
      <c r="B253" s="288">
        <v>215</v>
      </c>
      <c r="C253" s="260"/>
      <c r="D253" s="261"/>
      <c r="E253" s="252"/>
      <c r="F253" s="237"/>
      <c r="G253" s="244"/>
      <c r="H253" s="398">
        <v>239</v>
      </c>
      <c r="I253" s="417"/>
      <c r="J253" s="417"/>
      <c r="K253" s="426"/>
      <c r="L253" s="426"/>
      <c r="M253" s="426"/>
      <c r="N253" s="426"/>
      <c r="O253" s="465"/>
      <c r="P253" s="442" t="str" cm="1">
        <f t="array" aca="1" ref="P253" ca="1">IF(AND($Q$12,B277&lt;=$C$17,C277&lt;&gt;""),TRANSPOSE(INDEX(GetCDS(C277,$C$6,G277/10000,F277,D277,$C$13,$C$14,$C$15,$C$8,,,TRUE,TRUE,FALSE,$C$29:$C$31,$C$33),{1;2;3;4;5})),"")</f>
        <v/>
      </c>
      <c r="Q253" s="443"/>
      <c r="R253" s="443"/>
      <c r="S253" s="444"/>
      <c r="T253" s="445"/>
      <c r="U253" s="446" t="str">
        <f t="shared" ca="1" si="15"/>
        <v/>
      </c>
      <c r="V253" s="447" t="str">
        <f t="shared" ca="1" si="16"/>
        <v/>
      </c>
      <c r="W253" s="446" t="str">
        <f t="shared" ca="1" si="17"/>
        <v/>
      </c>
      <c r="X253" s="448" t="str">
        <f t="shared" ca="1" si="18"/>
        <v/>
      </c>
      <c r="Y253" s="447" t="str">
        <f t="shared" ca="1" si="19"/>
        <v/>
      </c>
      <c r="Z253" s="79"/>
    </row>
    <row r="254" spans="1:26" customFormat="1" ht="15">
      <c r="A254" s="231"/>
      <c r="B254" s="288">
        <v>216</v>
      </c>
      <c r="C254" s="260"/>
      <c r="D254" s="261"/>
      <c r="E254" s="252"/>
      <c r="F254" s="237"/>
      <c r="G254" s="244"/>
      <c r="H254" s="398">
        <v>240</v>
      </c>
      <c r="I254" s="417"/>
      <c r="J254" s="417"/>
      <c r="K254" s="426"/>
      <c r="L254" s="426"/>
      <c r="M254" s="426"/>
      <c r="N254" s="426"/>
      <c r="O254" s="465"/>
      <c r="P254" s="442" t="str" cm="1">
        <f t="array" aca="1" ref="P254" ca="1">IF(AND($Q$12,B278&lt;=$C$17,C278&lt;&gt;""),TRANSPOSE(INDEX(GetCDS(C278,$C$6,G278/10000,F278,D278,$C$13,$C$14,$C$15,$C$8,,,TRUE,TRUE,FALSE,$C$29:$C$31,$C$33),{1;2;3;4;5})),"")</f>
        <v/>
      </c>
      <c r="Q254" s="443"/>
      <c r="R254" s="443"/>
      <c r="S254" s="444"/>
      <c r="T254" s="445"/>
      <c r="U254" s="446" t="str">
        <f t="shared" ca="1" si="15"/>
        <v/>
      </c>
      <c r="V254" s="447" t="str">
        <f t="shared" ca="1" si="16"/>
        <v/>
      </c>
      <c r="W254" s="446" t="str">
        <f t="shared" ca="1" si="17"/>
        <v/>
      </c>
      <c r="X254" s="448" t="str">
        <f t="shared" ca="1" si="18"/>
        <v/>
      </c>
      <c r="Y254" s="447" t="str">
        <f t="shared" ca="1" si="19"/>
        <v/>
      </c>
      <c r="Z254" s="79"/>
    </row>
    <row r="255" spans="1:26" customFormat="1" ht="15">
      <c r="A255" s="231"/>
      <c r="B255" s="288">
        <v>217</v>
      </c>
      <c r="C255" s="260"/>
      <c r="D255" s="261"/>
      <c r="E255" s="252"/>
      <c r="F255" s="237"/>
      <c r="G255" s="244"/>
      <c r="H255" s="398">
        <v>241</v>
      </c>
      <c r="I255" s="417"/>
      <c r="J255" s="417"/>
      <c r="K255" s="426"/>
      <c r="L255" s="426"/>
      <c r="M255" s="426"/>
      <c r="N255" s="426"/>
      <c r="O255" s="465"/>
      <c r="P255" s="442" t="str" cm="1">
        <f t="array" aca="1" ref="P255" ca="1">IF(AND($Q$12,B279&lt;=$C$17,C279&lt;&gt;""),TRANSPOSE(INDEX(GetCDS(C279,$C$6,G279/10000,F279,D279,$C$13,$C$14,$C$15,$C$8,,,TRUE,TRUE,FALSE,$C$29:$C$31,$C$33),{1;2;3;4;5})),"")</f>
        <v/>
      </c>
      <c r="Q255" s="443"/>
      <c r="R255" s="443"/>
      <c r="S255" s="444"/>
      <c r="T255" s="445"/>
      <c r="U255" s="446" t="str">
        <f t="shared" ca="1" si="15"/>
        <v/>
      </c>
      <c r="V255" s="447" t="str">
        <f t="shared" ca="1" si="16"/>
        <v/>
      </c>
      <c r="W255" s="446" t="str">
        <f t="shared" ca="1" si="17"/>
        <v/>
      </c>
      <c r="X255" s="448" t="str">
        <f t="shared" ca="1" si="18"/>
        <v/>
      </c>
      <c r="Y255" s="447" t="str">
        <f t="shared" ca="1" si="19"/>
        <v/>
      </c>
      <c r="Z255" s="79"/>
    </row>
    <row r="256" spans="1:26" customFormat="1" ht="15">
      <c r="A256" s="231"/>
      <c r="B256" s="288">
        <v>218</v>
      </c>
      <c r="C256" s="260"/>
      <c r="D256" s="261"/>
      <c r="E256" s="252"/>
      <c r="F256" s="237"/>
      <c r="G256" s="244"/>
      <c r="H256" s="398">
        <v>242</v>
      </c>
      <c r="I256" s="417"/>
      <c r="J256" s="417"/>
      <c r="K256" s="426"/>
      <c r="L256" s="426"/>
      <c r="M256" s="426"/>
      <c r="N256" s="426"/>
      <c r="O256" s="465"/>
      <c r="P256" s="442" t="str" cm="1">
        <f t="array" aca="1" ref="P256" ca="1">IF(AND($Q$12,B280&lt;=$C$17,C280&lt;&gt;""),TRANSPOSE(INDEX(GetCDS(C280,$C$6,G280/10000,F280,D280,$C$13,$C$14,$C$15,$C$8,,,TRUE,TRUE,FALSE,$C$29:$C$31,$C$33),{1;2;3;4;5})),"")</f>
        <v/>
      </c>
      <c r="Q256" s="443"/>
      <c r="R256" s="443"/>
      <c r="S256" s="444"/>
      <c r="T256" s="445"/>
      <c r="U256" s="446" t="str">
        <f t="shared" ca="1" si="15"/>
        <v/>
      </c>
      <c r="V256" s="447" t="str">
        <f t="shared" ca="1" si="16"/>
        <v/>
      </c>
      <c r="W256" s="446" t="str">
        <f t="shared" ca="1" si="17"/>
        <v/>
      </c>
      <c r="X256" s="448" t="str">
        <f t="shared" ca="1" si="18"/>
        <v/>
      </c>
      <c r="Y256" s="447" t="str">
        <f t="shared" ca="1" si="19"/>
        <v/>
      </c>
      <c r="Z256" s="79"/>
    </row>
    <row r="257" spans="1:26" customFormat="1" ht="15">
      <c r="A257" s="231"/>
      <c r="B257" s="288">
        <v>219</v>
      </c>
      <c r="C257" s="260"/>
      <c r="D257" s="261"/>
      <c r="E257" s="252"/>
      <c r="F257" s="237"/>
      <c r="G257" s="244"/>
      <c r="H257" s="398">
        <v>243</v>
      </c>
      <c r="I257" s="417"/>
      <c r="J257" s="417"/>
      <c r="K257" s="426"/>
      <c r="L257" s="426"/>
      <c r="M257" s="426"/>
      <c r="N257" s="426"/>
      <c r="O257" s="465"/>
      <c r="P257" s="442" t="str" cm="1">
        <f t="array" aca="1" ref="P257" ca="1">IF(AND($Q$12,B281&lt;=$C$17,C281&lt;&gt;""),TRANSPOSE(INDEX(GetCDS(C281,$C$6,G281/10000,F281,D281,$C$13,$C$14,$C$15,$C$8,,,TRUE,TRUE,FALSE,$C$29:$C$31,$C$33),{1;2;3;4;5})),"")</f>
        <v/>
      </c>
      <c r="Q257" s="443"/>
      <c r="R257" s="443"/>
      <c r="S257" s="444"/>
      <c r="T257" s="445"/>
      <c r="U257" s="446" t="str">
        <f t="shared" ca="1" si="15"/>
        <v/>
      </c>
      <c r="V257" s="447" t="str">
        <f t="shared" ca="1" si="16"/>
        <v/>
      </c>
      <c r="W257" s="446" t="str">
        <f t="shared" ca="1" si="17"/>
        <v/>
      </c>
      <c r="X257" s="448" t="str">
        <f t="shared" ca="1" si="18"/>
        <v/>
      </c>
      <c r="Y257" s="447" t="str">
        <f t="shared" ca="1" si="19"/>
        <v/>
      </c>
      <c r="Z257" s="79"/>
    </row>
    <row r="258" spans="1:26" customFormat="1" ht="15">
      <c r="A258" s="231"/>
      <c r="B258" s="288">
        <v>220</v>
      </c>
      <c r="C258" s="260"/>
      <c r="D258" s="261"/>
      <c r="E258" s="252"/>
      <c r="F258" s="237"/>
      <c r="G258" s="244"/>
      <c r="H258" s="398">
        <v>244</v>
      </c>
      <c r="I258" s="417"/>
      <c r="J258" s="417"/>
      <c r="K258" s="426"/>
      <c r="L258" s="426"/>
      <c r="M258" s="426"/>
      <c r="N258" s="426"/>
      <c r="O258" s="465"/>
      <c r="P258" s="442" t="str" cm="1">
        <f t="array" aca="1" ref="P258" ca="1">IF(AND($Q$12,B282&lt;=$C$17,C282&lt;&gt;""),TRANSPOSE(INDEX(GetCDS(C282,$C$6,G282/10000,F282,D282,$C$13,$C$14,$C$15,$C$8,,,TRUE,TRUE,FALSE,$C$29:$C$31,$C$33),{1;2;3;4;5})),"")</f>
        <v/>
      </c>
      <c r="Q258" s="443"/>
      <c r="R258" s="443"/>
      <c r="S258" s="444"/>
      <c r="T258" s="445"/>
      <c r="U258" s="446" t="str">
        <f t="shared" ca="1" si="15"/>
        <v/>
      </c>
      <c r="V258" s="447" t="str">
        <f t="shared" ca="1" si="16"/>
        <v/>
      </c>
      <c r="W258" s="446" t="str">
        <f t="shared" ca="1" si="17"/>
        <v/>
      </c>
      <c r="X258" s="448" t="str">
        <f t="shared" ca="1" si="18"/>
        <v/>
      </c>
      <c r="Y258" s="447" t="str">
        <f t="shared" ca="1" si="19"/>
        <v/>
      </c>
      <c r="Z258" s="79"/>
    </row>
    <row r="259" spans="1:26" customFormat="1" ht="15">
      <c r="A259" s="231"/>
      <c r="B259" s="288">
        <v>221</v>
      </c>
      <c r="C259" s="260"/>
      <c r="D259" s="261"/>
      <c r="E259" s="252"/>
      <c r="F259" s="237"/>
      <c r="G259" s="244"/>
      <c r="H259" s="398">
        <v>245</v>
      </c>
      <c r="I259" s="417"/>
      <c r="J259" s="417"/>
      <c r="K259" s="426"/>
      <c r="L259" s="426"/>
      <c r="M259" s="426"/>
      <c r="N259" s="426"/>
      <c r="O259" s="465"/>
      <c r="P259" s="442" t="str" cm="1">
        <f t="array" aca="1" ref="P259" ca="1">IF(AND($Q$12,B283&lt;=$C$17,C283&lt;&gt;""),TRANSPOSE(INDEX(GetCDS(C283,$C$6,G283/10000,F283,D283,$C$13,$C$14,$C$15,$C$8,,,TRUE,TRUE,FALSE,$C$29:$C$31,$C$33),{1;2;3;4;5})),"")</f>
        <v/>
      </c>
      <c r="Q259" s="443"/>
      <c r="R259" s="443"/>
      <c r="S259" s="444"/>
      <c r="T259" s="445"/>
      <c r="U259" s="446" t="str">
        <f t="shared" ca="1" si="15"/>
        <v/>
      </c>
      <c r="V259" s="447" t="str">
        <f t="shared" ca="1" si="16"/>
        <v/>
      </c>
      <c r="W259" s="446" t="str">
        <f t="shared" ca="1" si="17"/>
        <v/>
      </c>
      <c r="X259" s="448" t="str">
        <f t="shared" ca="1" si="18"/>
        <v/>
      </c>
      <c r="Y259" s="447" t="str">
        <f t="shared" ca="1" si="19"/>
        <v/>
      </c>
      <c r="Z259" s="79"/>
    </row>
    <row r="260" spans="1:26" customFormat="1" ht="15">
      <c r="A260" s="231"/>
      <c r="B260" s="288">
        <v>222</v>
      </c>
      <c r="C260" s="260"/>
      <c r="D260" s="261"/>
      <c r="E260" s="252"/>
      <c r="F260" s="237"/>
      <c r="G260" s="244"/>
      <c r="H260" s="398">
        <v>246</v>
      </c>
      <c r="I260" s="417"/>
      <c r="J260" s="417"/>
      <c r="K260" s="426"/>
      <c r="L260" s="426"/>
      <c r="M260" s="426"/>
      <c r="N260" s="426"/>
      <c r="O260" s="465"/>
      <c r="P260" s="442" t="str" cm="1">
        <f t="array" aca="1" ref="P260" ca="1">IF(AND($Q$12,B284&lt;=$C$17,C284&lt;&gt;""),TRANSPOSE(INDEX(GetCDS(C284,$C$6,G284/10000,F284,D284,$C$13,$C$14,$C$15,$C$8,,,TRUE,TRUE,FALSE,$C$29:$C$31,$C$33),{1;2;3;4;5})),"")</f>
        <v/>
      </c>
      <c r="Q260" s="443"/>
      <c r="R260" s="443"/>
      <c r="S260" s="444"/>
      <c r="T260" s="445"/>
      <c r="U260" s="446" t="str">
        <f t="shared" ca="1" si="15"/>
        <v/>
      </c>
      <c r="V260" s="447" t="str">
        <f t="shared" ca="1" si="16"/>
        <v/>
      </c>
      <c r="W260" s="446" t="str">
        <f t="shared" ca="1" si="17"/>
        <v/>
      </c>
      <c r="X260" s="448" t="str">
        <f t="shared" ca="1" si="18"/>
        <v/>
      </c>
      <c r="Y260" s="447" t="str">
        <f t="shared" ca="1" si="19"/>
        <v/>
      </c>
      <c r="Z260" s="79"/>
    </row>
    <row r="261" spans="1:26" customFormat="1" ht="15">
      <c r="A261" s="231"/>
      <c r="B261" s="288">
        <v>223</v>
      </c>
      <c r="C261" s="260"/>
      <c r="D261" s="261"/>
      <c r="E261" s="252"/>
      <c r="F261" s="237"/>
      <c r="G261" s="244"/>
      <c r="H261" s="398">
        <v>247</v>
      </c>
      <c r="I261" s="417"/>
      <c r="J261" s="417"/>
      <c r="K261" s="426"/>
      <c r="L261" s="426"/>
      <c r="M261" s="426"/>
      <c r="N261" s="426"/>
      <c r="O261" s="465"/>
      <c r="P261" s="442" t="str" cm="1">
        <f t="array" aca="1" ref="P261" ca="1">IF(AND($Q$12,B285&lt;=$C$17,C285&lt;&gt;""),TRANSPOSE(INDEX(GetCDS(C285,$C$6,G285/10000,F285,D285,$C$13,$C$14,$C$15,$C$8,,,TRUE,TRUE,FALSE,$C$29:$C$31,$C$33),{1;2;3;4;5})),"")</f>
        <v/>
      </c>
      <c r="Q261" s="443"/>
      <c r="R261" s="443"/>
      <c r="S261" s="444"/>
      <c r="T261" s="445"/>
      <c r="U261" s="446" t="str">
        <f t="shared" ca="1" si="15"/>
        <v/>
      </c>
      <c r="V261" s="447" t="str">
        <f t="shared" ca="1" si="16"/>
        <v/>
      </c>
      <c r="W261" s="446" t="str">
        <f t="shared" ca="1" si="17"/>
        <v/>
      </c>
      <c r="X261" s="448" t="str">
        <f t="shared" ca="1" si="18"/>
        <v/>
      </c>
      <c r="Y261" s="447" t="str">
        <f t="shared" ca="1" si="19"/>
        <v/>
      </c>
      <c r="Z261" s="79"/>
    </row>
    <row r="262" spans="1:26" customFormat="1" ht="15">
      <c r="A262" s="231"/>
      <c r="B262" s="288">
        <v>224</v>
      </c>
      <c r="C262" s="260"/>
      <c r="D262" s="261"/>
      <c r="E262" s="252"/>
      <c r="F262" s="237"/>
      <c r="G262" s="244"/>
      <c r="H262" s="398">
        <v>248</v>
      </c>
      <c r="I262" s="417"/>
      <c r="J262" s="417"/>
      <c r="K262" s="426"/>
      <c r="L262" s="426"/>
      <c r="M262" s="426"/>
      <c r="N262" s="426"/>
      <c r="O262" s="465"/>
      <c r="P262" s="442" t="str" cm="1">
        <f t="array" aca="1" ref="P262" ca="1">IF(AND($Q$12,B286&lt;=$C$17,C286&lt;&gt;""),TRANSPOSE(INDEX(GetCDS(C286,$C$6,G286/10000,F286,D286,$C$13,$C$14,$C$15,$C$8,,,TRUE,TRUE,FALSE,$C$29:$C$31,$C$33),{1;2;3;4;5})),"")</f>
        <v/>
      </c>
      <c r="Q262" s="443"/>
      <c r="R262" s="443"/>
      <c r="S262" s="444"/>
      <c r="T262" s="445"/>
      <c r="U262" s="446" t="str">
        <f t="shared" ca="1" si="15"/>
        <v/>
      </c>
      <c r="V262" s="447" t="str">
        <f t="shared" ca="1" si="16"/>
        <v/>
      </c>
      <c r="W262" s="446" t="str">
        <f t="shared" ca="1" si="17"/>
        <v/>
      </c>
      <c r="X262" s="448" t="str">
        <f t="shared" ca="1" si="18"/>
        <v/>
      </c>
      <c r="Y262" s="447" t="str">
        <f t="shared" ca="1" si="19"/>
        <v/>
      </c>
      <c r="Z262" s="79"/>
    </row>
    <row r="263" spans="1:26" customFormat="1" ht="15">
      <c r="A263" s="231"/>
      <c r="B263" s="288">
        <v>225</v>
      </c>
      <c r="C263" s="260"/>
      <c r="D263" s="261"/>
      <c r="E263" s="252"/>
      <c r="F263" s="237"/>
      <c r="G263" s="244"/>
      <c r="H263" s="398">
        <v>249</v>
      </c>
      <c r="I263" s="417"/>
      <c r="J263" s="417"/>
      <c r="K263" s="426"/>
      <c r="L263" s="426"/>
      <c r="M263" s="426"/>
      <c r="N263" s="426"/>
      <c r="O263" s="465"/>
      <c r="P263" s="442" t="str" cm="1">
        <f t="array" aca="1" ref="P263" ca="1">IF(AND($Q$12,B287&lt;=$C$17,C287&lt;&gt;""),TRANSPOSE(INDEX(GetCDS(C287,$C$6,G287/10000,F287,D287,$C$13,$C$14,$C$15,$C$8,,,TRUE,TRUE,FALSE,$C$29:$C$31,$C$33),{1;2;3;4;5})),"")</f>
        <v/>
      </c>
      <c r="Q263" s="443"/>
      <c r="R263" s="443"/>
      <c r="S263" s="444"/>
      <c r="T263" s="445"/>
      <c r="U263" s="446" t="str">
        <f t="shared" ca="1" si="15"/>
        <v/>
      </c>
      <c r="V263" s="447" t="str">
        <f t="shared" ca="1" si="16"/>
        <v/>
      </c>
      <c r="W263" s="446" t="str">
        <f t="shared" ca="1" si="17"/>
        <v/>
      </c>
      <c r="X263" s="448" t="str">
        <f t="shared" ca="1" si="18"/>
        <v/>
      </c>
      <c r="Y263" s="447" t="str">
        <f t="shared" ca="1" si="19"/>
        <v/>
      </c>
      <c r="Z263" s="79"/>
    </row>
    <row r="264" spans="1:26" customFormat="1" ht="15">
      <c r="A264" s="231"/>
      <c r="B264" s="288">
        <v>226</v>
      </c>
      <c r="C264" s="260"/>
      <c r="D264" s="261"/>
      <c r="E264" s="252"/>
      <c r="F264" s="237"/>
      <c r="G264" s="244"/>
      <c r="H264" s="398">
        <v>250</v>
      </c>
      <c r="I264" s="417"/>
      <c r="J264" s="417"/>
      <c r="K264" s="426"/>
      <c r="L264" s="426"/>
      <c r="M264" s="426"/>
      <c r="N264" s="426"/>
      <c r="O264" s="465"/>
      <c r="P264" s="442" t="str" cm="1">
        <f t="array" aca="1" ref="P264" ca="1">IF(AND($Q$12,B288&lt;=$C$17,C288&lt;&gt;""),TRANSPOSE(INDEX(GetCDS(C288,$C$6,G288/10000,F288,D288,$C$13,$C$14,$C$15,$C$8,,,TRUE,TRUE,FALSE,$C$29:$C$31,$C$33),{1;2;3;4;5})),"")</f>
        <v/>
      </c>
      <c r="Q264" s="443"/>
      <c r="R264" s="443"/>
      <c r="S264" s="444"/>
      <c r="T264" s="445"/>
      <c r="U264" s="446" t="str">
        <f t="shared" ca="1" si="15"/>
        <v/>
      </c>
      <c r="V264" s="447" t="str">
        <f t="shared" ca="1" si="16"/>
        <v/>
      </c>
      <c r="W264" s="446" t="str">
        <f t="shared" ca="1" si="17"/>
        <v/>
      </c>
      <c r="X264" s="448" t="str">
        <f t="shared" ca="1" si="18"/>
        <v/>
      </c>
      <c r="Y264" s="447" t="str">
        <f t="shared" ca="1" si="19"/>
        <v/>
      </c>
      <c r="Z264" s="79"/>
    </row>
    <row r="265" spans="1:26" customFormat="1" ht="15">
      <c r="A265" s="231"/>
      <c r="B265" s="288">
        <v>227</v>
      </c>
      <c r="C265" s="260"/>
      <c r="D265" s="261"/>
      <c r="E265" s="252"/>
      <c r="F265" s="237"/>
      <c r="G265" s="244"/>
      <c r="H265" s="398">
        <v>251</v>
      </c>
      <c r="I265" s="417"/>
      <c r="J265" s="417"/>
      <c r="K265" s="426"/>
      <c r="L265" s="426"/>
      <c r="M265" s="426"/>
      <c r="N265" s="426"/>
      <c r="O265" s="465"/>
      <c r="P265" s="442" t="str" cm="1">
        <f t="array" aca="1" ref="P265" ca="1">IF(AND($Q$12,B289&lt;=$C$17,C289&lt;&gt;""),TRANSPOSE(INDEX(GetCDS(C289,$C$6,G289/10000,F289,D289,$C$13,$C$14,$C$15,$C$8,,,TRUE,TRUE,FALSE,$C$29:$C$31,$C$33),{1;2;3;4;5})),"")</f>
        <v/>
      </c>
      <c r="Q265" s="443"/>
      <c r="R265" s="443"/>
      <c r="S265" s="444"/>
      <c r="T265" s="445"/>
      <c r="U265" s="446" t="str">
        <f t="shared" ca="1" si="15"/>
        <v/>
      </c>
      <c r="V265" s="447" t="str">
        <f t="shared" ca="1" si="16"/>
        <v/>
      </c>
      <c r="W265" s="446" t="str">
        <f t="shared" ca="1" si="17"/>
        <v/>
      </c>
      <c r="X265" s="448" t="str">
        <f t="shared" ca="1" si="18"/>
        <v/>
      </c>
      <c r="Y265" s="447" t="str">
        <f t="shared" ca="1" si="19"/>
        <v/>
      </c>
      <c r="Z265" s="79"/>
    </row>
    <row r="266" spans="1:26" customFormat="1" ht="15">
      <c r="A266" s="231"/>
      <c r="B266" s="288">
        <v>228</v>
      </c>
      <c r="C266" s="260"/>
      <c r="D266" s="261"/>
      <c r="E266" s="252"/>
      <c r="F266" s="237"/>
      <c r="G266" s="244"/>
      <c r="H266" s="398">
        <v>252</v>
      </c>
      <c r="I266" s="417"/>
      <c r="J266" s="417"/>
      <c r="K266" s="426"/>
      <c r="L266" s="426"/>
      <c r="M266" s="426"/>
      <c r="N266" s="426"/>
      <c r="O266" s="465"/>
      <c r="P266" s="442" t="str" cm="1">
        <f t="array" aca="1" ref="P266" ca="1">IF(AND($Q$12,B290&lt;=$C$17,C290&lt;&gt;""),TRANSPOSE(INDEX(GetCDS(C290,$C$6,G290/10000,F290,D290,$C$13,$C$14,$C$15,$C$8,,,TRUE,TRUE,FALSE,$C$29:$C$31,$C$33),{1;2;3;4;5})),"")</f>
        <v/>
      </c>
      <c r="Q266" s="443"/>
      <c r="R266" s="443"/>
      <c r="S266" s="444"/>
      <c r="T266" s="445"/>
      <c r="U266" s="446" t="str">
        <f t="shared" ca="1" si="15"/>
        <v/>
      </c>
      <c r="V266" s="447" t="str">
        <f t="shared" ca="1" si="16"/>
        <v/>
      </c>
      <c r="W266" s="446" t="str">
        <f t="shared" ca="1" si="17"/>
        <v/>
      </c>
      <c r="X266" s="448" t="str">
        <f t="shared" ca="1" si="18"/>
        <v/>
      </c>
      <c r="Y266" s="447" t="str">
        <f t="shared" ca="1" si="19"/>
        <v/>
      </c>
      <c r="Z266" s="79"/>
    </row>
    <row r="267" spans="1:26" customFormat="1" ht="15">
      <c r="A267" s="231"/>
      <c r="B267" s="288">
        <v>229</v>
      </c>
      <c r="C267" s="260"/>
      <c r="D267" s="261"/>
      <c r="E267" s="252"/>
      <c r="F267" s="237"/>
      <c r="G267" s="244"/>
      <c r="H267" s="398">
        <v>253</v>
      </c>
      <c r="I267" s="417"/>
      <c r="J267" s="417"/>
      <c r="K267" s="426"/>
      <c r="L267" s="426"/>
      <c r="M267" s="426"/>
      <c r="N267" s="426"/>
      <c r="O267" s="465"/>
      <c r="P267" s="442" t="str" cm="1">
        <f t="array" aca="1" ref="P267" ca="1">IF(AND($Q$12,B291&lt;=$C$17,C291&lt;&gt;""),TRANSPOSE(INDEX(GetCDS(C291,$C$6,G291/10000,F291,D291,$C$13,$C$14,$C$15,$C$8,,,TRUE,TRUE,FALSE,$C$29:$C$31,$C$33),{1;2;3;4;5})),"")</f>
        <v/>
      </c>
      <c r="Q267" s="443"/>
      <c r="R267" s="443"/>
      <c r="S267" s="444"/>
      <c r="T267" s="445"/>
      <c r="U267" s="446" t="str">
        <f t="shared" ca="1" si="15"/>
        <v/>
      </c>
      <c r="V267" s="447" t="str">
        <f t="shared" ca="1" si="16"/>
        <v/>
      </c>
      <c r="W267" s="446" t="str">
        <f t="shared" ca="1" si="17"/>
        <v/>
      </c>
      <c r="X267" s="448" t="str">
        <f t="shared" ca="1" si="18"/>
        <v/>
      </c>
      <c r="Y267" s="447" t="str">
        <f t="shared" ca="1" si="19"/>
        <v/>
      </c>
      <c r="Z267" s="79"/>
    </row>
    <row r="268" spans="1:26" customFormat="1" ht="15">
      <c r="A268" s="231"/>
      <c r="B268" s="288">
        <v>230</v>
      </c>
      <c r="C268" s="260"/>
      <c r="D268" s="261"/>
      <c r="E268" s="252"/>
      <c r="F268" s="237"/>
      <c r="G268" s="244"/>
      <c r="H268" s="398">
        <v>254</v>
      </c>
      <c r="I268" s="417"/>
      <c r="J268" s="417"/>
      <c r="K268" s="426"/>
      <c r="L268" s="426"/>
      <c r="M268" s="426"/>
      <c r="N268" s="426"/>
      <c r="O268" s="465"/>
      <c r="P268" s="442" t="str" cm="1">
        <f t="array" aca="1" ref="P268" ca="1">IF(AND($Q$12,B292&lt;=$C$17,C292&lt;&gt;""),TRANSPOSE(INDEX(GetCDS(C292,$C$6,G292/10000,F292,D292,$C$13,$C$14,$C$15,$C$8,,,TRUE,TRUE,FALSE,$C$29:$C$31,$C$33),{1;2;3;4;5})),"")</f>
        <v/>
      </c>
      <c r="Q268" s="443"/>
      <c r="R268" s="443"/>
      <c r="S268" s="444"/>
      <c r="T268" s="445"/>
      <c r="U268" s="446" t="str">
        <f t="shared" ca="1" si="15"/>
        <v/>
      </c>
      <c r="V268" s="447" t="str">
        <f t="shared" ca="1" si="16"/>
        <v/>
      </c>
      <c r="W268" s="446" t="str">
        <f t="shared" ca="1" si="17"/>
        <v/>
      </c>
      <c r="X268" s="448" t="str">
        <f t="shared" ca="1" si="18"/>
        <v/>
      </c>
      <c r="Y268" s="447" t="str">
        <f t="shared" ca="1" si="19"/>
        <v/>
      </c>
      <c r="Z268" s="79"/>
    </row>
    <row r="269" spans="1:26" customFormat="1" ht="15">
      <c r="A269" s="231"/>
      <c r="B269" s="288">
        <v>231</v>
      </c>
      <c r="C269" s="260"/>
      <c r="D269" s="261"/>
      <c r="E269" s="252"/>
      <c r="F269" s="237"/>
      <c r="G269" s="244"/>
      <c r="H269" s="398">
        <v>255</v>
      </c>
      <c r="I269" s="417"/>
      <c r="J269" s="417"/>
      <c r="K269" s="426"/>
      <c r="L269" s="426"/>
      <c r="M269" s="426"/>
      <c r="N269" s="426"/>
      <c r="O269" s="465"/>
      <c r="P269" s="442" t="str" cm="1">
        <f t="array" aca="1" ref="P269" ca="1">IF(AND($Q$12,B293&lt;=$C$17,C293&lt;&gt;""),TRANSPOSE(INDEX(GetCDS(C293,$C$6,G293/10000,F293,D293,$C$13,$C$14,$C$15,$C$8,,,TRUE,TRUE,FALSE,$C$29:$C$31,$C$33),{1;2;3;4;5})),"")</f>
        <v/>
      </c>
      <c r="Q269" s="443"/>
      <c r="R269" s="443"/>
      <c r="S269" s="444"/>
      <c r="T269" s="445"/>
      <c r="U269" s="446" t="str">
        <f t="shared" ca="1" si="15"/>
        <v/>
      </c>
      <c r="V269" s="447" t="str">
        <f t="shared" ca="1" si="16"/>
        <v/>
      </c>
      <c r="W269" s="446" t="str">
        <f t="shared" ca="1" si="17"/>
        <v/>
      </c>
      <c r="X269" s="448" t="str">
        <f t="shared" ca="1" si="18"/>
        <v/>
      </c>
      <c r="Y269" s="447" t="str">
        <f t="shared" ca="1" si="19"/>
        <v/>
      </c>
      <c r="Z269" s="79"/>
    </row>
    <row r="270" spans="1:26" customFormat="1" ht="15">
      <c r="A270" s="231"/>
      <c r="B270" s="288">
        <v>232</v>
      </c>
      <c r="C270" s="260"/>
      <c r="D270" s="261"/>
      <c r="E270" s="252"/>
      <c r="F270" s="237"/>
      <c r="G270" s="244"/>
      <c r="H270" s="398">
        <v>256</v>
      </c>
      <c r="I270" s="417"/>
      <c r="J270" s="417"/>
      <c r="K270" s="426"/>
      <c r="L270" s="426"/>
      <c r="M270" s="426"/>
      <c r="N270" s="426"/>
      <c r="O270" s="465"/>
      <c r="P270" s="442" t="str" cm="1">
        <f t="array" aca="1" ref="P270" ca="1">IF(AND($Q$12,B294&lt;=$C$17,C294&lt;&gt;""),TRANSPOSE(INDEX(GetCDS(C294,$C$6,G294/10000,F294,D294,$C$13,$C$14,$C$15,$C$8,,,TRUE,TRUE,FALSE,$C$29:$C$31,$C$33),{1;2;3;4;5})),"")</f>
        <v/>
      </c>
      <c r="Q270" s="443"/>
      <c r="R270" s="443"/>
      <c r="S270" s="444"/>
      <c r="T270" s="445"/>
      <c r="U270" s="446" t="str">
        <f t="shared" ca="1" si="15"/>
        <v/>
      </c>
      <c r="V270" s="447" t="str">
        <f t="shared" ca="1" si="16"/>
        <v/>
      </c>
      <c r="W270" s="446" t="str">
        <f t="shared" ca="1" si="17"/>
        <v/>
      </c>
      <c r="X270" s="448" t="str">
        <f t="shared" ca="1" si="18"/>
        <v/>
      </c>
      <c r="Y270" s="447" t="str">
        <f t="shared" ca="1" si="19"/>
        <v/>
      </c>
      <c r="Z270" s="79"/>
    </row>
    <row r="271" spans="1:26" customFormat="1" ht="15">
      <c r="A271" s="231"/>
      <c r="B271" s="288">
        <v>233</v>
      </c>
      <c r="C271" s="260"/>
      <c r="D271" s="261"/>
      <c r="E271" s="252"/>
      <c r="F271" s="237"/>
      <c r="G271" s="244"/>
      <c r="H271" s="398">
        <v>257</v>
      </c>
      <c r="I271" s="417"/>
      <c r="J271" s="417"/>
      <c r="K271" s="426"/>
      <c r="L271" s="426"/>
      <c r="M271" s="426"/>
      <c r="N271" s="426"/>
      <c r="O271" s="465"/>
      <c r="P271" s="442" t="str" cm="1">
        <f t="array" aca="1" ref="P271" ca="1">IF(AND($Q$12,B295&lt;=$C$17,C295&lt;&gt;""),TRANSPOSE(INDEX(GetCDS(C295,$C$6,G295/10000,F295,D295,$C$13,$C$14,$C$15,$C$8,,,TRUE,TRUE,FALSE,$C$29:$C$31,$C$33),{1;2;3;4;5})),"")</f>
        <v/>
      </c>
      <c r="Q271" s="443"/>
      <c r="R271" s="443"/>
      <c r="S271" s="444"/>
      <c r="T271" s="445"/>
      <c r="U271" s="446" t="str">
        <f t="shared" ca="1" si="15"/>
        <v/>
      </c>
      <c r="V271" s="447" t="str">
        <f t="shared" ca="1" si="16"/>
        <v/>
      </c>
      <c r="W271" s="446" t="str">
        <f t="shared" ca="1" si="17"/>
        <v/>
      </c>
      <c r="X271" s="448" t="str">
        <f t="shared" ca="1" si="18"/>
        <v/>
      </c>
      <c r="Y271" s="447" t="str">
        <f t="shared" ca="1" si="19"/>
        <v/>
      </c>
      <c r="Z271" s="79"/>
    </row>
    <row r="272" spans="1:26" customFormat="1" ht="15">
      <c r="A272" s="231"/>
      <c r="B272" s="288">
        <v>234</v>
      </c>
      <c r="C272" s="260"/>
      <c r="D272" s="261"/>
      <c r="E272" s="252"/>
      <c r="F272" s="237"/>
      <c r="G272" s="244"/>
      <c r="H272" s="398">
        <v>258</v>
      </c>
      <c r="I272" s="417"/>
      <c r="J272" s="417"/>
      <c r="K272" s="426"/>
      <c r="L272" s="426"/>
      <c r="M272" s="426"/>
      <c r="N272" s="426"/>
      <c r="O272" s="465"/>
      <c r="P272" s="442" t="str" cm="1">
        <f t="array" aca="1" ref="P272" ca="1">IF(AND($Q$12,B296&lt;=$C$17,C296&lt;&gt;""),TRANSPOSE(INDEX(GetCDS(C296,$C$6,G296/10000,F296,D296,$C$13,$C$14,$C$15,$C$8,,,TRUE,TRUE,FALSE,$C$29:$C$31,$C$33),{1;2;3;4;5})),"")</f>
        <v/>
      </c>
      <c r="Q272" s="443"/>
      <c r="R272" s="443"/>
      <c r="S272" s="444"/>
      <c r="T272" s="445"/>
      <c r="U272" s="446" t="str">
        <f t="shared" ref="U272:U314" ca="1" si="20">IF($Q$12,IF(P272="","",$Q$13*D296/$C$18),"")</f>
        <v/>
      </c>
      <c r="V272" s="447" t="str">
        <f t="shared" ref="V272:V314" ca="1" si="21">IF($Q$12,IF(U272="","",U272*($V$10-S272)*T272),"")</f>
        <v/>
      </c>
      <c r="W272" s="446" t="str">
        <f t="shared" ref="W272:W313" ca="1" si="22">IF($Q$12,IF(OR(P272="",L272=""),"",L272/($C$20-$C$19)),"")</f>
        <v/>
      </c>
      <c r="X272" s="448" t="str">
        <f t="shared" ref="X272:X313" ca="1" si="23">IF($Q$12,IF(S272="","",S272*$Y$10),"")</f>
        <v/>
      </c>
      <c r="Y272" s="447" t="str">
        <f t="shared" ref="Y272:Y313" ca="1" si="24">IF($Q$12,IF(W272="","",W272*(X272-S272)*T272),"")</f>
        <v/>
      </c>
      <c r="Z272" s="79"/>
    </row>
    <row r="273" spans="1:26" customFormat="1" ht="15">
      <c r="A273" s="231"/>
      <c r="B273" s="288">
        <v>235</v>
      </c>
      <c r="C273" s="260"/>
      <c r="D273" s="261"/>
      <c r="E273" s="252"/>
      <c r="F273" s="237"/>
      <c r="G273" s="244"/>
      <c r="H273" s="398">
        <v>259</v>
      </c>
      <c r="I273" s="417"/>
      <c r="J273" s="417"/>
      <c r="K273" s="426"/>
      <c r="L273" s="426"/>
      <c r="M273" s="426"/>
      <c r="N273" s="426"/>
      <c r="O273" s="465"/>
      <c r="P273" s="442" t="str" cm="1">
        <f t="array" aca="1" ref="P273" ca="1">IF(AND($Q$12,B297&lt;=$C$17,C297&lt;&gt;""),TRANSPOSE(INDEX(GetCDS(C297,$C$6,G297/10000,F297,D297,$C$13,$C$14,$C$15,$C$8,,,TRUE,TRUE,FALSE,$C$29:$C$31,$C$33),{1;2;3;4;5})),"")</f>
        <v/>
      </c>
      <c r="Q273" s="443"/>
      <c r="R273" s="443"/>
      <c r="S273" s="444"/>
      <c r="T273" s="445"/>
      <c r="U273" s="446" t="str">
        <f t="shared" ca="1" si="20"/>
        <v/>
      </c>
      <c r="V273" s="447" t="str">
        <f t="shared" ca="1" si="21"/>
        <v/>
      </c>
      <c r="W273" s="446" t="str">
        <f t="shared" ca="1" si="22"/>
        <v/>
      </c>
      <c r="X273" s="448" t="str">
        <f t="shared" ca="1" si="23"/>
        <v/>
      </c>
      <c r="Y273" s="447" t="str">
        <f t="shared" ca="1" si="24"/>
        <v/>
      </c>
      <c r="Z273" s="79"/>
    </row>
    <row r="274" spans="1:26" customFormat="1" ht="15">
      <c r="A274" s="231"/>
      <c r="B274" s="288">
        <v>236</v>
      </c>
      <c r="C274" s="260"/>
      <c r="D274" s="261"/>
      <c r="E274" s="252"/>
      <c r="F274" s="237"/>
      <c r="G274" s="244"/>
      <c r="H274" s="398">
        <v>260</v>
      </c>
      <c r="I274" s="417"/>
      <c r="J274" s="417"/>
      <c r="K274" s="426"/>
      <c r="L274" s="426"/>
      <c r="M274" s="426"/>
      <c r="N274" s="426"/>
      <c r="O274" s="465"/>
      <c r="P274" s="442" t="str" cm="1">
        <f t="array" aca="1" ref="P274" ca="1">IF(AND($Q$12,B298&lt;=$C$17,C298&lt;&gt;""),TRANSPOSE(INDEX(GetCDS(C298,$C$6,G298/10000,F298,D298,$C$13,$C$14,$C$15,$C$8,,,TRUE,TRUE,FALSE,$C$29:$C$31,$C$33),{1;2;3;4;5})),"")</f>
        <v/>
      </c>
      <c r="Q274" s="443"/>
      <c r="R274" s="443"/>
      <c r="S274" s="444"/>
      <c r="T274" s="445"/>
      <c r="U274" s="446" t="str">
        <f t="shared" ca="1" si="20"/>
        <v/>
      </c>
      <c r="V274" s="447" t="str">
        <f t="shared" ca="1" si="21"/>
        <v/>
      </c>
      <c r="W274" s="446" t="str">
        <f t="shared" ca="1" si="22"/>
        <v/>
      </c>
      <c r="X274" s="448" t="str">
        <f t="shared" ca="1" si="23"/>
        <v/>
      </c>
      <c r="Y274" s="447" t="str">
        <f t="shared" ca="1" si="24"/>
        <v/>
      </c>
      <c r="Z274" s="79"/>
    </row>
    <row r="275" spans="1:26" customFormat="1" ht="15">
      <c r="A275" s="231"/>
      <c r="B275" s="288">
        <v>237</v>
      </c>
      <c r="C275" s="260"/>
      <c r="D275" s="261"/>
      <c r="E275" s="252"/>
      <c r="F275" s="237"/>
      <c r="G275" s="244"/>
      <c r="H275" s="398">
        <v>261</v>
      </c>
      <c r="I275" s="417"/>
      <c r="J275" s="417"/>
      <c r="K275" s="426"/>
      <c r="L275" s="426"/>
      <c r="M275" s="426"/>
      <c r="N275" s="426"/>
      <c r="O275" s="465"/>
      <c r="P275" s="442" t="str" cm="1">
        <f t="array" aca="1" ref="P275" ca="1">IF(AND($Q$12,B299&lt;=$C$17,C299&lt;&gt;""),TRANSPOSE(INDEX(GetCDS(C299,$C$6,G299/10000,F299,D299,$C$13,$C$14,$C$15,$C$8,,,TRUE,TRUE,FALSE,$C$29:$C$31,$C$33),{1;2;3;4;5})),"")</f>
        <v/>
      </c>
      <c r="Q275" s="443"/>
      <c r="R275" s="443"/>
      <c r="S275" s="444"/>
      <c r="T275" s="445"/>
      <c r="U275" s="446" t="str">
        <f t="shared" ca="1" si="20"/>
        <v/>
      </c>
      <c r="V275" s="447" t="str">
        <f t="shared" ca="1" si="21"/>
        <v/>
      </c>
      <c r="W275" s="446" t="str">
        <f t="shared" ca="1" si="22"/>
        <v/>
      </c>
      <c r="X275" s="448" t="str">
        <f t="shared" ca="1" si="23"/>
        <v/>
      </c>
      <c r="Y275" s="447" t="str">
        <f t="shared" ca="1" si="24"/>
        <v/>
      </c>
      <c r="Z275" s="79"/>
    </row>
    <row r="276" spans="1:26" customFormat="1" ht="15">
      <c r="A276" s="231"/>
      <c r="B276" s="288">
        <v>238</v>
      </c>
      <c r="C276" s="260"/>
      <c r="D276" s="261"/>
      <c r="E276" s="252"/>
      <c r="F276" s="237"/>
      <c r="G276" s="244"/>
      <c r="H276" s="398">
        <v>262</v>
      </c>
      <c r="I276" s="417"/>
      <c r="J276" s="417"/>
      <c r="K276" s="426"/>
      <c r="L276" s="426"/>
      <c r="M276" s="426"/>
      <c r="N276" s="426"/>
      <c r="O276" s="465"/>
      <c r="P276" s="442" t="str" cm="1">
        <f t="array" aca="1" ref="P276" ca="1">IF(AND($Q$12,B300&lt;=$C$17,C300&lt;&gt;""),TRANSPOSE(INDEX(GetCDS(C300,$C$6,G300/10000,F300,D300,$C$13,$C$14,$C$15,$C$8,,,TRUE,TRUE,FALSE,$C$29:$C$31,$C$33),{1;2;3;4;5})),"")</f>
        <v/>
      </c>
      <c r="Q276" s="443"/>
      <c r="R276" s="443"/>
      <c r="S276" s="444"/>
      <c r="T276" s="445"/>
      <c r="U276" s="446" t="str">
        <f t="shared" ca="1" si="20"/>
        <v/>
      </c>
      <c r="V276" s="447" t="str">
        <f t="shared" ca="1" si="21"/>
        <v/>
      </c>
      <c r="W276" s="446" t="str">
        <f t="shared" ca="1" si="22"/>
        <v/>
      </c>
      <c r="X276" s="448" t="str">
        <f t="shared" ca="1" si="23"/>
        <v/>
      </c>
      <c r="Y276" s="447" t="str">
        <f t="shared" ca="1" si="24"/>
        <v/>
      </c>
      <c r="Z276" s="79"/>
    </row>
    <row r="277" spans="1:26" customFormat="1" ht="15">
      <c r="A277" s="231"/>
      <c r="B277" s="288">
        <v>239</v>
      </c>
      <c r="C277" s="260"/>
      <c r="D277" s="261"/>
      <c r="E277" s="252"/>
      <c r="F277" s="237"/>
      <c r="G277" s="244"/>
      <c r="H277" s="398">
        <v>263</v>
      </c>
      <c r="I277" s="417"/>
      <c r="J277" s="417"/>
      <c r="K277" s="426"/>
      <c r="L277" s="426"/>
      <c r="M277" s="426"/>
      <c r="N277" s="426"/>
      <c r="O277" s="465"/>
      <c r="P277" s="442" t="str" cm="1">
        <f t="array" aca="1" ref="P277" ca="1">IF(AND($Q$12,B301&lt;=$C$17,C301&lt;&gt;""),TRANSPOSE(INDEX(GetCDS(C301,$C$6,G301/10000,F301,D301,$C$13,$C$14,$C$15,$C$8,,,TRUE,TRUE,FALSE,$C$29:$C$31,$C$33),{1;2;3;4;5})),"")</f>
        <v/>
      </c>
      <c r="Q277" s="443"/>
      <c r="R277" s="443"/>
      <c r="S277" s="444"/>
      <c r="T277" s="445"/>
      <c r="U277" s="446" t="str">
        <f t="shared" ca="1" si="20"/>
        <v/>
      </c>
      <c r="V277" s="447" t="str">
        <f t="shared" ca="1" si="21"/>
        <v/>
      </c>
      <c r="W277" s="446" t="str">
        <f t="shared" ca="1" si="22"/>
        <v/>
      </c>
      <c r="X277" s="448" t="str">
        <f t="shared" ca="1" si="23"/>
        <v/>
      </c>
      <c r="Y277" s="447" t="str">
        <f t="shared" ca="1" si="24"/>
        <v/>
      </c>
      <c r="Z277" s="79"/>
    </row>
    <row r="278" spans="1:26" customFormat="1" ht="15">
      <c r="A278" s="231"/>
      <c r="B278" s="288">
        <v>240</v>
      </c>
      <c r="C278" s="260"/>
      <c r="D278" s="261"/>
      <c r="E278" s="252"/>
      <c r="F278" s="237"/>
      <c r="G278" s="244"/>
      <c r="H278" s="398">
        <v>264</v>
      </c>
      <c r="I278" s="417"/>
      <c r="J278" s="417"/>
      <c r="K278" s="426"/>
      <c r="L278" s="426"/>
      <c r="M278" s="426"/>
      <c r="N278" s="426"/>
      <c r="O278" s="465"/>
      <c r="P278" s="442" t="str" cm="1">
        <f t="array" aca="1" ref="P278" ca="1">IF(AND($Q$12,B302&lt;=$C$17,C302&lt;&gt;""),TRANSPOSE(INDEX(GetCDS(C302,$C$6,G302/10000,F302,D302,$C$13,$C$14,$C$15,$C$8,,,TRUE,TRUE,FALSE,$C$29:$C$31,$C$33),{1;2;3;4;5})),"")</f>
        <v/>
      </c>
      <c r="Q278" s="443"/>
      <c r="R278" s="443"/>
      <c r="S278" s="444"/>
      <c r="T278" s="445"/>
      <c r="U278" s="446" t="str">
        <f t="shared" ca="1" si="20"/>
        <v/>
      </c>
      <c r="V278" s="447" t="str">
        <f t="shared" ca="1" si="21"/>
        <v/>
      </c>
      <c r="W278" s="446" t="str">
        <f t="shared" ca="1" si="22"/>
        <v/>
      </c>
      <c r="X278" s="448" t="str">
        <f t="shared" ca="1" si="23"/>
        <v/>
      </c>
      <c r="Y278" s="447" t="str">
        <f t="shared" ca="1" si="24"/>
        <v/>
      </c>
      <c r="Z278" s="79"/>
    </row>
    <row r="279" spans="1:26" customFormat="1" ht="15">
      <c r="A279" s="231"/>
      <c r="B279" s="288">
        <v>241</v>
      </c>
      <c r="C279" s="260"/>
      <c r="D279" s="261"/>
      <c r="E279" s="252"/>
      <c r="F279" s="237"/>
      <c r="G279" s="244"/>
      <c r="H279" s="398">
        <v>265</v>
      </c>
      <c r="I279" s="417"/>
      <c r="J279" s="417"/>
      <c r="K279" s="426"/>
      <c r="L279" s="426"/>
      <c r="M279" s="426"/>
      <c r="N279" s="426"/>
      <c r="O279" s="465"/>
      <c r="P279" s="442" t="str" cm="1">
        <f t="array" aca="1" ref="P279" ca="1">IF(AND($Q$12,B303&lt;=$C$17,C303&lt;&gt;""),TRANSPOSE(INDEX(GetCDS(C303,$C$6,G303/10000,F303,D303,$C$13,$C$14,$C$15,$C$8,,,TRUE,TRUE,FALSE,$C$29:$C$31,$C$33),{1;2;3;4;5})),"")</f>
        <v/>
      </c>
      <c r="Q279" s="443"/>
      <c r="R279" s="443"/>
      <c r="S279" s="444"/>
      <c r="T279" s="445"/>
      <c r="U279" s="446" t="str">
        <f t="shared" ca="1" si="20"/>
        <v/>
      </c>
      <c r="V279" s="447" t="str">
        <f t="shared" ca="1" si="21"/>
        <v/>
      </c>
      <c r="W279" s="446" t="str">
        <f t="shared" ca="1" si="22"/>
        <v/>
      </c>
      <c r="X279" s="448" t="str">
        <f t="shared" ca="1" si="23"/>
        <v/>
      </c>
      <c r="Y279" s="447" t="str">
        <f t="shared" ca="1" si="24"/>
        <v/>
      </c>
      <c r="Z279" s="79"/>
    </row>
    <row r="280" spans="1:26" customFormat="1" ht="15">
      <c r="A280" s="231"/>
      <c r="B280" s="288">
        <v>242</v>
      </c>
      <c r="C280" s="260"/>
      <c r="D280" s="261"/>
      <c r="E280" s="252"/>
      <c r="F280" s="237"/>
      <c r="G280" s="244"/>
      <c r="H280" s="398">
        <v>266</v>
      </c>
      <c r="I280" s="417"/>
      <c r="J280" s="417"/>
      <c r="K280" s="426"/>
      <c r="L280" s="426"/>
      <c r="M280" s="426"/>
      <c r="N280" s="426"/>
      <c r="O280" s="465"/>
      <c r="P280" s="442" t="str" cm="1">
        <f t="array" aca="1" ref="P280" ca="1">IF(AND($Q$12,B304&lt;=$C$17,C304&lt;&gt;""),TRANSPOSE(INDEX(GetCDS(C304,$C$6,G304/10000,F304,D304,$C$13,$C$14,$C$15,$C$8,,,TRUE,TRUE,FALSE,$C$29:$C$31,$C$33),{1;2;3;4;5})),"")</f>
        <v/>
      </c>
      <c r="Q280" s="443"/>
      <c r="R280" s="443"/>
      <c r="S280" s="444"/>
      <c r="T280" s="445"/>
      <c r="U280" s="446" t="str">
        <f t="shared" ca="1" si="20"/>
        <v/>
      </c>
      <c r="V280" s="447" t="str">
        <f t="shared" ca="1" si="21"/>
        <v/>
      </c>
      <c r="W280" s="446" t="str">
        <f t="shared" ca="1" si="22"/>
        <v/>
      </c>
      <c r="X280" s="448" t="str">
        <f t="shared" ca="1" si="23"/>
        <v/>
      </c>
      <c r="Y280" s="447" t="str">
        <f t="shared" ca="1" si="24"/>
        <v/>
      </c>
      <c r="Z280" s="79"/>
    </row>
    <row r="281" spans="1:26" customFormat="1" ht="15">
      <c r="A281" s="231"/>
      <c r="B281" s="288">
        <v>243</v>
      </c>
      <c r="C281" s="260"/>
      <c r="D281" s="261"/>
      <c r="E281" s="252"/>
      <c r="F281" s="237"/>
      <c r="G281" s="244"/>
      <c r="H281" s="398">
        <v>267</v>
      </c>
      <c r="I281" s="417"/>
      <c r="J281" s="417"/>
      <c r="K281" s="426"/>
      <c r="L281" s="426"/>
      <c r="M281" s="426"/>
      <c r="N281" s="426"/>
      <c r="O281" s="465"/>
      <c r="P281" s="442" t="str" cm="1">
        <f t="array" aca="1" ref="P281" ca="1">IF(AND($Q$12,B305&lt;=$C$17,C305&lt;&gt;""),TRANSPOSE(INDEX(GetCDS(C305,$C$6,G305/10000,F305,D305,$C$13,$C$14,$C$15,$C$8,,,TRUE,TRUE,FALSE,$C$29:$C$31,$C$33),{1;2;3;4;5})),"")</f>
        <v/>
      </c>
      <c r="Q281" s="443"/>
      <c r="R281" s="443"/>
      <c r="S281" s="444"/>
      <c r="T281" s="445"/>
      <c r="U281" s="446" t="str">
        <f t="shared" ca="1" si="20"/>
        <v/>
      </c>
      <c r="V281" s="447" t="str">
        <f t="shared" ca="1" si="21"/>
        <v/>
      </c>
      <c r="W281" s="446" t="str">
        <f t="shared" ca="1" si="22"/>
        <v/>
      </c>
      <c r="X281" s="448" t="str">
        <f t="shared" ca="1" si="23"/>
        <v/>
      </c>
      <c r="Y281" s="447" t="str">
        <f t="shared" ca="1" si="24"/>
        <v/>
      </c>
      <c r="Z281" s="79"/>
    </row>
    <row r="282" spans="1:26" customFormat="1" ht="15">
      <c r="A282" s="231"/>
      <c r="B282" s="288">
        <v>244</v>
      </c>
      <c r="C282" s="260"/>
      <c r="D282" s="261"/>
      <c r="E282" s="252"/>
      <c r="F282" s="237"/>
      <c r="G282" s="244"/>
      <c r="H282" s="398">
        <v>268</v>
      </c>
      <c r="I282" s="417"/>
      <c r="J282" s="417"/>
      <c r="K282" s="426"/>
      <c r="L282" s="426"/>
      <c r="M282" s="426"/>
      <c r="N282" s="426"/>
      <c r="O282" s="465"/>
      <c r="P282" s="442" t="str" cm="1">
        <f t="array" aca="1" ref="P282" ca="1">IF(AND($Q$12,B306&lt;=$C$17,C306&lt;&gt;""),TRANSPOSE(INDEX(GetCDS(C306,$C$6,G306/10000,F306,D306,$C$13,$C$14,$C$15,$C$8,,,TRUE,TRUE,FALSE,$C$29:$C$31,$C$33),{1;2;3;4;5})),"")</f>
        <v/>
      </c>
      <c r="Q282" s="443"/>
      <c r="R282" s="443"/>
      <c r="S282" s="444"/>
      <c r="T282" s="445"/>
      <c r="U282" s="446" t="str">
        <f t="shared" ca="1" si="20"/>
        <v/>
      </c>
      <c r="V282" s="447" t="str">
        <f t="shared" ca="1" si="21"/>
        <v/>
      </c>
      <c r="W282" s="446" t="str">
        <f t="shared" ca="1" si="22"/>
        <v/>
      </c>
      <c r="X282" s="448" t="str">
        <f t="shared" ca="1" si="23"/>
        <v/>
      </c>
      <c r="Y282" s="447" t="str">
        <f t="shared" ca="1" si="24"/>
        <v/>
      </c>
      <c r="Z282" s="79"/>
    </row>
    <row r="283" spans="1:26" customFormat="1" ht="15">
      <c r="A283" s="231"/>
      <c r="B283" s="288">
        <v>245</v>
      </c>
      <c r="C283" s="260"/>
      <c r="D283" s="261"/>
      <c r="E283" s="252"/>
      <c r="F283" s="237"/>
      <c r="G283" s="244"/>
      <c r="H283" s="398">
        <v>269</v>
      </c>
      <c r="I283" s="417"/>
      <c r="J283" s="417"/>
      <c r="K283" s="426"/>
      <c r="L283" s="426"/>
      <c r="M283" s="426"/>
      <c r="N283" s="426"/>
      <c r="O283" s="465"/>
      <c r="P283" s="442" t="str" cm="1">
        <f t="array" aca="1" ref="P283" ca="1">IF(AND($Q$12,B307&lt;=$C$17,C307&lt;&gt;""),TRANSPOSE(INDEX(GetCDS(C307,$C$6,G307/10000,F307,D307,$C$13,$C$14,$C$15,$C$8,,,TRUE,TRUE,FALSE,$C$29:$C$31,$C$33),{1;2;3;4;5})),"")</f>
        <v/>
      </c>
      <c r="Q283" s="443"/>
      <c r="R283" s="443"/>
      <c r="S283" s="444"/>
      <c r="T283" s="445"/>
      <c r="U283" s="446" t="str">
        <f t="shared" ca="1" si="20"/>
        <v/>
      </c>
      <c r="V283" s="447" t="str">
        <f t="shared" ca="1" si="21"/>
        <v/>
      </c>
      <c r="W283" s="446" t="str">
        <f t="shared" ca="1" si="22"/>
        <v/>
      </c>
      <c r="X283" s="448" t="str">
        <f t="shared" ca="1" si="23"/>
        <v/>
      </c>
      <c r="Y283" s="447" t="str">
        <f t="shared" ca="1" si="24"/>
        <v/>
      </c>
      <c r="Z283" s="79"/>
    </row>
    <row r="284" spans="1:26" customFormat="1" ht="15">
      <c r="A284" s="231"/>
      <c r="B284" s="288">
        <v>246</v>
      </c>
      <c r="C284" s="260"/>
      <c r="D284" s="261"/>
      <c r="E284" s="252"/>
      <c r="F284" s="237"/>
      <c r="G284" s="244"/>
      <c r="H284" s="398">
        <v>270</v>
      </c>
      <c r="I284" s="417"/>
      <c r="J284" s="417"/>
      <c r="K284" s="426"/>
      <c r="L284" s="426"/>
      <c r="M284" s="426"/>
      <c r="N284" s="426"/>
      <c r="O284" s="465"/>
      <c r="P284" s="442" t="str" cm="1">
        <f t="array" aca="1" ref="P284" ca="1">IF(AND($Q$12,B308&lt;=$C$17,C308&lt;&gt;""),TRANSPOSE(INDEX(GetCDS(C308,$C$6,G308/10000,F308,D308,$C$13,$C$14,$C$15,$C$8,,,TRUE,TRUE,FALSE,$C$29:$C$31,$C$33),{1;2;3;4;5})),"")</f>
        <v/>
      </c>
      <c r="Q284" s="443"/>
      <c r="R284" s="443"/>
      <c r="S284" s="444"/>
      <c r="T284" s="445"/>
      <c r="U284" s="446" t="str">
        <f t="shared" ca="1" si="20"/>
        <v/>
      </c>
      <c r="V284" s="447" t="str">
        <f t="shared" ca="1" si="21"/>
        <v/>
      </c>
      <c r="W284" s="446" t="str">
        <f t="shared" ca="1" si="22"/>
        <v/>
      </c>
      <c r="X284" s="448" t="str">
        <f t="shared" ca="1" si="23"/>
        <v/>
      </c>
      <c r="Y284" s="447" t="str">
        <f t="shared" ca="1" si="24"/>
        <v/>
      </c>
      <c r="Z284" s="79"/>
    </row>
    <row r="285" spans="1:26" customFormat="1" ht="15">
      <c r="A285" s="231"/>
      <c r="B285" s="288">
        <v>247</v>
      </c>
      <c r="C285" s="260"/>
      <c r="D285" s="261"/>
      <c r="E285" s="252"/>
      <c r="F285" s="237"/>
      <c r="G285" s="244"/>
      <c r="H285" s="398">
        <v>271</v>
      </c>
      <c r="I285" s="417"/>
      <c r="J285" s="417"/>
      <c r="K285" s="426"/>
      <c r="L285" s="426"/>
      <c r="M285" s="426"/>
      <c r="N285" s="426"/>
      <c r="O285" s="465"/>
      <c r="P285" s="442" t="str" cm="1">
        <f t="array" aca="1" ref="P285" ca="1">IF(AND($Q$12,B309&lt;=$C$17,C309&lt;&gt;""),TRANSPOSE(INDEX(GetCDS(C309,$C$6,G309/10000,F309,D309,$C$13,$C$14,$C$15,$C$8,,,TRUE,TRUE,FALSE,$C$29:$C$31,$C$33),{1;2;3;4;5})),"")</f>
        <v/>
      </c>
      <c r="Q285" s="443"/>
      <c r="R285" s="443"/>
      <c r="S285" s="444"/>
      <c r="T285" s="445"/>
      <c r="U285" s="446" t="str">
        <f t="shared" ca="1" si="20"/>
        <v/>
      </c>
      <c r="V285" s="447" t="str">
        <f t="shared" ca="1" si="21"/>
        <v/>
      </c>
      <c r="W285" s="446" t="str">
        <f t="shared" ca="1" si="22"/>
        <v/>
      </c>
      <c r="X285" s="448" t="str">
        <f t="shared" ca="1" si="23"/>
        <v/>
      </c>
      <c r="Y285" s="447" t="str">
        <f t="shared" ca="1" si="24"/>
        <v/>
      </c>
      <c r="Z285" s="79"/>
    </row>
    <row r="286" spans="1:26" customFormat="1" ht="15">
      <c r="A286" s="231"/>
      <c r="B286" s="288">
        <v>248</v>
      </c>
      <c r="C286" s="260"/>
      <c r="D286" s="261"/>
      <c r="E286" s="252"/>
      <c r="F286" s="237"/>
      <c r="G286" s="244"/>
      <c r="H286" s="398">
        <v>272</v>
      </c>
      <c r="I286" s="417"/>
      <c r="J286" s="417"/>
      <c r="K286" s="426"/>
      <c r="L286" s="426"/>
      <c r="M286" s="426"/>
      <c r="N286" s="426"/>
      <c r="O286" s="465"/>
      <c r="P286" s="442" t="str" cm="1">
        <f t="array" aca="1" ref="P286" ca="1">IF(AND($Q$12,B310&lt;=$C$17,C310&lt;&gt;""),TRANSPOSE(INDEX(GetCDS(C310,$C$6,G310/10000,F310,D310,$C$13,$C$14,$C$15,$C$8,,,TRUE,TRUE,FALSE,$C$29:$C$31,$C$33),{1;2;3;4;5})),"")</f>
        <v/>
      </c>
      <c r="Q286" s="443"/>
      <c r="R286" s="443"/>
      <c r="S286" s="444"/>
      <c r="T286" s="445"/>
      <c r="U286" s="446" t="str">
        <f t="shared" ca="1" si="20"/>
        <v/>
      </c>
      <c r="V286" s="447" t="str">
        <f t="shared" ca="1" si="21"/>
        <v/>
      </c>
      <c r="W286" s="446" t="str">
        <f t="shared" ca="1" si="22"/>
        <v/>
      </c>
      <c r="X286" s="448" t="str">
        <f t="shared" ca="1" si="23"/>
        <v/>
      </c>
      <c r="Y286" s="447" t="str">
        <f t="shared" ca="1" si="24"/>
        <v/>
      </c>
      <c r="Z286" s="79"/>
    </row>
    <row r="287" spans="1:26" customFormat="1" ht="15">
      <c r="A287" s="231"/>
      <c r="B287" s="288">
        <v>249</v>
      </c>
      <c r="C287" s="260"/>
      <c r="D287" s="261"/>
      <c r="E287" s="252"/>
      <c r="F287" s="237"/>
      <c r="G287" s="244"/>
      <c r="H287" s="398">
        <v>273</v>
      </c>
      <c r="I287" s="417"/>
      <c r="J287" s="417"/>
      <c r="K287" s="426"/>
      <c r="L287" s="426"/>
      <c r="M287" s="426"/>
      <c r="N287" s="426"/>
      <c r="O287" s="465"/>
      <c r="P287" s="442" t="str" cm="1">
        <f t="array" aca="1" ref="P287" ca="1">IF(AND($Q$12,B311&lt;=$C$17,C311&lt;&gt;""),TRANSPOSE(INDEX(GetCDS(C311,$C$6,G311/10000,F311,D311,$C$13,$C$14,$C$15,$C$8,,,TRUE,TRUE,FALSE,$C$29:$C$31,$C$33),{1;2;3;4;5})),"")</f>
        <v/>
      </c>
      <c r="Q287" s="443"/>
      <c r="R287" s="443"/>
      <c r="S287" s="444"/>
      <c r="T287" s="445"/>
      <c r="U287" s="446" t="str">
        <f t="shared" ca="1" si="20"/>
        <v/>
      </c>
      <c r="V287" s="447" t="str">
        <f t="shared" ca="1" si="21"/>
        <v/>
      </c>
      <c r="W287" s="446" t="str">
        <f t="shared" ca="1" si="22"/>
        <v/>
      </c>
      <c r="X287" s="448" t="str">
        <f t="shared" ca="1" si="23"/>
        <v/>
      </c>
      <c r="Y287" s="447" t="str">
        <f t="shared" ca="1" si="24"/>
        <v/>
      </c>
      <c r="Z287" s="79"/>
    </row>
    <row r="288" spans="1:26" customFormat="1" ht="15">
      <c r="A288" s="231"/>
      <c r="B288" s="288">
        <v>250</v>
      </c>
      <c r="C288" s="260"/>
      <c r="D288" s="261"/>
      <c r="E288" s="252"/>
      <c r="F288" s="237"/>
      <c r="G288" s="244"/>
      <c r="H288" s="398">
        <v>274</v>
      </c>
      <c r="I288" s="417"/>
      <c r="J288" s="417"/>
      <c r="K288" s="426"/>
      <c r="L288" s="426"/>
      <c r="M288" s="426"/>
      <c r="N288" s="426"/>
      <c r="O288" s="465"/>
      <c r="P288" s="442" t="str" cm="1">
        <f t="array" aca="1" ref="P288" ca="1">IF(AND($Q$12,B312&lt;=$C$17,C312&lt;&gt;""),TRANSPOSE(INDEX(GetCDS(C312,$C$6,G312/10000,F312,D312,$C$13,$C$14,$C$15,$C$8,,,TRUE,TRUE,FALSE,$C$29:$C$31,$C$33),{1;2;3;4;5})),"")</f>
        <v/>
      </c>
      <c r="Q288" s="443"/>
      <c r="R288" s="443"/>
      <c r="S288" s="444"/>
      <c r="T288" s="445"/>
      <c r="U288" s="446" t="str">
        <f t="shared" ca="1" si="20"/>
        <v/>
      </c>
      <c r="V288" s="447" t="str">
        <f t="shared" ca="1" si="21"/>
        <v/>
      </c>
      <c r="W288" s="446" t="str">
        <f t="shared" ca="1" si="22"/>
        <v/>
      </c>
      <c r="X288" s="448" t="str">
        <f t="shared" ca="1" si="23"/>
        <v/>
      </c>
      <c r="Y288" s="447" t="str">
        <f t="shared" ca="1" si="24"/>
        <v/>
      </c>
      <c r="Z288" s="79"/>
    </row>
    <row r="289" spans="1:26" customFormat="1" ht="15">
      <c r="A289" s="231"/>
      <c r="B289" s="288">
        <v>251</v>
      </c>
      <c r="C289" s="260"/>
      <c r="D289" s="261"/>
      <c r="E289" s="252"/>
      <c r="F289" s="237"/>
      <c r="G289" s="244"/>
      <c r="H289" s="398">
        <v>275</v>
      </c>
      <c r="I289" s="417"/>
      <c r="J289" s="417"/>
      <c r="K289" s="426"/>
      <c r="L289" s="426"/>
      <c r="M289" s="426"/>
      <c r="N289" s="426"/>
      <c r="O289" s="465"/>
      <c r="P289" s="442" t="str" cm="1">
        <f t="array" aca="1" ref="P289" ca="1">IF(AND($Q$12,B313&lt;=$C$17,C313&lt;&gt;""),TRANSPOSE(INDEX(GetCDS(C313,$C$6,G313/10000,F313,D313,$C$13,$C$14,$C$15,$C$8,,,TRUE,TRUE,FALSE,$C$29:$C$31,$C$33),{1;2;3;4;5})),"")</f>
        <v/>
      </c>
      <c r="Q289" s="443"/>
      <c r="R289" s="443"/>
      <c r="S289" s="444"/>
      <c r="T289" s="445"/>
      <c r="U289" s="446" t="str">
        <f t="shared" ca="1" si="20"/>
        <v/>
      </c>
      <c r="V289" s="447" t="str">
        <f t="shared" ca="1" si="21"/>
        <v/>
      </c>
      <c r="W289" s="446" t="str">
        <f t="shared" ca="1" si="22"/>
        <v/>
      </c>
      <c r="X289" s="448" t="str">
        <f t="shared" ca="1" si="23"/>
        <v/>
      </c>
      <c r="Y289" s="447" t="str">
        <f t="shared" ca="1" si="24"/>
        <v/>
      </c>
      <c r="Z289" s="79"/>
    </row>
    <row r="290" spans="1:26" customFormat="1" ht="15">
      <c r="A290" s="231"/>
      <c r="B290" s="288">
        <v>252</v>
      </c>
      <c r="C290" s="260"/>
      <c r="D290" s="261"/>
      <c r="E290" s="252"/>
      <c r="F290" s="237"/>
      <c r="G290" s="244"/>
      <c r="H290" s="398">
        <v>276</v>
      </c>
      <c r="I290" s="417"/>
      <c r="J290" s="417"/>
      <c r="K290" s="426"/>
      <c r="L290" s="426"/>
      <c r="M290" s="426"/>
      <c r="N290" s="426"/>
      <c r="O290" s="465"/>
      <c r="P290" s="442" t="str" cm="1">
        <f t="array" aca="1" ref="P290" ca="1">IF(AND($Q$12,B314&lt;=$C$17,C314&lt;&gt;""),TRANSPOSE(INDEX(GetCDS(C314,$C$6,G314/10000,F314,D314,$C$13,$C$14,$C$15,$C$8,,,TRUE,TRUE,FALSE,$C$29:$C$31,$C$33),{1;2;3;4;5})),"")</f>
        <v/>
      </c>
      <c r="Q290" s="443"/>
      <c r="R290" s="443"/>
      <c r="S290" s="444"/>
      <c r="T290" s="445"/>
      <c r="U290" s="446" t="str">
        <f t="shared" ca="1" si="20"/>
        <v/>
      </c>
      <c r="V290" s="447" t="str">
        <f t="shared" ca="1" si="21"/>
        <v/>
      </c>
      <c r="W290" s="446" t="str">
        <f t="shared" ca="1" si="22"/>
        <v/>
      </c>
      <c r="X290" s="448" t="str">
        <f t="shared" ca="1" si="23"/>
        <v/>
      </c>
      <c r="Y290" s="447" t="str">
        <f t="shared" ca="1" si="24"/>
        <v/>
      </c>
      <c r="Z290" s="79"/>
    </row>
    <row r="291" spans="1:26" customFormat="1" ht="15">
      <c r="A291" s="231"/>
      <c r="B291" s="288">
        <v>253</v>
      </c>
      <c r="C291" s="260"/>
      <c r="D291" s="261"/>
      <c r="E291" s="252"/>
      <c r="F291" s="237"/>
      <c r="G291" s="244"/>
      <c r="H291" s="398">
        <v>277</v>
      </c>
      <c r="I291" s="417"/>
      <c r="J291" s="417"/>
      <c r="K291" s="426"/>
      <c r="L291" s="426"/>
      <c r="M291" s="426"/>
      <c r="N291" s="426"/>
      <c r="O291" s="465"/>
      <c r="P291" s="442" t="str" cm="1">
        <f t="array" aca="1" ref="P291" ca="1">IF(AND($Q$12,B315&lt;=$C$17,C315&lt;&gt;""),TRANSPOSE(INDEX(GetCDS(C315,$C$6,G315/10000,F315,D315,$C$13,$C$14,$C$15,$C$8,,,TRUE,TRUE,FALSE,$C$29:$C$31,$C$33),{1;2;3;4;5})),"")</f>
        <v/>
      </c>
      <c r="Q291" s="443"/>
      <c r="R291" s="443"/>
      <c r="S291" s="444"/>
      <c r="T291" s="445"/>
      <c r="U291" s="446" t="str">
        <f t="shared" ca="1" si="20"/>
        <v/>
      </c>
      <c r="V291" s="447" t="str">
        <f t="shared" ca="1" si="21"/>
        <v/>
      </c>
      <c r="W291" s="446" t="str">
        <f t="shared" ca="1" si="22"/>
        <v/>
      </c>
      <c r="X291" s="448" t="str">
        <f t="shared" ca="1" si="23"/>
        <v/>
      </c>
      <c r="Y291" s="447" t="str">
        <f t="shared" ca="1" si="24"/>
        <v/>
      </c>
      <c r="Z291" s="79"/>
    </row>
    <row r="292" spans="1:26" customFormat="1" ht="15">
      <c r="A292" s="231"/>
      <c r="B292" s="288">
        <v>254</v>
      </c>
      <c r="C292" s="260"/>
      <c r="D292" s="261"/>
      <c r="E292" s="252"/>
      <c r="F292" s="237"/>
      <c r="G292" s="244"/>
      <c r="H292" s="398">
        <v>278</v>
      </c>
      <c r="I292" s="417"/>
      <c r="J292" s="417"/>
      <c r="K292" s="426"/>
      <c r="L292" s="426"/>
      <c r="M292" s="426"/>
      <c r="N292" s="426"/>
      <c r="O292" s="465"/>
      <c r="P292" s="442" t="str" cm="1">
        <f t="array" aca="1" ref="P292" ca="1">IF(AND($Q$12,B316&lt;=$C$17,C316&lt;&gt;""),TRANSPOSE(INDEX(GetCDS(C316,$C$6,G316/10000,F316,D316,$C$13,$C$14,$C$15,$C$8,,,TRUE,TRUE,FALSE,$C$29:$C$31,$C$33),{1;2;3;4;5})),"")</f>
        <v/>
      </c>
      <c r="Q292" s="443"/>
      <c r="R292" s="443"/>
      <c r="S292" s="444"/>
      <c r="T292" s="445"/>
      <c r="U292" s="446" t="str">
        <f t="shared" ca="1" si="20"/>
        <v/>
      </c>
      <c r="V292" s="447" t="str">
        <f t="shared" ca="1" si="21"/>
        <v/>
      </c>
      <c r="W292" s="446" t="str">
        <f t="shared" ca="1" si="22"/>
        <v/>
      </c>
      <c r="X292" s="448" t="str">
        <f t="shared" ca="1" si="23"/>
        <v/>
      </c>
      <c r="Y292" s="447" t="str">
        <f t="shared" ca="1" si="24"/>
        <v/>
      </c>
      <c r="Z292" s="79"/>
    </row>
    <row r="293" spans="1:26" customFormat="1" ht="15">
      <c r="A293" s="231"/>
      <c r="B293" s="288">
        <v>255</v>
      </c>
      <c r="C293" s="260"/>
      <c r="D293" s="261"/>
      <c r="E293" s="252"/>
      <c r="F293" s="237"/>
      <c r="G293" s="244"/>
      <c r="H293" s="398">
        <v>279</v>
      </c>
      <c r="I293" s="417"/>
      <c r="J293" s="417"/>
      <c r="K293" s="426"/>
      <c r="L293" s="426"/>
      <c r="M293" s="426"/>
      <c r="N293" s="426"/>
      <c r="O293" s="465"/>
      <c r="P293" s="442" t="str" cm="1">
        <f t="array" aca="1" ref="P293" ca="1">IF(AND($Q$12,B317&lt;=$C$17,C317&lt;&gt;""),TRANSPOSE(INDEX(GetCDS(C317,$C$6,G317/10000,F317,D317,$C$13,$C$14,$C$15,$C$8,,,TRUE,TRUE,FALSE,$C$29:$C$31,$C$33),{1;2;3;4;5})),"")</f>
        <v/>
      </c>
      <c r="Q293" s="443"/>
      <c r="R293" s="443"/>
      <c r="S293" s="444"/>
      <c r="T293" s="445"/>
      <c r="U293" s="446" t="str">
        <f t="shared" ca="1" si="20"/>
        <v/>
      </c>
      <c r="V293" s="447" t="str">
        <f t="shared" ca="1" si="21"/>
        <v/>
      </c>
      <c r="W293" s="446" t="str">
        <f t="shared" ca="1" si="22"/>
        <v/>
      </c>
      <c r="X293" s="448" t="str">
        <f t="shared" ca="1" si="23"/>
        <v/>
      </c>
      <c r="Y293" s="447" t="str">
        <f t="shared" ca="1" si="24"/>
        <v/>
      </c>
      <c r="Z293" s="79"/>
    </row>
    <row r="294" spans="1:26" customFormat="1" ht="15">
      <c r="A294" s="231"/>
      <c r="B294" s="288">
        <v>256</v>
      </c>
      <c r="C294" s="260"/>
      <c r="D294" s="261"/>
      <c r="E294" s="252"/>
      <c r="F294" s="237"/>
      <c r="G294" s="244"/>
      <c r="H294" s="398">
        <v>280</v>
      </c>
      <c r="I294" s="417"/>
      <c r="J294" s="417"/>
      <c r="K294" s="426"/>
      <c r="L294" s="426"/>
      <c r="M294" s="426"/>
      <c r="N294" s="426"/>
      <c r="O294" s="465"/>
      <c r="P294" s="442" t="str" cm="1">
        <f t="array" aca="1" ref="P294" ca="1">IF(AND($Q$12,B318&lt;=$C$17,C318&lt;&gt;""),TRANSPOSE(INDEX(GetCDS(C318,$C$6,G318/10000,F318,D318,$C$13,$C$14,$C$15,$C$8,,,TRUE,TRUE,FALSE,$C$29:$C$31,$C$33),{1;2;3;4;5})),"")</f>
        <v/>
      </c>
      <c r="Q294" s="443"/>
      <c r="R294" s="443"/>
      <c r="S294" s="444"/>
      <c r="T294" s="445"/>
      <c r="U294" s="446" t="str">
        <f t="shared" ca="1" si="20"/>
        <v/>
      </c>
      <c r="V294" s="447" t="str">
        <f t="shared" ca="1" si="21"/>
        <v/>
      </c>
      <c r="W294" s="446" t="str">
        <f t="shared" ca="1" si="22"/>
        <v/>
      </c>
      <c r="X294" s="448" t="str">
        <f t="shared" ca="1" si="23"/>
        <v/>
      </c>
      <c r="Y294" s="447" t="str">
        <f t="shared" ca="1" si="24"/>
        <v/>
      </c>
      <c r="Z294" s="79"/>
    </row>
    <row r="295" spans="1:26" customFormat="1" ht="15">
      <c r="A295" s="231"/>
      <c r="B295" s="288">
        <v>257</v>
      </c>
      <c r="C295" s="260"/>
      <c r="D295" s="261"/>
      <c r="E295" s="252"/>
      <c r="F295" s="237"/>
      <c r="G295" s="244"/>
      <c r="H295" s="398">
        <v>281</v>
      </c>
      <c r="I295" s="417"/>
      <c r="J295" s="417"/>
      <c r="K295" s="426"/>
      <c r="L295" s="426"/>
      <c r="M295" s="426"/>
      <c r="N295" s="426"/>
      <c r="O295" s="465"/>
      <c r="P295" s="442" t="str" cm="1">
        <f t="array" aca="1" ref="P295" ca="1">IF(AND($Q$12,B319&lt;=$C$17,C319&lt;&gt;""),TRANSPOSE(INDEX(GetCDS(C319,$C$6,G319/10000,F319,D319,$C$13,$C$14,$C$15,$C$8,,,TRUE,TRUE,FALSE,$C$29:$C$31,$C$33),{1;2;3;4;5})),"")</f>
        <v/>
      </c>
      <c r="Q295" s="443"/>
      <c r="R295" s="443"/>
      <c r="S295" s="444"/>
      <c r="T295" s="445"/>
      <c r="U295" s="446" t="str">
        <f t="shared" ca="1" si="20"/>
        <v/>
      </c>
      <c r="V295" s="447" t="str">
        <f t="shared" ca="1" si="21"/>
        <v/>
      </c>
      <c r="W295" s="446" t="str">
        <f t="shared" ca="1" si="22"/>
        <v/>
      </c>
      <c r="X295" s="448" t="str">
        <f t="shared" ca="1" si="23"/>
        <v/>
      </c>
      <c r="Y295" s="447" t="str">
        <f t="shared" ca="1" si="24"/>
        <v/>
      </c>
      <c r="Z295" s="79"/>
    </row>
    <row r="296" spans="1:26" customFormat="1" ht="15">
      <c r="A296" s="231"/>
      <c r="B296" s="288">
        <v>258</v>
      </c>
      <c r="C296" s="260"/>
      <c r="D296" s="261"/>
      <c r="E296" s="252"/>
      <c r="F296" s="237"/>
      <c r="G296" s="244"/>
      <c r="H296" s="398">
        <v>282</v>
      </c>
      <c r="I296" s="417"/>
      <c r="J296" s="417"/>
      <c r="K296" s="426"/>
      <c r="L296" s="426"/>
      <c r="M296" s="426"/>
      <c r="N296" s="426"/>
      <c r="O296" s="465"/>
      <c r="P296" s="442" t="str" cm="1">
        <f t="array" aca="1" ref="P296" ca="1">IF(AND($Q$12,B320&lt;=$C$17,C320&lt;&gt;""),TRANSPOSE(INDEX(GetCDS(C320,$C$6,G320/10000,F320,D320,$C$13,$C$14,$C$15,$C$8,,,TRUE,TRUE,FALSE,$C$29:$C$31,$C$33),{1;2;3;4;5})),"")</f>
        <v/>
      </c>
      <c r="Q296" s="443"/>
      <c r="R296" s="443"/>
      <c r="S296" s="444"/>
      <c r="T296" s="445"/>
      <c r="U296" s="446" t="str">
        <f t="shared" ca="1" si="20"/>
        <v/>
      </c>
      <c r="V296" s="447" t="str">
        <f t="shared" ca="1" si="21"/>
        <v/>
      </c>
      <c r="W296" s="446" t="str">
        <f t="shared" ca="1" si="22"/>
        <v/>
      </c>
      <c r="X296" s="448" t="str">
        <f t="shared" ca="1" si="23"/>
        <v/>
      </c>
      <c r="Y296" s="447" t="str">
        <f t="shared" ca="1" si="24"/>
        <v/>
      </c>
      <c r="Z296" s="79"/>
    </row>
    <row r="297" spans="1:26" customFormat="1" ht="15">
      <c r="A297" s="231"/>
      <c r="B297" s="288">
        <v>259</v>
      </c>
      <c r="C297" s="260"/>
      <c r="D297" s="261"/>
      <c r="E297" s="252"/>
      <c r="F297" s="237"/>
      <c r="G297" s="244"/>
      <c r="H297" s="398">
        <v>283</v>
      </c>
      <c r="I297" s="417"/>
      <c r="J297" s="417"/>
      <c r="K297" s="426"/>
      <c r="L297" s="426"/>
      <c r="M297" s="426"/>
      <c r="N297" s="426"/>
      <c r="O297" s="465"/>
      <c r="P297" s="442" t="str" cm="1">
        <f t="array" aca="1" ref="P297" ca="1">IF(AND($Q$12,B321&lt;=$C$17,C321&lt;&gt;""),TRANSPOSE(INDEX(GetCDS(C321,$C$6,G321/10000,F321,D321,$C$13,$C$14,$C$15,$C$8,,,TRUE,TRUE,FALSE,$C$29:$C$31,$C$33),{1;2;3;4;5})),"")</f>
        <v/>
      </c>
      <c r="Q297" s="443"/>
      <c r="R297" s="443"/>
      <c r="S297" s="444"/>
      <c r="T297" s="445"/>
      <c r="U297" s="446" t="str">
        <f t="shared" ca="1" si="20"/>
        <v/>
      </c>
      <c r="V297" s="447" t="str">
        <f t="shared" ca="1" si="21"/>
        <v/>
      </c>
      <c r="W297" s="446" t="str">
        <f t="shared" ca="1" si="22"/>
        <v/>
      </c>
      <c r="X297" s="448" t="str">
        <f t="shared" ca="1" si="23"/>
        <v/>
      </c>
      <c r="Y297" s="447" t="str">
        <f t="shared" ca="1" si="24"/>
        <v/>
      </c>
      <c r="Z297" s="79"/>
    </row>
    <row r="298" spans="1:26" customFormat="1" ht="15">
      <c r="A298" s="231"/>
      <c r="B298" s="288">
        <v>260</v>
      </c>
      <c r="C298" s="260"/>
      <c r="D298" s="261"/>
      <c r="E298" s="252"/>
      <c r="F298" s="237"/>
      <c r="G298" s="244"/>
      <c r="H298" s="398">
        <v>284</v>
      </c>
      <c r="I298" s="417"/>
      <c r="J298" s="417"/>
      <c r="K298" s="426"/>
      <c r="L298" s="426"/>
      <c r="M298" s="426"/>
      <c r="N298" s="426"/>
      <c r="O298" s="465"/>
      <c r="P298" s="442" t="str" cm="1">
        <f t="array" aca="1" ref="P298" ca="1">IF(AND($Q$12,B322&lt;=$C$17,C322&lt;&gt;""),TRANSPOSE(INDEX(GetCDS(C322,$C$6,G322/10000,F322,D322,$C$13,$C$14,$C$15,$C$8,,,TRUE,TRUE,FALSE,$C$29:$C$31,$C$33),{1;2;3;4;5})),"")</f>
        <v/>
      </c>
      <c r="Q298" s="443"/>
      <c r="R298" s="443"/>
      <c r="S298" s="444"/>
      <c r="T298" s="445"/>
      <c r="U298" s="446" t="str">
        <f t="shared" ca="1" si="20"/>
        <v/>
      </c>
      <c r="V298" s="447" t="str">
        <f t="shared" ca="1" si="21"/>
        <v/>
      </c>
      <c r="W298" s="446" t="str">
        <f t="shared" ca="1" si="22"/>
        <v/>
      </c>
      <c r="X298" s="448" t="str">
        <f t="shared" ca="1" si="23"/>
        <v/>
      </c>
      <c r="Y298" s="447" t="str">
        <f t="shared" ca="1" si="24"/>
        <v/>
      </c>
      <c r="Z298" s="79"/>
    </row>
    <row r="299" spans="1:26" customFormat="1" ht="15">
      <c r="A299" s="231"/>
      <c r="B299" s="288">
        <v>261</v>
      </c>
      <c r="C299" s="260"/>
      <c r="D299" s="261"/>
      <c r="E299" s="252"/>
      <c r="F299" s="237"/>
      <c r="G299" s="244"/>
      <c r="H299" s="398">
        <v>285</v>
      </c>
      <c r="I299" s="417"/>
      <c r="J299" s="417"/>
      <c r="K299" s="426"/>
      <c r="L299" s="426"/>
      <c r="M299" s="426"/>
      <c r="N299" s="426"/>
      <c r="O299" s="465"/>
      <c r="P299" s="442" t="str" cm="1">
        <f t="array" aca="1" ref="P299" ca="1">IF(AND($Q$12,B323&lt;=$C$17,C323&lt;&gt;""),TRANSPOSE(INDEX(GetCDS(C323,$C$6,G323/10000,F323,D323,$C$13,$C$14,$C$15,$C$8,,,TRUE,TRUE,FALSE,$C$29:$C$31,$C$33),{1;2;3;4;5})),"")</f>
        <v/>
      </c>
      <c r="Q299" s="443"/>
      <c r="R299" s="443"/>
      <c r="S299" s="444"/>
      <c r="T299" s="445"/>
      <c r="U299" s="446" t="str">
        <f t="shared" ca="1" si="20"/>
        <v/>
      </c>
      <c r="V299" s="447" t="str">
        <f t="shared" ca="1" si="21"/>
        <v/>
      </c>
      <c r="W299" s="446" t="str">
        <f t="shared" ca="1" si="22"/>
        <v/>
      </c>
      <c r="X299" s="448" t="str">
        <f t="shared" ca="1" si="23"/>
        <v/>
      </c>
      <c r="Y299" s="447" t="str">
        <f t="shared" ca="1" si="24"/>
        <v/>
      </c>
      <c r="Z299" s="79"/>
    </row>
    <row r="300" spans="1:26" customFormat="1" ht="15">
      <c r="A300" s="231"/>
      <c r="B300" s="288">
        <v>262</v>
      </c>
      <c r="C300" s="260"/>
      <c r="D300" s="261"/>
      <c r="E300" s="252"/>
      <c r="F300" s="237"/>
      <c r="G300" s="244"/>
      <c r="H300" s="398">
        <v>286</v>
      </c>
      <c r="I300" s="417"/>
      <c r="J300" s="417"/>
      <c r="K300" s="426"/>
      <c r="L300" s="426"/>
      <c r="M300" s="426"/>
      <c r="N300" s="426"/>
      <c r="O300" s="465"/>
      <c r="P300" s="442" t="str" cm="1">
        <f t="array" aca="1" ref="P300" ca="1">IF(AND($Q$12,B324&lt;=$C$17,C324&lt;&gt;""),TRANSPOSE(INDEX(GetCDS(C324,$C$6,G324/10000,F324,D324,$C$13,$C$14,$C$15,$C$8,,,TRUE,TRUE,FALSE,$C$29:$C$31,$C$33),{1;2;3;4;5})),"")</f>
        <v/>
      </c>
      <c r="Q300" s="443"/>
      <c r="R300" s="443"/>
      <c r="S300" s="444"/>
      <c r="T300" s="445"/>
      <c r="U300" s="446" t="str">
        <f t="shared" ca="1" si="20"/>
        <v/>
      </c>
      <c r="V300" s="447" t="str">
        <f t="shared" ca="1" si="21"/>
        <v/>
      </c>
      <c r="W300" s="446" t="str">
        <f t="shared" ca="1" si="22"/>
        <v/>
      </c>
      <c r="X300" s="448" t="str">
        <f t="shared" ca="1" si="23"/>
        <v/>
      </c>
      <c r="Y300" s="447" t="str">
        <f t="shared" ca="1" si="24"/>
        <v/>
      </c>
      <c r="Z300" s="79"/>
    </row>
    <row r="301" spans="1:26" customFormat="1" ht="15">
      <c r="A301" s="231"/>
      <c r="B301" s="288">
        <v>263</v>
      </c>
      <c r="C301" s="260"/>
      <c r="D301" s="261"/>
      <c r="E301" s="252"/>
      <c r="F301" s="237"/>
      <c r="G301" s="244"/>
      <c r="H301" s="398">
        <v>287</v>
      </c>
      <c r="I301" s="417"/>
      <c r="J301" s="417"/>
      <c r="K301" s="426"/>
      <c r="L301" s="426"/>
      <c r="M301" s="426"/>
      <c r="N301" s="426"/>
      <c r="O301" s="465"/>
      <c r="P301" s="442" t="str" cm="1">
        <f t="array" aca="1" ref="P301" ca="1">IF(AND($Q$12,B325&lt;=$C$17,C325&lt;&gt;""),TRANSPOSE(INDEX(GetCDS(C325,$C$6,G325/10000,F325,D325,$C$13,$C$14,$C$15,$C$8,,,TRUE,TRUE,FALSE,$C$29:$C$31,$C$33),{1;2;3;4;5})),"")</f>
        <v/>
      </c>
      <c r="Q301" s="443"/>
      <c r="R301" s="443"/>
      <c r="S301" s="444"/>
      <c r="T301" s="445"/>
      <c r="U301" s="446" t="str">
        <f t="shared" ca="1" si="20"/>
        <v/>
      </c>
      <c r="V301" s="447" t="str">
        <f t="shared" ca="1" si="21"/>
        <v/>
      </c>
      <c r="W301" s="446" t="str">
        <f t="shared" ca="1" si="22"/>
        <v/>
      </c>
      <c r="X301" s="448" t="str">
        <f t="shared" ca="1" si="23"/>
        <v/>
      </c>
      <c r="Y301" s="447" t="str">
        <f t="shared" ca="1" si="24"/>
        <v/>
      </c>
      <c r="Z301" s="79"/>
    </row>
    <row r="302" spans="1:26" customFormat="1" ht="15">
      <c r="A302" s="231"/>
      <c r="B302" s="288">
        <v>264</v>
      </c>
      <c r="C302" s="260"/>
      <c r="D302" s="261"/>
      <c r="E302" s="252"/>
      <c r="F302" s="237"/>
      <c r="G302" s="244"/>
      <c r="H302" s="398">
        <v>288</v>
      </c>
      <c r="I302" s="417"/>
      <c r="J302" s="417"/>
      <c r="K302" s="426"/>
      <c r="L302" s="426"/>
      <c r="M302" s="426"/>
      <c r="N302" s="426"/>
      <c r="O302" s="465"/>
      <c r="P302" s="442" t="str" cm="1">
        <f t="array" aca="1" ref="P302" ca="1">IF(AND($Q$12,B326&lt;=$C$17,C326&lt;&gt;""),TRANSPOSE(INDEX(GetCDS(C326,$C$6,G326/10000,F326,D326,$C$13,$C$14,$C$15,$C$8,,,TRUE,TRUE,FALSE,$C$29:$C$31,$C$33),{1;2;3;4;5})),"")</f>
        <v/>
      </c>
      <c r="Q302" s="443"/>
      <c r="R302" s="443"/>
      <c r="S302" s="444"/>
      <c r="T302" s="445"/>
      <c r="U302" s="446" t="str">
        <f t="shared" ca="1" si="20"/>
        <v/>
      </c>
      <c r="V302" s="447" t="str">
        <f t="shared" ca="1" si="21"/>
        <v/>
      </c>
      <c r="W302" s="446" t="str">
        <f t="shared" ca="1" si="22"/>
        <v/>
      </c>
      <c r="X302" s="448" t="str">
        <f t="shared" ca="1" si="23"/>
        <v/>
      </c>
      <c r="Y302" s="447" t="str">
        <f t="shared" ca="1" si="24"/>
        <v/>
      </c>
      <c r="Z302" s="79"/>
    </row>
    <row r="303" spans="1:26" customFormat="1" ht="15">
      <c r="A303" s="231"/>
      <c r="B303" s="288">
        <v>265</v>
      </c>
      <c r="C303" s="260"/>
      <c r="D303" s="261"/>
      <c r="E303" s="252"/>
      <c r="F303" s="237"/>
      <c r="G303" s="244"/>
      <c r="H303" s="398">
        <v>289</v>
      </c>
      <c r="I303" s="417"/>
      <c r="J303" s="417"/>
      <c r="K303" s="426"/>
      <c r="L303" s="426"/>
      <c r="M303" s="426"/>
      <c r="N303" s="426"/>
      <c r="O303" s="465"/>
      <c r="P303" s="442" t="str" cm="1">
        <f t="array" aca="1" ref="P303" ca="1">IF(AND($Q$12,B327&lt;=$C$17,C327&lt;&gt;""),TRANSPOSE(INDEX(GetCDS(C327,$C$6,G327/10000,F327,D327,$C$13,$C$14,$C$15,$C$8,,,TRUE,TRUE,FALSE,$C$29:$C$31,$C$33),{1;2;3;4;5})),"")</f>
        <v/>
      </c>
      <c r="Q303" s="443"/>
      <c r="R303" s="443"/>
      <c r="S303" s="444"/>
      <c r="T303" s="445"/>
      <c r="U303" s="446" t="str">
        <f t="shared" ca="1" si="20"/>
        <v/>
      </c>
      <c r="V303" s="447" t="str">
        <f t="shared" ca="1" si="21"/>
        <v/>
      </c>
      <c r="W303" s="446" t="str">
        <f t="shared" ca="1" si="22"/>
        <v/>
      </c>
      <c r="X303" s="448" t="str">
        <f t="shared" ca="1" si="23"/>
        <v/>
      </c>
      <c r="Y303" s="447" t="str">
        <f t="shared" ca="1" si="24"/>
        <v/>
      </c>
      <c r="Z303" s="79"/>
    </row>
    <row r="304" spans="1:26" customFormat="1" ht="15">
      <c r="A304" s="231"/>
      <c r="B304" s="288">
        <v>266</v>
      </c>
      <c r="C304" s="260"/>
      <c r="D304" s="261"/>
      <c r="E304" s="252"/>
      <c r="F304" s="237"/>
      <c r="G304" s="244"/>
      <c r="H304" s="398">
        <v>290</v>
      </c>
      <c r="I304" s="417"/>
      <c r="J304" s="417"/>
      <c r="K304" s="426"/>
      <c r="L304" s="426"/>
      <c r="M304" s="426"/>
      <c r="N304" s="426"/>
      <c r="O304" s="465"/>
      <c r="P304" s="442" t="str" cm="1">
        <f t="array" aca="1" ref="P304" ca="1">IF(AND($Q$12,B328&lt;=$C$17,C328&lt;&gt;""),TRANSPOSE(INDEX(GetCDS(C328,$C$6,G328/10000,F328,D328,$C$13,$C$14,$C$15,$C$8,,,TRUE,TRUE,FALSE,$C$29:$C$31,$C$33),{1;2;3;4;5})),"")</f>
        <v/>
      </c>
      <c r="Q304" s="443"/>
      <c r="R304" s="443"/>
      <c r="S304" s="444"/>
      <c r="T304" s="445"/>
      <c r="U304" s="446" t="str">
        <f t="shared" ca="1" si="20"/>
        <v/>
      </c>
      <c r="V304" s="447" t="str">
        <f t="shared" ca="1" si="21"/>
        <v/>
      </c>
      <c r="W304" s="446" t="str">
        <f t="shared" ca="1" si="22"/>
        <v/>
      </c>
      <c r="X304" s="448" t="str">
        <f t="shared" ca="1" si="23"/>
        <v/>
      </c>
      <c r="Y304" s="447" t="str">
        <f t="shared" ca="1" si="24"/>
        <v/>
      </c>
      <c r="Z304" s="79"/>
    </row>
    <row r="305" spans="1:26" customFormat="1" ht="15">
      <c r="A305" s="231"/>
      <c r="B305" s="288">
        <v>267</v>
      </c>
      <c r="C305" s="260"/>
      <c r="D305" s="261"/>
      <c r="E305" s="252"/>
      <c r="F305" s="237"/>
      <c r="G305" s="244"/>
      <c r="H305" s="398">
        <v>291</v>
      </c>
      <c r="I305" s="417"/>
      <c r="J305" s="417"/>
      <c r="K305" s="426"/>
      <c r="L305" s="426"/>
      <c r="M305" s="426"/>
      <c r="N305" s="426"/>
      <c r="O305" s="465"/>
      <c r="P305" s="442" t="str" cm="1">
        <f t="array" aca="1" ref="P305" ca="1">IF(AND($Q$12,B329&lt;=$C$17,C329&lt;&gt;""),TRANSPOSE(INDEX(GetCDS(C329,$C$6,G329/10000,F329,D329,$C$13,$C$14,$C$15,$C$8,,,TRUE,TRUE,FALSE,$C$29:$C$31,$C$33),{1;2;3;4;5})),"")</f>
        <v/>
      </c>
      <c r="Q305" s="443"/>
      <c r="R305" s="443"/>
      <c r="S305" s="444"/>
      <c r="T305" s="445"/>
      <c r="U305" s="446" t="str">
        <f t="shared" ca="1" si="20"/>
        <v/>
      </c>
      <c r="V305" s="447" t="str">
        <f t="shared" ca="1" si="21"/>
        <v/>
      </c>
      <c r="W305" s="446" t="str">
        <f t="shared" ca="1" si="22"/>
        <v/>
      </c>
      <c r="X305" s="448" t="str">
        <f t="shared" ca="1" si="23"/>
        <v/>
      </c>
      <c r="Y305" s="447" t="str">
        <f t="shared" ca="1" si="24"/>
        <v/>
      </c>
      <c r="Z305" s="79"/>
    </row>
    <row r="306" spans="1:26" customFormat="1" ht="15">
      <c r="A306" s="231"/>
      <c r="B306" s="288">
        <v>268</v>
      </c>
      <c r="C306" s="260"/>
      <c r="D306" s="261"/>
      <c r="E306" s="252"/>
      <c r="F306" s="237"/>
      <c r="G306" s="244"/>
      <c r="H306" s="398">
        <v>292</v>
      </c>
      <c r="I306" s="417"/>
      <c r="J306" s="417"/>
      <c r="K306" s="426"/>
      <c r="L306" s="426"/>
      <c r="M306" s="426"/>
      <c r="N306" s="426"/>
      <c r="O306" s="465"/>
      <c r="P306" s="442" t="str" cm="1">
        <f t="array" aca="1" ref="P306" ca="1">IF(AND($Q$12,B330&lt;=$C$17,C330&lt;&gt;""),TRANSPOSE(INDEX(GetCDS(C330,$C$6,G330/10000,F330,D330,$C$13,$C$14,$C$15,$C$8,,,TRUE,TRUE,FALSE,$C$29:$C$31,$C$33),{1;2;3;4;5})),"")</f>
        <v/>
      </c>
      <c r="Q306" s="443"/>
      <c r="R306" s="443"/>
      <c r="S306" s="444"/>
      <c r="T306" s="445"/>
      <c r="U306" s="446" t="str">
        <f t="shared" ca="1" si="20"/>
        <v/>
      </c>
      <c r="V306" s="447" t="str">
        <f t="shared" ca="1" si="21"/>
        <v/>
      </c>
      <c r="W306" s="446" t="str">
        <f t="shared" ca="1" si="22"/>
        <v/>
      </c>
      <c r="X306" s="448" t="str">
        <f t="shared" ca="1" si="23"/>
        <v/>
      </c>
      <c r="Y306" s="447" t="str">
        <f t="shared" ca="1" si="24"/>
        <v/>
      </c>
      <c r="Z306" s="79"/>
    </row>
    <row r="307" spans="1:26" customFormat="1" ht="15">
      <c r="A307" s="231"/>
      <c r="B307" s="288">
        <v>269</v>
      </c>
      <c r="C307" s="260"/>
      <c r="D307" s="261"/>
      <c r="E307" s="252"/>
      <c r="F307" s="237"/>
      <c r="G307" s="244"/>
      <c r="H307" s="398">
        <v>293</v>
      </c>
      <c r="I307" s="417"/>
      <c r="J307" s="417"/>
      <c r="K307" s="426"/>
      <c r="L307" s="426"/>
      <c r="M307" s="426"/>
      <c r="N307" s="426"/>
      <c r="O307" s="465"/>
      <c r="P307" s="442" t="str" cm="1">
        <f t="array" aca="1" ref="P307" ca="1">IF(AND($Q$12,B331&lt;=$C$17,C331&lt;&gt;""),TRANSPOSE(INDEX(GetCDS(C331,$C$6,G331/10000,F331,D331,$C$13,$C$14,$C$15,$C$8,,,TRUE,TRUE,FALSE,$C$29:$C$31,$C$33),{1;2;3;4;5})),"")</f>
        <v/>
      </c>
      <c r="Q307" s="443"/>
      <c r="R307" s="443"/>
      <c r="S307" s="444"/>
      <c r="T307" s="445"/>
      <c r="U307" s="446" t="str">
        <f t="shared" ca="1" si="20"/>
        <v/>
      </c>
      <c r="V307" s="447" t="str">
        <f t="shared" ca="1" si="21"/>
        <v/>
      </c>
      <c r="W307" s="446" t="str">
        <f t="shared" ca="1" si="22"/>
        <v/>
      </c>
      <c r="X307" s="448" t="str">
        <f t="shared" ca="1" si="23"/>
        <v/>
      </c>
      <c r="Y307" s="447" t="str">
        <f t="shared" ca="1" si="24"/>
        <v/>
      </c>
      <c r="Z307" s="79"/>
    </row>
    <row r="308" spans="1:26" customFormat="1" ht="15">
      <c r="A308" s="231"/>
      <c r="B308" s="288">
        <v>270</v>
      </c>
      <c r="C308" s="260"/>
      <c r="D308" s="261"/>
      <c r="E308" s="252"/>
      <c r="F308" s="237"/>
      <c r="G308" s="244"/>
      <c r="H308" s="398">
        <v>294</v>
      </c>
      <c r="I308" s="417"/>
      <c r="J308" s="417"/>
      <c r="K308" s="426"/>
      <c r="L308" s="426"/>
      <c r="M308" s="426"/>
      <c r="N308" s="426"/>
      <c r="O308" s="465"/>
      <c r="P308" s="442" t="str" cm="1">
        <f t="array" aca="1" ref="P308" ca="1">IF(AND($Q$12,B332&lt;=$C$17,C332&lt;&gt;""),TRANSPOSE(INDEX(GetCDS(C332,$C$6,G332/10000,F332,D332,$C$13,$C$14,$C$15,$C$8,,,TRUE,TRUE,FALSE,$C$29:$C$31,$C$33),{1;2;3;4;5})),"")</f>
        <v/>
      </c>
      <c r="Q308" s="443"/>
      <c r="R308" s="443"/>
      <c r="S308" s="444"/>
      <c r="T308" s="445"/>
      <c r="U308" s="446" t="str">
        <f t="shared" ca="1" si="20"/>
        <v/>
      </c>
      <c r="V308" s="447" t="str">
        <f t="shared" ca="1" si="21"/>
        <v/>
      </c>
      <c r="W308" s="446" t="str">
        <f t="shared" ca="1" si="22"/>
        <v/>
      </c>
      <c r="X308" s="448" t="str">
        <f t="shared" ca="1" si="23"/>
        <v/>
      </c>
      <c r="Y308" s="447" t="str">
        <f t="shared" ca="1" si="24"/>
        <v/>
      </c>
      <c r="Z308" s="79"/>
    </row>
    <row r="309" spans="1:26" customFormat="1" ht="15">
      <c r="A309" s="231"/>
      <c r="B309" s="288">
        <v>271</v>
      </c>
      <c r="C309" s="260"/>
      <c r="D309" s="261"/>
      <c r="E309" s="252"/>
      <c r="F309" s="237"/>
      <c r="G309" s="244"/>
      <c r="H309" s="398">
        <v>295</v>
      </c>
      <c r="I309" s="417"/>
      <c r="J309" s="417"/>
      <c r="K309" s="426"/>
      <c r="L309" s="426"/>
      <c r="M309" s="426"/>
      <c r="N309" s="426"/>
      <c r="O309" s="465"/>
      <c r="P309" s="442" t="str" cm="1">
        <f t="array" aca="1" ref="P309" ca="1">IF(AND($Q$12,B333&lt;=$C$17,C333&lt;&gt;""),TRANSPOSE(INDEX(GetCDS(C333,$C$6,G333/10000,F333,D333,$C$13,$C$14,$C$15,$C$8,,,TRUE,TRUE,FALSE,$C$29:$C$31,$C$33),{1;2;3;4;5})),"")</f>
        <v/>
      </c>
      <c r="Q309" s="443"/>
      <c r="R309" s="443"/>
      <c r="S309" s="444"/>
      <c r="T309" s="445"/>
      <c r="U309" s="446" t="str">
        <f t="shared" ca="1" si="20"/>
        <v/>
      </c>
      <c r="V309" s="447" t="str">
        <f t="shared" ca="1" si="21"/>
        <v/>
      </c>
      <c r="W309" s="446" t="str">
        <f t="shared" ca="1" si="22"/>
        <v/>
      </c>
      <c r="X309" s="448" t="str">
        <f t="shared" ca="1" si="23"/>
        <v/>
      </c>
      <c r="Y309" s="447" t="str">
        <f t="shared" ca="1" si="24"/>
        <v/>
      </c>
      <c r="Z309" s="79"/>
    </row>
    <row r="310" spans="1:26" customFormat="1" ht="15">
      <c r="A310" s="231"/>
      <c r="B310" s="288">
        <v>272</v>
      </c>
      <c r="C310" s="260"/>
      <c r="D310" s="261"/>
      <c r="E310" s="252"/>
      <c r="F310" s="237"/>
      <c r="G310" s="244"/>
      <c r="H310" s="398">
        <v>296</v>
      </c>
      <c r="I310" s="417"/>
      <c r="J310" s="417"/>
      <c r="K310" s="426"/>
      <c r="L310" s="426"/>
      <c r="M310" s="426"/>
      <c r="N310" s="426"/>
      <c r="O310" s="465"/>
      <c r="P310" s="442" t="str" cm="1">
        <f t="array" aca="1" ref="P310" ca="1">IF(AND($Q$12,B334&lt;=$C$17,C334&lt;&gt;""),TRANSPOSE(INDEX(GetCDS(C334,$C$6,G334/10000,F334,D334,$C$13,$C$14,$C$15,$C$8,,,TRUE,TRUE,FALSE,$C$29:$C$31,$C$33),{1;2;3;4;5})),"")</f>
        <v/>
      </c>
      <c r="Q310" s="443"/>
      <c r="R310" s="443"/>
      <c r="S310" s="444"/>
      <c r="T310" s="445"/>
      <c r="U310" s="446" t="str">
        <f t="shared" ca="1" si="20"/>
        <v/>
      </c>
      <c r="V310" s="447" t="str">
        <f t="shared" ca="1" si="21"/>
        <v/>
      </c>
      <c r="W310" s="446" t="str">
        <f t="shared" ca="1" si="22"/>
        <v/>
      </c>
      <c r="X310" s="448" t="str">
        <f t="shared" ca="1" si="23"/>
        <v/>
      </c>
      <c r="Y310" s="447" t="str">
        <f t="shared" ca="1" si="24"/>
        <v/>
      </c>
      <c r="Z310" s="79"/>
    </row>
    <row r="311" spans="1:26" customFormat="1" ht="15">
      <c r="A311" s="231"/>
      <c r="B311" s="288">
        <v>273</v>
      </c>
      <c r="C311" s="260"/>
      <c r="D311" s="261"/>
      <c r="E311" s="252"/>
      <c r="F311" s="237"/>
      <c r="G311" s="244"/>
      <c r="H311" s="398">
        <v>297</v>
      </c>
      <c r="I311" s="417"/>
      <c r="J311" s="417"/>
      <c r="K311" s="426"/>
      <c r="L311" s="426"/>
      <c r="M311" s="426"/>
      <c r="N311" s="426"/>
      <c r="O311" s="465"/>
      <c r="P311" s="442" t="str" cm="1">
        <f t="array" aca="1" ref="P311" ca="1">IF(AND($Q$12,B335&lt;=$C$17,C335&lt;&gt;""),TRANSPOSE(INDEX(GetCDS(C335,$C$6,G335/10000,F335,D335,$C$13,$C$14,$C$15,$C$8,,,TRUE,TRUE,FALSE,$C$29:$C$31,$C$33),{1;2;3;4;5})),"")</f>
        <v/>
      </c>
      <c r="Q311" s="443"/>
      <c r="R311" s="443"/>
      <c r="S311" s="444"/>
      <c r="T311" s="445"/>
      <c r="U311" s="446" t="str">
        <f t="shared" ca="1" si="20"/>
        <v/>
      </c>
      <c r="V311" s="447" t="str">
        <f t="shared" ca="1" si="21"/>
        <v/>
      </c>
      <c r="W311" s="446" t="str">
        <f t="shared" ca="1" si="22"/>
        <v/>
      </c>
      <c r="X311" s="448" t="str">
        <f t="shared" ca="1" si="23"/>
        <v/>
      </c>
      <c r="Y311" s="447" t="str">
        <f t="shared" ca="1" si="24"/>
        <v/>
      </c>
      <c r="Z311" s="79"/>
    </row>
    <row r="312" spans="1:26" customFormat="1" ht="15">
      <c r="A312" s="231"/>
      <c r="B312" s="288">
        <v>274</v>
      </c>
      <c r="C312" s="260"/>
      <c r="D312" s="261"/>
      <c r="E312" s="252"/>
      <c r="F312" s="237"/>
      <c r="G312" s="244"/>
      <c r="H312" s="398">
        <v>298</v>
      </c>
      <c r="I312" s="417"/>
      <c r="J312" s="417"/>
      <c r="K312" s="426"/>
      <c r="L312" s="426"/>
      <c r="M312" s="426"/>
      <c r="N312" s="426"/>
      <c r="O312" s="465"/>
      <c r="P312" s="442" t="str" cm="1">
        <f t="array" aca="1" ref="P312" ca="1">IF(AND($Q$12,B336&lt;=$C$17,C336&lt;&gt;""),TRANSPOSE(INDEX(GetCDS(C336,$C$6,G336/10000,F336,D336,$C$13,$C$14,$C$15,$C$8,,,TRUE,TRUE,FALSE,$C$29:$C$31,$C$33),{1;2;3;4;5})),"")</f>
        <v/>
      </c>
      <c r="Q312" s="443"/>
      <c r="R312" s="443"/>
      <c r="S312" s="444"/>
      <c r="T312" s="445"/>
      <c r="U312" s="446" t="str">
        <f t="shared" ca="1" si="20"/>
        <v/>
      </c>
      <c r="V312" s="447" t="str">
        <f t="shared" ca="1" si="21"/>
        <v/>
      </c>
      <c r="W312" s="446" t="str">
        <f t="shared" ca="1" si="22"/>
        <v/>
      </c>
      <c r="X312" s="448" t="str">
        <f t="shared" ca="1" si="23"/>
        <v/>
      </c>
      <c r="Y312" s="447" t="str">
        <f t="shared" ca="1" si="24"/>
        <v/>
      </c>
      <c r="Z312" s="79"/>
    </row>
    <row r="313" spans="1:26" customFormat="1" ht="15">
      <c r="A313" s="231"/>
      <c r="B313" s="288">
        <v>275</v>
      </c>
      <c r="C313" s="260"/>
      <c r="D313" s="261"/>
      <c r="E313" s="252"/>
      <c r="F313" s="237"/>
      <c r="G313" s="244"/>
      <c r="H313" s="398">
        <v>299</v>
      </c>
      <c r="I313" s="417"/>
      <c r="J313" s="417"/>
      <c r="K313" s="426"/>
      <c r="L313" s="426"/>
      <c r="M313" s="426"/>
      <c r="N313" s="426"/>
      <c r="O313" s="465"/>
      <c r="P313" s="442" t="str" cm="1">
        <f t="array" aca="1" ref="P313" ca="1">IF(AND($Q$12,B337&lt;=$C$17,C337&lt;&gt;""),TRANSPOSE(INDEX(GetCDS(C337,$C$6,G337/10000,F337,D337,$C$13,$C$14,$C$15,$C$8,,,TRUE,TRUE,FALSE,$C$29:$C$31,$C$33),{1;2;3;4;5})),"")</f>
        <v/>
      </c>
      <c r="Q313" s="443"/>
      <c r="R313" s="443"/>
      <c r="S313" s="444"/>
      <c r="T313" s="445"/>
      <c r="U313" s="446" t="str">
        <f t="shared" ca="1" si="20"/>
        <v/>
      </c>
      <c r="V313" s="447" t="str">
        <f t="shared" ca="1" si="21"/>
        <v/>
      </c>
      <c r="W313" s="446" t="str">
        <f t="shared" ca="1" si="22"/>
        <v/>
      </c>
      <c r="X313" s="448" t="str">
        <f t="shared" ca="1" si="23"/>
        <v/>
      </c>
      <c r="Y313" s="447" t="str">
        <f t="shared" ca="1" si="24"/>
        <v/>
      </c>
      <c r="Z313" s="79"/>
    </row>
    <row r="314" spans="1:26" customFormat="1" ht="15.75" thickBot="1">
      <c r="A314" s="231"/>
      <c r="B314" s="288">
        <v>276</v>
      </c>
      <c r="C314" s="260"/>
      <c r="D314" s="261"/>
      <c r="E314" s="252"/>
      <c r="F314" s="237"/>
      <c r="G314" s="244"/>
      <c r="H314" s="401">
        <v>300</v>
      </c>
      <c r="I314" s="427"/>
      <c r="J314" s="427"/>
      <c r="K314" s="428"/>
      <c r="L314" s="428"/>
      <c r="M314" s="428"/>
      <c r="N314" s="428"/>
      <c r="O314" s="469" t="str">
        <f t="shared" ref="O314" ca="1" si="25">IF($Q$12,IF(N314="","",N314*($V$10-L314)*M314),"")</f>
        <v/>
      </c>
      <c r="P314" s="450" t="str" cm="1">
        <f t="array" aca="1" ref="P314" ca="1">IF(AND($Q$12,B338&lt;=$C$17,C338&lt;&gt;""),TRANSPOSE(INDEX(GetCDS(C338,$C$6,G338/10000,F338,D338,$C$13,$C$14,$C$15,$C$8,,,TRUE,TRUE,FALSE,$C$29:$C$31,$C$33),{1;2;3;4;5})),"")</f>
        <v/>
      </c>
      <c r="Q314" s="449"/>
      <c r="R314" s="449"/>
      <c r="S314" s="450"/>
      <c r="T314" s="451"/>
      <c r="U314" s="446" t="str">
        <f t="shared" ca="1" si="20"/>
        <v/>
      </c>
      <c r="V314" s="447" t="str">
        <f t="shared" ca="1" si="21"/>
        <v/>
      </c>
      <c r="W314" s="450"/>
      <c r="X314" s="450"/>
      <c r="Y314" s="429"/>
      <c r="Z314" s="79"/>
    </row>
    <row r="315" spans="1:26" customFormat="1" ht="15">
      <c r="A315" s="231"/>
      <c r="B315" s="288">
        <v>277</v>
      </c>
      <c r="C315" s="260"/>
      <c r="D315" s="261"/>
      <c r="E315" s="252"/>
      <c r="F315" s="237"/>
      <c r="G315" s="244"/>
      <c r="O315" s="85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5">
      <c r="A316" s="231"/>
      <c r="B316" s="288">
        <v>278</v>
      </c>
      <c r="C316" s="260"/>
      <c r="D316" s="261"/>
      <c r="E316" s="252"/>
      <c r="F316" s="237"/>
      <c r="G316" s="244"/>
      <c r="O316" s="466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5">
      <c r="A317" s="231"/>
      <c r="B317" s="288">
        <v>279</v>
      </c>
      <c r="C317" s="260"/>
      <c r="D317" s="261"/>
      <c r="E317" s="252"/>
      <c r="F317" s="237"/>
      <c r="G317" s="244"/>
      <c r="O317" s="466"/>
    </row>
    <row r="318" spans="1:26" customFormat="1" ht="15">
      <c r="A318" s="231"/>
      <c r="B318" s="288">
        <v>280</v>
      </c>
      <c r="C318" s="260"/>
      <c r="D318" s="261"/>
      <c r="E318" s="252"/>
      <c r="F318" s="237"/>
      <c r="G318" s="244"/>
      <c r="O318" s="466"/>
    </row>
    <row r="319" spans="1:26" customFormat="1" ht="15">
      <c r="A319" s="231"/>
      <c r="B319" s="288">
        <v>281</v>
      </c>
      <c r="C319" s="260"/>
      <c r="D319" s="261"/>
      <c r="E319" s="252"/>
      <c r="F319" s="237"/>
      <c r="G319" s="244"/>
      <c r="O319" s="466"/>
    </row>
    <row r="320" spans="1:26" customFormat="1" ht="15">
      <c r="A320" s="231"/>
      <c r="B320" s="288">
        <v>282</v>
      </c>
      <c r="C320" s="260"/>
      <c r="D320" s="261"/>
      <c r="E320" s="252"/>
      <c r="F320" s="237"/>
      <c r="G320" s="244"/>
      <c r="O320" s="466"/>
    </row>
    <row r="321" spans="1:15" customFormat="1" ht="15">
      <c r="A321" s="231"/>
      <c r="B321" s="288">
        <v>283</v>
      </c>
      <c r="C321" s="260"/>
      <c r="D321" s="261"/>
      <c r="E321" s="252"/>
      <c r="F321" s="237"/>
      <c r="G321" s="244"/>
      <c r="O321" s="466"/>
    </row>
    <row r="322" spans="1:15" customFormat="1" ht="15">
      <c r="A322" s="231"/>
      <c r="B322" s="288">
        <v>284</v>
      </c>
      <c r="C322" s="260"/>
      <c r="D322" s="261"/>
      <c r="E322" s="252"/>
      <c r="F322" s="237"/>
      <c r="G322" s="244"/>
      <c r="O322" s="466"/>
    </row>
    <row r="323" spans="1:15" customFormat="1" ht="15">
      <c r="A323" s="231"/>
      <c r="B323" s="288">
        <v>285</v>
      </c>
      <c r="C323" s="260"/>
      <c r="D323" s="261"/>
      <c r="E323" s="252"/>
      <c r="F323" s="237"/>
      <c r="G323" s="244"/>
      <c r="O323" s="466"/>
    </row>
    <row r="324" spans="1:15" customFormat="1" ht="15">
      <c r="A324" s="231"/>
      <c r="B324" s="288">
        <v>286</v>
      </c>
      <c r="C324" s="260"/>
      <c r="D324" s="261"/>
      <c r="E324" s="252"/>
      <c r="F324" s="237"/>
      <c r="G324" s="244"/>
      <c r="O324" s="466"/>
    </row>
    <row r="325" spans="1:15" customFormat="1" ht="15">
      <c r="A325" s="231"/>
      <c r="B325" s="288">
        <v>287</v>
      </c>
      <c r="C325" s="260"/>
      <c r="D325" s="261"/>
      <c r="E325" s="252"/>
      <c r="F325" s="237"/>
      <c r="G325" s="244"/>
      <c r="O325" s="466"/>
    </row>
    <row r="326" spans="1:15" customFormat="1" ht="15">
      <c r="A326" s="231"/>
      <c r="B326" s="288">
        <v>288</v>
      </c>
      <c r="C326" s="260"/>
      <c r="D326" s="261"/>
      <c r="E326" s="252"/>
      <c r="F326" s="237"/>
      <c r="G326" s="244"/>
      <c r="O326" s="466"/>
    </row>
    <row r="327" spans="1:15" customFormat="1" ht="15">
      <c r="A327" s="231"/>
      <c r="B327" s="288">
        <v>289</v>
      </c>
      <c r="C327" s="260"/>
      <c r="D327" s="261"/>
      <c r="E327" s="252"/>
      <c r="F327" s="237"/>
      <c r="G327" s="244"/>
      <c r="O327" s="466"/>
    </row>
    <row r="328" spans="1:15" customFormat="1" ht="15">
      <c r="A328" s="231"/>
      <c r="B328" s="288">
        <v>290</v>
      </c>
      <c r="C328" s="260"/>
      <c r="D328" s="261"/>
      <c r="E328" s="252"/>
      <c r="F328" s="237"/>
      <c r="G328" s="244"/>
    </row>
    <row r="329" spans="1:15" customFormat="1" ht="15">
      <c r="A329" s="231"/>
      <c r="B329" s="288">
        <v>291</v>
      </c>
      <c r="C329" s="260"/>
      <c r="D329" s="261"/>
      <c r="E329" s="252"/>
      <c r="F329" s="237"/>
      <c r="G329" s="244"/>
    </row>
    <row r="330" spans="1:15" customFormat="1" ht="15">
      <c r="A330" s="231"/>
      <c r="B330" s="288">
        <v>292</v>
      </c>
      <c r="C330" s="260"/>
      <c r="D330" s="261"/>
      <c r="E330" s="252"/>
      <c r="F330" s="237"/>
      <c r="G330" s="244"/>
    </row>
    <row r="331" spans="1:15" customFormat="1" ht="15">
      <c r="A331" s="231"/>
      <c r="B331" s="288">
        <v>293</v>
      </c>
      <c r="C331" s="260"/>
      <c r="D331" s="261"/>
      <c r="E331" s="252"/>
      <c r="F331" s="237"/>
      <c r="G331" s="244"/>
    </row>
    <row r="332" spans="1:15" customFormat="1" ht="15">
      <c r="A332" s="231"/>
      <c r="B332" s="288">
        <v>294</v>
      </c>
      <c r="C332" s="260"/>
      <c r="D332" s="261"/>
      <c r="E332" s="252"/>
      <c r="F332" s="237"/>
      <c r="G332" s="244"/>
    </row>
    <row r="333" spans="1:15" customFormat="1" ht="15">
      <c r="A333" s="231"/>
      <c r="B333" s="288">
        <v>295</v>
      </c>
      <c r="C333" s="260"/>
      <c r="D333" s="261"/>
      <c r="E333" s="252"/>
      <c r="F333" s="237"/>
      <c r="G333" s="244"/>
    </row>
    <row r="334" spans="1:15" customFormat="1" ht="15">
      <c r="A334" s="231"/>
      <c r="B334" s="288">
        <v>296</v>
      </c>
      <c r="C334" s="260"/>
      <c r="D334" s="261"/>
      <c r="E334" s="252"/>
      <c r="F334" s="237"/>
      <c r="G334" s="244"/>
    </row>
    <row r="335" spans="1:15" customFormat="1" ht="15">
      <c r="A335" s="231"/>
      <c r="B335" s="288">
        <v>297</v>
      </c>
      <c r="C335" s="260"/>
      <c r="D335" s="261"/>
      <c r="E335" s="252"/>
      <c r="F335" s="237"/>
      <c r="G335" s="244"/>
    </row>
    <row r="336" spans="1:15" customFormat="1" ht="15">
      <c r="A336" s="231"/>
      <c r="B336" s="288">
        <v>298</v>
      </c>
      <c r="C336" s="260"/>
      <c r="D336" s="261"/>
      <c r="E336" s="252"/>
      <c r="F336" s="237"/>
      <c r="G336" s="244"/>
    </row>
    <row r="337" spans="1:7" customFormat="1" ht="15">
      <c r="A337" s="231"/>
      <c r="B337" s="288">
        <v>299</v>
      </c>
      <c r="C337" s="260"/>
      <c r="D337" s="261"/>
      <c r="E337" s="252"/>
      <c r="F337" s="237"/>
      <c r="G337" s="244"/>
    </row>
    <row r="338" spans="1:7" customFormat="1" ht="15.75" thickBot="1">
      <c r="A338" s="231"/>
      <c r="B338" s="460">
        <v>300</v>
      </c>
      <c r="C338" s="461"/>
      <c r="D338" s="461"/>
      <c r="E338" s="461"/>
      <c r="F338" s="461"/>
      <c r="G338" s="461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Q12 L5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93" customWidth="1"/>
    <col min="2" max="2" width="17" style="293" bestFit="1" customWidth="1"/>
    <col min="3" max="3" width="26.5703125" style="293" bestFit="1" customWidth="1"/>
    <col min="4" max="4" width="10.5703125" style="294" customWidth="1"/>
    <col min="5" max="14" width="9.85546875" style="294" customWidth="1"/>
    <col min="15" max="31" width="9.140625" style="79"/>
    <col min="32" max="16384" width="9.140625" style="293"/>
  </cols>
  <sheetData>
    <row r="1" spans="1:228" customFormat="1" ht="29.25" customHeight="1">
      <c r="A1" s="290"/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  <c r="R1" s="290"/>
      <c r="S1" s="290"/>
      <c r="T1" s="290"/>
      <c r="U1" s="290"/>
      <c r="V1" s="290"/>
      <c r="W1" s="290"/>
      <c r="X1" s="290"/>
      <c r="Y1" s="290"/>
      <c r="Z1" s="290"/>
      <c r="AA1" s="290"/>
      <c r="AB1" s="290"/>
      <c r="AC1" s="290"/>
      <c r="AD1" s="290"/>
      <c r="AE1" s="290"/>
      <c r="AF1" s="290"/>
      <c r="AG1" s="290"/>
      <c r="AH1" s="290"/>
      <c r="AI1" s="290"/>
      <c r="AJ1" s="290"/>
      <c r="AK1" s="290"/>
      <c r="AL1" s="290"/>
      <c r="AM1" s="290"/>
      <c r="AN1" s="290"/>
      <c r="AO1" s="290"/>
      <c r="AP1" s="290"/>
      <c r="AQ1" s="290"/>
      <c r="AR1" s="290"/>
      <c r="AS1" s="290"/>
      <c r="AT1" s="290"/>
      <c r="AU1" s="290"/>
      <c r="AV1" s="290"/>
      <c r="AW1" s="290"/>
      <c r="AX1" s="290"/>
      <c r="AY1" s="290"/>
      <c r="AZ1" s="290"/>
      <c r="BA1" s="290"/>
      <c r="BB1" s="290"/>
      <c r="BC1" s="290"/>
      <c r="BD1" s="290"/>
      <c r="BE1" s="290"/>
      <c r="BF1" s="290"/>
      <c r="BG1" s="290"/>
      <c r="BH1" s="290"/>
      <c r="BI1" s="290"/>
      <c r="BJ1" s="290"/>
      <c r="BK1" s="290"/>
      <c r="BL1" s="290"/>
      <c r="BM1" s="290"/>
      <c r="BN1" s="290"/>
      <c r="BO1" s="290"/>
      <c r="BP1" s="290"/>
      <c r="BQ1" s="290"/>
      <c r="BR1" s="290"/>
      <c r="BS1" s="290"/>
      <c r="BT1" s="290"/>
      <c r="BU1" s="290"/>
      <c r="BV1" s="290"/>
      <c r="BW1" s="290"/>
      <c r="BX1" s="290"/>
      <c r="BY1" s="290"/>
      <c r="BZ1" s="290"/>
      <c r="CA1" s="290"/>
      <c r="CB1" s="290"/>
      <c r="CC1" s="290"/>
      <c r="CD1" s="290"/>
      <c r="CE1" s="290"/>
      <c r="CF1" s="290"/>
      <c r="CG1" s="290"/>
      <c r="CH1" s="290"/>
      <c r="CI1" s="290"/>
      <c r="CJ1" s="290"/>
      <c r="CK1" s="290"/>
      <c r="CL1" s="290"/>
      <c r="CM1" s="290"/>
      <c r="CN1" s="290"/>
      <c r="CO1" s="290"/>
      <c r="CP1" s="290"/>
      <c r="CQ1" s="290"/>
      <c r="CR1" s="290"/>
      <c r="CS1" s="290"/>
      <c r="CT1" s="290"/>
      <c r="CU1" s="290"/>
      <c r="CV1" s="290"/>
      <c r="CW1" s="290"/>
      <c r="CX1" s="290"/>
      <c r="CY1" s="290"/>
      <c r="CZ1" s="290"/>
      <c r="DA1" s="290"/>
      <c r="DB1" s="290"/>
      <c r="DC1" s="290"/>
      <c r="DD1" s="290"/>
      <c r="DE1" s="290"/>
      <c r="DF1" s="290"/>
      <c r="DG1" s="290"/>
      <c r="DH1" s="290"/>
      <c r="DI1" s="290"/>
      <c r="DJ1" s="290"/>
      <c r="DK1" s="290"/>
      <c r="DL1" s="290"/>
      <c r="DM1" s="290"/>
      <c r="DN1" s="290"/>
      <c r="DO1" s="290"/>
      <c r="DP1" s="290"/>
      <c r="DQ1" s="290"/>
      <c r="DR1" s="290"/>
      <c r="DS1" s="290"/>
      <c r="DT1" s="290"/>
      <c r="DU1" s="290"/>
      <c r="DV1" s="290"/>
      <c r="DW1" s="290"/>
      <c r="DX1" s="290"/>
      <c r="DY1" s="290"/>
      <c r="DZ1" s="290"/>
      <c r="EA1" s="290"/>
      <c r="EB1" s="290"/>
      <c r="EC1" s="290"/>
      <c r="ED1" s="290"/>
      <c r="EE1" s="290"/>
      <c r="EF1" s="290"/>
      <c r="EG1" s="290"/>
      <c r="EH1" s="290"/>
      <c r="EI1" s="290"/>
      <c r="EJ1" s="290"/>
      <c r="EK1" s="290"/>
      <c r="EL1" s="290"/>
      <c r="EM1" s="290"/>
      <c r="EN1" s="290"/>
      <c r="EO1" s="290"/>
      <c r="EP1" s="290"/>
      <c r="EQ1" s="290"/>
      <c r="ER1" s="290"/>
      <c r="ES1" s="290"/>
      <c r="ET1" s="290"/>
      <c r="EU1" s="290"/>
      <c r="EV1" s="290"/>
      <c r="EW1" s="290"/>
      <c r="EX1" s="290"/>
      <c r="EY1" s="290"/>
      <c r="EZ1" s="290"/>
      <c r="FA1" s="290"/>
      <c r="FB1" s="290"/>
      <c r="FC1" s="290"/>
      <c r="FD1" s="290"/>
      <c r="FE1" s="290"/>
      <c r="FF1" s="290"/>
      <c r="FG1" s="290"/>
      <c r="FH1" s="290"/>
      <c r="FI1" s="290"/>
      <c r="FJ1" s="290"/>
      <c r="FK1" s="290"/>
      <c r="FL1" s="290"/>
      <c r="FM1" s="290"/>
      <c r="FN1" s="290"/>
      <c r="FO1" s="290"/>
      <c r="FP1" s="290"/>
      <c r="FQ1" s="290"/>
      <c r="FR1" s="290"/>
      <c r="FS1" s="290"/>
      <c r="FT1" s="290"/>
      <c r="FU1" s="290"/>
      <c r="FV1" s="290"/>
      <c r="FW1" s="290"/>
      <c r="FX1" s="290"/>
      <c r="FY1" s="290"/>
      <c r="FZ1" s="290"/>
      <c r="GA1" s="290"/>
      <c r="GB1" s="290"/>
      <c r="GC1" s="290"/>
      <c r="GD1" s="290"/>
      <c r="GE1" s="290"/>
      <c r="GF1" s="290"/>
      <c r="GG1" s="290"/>
      <c r="GH1" s="290"/>
      <c r="GI1" s="290"/>
      <c r="GJ1" s="290"/>
      <c r="GK1" s="290"/>
      <c r="GL1" s="290"/>
      <c r="GM1" s="290"/>
      <c r="GN1" s="290"/>
      <c r="GO1" s="290"/>
      <c r="GP1" s="290"/>
      <c r="GQ1" s="290"/>
      <c r="GR1" s="290"/>
      <c r="GS1" s="290"/>
      <c r="GT1" s="290"/>
      <c r="GU1" s="290"/>
      <c r="GV1" s="290"/>
      <c r="GW1" s="290"/>
      <c r="GX1" s="290"/>
      <c r="GY1" s="290"/>
      <c r="GZ1" s="290"/>
      <c r="HA1" s="290"/>
      <c r="HB1" s="290"/>
      <c r="HC1" s="290"/>
      <c r="HD1" s="290"/>
      <c r="HE1" s="290"/>
      <c r="HF1" s="290"/>
      <c r="HG1" s="290"/>
      <c r="HH1" s="290"/>
      <c r="HI1" s="290"/>
      <c r="HJ1" s="290"/>
      <c r="HK1" s="290"/>
      <c r="HL1" s="290"/>
      <c r="HM1" s="290"/>
      <c r="HN1" s="290"/>
      <c r="HO1" s="290"/>
      <c r="HP1" s="290"/>
      <c r="HQ1" s="290"/>
      <c r="HR1" s="290"/>
      <c r="HS1" s="290"/>
      <c r="HT1" s="290"/>
    </row>
    <row r="2" spans="1:228" customFormat="1" ht="54.75" customHeight="1">
      <c r="A2" s="290"/>
      <c r="B2" s="290"/>
      <c r="C2" s="291"/>
      <c r="D2" s="290"/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0"/>
      <c r="AM2" s="290"/>
      <c r="AN2" s="290"/>
      <c r="AO2" s="290"/>
      <c r="AP2" s="290"/>
      <c r="AQ2" s="290"/>
      <c r="AR2" s="290"/>
      <c r="AS2" s="290"/>
      <c r="AT2" s="290"/>
      <c r="AU2" s="290"/>
      <c r="AV2" s="290"/>
      <c r="AW2" s="290"/>
      <c r="AX2" s="290"/>
      <c r="AY2" s="290"/>
      <c r="AZ2" s="290"/>
      <c r="BA2" s="290"/>
      <c r="BB2" s="290"/>
      <c r="BC2" s="290"/>
      <c r="BD2" s="290"/>
      <c r="BE2" s="290"/>
      <c r="BF2" s="290"/>
      <c r="BG2" s="290"/>
      <c r="BH2" s="290"/>
      <c r="BI2" s="290"/>
      <c r="BJ2" s="290"/>
      <c r="BK2" s="290"/>
      <c r="BL2" s="290"/>
      <c r="BM2" s="290"/>
      <c r="BN2" s="290"/>
      <c r="BO2" s="290"/>
      <c r="BP2" s="290"/>
      <c r="BQ2" s="290"/>
      <c r="BR2" s="290"/>
      <c r="BS2" s="290"/>
      <c r="BT2" s="290"/>
      <c r="BU2" s="290"/>
      <c r="BV2" s="290"/>
      <c r="BW2" s="290"/>
      <c r="BX2" s="290"/>
      <c r="BY2" s="290"/>
      <c r="BZ2" s="290"/>
      <c r="CA2" s="290"/>
      <c r="CB2" s="290"/>
      <c r="CC2" s="290"/>
      <c r="CD2" s="290"/>
      <c r="CE2" s="290"/>
      <c r="CF2" s="290"/>
      <c r="CG2" s="290"/>
      <c r="CH2" s="290"/>
      <c r="CI2" s="290"/>
      <c r="CJ2" s="290"/>
      <c r="CK2" s="290"/>
      <c r="CL2" s="290"/>
      <c r="CM2" s="290"/>
      <c r="CN2" s="290"/>
      <c r="CO2" s="290"/>
      <c r="CP2" s="290"/>
      <c r="CQ2" s="290"/>
      <c r="CR2" s="290"/>
      <c r="CS2" s="290"/>
      <c r="CT2" s="290"/>
      <c r="CU2" s="290"/>
      <c r="CV2" s="290"/>
      <c r="CW2" s="290"/>
      <c r="CX2" s="290"/>
      <c r="CY2" s="290"/>
      <c r="CZ2" s="290"/>
      <c r="DA2" s="290"/>
      <c r="DB2" s="290"/>
      <c r="DC2" s="290"/>
      <c r="DD2" s="290"/>
      <c r="DE2" s="290"/>
      <c r="DF2" s="290"/>
      <c r="DG2" s="290"/>
      <c r="DH2" s="290"/>
      <c r="DI2" s="290"/>
      <c r="DJ2" s="290"/>
      <c r="DK2" s="290"/>
      <c r="DL2" s="290"/>
      <c r="DM2" s="290"/>
      <c r="DN2" s="290"/>
      <c r="DO2" s="290"/>
      <c r="DP2" s="290"/>
      <c r="DQ2" s="290"/>
      <c r="DR2" s="290"/>
      <c r="DS2" s="290"/>
      <c r="DT2" s="290"/>
      <c r="DU2" s="290"/>
      <c r="DV2" s="290"/>
      <c r="DW2" s="290"/>
      <c r="DX2" s="290"/>
      <c r="DY2" s="290"/>
      <c r="DZ2" s="290"/>
      <c r="EA2" s="290"/>
      <c r="EB2" s="290"/>
      <c r="EC2" s="290"/>
      <c r="ED2" s="290"/>
      <c r="EE2" s="290"/>
      <c r="EF2" s="290"/>
      <c r="EG2" s="290"/>
      <c r="EH2" s="290"/>
      <c r="EI2" s="290"/>
      <c r="EJ2" s="290"/>
      <c r="EK2" s="290"/>
      <c r="EL2" s="290"/>
      <c r="EM2" s="290"/>
      <c r="EN2" s="290"/>
      <c r="EO2" s="290"/>
      <c r="EP2" s="290"/>
      <c r="EQ2" s="290"/>
      <c r="ER2" s="290"/>
      <c r="ES2" s="290"/>
      <c r="ET2" s="290"/>
      <c r="EU2" s="290"/>
      <c r="EV2" s="290"/>
      <c r="EW2" s="290"/>
      <c r="EX2" s="290"/>
      <c r="EY2" s="290"/>
      <c r="EZ2" s="290"/>
      <c r="FA2" s="290"/>
      <c r="FB2" s="290"/>
      <c r="FC2" s="290"/>
      <c r="FD2" s="290"/>
      <c r="FE2" s="290"/>
      <c r="FF2" s="290"/>
      <c r="FG2" s="290"/>
      <c r="FH2" s="290"/>
      <c r="FI2" s="290"/>
      <c r="FJ2" s="290"/>
      <c r="FK2" s="290"/>
      <c r="FL2" s="290"/>
      <c r="FM2" s="290"/>
      <c r="FN2" s="290"/>
      <c r="FO2" s="290"/>
      <c r="FP2" s="290"/>
      <c r="FQ2" s="290"/>
      <c r="FR2" s="290"/>
      <c r="FS2" s="290"/>
      <c r="FT2" s="290"/>
      <c r="FU2" s="290"/>
      <c r="FV2" s="290"/>
      <c r="FW2" s="290"/>
      <c r="FX2" s="290"/>
      <c r="FY2" s="290"/>
      <c r="FZ2" s="290"/>
      <c r="GA2" s="290"/>
      <c r="GB2" s="290"/>
      <c r="GC2" s="290"/>
      <c r="GD2" s="290"/>
      <c r="GE2" s="290"/>
      <c r="GF2" s="290"/>
      <c r="GG2" s="290"/>
      <c r="GH2" s="290"/>
      <c r="GI2" s="290"/>
      <c r="GJ2" s="290"/>
      <c r="GK2" s="290"/>
      <c r="GL2" s="290"/>
      <c r="GM2" s="290"/>
      <c r="GN2" s="290"/>
      <c r="GO2" s="290"/>
      <c r="GP2" s="290"/>
      <c r="GQ2" s="290"/>
      <c r="GR2" s="290"/>
      <c r="GS2" s="290"/>
      <c r="GT2" s="290"/>
      <c r="GU2" s="290"/>
      <c r="GV2" s="290"/>
      <c r="GW2" s="290"/>
      <c r="GX2" s="290"/>
      <c r="GY2" s="290"/>
      <c r="GZ2" s="290"/>
      <c r="HA2" s="290"/>
      <c r="HB2" s="290"/>
      <c r="HC2" s="290"/>
      <c r="HD2" s="290"/>
      <c r="HE2" s="290"/>
      <c r="HF2" s="290"/>
      <c r="HG2" s="290"/>
      <c r="HH2" s="290"/>
      <c r="HI2" s="290"/>
      <c r="HJ2" s="290"/>
      <c r="HK2" s="290"/>
      <c r="HL2" s="290"/>
      <c r="HM2" s="290"/>
      <c r="HN2" s="290"/>
      <c r="HO2" s="290"/>
      <c r="HP2" s="290"/>
      <c r="HQ2" s="290"/>
      <c r="HR2" s="290"/>
      <c r="HS2" s="290"/>
      <c r="HT2" s="290"/>
    </row>
    <row r="3" spans="1:228" customFormat="1" ht="36.75" customHeight="1">
      <c r="A3" s="290"/>
      <c r="B3" s="290"/>
      <c r="C3" s="290"/>
      <c r="D3" s="290"/>
      <c r="E3" s="290"/>
      <c r="F3" s="290"/>
      <c r="G3" s="290"/>
      <c r="H3" s="290"/>
      <c r="I3" s="292"/>
      <c r="J3" s="292"/>
      <c r="K3" s="292"/>
      <c r="L3" s="292"/>
      <c r="M3" s="292"/>
      <c r="N3" s="292"/>
      <c r="O3" s="292"/>
      <c r="P3" s="292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2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90"/>
      <c r="BI3" s="290"/>
      <c r="BJ3" s="290"/>
      <c r="BK3" s="290"/>
      <c r="BL3" s="290"/>
      <c r="BM3" s="290"/>
      <c r="BN3" s="290"/>
      <c r="BO3" s="290"/>
      <c r="BP3" s="290"/>
      <c r="BQ3" s="290"/>
      <c r="BR3" s="290"/>
      <c r="BS3" s="290"/>
      <c r="BT3" s="290"/>
      <c r="BU3" s="290"/>
      <c r="BV3" s="290"/>
      <c r="BW3" s="290"/>
      <c r="BX3" s="290"/>
      <c r="BY3" s="290"/>
      <c r="BZ3" s="290"/>
      <c r="CA3" s="290"/>
      <c r="CB3" s="290"/>
      <c r="CC3" s="290"/>
      <c r="CD3" s="290"/>
      <c r="CE3" s="290"/>
      <c r="CF3" s="290"/>
      <c r="CG3" s="290"/>
      <c r="CH3" s="290"/>
      <c r="CI3" s="290"/>
      <c r="CJ3" s="290"/>
      <c r="CK3" s="290"/>
      <c r="CL3" s="290"/>
      <c r="CM3" s="290"/>
      <c r="CN3" s="290"/>
      <c r="CO3" s="290"/>
      <c r="CP3" s="290"/>
      <c r="CQ3" s="290"/>
      <c r="CR3" s="290"/>
      <c r="CS3" s="290"/>
      <c r="CT3" s="290"/>
      <c r="CU3" s="290"/>
      <c r="CV3" s="290"/>
      <c r="CW3" s="290"/>
      <c r="CX3" s="290"/>
      <c r="CY3" s="290"/>
      <c r="CZ3" s="290"/>
      <c r="DA3" s="290"/>
      <c r="DB3" s="290"/>
      <c r="DC3" s="290"/>
      <c r="DD3" s="290"/>
      <c r="DE3" s="290"/>
      <c r="DF3" s="290"/>
      <c r="DG3" s="290"/>
      <c r="DH3" s="290"/>
      <c r="DI3" s="290"/>
      <c r="DJ3" s="290"/>
      <c r="DK3" s="290"/>
      <c r="DL3" s="290"/>
      <c r="DM3" s="290"/>
      <c r="DN3" s="290"/>
      <c r="DO3" s="290"/>
      <c r="DP3" s="290"/>
      <c r="DQ3" s="290"/>
      <c r="DR3" s="290"/>
      <c r="DS3" s="290"/>
      <c r="DT3" s="290"/>
      <c r="DU3" s="290"/>
      <c r="DV3" s="290"/>
      <c r="DW3" s="290"/>
      <c r="DX3" s="290"/>
      <c r="DY3" s="290"/>
      <c r="DZ3" s="290"/>
      <c r="EA3" s="290"/>
      <c r="EB3" s="290"/>
      <c r="EC3" s="290"/>
      <c r="ED3" s="290"/>
      <c r="EE3" s="290"/>
      <c r="EF3" s="290"/>
      <c r="EG3" s="290"/>
      <c r="EH3" s="290"/>
      <c r="EI3" s="290"/>
      <c r="EJ3" s="290"/>
      <c r="EK3" s="290"/>
      <c r="EL3" s="290"/>
      <c r="EM3" s="290"/>
      <c r="EN3" s="290"/>
      <c r="EO3" s="290"/>
      <c r="EP3" s="290"/>
      <c r="EQ3" s="290"/>
      <c r="ER3" s="290"/>
      <c r="ES3" s="290"/>
      <c r="ET3" s="290"/>
      <c r="EU3" s="290"/>
      <c r="EV3" s="290"/>
      <c r="EW3" s="290"/>
      <c r="EX3" s="290"/>
      <c r="EY3" s="290"/>
      <c r="EZ3" s="290"/>
      <c r="FA3" s="290"/>
      <c r="FB3" s="290"/>
      <c r="FC3" s="290"/>
      <c r="FD3" s="290"/>
      <c r="FE3" s="290"/>
      <c r="FF3" s="290"/>
      <c r="FG3" s="290"/>
      <c r="FH3" s="290"/>
      <c r="FI3" s="290"/>
      <c r="FJ3" s="290"/>
      <c r="FK3" s="290"/>
      <c r="FL3" s="290"/>
      <c r="FM3" s="290"/>
      <c r="FN3" s="290"/>
      <c r="FO3" s="290"/>
      <c r="FP3" s="290"/>
      <c r="FQ3" s="290"/>
      <c r="FR3" s="290"/>
      <c r="FS3" s="290"/>
      <c r="FT3" s="290"/>
      <c r="FU3" s="290"/>
      <c r="FV3" s="290"/>
      <c r="FW3" s="290"/>
      <c r="FX3" s="290"/>
      <c r="FY3" s="290"/>
      <c r="FZ3" s="290"/>
      <c r="GA3" s="290"/>
      <c r="GB3" s="290"/>
      <c r="GC3" s="290"/>
      <c r="GD3" s="290"/>
      <c r="GE3" s="290"/>
      <c r="GF3" s="290"/>
      <c r="GG3" s="290"/>
      <c r="GH3" s="290"/>
      <c r="GI3" s="290"/>
      <c r="GJ3" s="290"/>
      <c r="GK3" s="290"/>
      <c r="GL3" s="290"/>
      <c r="GM3" s="290"/>
      <c r="GN3" s="290"/>
      <c r="GO3" s="290"/>
      <c r="GP3" s="290"/>
      <c r="GQ3" s="290"/>
      <c r="GR3" s="290"/>
      <c r="GS3" s="290"/>
      <c r="GT3" s="290"/>
      <c r="GU3" s="290"/>
      <c r="GV3" s="290"/>
      <c r="GW3" s="290"/>
      <c r="GX3" s="290"/>
      <c r="GY3" s="290"/>
      <c r="GZ3" s="290"/>
      <c r="HA3" s="290"/>
      <c r="HB3" s="290"/>
      <c r="HC3" s="290"/>
      <c r="HD3" s="290"/>
      <c r="HE3" s="290"/>
      <c r="HF3" s="290"/>
      <c r="HG3" s="290"/>
      <c r="HH3" s="290"/>
      <c r="HI3" s="290"/>
      <c r="HJ3" s="290"/>
      <c r="HK3" s="290"/>
      <c r="HL3" s="290"/>
      <c r="HM3" s="290"/>
      <c r="HN3" s="290"/>
      <c r="HO3" s="290"/>
      <c r="HP3" s="290"/>
      <c r="HQ3" s="290"/>
      <c r="HR3" s="290"/>
      <c r="HS3" s="290"/>
      <c r="HT3" s="290"/>
    </row>
    <row r="4" spans="1:228" ht="12" thickBot="1"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</row>
    <row r="5" spans="1:228">
      <c r="B5" s="295" t="s">
        <v>432</v>
      </c>
      <c r="C5" s="296">
        <v>46828</v>
      </c>
      <c r="O5" s="293"/>
      <c r="P5" s="293"/>
      <c r="Q5" s="293"/>
      <c r="R5" s="293"/>
      <c r="S5" s="293"/>
      <c r="T5" s="293"/>
      <c r="U5" s="293"/>
      <c r="V5" s="293"/>
      <c r="W5" s="293"/>
      <c r="X5" s="293"/>
      <c r="Y5" s="293"/>
      <c r="Z5" s="293"/>
      <c r="AA5" s="293"/>
      <c r="AB5" s="293"/>
      <c r="AC5" s="293"/>
      <c r="AD5" s="293"/>
      <c r="AE5" s="293"/>
    </row>
    <row r="6" spans="1:228">
      <c r="B6" s="297" t="s">
        <v>475</v>
      </c>
      <c r="C6" s="298">
        <v>5000</v>
      </c>
      <c r="D6" s="293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293"/>
      <c r="P6" s="293"/>
      <c r="Q6" s="293"/>
      <c r="R6" s="293"/>
      <c r="S6" s="293"/>
      <c r="T6" s="293"/>
      <c r="U6" s="293"/>
      <c r="V6" s="293"/>
      <c r="W6" s="293"/>
      <c r="X6" s="293"/>
      <c r="Y6" s="293"/>
      <c r="Z6" s="293"/>
      <c r="AA6" s="293"/>
      <c r="AB6" s="293"/>
      <c r="AC6" s="293"/>
      <c r="AD6" s="293"/>
      <c r="AE6" s="293"/>
    </row>
    <row r="7" spans="1:228" ht="12" thickBot="1">
      <c r="B7" s="299" t="s">
        <v>476</v>
      </c>
      <c r="C7" s="300" t="b">
        <v>0</v>
      </c>
      <c r="D7" s="293"/>
      <c r="E7" s="293"/>
      <c r="H7" s="301"/>
      <c r="O7" s="514"/>
      <c r="P7" s="514"/>
      <c r="Q7" s="514"/>
      <c r="R7" s="514"/>
      <c r="S7" s="514"/>
      <c r="T7" s="514"/>
      <c r="U7" s="514"/>
      <c r="V7" s="514"/>
      <c r="W7" s="514"/>
      <c r="X7" s="514"/>
      <c r="Y7" s="293"/>
      <c r="Z7" s="293"/>
      <c r="AA7" s="293"/>
      <c r="AB7" s="293"/>
      <c r="AC7" s="293"/>
      <c r="AD7" s="293"/>
      <c r="AE7" s="293"/>
    </row>
    <row r="8" spans="1:228" ht="12" thickBot="1">
      <c r="B8" s="299" t="s">
        <v>477</v>
      </c>
      <c r="C8" s="302">
        <v>0.3</v>
      </c>
      <c r="D8" s="303"/>
      <c r="E8" s="293"/>
      <c r="H8" s="301"/>
      <c r="O8" s="293"/>
      <c r="P8" s="293"/>
      <c r="Q8" s="293"/>
      <c r="R8" s="293"/>
      <c r="S8" s="293"/>
      <c r="T8" s="293"/>
      <c r="U8" s="293"/>
      <c r="V8" s="293"/>
      <c r="W8" s="293"/>
      <c r="X8" s="293"/>
      <c r="Y8" s="293"/>
      <c r="Z8" s="293"/>
      <c r="AA8" s="293"/>
      <c r="AB8" s="293"/>
      <c r="AC8" s="293"/>
      <c r="AD8" s="293"/>
      <c r="AE8" s="293"/>
    </row>
    <row r="9" spans="1:228" ht="12" thickBot="1">
      <c r="B9" s="299" t="s">
        <v>478</v>
      </c>
      <c r="C9" s="304">
        <v>125</v>
      </c>
      <c r="D9" s="303"/>
      <c r="E9" s="293"/>
      <c r="H9" s="301"/>
      <c r="O9" s="293"/>
      <c r="P9" s="293"/>
      <c r="Q9" s="293"/>
      <c r="R9" s="293"/>
      <c r="S9" s="293"/>
      <c r="T9" s="293"/>
      <c r="U9" s="293"/>
      <c r="V9" s="293"/>
      <c r="W9" s="293"/>
      <c r="X9" s="293"/>
      <c r="Y9" s="293"/>
      <c r="Z9" s="293"/>
      <c r="AA9" s="293"/>
      <c r="AB9" s="293"/>
      <c r="AC9" s="293"/>
      <c r="AD9" s="293"/>
      <c r="AE9" s="293"/>
    </row>
    <row r="10" spans="1:228" ht="12" thickBot="1">
      <c r="B10" s="305"/>
      <c r="C10" s="306"/>
      <c r="D10" s="303"/>
      <c r="E10" s="293"/>
      <c r="H10" s="301"/>
      <c r="O10" s="293"/>
      <c r="P10" s="293"/>
      <c r="Q10" s="293"/>
      <c r="R10" s="293"/>
      <c r="S10" s="293"/>
      <c r="T10" s="293"/>
      <c r="U10" s="293"/>
      <c r="V10" s="293"/>
      <c r="W10" s="293"/>
      <c r="X10" s="293"/>
      <c r="Y10" s="293"/>
      <c r="Z10" s="293"/>
      <c r="AA10" s="293"/>
      <c r="AB10" s="293"/>
      <c r="AC10" s="293"/>
      <c r="AD10" s="293"/>
      <c r="AE10" s="293"/>
    </row>
    <row r="11" spans="1:228">
      <c r="B11" s="307" t="s">
        <v>82</v>
      </c>
      <c r="C11" s="308" t="s">
        <v>67</v>
      </c>
      <c r="D11" s="293"/>
      <c r="E11" s="293"/>
      <c r="H11" s="301"/>
      <c r="O11" s="293"/>
      <c r="P11" s="293"/>
      <c r="Q11" s="293"/>
      <c r="R11" s="293"/>
      <c r="S11" s="293"/>
      <c r="T11" s="293"/>
      <c r="U11" s="293"/>
      <c r="V11" s="293"/>
      <c r="W11" s="293"/>
      <c r="X11" s="293"/>
      <c r="Y11" s="293"/>
      <c r="Z11" s="293"/>
      <c r="AA11" s="293"/>
      <c r="AB11" s="293"/>
      <c r="AC11" s="293"/>
      <c r="AD11" s="293"/>
      <c r="AE11" s="293"/>
    </row>
    <row r="12" spans="1:228">
      <c r="B12" s="309" t="s">
        <v>437</v>
      </c>
      <c r="C12" s="310">
        <v>-0.1</v>
      </c>
      <c r="D12" s="303"/>
      <c r="E12" s="293"/>
      <c r="H12" s="301"/>
      <c r="O12" s="293"/>
      <c r="P12" s="293"/>
      <c r="Q12" s="293"/>
      <c r="R12" s="293"/>
      <c r="S12" s="293"/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</row>
    <row r="13" spans="1:228" ht="12" thickBot="1">
      <c r="B13" s="311" t="s">
        <v>439</v>
      </c>
      <c r="C13" s="238">
        <v>0.1</v>
      </c>
      <c r="E13" s="312"/>
      <c r="H13" s="301"/>
      <c r="O13" s="293"/>
      <c r="P13" s="293"/>
      <c r="Q13" s="293"/>
      <c r="R13" s="293"/>
      <c r="S13" s="293"/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</row>
    <row r="14" spans="1:228" ht="12" thickBot="1">
      <c r="B14" s="313"/>
      <c r="C14" s="314"/>
      <c r="E14" s="312"/>
      <c r="H14" s="301"/>
      <c r="O14" s="293"/>
      <c r="P14" s="293"/>
      <c r="Q14" s="293"/>
      <c r="R14" s="293"/>
      <c r="S14" s="293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</row>
    <row r="15" spans="1:228">
      <c r="B15" s="295" t="s">
        <v>458</v>
      </c>
      <c r="C15" s="315" t="s">
        <v>459</v>
      </c>
      <c r="E15" s="312"/>
      <c r="H15" s="301"/>
      <c r="O15" s="293"/>
      <c r="P15" s="293"/>
      <c r="Q15" s="293"/>
      <c r="R15" s="293"/>
      <c r="S15" s="293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</row>
    <row r="16" spans="1:228">
      <c r="B16" s="297" t="s">
        <v>461</v>
      </c>
      <c r="C16" s="316" t="s">
        <v>479</v>
      </c>
      <c r="E16" s="312"/>
      <c r="H16" s="301"/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</row>
    <row r="17" spans="2:31" ht="12" thickBot="1">
      <c r="B17" s="299" t="s">
        <v>462</v>
      </c>
      <c r="C17" s="317"/>
      <c r="E17" s="312"/>
      <c r="H17" s="301"/>
      <c r="O17" s="293"/>
      <c r="P17" s="293"/>
      <c r="Q17" s="293"/>
      <c r="R17" s="293"/>
      <c r="S17" s="293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</row>
    <row r="18" spans="2:31" ht="12" thickBot="1">
      <c r="B18" s="305"/>
      <c r="C18" s="318"/>
      <c r="E18" s="312"/>
      <c r="H18" s="301"/>
      <c r="O18" s="293"/>
      <c r="P18" s="293"/>
      <c r="Q18" s="293"/>
      <c r="R18" s="293"/>
      <c r="S18" s="293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</row>
    <row r="19" spans="2:31" ht="12" thickBot="1">
      <c r="B19" s="307" t="s">
        <v>480</v>
      </c>
      <c r="C19" s="319"/>
      <c r="D19" s="320"/>
      <c r="E19" s="515" t="s">
        <v>481</v>
      </c>
      <c r="F19" s="515"/>
      <c r="G19" s="515"/>
      <c r="H19" s="515"/>
      <c r="I19" s="515"/>
      <c r="J19" s="515"/>
      <c r="K19" s="515"/>
      <c r="L19" s="515"/>
      <c r="M19" s="515"/>
      <c r="N19" s="516"/>
      <c r="O19" s="293"/>
      <c r="P19" s="293"/>
      <c r="Q19" s="293"/>
      <c r="R19" s="293"/>
      <c r="S19" s="293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</row>
    <row r="20" spans="2:31" ht="12" thickBot="1">
      <c r="B20" s="322"/>
      <c r="C20" s="323"/>
      <c r="D20" s="324" t="s">
        <v>482</v>
      </c>
      <c r="E20" s="325">
        <v>1</v>
      </c>
      <c r="F20" s="326">
        <v>2</v>
      </c>
      <c r="G20" s="325">
        <v>3</v>
      </c>
      <c r="H20" s="327">
        <v>4</v>
      </c>
      <c r="I20" s="327">
        <v>5</v>
      </c>
      <c r="J20" s="327">
        <v>6</v>
      </c>
      <c r="K20" s="327">
        <v>7</v>
      </c>
      <c r="L20" s="326">
        <v>8</v>
      </c>
      <c r="M20" s="327">
        <v>9</v>
      </c>
      <c r="N20" s="328">
        <v>10</v>
      </c>
      <c r="O20" s="293"/>
      <c r="P20" s="293"/>
      <c r="Q20" s="293"/>
      <c r="R20" s="293"/>
      <c r="S20" s="293"/>
      <c r="T20" s="293"/>
      <c r="U20" s="293"/>
      <c r="V20" s="293"/>
      <c r="W20" s="305"/>
      <c r="X20" s="293"/>
      <c r="Y20" s="293"/>
      <c r="Z20" s="293"/>
      <c r="AA20" s="293"/>
      <c r="AB20" s="293"/>
      <c r="AC20" s="293"/>
      <c r="AD20" s="293"/>
      <c r="AE20" s="293"/>
    </row>
    <row r="21" spans="2:31">
      <c r="B21" s="295" t="s">
        <v>465</v>
      </c>
      <c r="C21" s="329">
        <v>0.54</v>
      </c>
      <c r="D21" s="330" t="s">
        <v>465</v>
      </c>
      <c r="E21" s="331">
        <v>6.0999999999999999E-2</v>
      </c>
      <c r="F21" s="331">
        <v>6.0999999999999999E-2</v>
      </c>
      <c r="G21" s="331">
        <v>6.0999999999999999E-2</v>
      </c>
      <c r="H21" s="331">
        <v>6.0999999999999999E-2</v>
      </c>
      <c r="I21" s="332">
        <v>0.06</v>
      </c>
      <c r="J21" s="332">
        <v>0.06</v>
      </c>
      <c r="K21" s="333"/>
      <c r="L21" s="334"/>
      <c r="M21" s="333"/>
      <c r="N21" s="335"/>
      <c r="O21" s="293"/>
      <c r="P21" s="293"/>
      <c r="Q21" s="293"/>
      <c r="R21" s="293"/>
      <c r="S21" s="293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</row>
    <row r="22" spans="2:31" ht="12" thickBot="1">
      <c r="B22" s="299" t="s">
        <v>466</v>
      </c>
      <c r="C22" s="336">
        <v>0.84</v>
      </c>
      <c r="D22" s="330" t="s">
        <v>483</v>
      </c>
      <c r="E22" s="337">
        <v>0.111</v>
      </c>
      <c r="F22" s="337">
        <v>0.111</v>
      </c>
      <c r="G22" s="337">
        <v>0.111</v>
      </c>
      <c r="H22" s="337">
        <v>0.111</v>
      </c>
      <c r="I22" s="338">
        <v>0.11</v>
      </c>
      <c r="J22" s="338">
        <v>0.11</v>
      </c>
      <c r="K22" s="339"/>
      <c r="L22" s="340"/>
      <c r="M22" s="339"/>
      <c r="N22" s="341"/>
      <c r="O22" s="293"/>
      <c r="P22" s="293"/>
      <c r="Q22" s="342"/>
      <c r="R22" s="293"/>
      <c r="S22" s="293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</row>
    <row r="23" spans="2:31" ht="12" thickBot="1">
      <c r="B23" s="343"/>
      <c r="C23" s="344"/>
      <c r="D23" s="345" t="s">
        <v>484</v>
      </c>
      <c r="E23" s="346">
        <f t="shared" ref="E23:J23" si="0">0.166666666666667%*100</f>
        <v>0.16666666666666699</v>
      </c>
      <c r="F23" s="346">
        <f t="shared" si="0"/>
        <v>0.16666666666666699</v>
      </c>
      <c r="G23" s="346">
        <f t="shared" si="0"/>
        <v>0.16666666666666699</v>
      </c>
      <c r="H23" s="346">
        <f t="shared" si="0"/>
        <v>0.16666666666666699</v>
      </c>
      <c r="I23" s="346">
        <f t="shared" si="0"/>
        <v>0.16666666666666699</v>
      </c>
      <c r="J23" s="346">
        <f t="shared" si="0"/>
        <v>0.16666666666666699</v>
      </c>
      <c r="K23" s="339"/>
      <c r="L23" s="340"/>
      <c r="M23" s="339"/>
      <c r="N23" s="341"/>
      <c r="O23" s="293"/>
      <c r="P23" s="293"/>
      <c r="Q23" s="293"/>
      <c r="R23" s="293"/>
      <c r="S23" s="293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</row>
    <row r="24" spans="2:31" ht="12" thickBot="1">
      <c r="B24" s="343"/>
      <c r="C24" s="344"/>
      <c r="D24" s="347"/>
      <c r="E24" s="348"/>
      <c r="F24" s="349"/>
      <c r="G24" s="349"/>
      <c r="H24" s="349"/>
      <c r="I24" s="349"/>
      <c r="J24" s="349"/>
      <c r="K24" s="349"/>
      <c r="L24" s="349"/>
      <c r="M24" s="349"/>
      <c r="N24" s="126"/>
      <c r="O24" s="293"/>
      <c r="P24" s="293"/>
      <c r="Q24" s="293"/>
      <c r="R24" s="293"/>
      <c r="S24" s="293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</row>
    <row r="25" spans="2:31" ht="12" thickBot="1">
      <c r="B25" s="295" t="s">
        <v>485</v>
      </c>
      <c r="C25" s="350">
        <v>8.3836702003960026E-2</v>
      </c>
      <c r="D25" s="351"/>
      <c r="E25" s="513" t="s">
        <v>486</v>
      </c>
      <c r="F25" s="513"/>
      <c r="G25" s="513"/>
      <c r="H25" s="513"/>
      <c r="I25" s="513"/>
      <c r="J25" s="513"/>
      <c r="K25" s="513"/>
      <c r="L25" s="513"/>
      <c r="M25" s="513"/>
      <c r="N25" s="512"/>
      <c r="O25" s="293"/>
      <c r="P25" s="293"/>
      <c r="Q25" s="293"/>
      <c r="R25" s="293"/>
      <c r="S25" s="293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</row>
    <row r="26" spans="2:31" ht="12" thickBot="1">
      <c r="B26" s="299" t="s">
        <v>487</v>
      </c>
      <c r="C26" s="352" t="b">
        <v>1</v>
      </c>
      <c r="D26" s="324" t="s">
        <v>488</v>
      </c>
      <c r="E26" s="353">
        <v>1</v>
      </c>
      <c r="F26" s="59">
        <f t="shared" ref="F26:N26" si="1">E26+1</f>
        <v>2</v>
      </c>
      <c r="G26" s="354">
        <f t="shared" si="1"/>
        <v>3</v>
      </c>
      <c r="H26" s="355">
        <f t="shared" si="1"/>
        <v>4</v>
      </c>
      <c r="I26" s="355">
        <f t="shared" si="1"/>
        <v>5</v>
      </c>
      <c r="J26" s="355">
        <f t="shared" si="1"/>
        <v>6</v>
      </c>
      <c r="K26" s="355">
        <f t="shared" si="1"/>
        <v>7</v>
      </c>
      <c r="L26" s="59">
        <f t="shared" si="1"/>
        <v>8</v>
      </c>
      <c r="M26" s="355">
        <f t="shared" si="1"/>
        <v>9</v>
      </c>
      <c r="N26" s="356">
        <f t="shared" si="1"/>
        <v>10</v>
      </c>
      <c r="O26" s="293"/>
      <c r="P26" s="293"/>
      <c r="Q26" s="293"/>
      <c r="R26" s="293"/>
      <c r="S26" s="293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</row>
    <row r="27" spans="2:31">
      <c r="B27" s="343"/>
      <c r="D27" s="357">
        <v>0</v>
      </c>
      <c r="E27" s="358">
        <v>1.9E-2</v>
      </c>
      <c r="F27" s="359">
        <v>2.1000000000000001E-2</v>
      </c>
      <c r="G27" s="360">
        <v>2.1999999999999999E-2</v>
      </c>
      <c r="H27" s="361">
        <v>2.1000000000000001E-2</v>
      </c>
      <c r="I27" s="360">
        <v>2.1999999999999999E-2</v>
      </c>
      <c r="J27" s="360">
        <v>2.1000000000000001E-2</v>
      </c>
      <c r="K27" s="334"/>
      <c r="L27" s="362"/>
      <c r="M27" s="334"/>
      <c r="N27" s="310"/>
      <c r="O27" s="293"/>
      <c r="P27" s="293"/>
      <c r="Q27" s="293"/>
      <c r="R27" s="293"/>
      <c r="S27" s="293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</row>
    <row r="28" spans="2:31">
      <c r="B28" s="343"/>
      <c r="D28" s="363">
        <v>2.4E-2</v>
      </c>
      <c r="E28" s="358">
        <v>3.5999999999999997E-2</v>
      </c>
      <c r="F28" s="364">
        <v>0.04</v>
      </c>
      <c r="G28" s="365">
        <v>4.1000000000000002E-2</v>
      </c>
      <c r="H28" s="366">
        <v>0.04</v>
      </c>
      <c r="I28" s="366">
        <v>4.1000000000000002E-2</v>
      </c>
      <c r="J28" s="366">
        <v>0.04</v>
      </c>
      <c r="K28" s="367"/>
      <c r="L28" s="367"/>
      <c r="M28" s="367"/>
      <c r="N28" s="367"/>
      <c r="O28" s="293"/>
      <c r="P28" s="293"/>
      <c r="Q28" s="293"/>
      <c r="R28" s="293"/>
      <c r="S28" s="293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</row>
    <row r="29" spans="2:31">
      <c r="B29" s="343"/>
      <c r="D29" s="363">
        <v>4.9000000000000002E-2</v>
      </c>
      <c r="E29" s="358">
        <v>6.3E-2</v>
      </c>
      <c r="F29" s="364">
        <v>6.9000000000000006E-2</v>
      </c>
      <c r="G29" s="365">
        <v>7.0999999999999994E-2</v>
      </c>
      <c r="H29" s="366">
        <v>6.9000000000000006E-2</v>
      </c>
      <c r="I29" s="366">
        <v>7.0999999999999994E-2</v>
      </c>
      <c r="J29" s="366">
        <v>6.9000000000000006E-2</v>
      </c>
      <c r="K29" s="367"/>
      <c r="L29" s="367"/>
      <c r="M29" s="367"/>
      <c r="N29" s="367"/>
      <c r="O29" s="293"/>
      <c r="P29" s="293"/>
      <c r="Q29" s="293"/>
      <c r="R29" s="293"/>
      <c r="S29" s="293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</row>
    <row r="30" spans="2:31">
      <c r="B30" s="343"/>
      <c r="D30" s="363">
        <v>6.5000000000000002E-2</v>
      </c>
      <c r="E30" s="358">
        <v>9.2999999999999999E-2</v>
      </c>
      <c r="F30" s="364">
        <v>0.107</v>
      </c>
      <c r="G30" s="365">
        <v>0.111</v>
      </c>
      <c r="H30" s="366">
        <v>0.108</v>
      </c>
      <c r="I30" s="366">
        <v>0.112</v>
      </c>
      <c r="J30" s="366">
        <v>0.108</v>
      </c>
      <c r="K30" s="367"/>
      <c r="L30" s="367"/>
      <c r="M30" s="367"/>
      <c r="N30" s="367"/>
      <c r="O30" s="293"/>
      <c r="P30" s="293"/>
      <c r="Q30" s="293"/>
      <c r="R30" s="293"/>
      <c r="S30" s="293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</row>
    <row r="31" spans="2:31">
      <c r="B31" s="343"/>
      <c r="D31" s="363">
        <v>8.1000000000000003E-2</v>
      </c>
      <c r="E31" s="358">
        <v>0.13300000000000001</v>
      </c>
      <c r="F31" s="364">
        <v>0.14899999999999999</v>
      </c>
      <c r="G31" s="365">
        <v>0.154</v>
      </c>
      <c r="H31" s="366">
        <v>0.151</v>
      </c>
      <c r="I31" s="366">
        <v>0.154</v>
      </c>
      <c r="J31" s="366">
        <v>0.14899999999999999</v>
      </c>
      <c r="K31" s="367"/>
      <c r="L31" s="367"/>
      <c r="M31" s="367"/>
      <c r="N31" s="367"/>
      <c r="O31" s="293"/>
      <c r="P31" s="293"/>
      <c r="Q31" s="293"/>
      <c r="R31" s="293"/>
      <c r="S31" s="293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</row>
    <row r="32" spans="2:31">
      <c r="B32" s="343"/>
      <c r="D32" s="363">
        <v>9.8000000000000004E-2</v>
      </c>
      <c r="E32" s="358">
        <v>0.17399999999999999</v>
      </c>
      <c r="F32" s="364">
        <v>0.191</v>
      </c>
      <c r="G32" s="365">
        <v>0.19600000000000001</v>
      </c>
      <c r="H32" s="366">
        <v>0.19400000000000001</v>
      </c>
      <c r="I32" s="366">
        <v>0.19700000000000001</v>
      </c>
      <c r="J32" s="366">
        <v>0.191</v>
      </c>
      <c r="K32" s="367"/>
      <c r="L32" s="367"/>
      <c r="M32" s="367"/>
      <c r="N32" s="367"/>
      <c r="O32" s="293"/>
      <c r="P32" s="293"/>
      <c r="Q32" s="293"/>
      <c r="R32" s="293"/>
      <c r="S32" s="293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</row>
    <row r="33" spans="1:31" ht="12" thickBot="1">
      <c r="B33" s="368"/>
      <c r="C33" s="369"/>
      <c r="D33" s="370">
        <v>0.114</v>
      </c>
      <c r="E33" s="371">
        <v>0.214</v>
      </c>
      <c r="F33" s="372">
        <v>0.23200000000000001</v>
      </c>
      <c r="G33" s="373">
        <v>0.23799999999999999</v>
      </c>
      <c r="H33" s="374">
        <v>0.23499999999999999</v>
      </c>
      <c r="I33" s="373">
        <v>0.23899999999999999</v>
      </c>
      <c r="J33" s="373">
        <v>0.23200000000000001</v>
      </c>
      <c r="K33" s="340"/>
      <c r="L33" s="375"/>
      <c r="M33" s="340"/>
      <c r="N33" s="336"/>
      <c r="O33" s="293"/>
      <c r="P33" s="293"/>
      <c r="Q33" s="293"/>
      <c r="R33" s="293"/>
      <c r="S33" s="293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</row>
    <row r="34" spans="1:31" ht="12" thickBot="1"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</row>
    <row r="35" spans="1:31" ht="12" thickBot="1">
      <c r="D35" s="376" t="s">
        <v>423</v>
      </c>
      <c r="E35" s="377" t="b">
        <v>1</v>
      </c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</row>
    <row r="36" spans="1:31" ht="12" thickBot="1">
      <c r="B36" s="378"/>
      <c r="C36" s="79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3"/>
      <c r="R36" s="293"/>
      <c r="S36" s="293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</row>
    <row r="37" spans="1:31" ht="13.5" customHeight="1" thickBot="1">
      <c r="B37" s="378"/>
      <c r="C37" s="511" t="s">
        <v>480</v>
      </c>
      <c r="D37" s="512"/>
      <c r="E37" s="513" t="s">
        <v>489</v>
      </c>
      <c r="F37" s="513"/>
      <c r="G37" s="513"/>
      <c r="H37" s="513"/>
      <c r="I37" s="513"/>
      <c r="J37" s="513"/>
      <c r="K37" s="513"/>
      <c r="L37" s="513"/>
      <c r="M37" s="513"/>
      <c r="N37" s="512"/>
      <c r="O37" s="293"/>
      <c r="P37" s="293"/>
      <c r="Q37" s="293"/>
      <c r="R37" s="293"/>
      <c r="S37" s="293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</row>
    <row r="38" spans="1:31" ht="12" thickBot="1">
      <c r="B38" s="305"/>
      <c r="C38" s="379" t="s">
        <v>434</v>
      </c>
      <c r="D38" s="380" t="s">
        <v>490</v>
      </c>
      <c r="E38" s="294">
        <v>1</v>
      </c>
      <c r="F38" s="294">
        <f t="shared" ref="F38:N38" si="2">E38+1</f>
        <v>2</v>
      </c>
      <c r="G38" s="294">
        <f t="shared" si="2"/>
        <v>3</v>
      </c>
      <c r="H38" s="294">
        <f t="shared" si="2"/>
        <v>4</v>
      </c>
      <c r="I38" s="294">
        <f t="shared" si="2"/>
        <v>5</v>
      </c>
      <c r="J38" s="294">
        <f t="shared" si="2"/>
        <v>6</v>
      </c>
      <c r="K38" s="294">
        <f t="shared" si="2"/>
        <v>7</v>
      </c>
      <c r="L38" s="294">
        <f t="shared" si="2"/>
        <v>8</v>
      </c>
      <c r="M38" s="294">
        <f t="shared" si="2"/>
        <v>9</v>
      </c>
      <c r="N38" s="381">
        <f t="shared" si="2"/>
        <v>10</v>
      </c>
      <c r="O38" s="293"/>
      <c r="P38" s="293"/>
      <c r="Q38" s="293"/>
      <c r="R38" s="293"/>
      <c r="S38" s="293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</row>
    <row r="39" spans="1:31" ht="12" thickBot="1">
      <c r="A39" s="79"/>
      <c r="B39" s="379" t="s">
        <v>491</v>
      </c>
      <c r="C39" s="382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83" t="str">
        <f ca="1"/>
        <v/>
      </c>
      <c r="E39" s="384" t="str">
        <f ca="1"/>
        <v/>
      </c>
      <c r="F39" s="384" t="str">
        <f ca="1"/>
        <v/>
      </c>
      <c r="G39" s="384" t="str">
        <f ca="1"/>
        <v/>
      </c>
      <c r="H39" s="384" t="str">
        <f ca="1"/>
        <v/>
      </c>
      <c r="I39" s="384" t="str">
        <f ca="1"/>
        <v/>
      </c>
      <c r="J39" s="384" t="str">
        <f ca="1"/>
        <v/>
      </c>
      <c r="K39" s="384" t="str">
        <f ca="1"/>
        <v/>
      </c>
      <c r="L39" s="384" t="str">
        <f ca="1"/>
        <v/>
      </c>
      <c r="M39" s="384" t="str">
        <f ca="1"/>
        <v/>
      </c>
      <c r="N39" s="385" t="str">
        <f ca="1"/>
        <v/>
      </c>
      <c r="O39" s="293"/>
      <c r="P39" s="293"/>
      <c r="Q39" s="293"/>
      <c r="R39" s="293"/>
      <c r="S39" s="293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</row>
    <row r="40" spans="1:31" ht="12" thickBot="1">
      <c r="B40" s="379" t="s">
        <v>492</v>
      </c>
      <c r="C40" s="386" t="str">
        <f ca="1"/>
        <v/>
      </c>
      <c r="D40" s="387" t="str">
        <f ca="1"/>
        <v/>
      </c>
      <c r="E40" s="388" t="str">
        <f ca="1"/>
        <v/>
      </c>
      <c r="F40" s="388" t="str">
        <f ca="1"/>
        <v/>
      </c>
      <c r="G40" s="388" t="str">
        <f ca="1"/>
        <v/>
      </c>
      <c r="H40" s="388" t="str">
        <f ca="1"/>
        <v/>
      </c>
      <c r="I40" s="388" t="str">
        <f ca="1"/>
        <v/>
      </c>
      <c r="J40" s="388" t="str">
        <f ca="1"/>
        <v/>
      </c>
      <c r="K40" s="388" t="str">
        <f ca="1"/>
        <v/>
      </c>
      <c r="L40" s="388" t="str">
        <f ca="1"/>
        <v/>
      </c>
      <c r="M40" s="388" t="str">
        <f ca="1"/>
        <v/>
      </c>
      <c r="N40" s="389" t="str">
        <f ca="1"/>
        <v/>
      </c>
      <c r="O40" s="293"/>
      <c r="P40" s="293"/>
      <c r="Q40" s="293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</row>
    <row r="41" spans="1:31">
      <c r="C41" s="390"/>
      <c r="D41" s="391" t="e" cm="1">
        <f t="array" aca="1" ref="D41" ca="1">GetTest2(E21:N23)</f>
        <v>#VALUE!</v>
      </c>
      <c r="E41" s="391"/>
      <c r="F41" s="392"/>
      <c r="G41" s="391"/>
      <c r="H41" s="392"/>
      <c r="I41" s="390"/>
      <c r="J41" s="392"/>
      <c r="K41" s="390"/>
      <c r="L41" s="392"/>
      <c r="M41" s="390"/>
      <c r="N41" s="390"/>
      <c r="O41" s="293"/>
      <c r="P41" s="514"/>
      <c r="Q41" s="514"/>
      <c r="R41" s="514"/>
      <c r="S41" s="293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</row>
    <row r="42" spans="1:31">
      <c r="B42" s="293" t="str" cm="1">
        <f t="array" aca="1" ref="B42" ca="1">GetTest2(E21:N23,C21,C22,C26,D46:N345,Parameter_Date,C5,C11)</f>
        <v>6 , 5, 0, 0,02</v>
      </c>
      <c r="D42" s="391"/>
      <c r="E42" s="391"/>
      <c r="F42" s="392"/>
      <c r="G42" s="391"/>
      <c r="H42" s="392"/>
      <c r="I42" s="390"/>
      <c r="J42" s="392"/>
      <c r="K42" s="390"/>
      <c r="L42" s="392"/>
      <c r="M42" s="390"/>
      <c r="N42" s="390"/>
      <c r="O42" s="293"/>
      <c r="P42" s="293"/>
      <c r="Q42" s="293"/>
      <c r="R42" s="293"/>
      <c r="S42" s="293"/>
      <c r="T42" s="293"/>
      <c r="U42" s="293"/>
      <c r="V42" s="293"/>
      <c r="W42" s="293"/>
      <c r="X42" s="293"/>
      <c r="Y42" s="293"/>
      <c r="Z42" s="293"/>
      <c r="AA42" s="293"/>
      <c r="AB42" s="293"/>
      <c r="AC42" s="293"/>
      <c r="AD42" s="293"/>
      <c r="AE42" s="293"/>
    </row>
    <row r="43" spans="1:31" ht="12" thickBot="1">
      <c r="D43" s="293"/>
      <c r="E43" s="393"/>
      <c r="O43" s="293"/>
      <c r="P43" s="293"/>
      <c r="Q43" s="293"/>
      <c r="R43" s="293"/>
      <c r="S43" s="293"/>
      <c r="T43" s="293"/>
      <c r="U43" s="293"/>
      <c r="V43" s="293"/>
      <c r="W43" s="293"/>
      <c r="X43" s="293"/>
      <c r="Y43" s="293"/>
      <c r="Z43" s="293"/>
      <c r="AA43" s="293"/>
      <c r="AB43" s="293"/>
      <c r="AC43" s="293"/>
      <c r="AD43" s="293"/>
      <c r="AE43" s="293"/>
    </row>
    <row r="44" spans="1:31" ht="12" thickBot="1">
      <c r="C44" s="344"/>
      <c r="D44" s="394"/>
      <c r="E44" s="511" t="s">
        <v>493</v>
      </c>
      <c r="F44" s="513"/>
      <c r="G44" s="513"/>
      <c r="H44" s="513"/>
      <c r="I44" s="513"/>
      <c r="J44" s="513"/>
      <c r="K44" s="513"/>
      <c r="L44" s="513"/>
      <c r="M44" s="513"/>
      <c r="N44" s="512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</row>
    <row r="45" spans="1:31" ht="12" thickBot="1">
      <c r="B45" s="324" t="s">
        <v>494</v>
      </c>
      <c r="C45" s="321" t="s">
        <v>495</v>
      </c>
      <c r="D45" s="379" t="s">
        <v>474</v>
      </c>
      <c r="E45" s="395">
        <v>1</v>
      </c>
      <c r="F45" s="396">
        <f t="shared" ref="F45:N45" si="3">E45+1</f>
        <v>2</v>
      </c>
      <c r="G45" s="396">
        <f t="shared" si="3"/>
        <v>3</v>
      </c>
      <c r="H45" s="396">
        <f t="shared" si="3"/>
        <v>4</v>
      </c>
      <c r="I45" s="396">
        <f t="shared" si="3"/>
        <v>5</v>
      </c>
      <c r="J45" s="396">
        <f t="shared" si="3"/>
        <v>6</v>
      </c>
      <c r="K45" s="396">
        <f t="shared" si="3"/>
        <v>7</v>
      </c>
      <c r="L45" s="396">
        <f t="shared" si="3"/>
        <v>8</v>
      </c>
      <c r="M45" s="396">
        <f t="shared" si="3"/>
        <v>9</v>
      </c>
      <c r="N45" s="397">
        <f t="shared" si="3"/>
        <v>10</v>
      </c>
      <c r="O45" s="293"/>
      <c r="P45" s="293"/>
      <c r="Q45" s="293"/>
      <c r="R45" s="293"/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</row>
    <row r="46" spans="1:31" ht="15">
      <c r="B46" s="398">
        <v>1</v>
      </c>
      <c r="C46" s="406" t="str" cm="1">
        <f t="array" aca="1" ref="C46" ca="1">IF(B46&lt;=$C$9,GetGetCDSName(B46),"")</f>
        <v>ABNAMRO_MMR.EUR.SU</v>
      </c>
      <c r="D46" s="366">
        <v>0</v>
      </c>
      <c r="E46" s="399">
        <v>0</v>
      </c>
      <c r="F46" s="318">
        <v>0</v>
      </c>
      <c r="G46" s="318">
        <v>1</v>
      </c>
      <c r="H46" s="318">
        <v>0</v>
      </c>
      <c r="I46" s="318">
        <v>0</v>
      </c>
      <c r="J46" s="318">
        <v>0</v>
      </c>
      <c r="K46" s="318"/>
      <c r="L46" s="318"/>
      <c r="M46" s="318"/>
      <c r="N46" s="400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</row>
    <row r="47" spans="1:31" ht="15">
      <c r="B47" s="398">
        <f t="shared" ref="B47:B110" si="4">B46+1</f>
        <v>2</v>
      </c>
      <c r="C47" s="406" t="str" cm="1">
        <f t="array" aca="1" ref="C47" ca="1">IF(B47&lt;=$C$9,GetGetCDSName(B47),"")</f>
        <v>ACCOR_MMR.EUR.SU</v>
      </c>
      <c r="D47" s="366">
        <v>0</v>
      </c>
      <c r="E47" s="399">
        <v>0</v>
      </c>
      <c r="F47" s="318">
        <v>0</v>
      </c>
      <c r="G47" s="318">
        <v>0</v>
      </c>
      <c r="H47" s="318">
        <v>0</v>
      </c>
      <c r="I47" s="318">
        <v>1</v>
      </c>
      <c r="J47" s="318">
        <v>1</v>
      </c>
      <c r="K47" s="318"/>
      <c r="L47" s="318"/>
      <c r="M47" s="318"/>
      <c r="N47" s="400"/>
      <c r="O47" s="293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</row>
    <row r="48" spans="1:31" ht="15">
      <c r="B48" s="398">
        <f t="shared" si="4"/>
        <v>3</v>
      </c>
      <c r="C48" s="406" t="str" cm="1">
        <f t="array" aca="1" ref="C48" ca="1">IF(B48&lt;=$C$9,GetGetCDSName(B48),"")</f>
        <v>ADECCO_MMR.EUR.SU</v>
      </c>
      <c r="D48" s="366">
        <v>0</v>
      </c>
      <c r="E48" s="399">
        <v>0</v>
      </c>
      <c r="F48" s="318">
        <v>0</v>
      </c>
      <c r="G48" s="318">
        <v>1</v>
      </c>
      <c r="H48" s="318">
        <v>0</v>
      </c>
      <c r="I48" s="318">
        <v>1</v>
      </c>
      <c r="J48" s="318">
        <v>0</v>
      </c>
      <c r="K48" s="318"/>
      <c r="L48" s="318"/>
      <c r="M48" s="318"/>
      <c r="N48" s="400"/>
      <c r="O48" s="293"/>
      <c r="P48" s="293"/>
      <c r="Q48" s="293"/>
      <c r="R48" s="293"/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</row>
    <row r="49" spans="2:31" ht="15">
      <c r="B49" s="398">
        <f t="shared" si="4"/>
        <v>4</v>
      </c>
      <c r="C49" s="406" t="str" cm="1">
        <f t="array" aca="1" ref="C49" ca="1">IF(B49&lt;=$C$9,GetGetCDSName(B49),"")</f>
        <v>AEGON_MMR.EUR.SU</v>
      </c>
      <c r="D49" s="366">
        <v>0</v>
      </c>
      <c r="E49" s="399">
        <v>0</v>
      </c>
      <c r="F49" s="318">
        <v>0</v>
      </c>
      <c r="G49" s="318">
        <v>0</v>
      </c>
      <c r="H49" s="318">
        <v>0</v>
      </c>
      <c r="I49" s="318">
        <v>0</v>
      </c>
      <c r="J49" s="318">
        <v>1</v>
      </c>
      <c r="K49" s="318"/>
      <c r="L49" s="318"/>
      <c r="M49" s="318"/>
      <c r="N49" s="400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</row>
    <row r="50" spans="2:31" ht="15">
      <c r="B50" s="398">
        <f t="shared" si="4"/>
        <v>5</v>
      </c>
      <c r="C50" s="406" t="str" cm="1">
        <f t="array" aca="1" ref="C50" ca="1">IF(B50&lt;=$C$9,GetGetCDSName(B50),"")</f>
        <v>AKZONOBEL_MMR.EUR.SU</v>
      </c>
      <c r="D50" s="366">
        <v>0</v>
      </c>
      <c r="E50" s="399">
        <v>0</v>
      </c>
      <c r="F50" s="318">
        <v>0</v>
      </c>
      <c r="G50" s="318">
        <v>0</v>
      </c>
      <c r="H50" s="318">
        <v>1</v>
      </c>
      <c r="I50" s="318">
        <v>0</v>
      </c>
      <c r="J50" s="318">
        <v>0</v>
      </c>
      <c r="K50" s="318"/>
      <c r="L50" s="318"/>
      <c r="M50" s="318"/>
      <c r="N50" s="400"/>
      <c r="O50" s="293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</row>
    <row r="51" spans="2:31" ht="15">
      <c r="B51" s="398">
        <f t="shared" si="4"/>
        <v>6</v>
      </c>
      <c r="C51" s="406" t="str" cm="1">
        <f t="array" aca="1" ref="C51" ca="1">IF(B51&lt;=$C$9,GetGetCDSName(B51),"")</f>
        <v>ALLIANZ_MMR.EUR.SU</v>
      </c>
      <c r="D51" s="366">
        <v>0</v>
      </c>
      <c r="E51" s="399">
        <v>1</v>
      </c>
      <c r="F51" s="318">
        <v>1</v>
      </c>
      <c r="G51" s="318">
        <v>0</v>
      </c>
      <c r="H51" s="318">
        <v>0</v>
      </c>
      <c r="I51" s="318">
        <v>0</v>
      </c>
      <c r="J51" s="318">
        <v>1</v>
      </c>
      <c r="K51" s="318"/>
      <c r="L51" s="318"/>
      <c r="M51" s="318"/>
      <c r="N51" s="400"/>
      <c r="O51" s="293"/>
      <c r="P51" s="293"/>
      <c r="Q51" s="293"/>
      <c r="R51" s="293"/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</row>
    <row r="52" spans="2:31" ht="15">
      <c r="B52" s="398">
        <f t="shared" si="4"/>
        <v>7</v>
      </c>
      <c r="C52" s="406" t="str" cm="1">
        <f t="array" aca="1" ref="C52" ca="1">IF(B52&lt;=$C$9,GetGetCDSName(B52),"")</f>
        <v>ALTADIS_MMR.EUR.SU</v>
      </c>
      <c r="D52" s="366">
        <v>0</v>
      </c>
      <c r="E52" s="399">
        <v>0</v>
      </c>
      <c r="F52" s="318">
        <v>0</v>
      </c>
      <c r="G52" s="318">
        <v>1</v>
      </c>
      <c r="H52" s="318">
        <v>1</v>
      </c>
      <c r="I52" s="318">
        <v>1</v>
      </c>
      <c r="J52" s="318">
        <v>0</v>
      </c>
      <c r="K52" s="318"/>
      <c r="L52" s="318"/>
      <c r="M52" s="318"/>
      <c r="N52" s="400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</row>
    <row r="53" spans="2:31" ht="15">
      <c r="B53" s="398">
        <f t="shared" si="4"/>
        <v>8</v>
      </c>
      <c r="C53" s="406" t="str" cm="1">
        <f t="array" aca="1" ref="C53" ca="1">IF(B53&lt;=$C$9,GetGetCDSName(B53),"")</f>
        <v>ARCELORFINANCESCA_MMR.EUR.SU</v>
      </c>
      <c r="D53" s="366">
        <v>0</v>
      </c>
      <c r="E53" s="399">
        <v>1</v>
      </c>
      <c r="F53" s="318">
        <v>1</v>
      </c>
      <c r="G53" s="318">
        <v>0</v>
      </c>
      <c r="H53" s="318">
        <v>0</v>
      </c>
      <c r="I53" s="318">
        <v>1</v>
      </c>
      <c r="J53" s="318">
        <v>0</v>
      </c>
      <c r="K53" s="318"/>
      <c r="L53" s="318"/>
      <c r="M53" s="318"/>
      <c r="N53" s="400"/>
      <c r="O53" s="293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</row>
    <row r="54" spans="2:31" ht="15">
      <c r="B54" s="398">
        <f t="shared" si="4"/>
        <v>9</v>
      </c>
      <c r="C54" s="406" t="str" cm="1">
        <f t="array" aca="1" ref="C54" ca="1">IF(B54&lt;=$C$9,GetGetCDSName(B54),"")</f>
        <v>AUCHAN_MMR.EUR.SU</v>
      </c>
      <c r="D54" s="366">
        <v>0</v>
      </c>
      <c r="E54" s="399">
        <v>0</v>
      </c>
      <c r="F54" s="318">
        <v>0</v>
      </c>
      <c r="G54" s="318">
        <v>0</v>
      </c>
      <c r="H54" s="318">
        <v>0</v>
      </c>
      <c r="I54" s="318">
        <v>0</v>
      </c>
      <c r="J54" s="318">
        <v>1</v>
      </c>
      <c r="K54" s="318"/>
      <c r="L54" s="318"/>
      <c r="M54" s="318"/>
      <c r="N54" s="400"/>
      <c r="O54" s="293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</row>
    <row r="55" spans="2:31" ht="15">
      <c r="B55" s="398">
        <f t="shared" si="4"/>
        <v>10</v>
      </c>
      <c r="C55" s="406" t="str" cm="1">
        <f t="array" aca="1" ref="C55" ca="1">IF(B55&lt;=$C$9,GetGetCDSName(B55),"")</f>
        <v>AVIVA_MMR.EUR.SU</v>
      </c>
      <c r="D55" s="366">
        <v>0</v>
      </c>
      <c r="E55" s="399">
        <v>0</v>
      </c>
      <c r="F55" s="318">
        <v>0</v>
      </c>
      <c r="G55" s="318">
        <v>1</v>
      </c>
      <c r="H55" s="318">
        <v>1</v>
      </c>
      <c r="I55" s="318">
        <v>0</v>
      </c>
      <c r="J55" s="318">
        <v>0</v>
      </c>
      <c r="K55" s="318"/>
      <c r="L55" s="318"/>
      <c r="M55" s="318"/>
      <c r="N55" s="400"/>
      <c r="O55" s="293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</row>
    <row r="56" spans="2:31" ht="15">
      <c r="B56" s="398">
        <f t="shared" si="4"/>
        <v>11</v>
      </c>
      <c r="C56" s="406" t="str" cm="1">
        <f t="array" aca="1" ref="C56" ca="1">IF(B56&lt;=$C$9,GetGetCDSName(B56),"")</f>
        <v>AXA_MMR.EUR.SU</v>
      </c>
      <c r="D56" s="366">
        <v>0</v>
      </c>
      <c r="E56" s="399">
        <v>1</v>
      </c>
      <c r="F56" s="318">
        <v>0</v>
      </c>
      <c r="G56" s="318">
        <v>0</v>
      </c>
      <c r="H56" s="318">
        <v>0</v>
      </c>
      <c r="I56" s="318">
        <v>0</v>
      </c>
      <c r="J56" s="318">
        <v>0</v>
      </c>
      <c r="K56" s="318"/>
      <c r="L56" s="318"/>
      <c r="M56" s="318"/>
      <c r="N56" s="400"/>
      <c r="O56" s="293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</row>
    <row r="57" spans="2:31" ht="15">
      <c r="B57" s="398">
        <f t="shared" si="4"/>
        <v>12</v>
      </c>
      <c r="C57" s="406" t="str" cm="1">
        <f t="array" aca="1" ref="C57" ca="1">IF(B57&lt;=$C$9,GetGetCDSName(B57),"")</f>
        <v>BANCOESPIRITOSANTO_MMR.EUR.SU</v>
      </c>
      <c r="D57" s="366">
        <v>0</v>
      </c>
      <c r="E57" s="399">
        <v>0</v>
      </c>
      <c r="F57" s="318">
        <v>1</v>
      </c>
      <c r="G57" s="318">
        <v>0</v>
      </c>
      <c r="H57" s="318">
        <v>0</v>
      </c>
      <c r="I57" s="318">
        <v>0</v>
      </c>
      <c r="J57" s="318">
        <v>0</v>
      </c>
      <c r="K57" s="318"/>
      <c r="L57" s="318"/>
      <c r="M57" s="318"/>
      <c r="N57" s="400"/>
      <c r="O57" s="293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</row>
    <row r="58" spans="2:31" ht="15">
      <c r="B58" s="398">
        <f t="shared" si="4"/>
        <v>13</v>
      </c>
      <c r="C58" s="406" t="str" cm="1">
        <f t="array" aca="1" ref="C58" ca="1">IF(B58&lt;=$C$9,GetGetCDSName(B58),"")</f>
        <v>BARCLAYS_MMR.EUR.SU</v>
      </c>
      <c r="D58" s="366">
        <v>0</v>
      </c>
      <c r="E58" s="399">
        <v>0</v>
      </c>
      <c r="F58" s="318">
        <v>0</v>
      </c>
      <c r="G58" s="318">
        <v>0</v>
      </c>
      <c r="H58" s="318">
        <v>1</v>
      </c>
      <c r="I58" s="318">
        <v>0</v>
      </c>
      <c r="J58" s="318">
        <v>0</v>
      </c>
      <c r="K58" s="318"/>
      <c r="L58" s="318"/>
      <c r="M58" s="318"/>
      <c r="N58" s="400"/>
      <c r="O58" s="293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</row>
    <row r="59" spans="2:31" ht="15">
      <c r="B59" s="398">
        <f t="shared" si="4"/>
        <v>14</v>
      </c>
      <c r="C59" s="406" t="str" cm="1">
        <f t="array" aca="1" ref="C59" ca="1">IF(B59&lt;=$C$9,GetGetCDSName(B59),"")</f>
        <v>BASF_MMR.EUR.SU</v>
      </c>
      <c r="D59" s="366">
        <v>0</v>
      </c>
      <c r="E59" s="399">
        <v>0</v>
      </c>
      <c r="F59" s="318">
        <v>0</v>
      </c>
      <c r="G59" s="318">
        <v>0</v>
      </c>
      <c r="H59" s="318">
        <v>1</v>
      </c>
      <c r="I59" s="318">
        <v>1</v>
      </c>
      <c r="J59" s="318">
        <v>0</v>
      </c>
      <c r="K59" s="318"/>
      <c r="L59" s="318"/>
      <c r="M59" s="318"/>
      <c r="N59" s="400"/>
      <c r="O59" s="293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</row>
    <row r="60" spans="2:31" ht="15">
      <c r="B60" s="398">
        <f t="shared" si="4"/>
        <v>15</v>
      </c>
      <c r="C60" s="406" t="str" cm="1">
        <f t="array" aca="1" ref="C60" ca="1">IF(B60&lt;=$C$9,GetGetCDSName(B60),"")</f>
        <v>BAT_MMR.EUR.SU</v>
      </c>
      <c r="D60" s="366">
        <v>0</v>
      </c>
      <c r="E60" s="399">
        <v>1</v>
      </c>
      <c r="F60" s="318">
        <v>0</v>
      </c>
      <c r="G60" s="318">
        <v>0</v>
      </c>
      <c r="H60" s="318">
        <v>1</v>
      </c>
      <c r="I60" s="318">
        <v>1</v>
      </c>
      <c r="J60" s="318">
        <v>0</v>
      </c>
      <c r="K60" s="318"/>
      <c r="L60" s="318"/>
      <c r="M60" s="318"/>
      <c r="N60" s="400"/>
      <c r="O60" s="293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</row>
    <row r="61" spans="2:31" ht="15">
      <c r="B61" s="398">
        <f t="shared" si="4"/>
        <v>16</v>
      </c>
      <c r="C61" s="406" t="str" cm="1">
        <f t="array" aca="1" ref="C61" ca="1">IF(B61&lt;=$C$9,GetGetCDSName(B61),"")</f>
        <v>BAYER_MMR.EUR.SU</v>
      </c>
      <c r="D61" s="366">
        <v>0</v>
      </c>
      <c r="E61" s="399">
        <v>0</v>
      </c>
      <c r="F61" s="318">
        <v>0</v>
      </c>
      <c r="G61" s="318">
        <v>0</v>
      </c>
      <c r="H61" s="318">
        <v>0</v>
      </c>
      <c r="I61" s="318">
        <v>1</v>
      </c>
      <c r="J61" s="318">
        <v>0</v>
      </c>
      <c r="K61" s="318"/>
      <c r="L61" s="318"/>
      <c r="M61" s="318"/>
      <c r="N61" s="400"/>
      <c r="O61" s="293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</row>
    <row r="62" spans="2:31" ht="15">
      <c r="B62" s="398">
        <f t="shared" si="4"/>
        <v>17</v>
      </c>
      <c r="C62" s="406" t="str" cm="1">
        <f t="array" aca="1" ref="C62" ca="1">IF(B62&lt;=$C$9,GetGetCDSName(B62),"")</f>
        <v>BBVA_MMR.EUR.SU</v>
      </c>
      <c r="D62" s="366">
        <v>0</v>
      </c>
      <c r="E62" s="399">
        <v>1</v>
      </c>
      <c r="F62" s="318">
        <v>0</v>
      </c>
      <c r="G62" s="318">
        <v>0</v>
      </c>
      <c r="H62" s="318">
        <v>0</v>
      </c>
      <c r="I62" s="318">
        <v>0</v>
      </c>
      <c r="J62" s="318">
        <v>0</v>
      </c>
      <c r="K62" s="318"/>
      <c r="L62" s="318"/>
      <c r="M62" s="318"/>
      <c r="N62" s="400"/>
      <c r="O62" s="293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</row>
    <row r="63" spans="2:31" ht="15">
      <c r="B63" s="398">
        <f t="shared" si="4"/>
        <v>18</v>
      </c>
      <c r="C63" s="406" t="str" cm="1">
        <f t="array" aca="1" ref="C63" ca="1">IF(B63&lt;=$C$9,GetGetCDSName(B63),"")</f>
        <v>BERTELSMANNAG_MMR.EUR.SU</v>
      </c>
      <c r="D63" s="366">
        <v>0</v>
      </c>
      <c r="E63" s="399">
        <v>0</v>
      </c>
      <c r="F63" s="318">
        <v>1</v>
      </c>
      <c r="G63" s="318">
        <v>0</v>
      </c>
      <c r="H63" s="318">
        <v>0</v>
      </c>
      <c r="I63" s="318">
        <v>0</v>
      </c>
      <c r="J63" s="318">
        <v>0</v>
      </c>
      <c r="K63" s="318"/>
      <c r="L63" s="318"/>
      <c r="M63" s="318"/>
      <c r="N63" s="400"/>
      <c r="O63" s="293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</row>
    <row r="64" spans="2:31" ht="15">
      <c r="B64" s="398">
        <f t="shared" si="4"/>
        <v>19</v>
      </c>
      <c r="C64" s="406" t="str" cm="1">
        <f t="array" aca="1" ref="C64" ca="1">IF(B64&lt;=$C$9,GetGetCDSName(B64),"")</f>
        <v>BMW_MMR.EUR.SU</v>
      </c>
      <c r="D64" s="366">
        <v>0</v>
      </c>
      <c r="E64" s="399">
        <v>0</v>
      </c>
      <c r="F64" s="318">
        <v>0</v>
      </c>
      <c r="G64" s="318">
        <v>1</v>
      </c>
      <c r="H64" s="318">
        <v>0</v>
      </c>
      <c r="I64" s="318">
        <v>0</v>
      </c>
      <c r="J64" s="318">
        <v>0</v>
      </c>
      <c r="K64" s="318"/>
      <c r="L64" s="318"/>
      <c r="M64" s="318"/>
      <c r="N64" s="400"/>
      <c r="O64" s="293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</row>
    <row r="65" spans="2:31" ht="15">
      <c r="B65" s="398">
        <f t="shared" si="4"/>
        <v>20</v>
      </c>
      <c r="C65" s="406" t="str" cm="1">
        <f t="array" aca="1" ref="C65" ca="1">IF(B65&lt;=$C$9,GetGetCDSName(B65),"")</f>
        <v>BNPPARIBAS_MMR.EUR.SU</v>
      </c>
      <c r="D65" s="366">
        <v>0</v>
      </c>
      <c r="E65" s="399">
        <v>1</v>
      </c>
      <c r="F65" s="318">
        <v>0</v>
      </c>
      <c r="G65" s="318">
        <v>1</v>
      </c>
      <c r="H65" s="318">
        <v>1</v>
      </c>
      <c r="I65" s="318">
        <v>0</v>
      </c>
      <c r="J65" s="318">
        <v>0</v>
      </c>
      <c r="K65" s="318"/>
      <c r="L65" s="318"/>
      <c r="M65" s="318"/>
      <c r="N65" s="400"/>
      <c r="O65" s="293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</row>
    <row r="66" spans="2:31" ht="15">
      <c r="B66" s="398">
        <f t="shared" si="4"/>
        <v>21</v>
      </c>
      <c r="C66" s="406" t="str" cm="1">
        <f t="array" aca="1" ref="C66" ca="1">IF(B66&lt;=$C$9,GetGetCDSName(B66),"")</f>
        <v>BRITISHTELECOM_MMR.EUR.SU</v>
      </c>
      <c r="D66" s="366">
        <v>0</v>
      </c>
      <c r="E66" s="399">
        <v>0</v>
      </c>
      <c r="F66" s="318">
        <v>1</v>
      </c>
      <c r="G66" s="318">
        <v>1</v>
      </c>
      <c r="H66" s="318">
        <v>0</v>
      </c>
      <c r="I66" s="318">
        <v>0</v>
      </c>
      <c r="J66" s="318">
        <v>1</v>
      </c>
      <c r="K66" s="318"/>
      <c r="L66" s="318"/>
      <c r="M66" s="318"/>
      <c r="N66" s="400"/>
      <c r="O66" s="293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</row>
    <row r="67" spans="2:31" ht="15">
      <c r="B67" s="398">
        <f t="shared" si="4"/>
        <v>22</v>
      </c>
      <c r="C67" s="406" t="str" cm="1">
        <f t="array" aca="1" ref="C67" ca="1">IF(B67&lt;=$C$9,GetGetCDSName(B67),"")</f>
        <v>BSCH_MMR.EUR.SU</v>
      </c>
      <c r="D67" s="366">
        <v>0</v>
      </c>
      <c r="E67" s="399">
        <v>0</v>
      </c>
      <c r="F67" s="318">
        <v>0</v>
      </c>
      <c r="G67" s="318">
        <v>1</v>
      </c>
      <c r="H67" s="318">
        <v>0</v>
      </c>
      <c r="I67" s="318">
        <v>0</v>
      </c>
      <c r="J67" s="318">
        <v>1</v>
      </c>
      <c r="K67" s="318"/>
      <c r="L67" s="318"/>
      <c r="M67" s="318"/>
      <c r="N67" s="400"/>
      <c r="O67" s="293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</row>
    <row r="68" spans="2:31" ht="15">
      <c r="B68" s="398">
        <f t="shared" si="4"/>
        <v>23</v>
      </c>
      <c r="C68" s="406" t="str" cm="1">
        <f t="array" aca="1" ref="C68" ca="1">IF(B68&lt;=$C$9,GetGetCDSName(B68),"")</f>
        <v>CADBURYSCHWEPPES_MMR.EUR.SU</v>
      </c>
      <c r="D68" s="366">
        <v>0</v>
      </c>
      <c r="E68" s="399">
        <v>0</v>
      </c>
      <c r="F68" s="318">
        <v>0</v>
      </c>
      <c r="G68" s="318">
        <v>0</v>
      </c>
      <c r="H68" s="318">
        <v>0</v>
      </c>
      <c r="I68" s="318">
        <v>0</v>
      </c>
      <c r="J68" s="318">
        <v>1</v>
      </c>
      <c r="K68" s="318"/>
      <c r="L68" s="318"/>
      <c r="M68" s="318"/>
      <c r="N68" s="400"/>
      <c r="O68" s="293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</row>
    <row r="69" spans="2:31" ht="15">
      <c r="B69" s="398">
        <f t="shared" si="4"/>
        <v>24</v>
      </c>
      <c r="C69" s="406" t="str" cm="1">
        <f t="array" aca="1" ref="C69" ca="1">IF(B69&lt;=$C$9,GetGetCDSName(B69),"")</f>
        <v>CAPITALIA_MMR.EUR.SU</v>
      </c>
      <c r="D69" s="366">
        <v>0</v>
      </c>
      <c r="E69" s="399">
        <v>0</v>
      </c>
      <c r="F69" s="318">
        <v>1</v>
      </c>
      <c r="G69" s="318">
        <v>1</v>
      </c>
      <c r="H69" s="318">
        <v>0</v>
      </c>
      <c r="I69" s="318">
        <v>0</v>
      </c>
      <c r="J69" s="318">
        <v>0</v>
      </c>
      <c r="K69" s="318"/>
      <c r="L69" s="318"/>
      <c r="M69" s="318"/>
      <c r="N69" s="400"/>
      <c r="O69" s="293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</row>
    <row r="70" spans="2:31" ht="15">
      <c r="B70" s="398">
        <f t="shared" si="4"/>
        <v>25</v>
      </c>
      <c r="C70" s="406" t="str" cm="1">
        <f t="array" aca="1" ref="C70" ca="1">IF(B70&lt;=$C$9,GetGetCDSName(B70),"")</f>
        <v>CARREFOUR_MMR.EUR.SU</v>
      </c>
      <c r="D70" s="366">
        <v>0</v>
      </c>
      <c r="E70" s="399">
        <v>0</v>
      </c>
      <c r="F70" s="318">
        <v>0</v>
      </c>
      <c r="G70" s="318">
        <v>0</v>
      </c>
      <c r="H70" s="318">
        <v>0</v>
      </c>
      <c r="I70" s="318">
        <v>1</v>
      </c>
      <c r="J70" s="318">
        <v>0</v>
      </c>
      <c r="K70" s="318"/>
      <c r="L70" s="318"/>
      <c r="M70" s="318"/>
      <c r="N70" s="400"/>
      <c r="O70" s="293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</row>
    <row r="71" spans="2:31" ht="15">
      <c r="B71" s="398">
        <f t="shared" si="4"/>
        <v>26</v>
      </c>
      <c r="C71" s="406" t="str" cm="1">
        <f t="array" aca="1" ref="C71" ca="1">IF(B71&lt;=$C$9,GetGetCDSName(B71),"")</f>
        <v>CASINOGUICHARD_MMR.EUR.SU</v>
      </c>
      <c r="D71" s="366">
        <v>0</v>
      </c>
      <c r="E71" s="399">
        <v>1</v>
      </c>
      <c r="F71" s="318">
        <v>0</v>
      </c>
      <c r="G71" s="318">
        <v>0</v>
      </c>
      <c r="H71" s="318">
        <v>0</v>
      </c>
      <c r="I71" s="318">
        <v>1</v>
      </c>
      <c r="J71" s="318">
        <v>1</v>
      </c>
      <c r="K71" s="318"/>
      <c r="L71" s="318"/>
      <c r="M71" s="318"/>
      <c r="N71" s="400"/>
      <c r="O71" s="293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</row>
    <row r="72" spans="2:31" ht="15">
      <c r="B72" s="398">
        <f t="shared" si="4"/>
        <v>27</v>
      </c>
      <c r="C72" s="406" t="str" cm="1">
        <f t="array" aca="1" ref="C72" ca="1">IF(B72&lt;=$C$9,GetGetCDSName(B72),"")</f>
        <v>CENTRICA_MMR.EUR.SU</v>
      </c>
      <c r="D72" s="366">
        <v>0</v>
      </c>
      <c r="E72" s="399">
        <v>0</v>
      </c>
      <c r="F72" s="318">
        <v>1</v>
      </c>
      <c r="G72" s="318">
        <v>0</v>
      </c>
      <c r="H72" s="318">
        <v>1</v>
      </c>
      <c r="I72" s="318">
        <v>0</v>
      </c>
      <c r="J72" s="318">
        <v>0</v>
      </c>
      <c r="K72" s="318"/>
      <c r="L72" s="318"/>
      <c r="M72" s="318"/>
      <c r="N72" s="400"/>
      <c r="O72" s="293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</row>
    <row r="73" spans="2:31" ht="15">
      <c r="B73" s="398">
        <f t="shared" si="4"/>
        <v>28</v>
      </c>
      <c r="C73" s="406" t="str" cm="1">
        <f t="array" aca="1" ref="C73" ca="1">IF(B73&lt;=$C$9,GetGetCDSName(B73),"")</f>
        <v>CIBASC_MMR.EUR.SU</v>
      </c>
      <c r="D73" s="366">
        <v>0</v>
      </c>
      <c r="E73" s="399">
        <v>1</v>
      </c>
      <c r="F73" s="318">
        <v>0</v>
      </c>
      <c r="G73" s="318">
        <v>0</v>
      </c>
      <c r="H73" s="318">
        <v>0</v>
      </c>
      <c r="I73" s="318">
        <v>0</v>
      </c>
      <c r="J73" s="318">
        <v>1</v>
      </c>
      <c r="K73" s="318"/>
      <c r="L73" s="318"/>
      <c r="M73" s="318"/>
      <c r="N73" s="400"/>
      <c r="O73" s="293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</row>
    <row r="74" spans="2:31" ht="15">
      <c r="B74" s="398">
        <f t="shared" si="4"/>
        <v>29</v>
      </c>
      <c r="C74" s="406" t="str" cm="1">
        <f t="array" aca="1" ref="C74" ca="1">IF(B74&lt;=$C$9,GetGetCDSName(B74),"")</f>
        <v>COMMERZBANK_MMR.EUR.SU</v>
      </c>
      <c r="D74" s="366">
        <v>0</v>
      </c>
      <c r="E74" s="399">
        <v>1</v>
      </c>
      <c r="F74" s="318">
        <v>0</v>
      </c>
      <c r="G74" s="318">
        <v>0</v>
      </c>
      <c r="H74" s="318">
        <v>0</v>
      </c>
      <c r="I74" s="318">
        <v>0</v>
      </c>
      <c r="J74" s="318">
        <v>0</v>
      </c>
      <c r="K74" s="318"/>
      <c r="L74" s="318"/>
      <c r="M74" s="318"/>
      <c r="N74" s="400"/>
      <c r="O74" s="293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</row>
    <row r="75" spans="2:31" ht="15">
      <c r="B75" s="398">
        <f t="shared" si="4"/>
        <v>30</v>
      </c>
      <c r="C75" s="406" t="str" cm="1">
        <f t="array" aca="1" ref="C75" ca="1">IF(B75&lt;=$C$9,GetGetCDSName(B75),"")</f>
        <v>COMPASS_MMR.EUR.SU</v>
      </c>
      <c r="D75" s="366">
        <v>0</v>
      </c>
      <c r="E75" s="399">
        <v>0</v>
      </c>
      <c r="F75" s="318">
        <v>1</v>
      </c>
      <c r="G75" s="318">
        <v>0</v>
      </c>
      <c r="H75" s="318">
        <v>0</v>
      </c>
      <c r="I75" s="318">
        <v>1</v>
      </c>
      <c r="J75" s="318">
        <v>1</v>
      </c>
      <c r="K75" s="318"/>
      <c r="L75" s="318"/>
      <c r="M75" s="318"/>
      <c r="N75" s="400"/>
      <c r="O75" s="293"/>
      <c r="P75" s="293"/>
      <c r="Q75" s="293"/>
      <c r="R75" s="293"/>
      <c r="S75" s="293"/>
      <c r="T75" s="293"/>
      <c r="U75" s="293"/>
      <c r="V75" s="293"/>
      <c r="W75" s="293"/>
      <c r="X75" s="293"/>
      <c r="Y75" s="293"/>
      <c r="Z75" s="293"/>
      <c r="AA75" s="293"/>
      <c r="AB75" s="293"/>
      <c r="AC75" s="293"/>
      <c r="AD75" s="293"/>
      <c r="AE75" s="293"/>
    </row>
    <row r="76" spans="2:31" ht="15">
      <c r="B76" s="398">
        <f t="shared" si="4"/>
        <v>31</v>
      </c>
      <c r="C76" s="406" t="str" cm="1">
        <f t="array" aca="1" ref="C76" ca="1">IF(B76&lt;=$C$9,GetGetCDSName(B76),"")</f>
        <v>CONTINENTAL_MMR.EUR.SU</v>
      </c>
      <c r="D76" s="366">
        <v>0</v>
      </c>
      <c r="E76" s="399">
        <v>0</v>
      </c>
      <c r="F76" s="318">
        <v>0</v>
      </c>
      <c r="G76" s="318">
        <v>1</v>
      </c>
      <c r="H76" s="318">
        <v>1</v>
      </c>
      <c r="I76" s="318">
        <v>0</v>
      </c>
      <c r="J76" s="318">
        <v>1</v>
      </c>
      <c r="K76" s="318"/>
      <c r="L76" s="318"/>
      <c r="M76" s="318"/>
      <c r="N76" s="400"/>
      <c r="O76" s="293"/>
      <c r="P76" s="293"/>
      <c r="Q76" s="293"/>
      <c r="R76" s="293"/>
      <c r="S76" s="293"/>
      <c r="T76" s="293"/>
      <c r="U76" s="293"/>
      <c r="V76" s="293"/>
      <c r="W76" s="293"/>
      <c r="X76" s="293"/>
      <c r="Y76" s="293"/>
      <c r="Z76" s="293"/>
      <c r="AA76" s="293"/>
      <c r="AB76" s="293"/>
      <c r="AC76" s="293"/>
      <c r="AD76" s="293"/>
      <c r="AE76" s="293"/>
    </row>
    <row r="77" spans="2:31" ht="15">
      <c r="B77" s="398">
        <f t="shared" si="4"/>
        <v>32</v>
      </c>
      <c r="C77" s="406" t="str" cm="1">
        <f t="array" aca="1" ref="C77" ca="1">IF(B77&lt;=$C$9,GetGetCDSName(B77),"")</f>
        <v>CREDITAGRICOLE_MMR.EUR.SU</v>
      </c>
      <c r="D77" s="366">
        <v>0</v>
      </c>
      <c r="E77" s="399">
        <v>0</v>
      </c>
      <c r="F77" s="318">
        <v>0</v>
      </c>
      <c r="G77" s="318">
        <v>1</v>
      </c>
      <c r="H77" s="318">
        <v>0</v>
      </c>
      <c r="I77" s="318">
        <v>0</v>
      </c>
      <c r="J77" s="318">
        <v>1</v>
      </c>
      <c r="K77" s="318"/>
      <c r="L77" s="318"/>
      <c r="M77" s="318"/>
      <c r="N77" s="400"/>
      <c r="O77" s="293"/>
      <c r="P77" s="293"/>
      <c r="Q77" s="293"/>
      <c r="R77" s="293"/>
      <c r="S77" s="293"/>
      <c r="T77" s="293"/>
      <c r="U77" s="293"/>
      <c r="V77" s="293"/>
      <c r="W77" s="293"/>
      <c r="X77" s="293"/>
      <c r="Y77" s="293"/>
      <c r="Z77" s="293"/>
      <c r="AA77" s="293"/>
      <c r="AB77" s="293"/>
      <c r="AC77" s="293"/>
      <c r="AD77" s="293"/>
      <c r="AE77" s="293"/>
    </row>
    <row r="78" spans="2:31" ht="15">
      <c r="B78" s="398">
        <f t="shared" si="4"/>
        <v>33</v>
      </c>
      <c r="C78" s="406" t="str" cm="1">
        <f t="array" aca="1" ref="C78" ca="1">IF(B78&lt;=$C$9,GetGetCDSName(B78),"")</f>
        <v>CREDITSUISSEGROUP_MMR.EUR.SU</v>
      </c>
      <c r="D78" s="366">
        <v>0</v>
      </c>
      <c r="E78" s="399">
        <v>1</v>
      </c>
      <c r="F78" s="318">
        <v>0</v>
      </c>
      <c r="G78" s="318">
        <v>0</v>
      </c>
      <c r="H78" s="318">
        <v>1</v>
      </c>
      <c r="I78" s="318">
        <v>0</v>
      </c>
      <c r="J78" s="318">
        <v>0</v>
      </c>
      <c r="K78" s="318"/>
      <c r="L78" s="318"/>
      <c r="M78" s="318"/>
      <c r="N78" s="400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</row>
    <row r="79" spans="2:31" ht="15">
      <c r="B79" s="398">
        <f t="shared" si="4"/>
        <v>34</v>
      </c>
      <c r="C79" s="406" t="str" cm="1">
        <f t="array" aca="1" ref="C79" ca="1">IF(B79&lt;=$C$9,GetGetCDSName(B79),"")</f>
        <v>DAIMLERCHRYSLER_MMR.EUR.SU</v>
      </c>
      <c r="D79" s="366">
        <v>0</v>
      </c>
      <c r="E79" s="399">
        <v>1</v>
      </c>
      <c r="F79" s="318">
        <v>0</v>
      </c>
      <c r="G79" s="318">
        <v>1</v>
      </c>
      <c r="H79" s="318">
        <v>0</v>
      </c>
      <c r="I79" s="318">
        <v>0</v>
      </c>
      <c r="J79" s="318">
        <v>1</v>
      </c>
      <c r="K79" s="318"/>
      <c r="L79" s="318"/>
      <c r="M79" s="318"/>
      <c r="N79" s="400"/>
      <c r="O79" s="293"/>
      <c r="P79" s="293"/>
      <c r="Q79" s="293"/>
      <c r="R79" s="293"/>
      <c r="S79" s="293"/>
      <c r="T79" s="293"/>
      <c r="U79" s="293"/>
      <c r="V79" s="293"/>
      <c r="W79" s="293"/>
      <c r="X79" s="293"/>
      <c r="Y79" s="293"/>
      <c r="Z79" s="293"/>
      <c r="AA79" s="293"/>
      <c r="AB79" s="293"/>
      <c r="AC79" s="293"/>
      <c r="AD79" s="293"/>
      <c r="AE79" s="293"/>
    </row>
    <row r="80" spans="2:31" ht="15">
      <c r="B80" s="398">
        <f t="shared" si="4"/>
        <v>35</v>
      </c>
      <c r="C80" s="406" t="str" cm="1">
        <f t="array" aca="1" ref="C80" ca="1">IF(B80&lt;=$C$9,GetGetCDSName(B80),"")</f>
        <v>DANONE_MMR.EUR.SU</v>
      </c>
      <c r="D80" s="366">
        <v>0</v>
      </c>
      <c r="E80" s="399">
        <v>0</v>
      </c>
      <c r="F80" s="318">
        <v>1</v>
      </c>
      <c r="G80" s="318">
        <v>1</v>
      </c>
      <c r="H80" s="318">
        <v>1</v>
      </c>
      <c r="I80" s="318">
        <v>0</v>
      </c>
      <c r="J80" s="318">
        <v>0</v>
      </c>
      <c r="K80" s="318"/>
      <c r="L80" s="318"/>
      <c r="M80" s="318"/>
      <c r="N80" s="400"/>
      <c r="O80" s="293"/>
      <c r="P80" s="293"/>
      <c r="Q80" s="293"/>
      <c r="R80" s="293"/>
      <c r="S80" s="293"/>
      <c r="T80" s="293"/>
      <c r="U80" s="293"/>
      <c r="V80" s="293"/>
      <c r="W80" s="293"/>
      <c r="X80" s="293"/>
      <c r="Y80" s="293"/>
      <c r="Z80" s="293"/>
      <c r="AA80" s="293"/>
      <c r="AB80" s="293"/>
      <c r="AC80" s="293"/>
      <c r="AD80" s="293"/>
      <c r="AE80" s="293"/>
    </row>
    <row r="81" spans="2:31" ht="15">
      <c r="B81" s="398">
        <f t="shared" si="4"/>
        <v>36</v>
      </c>
      <c r="C81" s="406" t="str" cm="1">
        <f t="array" aca="1" ref="C81" ca="1">IF(B81&lt;=$C$9,GetGetCDSName(B81),"")</f>
        <v>DEUTSCHEBANK_MMR.EUR.SU</v>
      </c>
      <c r="D81" s="366">
        <v>0</v>
      </c>
      <c r="E81" s="399">
        <v>0</v>
      </c>
      <c r="F81" s="318">
        <v>1</v>
      </c>
      <c r="G81" s="318">
        <v>0</v>
      </c>
      <c r="H81" s="318">
        <v>0</v>
      </c>
      <c r="I81" s="318">
        <v>1</v>
      </c>
      <c r="J81" s="318">
        <v>0</v>
      </c>
      <c r="K81" s="318"/>
      <c r="L81" s="318"/>
      <c r="M81" s="318"/>
      <c r="N81" s="400"/>
      <c r="O81" s="293"/>
      <c r="P81" s="293"/>
      <c r="Q81" s="293"/>
      <c r="R81" s="293"/>
      <c r="S81" s="293"/>
      <c r="T81" s="293"/>
      <c r="U81" s="293"/>
      <c r="V81" s="293"/>
      <c r="W81" s="293"/>
      <c r="X81" s="293"/>
      <c r="Y81" s="293"/>
      <c r="Z81" s="293"/>
      <c r="AA81" s="293"/>
      <c r="AB81" s="293"/>
      <c r="AC81" s="293"/>
      <c r="AD81" s="293"/>
      <c r="AE81" s="293"/>
    </row>
    <row r="82" spans="2:31" ht="15">
      <c r="B82" s="398">
        <f t="shared" si="4"/>
        <v>37</v>
      </c>
      <c r="C82" s="406" t="str" cm="1">
        <f t="array" aca="1" ref="C82" ca="1">IF(B82&lt;=$C$9,GetGetCDSName(B82),"")</f>
        <v>DEUTSCHEPOSTAG_MMR.EUR.SU</v>
      </c>
      <c r="D82" s="366">
        <v>0</v>
      </c>
      <c r="E82" s="399">
        <v>0</v>
      </c>
      <c r="F82" s="318">
        <v>0</v>
      </c>
      <c r="G82" s="318">
        <v>1</v>
      </c>
      <c r="H82" s="318">
        <v>0</v>
      </c>
      <c r="I82" s="318">
        <v>1</v>
      </c>
      <c r="J82" s="318">
        <v>0</v>
      </c>
      <c r="K82" s="318"/>
      <c r="L82" s="318"/>
      <c r="M82" s="318"/>
      <c r="N82" s="400"/>
      <c r="O82" s="293"/>
      <c r="P82" s="293"/>
      <c r="Q82" s="293"/>
      <c r="R82" s="293"/>
      <c r="S82" s="293"/>
      <c r="T82" s="293"/>
      <c r="U82" s="293"/>
      <c r="V82" s="293"/>
      <c r="W82" s="293"/>
      <c r="X82" s="293"/>
      <c r="Y82" s="293"/>
      <c r="Z82" s="293"/>
      <c r="AA82" s="293"/>
      <c r="AB82" s="293"/>
      <c r="AC82" s="293"/>
      <c r="AD82" s="293"/>
      <c r="AE82" s="293"/>
    </row>
    <row r="83" spans="2:31" ht="15">
      <c r="B83" s="398">
        <f t="shared" si="4"/>
        <v>38</v>
      </c>
      <c r="C83" s="406" t="str" cm="1">
        <f t="array" aca="1" ref="C83" ca="1">IF(B83&lt;=$C$9,GetGetCDSName(B83),"")</f>
        <v>DEUTSCHETELEKOM_MMR.EUR.SU</v>
      </c>
      <c r="D83" s="366">
        <v>0</v>
      </c>
      <c r="E83" s="399">
        <v>0</v>
      </c>
      <c r="F83" s="318">
        <v>1</v>
      </c>
      <c r="G83" s="318">
        <v>0</v>
      </c>
      <c r="H83" s="318">
        <v>0</v>
      </c>
      <c r="I83" s="318">
        <v>0</v>
      </c>
      <c r="J83" s="318">
        <v>1</v>
      </c>
      <c r="K83" s="318"/>
      <c r="L83" s="318"/>
      <c r="M83" s="318"/>
      <c r="N83" s="400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</row>
    <row r="84" spans="2:31" ht="15">
      <c r="B84" s="398">
        <f t="shared" si="4"/>
        <v>39</v>
      </c>
      <c r="C84" s="406" t="str" cm="1">
        <f t="array" aca="1" ref="C84" ca="1">IF(B84&lt;=$C$9,GetGetCDSName(B84),"")</f>
        <v>DIAGEO_MMR.EUR.SU</v>
      </c>
      <c r="D84" s="366">
        <v>0</v>
      </c>
      <c r="E84" s="399">
        <v>1</v>
      </c>
      <c r="F84" s="318">
        <v>0</v>
      </c>
      <c r="G84" s="318">
        <v>0</v>
      </c>
      <c r="H84" s="318">
        <v>0</v>
      </c>
      <c r="I84" s="318">
        <v>1</v>
      </c>
      <c r="J84" s="318">
        <v>0</v>
      </c>
      <c r="K84" s="318"/>
      <c r="L84" s="318"/>
      <c r="M84" s="318"/>
      <c r="N84" s="400"/>
      <c r="O84" s="293"/>
      <c r="P84" s="293"/>
      <c r="Q84" s="293"/>
      <c r="R84" s="293"/>
      <c r="S84" s="293"/>
      <c r="T84" s="293"/>
      <c r="U84" s="293"/>
      <c r="V84" s="293"/>
      <c r="W84" s="293"/>
      <c r="X84" s="293"/>
      <c r="Y84" s="293"/>
      <c r="Z84" s="293"/>
      <c r="AA84" s="293"/>
      <c r="AB84" s="293"/>
      <c r="AC84" s="293"/>
      <c r="AD84" s="293"/>
      <c r="AE84" s="293"/>
    </row>
    <row r="85" spans="2:31" ht="15">
      <c r="B85" s="398">
        <f t="shared" si="4"/>
        <v>40</v>
      </c>
      <c r="C85" s="406" t="str" cm="1">
        <f t="array" aca="1" ref="C85" ca="1">IF(B85&lt;=$C$9,GetGetCDSName(B85),"")</f>
        <v>DIXONSGROUPPLC_MMR.EUR.SU</v>
      </c>
      <c r="D85" s="366">
        <v>0</v>
      </c>
      <c r="E85" s="399">
        <v>0</v>
      </c>
      <c r="F85" s="318">
        <v>0</v>
      </c>
      <c r="G85" s="318">
        <v>0</v>
      </c>
      <c r="H85" s="318">
        <v>1</v>
      </c>
      <c r="I85" s="318">
        <v>1</v>
      </c>
      <c r="J85" s="318">
        <v>1</v>
      </c>
      <c r="K85" s="318"/>
      <c r="L85" s="318"/>
      <c r="M85" s="318"/>
      <c r="N85" s="400"/>
      <c r="O85" s="293"/>
      <c r="P85" s="293"/>
      <c r="Q85" s="293"/>
      <c r="R85" s="293"/>
      <c r="S85" s="293"/>
      <c r="T85" s="293"/>
      <c r="U85" s="293"/>
      <c r="V85" s="293"/>
      <c r="W85" s="293"/>
      <c r="X85" s="293"/>
      <c r="Y85" s="293"/>
      <c r="Z85" s="293"/>
      <c r="AA85" s="293"/>
      <c r="AB85" s="293"/>
      <c r="AC85" s="293"/>
      <c r="AD85" s="293"/>
      <c r="AE85" s="293"/>
    </row>
    <row r="86" spans="2:31" ht="15">
      <c r="B86" s="398">
        <f t="shared" si="4"/>
        <v>41</v>
      </c>
      <c r="C86" s="406" t="str" cm="1">
        <f t="array" aca="1" ref="C86" ca="1">IF(B86&lt;=$C$9,GetGetCDSName(B86),"")</f>
        <v>DSM_MMR.EUR.SU</v>
      </c>
      <c r="D86" s="366">
        <v>0</v>
      </c>
      <c r="E86" s="399">
        <v>0</v>
      </c>
      <c r="F86" s="318">
        <v>0</v>
      </c>
      <c r="G86" s="318">
        <v>0</v>
      </c>
      <c r="H86" s="318">
        <v>1</v>
      </c>
      <c r="I86" s="318">
        <v>0</v>
      </c>
      <c r="J86" s="318">
        <v>1</v>
      </c>
      <c r="K86" s="318"/>
      <c r="L86" s="318"/>
      <c r="M86" s="318"/>
      <c r="N86" s="400"/>
      <c r="O86" s="293"/>
      <c r="P86" s="293"/>
      <c r="Q86" s="293"/>
      <c r="R86" s="293"/>
      <c r="S86" s="293"/>
      <c r="T86" s="293"/>
      <c r="U86" s="293"/>
      <c r="V86" s="293"/>
      <c r="W86" s="293"/>
      <c r="X86" s="293"/>
      <c r="Y86" s="293"/>
      <c r="Z86" s="293"/>
      <c r="AA86" s="293"/>
      <c r="AB86" s="293"/>
      <c r="AC86" s="293"/>
      <c r="AD86" s="293"/>
      <c r="AE86" s="293"/>
    </row>
    <row r="87" spans="2:31" ht="15">
      <c r="B87" s="398">
        <f t="shared" si="4"/>
        <v>42</v>
      </c>
      <c r="C87" s="406" t="str" cm="1">
        <f t="array" aca="1" ref="C87" ca="1">IF(B87&lt;=$C$9,GetGetCDSName(B87),"")</f>
        <v>EADS_MMR.EUR.SU</v>
      </c>
      <c r="D87" s="366">
        <v>0</v>
      </c>
      <c r="E87" s="399">
        <v>1</v>
      </c>
      <c r="F87" s="318">
        <v>0</v>
      </c>
      <c r="G87" s="318">
        <v>1</v>
      </c>
      <c r="H87" s="318">
        <v>0</v>
      </c>
      <c r="I87" s="318">
        <v>0</v>
      </c>
      <c r="J87" s="318">
        <v>0</v>
      </c>
      <c r="K87" s="318"/>
      <c r="L87" s="318"/>
      <c r="M87" s="318"/>
      <c r="N87" s="400"/>
      <c r="O87" s="293"/>
      <c r="P87" s="293"/>
      <c r="Q87" s="293"/>
      <c r="R87" s="293"/>
      <c r="S87" s="293"/>
      <c r="T87" s="293"/>
      <c r="U87" s="293"/>
      <c r="V87" s="293"/>
      <c r="W87" s="293"/>
      <c r="X87" s="293"/>
      <c r="Y87" s="293"/>
      <c r="Z87" s="293"/>
      <c r="AA87" s="293"/>
      <c r="AB87" s="293"/>
      <c r="AC87" s="293"/>
      <c r="AD87" s="293"/>
      <c r="AE87" s="293"/>
    </row>
    <row r="88" spans="2:31" ht="15">
      <c r="B88" s="398">
        <f t="shared" si="4"/>
        <v>43</v>
      </c>
      <c r="C88" s="406" t="str" cm="1">
        <f t="array" aca="1" ref="C88" ca="1">IF(B88&lt;=$C$9,GetGetCDSName(B88),"")</f>
        <v>EDF_MMR.EUR.SU</v>
      </c>
      <c r="D88" s="366">
        <v>0</v>
      </c>
      <c r="E88" s="399">
        <v>0</v>
      </c>
      <c r="F88" s="318">
        <v>1</v>
      </c>
      <c r="G88" s="318">
        <v>0</v>
      </c>
      <c r="H88" s="318">
        <v>0</v>
      </c>
      <c r="I88" s="318">
        <v>0</v>
      </c>
      <c r="J88" s="318">
        <v>0</v>
      </c>
      <c r="K88" s="318"/>
      <c r="L88" s="318"/>
      <c r="M88" s="318"/>
      <c r="N88" s="400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</row>
    <row r="89" spans="2:31" ht="15">
      <c r="B89" s="398">
        <f t="shared" si="4"/>
        <v>44</v>
      </c>
      <c r="C89" s="406" t="str" cm="1">
        <f t="array" aca="1" ref="C89" ca="1">IF(B89&lt;=$C$9,GetGetCDSName(B89),"")</f>
        <v>EDISON_MMR.EUR.SU</v>
      </c>
      <c r="D89" s="366">
        <v>0</v>
      </c>
      <c r="E89" s="399">
        <v>1</v>
      </c>
      <c r="F89" s="318">
        <v>0</v>
      </c>
      <c r="G89" s="318">
        <v>0</v>
      </c>
      <c r="H89" s="318">
        <v>0</v>
      </c>
      <c r="I89" s="318">
        <v>0</v>
      </c>
      <c r="J89" s="318">
        <v>0</v>
      </c>
      <c r="K89" s="318"/>
      <c r="L89" s="318"/>
      <c r="M89" s="318"/>
      <c r="N89" s="400"/>
      <c r="O89" s="293"/>
      <c r="P89" s="293"/>
      <c r="Q89" s="293"/>
      <c r="R89" s="293"/>
      <c r="S89" s="293"/>
      <c r="T89" s="293"/>
      <c r="U89" s="293"/>
      <c r="V89" s="293"/>
      <c r="W89" s="293"/>
      <c r="X89" s="293"/>
      <c r="Y89" s="293"/>
      <c r="Z89" s="293"/>
      <c r="AA89" s="293"/>
      <c r="AB89" s="293"/>
      <c r="AC89" s="293"/>
      <c r="AD89" s="293"/>
      <c r="AE89" s="293"/>
    </row>
    <row r="90" spans="2:31" ht="15">
      <c r="B90" s="398">
        <f t="shared" si="4"/>
        <v>45</v>
      </c>
      <c r="C90" s="406" t="str" cm="1">
        <f t="array" aca="1" ref="C90" ca="1">IF(B90&lt;=$C$9,GetGetCDSName(B90),"")</f>
        <v>ELECTRICITEDEPORTUGAL_MMR.EUR.SU</v>
      </c>
      <c r="D90" s="366">
        <v>0</v>
      </c>
      <c r="E90" s="399">
        <v>0</v>
      </c>
      <c r="F90" s="318">
        <v>0</v>
      </c>
      <c r="G90" s="318">
        <v>1</v>
      </c>
      <c r="H90" s="318">
        <v>0</v>
      </c>
      <c r="I90" s="318">
        <v>0</v>
      </c>
      <c r="J90" s="318">
        <v>0</v>
      </c>
      <c r="K90" s="318"/>
      <c r="L90" s="318"/>
      <c r="M90" s="318"/>
      <c r="N90" s="400"/>
      <c r="O90" s="293"/>
      <c r="P90" s="293"/>
      <c r="Q90" s="293"/>
      <c r="R90" s="293"/>
      <c r="S90" s="293"/>
      <c r="T90" s="293"/>
      <c r="U90" s="293"/>
      <c r="V90" s="293"/>
      <c r="W90" s="293"/>
      <c r="X90" s="293"/>
      <c r="Y90" s="293"/>
      <c r="Z90" s="293"/>
      <c r="AA90" s="293"/>
      <c r="AB90" s="293"/>
      <c r="AC90" s="293"/>
      <c r="AD90" s="293"/>
      <c r="AE90" s="293"/>
    </row>
    <row r="91" spans="2:31" ht="15">
      <c r="B91" s="398">
        <f t="shared" si="4"/>
        <v>46</v>
      </c>
      <c r="C91" s="406" t="str" cm="1">
        <f t="array" aca="1" ref="C91" ca="1">IF(B91&lt;=$C$9,GetGetCDSName(B91),"")</f>
        <v>ELECTROLUX_MMR.EUR.SU</v>
      </c>
      <c r="D91" s="366">
        <v>0</v>
      </c>
      <c r="E91" s="399">
        <v>1</v>
      </c>
      <c r="F91" s="318">
        <v>1</v>
      </c>
      <c r="G91" s="318">
        <v>1</v>
      </c>
      <c r="H91" s="318">
        <v>0</v>
      </c>
      <c r="I91" s="318">
        <v>0</v>
      </c>
      <c r="J91" s="318">
        <v>0</v>
      </c>
      <c r="K91" s="318"/>
      <c r="L91" s="318"/>
      <c r="M91" s="318"/>
      <c r="N91" s="400"/>
      <c r="O91" s="293"/>
      <c r="P91" s="293"/>
      <c r="Q91" s="293"/>
      <c r="R91" s="293"/>
      <c r="S91" s="293"/>
      <c r="T91" s="293"/>
      <c r="U91" s="293"/>
      <c r="V91" s="293"/>
      <c r="W91" s="293"/>
      <c r="X91" s="293"/>
      <c r="Y91" s="293"/>
      <c r="Z91" s="293"/>
      <c r="AA91" s="293"/>
      <c r="AB91" s="293"/>
      <c r="AC91" s="293"/>
      <c r="AD91" s="293"/>
      <c r="AE91" s="293"/>
    </row>
    <row r="92" spans="2:31" ht="15">
      <c r="B92" s="398">
        <f t="shared" si="4"/>
        <v>47</v>
      </c>
      <c r="C92" s="406" t="str" cm="1">
        <f t="array" aca="1" ref="C92" ca="1">IF(B92&lt;=$C$9,GetGetCDSName(B92),"")</f>
        <v>ENDESA_MMR.EUR.SU</v>
      </c>
      <c r="D92" s="366">
        <v>0</v>
      </c>
      <c r="E92" s="399">
        <v>0</v>
      </c>
      <c r="F92" s="318">
        <v>1</v>
      </c>
      <c r="G92" s="318">
        <v>0</v>
      </c>
      <c r="H92" s="318">
        <v>1</v>
      </c>
      <c r="I92" s="318">
        <v>1</v>
      </c>
      <c r="J92" s="318">
        <v>0</v>
      </c>
      <c r="K92" s="318"/>
      <c r="L92" s="318"/>
      <c r="M92" s="318"/>
      <c r="N92" s="400"/>
      <c r="O92" s="293"/>
      <c r="P92" s="293"/>
      <c r="Q92" s="293"/>
      <c r="R92" s="293"/>
      <c r="S92" s="293"/>
      <c r="T92" s="293"/>
      <c r="U92" s="293"/>
      <c r="V92" s="293"/>
      <c r="W92" s="293"/>
      <c r="X92" s="293"/>
      <c r="Y92" s="293"/>
      <c r="Z92" s="293"/>
      <c r="AA92" s="293"/>
      <c r="AB92" s="293"/>
      <c r="AC92" s="293"/>
      <c r="AD92" s="293"/>
      <c r="AE92" s="293"/>
    </row>
    <row r="93" spans="2:31" ht="15">
      <c r="B93" s="398">
        <f t="shared" si="4"/>
        <v>48</v>
      </c>
      <c r="C93" s="406" t="str" cm="1">
        <f t="array" aca="1" ref="C93" ca="1">IF(B93&lt;=$C$9,GetGetCDSName(B93),"")</f>
        <v>ENEL_MMR.EUR.SU</v>
      </c>
      <c r="D93" s="366">
        <v>0</v>
      </c>
      <c r="E93" s="399">
        <v>1</v>
      </c>
      <c r="F93" s="318">
        <v>1</v>
      </c>
      <c r="G93" s="318">
        <v>1</v>
      </c>
      <c r="H93" s="318">
        <v>0</v>
      </c>
      <c r="I93" s="318">
        <v>0</v>
      </c>
      <c r="J93" s="318">
        <v>0</v>
      </c>
      <c r="K93" s="318"/>
      <c r="L93" s="318"/>
      <c r="M93" s="318"/>
      <c r="N93" s="400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</row>
    <row r="94" spans="2:31" ht="15">
      <c r="B94" s="398">
        <f t="shared" si="4"/>
        <v>49</v>
      </c>
      <c r="C94" s="406" t="str" cm="1">
        <f t="array" aca="1" ref="C94" ca="1">IF(B94&lt;=$C$9,GetGetCDSName(B94),"")</f>
        <v>ENERGIEBADENWUERTTEMBERG_MMR.EUR.SU</v>
      </c>
      <c r="D94" s="366">
        <v>0</v>
      </c>
      <c r="E94" s="399">
        <v>0</v>
      </c>
      <c r="F94" s="318">
        <v>1</v>
      </c>
      <c r="G94" s="318">
        <v>0</v>
      </c>
      <c r="H94" s="318">
        <v>0</v>
      </c>
      <c r="I94" s="318">
        <v>0</v>
      </c>
      <c r="J94" s="318">
        <v>1</v>
      </c>
      <c r="K94" s="318"/>
      <c r="L94" s="318"/>
      <c r="M94" s="318"/>
      <c r="N94" s="400"/>
      <c r="O94" s="293"/>
      <c r="P94" s="293"/>
      <c r="Q94" s="293"/>
      <c r="R94" s="293"/>
      <c r="S94" s="293"/>
      <c r="T94" s="293"/>
      <c r="U94" s="293"/>
      <c r="V94" s="293"/>
      <c r="W94" s="293"/>
      <c r="X94" s="293"/>
      <c r="Y94" s="293"/>
      <c r="Z94" s="293"/>
      <c r="AA94" s="293"/>
      <c r="AB94" s="293"/>
      <c r="AC94" s="293"/>
      <c r="AD94" s="293"/>
      <c r="AE94" s="293"/>
    </row>
    <row r="95" spans="2:31" ht="15">
      <c r="B95" s="398">
        <f t="shared" si="4"/>
        <v>50</v>
      </c>
      <c r="C95" s="406" t="str" cm="1">
        <f t="array" aca="1" ref="C95" ca="1">IF(B95&lt;=$C$9,GetGetCDSName(B95),"")</f>
        <v>EON_MMR.EUR.SU</v>
      </c>
      <c r="D95" s="366">
        <v>0</v>
      </c>
      <c r="E95" s="399">
        <v>0</v>
      </c>
      <c r="F95" s="318">
        <v>0</v>
      </c>
      <c r="G95" s="318">
        <v>1</v>
      </c>
      <c r="H95" s="318">
        <v>0</v>
      </c>
      <c r="I95" s="318">
        <v>0</v>
      </c>
      <c r="J95" s="318">
        <v>0</v>
      </c>
      <c r="K95" s="318"/>
      <c r="L95" s="318"/>
      <c r="M95" s="318"/>
      <c r="N95" s="400"/>
      <c r="O95" s="293"/>
      <c r="P95" s="293"/>
      <c r="Q95" s="293"/>
      <c r="R95" s="293"/>
      <c r="S95" s="293"/>
      <c r="T95" s="293"/>
      <c r="U95" s="293"/>
      <c r="V95" s="293"/>
      <c r="W95" s="293"/>
      <c r="X95" s="293"/>
      <c r="Y95" s="293"/>
      <c r="Z95" s="293"/>
      <c r="AA95" s="293"/>
      <c r="AB95" s="293"/>
      <c r="AC95" s="293"/>
      <c r="AD95" s="293"/>
      <c r="AE95" s="293"/>
    </row>
    <row r="96" spans="2:31" ht="15">
      <c r="B96" s="398">
        <f t="shared" si="4"/>
        <v>51</v>
      </c>
      <c r="C96" s="406" t="str" cm="1">
        <f t="array" aca="1" ref="C96" ca="1">IF(B96&lt;=$C$9,GetGetCDSName(B96),"")</f>
        <v>FORTUMOYJ_MMR.EUR.SU</v>
      </c>
      <c r="D96" s="366">
        <v>0</v>
      </c>
      <c r="E96" s="399">
        <v>0</v>
      </c>
      <c r="F96" s="318">
        <v>0</v>
      </c>
      <c r="G96" s="318">
        <v>0</v>
      </c>
      <c r="H96" s="318">
        <v>0</v>
      </c>
      <c r="I96" s="318">
        <v>1</v>
      </c>
      <c r="J96" s="318">
        <v>0</v>
      </c>
      <c r="K96" s="318"/>
      <c r="L96" s="318"/>
      <c r="M96" s="318"/>
      <c r="N96" s="400"/>
      <c r="O96" s="293"/>
      <c r="P96" s="293"/>
      <c r="Q96" s="293"/>
      <c r="R96" s="293"/>
      <c r="S96" s="293"/>
      <c r="T96" s="293"/>
      <c r="U96" s="293"/>
      <c r="V96" s="293"/>
      <c r="W96" s="293"/>
      <c r="X96" s="293"/>
      <c r="Y96" s="293"/>
      <c r="Z96" s="293"/>
      <c r="AA96" s="293"/>
      <c r="AB96" s="293"/>
      <c r="AC96" s="293"/>
      <c r="AD96" s="293"/>
      <c r="AE96" s="293"/>
    </row>
    <row r="97" spans="2:31" ht="15">
      <c r="B97" s="398">
        <f t="shared" si="4"/>
        <v>52</v>
      </c>
      <c r="C97" s="406" t="str" cm="1">
        <f t="array" aca="1" ref="C97" ca="1">IF(B97&lt;=$C$9,GetGetCDSName(B97),"")</f>
        <v>FRANCETELECOM_MMR.EUR.SU</v>
      </c>
      <c r="D97" s="366">
        <v>0</v>
      </c>
      <c r="E97" s="399">
        <v>1</v>
      </c>
      <c r="F97" s="318">
        <v>0</v>
      </c>
      <c r="G97" s="318">
        <v>0</v>
      </c>
      <c r="H97" s="318">
        <v>1</v>
      </c>
      <c r="I97" s="318">
        <v>0</v>
      </c>
      <c r="J97" s="318">
        <v>1</v>
      </c>
      <c r="K97" s="318"/>
      <c r="L97" s="318"/>
      <c r="M97" s="318"/>
      <c r="N97" s="400"/>
      <c r="O97" s="293"/>
      <c r="P97" s="293"/>
      <c r="Q97" s="293"/>
      <c r="R97" s="293"/>
      <c r="S97" s="293"/>
      <c r="T97" s="293"/>
      <c r="U97" s="293"/>
      <c r="V97" s="293"/>
      <c r="W97" s="293"/>
      <c r="X97" s="293"/>
      <c r="Y97" s="293"/>
      <c r="Z97" s="293"/>
      <c r="AA97" s="293"/>
      <c r="AB97" s="293"/>
      <c r="AC97" s="293"/>
      <c r="AD97" s="293"/>
      <c r="AE97" s="293"/>
    </row>
    <row r="98" spans="2:31" ht="15">
      <c r="B98" s="398">
        <f t="shared" si="4"/>
        <v>53</v>
      </c>
      <c r="C98" s="406" t="str" cm="1">
        <f t="array" aca="1" ref="C98" ca="1">IF(B98&lt;=$C$9,GetGetCDSName(B98),"")</f>
        <v>GALLAHERGROUPPLC_MMR.EUR.SU</v>
      </c>
      <c r="D98" s="366">
        <v>0</v>
      </c>
      <c r="E98" s="399">
        <v>0</v>
      </c>
      <c r="F98" s="318">
        <v>0</v>
      </c>
      <c r="G98" s="318">
        <v>0</v>
      </c>
      <c r="H98" s="318">
        <v>1</v>
      </c>
      <c r="I98" s="318">
        <v>1</v>
      </c>
      <c r="J98" s="318">
        <v>1</v>
      </c>
      <c r="K98" s="318"/>
      <c r="L98" s="318"/>
      <c r="M98" s="318"/>
      <c r="N98" s="400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</row>
    <row r="99" spans="2:31" ht="15">
      <c r="B99" s="398">
        <f t="shared" si="4"/>
        <v>54</v>
      </c>
      <c r="C99" s="406" t="str" cm="1">
        <f t="array" aca="1" ref="C99" ca="1">IF(B99&lt;=$C$9,GetGetCDSName(B99),"")</f>
        <v>GASNATURALSDGSA_MMR.EUR.SU</v>
      </c>
      <c r="D99" s="366">
        <v>0</v>
      </c>
      <c r="E99" s="399">
        <v>1</v>
      </c>
      <c r="F99" s="318">
        <v>0</v>
      </c>
      <c r="G99" s="318">
        <v>0</v>
      </c>
      <c r="H99" s="318">
        <v>1</v>
      </c>
      <c r="I99" s="318">
        <v>0</v>
      </c>
      <c r="J99" s="318">
        <v>0</v>
      </c>
      <c r="K99" s="318"/>
      <c r="L99" s="318"/>
      <c r="M99" s="318"/>
      <c r="N99" s="400"/>
      <c r="O99" s="293"/>
      <c r="P99" s="293"/>
      <c r="Q99" s="293"/>
      <c r="R99" s="293"/>
      <c r="S99" s="293"/>
      <c r="T99" s="293"/>
      <c r="U99" s="293"/>
      <c r="V99" s="293"/>
      <c r="W99" s="293"/>
      <c r="X99" s="293"/>
      <c r="Y99" s="293"/>
      <c r="Z99" s="293"/>
      <c r="AA99" s="293"/>
      <c r="AB99" s="293"/>
      <c r="AC99" s="293"/>
      <c r="AD99" s="293"/>
      <c r="AE99" s="293"/>
    </row>
    <row r="100" spans="2:31" ht="15">
      <c r="B100" s="398">
        <f t="shared" si="4"/>
        <v>55</v>
      </c>
      <c r="C100" s="406" t="str" cm="1">
        <f t="array" aca="1" ref="C100" ca="1">IF(B100&lt;=$C$9,GetGetCDSName(B100),"")</f>
        <v>GAZDEFRANCE_MMR.EUR.SU</v>
      </c>
      <c r="D100" s="366">
        <v>0</v>
      </c>
      <c r="E100" s="399">
        <v>0</v>
      </c>
      <c r="F100" s="318">
        <v>0</v>
      </c>
      <c r="G100" s="318">
        <v>0</v>
      </c>
      <c r="H100" s="318">
        <v>0</v>
      </c>
      <c r="I100" s="318">
        <v>1</v>
      </c>
      <c r="J100" s="318">
        <v>0</v>
      </c>
      <c r="K100" s="318"/>
      <c r="L100" s="318"/>
      <c r="M100" s="318"/>
      <c r="N100" s="400"/>
      <c r="O100" s="293"/>
      <c r="P100" s="293"/>
      <c r="Q100" s="293"/>
      <c r="R100" s="293"/>
      <c r="S100" s="293"/>
      <c r="T100" s="293"/>
      <c r="U100" s="293"/>
      <c r="V100" s="293"/>
      <c r="W100" s="293"/>
      <c r="X100" s="293"/>
      <c r="Y100" s="293"/>
      <c r="Z100" s="293"/>
      <c r="AA100" s="293"/>
      <c r="AB100" s="293"/>
      <c r="AC100" s="293"/>
      <c r="AD100" s="293"/>
      <c r="AE100" s="293"/>
    </row>
    <row r="101" spans="2:31" ht="15">
      <c r="B101" s="398">
        <f t="shared" si="4"/>
        <v>56</v>
      </c>
      <c r="C101" s="406" t="str" cm="1">
        <f t="array" aca="1" ref="C101" ca="1">IF(B101&lt;=$C$9,GetGetCDSName(B101),"")</f>
        <v>GENERALI_MMR.EUR.SU</v>
      </c>
      <c r="D101" s="366">
        <v>0</v>
      </c>
      <c r="E101" s="399">
        <v>0</v>
      </c>
      <c r="F101" s="318">
        <v>0</v>
      </c>
      <c r="G101" s="318">
        <v>0</v>
      </c>
      <c r="H101" s="318">
        <v>1</v>
      </c>
      <c r="I101" s="318">
        <v>0</v>
      </c>
      <c r="J101" s="318">
        <v>0</v>
      </c>
      <c r="K101" s="318"/>
      <c r="L101" s="318"/>
      <c r="M101" s="318"/>
      <c r="N101" s="400"/>
      <c r="O101" s="293"/>
      <c r="P101" s="293"/>
      <c r="Q101" s="293"/>
      <c r="R101" s="293"/>
      <c r="S101" s="293"/>
      <c r="T101" s="293"/>
      <c r="U101" s="293"/>
      <c r="V101" s="293"/>
      <c r="W101" s="293"/>
      <c r="X101" s="293"/>
      <c r="Y101" s="293"/>
      <c r="Z101" s="293"/>
      <c r="AA101" s="293"/>
      <c r="AB101" s="293"/>
      <c r="AC101" s="293"/>
      <c r="AD101" s="293"/>
      <c r="AE101" s="293"/>
    </row>
    <row r="102" spans="2:31" ht="15">
      <c r="B102" s="398">
        <f t="shared" si="4"/>
        <v>57</v>
      </c>
      <c r="C102" s="406" t="str" cm="1">
        <f t="array" aca="1" ref="C102" ca="1">IF(B102&lt;=$C$9,GetGetCDSName(B102),"")</f>
        <v>GKN HOLDINGS  PLC_MMR.EUR.SU</v>
      </c>
      <c r="D102" s="366">
        <v>0</v>
      </c>
      <c r="E102" s="399">
        <v>0</v>
      </c>
      <c r="F102" s="318">
        <v>0</v>
      </c>
      <c r="G102" s="318">
        <v>0</v>
      </c>
      <c r="H102" s="318">
        <v>0</v>
      </c>
      <c r="I102" s="318">
        <v>0</v>
      </c>
      <c r="J102" s="318">
        <v>1</v>
      </c>
      <c r="K102" s="318"/>
      <c r="L102" s="318"/>
      <c r="M102" s="318"/>
      <c r="N102" s="400"/>
      <c r="O102" s="293"/>
      <c r="P102" s="293"/>
      <c r="Q102" s="293"/>
      <c r="R102" s="293"/>
      <c r="S102" s="293"/>
      <c r="T102" s="293"/>
      <c r="U102" s="293"/>
      <c r="V102" s="293"/>
      <c r="W102" s="293"/>
      <c r="X102" s="293"/>
      <c r="Y102" s="293"/>
      <c r="Z102" s="293"/>
      <c r="AA102" s="293"/>
      <c r="AB102" s="293"/>
      <c r="AC102" s="293"/>
      <c r="AD102" s="293"/>
      <c r="AE102" s="293"/>
    </row>
    <row r="103" spans="2:31" ht="15">
      <c r="B103" s="398">
        <f t="shared" si="4"/>
        <v>58</v>
      </c>
      <c r="C103" s="406" t="str" cm="1">
        <f t="array" aca="1" ref="C103" ca="1">IF(B103&lt;=$C$9,GetGetCDSName(B103),"")</f>
        <v>GLENCOREINTAG_MMR.EUR.SU</v>
      </c>
      <c r="D103" s="366">
        <v>0</v>
      </c>
      <c r="E103" s="399">
        <v>0</v>
      </c>
      <c r="F103" s="318">
        <v>0</v>
      </c>
      <c r="G103" s="318">
        <v>0</v>
      </c>
      <c r="H103" s="318">
        <v>1</v>
      </c>
      <c r="I103" s="318">
        <v>0</v>
      </c>
      <c r="J103" s="318">
        <v>0</v>
      </c>
      <c r="K103" s="318"/>
      <c r="L103" s="318"/>
      <c r="M103" s="318"/>
      <c r="N103" s="400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</row>
    <row r="104" spans="2:31" ht="15">
      <c r="B104" s="398">
        <f t="shared" si="4"/>
        <v>59</v>
      </c>
      <c r="C104" s="406" t="str" cm="1">
        <f t="array" aca="1" ref="C104" ca="1">IF(B104&lt;=$C$9,GetGetCDSName(B104),"")</f>
        <v>GREATUNIVERSALSTORES_MMR.EUR.SU</v>
      </c>
      <c r="D104" s="366">
        <v>0</v>
      </c>
      <c r="E104" s="399">
        <v>0</v>
      </c>
      <c r="F104" s="318">
        <v>1</v>
      </c>
      <c r="G104" s="318">
        <v>1</v>
      </c>
      <c r="H104" s="318">
        <v>0</v>
      </c>
      <c r="I104" s="318">
        <v>1</v>
      </c>
      <c r="J104" s="318">
        <v>0</v>
      </c>
      <c r="K104" s="318"/>
      <c r="L104" s="318"/>
      <c r="M104" s="318"/>
      <c r="N104" s="400"/>
      <c r="O104" s="293"/>
      <c r="P104" s="293"/>
      <c r="Q104" s="293"/>
      <c r="R104" s="293"/>
      <c r="S104" s="293"/>
      <c r="T104" s="293"/>
      <c r="U104" s="293"/>
      <c r="V104" s="293"/>
      <c r="W104" s="293"/>
      <c r="X104" s="293"/>
      <c r="Y104" s="293"/>
      <c r="Z104" s="293"/>
      <c r="AA104" s="293"/>
      <c r="AB104" s="293"/>
      <c r="AC104" s="293"/>
      <c r="AD104" s="293"/>
      <c r="AE104" s="293"/>
    </row>
    <row r="105" spans="2:31" ht="15">
      <c r="B105" s="398">
        <f t="shared" si="4"/>
        <v>60</v>
      </c>
      <c r="C105" s="406" t="str" cm="1">
        <f t="array" aca="1" ref="C105" ca="1">IF(B105&lt;=$C$9,GetGetCDSName(B105),"")</f>
        <v>HANNOVERRUECK_MMR.EUR.SU</v>
      </c>
      <c r="D105" s="366">
        <v>0</v>
      </c>
      <c r="E105" s="399">
        <v>0</v>
      </c>
      <c r="F105" s="318">
        <v>1</v>
      </c>
      <c r="G105" s="318">
        <v>0</v>
      </c>
      <c r="H105" s="318">
        <v>0</v>
      </c>
      <c r="I105" s="318">
        <v>0</v>
      </c>
      <c r="J105" s="318">
        <v>1</v>
      </c>
      <c r="K105" s="318"/>
      <c r="L105" s="318"/>
      <c r="M105" s="318"/>
      <c r="N105" s="400"/>
      <c r="O105" s="293"/>
      <c r="P105" s="293"/>
      <c r="Q105" s="293"/>
      <c r="R105" s="293"/>
      <c r="S105" s="293"/>
      <c r="T105" s="293"/>
      <c r="U105" s="293"/>
      <c r="V105" s="293"/>
      <c r="W105" s="293"/>
      <c r="X105" s="293"/>
      <c r="Y105" s="293"/>
      <c r="Z105" s="293"/>
      <c r="AA105" s="293"/>
      <c r="AB105" s="293"/>
      <c r="AC105" s="293"/>
      <c r="AD105" s="293"/>
      <c r="AE105" s="293"/>
    </row>
    <row r="106" spans="2:31" ht="15">
      <c r="B106" s="398">
        <f t="shared" si="4"/>
        <v>61</v>
      </c>
      <c r="C106" s="406" t="str" cm="1">
        <f t="array" aca="1" ref="C106" ca="1">IF(B106&lt;=$C$9,GetGetCDSName(B106),"")</f>
        <v>HELLENIC TELCOM_MMR.EUR.SU</v>
      </c>
      <c r="D106" s="366">
        <v>0</v>
      </c>
      <c r="E106" s="399">
        <v>0</v>
      </c>
      <c r="F106" s="318">
        <v>1</v>
      </c>
      <c r="G106" s="318">
        <v>0</v>
      </c>
      <c r="H106" s="318">
        <v>1</v>
      </c>
      <c r="I106" s="318">
        <v>0</v>
      </c>
      <c r="J106" s="318">
        <v>0</v>
      </c>
      <c r="K106" s="318"/>
      <c r="L106" s="318"/>
      <c r="M106" s="318"/>
      <c r="N106" s="400"/>
      <c r="O106" s="293"/>
      <c r="P106" s="293"/>
      <c r="Q106" s="293"/>
      <c r="R106" s="293"/>
      <c r="S106" s="293"/>
      <c r="T106" s="293"/>
      <c r="U106" s="293"/>
      <c r="V106" s="293"/>
      <c r="W106" s="293"/>
      <c r="X106" s="293"/>
      <c r="Y106" s="293"/>
      <c r="Z106" s="293"/>
      <c r="AA106" s="293"/>
      <c r="AB106" s="293"/>
      <c r="AC106" s="293"/>
      <c r="AD106" s="293"/>
      <c r="AE106" s="293"/>
    </row>
    <row r="107" spans="2:31" ht="15">
      <c r="B107" s="398">
        <f t="shared" si="4"/>
        <v>62</v>
      </c>
      <c r="C107" s="406" t="str" cm="1">
        <f t="array" aca="1" ref="C107" ca="1">IF(B107&lt;=$C$9,GetGetCDSName(B107),"")</f>
        <v>HENKELKG_MMR.EUR.SU</v>
      </c>
      <c r="D107" s="366">
        <v>0</v>
      </c>
      <c r="E107" s="399">
        <v>1</v>
      </c>
      <c r="F107" s="318">
        <v>0</v>
      </c>
      <c r="G107" s="318">
        <v>0</v>
      </c>
      <c r="H107" s="318">
        <v>0</v>
      </c>
      <c r="I107" s="318">
        <v>0</v>
      </c>
      <c r="J107" s="318">
        <v>1</v>
      </c>
      <c r="K107" s="318"/>
      <c r="L107" s="318"/>
      <c r="M107" s="318"/>
      <c r="N107" s="400"/>
      <c r="O107" s="293"/>
      <c r="P107" s="293"/>
      <c r="Q107" s="293"/>
      <c r="R107" s="293"/>
      <c r="S107" s="293"/>
      <c r="T107" s="293"/>
      <c r="U107" s="293"/>
      <c r="V107" s="293"/>
      <c r="W107" s="293"/>
      <c r="X107" s="293"/>
      <c r="Y107" s="293"/>
      <c r="Z107" s="293"/>
      <c r="AA107" s="293"/>
      <c r="AB107" s="293"/>
      <c r="AC107" s="293"/>
      <c r="AD107" s="293"/>
      <c r="AE107" s="293"/>
    </row>
    <row r="108" spans="2:31" ht="15">
      <c r="B108" s="398">
        <f t="shared" si="4"/>
        <v>63</v>
      </c>
      <c r="C108" s="406" t="str" cm="1">
        <f t="array" aca="1" ref="C108" ca="1">IF(B108&lt;=$C$9,GetGetCDSName(B108),"")</f>
        <v>IBERDROLA_MMR.EUR.SU</v>
      </c>
      <c r="D108" s="366">
        <v>0</v>
      </c>
      <c r="E108" s="399">
        <v>1</v>
      </c>
      <c r="F108" s="318">
        <v>1</v>
      </c>
      <c r="G108" s="318">
        <v>0</v>
      </c>
      <c r="H108" s="318">
        <v>1</v>
      </c>
      <c r="I108" s="318">
        <v>0</v>
      </c>
      <c r="J108" s="318">
        <v>0</v>
      </c>
      <c r="K108" s="318"/>
      <c r="L108" s="318"/>
      <c r="M108" s="318"/>
      <c r="N108" s="400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</row>
    <row r="109" spans="2:31" ht="15">
      <c r="B109" s="398">
        <f t="shared" si="4"/>
        <v>64</v>
      </c>
      <c r="C109" s="406" t="str" cm="1">
        <f t="array" aca="1" ref="C109" ca="1">IF(B109&lt;=$C$9,GetGetCDSName(B109),"")</f>
        <v>ICI_MMR.EUR.SU</v>
      </c>
      <c r="D109" s="366">
        <v>0</v>
      </c>
      <c r="E109" s="399">
        <v>1</v>
      </c>
      <c r="F109" s="318">
        <v>0</v>
      </c>
      <c r="G109" s="318">
        <v>0</v>
      </c>
      <c r="H109" s="318">
        <v>1</v>
      </c>
      <c r="I109" s="318">
        <v>0</v>
      </c>
      <c r="J109" s="318">
        <v>1</v>
      </c>
      <c r="K109" s="318"/>
      <c r="L109" s="318"/>
      <c r="M109" s="318"/>
      <c r="N109" s="400"/>
      <c r="O109" s="293"/>
      <c r="P109" s="293"/>
      <c r="Q109" s="293"/>
      <c r="R109" s="293"/>
      <c r="S109" s="293"/>
      <c r="T109" s="293"/>
      <c r="U109" s="293"/>
      <c r="V109" s="293"/>
      <c r="W109" s="293"/>
      <c r="X109" s="293"/>
      <c r="Y109" s="293"/>
      <c r="Z109" s="293"/>
      <c r="AA109" s="293"/>
      <c r="AB109" s="293"/>
      <c r="AC109" s="293"/>
      <c r="AD109" s="293"/>
      <c r="AE109" s="293"/>
    </row>
    <row r="110" spans="2:31" ht="15">
      <c r="B110" s="398">
        <f t="shared" si="4"/>
        <v>65</v>
      </c>
      <c r="C110" s="406" t="str" cm="1">
        <f t="array" aca="1" ref="C110" ca="1">IF(B110&lt;=$C$9,GetGetCDSName(B110),"")</f>
        <v>INTESA_MMR.EUR.SU</v>
      </c>
      <c r="D110" s="366">
        <v>0</v>
      </c>
      <c r="E110" s="399">
        <v>0</v>
      </c>
      <c r="F110" s="318">
        <v>1</v>
      </c>
      <c r="G110" s="318">
        <v>1</v>
      </c>
      <c r="H110" s="318">
        <v>0</v>
      </c>
      <c r="I110" s="318">
        <v>1</v>
      </c>
      <c r="J110" s="318">
        <v>0</v>
      </c>
      <c r="K110" s="318"/>
      <c r="L110" s="318"/>
      <c r="M110" s="318"/>
      <c r="N110" s="400"/>
      <c r="O110" s="293"/>
      <c r="P110" s="293"/>
      <c r="Q110" s="293"/>
      <c r="R110" s="293"/>
      <c r="S110" s="293"/>
      <c r="T110" s="293"/>
      <c r="U110" s="293"/>
      <c r="V110" s="293"/>
      <c r="W110" s="293"/>
      <c r="X110" s="293"/>
      <c r="Y110" s="293"/>
      <c r="Z110" s="293"/>
      <c r="AA110" s="293"/>
      <c r="AB110" s="293"/>
      <c r="AC110" s="293"/>
      <c r="AD110" s="293"/>
      <c r="AE110" s="293"/>
    </row>
    <row r="111" spans="2:31" ht="15">
      <c r="B111" s="398">
        <f t="shared" ref="B111:B174" si="5">B110+1</f>
        <v>66</v>
      </c>
      <c r="C111" s="406" t="str" cm="1">
        <f t="array" aca="1" ref="C111" ca="1">IF(B111&lt;=$C$9,GetGetCDSName(B111),"")</f>
        <v>KINGFISHER_MMR.EUR.SU</v>
      </c>
      <c r="D111" s="366">
        <v>0</v>
      </c>
      <c r="E111" s="399">
        <v>1</v>
      </c>
      <c r="F111" s="318">
        <v>0</v>
      </c>
      <c r="G111" s="318">
        <v>1</v>
      </c>
      <c r="H111" s="318">
        <v>0</v>
      </c>
      <c r="I111" s="318">
        <v>1</v>
      </c>
      <c r="J111" s="318">
        <v>0</v>
      </c>
      <c r="K111" s="318"/>
      <c r="L111" s="318"/>
      <c r="M111" s="318"/>
      <c r="N111" s="400"/>
      <c r="O111" s="293"/>
      <c r="P111" s="293"/>
      <c r="Q111" s="293"/>
      <c r="R111" s="293"/>
      <c r="S111" s="293"/>
      <c r="T111" s="293"/>
      <c r="U111" s="293"/>
      <c r="V111" s="293"/>
      <c r="W111" s="293"/>
      <c r="X111" s="293"/>
      <c r="Y111" s="293"/>
      <c r="Z111" s="293"/>
      <c r="AA111" s="293"/>
      <c r="AB111" s="293"/>
      <c r="AC111" s="293"/>
      <c r="AD111" s="293"/>
      <c r="AE111" s="293"/>
    </row>
    <row r="112" spans="2:31" ht="15">
      <c r="B112" s="398">
        <f t="shared" si="5"/>
        <v>67</v>
      </c>
      <c r="C112" s="406" t="str" cm="1">
        <f t="array" aca="1" ref="C112" ca="1">IF(B112&lt;=$C$9,GetGetCDSName(B112),"")</f>
        <v>KPN_MMR.EUR.SU</v>
      </c>
      <c r="D112" s="366">
        <v>0</v>
      </c>
      <c r="E112" s="399">
        <v>1</v>
      </c>
      <c r="F112" s="318">
        <v>0</v>
      </c>
      <c r="G112" s="318">
        <v>0</v>
      </c>
      <c r="H112" s="318">
        <v>1</v>
      </c>
      <c r="I112" s="318">
        <v>0</v>
      </c>
      <c r="J112" s="318">
        <v>1</v>
      </c>
      <c r="K112" s="318"/>
      <c r="L112" s="318"/>
      <c r="M112" s="318"/>
      <c r="N112" s="400"/>
      <c r="O112" s="293"/>
      <c r="P112" s="293"/>
      <c r="Q112" s="293"/>
      <c r="R112" s="293"/>
      <c r="S112" s="293"/>
      <c r="T112" s="293"/>
      <c r="U112" s="293"/>
      <c r="V112" s="293"/>
      <c r="W112" s="293"/>
      <c r="X112" s="293"/>
      <c r="Y112" s="293"/>
      <c r="Z112" s="293"/>
      <c r="AA112" s="293"/>
      <c r="AB112" s="293"/>
      <c r="AC112" s="293"/>
      <c r="AD112" s="293"/>
      <c r="AE112" s="293"/>
    </row>
    <row r="113" spans="2:31" ht="15">
      <c r="B113" s="398">
        <f t="shared" si="5"/>
        <v>68</v>
      </c>
      <c r="C113" s="406" t="str" cm="1">
        <f t="array" aca="1" ref="C113" ca="1">IF(B113&lt;=$C$9,GetGetCDSName(B113),"")</f>
        <v>LAFARGE_MMR.EUR.SU</v>
      </c>
      <c r="D113" s="366">
        <v>0</v>
      </c>
      <c r="E113" s="399">
        <v>0</v>
      </c>
      <c r="F113" s="318">
        <v>1</v>
      </c>
      <c r="G113" s="318">
        <v>0</v>
      </c>
      <c r="H113" s="318">
        <v>1</v>
      </c>
      <c r="I113" s="318">
        <v>0</v>
      </c>
      <c r="J113" s="318">
        <v>1</v>
      </c>
      <c r="K113" s="318"/>
      <c r="L113" s="318"/>
      <c r="M113" s="318"/>
      <c r="N113" s="400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</row>
    <row r="114" spans="2:31" ht="15">
      <c r="B114" s="398">
        <f t="shared" si="5"/>
        <v>69</v>
      </c>
      <c r="C114" s="406" t="str" cm="1">
        <f t="array" aca="1" ref="C114" ca="1">IF(B114&lt;=$C$9,GetGetCDSName(B114),"")</f>
        <v>LINDE_MMR.EUR.SU</v>
      </c>
      <c r="D114" s="366">
        <v>0</v>
      </c>
      <c r="E114" s="399">
        <v>0</v>
      </c>
      <c r="F114" s="318">
        <v>0</v>
      </c>
      <c r="G114" s="318">
        <v>1</v>
      </c>
      <c r="H114" s="318">
        <v>0</v>
      </c>
      <c r="I114" s="318">
        <v>1</v>
      </c>
      <c r="J114" s="318">
        <v>1</v>
      </c>
      <c r="K114" s="318"/>
      <c r="L114" s="318"/>
      <c r="M114" s="318"/>
      <c r="N114" s="400"/>
      <c r="O114" s="293"/>
      <c r="P114" s="293"/>
      <c r="Q114" s="293"/>
      <c r="R114" s="293"/>
      <c r="S114" s="293"/>
      <c r="T114" s="293"/>
      <c r="U114" s="293"/>
      <c r="V114" s="293"/>
      <c r="W114" s="293"/>
      <c r="X114" s="293"/>
      <c r="Y114" s="293"/>
      <c r="Z114" s="293"/>
      <c r="AA114" s="293"/>
      <c r="AB114" s="293"/>
      <c r="AC114" s="293"/>
      <c r="AD114" s="293"/>
      <c r="AE114" s="293"/>
    </row>
    <row r="115" spans="2:31" ht="15">
      <c r="B115" s="398">
        <f t="shared" si="5"/>
        <v>70</v>
      </c>
      <c r="C115" s="406" t="str" cm="1">
        <f t="array" aca="1" ref="C115" ca="1">IF(B115&lt;=$C$9,GetGetCDSName(B115),"")</f>
        <v>LUFTHANSA_MMR.EUR.SU</v>
      </c>
      <c r="D115" s="366">
        <v>0</v>
      </c>
      <c r="E115" s="399">
        <v>1</v>
      </c>
      <c r="F115" s="318">
        <v>0</v>
      </c>
      <c r="G115" s="318">
        <v>0</v>
      </c>
      <c r="H115" s="318">
        <v>0</v>
      </c>
      <c r="I115" s="318">
        <v>1</v>
      </c>
      <c r="J115" s="318">
        <v>1</v>
      </c>
      <c r="K115" s="318"/>
      <c r="L115" s="318"/>
      <c r="M115" s="318"/>
      <c r="N115" s="400"/>
      <c r="O115" s="293"/>
      <c r="P115" s="293"/>
      <c r="Q115" s="293"/>
      <c r="R115" s="293"/>
      <c r="S115" s="293"/>
      <c r="T115" s="293"/>
      <c r="U115" s="293"/>
      <c r="V115" s="293"/>
      <c r="W115" s="293"/>
      <c r="X115" s="293"/>
      <c r="Y115" s="293"/>
      <c r="Z115" s="293"/>
      <c r="AA115" s="293"/>
      <c r="AB115" s="293"/>
      <c r="AC115" s="293"/>
      <c r="AD115" s="293"/>
      <c r="AE115" s="293"/>
    </row>
    <row r="116" spans="2:31" ht="15">
      <c r="B116" s="398">
        <f t="shared" si="5"/>
        <v>71</v>
      </c>
      <c r="C116" s="406" t="str" cm="1">
        <f t="array" aca="1" ref="C116" ca="1">IF(B116&lt;=$C$9,GetGetCDSName(B116),"")</f>
        <v>LVMH_MMR.EUR.SU</v>
      </c>
      <c r="D116" s="366">
        <v>0</v>
      </c>
      <c r="E116" s="399">
        <v>1</v>
      </c>
      <c r="F116" s="318">
        <v>1</v>
      </c>
      <c r="G116" s="318">
        <v>0</v>
      </c>
      <c r="H116" s="318">
        <v>0</v>
      </c>
      <c r="I116" s="318">
        <v>0</v>
      </c>
      <c r="J116" s="318">
        <v>1</v>
      </c>
      <c r="K116" s="318"/>
      <c r="L116" s="318"/>
      <c r="M116" s="318"/>
      <c r="N116" s="400"/>
      <c r="O116" s="293"/>
      <c r="P116" s="293"/>
      <c r="Q116" s="293"/>
      <c r="R116" s="293"/>
      <c r="S116" s="293"/>
      <c r="T116" s="293"/>
      <c r="U116" s="293"/>
      <c r="V116" s="293"/>
      <c r="W116" s="293"/>
      <c r="X116" s="293"/>
      <c r="Y116" s="293"/>
      <c r="Z116" s="293"/>
      <c r="AA116" s="293"/>
      <c r="AB116" s="293"/>
      <c r="AC116" s="293"/>
      <c r="AD116" s="293"/>
      <c r="AE116" s="293"/>
    </row>
    <row r="117" spans="2:31" ht="15">
      <c r="B117" s="398">
        <f t="shared" si="5"/>
        <v>72</v>
      </c>
      <c r="C117" s="406" t="str" cm="1">
        <f t="array" aca="1" ref="C117" ca="1">IF(B117&lt;=$C$9,GetGetCDSName(B117),"")</f>
        <v>MARKSANDSPENCERPLC_MMR.EUR.SU</v>
      </c>
      <c r="D117" s="366">
        <v>0</v>
      </c>
      <c r="E117" s="399">
        <v>1</v>
      </c>
      <c r="F117" s="318">
        <v>1</v>
      </c>
      <c r="G117" s="318">
        <v>0</v>
      </c>
      <c r="H117" s="318">
        <v>0</v>
      </c>
      <c r="I117" s="318">
        <v>0</v>
      </c>
      <c r="J117" s="318">
        <v>0</v>
      </c>
      <c r="K117" s="318"/>
      <c r="L117" s="318"/>
      <c r="M117" s="318"/>
      <c r="N117" s="400"/>
      <c r="O117" s="293"/>
      <c r="P117" s="293"/>
      <c r="Q117" s="293"/>
      <c r="R117" s="293"/>
      <c r="S117" s="293"/>
      <c r="T117" s="293"/>
      <c r="U117" s="293"/>
      <c r="V117" s="293"/>
      <c r="W117" s="293"/>
      <c r="X117" s="293"/>
      <c r="Y117" s="293"/>
      <c r="Z117" s="293"/>
      <c r="AA117" s="293"/>
      <c r="AB117" s="293"/>
      <c r="AC117" s="293"/>
      <c r="AD117" s="293"/>
      <c r="AE117" s="293"/>
    </row>
    <row r="118" spans="2:31" ht="15">
      <c r="B118" s="398">
        <f t="shared" si="5"/>
        <v>73</v>
      </c>
      <c r="C118" s="406" t="str" cm="1">
        <f t="array" aca="1" ref="C118" ca="1">IF(B118&lt;=$C$9,GetGetCDSName(B118),"")</f>
        <v>METRO_MMR.EUR.SU</v>
      </c>
      <c r="D118" s="366">
        <v>0</v>
      </c>
      <c r="E118" s="399">
        <v>0</v>
      </c>
      <c r="F118" s="318">
        <v>1</v>
      </c>
      <c r="G118" s="318">
        <v>0</v>
      </c>
      <c r="H118" s="318">
        <v>1</v>
      </c>
      <c r="I118" s="318">
        <v>0</v>
      </c>
      <c r="J118" s="318">
        <v>1</v>
      </c>
      <c r="K118" s="318"/>
      <c r="L118" s="318"/>
      <c r="M118" s="318"/>
      <c r="N118" s="400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</row>
    <row r="119" spans="2:31" ht="15">
      <c r="B119" s="398">
        <f t="shared" si="5"/>
        <v>74</v>
      </c>
      <c r="C119" s="406" t="str" cm="1">
        <f t="array" aca="1" ref="C119" ca="1">IF(B119&lt;=$C$9,GetGetCDSName(B119),"")</f>
        <v>MICHELIN_MMR.EUR.SU</v>
      </c>
      <c r="D119" s="366">
        <v>0</v>
      </c>
      <c r="E119" s="399">
        <v>1</v>
      </c>
      <c r="F119" s="318">
        <v>1</v>
      </c>
      <c r="G119" s="318">
        <v>0</v>
      </c>
      <c r="H119" s="318">
        <v>1</v>
      </c>
      <c r="I119" s="318">
        <v>0</v>
      </c>
      <c r="J119" s="318">
        <v>0</v>
      </c>
      <c r="K119" s="318"/>
      <c r="L119" s="318"/>
      <c r="M119" s="318"/>
      <c r="N119" s="400"/>
      <c r="O119" s="293"/>
      <c r="P119" s="293"/>
      <c r="Q119" s="293"/>
      <c r="R119" s="293"/>
      <c r="S119" s="293"/>
      <c r="T119" s="293"/>
      <c r="U119" s="293"/>
      <c r="V119" s="293"/>
      <c r="W119" s="293"/>
      <c r="X119" s="293"/>
      <c r="Y119" s="293"/>
      <c r="Z119" s="293"/>
      <c r="AA119" s="293"/>
      <c r="AB119" s="293"/>
      <c r="AC119" s="293"/>
      <c r="AD119" s="293"/>
      <c r="AE119" s="293"/>
    </row>
    <row r="120" spans="2:31" ht="15">
      <c r="B120" s="398">
        <f t="shared" si="5"/>
        <v>75</v>
      </c>
      <c r="C120" s="406" t="str" cm="1">
        <f t="array" aca="1" ref="C120" ca="1">IF(B120&lt;=$C$9,GetGetCDSName(B120),"")</f>
        <v>MONTEDEIPASCHI_MMR.EUR.SU</v>
      </c>
      <c r="D120" s="366">
        <v>0</v>
      </c>
      <c r="E120" s="399">
        <v>0</v>
      </c>
      <c r="F120" s="318">
        <v>0</v>
      </c>
      <c r="G120" s="318">
        <v>0</v>
      </c>
      <c r="H120" s="318">
        <v>1</v>
      </c>
      <c r="I120" s="318">
        <v>0</v>
      </c>
      <c r="J120" s="318">
        <v>1</v>
      </c>
      <c r="K120" s="318"/>
      <c r="L120" s="318"/>
      <c r="M120" s="318"/>
      <c r="N120" s="400"/>
      <c r="O120" s="293"/>
      <c r="P120" s="293"/>
      <c r="Q120" s="293"/>
      <c r="R120" s="293"/>
      <c r="S120" s="293"/>
      <c r="T120" s="293"/>
      <c r="U120" s="293"/>
      <c r="V120" s="293"/>
      <c r="W120" s="293"/>
      <c r="X120" s="293"/>
      <c r="Y120" s="293"/>
      <c r="Z120" s="293"/>
      <c r="AA120" s="293"/>
      <c r="AB120" s="293"/>
      <c r="AC120" s="293"/>
      <c r="AD120" s="293"/>
      <c r="AE120" s="293"/>
    </row>
    <row r="121" spans="2:31" ht="15">
      <c r="B121" s="398">
        <f t="shared" si="5"/>
        <v>76</v>
      </c>
      <c r="C121" s="406" t="str" cm="1">
        <f t="array" aca="1" ref="C121" ca="1">IF(B121&lt;=$C$9,GetGetCDSName(B121),"")</f>
        <v>MUNICHRE_MMR.EUR.SU</v>
      </c>
      <c r="D121" s="366">
        <v>0</v>
      </c>
      <c r="E121" s="399">
        <v>0</v>
      </c>
      <c r="F121" s="318">
        <v>0</v>
      </c>
      <c r="G121" s="318">
        <v>1</v>
      </c>
      <c r="H121" s="318">
        <v>1</v>
      </c>
      <c r="I121" s="318">
        <v>0</v>
      </c>
      <c r="J121" s="318">
        <v>1</v>
      </c>
      <c r="K121" s="318"/>
      <c r="L121" s="318"/>
      <c r="M121" s="318"/>
      <c r="N121" s="400"/>
      <c r="O121" s="293"/>
      <c r="P121" s="293"/>
      <c r="Q121" s="293"/>
      <c r="R121" s="293"/>
      <c r="S121" s="293"/>
      <c r="T121" s="293"/>
      <c r="U121" s="293"/>
      <c r="V121" s="293"/>
      <c r="W121" s="293"/>
      <c r="X121" s="293"/>
      <c r="Y121" s="293"/>
      <c r="Z121" s="293"/>
      <c r="AA121" s="293"/>
      <c r="AB121" s="293"/>
      <c r="AC121" s="293"/>
      <c r="AD121" s="293"/>
      <c r="AE121" s="293"/>
    </row>
    <row r="122" spans="2:31" ht="15">
      <c r="B122" s="398">
        <f t="shared" si="5"/>
        <v>77</v>
      </c>
      <c r="C122" s="406" t="str" cm="1">
        <f t="array" aca="1" ref="C122" ca="1">IF(B122&lt;=$C$9,GetGetCDSName(B122),"")</f>
        <v>NATIONALGRIDTRANSCOPLC_MMR.EUR.SU</v>
      </c>
      <c r="D122" s="366">
        <v>0</v>
      </c>
      <c r="E122" s="399">
        <v>1</v>
      </c>
      <c r="F122" s="318">
        <v>0</v>
      </c>
      <c r="G122" s="318">
        <v>1</v>
      </c>
      <c r="H122" s="318">
        <v>0</v>
      </c>
      <c r="I122" s="318">
        <v>1</v>
      </c>
      <c r="J122" s="318">
        <v>0</v>
      </c>
      <c r="K122" s="318"/>
      <c r="L122" s="318"/>
      <c r="M122" s="318"/>
      <c r="N122" s="400"/>
      <c r="O122" s="293"/>
      <c r="P122" s="293"/>
      <c r="Q122" s="293"/>
      <c r="R122" s="293"/>
      <c r="S122" s="293"/>
      <c r="T122" s="293"/>
      <c r="U122" s="293"/>
      <c r="V122" s="293"/>
      <c r="W122" s="293"/>
      <c r="X122" s="293"/>
      <c r="Y122" s="293"/>
      <c r="Z122" s="293"/>
      <c r="AA122" s="293"/>
      <c r="AB122" s="293"/>
      <c r="AC122" s="293"/>
      <c r="AD122" s="293"/>
      <c r="AE122" s="293"/>
    </row>
    <row r="123" spans="2:31" ht="15">
      <c r="B123" s="398">
        <f t="shared" si="5"/>
        <v>78</v>
      </c>
      <c r="C123" s="406" t="str" cm="1">
        <f t="array" aca="1" ref="C123" ca="1">IF(B123&lt;=$C$9,GetGetCDSName(B123),"")</f>
        <v>NEXTPLC_MMR.EUR.SU</v>
      </c>
      <c r="D123" s="366">
        <v>0</v>
      </c>
      <c r="E123" s="399">
        <v>0</v>
      </c>
      <c r="F123" s="318">
        <v>0</v>
      </c>
      <c r="G123" s="318">
        <v>0</v>
      </c>
      <c r="H123" s="318">
        <v>0</v>
      </c>
      <c r="I123" s="318">
        <v>1</v>
      </c>
      <c r="J123" s="318">
        <v>1</v>
      </c>
      <c r="K123" s="318"/>
      <c r="L123" s="318"/>
      <c r="M123" s="318"/>
      <c r="N123" s="400"/>
      <c r="O123" s="293"/>
      <c r="P123" s="293"/>
      <c r="Q123" s="293"/>
      <c r="R123" s="293"/>
      <c r="S123" s="293"/>
      <c r="T123" s="293"/>
      <c r="U123" s="293"/>
      <c r="V123" s="293"/>
      <c r="W123" s="293"/>
      <c r="X123" s="293"/>
      <c r="Y123" s="293"/>
      <c r="Z123" s="293"/>
      <c r="AA123" s="293"/>
      <c r="AB123" s="293"/>
      <c r="AC123" s="293"/>
      <c r="AD123" s="293"/>
      <c r="AE123" s="293"/>
    </row>
    <row r="124" spans="2:31" ht="15">
      <c r="B124" s="398">
        <f t="shared" si="5"/>
        <v>79</v>
      </c>
      <c r="C124" s="406" t="str" cm="1">
        <f t="array" aca="1" ref="C124" ca="1">IF(B124&lt;=$C$9,GetGetCDSName(B124),"")</f>
        <v>PEARSON_MMR.EUR.SU</v>
      </c>
      <c r="D124" s="366">
        <v>0</v>
      </c>
      <c r="E124" s="399">
        <v>0</v>
      </c>
      <c r="F124" s="318">
        <v>0</v>
      </c>
      <c r="G124" s="318">
        <v>1</v>
      </c>
      <c r="H124" s="318">
        <v>0</v>
      </c>
      <c r="I124" s="318">
        <v>0</v>
      </c>
      <c r="J124" s="318">
        <v>1</v>
      </c>
      <c r="K124" s="318"/>
      <c r="L124" s="318"/>
      <c r="M124" s="318"/>
      <c r="N124" s="400"/>
      <c r="O124" s="293"/>
      <c r="P124" s="293"/>
      <c r="Q124" s="293"/>
      <c r="R124" s="293"/>
      <c r="S124" s="293"/>
      <c r="T124" s="293"/>
      <c r="U124" s="293"/>
      <c r="V124" s="293"/>
      <c r="W124" s="293"/>
      <c r="X124" s="293"/>
      <c r="Y124" s="293"/>
      <c r="Z124" s="293"/>
      <c r="AA124" s="293"/>
      <c r="AB124" s="293"/>
      <c r="AC124" s="293"/>
      <c r="AD124" s="293"/>
      <c r="AE124" s="293"/>
    </row>
    <row r="125" spans="2:31" ht="15">
      <c r="B125" s="398">
        <f t="shared" si="5"/>
        <v>80</v>
      </c>
      <c r="C125" s="406" t="str" cm="1">
        <f t="array" aca="1" ref="C125" ca="1">IF(B125&lt;=$C$9,GetGetCDSName(B125),"")</f>
        <v>PEUGEOT_MMR.EUR.SU</v>
      </c>
      <c r="D125" s="366">
        <v>0</v>
      </c>
      <c r="E125" s="399">
        <v>1</v>
      </c>
      <c r="F125" s="318">
        <v>1</v>
      </c>
      <c r="G125" s="318">
        <v>0</v>
      </c>
      <c r="H125" s="318">
        <v>0</v>
      </c>
      <c r="I125" s="318">
        <v>0</v>
      </c>
      <c r="J125" s="318">
        <v>0</v>
      </c>
      <c r="K125" s="318"/>
      <c r="L125" s="318"/>
      <c r="M125" s="318"/>
      <c r="N125" s="400"/>
      <c r="O125" s="293"/>
      <c r="P125" s="293"/>
      <c r="Q125" s="293"/>
      <c r="R125" s="293"/>
      <c r="S125" s="293"/>
      <c r="T125" s="293"/>
      <c r="U125" s="293"/>
      <c r="V125" s="293"/>
      <c r="W125" s="293"/>
      <c r="X125" s="293"/>
      <c r="Y125" s="293"/>
      <c r="Z125" s="293"/>
      <c r="AA125" s="293"/>
      <c r="AB125" s="293"/>
      <c r="AC125" s="293"/>
      <c r="AD125" s="293"/>
      <c r="AE125" s="293"/>
    </row>
    <row r="126" spans="2:31" ht="15">
      <c r="B126" s="398">
        <f t="shared" si="5"/>
        <v>81</v>
      </c>
      <c r="C126" s="406" t="str" cm="1">
        <f t="array" aca="1" ref="C126" ca="1">IF(B126&lt;=$C$9,GetGetCDSName(B126),"")</f>
        <v>PHILIPSELEC_MMR.EUR.SU</v>
      </c>
      <c r="D126" s="366">
        <v>0</v>
      </c>
      <c r="E126" s="399">
        <v>0</v>
      </c>
      <c r="F126" s="318">
        <v>0</v>
      </c>
      <c r="G126" s="318">
        <v>0</v>
      </c>
      <c r="H126" s="318">
        <v>1</v>
      </c>
      <c r="I126" s="318">
        <v>0</v>
      </c>
      <c r="J126" s="318">
        <v>1</v>
      </c>
      <c r="K126" s="318"/>
      <c r="L126" s="318"/>
      <c r="M126" s="318"/>
      <c r="N126" s="400"/>
      <c r="O126" s="293"/>
      <c r="P126" s="293"/>
      <c r="Q126" s="293"/>
      <c r="R126" s="293"/>
      <c r="S126" s="293"/>
      <c r="T126" s="293"/>
      <c r="U126" s="293"/>
      <c r="V126" s="293"/>
      <c r="W126" s="293"/>
      <c r="X126" s="293"/>
      <c r="Y126" s="293"/>
      <c r="Z126" s="293"/>
      <c r="AA126" s="293"/>
      <c r="AB126" s="293"/>
      <c r="AC126" s="293"/>
      <c r="AD126" s="293"/>
      <c r="AE126" s="293"/>
    </row>
    <row r="127" spans="2:31" ht="15">
      <c r="B127" s="398">
        <f t="shared" si="5"/>
        <v>82</v>
      </c>
      <c r="C127" s="406" t="str" cm="1">
        <f t="array" aca="1" ref="C127" ca="1">IF(B127&lt;=$C$9,GetGetCDSName(B127),"")</f>
        <v>PINAULTPRINTEMPS_MMR.EUR.SU</v>
      </c>
      <c r="D127" s="366">
        <v>0</v>
      </c>
      <c r="E127" s="399">
        <v>0</v>
      </c>
      <c r="F127" s="318">
        <v>0</v>
      </c>
      <c r="G127" s="318">
        <v>1</v>
      </c>
      <c r="H127" s="318">
        <v>1</v>
      </c>
      <c r="I127" s="318">
        <v>0</v>
      </c>
      <c r="J127" s="318">
        <v>0</v>
      </c>
      <c r="K127" s="318"/>
      <c r="L127" s="318"/>
      <c r="M127" s="318"/>
      <c r="N127" s="400"/>
      <c r="O127" s="293"/>
      <c r="P127" s="293"/>
      <c r="Q127" s="293"/>
      <c r="R127" s="293"/>
      <c r="S127" s="293"/>
      <c r="T127" s="293"/>
      <c r="U127" s="293"/>
      <c r="V127" s="293"/>
      <c r="W127" s="293"/>
      <c r="X127" s="293"/>
      <c r="Y127" s="293"/>
      <c r="Z127" s="293"/>
      <c r="AA127" s="293"/>
      <c r="AB127" s="293"/>
      <c r="AC127" s="293"/>
      <c r="AD127" s="293"/>
      <c r="AE127" s="293"/>
    </row>
    <row r="128" spans="2:31" ht="15">
      <c r="B128" s="398">
        <f t="shared" si="5"/>
        <v>83</v>
      </c>
      <c r="C128" s="406" t="str" cm="1">
        <f t="array" aca="1" ref="C128" ca="1">IF(B128&lt;=$C$9,GetGetCDSName(B128),"")</f>
        <v>PORTUGALTELECOM_MMR.EUR.SU</v>
      </c>
      <c r="D128" s="366">
        <v>0</v>
      </c>
      <c r="E128" s="399">
        <v>0</v>
      </c>
      <c r="F128" s="318">
        <v>0</v>
      </c>
      <c r="G128" s="318">
        <v>1</v>
      </c>
      <c r="H128" s="318">
        <v>0</v>
      </c>
      <c r="I128" s="318">
        <v>1</v>
      </c>
      <c r="J128" s="318">
        <v>1</v>
      </c>
      <c r="K128" s="318"/>
      <c r="L128" s="318"/>
      <c r="M128" s="318"/>
      <c r="N128" s="400"/>
      <c r="O128" s="293"/>
      <c r="P128" s="293"/>
      <c r="Q128" s="293"/>
      <c r="R128" s="293"/>
      <c r="S128" s="293"/>
      <c r="T128" s="293"/>
      <c r="U128" s="293"/>
      <c r="V128" s="293"/>
      <c r="W128" s="293"/>
      <c r="X128" s="293"/>
      <c r="Y128" s="293"/>
      <c r="Z128" s="293"/>
      <c r="AA128" s="293"/>
      <c r="AB128" s="293"/>
      <c r="AC128" s="293"/>
      <c r="AD128" s="293"/>
      <c r="AE128" s="293"/>
    </row>
    <row r="129" spans="2:31" ht="15">
      <c r="B129" s="398">
        <f t="shared" si="5"/>
        <v>84</v>
      </c>
      <c r="C129" s="406" t="str" cm="1">
        <f t="array" aca="1" ref="C129" ca="1">IF(B129&lt;=$C$9,GetGetCDSName(B129),"")</f>
        <v>REEDELSEVIER_MMR.EUR.SU</v>
      </c>
      <c r="D129" s="366">
        <v>0</v>
      </c>
      <c r="E129" s="399">
        <v>1</v>
      </c>
      <c r="F129" s="318">
        <v>0</v>
      </c>
      <c r="G129" s="318">
        <v>1</v>
      </c>
      <c r="H129" s="318">
        <v>1</v>
      </c>
      <c r="I129" s="318">
        <v>0</v>
      </c>
      <c r="J129" s="318">
        <v>0</v>
      </c>
      <c r="K129" s="318"/>
      <c r="L129" s="318"/>
      <c r="M129" s="318"/>
      <c r="N129" s="400"/>
      <c r="O129" s="293"/>
      <c r="P129" s="293"/>
      <c r="Q129" s="293"/>
      <c r="R129" s="293"/>
      <c r="S129" s="293"/>
      <c r="T129" s="293"/>
      <c r="U129" s="293"/>
      <c r="V129" s="293"/>
      <c r="W129" s="293"/>
      <c r="X129" s="293"/>
      <c r="Y129" s="293"/>
      <c r="Z129" s="293"/>
      <c r="AA129" s="293"/>
      <c r="AB129" s="293"/>
      <c r="AC129" s="293"/>
      <c r="AD129" s="293"/>
      <c r="AE129" s="293"/>
    </row>
    <row r="130" spans="2:31" ht="15">
      <c r="B130" s="398">
        <f t="shared" si="5"/>
        <v>85</v>
      </c>
      <c r="C130" s="406" t="str" cm="1">
        <f t="array" aca="1" ref="C130" ca="1">IF(B130&lt;=$C$9,GetGetCDSName(B130),"")</f>
        <v>RENAULT_MMR.EUR.SU</v>
      </c>
      <c r="D130" s="366">
        <v>0</v>
      </c>
      <c r="E130" s="399">
        <v>0</v>
      </c>
      <c r="F130" s="318">
        <v>1</v>
      </c>
      <c r="G130" s="318">
        <v>0</v>
      </c>
      <c r="H130" s="318">
        <v>0</v>
      </c>
      <c r="I130" s="318">
        <v>1</v>
      </c>
      <c r="J130" s="318">
        <v>0</v>
      </c>
      <c r="K130" s="318"/>
      <c r="L130" s="318"/>
      <c r="M130" s="318"/>
      <c r="N130" s="400"/>
      <c r="O130" s="293"/>
      <c r="P130" s="293"/>
      <c r="Q130" s="293"/>
      <c r="R130" s="293"/>
      <c r="S130" s="293"/>
      <c r="T130" s="293"/>
      <c r="U130" s="293"/>
      <c r="V130" s="293"/>
      <c r="W130" s="293"/>
      <c r="X130" s="293"/>
      <c r="Y130" s="293"/>
      <c r="Z130" s="293"/>
      <c r="AA130" s="293"/>
      <c r="AB130" s="293"/>
      <c r="AC130" s="293"/>
      <c r="AD130" s="293"/>
      <c r="AE130" s="293"/>
    </row>
    <row r="131" spans="2:31" ht="15">
      <c r="B131" s="398">
        <f t="shared" si="5"/>
        <v>86</v>
      </c>
      <c r="C131" s="406" t="str" cm="1">
        <f t="array" aca="1" ref="C131" ca="1">IF(B131&lt;=$C$9,GetGetCDSName(B131),"")</f>
        <v>REPSOL_MMR.EUR.SU</v>
      </c>
      <c r="D131" s="366">
        <v>0</v>
      </c>
      <c r="E131" s="399">
        <v>1</v>
      </c>
      <c r="F131" s="318">
        <v>0</v>
      </c>
      <c r="G131" s="318">
        <v>1</v>
      </c>
      <c r="H131" s="318">
        <v>0</v>
      </c>
      <c r="I131" s="318">
        <v>0</v>
      </c>
      <c r="J131" s="318">
        <v>0</v>
      </c>
      <c r="K131" s="318"/>
      <c r="L131" s="318"/>
      <c r="M131" s="318"/>
      <c r="N131" s="400"/>
      <c r="O131" s="293"/>
      <c r="P131" s="293"/>
      <c r="Q131" s="293"/>
      <c r="R131" s="293"/>
      <c r="S131" s="293"/>
      <c r="T131" s="293"/>
      <c r="U131" s="293"/>
      <c r="V131" s="293"/>
      <c r="W131" s="293"/>
      <c r="X131" s="293"/>
      <c r="Y131" s="293"/>
      <c r="Z131" s="293"/>
      <c r="AA131" s="293"/>
      <c r="AB131" s="293"/>
      <c r="AC131" s="293"/>
      <c r="AD131" s="293"/>
      <c r="AE131" s="293"/>
    </row>
    <row r="132" spans="2:31" ht="15">
      <c r="B132" s="398">
        <f t="shared" si="5"/>
        <v>87</v>
      </c>
      <c r="C132" s="406" t="str" cm="1">
        <f t="array" aca="1" ref="C132" ca="1">IF(B132&lt;=$C$9,GetGetCDSName(B132),"")</f>
        <v>REUTERS_MMR.EUR.SU</v>
      </c>
      <c r="D132" s="366">
        <v>0</v>
      </c>
      <c r="E132" s="399">
        <v>1</v>
      </c>
      <c r="F132" s="318">
        <v>0</v>
      </c>
      <c r="G132" s="318">
        <v>0</v>
      </c>
      <c r="H132" s="318">
        <v>1</v>
      </c>
      <c r="I132" s="318">
        <v>0</v>
      </c>
      <c r="J132" s="318">
        <v>0</v>
      </c>
      <c r="K132" s="318"/>
      <c r="L132" s="318"/>
      <c r="M132" s="318"/>
      <c r="N132" s="400"/>
      <c r="O132" s="293"/>
      <c r="P132" s="293"/>
      <c r="Q132" s="293"/>
      <c r="R132" s="293"/>
      <c r="S132" s="293"/>
      <c r="T132" s="293"/>
      <c r="U132" s="293"/>
      <c r="V132" s="293"/>
      <c r="W132" s="293"/>
      <c r="X132" s="293"/>
      <c r="Y132" s="293"/>
      <c r="Z132" s="293"/>
      <c r="AA132" s="293"/>
      <c r="AB132" s="293"/>
      <c r="AC132" s="293"/>
      <c r="AD132" s="293"/>
      <c r="AE132" s="293"/>
    </row>
    <row r="133" spans="2:31" ht="15">
      <c r="B133" s="398">
        <f t="shared" si="5"/>
        <v>88</v>
      </c>
      <c r="C133" s="406" t="str" cm="1">
        <f t="array" aca="1" ref="C133" ca="1">IF(B133&lt;=$C$9,GetGetCDSName(B133),"")</f>
        <v>ROYALBANKSCOTLAND_MMR.EUR.SU</v>
      </c>
      <c r="D133" s="366">
        <v>0</v>
      </c>
      <c r="E133" s="399">
        <v>0</v>
      </c>
      <c r="F133" s="318">
        <v>0</v>
      </c>
      <c r="G133" s="318">
        <v>1</v>
      </c>
      <c r="H133" s="318">
        <v>1</v>
      </c>
      <c r="I133" s="318">
        <v>1</v>
      </c>
      <c r="J133" s="318">
        <v>0</v>
      </c>
      <c r="K133" s="318"/>
      <c r="L133" s="318"/>
      <c r="M133" s="318"/>
      <c r="N133" s="400"/>
      <c r="O133" s="293"/>
      <c r="P133" s="293"/>
      <c r="Q133" s="293"/>
      <c r="R133" s="293"/>
      <c r="S133" s="293"/>
      <c r="T133" s="293"/>
      <c r="U133" s="293"/>
      <c r="V133" s="293"/>
      <c r="W133" s="293"/>
      <c r="X133" s="293"/>
      <c r="Y133" s="293"/>
      <c r="Z133" s="293"/>
      <c r="AA133" s="293"/>
      <c r="AB133" s="293"/>
      <c r="AC133" s="293"/>
      <c r="AD133" s="293"/>
      <c r="AE133" s="293"/>
    </row>
    <row r="134" spans="2:31" ht="15">
      <c r="B134" s="398">
        <f t="shared" si="5"/>
        <v>89</v>
      </c>
      <c r="C134" s="406" t="str" cm="1">
        <f t="array" aca="1" ref="C134" ca="1">IF(B134&lt;=$C$9,GetGetCDSName(B134),"")</f>
        <v>RWE_MMR.EUR.SU</v>
      </c>
      <c r="D134" s="366">
        <v>0</v>
      </c>
      <c r="E134" s="399">
        <v>0</v>
      </c>
      <c r="F134" s="318">
        <v>0</v>
      </c>
      <c r="G134" s="318">
        <v>0</v>
      </c>
      <c r="H134" s="318">
        <v>1</v>
      </c>
      <c r="I134" s="318">
        <v>1</v>
      </c>
      <c r="J134" s="318">
        <v>0</v>
      </c>
      <c r="K134" s="318"/>
      <c r="L134" s="318"/>
      <c r="M134" s="318"/>
      <c r="N134" s="400"/>
      <c r="O134" s="293"/>
      <c r="P134" s="293"/>
      <c r="Q134" s="293"/>
      <c r="R134" s="293"/>
      <c r="S134" s="293"/>
      <c r="T134" s="293"/>
      <c r="U134" s="293"/>
      <c r="V134" s="293"/>
      <c r="W134" s="293"/>
      <c r="X134" s="293"/>
      <c r="Y134" s="293"/>
      <c r="Z134" s="293"/>
      <c r="AA134" s="293"/>
      <c r="AB134" s="293"/>
      <c r="AC134" s="293"/>
      <c r="AD134" s="293"/>
      <c r="AE134" s="293"/>
    </row>
    <row r="135" spans="2:31" ht="15">
      <c r="B135" s="398">
        <f t="shared" si="5"/>
        <v>90</v>
      </c>
      <c r="C135" s="406" t="str" cm="1">
        <f t="array" aca="1" ref="C135" ca="1">IF(B135&lt;=$C$9,GetGetCDSName(B135),"")</f>
        <v>SAFEWAYPLC_MMR.EUR.SU</v>
      </c>
      <c r="D135" s="366">
        <v>0</v>
      </c>
      <c r="E135" s="399">
        <v>0</v>
      </c>
      <c r="F135" s="318">
        <v>1</v>
      </c>
      <c r="G135" s="318">
        <v>0</v>
      </c>
      <c r="H135" s="318">
        <v>1</v>
      </c>
      <c r="I135" s="318">
        <v>0</v>
      </c>
      <c r="J135" s="318">
        <v>0</v>
      </c>
      <c r="K135" s="318"/>
      <c r="L135" s="318"/>
      <c r="M135" s="318"/>
      <c r="N135" s="400"/>
      <c r="O135" s="293"/>
      <c r="P135" s="293"/>
      <c r="Q135" s="293"/>
      <c r="R135" s="293"/>
      <c r="S135" s="293"/>
      <c r="T135" s="293"/>
      <c r="U135" s="293"/>
      <c r="V135" s="293"/>
      <c r="W135" s="293"/>
      <c r="X135" s="293"/>
      <c r="Y135" s="293"/>
      <c r="Z135" s="293"/>
      <c r="AA135" s="293"/>
      <c r="AB135" s="293"/>
      <c r="AC135" s="293"/>
      <c r="AD135" s="293"/>
      <c r="AE135" s="293"/>
    </row>
    <row r="136" spans="2:31" ht="15">
      <c r="B136" s="398">
        <f t="shared" si="5"/>
        <v>91</v>
      </c>
      <c r="C136" s="406" t="str" cm="1">
        <f t="array" aca="1" ref="C136" ca="1">IF(B136&lt;=$C$9,GetGetCDSName(B136),"")</f>
        <v>SANOFIAVENTIS_MMR.EUR.SU</v>
      </c>
      <c r="D136" s="366">
        <v>0</v>
      </c>
      <c r="E136" s="399">
        <v>0</v>
      </c>
      <c r="F136" s="318">
        <v>1</v>
      </c>
      <c r="G136" s="318">
        <v>1</v>
      </c>
      <c r="H136" s="318">
        <v>0</v>
      </c>
      <c r="I136" s="318">
        <v>0</v>
      </c>
      <c r="J136" s="318">
        <v>1</v>
      </c>
      <c r="K136" s="318"/>
      <c r="L136" s="318"/>
      <c r="M136" s="318"/>
      <c r="N136" s="400"/>
      <c r="O136" s="293"/>
      <c r="P136" s="293"/>
      <c r="Q136" s="293"/>
      <c r="R136" s="293"/>
      <c r="S136" s="293"/>
      <c r="T136" s="293"/>
      <c r="U136" s="293"/>
      <c r="V136" s="293"/>
      <c r="W136" s="293"/>
      <c r="X136" s="293"/>
      <c r="Y136" s="293"/>
      <c r="Z136" s="293"/>
      <c r="AA136" s="293"/>
      <c r="AB136" s="293"/>
      <c r="AC136" s="293"/>
      <c r="AD136" s="293"/>
      <c r="AE136" s="293"/>
    </row>
    <row r="137" spans="2:31" ht="15">
      <c r="B137" s="398">
        <f t="shared" si="5"/>
        <v>92</v>
      </c>
      <c r="C137" s="406" t="str" cm="1">
        <f t="array" aca="1" ref="C137" ca="1">IF(B137&lt;=$C$9,GetGetCDSName(B137),"")</f>
        <v>SIEMENS_MMR.EUR.SU</v>
      </c>
      <c r="D137" s="366">
        <v>0</v>
      </c>
      <c r="E137" s="399">
        <v>0</v>
      </c>
      <c r="F137" s="318">
        <v>1</v>
      </c>
      <c r="G137" s="318">
        <v>0</v>
      </c>
      <c r="H137" s="318">
        <v>0</v>
      </c>
      <c r="I137" s="318">
        <v>1</v>
      </c>
      <c r="J137" s="318">
        <v>1</v>
      </c>
      <c r="K137" s="318"/>
      <c r="L137" s="318"/>
      <c r="M137" s="318"/>
      <c r="N137" s="400"/>
      <c r="O137" s="293"/>
      <c r="P137" s="293"/>
      <c r="Q137" s="293"/>
      <c r="R137" s="293"/>
      <c r="S137" s="293"/>
      <c r="T137" s="293"/>
      <c r="U137" s="293"/>
      <c r="V137" s="293"/>
      <c r="W137" s="293"/>
      <c r="X137" s="293"/>
      <c r="Y137" s="293"/>
      <c r="Z137" s="293"/>
      <c r="AA137" s="293"/>
      <c r="AB137" s="293"/>
      <c r="AC137" s="293"/>
      <c r="AD137" s="293"/>
      <c r="AE137" s="293"/>
    </row>
    <row r="138" spans="2:31" ht="15">
      <c r="B138" s="398">
        <f t="shared" si="5"/>
        <v>93</v>
      </c>
      <c r="C138" s="406" t="str" cm="1">
        <f t="array" aca="1" ref="C138" ca="1">IF(B138&lt;=$C$9,GetGetCDSName(B138),"")</f>
        <v>SODEXHOALLIANCE_MMR.EUR.SU</v>
      </c>
      <c r="D138" s="366">
        <v>0</v>
      </c>
      <c r="E138" s="399">
        <v>1</v>
      </c>
      <c r="F138" s="318">
        <v>1</v>
      </c>
      <c r="G138" s="318">
        <v>0</v>
      </c>
      <c r="H138" s="318">
        <v>0</v>
      </c>
      <c r="I138" s="318">
        <v>1</v>
      </c>
      <c r="J138" s="318">
        <v>0</v>
      </c>
      <c r="K138" s="318"/>
      <c r="L138" s="318"/>
      <c r="M138" s="318"/>
      <c r="N138" s="400"/>
      <c r="O138" s="293"/>
      <c r="P138" s="293"/>
      <c r="Q138" s="293"/>
      <c r="R138" s="293"/>
      <c r="S138" s="293"/>
      <c r="T138" s="293"/>
      <c r="U138" s="293"/>
      <c r="V138" s="293"/>
      <c r="W138" s="293"/>
      <c r="X138" s="293"/>
      <c r="Y138" s="293"/>
      <c r="Z138" s="293"/>
      <c r="AA138" s="293"/>
      <c r="AB138" s="293"/>
      <c r="AC138" s="293"/>
      <c r="AD138" s="293"/>
      <c r="AE138" s="293"/>
    </row>
    <row r="139" spans="2:31" ht="15">
      <c r="B139" s="398">
        <f t="shared" si="5"/>
        <v>94</v>
      </c>
      <c r="C139" s="406" t="str" cm="1">
        <f t="array" aca="1" ref="C139" ca="1">IF(B139&lt;=$C$9,GetGetCDSName(B139),"")</f>
        <v>SOLVAY_MMR.EUR.SU</v>
      </c>
      <c r="D139" s="366">
        <v>0</v>
      </c>
      <c r="E139" s="399">
        <v>1</v>
      </c>
      <c r="F139" s="318">
        <v>0</v>
      </c>
      <c r="G139" s="318">
        <v>0</v>
      </c>
      <c r="H139" s="318">
        <v>0</v>
      </c>
      <c r="I139" s="318">
        <v>1</v>
      </c>
      <c r="J139" s="318">
        <v>0</v>
      </c>
      <c r="K139" s="318"/>
      <c r="L139" s="318"/>
      <c r="M139" s="318"/>
      <c r="N139" s="400"/>
      <c r="O139" s="293"/>
      <c r="P139" s="293"/>
      <c r="Q139" s="293"/>
      <c r="R139" s="293"/>
      <c r="S139" s="293"/>
      <c r="T139" s="293"/>
      <c r="U139" s="293"/>
      <c r="V139" s="293"/>
      <c r="W139" s="293"/>
      <c r="X139" s="293"/>
      <c r="Y139" s="293"/>
      <c r="Z139" s="293"/>
      <c r="AA139" s="293"/>
      <c r="AB139" s="293"/>
      <c r="AC139" s="293"/>
      <c r="AD139" s="293"/>
      <c r="AE139" s="293"/>
    </row>
    <row r="140" spans="2:31" ht="15">
      <c r="B140" s="398">
        <f t="shared" si="5"/>
        <v>95</v>
      </c>
      <c r="C140" s="406" t="str" cm="1">
        <f t="array" aca="1" ref="C140" ca="1">IF(B140&lt;=$C$9,GetGetCDSName(B140),"")</f>
        <v>STGOBAIN_MMR.EUR.SU</v>
      </c>
      <c r="D140" s="366">
        <v>0</v>
      </c>
      <c r="E140" s="399">
        <v>1</v>
      </c>
      <c r="F140" s="318">
        <v>1</v>
      </c>
      <c r="G140" s="318">
        <v>0</v>
      </c>
      <c r="H140" s="318">
        <v>0</v>
      </c>
      <c r="I140" s="318">
        <v>1</v>
      </c>
      <c r="J140" s="318">
        <v>0</v>
      </c>
      <c r="K140" s="318"/>
      <c r="L140" s="318"/>
      <c r="M140" s="318"/>
      <c r="N140" s="400"/>
      <c r="O140" s="293"/>
      <c r="P140" s="293"/>
      <c r="Q140" s="293"/>
      <c r="R140" s="293"/>
      <c r="S140" s="293"/>
      <c r="T140" s="293"/>
      <c r="U140" s="293"/>
      <c r="V140" s="293"/>
      <c r="W140" s="293"/>
      <c r="X140" s="293"/>
      <c r="Y140" s="293"/>
      <c r="Z140" s="293"/>
      <c r="AA140" s="293"/>
      <c r="AB140" s="293"/>
      <c r="AC140" s="293"/>
      <c r="AD140" s="293"/>
      <c r="AE140" s="293"/>
    </row>
    <row r="141" spans="2:31" ht="15">
      <c r="B141" s="398">
        <f t="shared" si="5"/>
        <v>96</v>
      </c>
      <c r="C141" s="406" t="str" cm="1">
        <f t="array" aca="1" ref="C141" ca="1">IF(B141&lt;=$C$9,GetGetCDSName(B141),"")</f>
        <v>STMICRO_MMR.EUR.SU</v>
      </c>
      <c r="D141" s="366">
        <v>0</v>
      </c>
      <c r="E141" s="399">
        <v>0</v>
      </c>
      <c r="F141" s="318">
        <v>0</v>
      </c>
      <c r="G141" s="318">
        <v>0</v>
      </c>
      <c r="H141" s="318">
        <v>0</v>
      </c>
      <c r="I141" s="318">
        <v>0</v>
      </c>
      <c r="J141" s="318">
        <v>1</v>
      </c>
      <c r="K141" s="318"/>
      <c r="L141" s="318"/>
      <c r="M141" s="318"/>
      <c r="N141" s="400"/>
      <c r="O141" s="293"/>
      <c r="P141" s="293"/>
      <c r="Q141" s="293"/>
      <c r="R141" s="293"/>
      <c r="S141" s="293"/>
      <c r="T141" s="293"/>
      <c r="U141" s="293"/>
      <c r="V141" s="293"/>
      <c r="W141" s="293"/>
      <c r="X141" s="293"/>
      <c r="Y141" s="293"/>
      <c r="Z141" s="293"/>
      <c r="AA141" s="293"/>
      <c r="AB141" s="293"/>
      <c r="AC141" s="293"/>
      <c r="AD141" s="293"/>
      <c r="AE141" s="293"/>
    </row>
    <row r="142" spans="2:31" ht="15">
      <c r="B142" s="398">
        <f t="shared" si="5"/>
        <v>97</v>
      </c>
      <c r="C142" s="406" t="str" cm="1">
        <f t="array" aca="1" ref="C142" ca="1">IF(B142&lt;=$C$9,GetGetCDSName(B142),"")</f>
        <v>SUEDZUCKERAG_MMR.EUR.SU</v>
      </c>
      <c r="D142" s="366">
        <v>0</v>
      </c>
      <c r="E142" s="399">
        <v>1</v>
      </c>
      <c r="F142" s="318">
        <v>0</v>
      </c>
      <c r="G142" s="318">
        <v>0</v>
      </c>
      <c r="H142" s="318">
        <v>0</v>
      </c>
      <c r="I142" s="318">
        <v>0</v>
      </c>
      <c r="J142" s="318">
        <v>0</v>
      </c>
      <c r="K142" s="318"/>
      <c r="L142" s="318"/>
      <c r="M142" s="318"/>
      <c r="N142" s="400"/>
      <c r="O142" s="293"/>
      <c r="P142" s="293"/>
      <c r="Q142" s="293"/>
      <c r="R142" s="293"/>
      <c r="S142" s="293"/>
      <c r="T142" s="293"/>
      <c r="U142" s="293"/>
      <c r="V142" s="293"/>
      <c r="W142" s="293"/>
      <c r="X142" s="293"/>
      <c r="Y142" s="293"/>
      <c r="Z142" s="293"/>
      <c r="AA142" s="293"/>
      <c r="AB142" s="293"/>
      <c r="AC142" s="293"/>
      <c r="AD142" s="293"/>
      <c r="AE142" s="293"/>
    </row>
    <row r="143" spans="2:31" ht="15">
      <c r="B143" s="398">
        <f t="shared" si="5"/>
        <v>98</v>
      </c>
      <c r="C143" s="406" t="str" cm="1">
        <f t="array" aca="1" ref="C143" ca="1">IF(B143&lt;=$C$9,GetGetCDSName(B143),"")</f>
        <v>SUEZLYONNAISE_MMR.EUR.SU</v>
      </c>
      <c r="D143" s="366">
        <v>0</v>
      </c>
      <c r="E143" s="399">
        <v>0</v>
      </c>
      <c r="F143" s="318">
        <v>0</v>
      </c>
      <c r="G143" s="318">
        <v>1</v>
      </c>
      <c r="H143" s="318">
        <v>0</v>
      </c>
      <c r="I143" s="318">
        <v>0</v>
      </c>
      <c r="J143" s="318">
        <v>0</v>
      </c>
      <c r="K143" s="318"/>
      <c r="L143" s="318"/>
      <c r="M143" s="318"/>
      <c r="N143" s="400"/>
      <c r="O143" s="293"/>
      <c r="P143" s="293"/>
      <c r="Q143" s="293"/>
      <c r="R143" s="293"/>
      <c r="S143" s="293"/>
      <c r="T143" s="293"/>
      <c r="U143" s="293"/>
      <c r="V143" s="293"/>
      <c r="W143" s="293"/>
      <c r="X143" s="293"/>
      <c r="Y143" s="293"/>
      <c r="Z143" s="293"/>
      <c r="AA143" s="293"/>
      <c r="AB143" s="293"/>
      <c r="AC143" s="293"/>
      <c r="AD143" s="293"/>
      <c r="AE143" s="293"/>
    </row>
    <row r="144" spans="2:31" ht="15">
      <c r="B144" s="398">
        <f t="shared" si="5"/>
        <v>99</v>
      </c>
      <c r="C144" s="406" t="str" cm="1">
        <f t="array" aca="1" ref="C144" ca="1">IF(B144&lt;=$C$9,GetGetCDSName(B144),"")</f>
        <v>SVENSKACELLULOSAAB_MMR.EUR.SU</v>
      </c>
      <c r="D144" s="366">
        <v>0</v>
      </c>
      <c r="E144" s="399">
        <v>0</v>
      </c>
      <c r="F144" s="318">
        <v>0</v>
      </c>
      <c r="G144" s="318">
        <v>0</v>
      </c>
      <c r="H144" s="318">
        <v>0</v>
      </c>
      <c r="I144" s="318">
        <v>1</v>
      </c>
      <c r="J144" s="318">
        <v>0</v>
      </c>
      <c r="K144" s="318"/>
      <c r="L144" s="318"/>
      <c r="M144" s="318"/>
      <c r="N144" s="400"/>
      <c r="O144" s="293"/>
      <c r="P144" s="293"/>
      <c r="Q144" s="293"/>
      <c r="R144" s="293"/>
      <c r="S144" s="293"/>
      <c r="T144" s="293"/>
      <c r="U144" s="293"/>
      <c r="V144" s="293"/>
      <c r="W144" s="293"/>
      <c r="X144" s="293"/>
      <c r="Y144" s="293"/>
      <c r="Z144" s="293"/>
      <c r="AA144" s="293"/>
      <c r="AB144" s="293"/>
      <c r="AC144" s="293"/>
      <c r="AD144" s="293"/>
      <c r="AE144" s="293"/>
    </row>
    <row r="145" spans="2:31" ht="15">
      <c r="B145" s="398">
        <f t="shared" si="5"/>
        <v>100</v>
      </c>
      <c r="C145" s="406" t="str" cm="1">
        <f t="array" aca="1" ref="C145" ca="1">IF(B145&lt;=$C$9,GetGetCDSName(B145),"")</f>
        <v>SWISSRE_MMR.EUR.SU</v>
      </c>
      <c r="D145" s="366">
        <v>0</v>
      </c>
      <c r="E145" s="399">
        <v>0</v>
      </c>
      <c r="F145" s="318">
        <v>0</v>
      </c>
      <c r="G145" s="318">
        <v>1</v>
      </c>
      <c r="H145" s="318">
        <v>0</v>
      </c>
      <c r="I145" s="318">
        <v>1</v>
      </c>
      <c r="J145" s="318">
        <v>1</v>
      </c>
      <c r="K145" s="318"/>
      <c r="L145" s="318"/>
      <c r="M145" s="318"/>
      <c r="N145" s="400"/>
      <c r="O145" s="293"/>
      <c r="P145" s="293"/>
      <c r="Q145" s="293"/>
      <c r="R145" s="293"/>
      <c r="S145" s="293"/>
      <c r="T145" s="293"/>
      <c r="U145" s="293"/>
      <c r="V145" s="293"/>
      <c r="W145" s="293"/>
      <c r="X145" s="293"/>
      <c r="Y145" s="293"/>
      <c r="Z145" s="293"/>
      <c r="AA145" s="293"/>
      <c r="AB145" s="293"/>
      <c r="AC145" s="293"/>
      <c r="AD145" s="293"/>
      <c r="AE145" s="293"/>
    </row>
    <row r="146" spans="2:31" ht="15">
      <c r="B146" s="398">
        <f t="shared" si="5"/>
        <v>101</v>
      </c>
      <c r="C146" s="406" t="str" cm="1">
        <f t="array" aca="1" ref="C146" ca="1">IF(B146&lt;=$C$9,GetGetCDSName(B146),"")</f>
        <v>TATE&amp;LYLE_MMR.EUR.SU</v>
      </c>
      <c r="D146" s="366">
        <v>0</v>
      </c>
      <c r="E146" s="399">
        <v>0</v>
      </c>
      <c r="F146" s="318">
        <v>1</v>
      </c>
      <c r="G146" s="318">
        <v>1</v>
      </c>
      <c r="H146" s="318">
        <v>0</v>
      </c>
      <c r="I146" s="318">
        <v>0</v>
      </c>
      <c r="J146" s="318">
        <v>0</v>
      </c>
      <c r="K146" s="318"/>
      <c r="L146" s="318"/>
      <c r="M146" s="318"/>
      <c r="N146" s="400"/>
      <c r="O146" s="293"/>
      <c r="P146" s="293"/>
      <c r="Q146" s="293"/>
      <c r="R146" s="293"/>
      <c r="S146" s="293"/>
      <c r="T146" s="293"/>
      <c r="U146" s="293"/>
      <c r="V146" s="293"/>
      <c r="W146" s="293"/>
      <c r="X146" s="293"/>
      <c r="Y146" s="293"/>
      <c r="Z146" s="293"/>
      <c r="AA146" s="293"/>
      <c r="AB146" s="293"/>
      <c r="AC146" s="293"/>
      <c r="AD146" s="293"/>
      <c r="AE146" s="293"/>
    </row>
    <row r="147" spans="2:31" ht="15">
      <c r="B147" s="398">
        <f t="shared" si="5"/>
        <v>102</v>
      </c>
      <c r="C147" s="406" t="str" cm="1">
        <f t="array" aca="1" ref="C147" ca="1">IF(B147&lt;=$C$9,GetGetCDSName(B147),"")</f>
        <v>TELECOMITALIA_MMR.EUR.SU</v>
      </c>
      <c r="D147" s="366">
        <v>0</v>
      </c>
      <c r="E147" s="399">
        <v>1</v>
      </c>
      <c r="F147" s="318">
        <v>1</v>
      </c>
      <c r="G147" s="318">
        <v>0</v>
      </c>
      <c r="H147" s="318">
        <v>0</v>
      </c>
      <c r="I147" s="318">
        <v>0</v>
      </c>
      <c r="J147" s="318">
        <v>0</v>
      </c>
      <c r="K147" s="318"/>
      <c r="L147" s="318"/>
      <c r="M147" s="318"/>
      <c r="N147" s="400"/>
      <c r="O147" s="293"/>
      <c r="P147" s="293"/>
      <c r="Q147" s="293"/>
      <c r="R147" s="293"/>
      <c r="S147" s="293"/>
      <c r="T147" s="293"/>
      <c r="U147" s="293"/>
      <c r="V147" s="293"/>
      <c r="W147" s="293"/>
      <c r="X147" s="293"/>
      <c r="Y147" s="293"/>
      <c r="Z147" s="293"/>
      <c r="AA147" s="293"/>
      <c r="AB147" s="293"/>
      <c r="AC147" s="293"/>
      <c r="AD147" s="293"/>
      <c r="AE147" s="293"/>
    </row>
    <row r="148" spans="2:31" ht="15">
      <c r="B148" s="398">
        <f t="shared" si="5"/>
        <v>103</v>
      </c>
      <c r="C148" s="406" t="str" cm="1">
        <f t="array" aca="1" ref="C148" ca="1">IF(B148&lt;=$C$9,GetGetCDSName(B148),"")</f>
        <v>TELEFONICA_MMR.EUR.SU</v>
      </c>
      <c r="D148" s="366">
        <v>0</v>
      </c>
      <c r="E148" s="399">
        <v>0</v>
      </c>
      <c r="F148" s="318">
        <v>0</v>
      </c>
      <c r="G148" s="318">
        <v>0</v>
      </c>
      <c r="H148" s="318">
        <v>1</v>
      </c>
      <c r="I148" s="318">
        <v>0</v>
      </c>
      <c r="J148" s="318">
        <v>0</v>
      </c>
      <c r="K148" s="318"/>
      <c r="L148" s="318"/>
      <c r="M148" s="318"/>
      <c r="N148" s="400"/>
      <c r="O148" s="293"/>
      <c r="P148" s="293"/>
      <c r="Q148" s="293"/>
      <c r="R148" s="293"/>
      <c r="S148" s="293"/>
      <c r="T148" s="293"/>
      <c r="U148" s="293"/>
      <c r="V148" s="293"/>
      <c r="W148" s="293"/>
      <c r="X148" s="293"/>
      <c r="Y148" s="293"/>
      <c r="Z148" s="293"/>
      <c r="AA148" s="293"/>
      <c r="AB148" s="293"/>
      <c r="AC148" s="293"/>
      <c r="AD148" s="293"/>
      <c r="AE148" s="293"/>
    </row>
    <row r="149" spans="2:31" ht="15">
      <c r="B149" s="398">
        <f t="shared" si="5"/>
        <v>104</v>
      </c>
      <c r="C149" s="406" t="str" cm="1">
        <f t="array" aca="1" ref="C149" ca="1">IF(B149&lt;=$C$9,GetGetCDSName(B149),"")</f>
        <v>TELEKOMAUSTRIA_MMR.EUR.SU</v>
      </c>
      <c r="D149" s="366">
        <v>0</v>
      </c>
      <c r="E149" s="399">
        <v>0</v>
      </c>
      <c r="F149" s="318">
        <v>0</v>
      </c>
      <c r="G149" s="318">
        <v>0</v>
      </c>
      <c r="H149" s="318">
        <v>0</v>
      </c>
      <c r="I149" s="318">
        <v>0</v>
      </c>
      <c r="J149" s="318">
        <v>1</v>
      </c>
      <c r="K149" s="318"/>
      <c r="L149" s="318"/>
      <c r="M149" s="318"/>
      <c r="N149" s="400"/>
      <c r="O149" s="293"/>
      <c r="P149" s="293"/>
      <c r="Q149" s="293"/>
      <c r="R149" s="293"/>
      <c r="S149" s="293"/>
      <c r="T149" s="293"/>
      <c r="U149" s="293"/>
      <c r="V149" s="293"/>
      <c r="W149" s="293"/>
      <c r="X149" s="293"/>
      <c r="Y149" s="293"/>
      <c r="Z149" s="293"/>
      <c r="AA149" s="293"/>
      <c r="AB149" s="293"/>
      <c r="AC149" s="293"/>
      <c r="AD149" s="293"/>
      <c r="AE149" s="293"/>
    </row>
    <row r="150" spans="2:31" ht="15">
      <c r="B150" s="398">
        <f t="shared" si="5"/>
        <v>105</v>
      </c>
      <c r="C150" s="406" t="str" cm="1">
        <f t="array" aca="1" ref="C150" ca="1">IF(B150&lt;=$C$9,GetGetCDSName(B150),"")</f>
        <v>TELENOR_MMR.EUR.SU</v>
      </c>
      <c r="D150" s="366">
        <v>0</v>
      </c>
      <c r="E150" s="399">
        <v>0</v>
      </c>
      <c r="F150" s="318">
        <v>1</v>
      </c>
      <c r="G150" s="318">
        <v>0</v>
      </c>
      <c r="H150" s="318">
        <v>1</v>
      </c>
      <c r="I150" s="318">
        <v>1</v>
      </c>
      <c r="J150" s="318">
        <v>0</v>
      </c>
      <c r="K150" s="318"/>
      <c r="L150" s="318"/>
      <c r="M150" s="318"/>
      <c r="N150" s="400"/>
      <c r="O150" s="293"/>
      <c r="P150" s="293"/>
      <c r="Q150" s="293"/>
      <c r="R150" s="293"/>
      <c r="S150" s="293"/>
      <c r="T150" s="293"/>
      <c r="U150" s="293"/>
      <c r="V150" s="293"/>
      <c r="W150" s="293"/>
      <c r="X150" s="293"/>
      <c r="Y150" s="293"/>
      <c r="Z150" s="293"/>
      <c r="AA150" s="293"/>
      <c r="AB150" s="293"/>
      <c r="AC150" s="293"/>
      <c r="AD150" s="293"/>
      <c r="AE150" s="293"/>
    </row>
    <row r="151" spans="2:31" ht="15">
      <c r="B151" s="398">
        <f t="shared" si="5"/>
        <v>106</v>
      </c>
      <c r="C151" s="406" t="str" cm="1">
        <f t="array" aca="1" ref="C151" ca="1">IF(B151&lt;=$C$9,GetGetCDSName(B151),"")</f>
        <v>TELIA_MMR.EUR.SU</v>
      </c>
      <c r="D151" s="366">
        <v>0</v>
      </c>
      <c r="E151" s="399">
        <v>0</v>
      </c>
      <c r="F151" s="318">
        <v>0</v>
      </c>
      <c r="G151" s="318">
        <v>0</v>
      </c>
      <c r="H151" s="318">
        <v>0</v>
      </c>
      <c r="I151" s="318">
        <v>1</v>
      </c>
      <c r="J151" s="318">
        <v>0</v>
      </c>
      <c r="K151" s="318"/>
      <c r="L151" s="318"/>
      <c r="M151" s="318"/>
      <c r="N151" s="400"/>
      <c r="O151" s="293"/>
      <c r="P151" s="293"/>
      <c r="Q151" s="293"/>
      <c r="R151" s="293"/>
      <c r="S151" s="293"/>
      <c r="T151" s="293"/>
      <c r="U151" s="293"/>
      <c r="V151" s="293"/>
      <c r="W151" s="293"/>
      <c r="X151" s="293"/>
      <c r="Y151" s="293"/>
      <c r="Z151" s="293"/>
      <c r="AA151" s="293"/>
      <c r="AB151" s="293"/>
      <c r="AC151" s="293"/>
      <c r="AD151" s="293"/>
      <c r="AE151" s="293"/>
    </row>
    <row r="152" spans="2:31" ht="15">
      <c r="B152" s="398">
        <f t="shared" si="5"/>
        <v>107</v>
      </c>
      <c r="C152" s="406" t="str" cm="1">
        <f t="array" aca="1" ref="C152" ca="1">IF(B152&lt;=$C$9,GetGetCDSName(B152),"")</f>
        <v>TESCO_MMR.EUR.SU</v>
      </c>
      <c r="D152" s="366">
        <v>0</v>
      </c>
      <c r="E152" s="399">
        <v>0</v>
      </c>
      <c r="F152" s="318">
        <v>0</v>
      </c>
      <c r="G152" s="318">
        <v>1</v>
      </c>
      <c r="H152" s="318">
        <v>0</v>
      </c>
      <c r="I152" s="318">
        <v>0</v>
      </c>
      <c r="J152" s="318">
        <v>0</v>
      </c>
      <c r="K152" s="318"/>
      <c r="L152" s="318"/>
      <c r="M152" s="318"/>
      <c r="N152" s="400"/>
      <c r="O152" s="293"/>
      <c r="P152" s="293"/>
      <c r="Q152" s="293"/>
      <c r="R152" s="293"/>
      <c r="S152" s="293"/>
      <c r="T152" s="293"/>
      <c r="U152" s="293"/>
      <c r="V152" s="293"/>
      <c r="W152" s="293"/>
      <c r="X152" s="293"/>
      <c r="Y152" s="293"/>
      <c r="Z152" s="293"/>
      <c r="AA152" s="293"/>
      <c r="AB152" s="293"/>
      <c r="AC152" s="293"/>
      <c r="AD152" s="293"/>
      <c r="AE152" s="293"/>
    </row>
    <row r="153" spans="2:31" ht="15">
      <c r="B153" s="398">
        <f t="shared" si="5"/>
        <v>108</v>
      </c>
      <c r="C153" s="406" t="str" cm="1">
        <f t="array" aca="1" ref="C153" ca="1">IF(B153&lt;=$C$9,GetGetCDSName(B153),"")</f>
        <v>THYSSENKRUPPAG_MMR.EUR.SU</v>
      </c>
      <c r="D153" s="366">
        <v>0</v>
      </c>
      <c r="E153" s="399">
        <v>0</v>
      </c>
      <c r="F153" s="318">
        <v>0</v>
      </c>
      <c r="G153" s="318">
        <v>0</v>
      </c>
      <c r="H153" s="318">
        <v>1</v>
      </c>
      <c r="I153" s="318">
        <v>1</v>
      </c>
      <c r="J153" s="318">
        <v>1</v>
      </c>
      <c r="K153" s="318"/>
      <c r="L153" s="318"/>
      <c r="M153" s="318"/>
      <c r="N153" s="400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</row>
    <row r="154" spans="2:31" ht="15">
      <c r="B154" s="398">
        <f t="shared" si="5"/>
        <v>109</v>
      </c>
      <c r="C154" s="406" t="str" cm="1">
        <f t="array" aca="1" ref="C154" ca="1">IF(B154&lt;=$C$9,GetGetCDSName(B154),"")</f>
        <v>UBS_MMR.EUR.SU</v>
      </c>
      <c r="D154" s="366">
        <v>0</v>
      </c>
      <c r="E154" s="399">
        <v>1</v>
      </c>
      <c r="F154" s="318">
        <v>0</v>
      </c>
      <c r="G154" s="318">
        <v>0</v>
      </c>
      <c r="H154" s="318">
        <v>0</v>
      </c>
      <c r="I154" s="318">
        <v>0</v>
      </c>
      <c r="J154" s="318">
        <v>0</v>
      </c>
      <c r="K154" s="318"/>
      <c r="L154" s="318"/>
      <c r="M154" s="318"/>
      <c r="N154" s="400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</row>
    <row r="155" spans="2:31" ht="15">
      <c r="B155" s="398">
        <f t="shared" si="5"/>
        <v>110</v>
      </c>
      <c r="C155" s="406" t="str" cm="1">
        <f t="array" aca="1" ref="C155" ca="1">IF(B155&lt;=$C$9,GetGetCDSName(B155),"")</f>
        <v>UNICREDITOITALIANO_MMR.EUR.SU</v>
      </c>
      <c r="D155" s="366">
        <v>0</v>
      </c>
      <c r="E155" s="399">
        <v>1</v>
      </c>
      <c r="F155" s="318">
        <v>0</v>
      </c>
      <c r="G155" s="318">
        <v>0</v>
      </c>
      <c r="H155" s="318">
        <v>1</v>
      </c>
      <c r="I155" s="318">
        <v>1</v>
      </c>
      <c r="J155" s="318">
        <v>0</v>
      </c>
      <c r="K155" s="318"/>
      <c r="L155" s="318"/>
      <c r="M155" s="318"/>
      <c r="N155" s="400"/>
      <c r="O155" s="293"/>
      <c r="P155" s="293"/>
      <c r="Q155" s="293"/>
      <c r="R155" s="293"/>
      <c r="S155" s="293"/>
      <c r="T155" s="293"/>
      <c r="U155" s="293"/>
      <c r="V155" s="293"/>
      <c r="W155" s="293"/>
      <c r="X155" s="293"/>
      <c r="Y155" s="293"/>
      <c r="Z155" s="293"/>
      <c r="AA155" s="293"/>
      <c r="AB155" s="293"/>
      <c r="AC155" s="293"/>
      <c r="AD155" s="293"/>
      <c r="AE155" s="293"/>
    </row>
    <row r="156" spans="2:31" ht="15">
      <c r="B156" s="398">
        <f t="shared" si="5"/>
        <v>111</v>
      </c>
      <c r="C156" s="406" t="str" cm="1">
        <f t="array" aca="1" ref="C156" ca="1">IF(B156&lt;=$C$9,GetGetCDSName(B156),"")</f>
        <v>UNILEVER_MMR.EUR.SU</v>
      </c>
      <c r="D156" s="366">
        <v>0</v>
      </c>
      <c r="E156" s="399">
        <v>0</v>
      </c>
      <c r="F156" s="318">
        <v>0</v>
      </c>
      <c r="G156" s="318">
        <v>0</v>
      </c>
      <c r="H156" s="318">
        <v>0</v>
      </c>
      <c r="I156" s="318">
        <v>1</v>
      </c>
      <c r="J156" s="318">
        <v>1</v>
      </c>
      <c r="K156" s="318"/>
      <c r="L156" s="318"/>
      <c r="M156" s="318"/>
      <c r="N156" s="400"/>
      <c r="O156" s="293"/>
      <c r="P156" s="293"/>
      <c r="Q156" s="293"/>
      <c r="R156" s="293"/>
      <c r="S156" s="293"/>
      <c r="T156" s="293"/>
      <c r="U156" s="293"/>
      <c r="V156" s="293"/>
      <c r="W156" s="293"/>
      <c r="X156" s="293"/>
      <c r="Y156" s="293"/>
      <c r="Z156" s="293"/>
      <c r="AA156" s="293"/>
      <c r="AB156" s="293"/>
      <c r="AC156" s="293"/>
      <c r="AD156" s="293"/>
      <c r="AE156" s="293"/>
    </row>
    <row r="157" spans="2:31" ht="15">
      <c r="B157" s="398">
        <f t="shared" si="5"/>
        <v>112</v>
      </c>
      <c r="C157" s="406" t="str" cm="1">
        <f t="array" aca="1" ref="C157" ca="1">IF(B157&lt;=$C$9,GetGetCDSName(B157),"")</f>
        <v>UNIONFENOSA_MMR.EUR.SU</v>
      </c>
      <c r="D157" s="366">
        <v>0</v>
      </c>
      <c r="E157" s="399">
        <v>0</v>
      </c>
      <c r="F157" s="318">
        <v>0</v>
      </c>
      <c r="G157" s="318">
        <v>1</v>
      </c>
      <c r="H157" s="318">
        <v>1</v>
      </c>
      <c r="I157" s="318">
        <v>0</v>
      </c>
      <c r="J157" s="318">
        <v>0</v>
      </c>
      <c r="K157" s="318"/>
      <c r="L157" s="318"/>
      <c r="M157" s="318"/>
      <c r="N157" s="400"/>
      <c r="O157" s="293"/>
      <c r="P157" s="293"/>
      <c r="Q157" s="293"/>
      <c r="R157" s="293"/>
      <c r="S157" s="293"/>
      <c r="T157" s="293"/>
      <c r="U157" s="293"/>
      <c r="V157" s="293"/>
      <c r="W157" s="293"/>
      <c r="X157" s="293"/>
      <c r="Y157" s="293"/>
      <c r="Z157" s="293"/>
      <c r="AA157" s="293"/>
      <c r="AB157" s="293"/>
      <c r="AC157" s="293"/>
      <c r="AD157" s="293"/>
      <c r="AE157" s="293"/>
    </row>
    <row r="158" spans="2:31" ht="15">
      <c r="B158" s="398">
        <f t="shared" si="5"/>
        <v>113</v>
      </c>
      <c r="C158" s="406" t="str" cm="1">
        <f t="array" aca="1" ref="C158" ca="1">IF(B158&lt;=$C$9,GetGetCDSName(B158),"")</f>
        <v>UNITEDUTILITIES_MMR.EUR.SU</v>
      </c>
      <c r="D158" s="366">
        <v>0</v>
      </c>
      <c r="E158" s="399">
        <v>0</v>
      </c>
      <c r="F158" s="318">
        <v>0</v>
      </c>
      <c r="G158" s="318">
        <v>0</v>
      </c>
      <c r="H158" s="318">
        <v>0</v>
      </c>
      <c r="I158" s="318">
        <v>0</v>
      </c>
      <c r="J158" s="318">
        <v>1</v>
      </c>
      <c r="K158" s="318"/>
      <c r="L158" s="318"/>
      <c r="M158" s="318"/>
      <c r="N158" s="400"/>
      <c r="O158" s="293"/>
      <c r="P158" s="293"/>
      <c r="Q158" s="293"/>
      <c r="R158" s="293"/>
      <c r="S158" s="293"/>
      <c r="T158" s="293"/>
      <c r="U158" s="293"/>
      <c r="V158" s="293"/>
      <c r="W158" s="293"/>
      <c r="X158" s="293"/>
      <c r="Y158" s="293"/>
      <c r="Z158" s="293"/>
      <c r="AA158" s="293"/>
      <c r="AB158" s="293"/>
      <c r="AC158" s="293"/>
      <c r="AD158" s="293"/>
      <c r="AE158" s="293"/>
    </row>
    <row r="159" spans="2:31" ht="15">
      <c r="B159" s="398">
        <f t="shared" si="5"/>
        <v>114</v>
      </c>
      <c r="C159" s="406" t="str" cm="1">
        <f t="array" aca="1" ref="C159" ca="1">IF(B159&lt;=$C$9,GetGetCDSName(B159),"")</f>
        <v>UPMKYMMENE_MMR.EUR.SU</v>
      </c>
      <c r="D159" s="366">
        <v>0</v>
      </c>
      <c r="E159" s="399">
        <v>0</v>
      </c>
      <c r="F159" s="318">
        <v>1</v>
      </c>
      <c r="G159" s="318">
        <v>0</v>
      </c>
      <c r="H159" s="318">
        <v>0</v>
      </c>
      <c r="I159" s="318">
        <v>0</v>
      </c>
      <c r="J159" s="318">
        <v>0</v>
      </c>
      <c r="K159" s="318"/>
      <c r="L159" s="318"/>
      <c r="M159" s="318"/>
      <c r="N159" s="400"/>
      <c r="O159" s="293"/>
      <c r="P159" s="293"/>
      <c r="Q159" s="293"/>
      <c r="R159" s="293"/>
      <c r="S159" s="293"/>
      <c r="T159" s="293"/>
      <c r="U159" s="293"/>
      <c r="V159" s="293"/>
      <c r="W159" s="293"/>
      <c r="X159" s="293"/>
      <c r="Y159" s="293"/>
      <c r="Z159" s="293"/>
      <c r="AA159" s="293"/>
      <c r="AB159" s="293"/>
      <c r="AC159" s="293"/>
      <c r="AD159" s="293"/>
      <c r="AE159" s="293"/>
    </row>
    <row r="160" spans="2:31" ht="15">
      <c r="B160" s="398">
        <f t="shared" si="5"/>
        <v>115</v>
      </c>
      <c r="C160" s="406" t="str" cm="1">
        <f t="array" aca="1" ref="C160" ca="1">IF(B160&lt;=$C$9,GetGetCDSName(B160),"")</f>
        <v>VALEO_MMR.EUR.SU</v>
      </c>
      <c r="D160" s="366">
        <v>0</v>
      </c>
      <c r="E160" s="399">
        <v>0</v>
      </c>
      <c r="F160" s="318">
        <v>0</v>
      </c>
      <c r="G160" s="318">
        <v>1</v>
      </c>
      <c r="H160" s="318">
        <v>0</v>
      </c>
      <c r="I160" s="318">
        <v>0</v>
      </c>
      <c r="J160" s="318">
        <v>1</v>
      </c>
      <c r="K160" s="318"/>
      <c r="L160" s="318"/>
      <c r="M160" s="318"/>
      <c r="N160" s="400"/>
      <c r="O160" s="293"/>
      <c r="P160" s="293"/>
      <c r="Q160" s="293"/>
      <c r="R160" s="293"/>
      <c r="S160" s="293"/>
      <c r="T160" s="293"/>
      <c r="U160" s="293"/>
      <c r="V160" s="293"/>
      <c r="W160" s="293"/>
      <c r="X160" s="293"/>
      <c r="Y160" s="293"/>
      <c r="Z160" s="293"/>
      <c r="AA160" s="293"/>
      <c r="AB160" s="293"/>
      <c r="AC160" s="293"/>
      <c r="AD160" s="293"/>
      <c r="AE160" s="293"/>
    </row>
    <row r="161" spans="2:31" ht="15">
      <c r="B161" s="398">
        <f t="shared" si="5"/>
        <v>116</v>
      </c>
      <c r="C161" s="406" t="str" cm="1">
        <f t="array" aca="1" ref="C161" ca="1">IF(B161&lt;=$C$9,GetGetCDSName(B161),"")</f>
        <v>VATTENFALLAB_MMR.EUR.SU</v>
      </c>
      <c r="D161" s="366">
        <v>0</v>
      </c>
      <c r="E161" s="399">
        <v>0</v>
      </c>
      <c r="F161" s="318">
        <v>0</v>
      </c>
      <c r="G161" s="318">
        <v>0</v>
      </c>
      <c r="H161" s="318">
        <v>0</v>
      </c>
      <c r="I161" s="318">
        <v>0</v>
      </c>
      <c r="J161" s="318">
        <v>1</v>
      </c>
      <c r="K161" s="318"/>
      <c r="L161" s="318"/>
      <c r="M161" s="318"/>
      <c r="N161" s="400"/>
      <c r="O161" s="293"/>
      <c r="P161" s="293"/>
      <c r="Q161" s="293"/>
      <c r="R161" s="293"/>
      <c r="S161" s="293"/>
      <c r="T161" s="293"/>
      <c r="U161" s="293"/>
      <c r="V161" s="293"/>
      <c r="W161" s="293"/>
      <c r="X161" s="293"/>
      <c r="Y161" s="293"/>
      <c r="Z161" s="293"/>
      <c r="AA161" s="293"/>
      <c r="AB161" s="293"/>
      <c r="AC161" s="293"/>
      <c r="AD161" s="293"/>
      <c r="AE161" s="293"/>
    </row>
    <row r="162" spans="2:31" ht="15">
      <c r="B162" s="398">
        <f t="shared" si="5"/>
        <v>117</v>
      </c>
      <c r="C162" s="406" t="str" cm="1">
        <f t="array" aca="1" ref="C162" ca="1">IF(B162&lt;=$C$9,GetGetCDSName(B162),"")</f>
        <v>VEOLIAENVIRONNEMENT_MMR.EUR.SU</v>
      </c>
      <c r="D162" s="366">
        <v>0</v>
      </c>
      <c r="E162" s="399">
        <v>0</v>
      </c>
      <c r="F162" s="318">
        <v>0</v>
      </c>
      <c r="G162" s="318">
        <v>1</v>
      </c>
      <c r="H162" s="318">
        <v>0</v>
      </c>
      <c r="I162" s="318">
        <v>1</v>
      </c>
      <c r="J162" s="318">
        <v>0</v>
      </c>
      <c r="K162" s="318"/>
      <c r="L162" s="318"/>
      <c r="M162" s="318"/>
      <c r="N162" s="400"/>
      <c r="O162" s="293"/>
      <c r="P162" s="293"/>
      <c r="Q162" s="293"/>
      <c r="R162" s="293"/>
      <c r="S162" s="293"/>
      <c r="T162" s="293"/>
      <c r="U162" s="293"/>
      <c r="V162" s="293"/>
      <c r="W162" s="293"/>
      <c r="X162" s="293"/>
      <c r="Y162" s="293"/>
      <c r="Z162" s="293"/>
      <c r="AA162" s="293"/>
      <c r="AB162" s="293"/>
      <c r="AC162" s="293"/>
      <c r="AD162" s="293"/>
      <c r="AE162" s="293"/>
    </row>
    <row r="163" spans="2:31" ht="15">
      <c r="B163" s="398">
        <f t="shared" si="5"/>
        <v>118</v>
      </c>
      <c r="C163" s="406" t="str" cm="1">
        <f t="array" aca="1" ref="C163" ca="1">IF(B163&lt;=$C$9,GetGetCDSName(B163),"")</f>
        <v>VINCI_MMR.EUR.SU</v>
      </c>
      <c r="D163" s="366">
        <v>0</v>
      </c>
      <c r="E163" s="399">
        <v>0</v>
      </c>
      <c r="F163" s="318">
        <v>1</v>
      </c>
      <c r="G163" s="318">
        <v>0</v>
      </c>
      <c r="H163" s="318">
        <v>0</v>
      </c>
      <c r="I163" s="318">
        <v>0</v>
      </c>
      <c r="J163" s="318">
        <v>0</v>
      </c>
      <c r="K163" s="318"/>
      <c r="L163" s="318"/>
      <c r="M163" s="318"/>
      <c r="N163" s="400"/>
      <c r="O163" s="293"/>
      <c r="P163" s="293"/>
      <c r="Q163" s="293"/>
      <c r="R163" s="293"/>
      <c r="S163" s="293"/>
      <c r="T163" s="293"/>
      <c r="U163" s="293"/>
      <c r="V163" s="293"/>
      <c r="W163" s="293"/>
      <c r="X163" s="293"/>
      <c r="Y163" s="293"/>
      <c r="Z163" s="293"/>
      <c r="AA163" s="293"/>
      <c r="AB163" s="293"/>
      <c r="AC163" s="293"/>
      <c r="AD163" s="293"/>
      <c r="AE163" s="293"/>
    </row>
    <row r="164" spans="2:31" ht="15">
      <c r="B164" s="398">
        <f t="shared" si="5"/>
        <v>119</v>
      </c>
      <c r="C164" s="406" t="str" cm="1">
        <f t="array" aca="1" ref="C164" ca="1">IF(B164&lt;=$C$9,GetGetCDSName(B164),"")</f>
        <v>VIVENDI_MMR.EUR.SU</v>
      </c>
      <c r="D164" s="366">
        <v>0</v>
      </c>
      <c r="E164" s="399">
        <v>0</v>
      </c>
      <c r="F164" s="318">
        <v>0</v>
      </c>
      <c r="G164" s="318">
        <v>1</v>
      </c>
      <c r="H164" s="318">
        <v>0</v>
      </c>
      <c r="I164" s="318">
        <v>0</v>
      </c>
      <c r="J164" s="318">
        <v>0</v>
      </c>
      <c r="K164" s="318"/>
      <c r="L164" s="318"/>
      <c r="M164" s="318"/>
      <c r="N164" s="400"/>
      <c r="O164" s="293"/>
      <c r="P164" s="293"/>
      <c r="Q164" s="293"/>
      <c r="R164" s="293"/>
      <c r="S164" s="293"/>
      <c r="T164" s="293"/>
      <c r="U164" s="293"/>
      <c r="V164" s="293"/>
      <c r="W164" s="293"/>
      <c r="X164" s="293"/>
      <c r="Y164" s="293"/>
      <c r="Z164" s="293"/>
      <c r="AA164" s="293"/>
      <c r="AB164" s="293"/>
      <c r="AC164" s="293"/>
      <c r="AD164" s="293"/>
      <c r="AE164" s="293"/>
    </row>
    <row r="165" spans="2:31" ht="15">
      <c r="B165" s="398">
        <f t="shared" si="5"/>
        <v>120</v>
      </c>
      <c r="C165" s="406" t="str" cm="1">
        <f t="array" aca="1" ref="C165" ca="1">IF(B165&lt;=$C$9,GetGetCDSName(B165),"")</f>
        <v>VODAFONE_MMR.EUR.SU</v>
      </c>
      <c r="D165" s="366">
        <v>0</v>
      </c>
      <c r="E165" s="399">
        <v>1</v>
      </c>
      <c r="F165" s="318">
        <v>0</v>
      </c>
      <c r="G165" s="318">
        <v>0</v>
      </c>
      <c r="H165" s="318">
        <v>0</v>
      </c>
      <c r="I165" s="318">
        <v>0</v>
      </c>
      <c r="J165" s="318">
        <v>0</v>
      </c>
      <c r="K165" s="318"/>
      <c r="L165" s="318"/>
      <c r="M165" s="318"/>
      <c r="N165" s="400"/>
      <c r="O165" s="293"/>
      <c r="P165" s="293"/>
      <c r="Q165" s="293"/>
      <c r="R165" s="293"/>
      <c r="S165" s="293"/>
      <c r="T165" s="293"/>
      <c r="U165" s="293"/>
      <c r="V165" s="293"/>
      <c r="W165" s="293"/>
      <c r="X165" s="293"/>
      <c r="Y165" s="293"/>
      <c r="Z165" s="293"/>
      <c r="AA165" s="293"/>
      <c r="AB165" s="293"/>
      <c r="AC165" s="293"/>
      <c r="AD165" s="293"/>
      <c r="AE165" s="293"/>
    </row>
    <row r="166" spans="2:31" ht="15">
      <c r="B166" s="398">
        <f t="shared" si="5"/>
        <v>121</v>
      </c>
      <c r="C166" s="406" t="str" cm="1">
        <f t="array" aca="1" ref="C166" ca="1">IF(B166&lt;=$C$9,GetGetCDSName(B166),"")</f>
        <v>VOLVO_MMR.EUR.SU</v>
      </c>
      <c r="D166" s="366">
        <v>0</v>
      </c>
      <c r="E166" s="399">
        <v>0</v>
      </c>
      <c r="F166" s="318">
        <v>0</v>
      </c>
      <c r="G166" s="318">
        <v>0</v>
      </c>
      <c r="H166" s="318">
        <v>1</v>
      </c>
      <c r="I166" s="318">
        <v>0</v>
      </c>
      <c r="J166" s="318">
        <v>1</v>
      </c>
      <c r="K166" s="318"/>
      <c r="L166" s="318"/>
      <c r="M166" s="318"/>
      <c r="N166" s="400"/>
      <c r="O166" s="293"/>
      <c r="P166" s="293"/>
      <c r="Q166" s="293"/>
      <c r="R166" s="293"/>
      <c r="S166" s="293"/>
      <c r="T166" s="293"/>
      <c r="U166" s="293"/>
      <c r="V166" s="293"/>
      <c r="W166" s="293"/>
      <c r="X166" s="293"/>
      <c r="Y166" s="293"/>
      <c r="Z166" s="293"/>
      <c r="AA166" s="293"/>
      <c r="AB166" s="293"/>
      <c r="AC166" s="293"/>
      <c r="AD166" s="293"/>
      <c r="AE166" s="293"/>
    </row>
    <row r="167" spans="2:31" ht="15">
      <c r="B167" s="398">
        <f t="shared" si="5"/>
        <v>122</v>
      </c>
      <c r="C167" s="406" t="str" cm="1">
        <f t="array" aca="1" ref="C167" ca="1">IF(B167&lt;=$C$9,GetGetCDSName(B167),"")</f>
        <v>VW_MMR.EUR.SU</v>
      </c>
      <c r="D167" s="366">
        <v>0</v>
      </c>
      <c r="E167" s="399">
        <v>1</v>
      </c>
      <c r="F167" s="318">
        <v>0</v>
      </c>
      <c r="G167" s="318">
        <v>0</v>
      </c>
      <c r="H167" s="318">
        <v>0</v>
      </c>
      <c r="I167" s="318">
        <v>0</v>
      </c>
      <c r="J167" s="318">
        <v>0</v>
      </c>
      <c r="K167" s="318"/>
      <c r="L167" s="318"/>
      <c r="M167" s="318"/>
      <c r="N167" s="400"/>
      <c r="O167" s="293"/>
      <c r="P167" s="293"/>
      <c r="Q167" s="293"/>
      <c r="R167" s="293"/>
      <c r="S167" s="293"/>
      <c r="T167" s="293"/>
      <c r="U167" s="293"/>
      <c r="V167" s="293"/>
      <c r="W167" s="293"/>
      <c r="X167" s="293"/>
      <c r="Y167" s="293"/>
      <c r="Z167" s="293"/>
      <c r="AA167" s="293"/>
      <c r="AB167" s="293"/>
      <c r="AC167" s="293"/>
      <c r="AD167" s="293"/>
      <c r="AE167" s="293"/>
    </row>
    <row r="168" spans="2:31" ht="15">
      <c r="B168" s="398">
        <f t="shared" si="5"/>
        <v>123</v>
      </c>
      <c r="C168" s="406" t="str" cm="1">
        <f t="array" aca="1" ref="C168" ca="1">IF(B168&lt;=$C$9,GetGetCDSName(B168),"")</f>
        <v>WOLTERSKLUWERCVA_MMR.EUR.SU</v>
      </c>
      <c r="D168" s="366">
        <v>0</v>
      </c>
      <c r="E168" s="399">
        <v>0</v>
      </c>
      <c r="F168" s="318">
        <v>1</v>
      </c>
      <c r="G168" s="318">
        <v>0</v>
      </c>
      <c r="H168" s="318">
        <v>0</v>
      </c>
      <c r="I168" s="318">
        <v>0</v>
      </c>
      <c r="J168" s="318">
        <v>0</v>
      </c>
      <c r="K168" s="318"/>
      <c r="L168" s="318"/>
      <c r="M168" s="318"/>
      <c r="N168" s="400"/>
      <c r="O168" s="293"/>
      <c r="P168" s="293"/>
      <c r="Q168" s="293"/>
      <c r="R168" s="293"/>
      <c r="S168" s="293"/>
      <c r="T168" s="293"/>
      <c r="U168" s="293"/>
      <c r="V168" s="293"/>
      <c r="W168" s="293"/>
      <c r="X168" s="293"/>
      <c r="Y168" s="293"/>
      <c r="Z168" s="293"/>
      <c r="AA168" s="293"/>
      <c r="AB168" s="293"/>
      <c r="AC168" s="293"/>
      <c r="AD168" s="293"/>
      <c r="AE168" s="293"/>
    </row>
    <row r="169" spans="2:31" ht="15">
      <c r="B169" s="398">
        <f t="shared" si="5"/>
        <v>124</v>
      </c>
      <c r="C169" s="406" t="str" cm="1">
        <f t="array" aca="1" ref="C169" ca="1">IF(B169&lt;=$C$9,GetGetCDSName(B169),"")</f>
        <v>WPPGROUP_MMR.EUR.SU</v>
      </c>
      <c r="D169" s="366">
        <v>0</v>
      </c>
      <c r="E169" s="399">
        <v>1</v>
      </c>
      <c r="F169" s="318">
        <v>0</v>
      </c>
      <c r="G169" s="318">
        <v>1</v>
      </c>
      <c r="H169" s="318">
        <v>0</v>
      </c>
      <c r="I169" s="318">
        <v>1</v>
      </c>
      <c r="J169" s="318">
        <v>0</v>
      </c>
      <c r="K169" s="318"/>
      <c r="L169" s="318"/>
      <c r="M169" s="318"/>
      <c r="N169" s="400"/>
      <c r="O169" s="293"/>
      <c r="P169" s="293"/>
      <c r="Q169" s="293"/>
      <c r="R169" s="293"/>
      <c r="S169" s="293"/>
      <c r="T169" s="293"/>
      <c r="U169" s="293"/>
      <c r="V169" s="293"/>
      <c r="W169" s="293"/>
      <c r="X169" s="293"/>
      <c r="Y169" s="293"/>
      <c r="Z169" s="293"/>
      <c r="AA169" s="293"/>
      <c r="AB169" s="293"/>
      <c r="AC169" s="293"/>
      <c r="AD169" s="293"/>
      <c r="AE169" s="293"/>
    </row>
    <row r="170" spans="2:31" ht="15">
      <c r="B170" s="398">
        <f t="shared" si="5"/>
        <v>125</v>
      </c>
      <c r="C170" s="406" t="str" cm="1">
        <f t="array" aca="1" ref="C170" ca="1">IF(B170&lt;=$C$9,GetGetCDSName(B170),"")</f>
        <v>ZURICHINSURANCE_MMR.EUR.SU</v>
      </c>
      <c r="D170" s="366">
        <v>0</v>
      </c>
      <c r="E170" s="399">
        <v>0</v>
      </c>
      <c r="F170" s="318">
        <v>0</v>
      </c>
      <c r="G170" s="318">
        <v>0</v>
      </c>
      <c r="H170" s="318">
        <v>1</v>
      </c>
      <c r="I170" s="318">
        <v>0</v>
      </c>
      <c r="J170" s="318">
        <v>0</v>
      </c>
      <c r="K170" s="318"/>
      <c r="L170" s="318"/>
      <c r="M170" s="318"/>
      <c r="N170" s="400"/>
      <c r="O170" s="293"/>
      <c r="P170" s="293"/>
      <c r="Q170" s="293"/>
      <c r="R170" s="293"/>
      <c r="S170" s="293"/>
      <c r="T170" s="293"/>
      <c r="U170" s="293"/>
      <c r="V170" s="293"/>
      <c r="W170" s="293"/>
      <c r="X170" s="293"/>
      <c r="Y170" s="293"/>
      <c r="Z170" s="293"/>
      <c r="AA170" s="293"/>
      <c r="AB170" s="293"/>
      <c r="AC170" s="293"/>
      <c r="AD170" s="293"/>
      <c r="AE170" s="293"/>
    </row>
    <row r="171" spans="2:31" ht="15">
      <c r="B171" s="398">
        <f t="shared" si="5"/>
        <v>126</v>
      </c>
      <c r="C171" s="406" t="str" cm="1">
        <f t="array" aca="1" ref="C171" ca="1">IF(B171&lt;=$C$9,GetGetCDSName(B171),"")</f>
        <v/>
      </c>
      <c r="D171" s="366"/>
      <c r="E171" s="399"/>
      <c r="F171" s="318"/>
      <c r="G171" s="318"/>
      <c r="H171" s="318"/>
      <c r="I171" s="318"/>
      <c r="J171" s="318"/>
      <c r="K171" s="318"/>
      <c r="L171" s="318"/>
      <c r="M171" s="318"/>
      <c r="N171" s="400"/>
      <c r="O171" s="293"/>
      <c r="P171" s="293"/>
      <c r="Q171" s="293"/>
      <c r="R171" s="293"/>
      <c r="S171" s="293"/>
      <c r="T171" s="293"/>
      <c r="U171" s="293"/>
      <c r="V171" s="293"/>
      <c r="W171" s="293"/>
      <c r="X171" s="293"/>
      <c r="Y171" s="293"/>
      <c r="Z171" s="293"/>
      <c r="AA171" s="293"/>
      <c r="AB171" s="293"/>
      <c r="AC171" s="293"/>
      <c r="AD171" s="293"/>
      <c r="AE171" s="293"/>
    </row>
    <row r="172" spans="2:31" ht="15">
      <c r="B172" s="398">
        <f t="shared" si="5"/>
        <v>127</v>
      </c>
      <c r="C172" s="406" t="str" cm="1">
        <f t="array" aca="1" ref="C172" ca="1">IF(B172&lt;=$C$9,GetGetCDSName(B172),"")</f>
        <v/>
      </c>
      <c r="D172" s="366"/>
      <c r="E172" s="399"/>
      <c r="F172" s="318"/>
      <c r="G172" s="318"/>
      <c r="H172" s="318"/>
      <c r="I172" s="318"/>
      <c r="J172" s="318"/>
      <c r="K172" s="318"/>
      <c r="L172" s="318"/>
      <c r="M172" s="318"/>
      <c r="N172" s="400"/>
      <c r="O172" s="293"/>
      <c r="P172" s="293"/>
      <c r="Q172" s="293"/>
      <c r="R172" s="293"/>
      <c r="S172" s="293"/>
      <c r="T172" s="293"/>
      <c r="U172" s="293"/>
      <c r="V172" s="293"/>
      <c r="W172" s="293"/>
      <c r="X172" s="293"/>
      <c r="Y172" s="293"/>
      <c r="Z172" s="293"/>
      <c r="AA172" s="293"/>
      <c r="AB172" s="293"/>
      <c r="AC172" s="293"/>
      <c r="AD172" s="293"/>
      <c r="AE172" s="293"/>
    </row>
    <row r="173" spans="2:31" ht="15">
      <c r="B173" s="398">
        <f t="shared" si="5"/>
        <v>128</v>
      </c>
      <c r="C173" s="406" t="str" cm="1">
        <f t="array" aca="1" ref="C173" ca="1">IF(B173&lt;=$C$9,GetGetCDSName(B173),"")</f>
        <v/>
      </c>
      <c r="D173" s="366"/>
      <c r="E173" s="399"/>
      <c r="F173" s="318"/>
      <c r="G173" s="318"/>
      <c r="H173" s="318"/>
      <c r="I173" s="318"/>
      <c r="J173" s="318"/>
      <c r="K173" s="318"/>
      <c r="L173" s="318"/>
      <c r="M173" s="318"/>
      <c r="N173" s="400"/>
      <c r="O173" s="293"/>
      <c r="P173" s="293"/>
      <c r="Q173" s="293"/>
      <c r="R173" s="293"/>
      <c r="S173" s="293"/>
      <c r="T173" s="293"/>
      <c r="U173" s="293"/>
      <c r="V173" s="293"/>
      <c r="W173" s="293"/>
      <c r="X173" s="293"/>
      <c r="Y173" s="293"/>
      <c r="Z173" s="293"/>
      <c r="AA173" s="293"/>
      <c r="AB173" s="293"/>
      <c r="AC173" s="293"/>
      <c r="AD173" s="293"/>
      <c r="AE173" s="293"/>
    </row>
    <row r="174" spans="2:31" ht="15">
      <c r="B174" s="398">
        <f t="shared" si="5"/>
        <v>129</v>
      </c>
      <c r="C174" s="406" t="str" cm="1">
        <f t="array" aca="1" ref="C174" ca="1">IF(B174&lt;=$C$9,GetGetCDSName(B174),"")</f>
        <v/>
      </c>
      <c r="D174" s="366"/>
      <c r="E174" s="399"/>
      <c r="F174" s="318"/>
      <c r="G174" s="318"/>
      <c r="H174" s="318"/>
      <c r="I174" s="318"/>
      <c r="J174" s="318"/>
      <c r="K174" s="318"/>
      <c r="L174" s="318"/>
      <c r="M174" s="318"/>
      <c r="N174" s="400"/>
      <c r="O174" s="293"/>
      <c r="P174" s="293"/>
      <c r="Q174" s="293"/>
      <c r="R174" s="293"/>
      <c r="S174" s="293"/>
      <c r="T174" s="293"/>
      <c r="U174" s="293"/>
      <c r="V174" s="293"/>
      <c r="W174" s="293"/>
      <c r="X174" s="293"/>
      <c r="Y174" s="293"/>
      <c r="Z174" s="293"/>
      <c r="AA174" s="293"/>
      <c r="AB174" s="293"/>
      <c r="AC174" s="293"/>
      <c r="AD174" s="293"/>
      <c r="AE174" s="293"/>
    </row>
    <row r="175" spans="2:31" ht="15">
      <c r="B175" s="398">
        <f t="shared" ref="B175:B238" si="6">B174+1</f>
        <v>130</v>
      </c>
      <c r="C175" s="406" t="str" cm="1">
        <f t="array" aca="1" ref="C175" ca="1">IF(B175&lt;=$C$9,GetGetCDSName(B175),"")</f>
        <v/>
      </c>
      <c r="D175" s="366"/>
      <c r="E175" s="399"/>
      <c r="F175" s="318"/>
      <c r="G175" s="318"/>
      <c r="H175" s="318"/>
      <c r="I175" s="318"/>
      <c r="J175" s="318"/>
      <c r="K175" s="318"/>
      <c r="L175" s="318"/>
      <c r="M175" s="318"/>
      <c r="N175" s="400"/>
      <c r="O175" s="293"/>
      <c r="P175" s="293"/>
      <c r="Q175" s="293"/>
      <c r="R175" s="293"/>
      <c r="S175" s="293"/>
      <c r="T175" s="293"/>
      <c r="U175" s="293"/>
      <c r="V175" s="293"/>
      <c r="W175" s="293"/>
      <c r="X175" s="293"/>
      <c r="Y175" s="293"/>
      <c r="Z175" s="293"/>
      <c r="AA175" s="293"/>
      <c r="AB175" s="293"/>
      <c r="AC175" s="293"/>
      <c r="AD175" s="293"/>
      <c r="AE175" s="293"/>
    </row>
    <row r="176" spans="2:31" ht="15">
      <c r="B176" s="398">
        <f t="shared" si="6"/>
        <v>131</v>
      </c>
      <c r="C176" s="406" t="str" cm="1">
        <f t="array" aca="1" ref="C176" ca="1">IF(B176&lt;=$C$9,GetGetCDSName(B176),"")</f>
        <v/>
      </c>
      <c r="D176" s="366"/>
      <c r="E176" s="399"/>
      <c r="F176" s="318"/>
      <c r="G176" s="318"/>
      <c r="H176" s="318"/>
      <c r="I176" s="318"/>
      <c r="J176" s="318"/>
      <c r="K176" s="318"/>
      <c r="L176" s="318"/>
      <c r="M176" s="318"/>
      <c r="N176" s="400"/>
      <c r="O176" s="293"/>
      <c r="P176" s="293"/>
      <c r="Q176" s="293"/>
      <c r="R176" s="293"/>
      <c r="S176" s="293"/>
      <c r="T176" s="293"/>
      <c r="U176" s="293"/>
      <c r="V176" s="293"/>
      <c r="W176" s="293"/>
      <c r="X176" s="293"/>
      <c r="Y176" s="293"/>
      <c r="Z176" s="293"/>
      <c r="AA176" s="293"/>
      <c r="AB176" s="293"/>
      <c r="AC176" s="293"/>
      <c r="AD176" s="293"/>
      <c r="AE176" s="293"/>
    </row>
    <row r="177" spans="2:31" ht="15">
      <c r="B177" s="398">
        <f t="shared" si="6"/>
        <v>132</v>
      </c>
      <c r="C177" s="406" t="str" cm="1">
        <f t="array" aca="1" ref="C177" ca="1">IF(B177&lt;=$C$9,GetGetCDSName(B177),"")</f>
        <v/>
      </c>
      <c r="D177" s="366"/>
      <c r="E177" s="399"/>
      <c r="F177" s="318"/>
      <c r="G177" s="318"/>
      <c r="H177" s="318"/>
      <c r="I177" s="318"/>
      <c r="J177" s="318"/>
      <c r="K177" s="318"/>
      <c r="L177" s="318"/>
      <c r="M177" s="318"/>
      <c r="N177" s="400"/>
      <c r="O177" s="293"/>
      <c r="P177" s="293"/>
      <c r="Q177" s="293"/>
      <c r="R177" s="293"/>
      <c r="S177" s="293"/>
      <c r="T177" s="293"/>
      <c r="U177" s="293"/>
      <c r="V177" s="293"/>
      <c r="W177" s="293"/>
      <c r="X177" s="293"/>
      <c r="Y177" s="293"/>
      <c r="Z177" s="293"/>
      <c r="AA177" s="293"/>
      <c r="AB177" s="293"/>
      <c r="AC177" s="293"/>
      <c r="AD177" s="293"/>
      <c r="AE177" s="293"/>
    </row>
    <row r="178" spans="2:31" ht="15">
      <c r="B178" s="398">
        <f t="shared" si="6"/>
        <v>133</v>
      </c>
      <c r="C178" s="406" t="str" cm="1">
        <f t="array" aca="1" ref="C178" ca="1">IF(B178&lt;=$C$9,GetGetCDSName(B178),"")</f>
        <v/>
      </c>
      <c r="D178" s="366"/>
      <c r="E178" s="399"/>
      <c r="F178" s="318"/>
      <c r="G178" s="318"/>
      <c r="H178" s="318"/>
      <c r="I178" s="318"/>
      <c r="J178" s="318"/>
      <c r="K178" s="318"/>
      <c r="L178" s="318"/>
      <c r="M178" s="318"/>
      <c r="N178" s="400"/>
      <c r="O178" s="293"/>
      <c r="P178" s="293"/>
      <c r="Q178" s="293"/>
      <c r="R178" s="293"/>
      <c r="S178" s="293"/>
      <c r="T178" s="293"/>
      <c r="U178" s="293"/>
      <c r="V178" s="293"/>
      <c r="W178" s="293"/>
      <c r="X178" s="293"/>
      <c r="Y178" s="293"/>
      <c r="Z178" s="293"/>
      <c r="AA178" s="293"/>
      <c r="AB178" s="293"/>
      <c r="AC178" s="293"/>
      <c r="AD178" s="293"/>
      <c r="AE178" s="293"/>
    </row>
    <row r="179" spans="2:31" ht="15">
      <c r="B179" s="398">
        <f t="shared" si="6"/>
        <v>134</v>
      </c>
      <c r="C179" s="406" t="str" cm="1">
        <f t="array" aca="1" ref="C179" ca="1">IF(B179&lt;=$C$9,GetGetCDSName(B179),"")</f>
        <v/>
      </c>
      <c r="D179" s="366"/>
      <c r="E179" s="399"/>
      <c r="F179" s="318"/>
      <c r="G179" s="318"/>
      <c r="H179" s="318"/>
      <c r="I179" s="318"/>
      <c r="J179" s="318"/>
      <c r="K179" s="318"/>
      <c r="L179" s="318"/>
      <c r="M179" s="318"/>
      <c r="N179" s="400"/>
      <c r="O179" s="293"/>
      <c r="P179" s="293"/>
      <c r="Q179" s="293"/>
      <c r="R179" s="293"/>
      <c r="S179" s="293"/>
      <c r="T179" s="293"/>
      <c r="U179" s="293"/>
      <c r="V179" s="293"/>
      <c r="W179" s="293"/>
      <c r="X179" s="293"/>
      <c r="Y179" s="293"/>
      <c r="Z179" s="293"/>
      <c r="AA179" s="293"/>
      <c r="AB179" s="293"/>
      <c r="AC179" s="293"/>
      <c r="AD179" s="293"/>
      <c r="AE179" s="293"/>
    </row>
    <row r="180" spans="2:31" ht="15">
      <c r="B180" s="398">
        <f t="shared" si="6"/>
        <v>135</v>
      </c>
      <c r="C180" s="406" t="str" cm="1">
        <f t="array" aca="1" ref="C180" ca="1">IF(B180&lt;=$C$9,GetGetCDSName(B180),"")</f>
        <v/>
      </c>
      <c r="D180" s="366"/>
      <c r="E180" s="399"/>
      <c r="F180" s="318"/>
      <c r="G180" s="318"/>
      <c r="H180" s="318"/>
      <c r="I180" s="318"/>
      <c r="J180" s="318"/>
      <c r="K180" s="318"/>
      <c r="L180" s="318"/>
      <c r="M180" s="318"/>
      <c r="N180" s="400"/>
      <c r="O180" s="293"/>
      <c r="P180" s="293"/>
      <c r="Q180" s="293"/>
      <c r="R180" s="293"/>
      <c r="S180" s="293"/>
      <c r="T180" s="293"/>
      <c r="U180" s="293"/>
      <c r="V180" s="293"/>
      <c r="W180" s="293"/>
      <c r="X180" s="293"/>
      <c r="Y180" s="293"/>
      <c r="Z180" s="293"/>
      <c r="AA180" s="293"/>
      <c r="AB180" s="293"/>
      <c r="AC180" s="293"/>
      <c r="AD180" s="293"/>
      <c r="AE180" s="293"/>
    </row>
    <row r="181" spans="2:31" ht="15">
      <c r="B181" s="398">
        <f t="shared" si="6"/>
        <v>136</v>
      </c>
      <c r="C181" s="406" t="str" cm="1">
        <f t="array" aca="1" ref="C181" ca="1">IF(B181&lt;=$C$9,GetGetCDSName(B181),"")</f>
        <v/>
      </c>
      <c r="D181" s="366"/>
      <c r="E181" s="399"/>
      <c r="F181" s="318"/>
      <c r="G181" s="318"/>
      <c r="H181" s="318"/>
      <c r="I181" s="318"/>
      <c r="J181" s="318"/>
      <c r="K181" s="318"/>
      <c r="L181" s="318"/>
      <c r="M181" s="318"/>
      <c r="N181" s="400"/>
      <c r="O181" s="293"/>
      <c r="P181" s="293"/>
      <c r="Q181" s="293"/>
      <c r="R181" s="293"/>
      <c r="S181" s="293"/>
      <c r="T181" s="293"/>
      <c r="U181" s="293"/>
      <c r="V181" s="293"/>
      <c r="W181" s="293"/>
      <c r="X181" s="293"/>
      <c r="Y181" s="293"/>
      <c r="Z181" s="293"/>
      <c r="AA181" s="293"/>
      <c r="AB181" s="293"/>
      <c r="AC181" s="293"/>
      <c r="AD181" s="293"/>
      <c r="AE181" s="293"/>
    </row>
    <row r="182" spans="2:31" ht="15">
      <c r="B182" s="398">
        <f t="shared" si="6"/>
        <v>137</v>
      </c>
      <c r="C182" s="406" t="str" cm="1">
        <f t="array" aca="1" ref="C182" ca="1">IF(B182&lt;=$C$9,GetGetCDSName(B182),"")</f>
        <v/>
      </c>
      <c r="D182" s="366"/>
      <c r="E182" s="399"/>
      <c r="F182" s="318"/>
      <c r="G182" s="318"/>
      <c r="H182" s="318"/>
      <c r="I182" s="318"/>
      <c r="J182" s="318"/>
      <c r="K182" s="318"/>
      <c r="L182" s="318"/>
      <c r="M182" s="318"/>
      <c r="N182" s="400"/>
      <c r="O182" s="293"/>
      <c r="P182" s="293"/>
      <c r="Q182" s="293"/>
      <c r="R182" s="293"/>
      <c r="S182" s="293"/>
      <c r="T182" s="293"/>
      <c r="U182" s="293"/>
      <c r="V182" s="293"/>
      <c r="W182" s="293"/>
      <c r="X182" s="293"/>
      <c r="Y182" s="293"/>
      <c r="Z182" s="293"/>
      <c r="AA182" s="293"/>
      <c r="AB182" s="293"/>
      <c r="AC182" s="293"/>
      <c r="AD182" s="293"/>
      <c r="AE182" s="293"/>
    </row>
    <row r="183" spans="2:31" ht="15">
      <c r="B183" s="398">
        <f t="shared" si="6"/>
        <v>138</v>
      </c>
      <c r="C183" s="406" t="str" cm="1">
        <f t="array" aca="1" ref="C183" ca="1">IF(B183&lt;=$C$9,GetGetCDSName(B183),"")</f>
        <v/>
      </c>
      <c r="D183" s="366"/>
      <c r="E183" s="399"/>
      <c r="F183" s="318"/>
      <c r="G183" s="318"/>
      <c r="H183" s="318"/>
      <c r="I183" s="318"/>
      <c r="J183" s="318"/>
      <c r="K183" s="318"/>
      <c r="L183" s="318"/>
      <c r="M183" s="318"/>
      <c r="N183" s="400"/>
      <c r="O183" s="293"/>
      <c r="P183" s="293"/>
      <c r="Q183" s="293"/>
      <c r="R183" s="293"/>
      <c r="S183" s="293"/>
      <c r="T183" s="293"/>
      <c r="U183" s="293"/>
      <c r="V183" s="293"/>
      <c r="W183" s="293"/>
      <c r="X183" s="293"/>
      <c r="Y183" s="293"/>
      <c r="Z183" s="293"/>
      <c r="AA183" s="293"/>
      <c r="AB183" s="293"/>
      <c r="AC183" s="293"/>
      <c r="AD183" s="293"/>
      <c r="AE183" s="293"/>
    </row>
    <row r="184" spans="2:31" ht="15">
      <c r="B184" s="398">
        <f t="shared" si="6"/>
        <v>139</v>
      </c>
      <c r="C184" s="406" t="str" cm="1">
        <f t="array" aca="1" ref="C184" ca="1">IF(B184&lt;=$C$9,GetGetCDSName(B184),"")</f>
        <v/>
      </c>
      <c r="D184" s="366"/>
      <c r="E184" s="399"/>
      <c r="F184" s="318"/>
      <c r="G184" s="318"/>
      <c r="H184" s="318"/>
      <c r="I184" s="318"/>
      <c r="J184" s="318"/>
      <c r="K184" s="318"/>
      <c r="L184" s="318"/>
      <c r="M184" s="318"/>
      <c r="N184" s="400"/>
      <c r="O184" s="293"/>
      <c r="P184" s="293"/>
      <c r="Q184" s="293"/>
      <c r="R184" s="293"/>
      <c r="S184" s="293"/>
      <c r="T184" s="293"/>
      <c r="U184" s="293"/>
      <c r="V184" s="293"/>
      <c r="W184" s="293"/>
      <c r="X184" s="293"/>
      <c r="Y184" s="293"/>
      <c r="Z184" s="293"/>
      <c r="AA184" s="293"/>
      <c r="AB184" s="293"/>
      <c r="AC184" s="293"/>
      <c r="AD184" s="293"/>
      <c r="AE184" s="293"/>
    </row>
    <row r="185" spans="2:31" ht="15">
      <c r="B185" s="398">
        <f t="shared" si="6"/>
        <v>140</v>
      </c>
      <c r="C185" s="406" t="str" cm="1">
        <f t="array" aca="1" ref="C185" ca="1">IF(B185&lt;=$C$9,GetGetCDSName(B185),"")</f>
        <v/>
      </c>
      <c r="D185" s="366"/>
      <c r="E185" s="399"/>
      <c r="F185" s="318"/>
      <c r="G185" s="318"/>
      <c r="H185" s="318"/>
      <c r="I185" s="318"/>
      <c r="J185" s="318"/>
      <c r="K185" s="318"/>
      <c r="L185" s="318"/>
      <c r="M185" s="318"/>
      <c r="N185" s="400"/>
      <c r="O185" s="293"/>
      <c r="P185" s="293"/>
      <c r="Q185" s="293"/>
      <c r="R185" s="293"/>
      <c r="S185" s="293"/>
      <c r="T185" s="293"/>
      <c r="U185" s="293"/>
      <c r="V185" s="293"/>
      <c r="W185" s="293"/>
      <c r="X185" s="293"/>
      <c r="Y185" s="293"/>
      <c r="Z185" s="293"/>
      <c r="AA185" s="293"/>
      <c r="AB185" s="293"/>
      <c r="AC185" s="293"/>
      <c r="AD185" s="293"/>
      <c r="AE185" s="293"/>
    </row>
    <row r="186" spans="2:31" ht="15">
      <c r="B186" s="398">
        <f t="shared" si="6"/>
        <v>141</v>
      </c>
      <c r="C186" s="406" t="str" cm="1">
        <f t="array" aca="1" ref="C186" ca="1">IF(B186&lt;=$C$9,GetGetCDSName(B186),"")</f>
        <v/>
      </c>
      <c r="D186" s="366"/>
      <c r="E186" s="399"/>
      <c r="F186" s="318"/>
      <c r="G186" s="318"/>
      <c r="H186" s="318"/>
      <c r="I186" s="318"/>
      <c r="J186" s="318"/>
      <c r="K186" s="318"/>
      <c r="L186" s="318"/>
      <c r="M186" s="318"/>
      <c r="N186" s="400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</row>
    <row r="187" spans="2:31" ht="15">
      <c r="B187" s="398">
        <f t="shared" si="6"/>
        <v>142</v>
      </c>
      <c r="C187" s="406" t="str" cm="1">
        <f t="array" aca="1" ref="C187" ca="1">IF(B187&lt;=$C$9,GetGetCDSName(B187),"")</f>
        <v/>
      </c>
      <c r="D187" s="366"/>
      <c r="E187" s="399"/>
      <c r="F187" s="318"/>
      <c r="G187" s="318"/>
      <c r="H187" s="318"/>
      <c r="I187" s="318"/>
      <c r="J187" s="318"/>
      <c r="K187" s="318"/>
      <c r="L187" s="318"/>
      <c r="M187" s="318"/>
      <c r="N187" s="400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</row>
    <row r="188" spans="2:31" ht="15">
      <c r="B188" s="398">
        <f t="shared" si="6"/>
        <v>143</v>
      </c>
      <c r="C188" s="406" t="str" cm="1">
        <f t="array" aca="1" ref="C188" ca="1">IF(B188&lt;=$C$9,GetGetCDSName(B188),"")</f>
        <v/>
      </c>
      <c r="D188" s="366"/>
      <c r="E188" s="399"/>
      <c r="F188" s="318"/>
      <c r="G188" s="318"/>
      <c r="H188" s="318"/>
      <c r="I188" s="318"/>
      <c r="J188" s="318"/>
      <c r="K188" s="318"/>
      <c r="L188" s="318"/>
      <c r="M188" s="318"/>
      <c r="N188" s="400"/>
      <c r="O188" s="293"/>
      <c r="P188" s="293"/>
      <c r="Q188" s="293"/>
      <c r="R188" s="293"/>
      <c r="S188" s="293"/>
      <c r="T188" s="293"/>
      <c r="U188" s="293"/>
      <c r="V188" s="293"/>
      <c r="W188" s="293"/>
      <c r="X188" s="293"/>
      <c r="Y188" s="293"/>
      <c r="Z188" s="293"/>
      <c r="AA188" s="293"/>
      <c r="AB188" s="293"/>
      <c r="AC188" s="293"/>
      <c r="AD188" s="293"/>
      <c r="AE188" s="293"/>
    </row>
    <row r="189" spans="2:31" ht="15">
      <c r="B189" s="398">
        <f t="shared" si="6"/>
        <v>144</v>
      </c>
      <c r="C189" s="406" t="str" cm="1">
        <f t="array" aca="1" ref="C189" ca="1">IF(B189&lt;=$C$9,GetGetCDSName(B189),"")</f>
        <v/>
      </c>
      <c r="D189" s="366"/>
      <c r="E189" s="399"/>
      <c r="F189" s="318"/>
      <c r="G189" s="318"/>
      <c r="H189" s="318"/>
      <c r="I189" s="318"/>
      <c r="J189" s="318"/>
      <c r="K189" s="318"/>
      <c r="L189" s="318"/>
      <c r="M189" s="318"/>
      <c r="N189" s="400"/>
      <c r="O189" s="293"/>
      <c r="P189" s="293"/>
      <c r="Q189" s="293"/>
      <c r="R189" s="293"/>
      <c r="S189" s="293"/>
      <c r="T189" s="293"/>
      <c r="U189" s="293"/>
      <c r="V189" s="293"/>
      <c r="W189" s="293"/>
      <c r="X189" s="293"/>
      <c r="Y189" s="293"/>
      <c r="Z189" s="293"/>
      <c r="AA189" s="293"/>
      <c r="AB189" s="293"/>
      <c r="AC189" s="293"/>
      <c r="AD189" s="293"/>
      <c r="AE189" s="293"/>
    </row>
    <row r="190" spans="2:31" ht="15">
      <c r="B190" s="398">
        <f t="shared" si="6"/>
        <v>145</v>
      </c>
      <c r="C190" s="406" t="str" cm="1">
        <f t="array" aca="1" ref="C190" ca="1">IF(B190&lt;=$C$9,GetGetCDSName(B190),"")</f>
        <v/>
      </c>
      <c r="D190" s="366"/>
      <c r="E190" s="399"/>
      <c r="F190" s="318"/>
      <c r="G190" s="318"/>
      <c r="H190" s="318"/>
      <c r="I190" s="318"/>
      <c r="J190" s="318"/>
      <c r="K190" s="318"/>
      <c r="L190" s="318"/>
      <c r="M190" s="318"/>
      <c r="N190" s="400"/>
      <c r="O190" s="293"/>
      <c r="P190" s="293"/>
      <c r="Q190" s="293"/>
      <c r="R190" s="293"/>
      <c r="S190" s="293"/>
      <c r="T190" s="293"/>
      <c r="U190" s="293"/>
      <c r="V190" s="293"/>
      <c r="W190" s="293"/>
      <c r="X190" s="293"/>
      <c r="Y190" s="293"/>
      <c r="Z190" s="293"/>
      <c r="AA190" s="293"/>
      <c r="AB190" s="293"/>
      <c r="AC190" s="293"/>
      <c r="AD190" s="293"/>
      <c r="AE190" s="293"/>
    </row>
    <row r="191" spans="2:31" ht="15">
      <c r="B191" s="398">
        <f t="shared" si="6"/>
        <v>146</v>
      </c>
      <c r="C191" s="406" t="str" cm="1">
        <f t="array" aca="1" ref="C191" ca="1">IF(B191&lt;=$C$9,GetGetCDSName(B191),"")</f>
        <v/>
      </c>
      <c r="D191" s="366"/>
      <c r="E191" s="399"/>
      <c r="F191" s="318"/>
      <c r="G191" s="318"/>
      <c r="H191" s="318"/>
      <c r="I191" s="318"/>
      <c r="J191" s="318"/>
      <c r="K191" s="318"/>
      <c r="L191" s="318"/>
      <c r="M191" s="318"/>
      <c r="N191" s="400"/>
      <c r="O191" s="293"/>
      <c r="P191" s="293"/>
      <c r="Q191" s="293"/>
      <c r="R191" s="293"/>
      <c r="S191" s="293"/>
      <c r="T191" s="293"/>
      <c r="U191" s="293"/>
      <c r="V191" s="293"/>
      <c r="W191" s="293"/>
      <c r="X191" s="293"/>
      <c r="Y191" s="293"/>
      <c r="Z191" s="293"/>
      <c r="AA191" s="293"/>
      <c r="AB191" s="293"/>
      <c r="AC191" s="293"/>
      <c r="AD191" s="293"/>
      <c r="AE191" s="293"/>
    </row>
    <row r="192" spans="2:31" ht="15">
      <c r="B192" s="398">
        <f t="shared" si="6"/>
        <v>147</v>
      </c>
      <c r="C192" s="406" t="str" cm="1">
        <f t="array" aca="1" ref="C192" ca="1">IF(B192&lt;=$C$9,GetGetCDSName(B192),"")</f>
        <v/>
      </c>
      <c r="D192" s="366"/>
      <c r="E192" s="399"/>
      <c r="F192" s="318"/>
      <c r="G192" s="318"/>
      <c r="H192" s="318"/>
      <c r="I192" s="318"/>
      <c r="J192" s="318"/>
      <c r="K192" s="318"/>
      <c r="L192" s="318"/>
      <c r="M192" s="318"/>
      <c r="N192" s="400"/>
      <c r="O192" s="293"/>
      <c r="P192" s="293"/>
      <c r="Q192" s="293"/>
      <c r="R192" s="293"/>
      <c r="S192" s="293"/>
      <c r="T192" s="293"/>
      <c r="U192" s="293"/>
      <c r="V192" s="293"/>
      <c r="W192" s="293"/>
      <c r="X192" s="293"/>
      <c r="Y192" s="293"/>
      <c r="Z192" s="293"/>
      <c r="AA192" s="293"/>
      <c r="AB192" s="293"/>
      <c r="AC192" s="293"/>
      <c r="AD192" s="293"/>
      <c r="AE192" s="293"/>
    </row>
    <row r="193" spans="2:31" ht="15">
      <c r="B193" s="398">
        <f t="shared" si="6"/>
        <v>148</v>
      </c>
      <c r="C193" s="406" t="str" cm="1">
        <f t="array" aca="1" ref="C193" ca="1">IF(B193&lt;=$C$9,GetGetCDSName(B193),"")</f>
        <v/>
      </c>
      <c r="D193" s="366"/>
      <c r="E193" s="399"/>
      <c r="F193" s="318"/>
      <c r="G193" s="318"/>
      <c r="H193" s="318"/>
      <c r="I193" s="318"/>
      <c r="J193" s="318"/>
      <c r="K193" s="318"/>
      <c r="L193" s="318"/>
      <c r="M193" s="318"/>
      <c r="N193" s="400"/>
      <c r="O193" s="293"/>
      <c r="P193" s="293"/>
      <c r="Q193" s="293"/>
      <c r="R193" s="293"/>
      <c r="S193" s="293"/>
      <c r="T193" s="293"/>
      <c r="U193" s="293"/>
      <c r="V193" s="293"/>
      <c r="W193" s="293"/>
      <c r="X193" s="293"/>
      <c r="Y193" s="293"/>
      <c r="Z193" s="293"/>
      <c r="AA193" s="293"/>
      <c r="AB193" s="293"/>
      <c r="AC193" s="293"/>
      <c r="AD193" s="293"/>
      <c r="AE193" s="293"/>
    </row>
    <row r="194" spans="2:31" ht="15">
      <c r="B194" s="398">
        <f t="shared" si="6"/>
        <v>149</v>
      </c>
      <c r="C194" s="406" t="str" cm="1">
        <f t="array" aca="1" ref="C194" ca="1">IF(B194&lt;=$C$9,GetGetCDSName(B194),"")</f>
        <v/>
      </c>
      <c r="D194" s="366"/>
      <c r="E194" s="399"/>
      <c r="F194" s="318"/>
      <c r="G194" s="318"/>
      <c r="H194" s="318"/>
      <c r="I194" s="318"/>
      <c r="J194" s="318"/>
      <c r="K194" s="318"/>
      <c r="L194" s="318"/>
      <c r="M194" s="318"/>
      <c r="N194" s="400"/>
      <c r="O194" s="293"/>
      <c r="P194" s="293"/>
      <c r="Q194" s="293"/>
      <c r="R194" s="293"/>
      <c r="S194" s="293"/>
      <c r="T194" s="293"/>
      <c r="U194" s="293"/>
      <c r="V194" s="293"/>
      <c r="W194" s="293"/>
      <c r="X194" s="293"/>
      <c r="Y194" s="293"/>
      <c r="Z194" s="293"/>
      <c r="AA194" s="293"/>
      <c r="AB194" s="293"/>
      <c r="AC194" s="293"/>
      <c r="AD194" s="293"/>
      <c r="AE194" s="293"/>
    </row>
    <row r="195" spans="2:31" ht="15">
      <c r="B195" s="398">
        <f t="shared" si="6"/>
        <v>150</v>
      </c>
      <c r="C195" s="406" t="str" cm="1">
        <f t="array" aca="1" ref="C195" ca="1">IF(B195&lt;=$C$9,GetGetCDSName(B195),"")</f>
        <v/>
      </c>
      <c r="D195" s="366"/>
      <c r="E195" s="399"/>
      <c r="F195" s="318"/>
      <c r="G195" s="318"/>
      <c r="H195" s="318"/>
      <c r="I195" s="318"/>
      <c r="J195" s="318"/>
      <c r="K195" s="318"/>
      <c r="L195" s="318"/>
      <c r="M195" s="318"/>
      <c r="N195" s="400"/>
      <c r="O195" s="293"/>
      <c r="P195" s="293"/>
      <c r="Q195" s="293"/>
      <c r="R195" s="293"/>
      <c r="S195" s="293"/>
      <c r="T195" s="293"/>
      <c r="U195" s="293"/>
      <c r="V195" s="293"/>
      <c r="W195" s="293"/>
      <c r="X195" s="293"/>
      <c r="Y195" s="293"/>
      <c r="Z195" s="293"/>
      <c r="AA195" s="293"/>
      <c r="AB195" s="293"/>
      <c r="AC195" s="293"/>
      <c r="AD195" s="293"/>
      <c r="AE195" s="293"/>
    </row>
    <row r="196" spans="2:31" ht="15">
      <c r="B196" s="398">
        <f t="shared" si="6"/>
        <v>151</v>
      </c>
      <c r="C196" s="406" t="str" cm="1">
        <f t="array" aca="1" ref="C196" ca="1">IF(B196&lt;=$C$9,GetGetCDSName(B196),"")</f>
        <v/>
      </c>
      <c r="D196" s="366"/>
      <c r="E196" s="399"/>
      <c r="F196" s="318"/>
      <c r="G196" s="318"/>
      <c r="H196" s="318"/>
      <c r="I196" s="318"/>
      <c r="J196" s="318"/>
      <c r="K196" s="318"/>
      <c r="L196" s="318"/>
      <c r="M196" s="318"/>
      <c r="N196" s="400"/>
      <c r="O196" s="293"/>
      <c r="P196" s="293"/>
      <c r="Q196" s="293"/>
      <c r="R196" s="293"/>
      <c r="S196" s="293"/>
      <c r="T196" s="293"/>
      <c r="U196" s="293"/>
      <c r="V196" s="293"/>
      <c r="W196" s="293"/>
      <c r="X196" s="293"/>
      <c r="Y196" s="293"/>
      <c r="Z196" s="293"/>
      <c r="AA196" s="293"/>
      <c r="AB196" s="293"/>
      <c r="AC196" s="293"/>
      <c r="AD196" s="293"/>
      <c r="AE196" s="293"/>
    </row>
    <row r="197" spans="2:31" ht="15">
      <c r="B197" s="398">
        <f t="shared" si="6"/>
        <v>152</v>
      </c>
      <c r="C197" s="406" t="str" cm="1">
        <f t="array" aca="1" ref="C197" ca="1">IF(B197&lt;=$C$9,GetGetCDSName(B197),"")</f>
        <v/>
      </c>
      <c r="D197" s="366"/>
      <c r="E197" s="399"/>
      <c r="F197" s="318"/>
      <c r="G197" s="318"/>
      <c r="H197" s="318"/>
      <c r="I197" s="318"/>
      <c r="J197" s="318"/>
      <c r="K197" s="318"/>
      <c r="L197" s="318"/>
      <c r="M197" s="318"/>
      <c r="N197" s="400"/>
      <c r="O197" s="293"/>
      <c r="P197" s="293"/>
      <c r="Q197" s="293"/>
      <c r="R197" s="293"/>
      <c r="S197" s="293"/>
      <c r="T197" s="293"/>
      <c r="U197" s="293"/>
      <c r="V197" s="293"/>
      <c r="W197" s="293"/>
      <c r="X197" s="293"/>
      <c r="Y197" s="293"/>
      <c r="Z197" s="293"/>
      <c r="AA197" s="293"/>
      <c r="AB197" s="293"/>
      <c r="AC197" s="293"/>
      <c r="AD197" s="293"/>
      <c r="AE197" s="293"/>
    </row>
    <row r="198" spans="2:31" ht="15">
      <c r="B198" s="398">
        <f t="shared" si="6"/>
        <v>153</v>
      </c>
      <c r="C198" s="406" t="str" cm="1">
        <f t="array" aca="1" ref="C198" ca="1">IF(B198&lt;=$C$9,GetGetCDSName(B198),"")</f>
        <v/>
      </c>
      <c r="D198" s="366"/>
      <c r="E198" s="399"/>
      <c r="F198" s="318"/>
      <c r="G198" s="318"/>
      <c r="H198" s="318"/>
      <c r="I198" s="318"/>
      <c r="J198" s="318"/>
      <c r="K198" s="318"/>
      <c r="L198" s="318"/>
      <c r="M198" s="318"/>
      <c r="N198" s="400"/>
      <c r="O198" s="293"/>
      <c r="P198" s="293"/>
      <c r="Q198" s="293"/>
      <c r="R198" s="293"/>
      <c r="S198" s="293"/>
      <c r="T198" s="293"/>
      <c r="U198" s="293"/>
      <c r="V198" s="293"/>
      <c r="W198" s="293"/>
      <c r="X198" s="293"/>
      <c r="Y198" s="293"/>
      <c r="Z198" s="293"/>
      <c r="AA198" s="293"/>
      <c r="AB198" s="293"/>
      <c r="AC198" s="293"/>
      <c r="AD198" s="293"/>
      <c r="AE198" s="293"/>
    </row>
    <row r="199" spans="2:31" ht="15">
      <c r="B199" s="398">
        <f t="shared" si="6"/>
        <v>154</v>
      </c>
      <c r="C199" s="406" t="str" cm="1">
        <f t="array" aca="1" ref="C199" ca="1">IF(B199&lt;=$C$9,GetGetCDSName(B199),"")</f>
        <v/>
      </c>
      <c r="D199" s="366"/>
      <c r="E199" s="399"/>
      <c r="F199" s="318"/>
      <c r="G199" s="318"/>
      <c r="H199" s="318"/>
      <c r="I199" s="318"/>
      <c r="J199" s="318"/>
      <c r="K199" s="318"/>
      <c r="L199" s="318"/>
      <c r="M199" s="318"/>
      <c r="N199" s="400"/>
      <c r="O199" s="293"/>
      <c r="P199" s="293"/>
      <c r="Q199" s="293"/>
      <c r="R199" s="293"/>
      <c r="S199" s="293"/>
      <c r="T199" s="293"/>
      <c r="U199" s="293"/>
      <c r="V199" s="293"/>
      <c r="W199" s="293"/>
      <c r="X199" s="293"/>
      <c r="Y199" s="293"/>
      <c r="Z199" s="293"/>
      <c r="AA199" s="293"/>
      <c r="AB199" s="293"/>
      <c r="AC199" s="293"/>
      <c r="AD199" s="293"/>
      <c r="AE199" s="293"/>
    </row>
    <row r="200" spans="2:31" ht="15">
      <c r="B200" s="398">
        <f t="shared" si="6"/>
        <v>155</v>
      </c>
      <c r="C200" s="406" t="str" cm="1">
        <f t="array" aca="1" ref="C200" ca="1">IF(B200&lt;=$C$9,GetGetCDSName(B200),"")</f>
        <v/>
      </c>
      <c r="D200" s="366"/>
      <c r="E200" s="399"/>
      <c r="F200" s="318"/>
      <c r="G200" s="318"/>
      <c r="H200" s="318"/>
      <c r="I200" s="318"/>
      <c r="J200" s="318"/>
      <c r="K200" s="318"/>
      <c r="L200" s="318"/>
      <c r="M200" s="318"/>
      <c r="N200" s="400"/>
      <c r="O200" s="293"/>
      <c r="P200" s="293"/>
      <c r="Q200" s="293"/>
      <c r="R200" s="293"/>
      <c r="S200" s="293"/>
      <c r="T200" s="293"/>
      <c r="U200" s="293"/>
      <c r="V200" s="293"/>
      <c r="W200" s="293"/>
      <c r="X200" s="293"/>
      <c r="Y200" s="293"/>
      <c r="Z200" s="293"/>
      <c r="AA200" s="293"/>
      <c r="AB200" s="293"/>
      <c r="AC200" s="293"/>
      <c r="AD200" s="293"/>
      <c r="AE200" s="293"/>
    </row>
    <row r="201" spans="2:31" ht="15">
      <c r="B201" s="398">
        <f t="shared" si="6"/>
        <v>156</v>
      </c>
      <c r="C201" s="406" t="str" cm="1">
        <f t="array" aca="1" ref="C201" ca="1">IF(B201&lt;=$C$9,GetGetCDSName(B201),"")</f>
        <v/>
      </c>
      <c r="D201" s="366"/>
      <c r="E201" s="399"/>
      <c r="F201" s="318"/>
      <c r="G201" s="318"/>
      <c r="H201" s="318"/>
      <c r="I201" s="318"/>
      <c r="J201" s="318"/>
      <c r="K201" s="318"/>
      <c r="L201" s="318"/>
      <c r="M201" s="318"/>
      <c r="N201" s="400"/>
      <c r="O201" s="293"/>
      <c r="P201" s="293"/>
      <c r="Q201" s="293"/>
      <c r="R201" s="293"/>
      <c r="S201" s="293"/>
      <c r="T201" s="293"/>
      <c r="U201" s="293"/>
      <c r="V201" s="293"/>
      <c r="W201" s="293"/>
      <c r="X201" s="293"/>
      <c r="Y201" s="293"/>
      <c r="Z201" s="293"/>
      <c r="AA201" s="293"/>
      <c r="AB201" s="293"/>
      <c r="AC201" s="293"/>
      <c r="AD201" s="293"/>
      <c r="AE201" s="293"/>
    </row>
    <row r="202" spans="2:31" ht="15">
      <c r="B202" s="398">
        <f t="shared" si="6"/>
        <v>157</v>
      </c>
      <c r="C202" s="406" t="str" cm="1">
        <f t="array" aca="1" ref="C202" ca="1">IF(B202&lt;=$C$9,GetGetCDSName(B202),"")</f>
        <v/>
      </c>
      <c r="D202" s="366"/>
      <c r="E202" s="399"/>
      <c r="F202" s="318"/>
      <c r="G202" s="318"/>
      <c r="H202" s="318"/>
      <c r="I202" s="318"/>
      <c r="J202" s="318"/>
      <c r="K202" s="318"/>
      <c r="L202" s="318"/>
      <c r="M202" s="318"/>
      <c r="N202" s="400"/>
      <c r="O202" s="293"/>
      <c r="P202" s="293"/>
      <c r="Q202" s="293"/>
      <c r="R202" s="293"/>
      <c r="S202" s="293"/>
      <c r="T202" s="293"/>
      <c r="U202" s="293"/>
      <c r="V202" s="293"/>
      <c r="W202" s="293"/>
      <c r="X202" s="293"/>
      <c r="Y202" s="293"/>
      <c r="Z202" s="293"/>
      <c r="AA202" s="293"/>
      <c r="AB202" s="293"/>
      <c r="AC202" s="293"/>
      <c r="AD202" s="293"/>
      <c r="AE202" s="293"/>
    </row>
    <row r="203" spans="2:31" ht="15">
      <c r="B203" s="398">
        <f t="shared" si="6"/>
        <v>158</v>
      </c>
      <c r="C203" s="406" t="str" cm="1">
        <f t="array" aca="1" ref="C203" ca="1">IF(B203&lt;=$C$9,GetGetCDSName(B203),"")</f>
        <v/>
      </c>
      <c r="D203" s="366"/>
      <c r="E203" s="399"/>
      <c r="F203" s="318"/>
      <c r="G203" s="318"/>
      <c r="H203" s="318"/>
      <c r="I203" s="318"/>
      <c r="J203" s="318"/>
      <c r="K203" s="318"/>
      <c r="L203" s="318"/>
      <c r="M203" s="318"/>
      <c r="N203" s="400"/>
      <c r="O203" s="293"/>
      <c r="P203" s="293"/>
      <c r="Q203" s="293"/>
      <c r="R203" s="293"/>
      <c r="S203" s="293"/>
      <c r="T203" s="293"/>
      <c r="U203" s="293"/>
      <c r="V203" s="293"/>
      <c r="W203" s="293"/>
      <c r="X203" s="293"/>
      <c r="Y203" s="293"/>
      <c r="Z203" s="293"/>
      <c r="AA203" s="293"/>
      <c r="AB203" s="293"/>
      <c r="AC203" s="293"/>
      <c r="AD203" s="293"/>
      <c r="AE203" s="293"/>
    </row>
    <row r="204" spans="2:31" ht="15">
      <c r="B204" s="398">
        <f t="shared" si="6"/>
        <v>159</v>
      </c>
      <c r="C204" s="406" t="str" cm="1">
        <f t="array" aca="1" ref="C204" ca="1">IF(B204&lt;=$C$9,GetGetCDSName(B204),"")</f>
        <v/>
      </c>
      <c r="D204" s="366"/>
      <c r="E204" s="399"/>
      <c r="F204" s="318"/>
      <c r="G204" s="318"/>
      <c r="H204" s="318"/>
      <c r="I204" s="318"/>
      <c r="J204" s="318"/>
      <c r="K204" s="318"/>
      <c r="L204" s="318"/>
      <c r="M204" s="318"/>
      <c r="N204" s="400"/>
      <c r="O204" s="293"/>
      <c r="P204" s="293"/>
      <c r="Q204" s="293"/>
      <c r="R204" s="293"/>
      <c r="S204" s="293"/>
      <c r="T204" s="293"/>
      <c r="U204" s="293"/>
      <c r="V204" s="293"/>
      <c r="W204" s="293"/>
      <c r="X204" s="293"/>
      <c r="Y204" s="293"/>
      <c r="Z204" s="293"/>
      <c r="AA204" s="293"/>
      <c r="AB204" s="293"/>
      <c r="AC204" s="293"/>
      <c r="AD204" s="293"/>
      <c r="AE204" s="293"/>
    </row>
    <row r="205" spans="2:31" ht="15">
      <c r="B205" s="398">
        <f t="shared" si="6"/>
        <v>160</v>
      </c>
      <c r="C205" s="406" t="str" cm="1">
        <f t="array" aca="1" ref="C205" ca="1">IF(B205&lt;=$C$9,GetGetCDSName(B205),"")</f>
        <v/>
      </c>
      <c r="D205" s="366"/>
      <c r="E205" s="399"/>
      <c r="F205" s="318"/>
      <c r="G205" s="318"/>
      <c r="H205" s="318"/>
      <c r="I205" s="318"/>
      <c r="J205" s="318"/>
      <c r="K205" s="318"/>
      <c r="L205" s="318"/>
      <c r="M205" s="318"/>
      <c r="N205" s="400"/>
      <c r="O205" s="293"/>
      <c r="P205" s="293"/>
      <c r="Q205" s="293"/>
      <c r="R205" s="293"/>
      <c r="S205" s="293"/>
      <c r="T205" s="293"/>
      <c r="U205" s="293"/>
      <c r="V205" s="293"/>
      <c r="W205" s="293"/>
      <c r="X205" s="293"/>
      <c r="Y205" s="293"/>
      <c r="Z205" s="293"/>
      <c r="AA205" s="293"/>
      <c r="AB205" s="293"/>
      <c r="AC205" s="293"/>
      <c r="AD205" s="293"/>
      <c r="AE205" s="293"/>
    </row>
    <row r="206" spans="2:31" ht="15">
      <c r="B206" s="398">
        <f t="shared" si="6"/>
        <v>161</v>
      </c>
      <c r="C206" s="406" t="str" cm="1">
        <f t="array" aca="1" ref="C206" ca="1">IF(B206&lt;=$C$9,GetGetCDSName(B206),"")</f>
        <v/>
      </c>
      <c r="D206" s="366"/>
      <c r="E206" s="399"/>
      <c r="F206" s="318"/>
      <c r="G206" s="318"/>
      <c r="H206" s="318"/>
      <c r="I206" s="318"/>
      <c r="J206" s="318"/>
      <c r="K206" s="318"/>
      <c r="L206" s="318"/>
      <c r="M206" s="318"/>
      <c r="N206" s="400"/>
      <c r="O206" s="293"/>
      <c r="P206" s="293"/>
      <c r="Q206" s="293"/>
      <c r="R206" s="293"/>
      <c r="S206" s="293"/>
      <c r="T206" s="293"/>
      <c r="U206" s="293"/>
      <c r="V206" s="293"/>
      <c r="W206" s="293"/>
      <c r="X206" s="293"/>
      <c r="Y206" s="293"/>
      <c r="Z206" s="293"/>
      <c r="AA206" s="293"/>
      <c r="AB206" s="293"/>
      <c r="AC206" s="293"/>
      <c r="AD206" s="293"/>
      <c r="AE206" s="293"/>
    </row>
    <row r="207" spans="2:31" ht="15">
      <c r="B207" s="398">
        <f t="shared" si="6"/>
        <v>162</v>
      </c>
      <c r="C207" s="406" t="str" cm="1">
        <f t="array" aca="1" ref="C207" ca="1">IF(B207&lt;=$C$9,GetGetCDSName(B207),"")</f>
        <v/>
      </c>
      <c r="D207" s="366"/>
      <c r="E207" s="399"/>
      <c r="F207" s="318"/>
      <c r="G207" s="318"/>
      <c r="H207" s="318"/>
      <c r="I207" s="318"/>
      <c r="J207" s="318"/>
      <c r="K207" s="318"/>
      <c r="L207" s="318"/>
      <c r="M207" s="318"/>
      <c r="N207" s="400"/>
      <c r="O207" s="293"/>
      <c r="P207" s="293"/>
      <c r="Q207" s="293"/>
      <c r="R207" s="293"/>
      <c r="S207" s="293"/>
      <c r="T207" s="293"/>
      <c r="U207" s="293"/>
      <c r="V207" s="293"/>
      <c r="W207" s="293"/>
      <c r="X207" s="293"/>
      <c r="Y207" s="293"/>
      <c r="Z207" s="293"/>
      <c r="AA207" s="293"/>
      <c r="AB207" s="293"/>
      <c r="AC207" s="293"/>
      <c r="AD207" s="293"/>
      <c r="AE207" s="293"/>
    </row>
    <row r="208" spans="2:31" ht="15">
      <c r="B208" s="398">
        <f t="shared" si="6"/>
        <v>163</v>
      </c>
      <c r="C208" s="406" t="str" cm="1">
        <f t="array" aca="1" ref="C208" ca="1">IF(B208&lt;=$C$9,GetGetCDSName(B208),"")</f>
        <v/>
      </c>
      <c r="D208" s="366"/>
      <c r="E208" s="399"/>
      <c r="F208" s="318"/>
      <c r="G208" s="318"/>
      <c r="H208" s="318"/>
      <c r="I208" s="318"/>
      <c r="J208" s="318"/>
      <c r="K208" s="318"/>
      <c r="L208" s="318"/>
      <c r="M208" s="318"/>
      <c r="N208" s="400"/>
      <c r="O208" s="293"/>
      <c r="P208" s="293"/>
      <c r="Q208" s="293"/>
      <c r="R208" s="293"/>
      <c r="S208" s="293"/>
      <c r="T208" s="293"/>
      <c r="U208" s="293"/>
      <c r="V208" s="293"/>
      <c r="W208" s="293"/>
      <c r="X208" s="293"/>
      <c r="Y208" s="293"/>
      <c r="Z208" s="293"/>
      <c r="AA208" s="293"/>
      <c r="AB208" s="293"/>
      <c r="AC208" s="293"/>
      <c r="AD208" s="293"/>
      <c r="AE208" s="293"/>
    </row>
    <row r="209" spans="2:31" ht="15">
      <c r="B209" s="398">
        <f t="shared" si="6"/>
        <v>164</v>
      </c>
      <c r="C209" s="406" t="str" cm="1">
        <f t="array" aca="1" ref="C209" ca="1">IF(B209&lt;=$C$9,GetGetCDSName(B209),"")</f>
        <v/>
      </c>
      <c r="D209" s="366"/>
      <c r="E209" s="399"/>
      <c r="F209" s="318"/>
      <c r="G209" s="318"/>
      <c r="H209" s="318"/>
      <c r="I209" s="318"/>
      <c r="J209" s="318"/>
      <c r="K209" s="318"/>
      <c r="L209" s="318"/>
      <c r="M209" s="318"/>
      <c r="N209" s="400"/>
      <c r="O209" s="293"/>
      <c r="P209" s="293"/>
      <c r="Q209" s="293"/>
      <c r="R209" s="293"/>
      <c r="S209" s="293"/>
      <c r="T209" s="293"/>
      <c r="U209" s="293"/>
      <c r="V209" s="293"/>
      <c r="W209" s="293"/>
      <c r="X209" s="293"/>
      <c r="Y209" s="293"/>
      <c r="Z209" s="293"/>
      <c r="AA209" s="293"/>
      <c r="AB209" s="293"/>
      <c r="AC209" s="293"/>
      <c r="AD209" s="293"/>
      <c r="AE209" s="293"/>
    </row>
    <row r="210" spans="2:31" ht="15">
      <c r="B210" s="398">
        <f t="shared" si="6"/>
        <v>165</v>
      </c>
      <c r="C210" s="406" t="str" cm="1">
        <f t="array" aca="1" ref="C210" ca="1">IF(B210&lt;=$C$9,GetGetCDSName(B210),"")</f>
        <v/>
      </c>
      <c r="D210" s="366"/>
      <c r="E210" s="399"/>
      <c r="F210" s="318"/>
      <c r="G210" s="318"/>
      <c r="H210" s="318"/>
      <c r="I210" s="318"/>
      <c r="J210" s="318"/>
      <c r="K210" s="318"/>
      <c r="L210" s="318"/>
      <c r="M210" s="318"/>
      <c r="N210" s="400"/>
      <c r="O210" s="293"/>
      <c r="P210" s="293"/>
      <c r="Q210" s="293"/>
      <c r="R210" s="293"/>
      <c r="S210" s="293"/>
      <c r="T210" s="293"/>
      <c r="U210" s="293"/>
      <c r="V210" s="293"/>
      <c r="W210" s="293"/>
      <c r="X210" s="293"/>
      <c r="Y210" s="293"/>
      <c r="Z210" s="293"/>
      <c r="AA210" s="293"/>
      <c r="AB210" s="293"/>
      <c r="AC210" s="293"/>
      <c r="AD210" s="293"/>
      <c r="AE210" s="293"/>
    </row>
    <row r="211" spans="2:31" ht="15">
      <c r="B211" s="398">
        <f t="shared" si="6"/>
        <v>166</v>
      </c>
      <c r="C211" s="406" t="str" cm="1">
        <f t="array" aca="1" ref="C211" ca="1">IF(B211&lt;=$C$9,GetGetCDSName(B211),"")</f>
        <v/>
      </c>
      <c r="D211" s="366"/>
      <c r="E211" s="399"/>
      <c r="F211" s="318"/>
      <c r="G211" s="318"/>
      <c r="H211" s="318"/>
      <c r="I211" s="318"/>
      <c r="J211" s="318"/>
      <c r="K211" s="318"/>
      <c r="L211" s="318"/>
      <c r="M211" s="318"/>
      <c r="N211" s="400"/>
      <c r="O211" s="293"/>
      <c r="P211" s="293"/>
      <c r="Q211" s="293"/>
      <c r="R211" s="293"/>
      <c r="S211" s="293"/>
      <c r="T211" s="293"/>
      <c r="U211" s="293"/>
      <c r="V211" s="293"/>
      <c r="W211" s="293"/>
      <c r="X211" s="293"/>
      <c r="Y211" s="293"/>
      <c r="Z211" s="293"/>
      <c r="AA211" s="293"/>
      <c r="AB211" s="293"/>
      <c r="AC211" s="293"/>
      <c r="AD211" s="293"/>
      <c r="AE211" s="293"/>
    </row>
    <row r="212" spans="2:31" ht="15">
      <c r="B212" s="398">
        <f t="shared" si="6"/>
        <v>167</v>
      </c>
      <c r="C212" s="406" t="str" cm="1">
        <f t="array" aca="1" ref="C212" ca="1">IF(B212&lt;=$C$9,GetGetCDSName(B212),"")</f>
        <v/>
      </c>
      <c r="D212" s="366"/>
      <c r="E212" s="399"/>
      <c r="F212" s="318"/>
      <c r="G212" s="318"/>
      <c r="H212" s="318"/>
      <c r="I212" s="318"/>
      <c r="J212" s="318"/>
      <c r="K212" s="318"/>
      <c r="L212" s="318"/>
      <c r="M212" s="318"/>
      <c r="N212" s="400"/>
      <c r="O212" s="293"/>
      <c r="P212" s="293"/>
      <c r="Q212" s="293"/>
      <c r="R212" s="293"/>
      <c r="S212" s="293"/>
      <c r="T212" s="293"/>
      <c r="U212" s="293"/>
      <c r="V212" s="293"/>
      <c r="W212" s="293"/>
      <c r="X212" s="293"/>
      <c r="Y212" s="293"/>
      <c r="Z212" s="293"/>
      <c r="AA212" s="293"/>
      <c r="AB212" s="293"/>
      <c r="AC212" s="293"/>
      <c r="AD212" s="293"/>
      <c r="AE212" s="293"/>
    </row>
    <row r="213" spans="2:31" ht="15">
      <c r="B213" s="398">
        <f t="shared" si="6"/>
        <v>168</v>
      </c>
      <c r="C213" s="406" t="str" cm="1">
        <f t="array" aca="1" ref="C213" ca="1">IF(B213&lt;=$C$9,GetGetCDSName(B213),"")</f>
        <v/>
      </c>
      <c r="D213" s="366"/>
      <c r="E213" s="399"/>
      <c r="F213" s="318"/>
      <c r="G213" s="318"/>
      <c r="H213" s="318"/>
      <c r="I213" s="318"/>
      <c r="J213" s="318"/>
      <c r="K213" s="318"/>
      <c r="L213" s="318"/>
      <c r="M213" s="318"/>
      <c r="N213" s="400"/>
      <c r="O213" s="293"/>
      <c r="P213" s="293"/>
      <c r="Q213" s="293"/>
      <c r="R213" s="293"/>
      <c r="S213" s="293"/>
      <c r="T213" s="293"/>
      <c r="U213" s="293"/>
      <c r="V213" s="293"/>
      <c r="W213" s="293"/>
      <c r="X213" s="293"/>
      <c r="Y213" s="293"/>
      <c r="Z213" s="293"/>
      <c r="AA213" s="293"/>
      <c r="AB213" s="293"/>
      <c r="AC213" s="293"/>
      <c r="AD213" s="293"/>
      <c r="AE213" s="293"/>
    </row>
    <row r="214" spans="2:31" ht="15">
      <c r="B214" s="398">
        <f t="shared" si="6"/>
        <v>169</v>
      </c>
      <c r="C214" s="406" t="str" cm="1">
        <f t="array" aca="1" ref="C214" ca="1">IF(B214&lt;=$C$9,GetGetCDSName(B214),"")</f>
        <v/>
      </c>
      <c r="D214" s="366"/>
      <c r="E214" s="399"/>
      <c r="F214" s="318"/>
      <c r="G214" s="318"/>
      <c r="H214" s="318"/>
      <c r="I214" s="318"/>
      <c r="J214" s="318"/>
      <c r="K214" s="318"/>
      <c r="L214" s="318"/>
      <c r="M214" s="318"/>
      <c r="N214" s="400"/>
      <c r="O214" s="293"/>
      <c r="P214" s="293"/>
      <c r="Q214" s="293"/>
      <c r="R214" s="293"/>
      <c r="S214" s="293"/>
      <c r="T214" s="293"/>
      <c r="U214" s="293"/>
      <c r="V214" s="293"/>
      <c r="W214" s="293"/>
      <c r="X214" s="293"/>
      <c r="Y214" s="293"/>
      <c r="Z214" s="293"/>
      <c r="AA214" s="293"/>
      <c r="AB214" s="293"/>
      <c r="AC214" s="293"/>
      <c r="AD214" s="293"/>
      <c r="AE214" s="293"/>
    </row>
    <row r="215" spans="2:31" ht="15">
      <c r="B215" s="398">
        <f t="shared" si="6"/>
        <v>170</v>
      </c>
      <c r="C215" s="406" t="str" cm="1">
        <f t="array" aca="1" ref="C215" ca="1">IF(B215&lt;=$C$9,GetGetCDSName(B215),"")</f>
        <v/>
      </c>
      <c r="D215" s="366"/>
      <c r="E215" s="399"/>
      <c r="F215" s="318"/>
      <c r="G215" s="318"/>
      <c r="H215" s="318"/>
      <c r="I215" s="318"/>
      <c r="J215" s="318"/>
      <c r="K215" s="318"/>
      <c r="L215" s="318"/>
      <c r="M215" s="318"/>
      <c r="N215" s="400"/>
      <c r="O215" s="293"/>
      <c r="P215" s="293"/>
      <c r="Q215" s="293"/>
      <c r="R215" s="293"/>
      <c r="S215" s="293"/>
      <c r="T215" s="293"/>
      <c r="U215" s="293"/>
      <c r="V215" s="293"/>
      <c r="W215" s="293"/>
      <c r="X215" s="293"/>
      <c r="Y215" s="293"/>
      <c r="Z215" s="293"/>
      <c r="AA215" s="293"/>
      <c r="AB215" s="293"/>
      <c r="AC215" s="293"/>
      <c r="AD215" s="293"/>
      <c r="AE215" s="293"/>
    </row>
    <row r="216" spans="2:31" ht="15">
      <c r="B216" s="398">
        <f t="shared" si="6"/>
        <v>171</v>
      </c>
      <c r="C216" s="406" t="str" cm="1">
        <f t="array" aca="1" ref="C216" ca="1">IF(B216&lt;=$C$9,GetGetCDSName(B216),"")</f>
        <v/>
      </c>
      <c r="D216" s="366"/>
      <c r="E216" s="399"/>
      <c r="F216" s="318"/>
      <c r="G216" s="318"/>
      <c r="H216" s="318"/>
      <c r="I216" s="318"/>
      <c r="J216" s="318"/>
      <c r="K216" s="318"/>
      <c r="L216" s="318"/>
      <c r="M216" s="318"/>
      <c r="N216" s="400"/>
      <c r="O216" s="293"/>
      <c r="P216" s="293"/>
      <c r="Q216" s="293"/>
      <c r="R216" s="293"/>
      <c r="S216" s="293"/>
      <c r="T216" s="293"/>
      <c r="U216" s="293"/>
      <c r="V216" s="293"/>
      <c r="W216" s="293"/>
      <c r="X216" s="293"/>
      <c r="Y216" s="293"/>
      <c r="Z216" s="293"/>
      <c r="AA216" s="293"/>
      <c r="AB216" s="293"/>
      <c r="AC216" s="293"/>
      <c r="AD216" s="293"/>
      <c r="AE216" s="293"/>
    </row>
    <row r="217" spans="2:31" ht="15">
      <c r="B217" s="398">
        <f t="shared" si="6"/>
        <v>172</v>
      </c>
      <c r="C217" s="406" t="str" cm="1">
        <f t="array" aca="1" ref="C217" ca="1">IF(B217&lt;=$C$9,GetGetCDSName(B217),"")</f>
        <v/>
      </c>
      <c r="D217" s="366"/>
      <c r="E217" s="399"/>
      <c r="F217" s="318"/>
      <c r="G217" s="318"/>
      <c r="H217" s="318"/>
      <c r="I217" s="318"/>
      <c r="J217" s="318"/>
      <c r="K217" s="318"/>
      <c r="L217" s="318"/>
      <c r="M217" s="318"/>
      <c r="N217" s="400"/>
      <c r="O217" s="293"/>
      <c r="P217" s="293"/>
      <c r="Q217" s="293"/>
      <c r="R217" s="293"/>
      <c r="S217" s="293"/>
      <c r="T217" s="293"/>
      <c r="U217" s="293"/>
      <c r="V217" s="293"/>
      <c r="W217" s="293"/>
      <c r="X217" s="293"/>
      <c r="Y217" s="293"/>
      <c r="Z217" s="293"/>
      <c r="AA217" s="293"/>
      <c r="AB217" s="293"/>
      <c r="AC217" s="293"/>
      <c r="AD217" s="293"/>
      <c r="AE217" s="293"/>
    </row>
    <row r="218" spans="2:31" ht="15">
      <c r="B218" s="398">
        <f t="shared" si="6"/>
        <v>173</v>
      </c>
      <c r="C218" s="406" t="str" cm="1">
        <f t="array" aca="1" ref="C218" ca="1">IF(B218&lt;=$C$9,GetGetCDSName(B218),"")</f>
        <v/>
      </c>
      <c r="D218" s="366"/>
      <c r="E218" s="399"/>
      <c r="F218" s="318"/>
      <c r="G218" s="318"/>
      <c r="H218" s="318"/>
      <c r="I218" s="318"/>
      <c r="J218" s="318"/>
      <c r="K218" s="318"/>
      <c r="L218" s="318"/>
      <c r="M218" s="318"/>
      <c r="N218" s="400"/>
      <c r="O218" s="293"/>
      <c r="P218" s="293"/>
      <c r="Q218" s="293"/>
      <c r="R218" s="293"/>
      <c r="S218" s="293"/>
      <c r="T218" s="293"/>
      <c r="U218" s="293"/>
      <c r="V218" s="293"/>
      <c r="W218" s="293"/>
      <c r="X218" s="293"/>
      <c r="Y218" s="293"/>
      <c r="Z218" s="293"/>
      <c r="AA218" s="293"/>
      <c r="AB218" s="293"/>
      <c r="AC218" s="293"/>
      <c r="AD218" s="293"/>
      <c r="AE218" s="293"/>
    </row>
    <row r="219" spans="2:31" ht="15">
      <c r="B219" s="398">
        <f t="shared" si="6"/>
        <v>174</v>
      </c>
      <c r="C219" s="406" t="str" cm="1">
        <f t="array" aca="1" ref="C219" ca="1">IF(B219&lt;=$C$9,GetGetCDSName(B219),"")</f>
        <v/>
      </c>
      <c r="D219" s="366"/>
      <c r="E219" s="399"/>
      <c r="F219" s="318"/>
      <c r="G219" s="318"/>
      <c r="H219" s="318"/>
      <c r="I219" s="318"/>
      <c r="J219" s="318"/>
      <c r="K219" s="318"/>
      <c r="L219" s="318"/>
      <c r="M219" s="318"/>
      <c r="N219" s="400"/>
      <c r="O219" s="293"/>
      <c r="P219" s="293"/>
      <c r="Q219" s="293"/>
      <c r="R219" s="293"/>
      <c r="S219" s="293"/>
      <c r="T219" s="293"/>
      <c r="U219" s="293"/>
      <c r="V219" s="293"/>
      <c r="W219" s="293"/>
      <c r="X219" s="293"/>
      <c r="Y219" s="293"/>
      <c r="Z219" s="293"/>
      <c r="AA219" s="293"/>
      <c r="AB219" s="293"/>
      <c r="AC219" s="293"/>
      <c r="AD219" s="293"/>
      <c r="AE219" s="293"/>
    </row>
    <row r="220" spans="2:31" ht="15">
      <c r="B220" s="398">
        <f t="shared" si="6"/>
        <v>175</v>
      </c>
      <c r="C220" s="406" t="str" cm="1">
        <f t="array" aca="1" ref="C220" ca="1">IF(B220&lt;=$C$9,GetGetCDSName(B220),"")</f>
        <v/>
      </c>
      <c r="D220" s="366"/>
      <c r="E220" s="399"/>
      <c r="F220" s="318"/>
      <c r="G220" s="318"/>
      <c r="H220" s="318"/>
      <c r="I220" s="318"/>
      <c r="J220" s="318"/>
      <c r="K220" s="318"/>
      <c r="L220" s="318"/>
      <c r="M220" s="318"/>
      <c r="N220" s="400"/>
      <c r="O220" s="293"/>
      <c r="P220" s="293"/>
      <c r="Q220" s="293"/>
      <c r="R220" s="293"/>
      <c r="S220" s="293"/>
      <c r="T220" s="293"/>
      <c r="U220" s="293"/>
      <c r="V220" s="293"/>
      <c r="W220" s="293"/>
      <c r="X220" s="293"/>
      <c r="Y220" s="293"/>
      <c r="Z220" s="293"/>
      <c r="AA220" s="293"/>
      <c r="AB220" s="293"/>
      <c r="AC220" s="293"/>
      <c r="AD220" s="293"/>
      <c r="AE220" s="293"/>
    </row>
    <row r="221" spans="2:31" ht="15">
      <c r="B221" s="398">
        <f t="shared" si="6"/>
        <v>176</v>
      </c>
      <c r="C221" s="406" t="str" cm="1">
        <f t="array" aca="1" ref="C221" ca="1">IF(B221&lt;=$C$9,GetGetCDSName(B221),"")</f>
        <v/>
      </c>
      <c r="D221" s="366"/>
      <c r="E221" s="399"/>
      <c r="F221" s="318"/>
      <c r="G221" s="318"/>
      <c r="H221" s="318"/>
      <c r="I221" s="318"/>
      <c r="J221" s="318"/>
      <c r="K221" s="318"/>
      <c r="L221" s="318"/>
      <c r="M221" s="318"/>
      <c r="N221" s="400"/>
      <c r="O221" s="293"/>
      <c r="P221" s="293"/>
      <c r="Q221" s="293"/>
      <c r="R221" s="293"/>
      <c r="S221" s="293"/>
      <c r="T221" s="293"/>
      <c r="U221" s="293"/>
      <c r="V221" s="293"/>
      <c r="W221" s="293"/>
      <c r="X221" s="293"/>
      <c r="Y221" s="293"/>
      <c r="Z221" s="293"/>
      <c r="AA221" s="293"/>
      <c r="AB221" s="293"/>
      <c r="AC221" s="293"/>
      <c r="AD221" s="293"/>
      <c r="AE221" s="293"/>
    </row>
    <row r="222" spans="2:31" ht="15">
      <c r="B222" s="398">
        <f t="shared" si="6"/>
        <v>177</v>
      </c>
      <c r="C222" s="406" t="str" cm="1">
        <f t="array" aca="1" ref="C222" ca="1">IF(B222&lt;=$C$9,GetGetCDSName(B222),"")</f>
        <v/>
      </c>
      <c r="D222" s="366"/>
      <c r="E222" s="399"/>
      <c r="F222" s="318"/>
      <c r="G222" s="318"/>
      <c r="H222" s="318"/>
      <c r="I222" s="318"/>
      <c r="J222" s="318"/>
      <c r="K222" s="318"/>
      <c r="L222" s="318"/>
      <c r="M222" s="318"/>
      <c r="N222" s="400"/>
      <c r="O222" s="293"/>
      <c r="P222" s="293"/>
      <c r="Q222" s="293"/>
      <c r="R222" s="293"/>
      <c r="S222" s="293"/>
      <c r="T222" s="293"/>
      <c r="U222" s="293"/>
      <c r="V222" s="293"/>
      <c r="W222" s="293"/>
      <c r="X222" s="293"/>
      <c r="Y222" s="293"/>
      <c r="Z222" s="293"/>
      <c r="AA222" s="293"/>
      <c r="AB222" s="293"/>
      <c r="AC222" s="293"/>
      <c r="AD222" s="293"/>
      <c r="AE222" s="293"/>
    </row>
    <row r="223" spans="2:31" ht="15">
      <c r="B223" s="398">
        <f t="shared" si="6"/>
        <v>178</v>
      </c>
      <c r="C223" s="406" t="str" cm="1">
        <f t="array" aca="1" ref="C223" ca="1">IF(B223&lt;=$C$9,GetGetCDSName(B223),"")</f>
        <v/>
      </c>
      <c r="D223" s="366"/>
      <c r="E223" s="399"/>
      <c r="F223" s="318"/>
      <c r="G223" s="318"/>
      <c r="H223" s="318"/>
      <c r="I223" s="318"/>
      <c r="J223" s="318"/>
      <c r="K223" s="318"/>
      <c r="L223" s="318"/>
      <c r="M223" s="318"/>
      <c r="N223" s="400"/>
      <c r="O223" s="293"/>
      <c r="P223" s="293"/>
      <c r="Q223" s="293"/>
      <c r="R223" s="293"/>
      <c r="S223" s="293"/>
      <c r="T223" s="293"/>
      <c r="U223" s="293"/>
      <c r="V223" s="293"/>
      <c r="W223" s="293"/>
      <c r="X223" s="293"/>
      <c r="Y223" s="293"/>
      <c r="Z223" s="293"/>
      <c r="AA223" s="293"/>
      <c r="AB223" s="293"/>
      <c r="AC223" s="293"/>
      <c r="AD223" s="293"/>
      <c r="AE223" s="293"/>
    </row>
    <row r="224" spans="2:31" ht="15">
      <c r="B224" s="398">
        <f t="shared" si="6"/>
        <v>179</v>
      </c>
      <c r="C224" s="406" t="str" cm="1">
        <f t="array" aca="1" ref="C224" ca="1">IF(B224&lt;=$C$9,GetGetCDSName(B224),"")</f>
        <v/>
      </c>
      <c r="D224" s="366"/>
      <c r="E224" s="399"/>
      <c r="F224" s="318"/>
      <c r="G224" s="318"/>
      <c r="H224" s="318"/>
      <c r="I224" s="318"/>
      <c r="J224" s="318"/>
      <c r="K224" s="318"/>
      <c r="L224" s="318"/>
      <c r="M224" s="318"/>
      <c r="N224" s="400"/>
      <c r="O224" s="293"/>
      <c r="P224" s="293"/>
      <c r="Q224" s="293"/>
      <c r="R224" s="293"/>
      <c r="S224" s="293"/>
      <c r="T224" s="293"/>
      <c r="U224" s="293"/>
      <c r="V224" s="293"/>
      <c r="W224" s="293"/>
      <c r="X224" s="293"/>
      <c r="Y224" s="293"/>
      <c r="Z224" s="293"/>
      <c r="AA224" s="293"/>
      <c r="AB224" s="293"/>
      <c r="AC224" s="293"/>
      <c r="AD224" s="293"/>
      <c r="AE224" s="293"/>
    </row>
    <row r="225" spans="2:31" ht="15">
      <c r="B225" s="398">
        <f t="shared" si="6"/>
        <v>180</v>
      </c>
      <c r="C225" s="406" t="str" cm="1">
        <f t="array" aca="1" ref="C225" ca="1">IF(B225&lt;=$C$9,GetGetCDSName(B225),"")</f>
        <v/>
      </c>
      <c r="D225" s="366"/>
      <c r="E225" s="399"/>
      <c r="F225" s="318"/>
      <c r="G225" s="318"/>
      <c r="H225" s="318"/>
      <c r="I225" s="318"/>
      <c r="J225" s="318"/>
      <c r="K225" s="318"/>
      <c r="L225" s="318"/>
      <c r="M225" s="318"/>
      <c r="N225" s="400"/>
      <c r="O225" s="293"/>
      <c r="P225" s="293"/>
      <c r="Q225" s="293"/>
      <c r="R225" s="293"/>
      <c r="S225" s="293"/>
      <c r="T225" s="293"/>
      <c r="U225" s="293"/>
      <c r="V225" s="293"/>
      <c r="W225" s="293"/>
      <c r="X225" s="293"/>
      <c r="Y225" s="293"/>
      <c r="Z225" s="293"/>
      <c r="AA225" s="293"/>
      <c r="AB225" s="293"/>
      <c r="AC225" s="293"/>
      <c r="AD225" s="293"/>
      <c r="AE225" s="293"/>
    </row>
    <row r="226" spans="2:31" ht="15">
      <c r="B226" s="398">
        <f t="shared" si="6"/>
        <v>181</v>
      </c>
      <c r="C226" s="406" t="str" cm="1">
        <f t="array" aca="1" ref="C226" ca="1">IF(B226&lt;=$C$9,GetGetCDSName(B226),"")</f>
        <v/>
      </c>
      <c r="D226" s="366"/>
      <c r="E226" s="399"/>
      <c r="F226" s="318"/>
      <c r="G226" s="318"/>
      <c r="H226" s="318"/>
      <c r="I226" s="318"/>
      <c r="J226" s="318"/>
      <c r="K226" s="318"/>
      <c r="L226" s="318"/>
      <c r="M226" s="318"/>
      <c r="N226" s="400"/>
      <c r="O226" s="293"/>
      <c r="P226" s="293"/>
      <c r="Q226" s="293"/>
      <c r="R226" s="293"/>
      <c r="S226" s="293"/>
      <c r="T226" s="293"/>
      <c r="U226" s="293"/>
      <c r="V226" s="293"/>
      <c r="W226" s="293"/>
      <c r="X226" s="293"/>
      <c r="Y226" s="293"/>
      <c r="Z226" s="293"/>
      <c r="AA226" s="293"/>
      <c r="AB226" s="293"/>
      <c r="AC226" s="293"/>
      <c r="AD226" s="293"/>
      <c r="AE226" s="293"/>
    </row>
    <row r="227" spans="2:31" ht="15">
      <c r="B227" s="398">
        <f t="shared" si="6"/>
        <v>182</v>
      </c>
      <c r="C227" s="406" t="str" cm="1">
        <f t="array" aca="1" ref="C227" ca="1">IF(B227&lt;=$C$9,GetGetCDSName(B227),"")</f>
        <v/>
      </c>
      <c r="D227" s="366"/>
      <c r="E227" s="399"/>
      <c r="F227" s="318"/>
      <c r="G227" s="318"/>
      <c r="H227" s="318"/>
      <c r="I227" s="318"/>
      <c r="J227" s="318"/>
      <c r="K227" s="318"/>
      <c r="L227" s="318"/>
      <c r="M227" s="318"/>
      <c r="N227" s="400"/>
      <c r="O227" s="293"/>
      <c r="P227" s="293"/>
      <c r="Q227" s="293"/>
      <c r="R227" s="293"/>
      <c r="S227" s="293"/>
      <c r="T227" s="293"/>
      <c r="U227" s="293"/>
      <c r="V227" s="293"/>
      <c r="W227" s="293"/>
      <c r="X227" s="293"/>
      <c r="Y227" s="293"/>
      <c r="Z227" s="293"/>
      <c r="AA227" s="293"/>
      <c r="AB227" s="293"/>
      <c r="AC227" s="293"/>
      <c r="AD227" s="293"/>
      <c r="AE227" s="293"/>
    </row>
    <row r="228" spans="2:31" ht="15">
      <c r="B228" s="398">
        <f t="shared" si="6"/>
        <v>183</v>
      </c>
      <c r="C228" s="406" t="str" cm="1">
        <f t="array" aca="1" ref="C228" ca="1">IF(B228&lt;=$C$9,GetGetCDSName(B228),"")</f>
        <v/>
      </c>
      <c r="D228" s="366"/>
      <c r="E228" s="399"/>
      <c r="F228" s="318"/>
      <c r="G228" s="318"/>
      <c r="H228" s="318"/>
      <c r="I228" s="318"/>
      <c r="J228" s="318"/>
      <c r="K228" s="318"/>
      <c r="L228" s="318"/>
      <c r="M228" s="318"/>
      <c r="N228" s="400"/>
      <c r="O228" s="293"/>
      <c r="P228" s="293"/>
      <c r="Q228" s="293"/>
      <c r="R228" s="293"/>
      <c r="S228" s="293"/>
      <c r="T228" s="293"/>
      <c r="U228" s="293"/>
      <c r="V228" s="293"/>
      <c r="W228" s="293"/>
      <c r="X228" s="293"/>
      <c r="Y228" s="293"/>
      <c r="Z228" s="293"/>
      <c r="AA228" s="293"/>
      <c r="AB228" s="293"/>
      <c r="AC228" s="293"/>
      <c r="AD228" s="293"/>
      <c r="AE228" s="293"/>
    </row>
    <row r="229" spans="2:31" ht="15">
      <c r="B229" s="398">
        <f t="shared" si="6"/>
        <v>184</v>
      </c>
      <c r="C229" s="406" t="str" cm="1">
        <f t="array" aca="1" ref="C229" ca="1">IF(B229&lt;=$C$9,GetGetCDSName(B229),"")</f>
        <v/>
      </c>
      <c r="D229" s="366"/>
      <c r="E229" s="399"/>
      <c r="F229" s="318"/>
      <c r="G229" s="318"/>
      <c r="H229" s="318"/>
      <c r="I229" s="318"/>
      <c r="J229" s="318"/>
      <c r="K229" s="318"/>
      <c r="L229" s="318"/>
      <c r="M229" s="318"/>
      <c r="N229" s="400"/>
      <c r="O229" s="293"/>
      <c r="P229" s="293"/>
      <c r="Q229" s="293"/>
      <c r="R229" s="293"/>
      <c r="S229" s="293"/>
      <c r="T229" s="293"/>
      <c r="U229" s="293"/>
      <c r="V229" s="293"/>
      <c r="W229" s="293"/>
      <c r="X229" s="293"/>
      <c r="Y229" s="293"/>
      <c r="Z229" s="293"/>
      <c r="AA229" s="293"/>
      <c r="AB229" s="293"/>
      <c r="AC229" s="293"/>
      <c r="AD229" s="293"/>
      <c r="AE229" s="293"/>
    </row>
    <row r="230" spans="2:31" ht="15">
      <c r="B230" s="398">
        <f t="shared" si="6"/>
        <v>185</v>
      </c>
      <c r="C230" s="406" t="str" cm="1">
        <f t="array" aca="1" ref="C230" ca="1">IF(B230&lt;=$C$9,GetGetCDSName(B230),"")</f>
        <v/>
      </c>
      <c r="D230" s="366"/>
      <c r="E230" s="399"/>
      <c r="F230" s="318"/>
      <c r="G230" s="318"/>
      <c r="H230" s="318"/>
      <c r="I230" s="318"/>
      <c r="J230" s="318"/>
      <c r="K230" s="318"/>
      <c r="L230" s="318"/>
      <c r="M230" s="318"/>
      <c r="N230" s="400"/>
      <c r="O230" s="293"/>
      <c r="P230" s="293"/>
      <c r="Q230" s="293"/>
      <c r="R230" s="293"/>
      <c r="S230" s="293"/>
      <c r="T230" s="293"/>
      <c r="U230" s="293"/>
      <c r="V230" s="293"/>
      <c r="W230" s="293"/>
      <c r="X230" s="293"/>
      <c r="Y230" s="293"/>
      <c r="Z230" s="293"/>
      <c r="AA230" s="293"/>
      <c r="AB230" s="293"/>
      <c r="AC230" s="293"/>
      <c r="AD230" s="293"/>
      <c r="AE230" s="293"/>
    </row>
    <row r="231" spans="2:31" ht="15">
      <c r="B231" s="398">
        <f t="shared" si="6"/>
        <v>186</v>
      </c>
      <c r="C231" s="406" t="str" cm="1">
        <f t="array" aca="1" ref="C231" ca="1">IF(B231&lt;=$C$9,GetGetCDSName(B231),"")</f>
        <v/>
      </c>
      <c r="D231" s="366"/>
      <c r="E231" s="399"/>
      <c r="F231" s="318"/>
      <c r="G231" s="318"/>
      <c r="H231" s="318"/>
      <c r="I231" s="318"/>
      <c r="J231" s="318"/>
      <c r="K231" s="318"/>
      <c r="L231" s="318"/>
      <c r="M231" s="318"/>
      <c r="N231" s="400"/>
      <c r="O231" s="293"/>
      <c r="P231" s="293"/>
      <c r="Q231" s="293"/>
      <c r="R231" s="293"/>
      <c r="S231" s="293"/>
      <c r="T231" s="293"/>
      <c r="U231" s="293"/>
      <c r="V231" s="293"/>
      <c r="W231" s="293"/>
      <c r="X231" s="293"/>
      <c r="Y231" s="293"/>
      <c r="Z231" s="293"/>
      <c r="AA231" s="293"/>
      <c r="AB231" s="293"/>
      <c r="AC231" s="293"/>
      <c r="AD231" s="293"/>
      <c r="AE231" s="293"/>
    </row>
    <row r="232" spans="2:31" ht="15">
      <c r="B232" s="398">
        <f t="shared" si="6"/>
        <v>187</v>
      </c>
      <c r="C232" s="406" t="str" cm="1">
        <f t="array" aca="1" ref="C232" ca="1">IF(B232&lt;=$C$9,GetGetCDSName(B232),"")</f>
        <v/>
      </c>
      <c r="D232" s="366"/>
      <c r="E232" s="399"/>
      <c r="F232" s="318"/>
      <c r="G232" s="318"/>
      <c r="H232" s="318"/>
      <c r="I232" s="318"/>
      <c r="J232" s="318"/>
      <c r="K232" s="318"/>
      <c r="L232" s="318"/>
      <c r="M232" s="318"/>
      <c r="N232" s="400"/>
      <c r="O232" s="293"/>
      <c r="P232" s="293"/>
      <c r="Q232" s="293"/>
      <c r="R232" s="293"/>
      <c r="S232" s="293"/>
      <c r="T232" s="293"/>
      <c r="U232" s="293"/>
      <c r="V232" s="293"/>
      <c r="W232" s="293"/>
      <c r="X232" s="293"/>
      <c r="Y232" s="293"/>
      <c r="Z232" s="293"/>
      <c r="AA232" s="293"/>
      <c r="AB232" s="293"/>
      <c r="AC232" s="293"/>
      <c r="AD232" s="293"/>
      <c r="AE232" s="293"/>
    </row>
    <row r="233" spans="2:31" ht="15">
      <c r="B233" s="398">
        <f t="shared" si="6"/>
        <v>188</v>
      </c>
      <c r="C233" s="406" t="str" cm="1">
        <f t="array" aca="1" ref="C233" ca="1">IF(B233&lt;=$C$9,GetGetCDSName(B233),"")</f>
        <v/>
      </c>
      <c r="D233" s="366"/>
      <c r="E233" s="399"/>
      <c r="F233" s="318"/>
      <c r="G233" s="318"/>
      <c r="H233" s="318"/>
      <c r="I233" s="318"/>
      <c r="J233" s="318"/>
      <c r="K233" s="318"/>
      <c r="L233" s="318"/>
      <c r="M233" s="318"/>
      <c r="N233" s="400"/>
      <c r="O233" s="293"/>
      <c r="P233" s="293"/>
      <c r="Q233" s="293"/>
      <c r="R233" s="293"/>
      <c r="S233" s="293"/>
      <c r="T233" s="293"/>
      <c r="U233" s="293"/>
      <c r="V233" s="293"/>
      <c r="W233" s="293"/>
      <c r="X233" s="293"/>
      <c r="Y233" s="293"/>
      <c r="Z233" s="293"/>
      <c r="AA233" s="293"/>
      <c r="AB233" s="293"/>
      <c r="AC233" s="293"/>
      <c r="AD233" s="293"/>
      <c r="AE233" s="293"/>
    </row>
    <row r="234" spans="2:31" ht="15">
      <c r="B234" s="398">
        <f t="shared" si="6"/>
        <v>189</v>
      </c>
      <c r="C234" s="406" t="str" cm="1">
        <f t="array" aca="1" ref="C234" ca="1">IF(B234&lt;=$C$9,GetGetCDSName(B234),"")</f>
        <v/>
      </c>
      <c r="D234" s="366"/>
      <c r="E234" s="399"/>
      <c r="F234" s="318"/>
      <c r="G234" s="318"/>
      <c r="H234" s="318"/>
      <c r="I234" s="318"/>
      <c r="J234" s="318"/>
      <c r="K234" s="318"/>
      <c r="L234" s="318"/>
      <c r="M234" s="318"/>
      <c r="N234" s="400"/>
      <c r="O234" s="293"/>
      <c r="P234" s="293"/>
      <c r="Q234" s="293"/>
      <c r="R234" s="293"/>
      <c r="S234" s="293"/>
      <c r="T234" s="293"/>
      <c r="U234" s="293"/>
      <c r="V234" s="293"/>
      <c r="W234" s="293"/>
      <c r="X234" s="293"/>
      <c r="Y234" s="293"/>
      <c r="Z234" s="293"/>
      <c r="AA234" s="293"/>
      <c r="AB234" s="293"/>
      <c r="AC234" s="293"/>
      <c r="AD234" s="293"/>
      <c r="AE234" s="293"/>
    </row>
    <row r="235" spans="2:31" ht="15">
      <c r="B235" s="398">
        <f t="shared" si="6"/>
        <v>190</v>
      </c>
      <c r="C235" s="406" t="str" cm="1">
        <f t="array" aca="1" ref="C235" ca="1">IF(B235&lt;=$C$9,GetGetCDSName(B235),"")</f>
        <v/>
      </c>
      <c r="D235" s="366"/>
      <c r="E235" s="399"/>
      <c r="F235" s="318"/>
      <c r="G235" s="318"/>
      <c r="H235" s="318"/>
      <c r="I235" s="318"/>
      <c r="J235" s="318"/>
      <c r="K235" s="318"/>
      <c r="L235" s="318"/>
      <c r="M235" s="318"/>
      <c r="N235" s="400"/>
      <c r="O235" s="293"/>
      <c r="P235" s="293"/>
      <c r="Q235" s="293"/>
      <c r="R235" s="293"/>
      <c r="S235" s="293"/>
      <c r="T235" s="293"/>
      <c r="U235" s="293"/>
      <c r="V235" s="293"/>
      <c r="W235" s="293"/>
      <c r="X235" s="293"/>
      <c r="Y235" s="293"/>
      <c r="Z235" s="293"/>
      <c r="AA235" s="293"/>
      <c r="AB235" s="293"/>
      <c r="AC235" s="293"/>
      <c r="AD235" s="293"/>
      <c r="AE235" s="293"/>
    </row>
    <row r="236" spans="2:31" ht="15">
      <c r="B236" s="398">
        <f t="shared" si="6"/>
        <v>191</v>
      </c>
      <c r="C236" s="406" t="str" cm="1">
        <f t="array" aca="1" ref="C236" ca="1">IF(B236&lt;=$C$9,GetGetCDSName(B236),"")</f>
        <v/>
      </c>
      <c r="D236" s="366"/>
      <c r="E236" s="399"/>
      <c r="F236" s="318"/>
      <c r="G236" s="318"/>
      <c r="H236" s="318"/>
      <c r="I236" s="318"/>
      <c r="J236" s="318"/>
      <c r="K236" s="318"/>
      <c r="L236" s="318"/>
      <c r="M236" s="318"/>
      <c r="N236" s="400"/>
      <c r="O236" s="293"/>
      <c r="P236" s="293"/>
      <c r="Q236" s="293"/>
      <c r="R236" s="293"/>
      <c r="S236" s="293"/>
      <c r="T236" s="293"/>
      <c r="U236" s="293"/>
      <c r="V236" s="293"/>
      <c r="W236" s="293"/>
      <c r="X236" s="293"/>
      <c r="Y236" s="293"/>
      <c r="Z236" s="293"/>
      <c r="AA236" s="293"/>
      <c r="AB236" s="293"/>
      <c r="AC236" s="293"/>
      <c r="AD236" s="293"/>
      <c r="AE236" s="293"/>
    </row>
    <row r="237" spans="2:31" ht="15">
      <c r="B237" s="398">
        <f t="shared" si="6"/>
        <v>192</v>
      </c>
      <c r="C237" s="406" t="str" cm="1">
        <f t="array" aca="1" ref="C237" ca="1">IF(B237&lt;=$C$9,GetGetCDSName(B237),"")</f>
        <v/>
      </c>
      <c r="D237" s="366"/>
      <c r="E237" s="399"/>
      <c r="F237" s="318"/>
      <c r="G237" s="318"/>
      <c r="H237" s="318"/>
      <c r="I237" s="318"/>
      <c r="J237" s="318"/>
      <c r="K237" s="318"/>
      <c r="L237" s="318"/>
      <c r="M237" s="318"/>
      <c r="N237" s="400"/>
      <c r="O237" s="293"/>
      <c r="P237" s="293"/>
      <c r="Q237" s="293"/>
      <c r="R237" s="293"/>
      <c r="S237" s="293"/>
      <c r="T237" s="293"/>
      <c r="U237" s="293"/>
      <c r="V237" s="293"/>
      <c r="W237" s="293"/>
      <c r="X237" s="293"/>
      <c r="Y237" s="293"/>
      <c r="Z237" s="293"/>
      <c r="AA237" s="293"/>
      <c r="AB237" s="293"/>
      <c r="AC237" s="293"/>
      <c r="AD237" s="293"/>
      <c r="AE237" s="293"/>
    </row>
    <row r="238" spans="2:31" ht="15">
      <c r="B238" s="398">
        <f t="shared" si="6"/>
        <v>193</v>
      </c>
      <c r="C238" s="406" t="str" cm="1">
        <f t="array" aca="1" ref="C238" ca="1">IF(B238&lt;=$C$9,GetGetCDSName(B238),"")</f>
        <v/>
      </c>
      <c r="D238" s="366"/>
      <c r="E238" s="399"/>
      <c r="F238" s="318"/>
      <c r="G238" s="318"/>
      <c r="H238" s="318"/>
      <c r="I238" s="318"/>
      <c r="J238" s="318"/>
      <c r="K238" s="318"/>
      <c r="L238" s="318"/>
      <c r="M238" s="318"/>
      <c r="N238" s="400"/>
      <c r="O238" s="293"/>
      <c r="P238" s="293"/>
      <c r="Q238" s="293"/>
      <c r="R238" s="293"/>
      <c r="S238" s="293"/>
      <c r="T238" s="293"/>
      <c r="U238" s="293"/>
      <c r="V238" s="293"/>
      <c r="W238" s="293"/>
      <c r="X238" s="293"/>
      <c r="Y238" s="293"/>
      <c r="Z238" s="293"/>
      <c r="AA238" s="293"/>
      <c r="AB238" s="293"/>
      <c r="AC238" s="293"/>
      <c r="AD238" s="293"/>
      <c r="AE238" s="293"/>
    </row>
    <row r="239" spans="2:31" ht="15">
      <c r="B239" s="398">
        <f t="shared" ref="B239:B302" si="7">B238+1</f>
        <v>194</v>
      </c>
      <c r="C239" s="406" t="str" cm="1">
        <f t="array" aca="1" ref="C239" ca="1">IF(B239&lt;=$C$9,GetGetCDSName(B239),"")</f>
        <v/>
      </c>
      <c r="D239" s="366"/>
      <c r="E239" s="399"/>
      <c r="F239" s="318"/>
      <c r="G239" s="318"/>
      <c r="H239" s="318"/>
      <c r="I239" s="318"/>
      <c r="J239" s="318"/>
      <c r="K239" s="318"/>
      <c r="L239" s="318"/>
      <c r="M239" s="318"/>
      <c r="N239" s="400"/>
      <c r="O239" s="293"/>
      <c r="P239" s="293"/>
      <c r="Q239" s="293"/>
      <c r="R239" s="293"/>
      <c r="S239" s="293"/>
      <c r="T239" s="293"/>
      <c r="U239" s="293"/>
      <c r="V239" s="293"/>
      <c r="W239" s="293"/>
      <c r="X239" s="293"/>
      <c r="Y239" s="293"/>
      <c r="Z239" s="293"/>
      <c r="AA239" s="293"/>
      <c r="AB239" s="293"/>
      <c r="AC239" s="293"/>
      <c r="AD239" s="293"/>
      <c r="AE239" s="293"/>
    </row>
    <row r="240" spans="2:31" ht="15">
      <c r="B240" s="398">
        <f t="shared" si="7"/>
        <v>195</v>
      </c>
      <c r="C240" s="406" t="str" cm="1">
        <f t="array" aca="1" ref="C240" ca="1">IF(B240&lt;=$C$9,GetGetCDSName(B240),"")</f>
        <v/>
      </c>
      <c r="D240" s="366"/>
      <c r="E240" s="399"/>
      <c r="F240" s="318"/>
      <c r="G240" s="318"/>
      <c r="H240" s="318"/>
      <c r="I240" s="318"/>
      <c r="J240" s="318"/>
      <c r="K240" s="318"/>
      <c r="L240" s="318"/>
      <c r="M240" s="318"/>
      <c r="N240" s="400"/>
      <c r="O240" s="293"/>
      <c r="P240" s="293"/>
      <c r="Q240" s="293"/>
      <c r="R240" s="293"/>
      <c r="S240" s="293"/>
      <c r="T240" s="293"/>
      <c r="U240" s="293"/>
      <c r="V240" s="293"/>
      <c r="W240" s="293"/>
      <c r="X240" s="293"/>
      <c r="Y240" s="293"/>
      <c r="Z240" s="293"/>
      <c r="AA240" s="293"/>
      <c r="AB240" s="293"/>
      <c r="AC240" s="293"/>
      <c r="AD240" s="293"/>
      <c r="AE240" s="293"/>
    </row>
    <row r="241" spans="2:31" ht="15">
      <c r="B241" s="398">
        <f t="shared" si="7"/>
        <v>196</v>
      </c>
      <c r="C241" s="406" t="str" cm="1">
        <f t="array" aca="1" ref="C241" ca="1">IF(B241&lt;=$C$9,GetGetCDSName(B241),"")</f>
        <v/>
      </c>
      <c r="D241" s="366"/>
      <c r="E241" s="399"/>
      <c r="F241" s="318"/>
      <c r="G241" s="318"/>
      <c r="H241" s="318"/>
      <c r="I241" s="318"/>
      <c r="J241" s="318"/>
      <c r="K241" s="318"/>
      <c r="L241" s="318"/>
      <c r="M241" s="318"/>
      <c r="N241" s="400"/>
      <c r="O241" s="293"/>
      <c r="P241" s="293"/>
      <c r="Q241" s="293"/>
      <c r="R241" s="293"/>
      <c r="S241" s="293"/>
      <c r="T241" s="293"/>
      <c r="U241" s="293"/>
      <c r="V241" s="293"/>
      <c r="W241" s="293"/>
      <c r="X241" s="293"/>
      <c r="Y241" s="293"/>
      <c r="Z241" s="293"/>
      <c r="AA241" s="293"/>
      <c r="AB241" s="293"/>
      <c r="AC241" s="293"/>
      <c r="AD241" s="293"/>
      <c r="AE241" s="293"/>
    </row>
    <row r="242" spans="2:31" ht="15">
      <c r="B242" s="398">
        <f t="shared" si="7"/>
        <v>197</v>
      </c>
      <c r="C242" s="406" t="str" cm="1">
        <f t="array" aca="1" ref="C242" ca="1">IF(B242&lt;=$C$9,GetGetCDSName(B242),"")</f>
        <v/>
      </c>
      <c r="D242" s="366"/>
      <c r="E242" s="399"/>
      <c r="F242" s="318"/>
      <c r="G242" s="318"/>
      <c r="H242" s="318"/>
      <c r="I242" s="318"/>
      <c r="J242" s="318"/>
      <c r="K242" s="318"/>
      <c r="L242" s="318"/>
      <c r="M242" s="318"/>
      <c r="N242" s="400"/>
      <c r="O242" s="293"/>
      <c r="P242" s="293"/>
      <c r="Q242" s="293"/>
      <c r="R242" s="293"/>
      <c r="S242" s="293"/>
      <c r="T242" s="293"/>
      <c r="U242" s="293"/>
      <c r="V242" s="293"/>
      <c r="W242" s="293"/>
      <c r="X242" s="293"/>
      <c r="Y242" s="293"/>
      <c r="Z242" s="293"/>
      <c r="AA242" s="293"/>
      <c r="AB242" s="293"/>
      <c r="AC242" s="293"/>
      <c r="AD242" s="293"/>
      <c r="AE242" s="293"/>
    </row>
    <row r="243" spans="2:31" ht="15">
      <c r="B243" s="398">
        <f t="shared" si="7"/>
        <v>198</v>
      </c>
      <c r="C243" s="406" t="str" cm="1">
        <f t="array" aca="1" ref="C243" ca="1">IF(B243&lt;=$C$9,GetGetCDSName(B243),"")</f>
        <v/>
      </c>
      <c r="D243" s="366"/>
      <c r="E243" s="399"/>
      <c r="F243" s="318"/>
      <c r="G243" s="318"/>
      <c r="H243" s="318"/>
      <c r="I243" s="318"/>
      <c r="J243" s="318"/>
      <c r="K243" s="318"/>
      <c r="L243" s="318"/>
      <c r="M243" s="318"/>
      <c r="N243" s="400"/>
      <c r="O243" s="293"/>
      <c r="P243" s="293"/>
      <c r="Q243" s="293"/>
      <c r="R243" s="293"/>
      <c r="S243" s="293"/>
      <c r="T243" s="293"/>
      <c r="U243" s="293"/>
      <c r="V243" s="293"/>
      <c r="W243" s="293"/>
      <c r="X243" s="293"/>
      <c r="Y243" s="293"/>
      <c r="Z243" s="293"/>
      <c r="AA243" s="293"/>
      <c r="AB243" s="293"/>
      <c r="AC243" s="293"/>
      <c r="AD243" s="293"/>
      <c r="AE243" s="293"/>
    </row>
    <row r="244" spans="2:31" ht="15">
      <c r="B244" s="398">
        <f t="shared" si="7"/>
        <v>199</v>
      </c>
      <c r="C244" s="406" t="str" cm="1">
        <f t="array" aca="1" ref="C244" ca="1">IF(B244&lt;=$C$9,GetGetCDSName(B244),"")</f>
        <v/>
      </c>
      <c r="D244" s="366"/>
      <c r="E244" s="399"/>
      <c r="F244" s="318"/>
      <c r="G244" s="318"/>
      <c r="H244" s="318"/>
      <c r="I244" s="318"/>
      <c r="J244" s="318"/>
      <c r="K244" s="318"/>
      <c r="L244" s="318"/>
      <c r="M244" s="318"/>
      <c r="N244" s="400"/>
      <c r="O244" s="293"/>
      <c r="P244" s="293"/>
      <c r="Q244" s="293"/>
      <c r="R244" s="293"/>
      <c r="S244" s="293"/>
      <c r="T244" s="293"/>
      <c r="U244" s="293"/>
      <c r="V244" s="293"/>
      <c r="W244" s="293"/>
      <c r="X244" s="293"/>
      <c r="Y244" s="293"/>
      <c r="Z244" s="293"/>
      <c r="AA244" s="293"/>
      <c r="AB244" s="293"/>
      <c r="AC244" s="293"/>
      <c r="AD244" s="293"/>
      <c r="AE244" s="293"/>
    </row>
    <row r="245" spans="2:31" ht="15">
      <c r="B245" s="398">
        <f t="shared" si="7"/>
        <v>200</v>
      </c>
      <c r="C245" s="406" t="str" cm="1">
        <f t="array" aca="1" ref="C245" ca="1">IF(B245&lt;=$C$9,GetGetCDSName(B245),"")</f>
        <v/>
      </c>
      <c r="D245" s="366"/>
      <c r="E245" s="399"/>
      <c r="F245" s="318"/>
      <c r="G245" s="318"/>
      <c r="H245" s="318"/>
      <c r="I245" s="318"/>
      <c r="J245" s="318"/>
      <c r="K245" s="318"/>
      <c r="L245" s="318"/>
      <c r="M245" s="318"/>
      <c r="N245" s="400"/>
      <c r="O245" s="293"/>
      <c r="P245" s="293"/>
      <c r="Q245" s="293"/>
      <c r="R245" s="293"/>
      <c r="S245" s="293"/>
      <c r="T245" s="293"/>
      <c r="U245" s="293"/>
      <c r="V245" s="293"/>
      <c r="W245" s="293"/>
      <c r="X245" s="293"/>
      <c r="Y245" s="293"/>
      <c r="Z245" s="293"/>
      <c r="AA245" s="293"/>
      <c r="AB245" s="293"/>
      <c r="AC245" s="293"/>
      <c r="AD245" s="293"/>
      <c r="AE245" s="293"/>
    </row>
    <row r="246" spans="2:31" ht="15">
      <c r="B246" s="398">
        <f t="shared" si="7"/>
        <v>201</v>
      </c>
      <c r="C246" s="406" t="str" cm="1">
        <f t="array" aca="1" ref="C246" ca="1">IF(B246&lt;=$C$9,GetGetCDSName(B246),"")</f>
        <v/>
      </c>
      <c r="D246" s="366"/>
      <c r="E246" s="399"/>
      <c r="F246" s="318"/>
      <c r="G246" s="318"/>
      <c r="H246" s="318"/>
      <c r="I246" s="318"/>
      <c r="J246" s="318"/>
      <c r="K246" s="318"/>
      <c r="L246" s="318"/>
      <c r="M246" s="318"/>
      <c r="N246" s="400"/>
      <c r="O246" s="293"/>
      <c r="P246" s="293"/>
      <c r="Q246" s="293"/>
      <c r="R246" s="293"/>
      <c r="S246" s="293"/>
      <c r="T246" s="293"/>
      <c r="U246" s="293"/>
      <c r="V246" s="293"/>
      <c r="W246" s="293"/>
      <c r="X246" s="293"/>
      <c r="Y246" s="293"/>
      <c r="Z246" s="293"/>
      <c r="AA246" s="293"/>
      <c r="AB246" s="293"/>
      <c r="AC246" s="293"/>
      <c r="AD246" s="293"/>
      <c r="AE246" s="293"/>
    </row>
    <row r="247" spans="2:31" ht="15">
      <c r="B247" s="398">
        <f t="shared" si="7"/>
        <v>202</v>
      </c>
      <c r="C247" s="406" t="str" cm="1">
        <f t="array" aca="1" ref="C247" ca="1">IF(B247&lt;=$C$9,GetGetCDSName(B247),"")</f>
        <v/>
      </c>
      <c r="D247" s="366"/>
      <c r="E247" s="399"/>
      <c r="F247" s="318"/>
      <c r="G247" s="318"/>
      <c r="H247" s="318"/>
      <c r="I247" s="318"/>
      <c r="J247" s="318"/>
      <c r="K247" s="318"/>
      <c r="L247" s="318"/>
      <c r="M247" s="318"/>
      <c r="N247" s="400"/>
      <c r="O247" s="293"/>
      <c r="P247" s="293"/>
      <c r="Q247" s="293"/>
      <c r="R247" s="293"/>
      <c r="S247" s="293"/>
      <c r="T247" s="293"/>
      <c r="U247" s="293"/>
      <c r="V247" s="293"/>
      <c r="W247" s="293"/>
      <c r="X247" s="293"/>
      <c r="Y247" s="293"/>
      <c r="Z247" s="293"/>
      <c r="AA247" s="293"/>
      <c r="AB247" s="293"/>
      <c r="AC247" s="293"/>
      <c r="AD247" s="293"/>
      <c r="AE247" s="293"/>
    </row>
    <row r="248" spans="2:31" ht="15">
      <c r="B248" s="398">
        <f t="shared" si="7"/>
        <v>203</v>
      </c>
      <c r="C248" s="406" t="str" cm="1">
        <f t="array" aca="1" ref="C248" ca="1">IF(B248&lt;=$C$9,GetGetCDSName(B248),"")</f>
        <v/>
      </c>
      <c r="D248" s="366"/>
      <c r="E248" s="399"/>
      <c r="F248" s="318"/>
      <c r="G248" s="318"/>
      <c r="H248" s="318"/>
      <c r="I248" s="318"/>
      <c r="J248" s="318"/>
      <c r="K248" s="318"/>
      <c r="L248" s="318"/>
      <c r="M248" s="318"/>
      <c r="N248" s="400"/>
      <c r="O248" s="293"/>
      <c r="P248" s="293"/>
      <c r="Q248" s="293"/>
      <c r="R248" s="293"/>
      <c r="S248" s="293"/>
      <c r="T248" s="293"/>
      <c r="U248" s="293"/>
      <c r="V248" s="293"/>
      <c r="W248" s="293"/>
      <c r="X248" s="293"/>
      <c r="Y248" s="293"/>
      <c r="Z248" s="293"/>
      <c r="AA248" s="293"/>
      <c r="AB248" s="293"/>
      <c r="AC248" s="293"/>
      <c r="AD248" s="293"/>
      <c r="AE248" s="293"/>
    </row>
    <row r="249" spans="2:31" ht="15">
      <c r="B249" s="398">
        <f t="shared" si="7"/>
        <v>204</v>
      </c>
      <c r="C249" s="406" t="str" cm="1">
        <f t="array" aca="1" ref="C249" ca="1">IF(B249&lt;=$C$9,GetGetCDSName(B249),"")</f>
        <v/>
      </c>
      <c r="D249" s="366"/>
      <c r="E249" s="399"/>
      <c r="F249" s="318"/>
      <c r="G249" s="318"/>
      <c r="H249" s="318"/>
      <c r="I249" s="318"/>
      <c r="J249" s="318"/>
      <c r="K249" s="318"/>
      <c r="L249" s="318"/>
      <c r="M249" s="318"/>
      <c r="N249" s="400"/>
      <c r="O249" s="293"/>
      <c r="P249" s="293"/>
      <c r="Q249" s="293"/>
      <c r="R249" s="293"/>
      <c r="S249" s="293"/>
      <c r="T249" s="293"/>
      <c r="U249" s="293"/>
      <c r="V249" s="293"/>
      <c r="W249" s="293"/>
      <c r="X249" s="293"/>
      <c r="Y249" s="293"/>
      <c r="Z249" s="293"/>
      <c r="AA249" s="293"/>
      <c r="AB249" s="293"/>
      <c r="AC249" s="293"/>
      <c r="AD249" s="293"/>
      <c r="AE249" s="293"/>
    </row>
    <row r="250" spans="2:31" ht="15">
      <c r="B250" s="398">
        <f t="shared" si="7"/>
        <v>205</v>
      </c>
      <c r="C250" s="406" t="str" cm="1">
        <f t="array" aca="1" ref="C250" ca="1">IF(B250&lt;=$C$9,GetGetCDSName(B250),"")</f>
        <v/>
      </c>
      <c r="D250" s="366"/>
      <c r="E250" s="399"/>
      <c r="F250" s="318"/>
      <c r="G250" s="318"/>
      <c r="H250" s="318"/>
      <c r="I250" s="318"/>
      <c r="J250" s="318"/>
      <c r="K250" s="318"/>
      <c r="L250" s="318"/>
      <c r="M250" s="318"/>
      <c r="N250" s="400"/>
      <c r="O250" s="293"/>
      <c r="P250" s="293"/>
      <c r="Q250" s="293"/>
      <c r="R250" s="293"/>
      <c r="S250" s="293"/>
      <c r="T250" s="293"/>
      <c r="U250" s="293"/>
      <c r="V250" s="293"/>
      <c r="W250" s="293"/>
      <c r="X250" s="293"/>
      <c r="Y250" s="293"/>
      <c r="Z250" s="293"/>
      <c r="AA250" s="293"/>
      <c r="AB250" s="293"/>
      <c r="AC250" s="293"/>
      <c r="AD250" s="293"/>
      <c r="AE250" s="293"/>
    </row>
    <row r="251" spans="2:31" ht="15">
      <c r="B251" s="398">
        <f t="shared" si="7"/>
        <v>206</v>
      </c>
      <c r="C251" s="406" t="str" cm="1">
        <f t="array" aca="1" ref="C251" ca="1">IF(B251&lt;=$C$9,GetGetCDSName(B251),"")</f>
        <v/>
      </c>
      <c r="D251" s="366"/>
      <c r="E251" s="399"/>
      <c r="F251" s="318"/>
      <c r="G251" s="318"/>
      <c r="H251" s="318"/>
      <c r="I251" s="318"/>
      <c r="J251" s="318"/>
      <c r="K251" s="318"/>
      <c r="L251" s="318"/>
      <c r="M251" s="318"/>
      <c r="N251" s="400"/>
      <c r="O251" s="293"/>
      <c r="P251" s="293"/>
      <c r="Q251" s="293"/>
      <c r="R251" s="293"/>
      <c r="S251" s="293"/>
      <c r="T251" s="293"/>
      <c r="U251" s="293"/>
      <c r="V251" s="293"/>
      <c r="W251" s="293"/>
      <c r="X251" s="293"/>
      <c r="Y251" s="293"/>
      <c r="Z251" s="293"/>
      <c r="AA251" s="293"/>
      <c r="AB251" s="293"/>
      <c r="AC251" s="293"/>
      <c r="AD251" s="293"/>
      <c r="AE251" s="293"/>
    </row>
    <row r="252" spans="2:31" ht="15">
      <c r="B252" s="398">
        <f t="shared" si="7"/>
        <v>207</v>
      </c>
      <c r="C252" s="406" t="str" cm="1">
        <f t="array" aca="1" ref="C252" ca="1">IF(B252&lt;=$C$9,GetGetCDSName(B252),"")</f>
        <v/>
      </c>
      <c r="D252" s="366"/>
      <c r="E252" s="399"/>
      <c r="F252" s="318"/>
      <c r="G252" s="318"/>
      <c r="H252" s="318"/>
      <c r="I252" s="318"/>
      <c r="J252" s="318"/>
      <c r="K252" s="318"/>
      <c r="L252" s="318"/>
      <c r="M252" s="318"/>
      <c r="N252" s="400"/>
      <c r="O252" s="293"/>
      <c r="P252" s="293"/>
      <c r="Q252" s="293"/>
      <c r="R252" s="293"/>
      <c r="S252" s="293"/>
      <c r="T252" s="293"/>
      <c r="U252" s="293"/>
      <c r="V252" s="293"/>
      <c r="W252" s="293"/>
      <c r="X252" s="293"/>
      <c r="Y252" s="293"/>
      <c r="Z252" s="293"/>
      <c r="AA252" s="293"/>
      <c r="AB252" s="293"/>
      <c r="AC252" s="293"/>
      <c r="AD252" s="293"/>
      <c r="AE252" s="293"/>
    </row>
    <row r="253" spans="2:31" ht="15">
      <c r="B253" s="398">
        <f t="shared" si="7"/>
        <v>208</v>
      </c>
      <c r="C253" s="406" t="str" cm="1">
        <f t="array" aca="1" ref="C253" ca="1">IF(B253&lt;=$C$9,GetGetCDSName(B253),"")</f>
        <v/>
      </c>
      <c r="D253" s="366"/>
      <c r="E253" s="399"/>
      <c r="F253" s="318"/>
      <c r="G253" s="318"/>
      <c r="H253" s="318"/>
      <c r="I253" s="318"/>
      <c r="J253" s="318"/>
      <c r="K253" s="318"/>
      <c r="L253" s="318"/>
      <c r="M253" s="318"/>
      <c r="N253" s="400"/>
      <c r="O253" s="293"/>
      <c r="P253" s="293"/>
      <c r="Q253" s="293"/>
      <c r="R253" s="293"/>
      <c r="S253" s="293"/>
      <c r="T253" s="293"/>
      <c r="U253" s="293"/>
      <c r="V253" s="293"/>
      <c r="W253" s="293"/>
      <c r="X253" s="293"/>
      <c r="Y253" s="293"/>
      <c r="Z253" s="293"/>
      <c r="AA253" s="293"/>
      <c r="AB253" s="293"/>
      <c r="AC253" s="293"/>
      <c r="AD253" s="293"/>
      <c r="AE253" s="293"/>
    </row>
    <row r="254" spans="2:31" ht="15">
      <c r="B254" s="398">
        <f t="shared" si="7"/>
        <v>209</v>
      </c>
      <c r="C254" s="406" t="str" cm="1">
        <f t="array" aca="1" ref="C254" ca="1">IF(B254&lt;=$C$9,GetGetCDSName(B254),"")</f>
        <v/>
      </c>
      <c r="D254" s="366"/>
      <c r="E254" s="399"/>
      <c r="F254" s="318"/>
      <c r="G254" s="318"/>
      <c r="H254" s="318"/>
      <c r="I254" s="318"/>
      <c r="J254" s="318"/>
      <c r="K254" s="318"/>
      <c r="L254" s="318"/>
      <c r="M254" s="318"/>
      <c r="N254" s="400"/>
      <c r="O254" s="293"/>
      <c r="P254" s="293"/>
      <c r="Q254" s="293"/>
      <c r="R254" s="293"/>
      <c r="S254" s="293"/>
      <c r="T254" s="293"/>
      <c r="U254" s="293"/>
      <c r="V254" s="293"/>
      <c r="W254" s="293"/>
      <c r="X254" s="293"/>
      <c r="Y254" s="293"/>
      <c r="Z254" s="293"/>
      <c r="AA254" s="293"/>
      <c r="AB254" s="293"/>
      <c r="AC254" s="293"/>
      <c r="AD254" s="293"/>
      <c r="AE254" s="293"/>
    </row>
    <row r="255" spans="2:31" ht="15">
      <c r="B255" s="398">
        <f t="shared" si="7"/>
        <v>210</v>
      </c>
      <c r="C255" s="406" t="str" cm="1">
        <f t="array" aca="1" ref="C255" ca="1">IF(B255&lt;=$C$9,GetGetCDSName(B255),"")</f>
        <v/>
      </c>
      <c r="D255" s="366"/>
      <c r="E255" s="399"/>
      <c r="F255" s="318"/>
      <c r="G255" s="318"/>
      <c r="H255" s="318"/>
      <c r="I255" s="318"/>
      <c r="J255" s="318"/>
      <c r="K255" s="318"/>
      <c r="L255" s="318"/>
      <c r="M255" s="318"/>
      <c r="N255" s="400"/>
      <c r="O255" s="293"/>
      <c r="P255" s="293"/>
      <c r="Q255" s="293"/>
      <c r="R255" s="293"/>
      <c r="S255" s="293"/>
      <c r="T255" s="293"/>
      <c r="U255" s="293"/>
      <c r="V255" s="293"/>
      <c r="W255" s="293"/>
      <c r="X255" s="293"/>
      <c r="Y255" s="293"/>
      <c r="Z255" s="293"/>
      <c r="AA255" s="293"/>
      <c r="AB255" s="293"/>
      <c r="AC255" s="293"/>
      <c r="AD255" s="293"/>
      <c r="AE255" s="293"/>
    </row>
    <row r="256" spans="2:31" ht="15">
      <c r="B256" s="398">
        <f t="shared" si="7"/>
        <v>211</v>
      </c>
      <c r="C256" s="406" t="str" cm="1">
        <f t="array" aca="1" ref="C256" ca="1">IF(B256&lt;=$C$9,GetGetCDSName(B256),"")</f>
        <v/>
      </c>
      <c r="D256" s="366"/>
      <c r="E256" s="399"/>
      <c r="F256" s="318"/>
      <c r="G256" s="318"/>
      <c r="H256" s="318"/>
      <c r="I256" s="318"/>
      <c r="J256" s="318"/>
      <c r="K256" s="318"/>
      <c r="L256" s="318"/>
      <c r="M256" s="318"/>
      <c r="N256" s="400"/>
      <c r="O256" s="293"/>
      <c r="P256" s="293"/>
      <c r="Q256" s="293"/>
      <c r="R256" s="293"/>
      <c r="S256" s="293"/>
      <c r="T256" s="293"/>
      <c r="U256" s="293"/>
      <c r="V256" s="293"/>
      <c r="W256" s="293"/>
      <c r="X256" s="293"/>
      <c r="Y256" s="293"/>
      <c r="Z256" s="293"/>
      <c r="AA256" s="293"/>
      <c r="AB256" s="293"/>
      <c r="AC256" s="293"/>
      <c r="AD256" s="293"/>
      <c r="AE256" s="293"/>
    </row>
    <row r="257" spans="2:31" ht="15">
      <c r="B257" s="398">
        <f t="shared" si="7"/>
        <v>212</v>
      </c>
      <c r="C257" s="406" t="str" cm="1">
        <f t="array" aca="1" ref="C257" ca="1">IF(B257&lt;=$C$9,GetGetCDSName(B257),"")</f>
        <v/>
      </c>
      <c r="D257" s="366"/>
      <c r="E257" s="399"/>
      <c r="F257" s="318"/>
      <c r="G257" s="318"/>
      <c r="H257" s="318"/>
      <c r="I257" s="318"/>
      <c r="J257" s="318"/>
      <c r="K257" s="318"/>
      <c r="L257" s="318"/>
      <c r="M257" s="318"/>
      <c r="N257" s="400"/>
      <c r="O257" s="293"/>
      <c r="P257" s="293"/>
      <c r="Q257" s="293"/>
      <c r="R257" s="293"/>
      <c r="S257" s="293"/>
      <c r="T257" s="293"/>
      <c r="U257" s="293"/>
      <c r="V257" s="293"/>
      <c r="W257" s="293"/>
      <c r="X257" s="293"/>
      <c r="Y257" s="293"/>
      <c r="Z257" s="293"/>
      <c r="AA257" s="293"/>
      <c r="AB257" s="293"/>
      <c r="AC257" s="293"/>
      <c r="AD257" s="293"/>
      <c r="AE257" s="293"/>
    </row>
    <row r="258" spans="2:31" ht="15">
      <c r="B258" s="398">
        <f t="shared" si="7"/>
        <v>213</v>
      </c>
      <c r="C258" s="406" t="str" cm="1">
        <f t="array" aca="1" ref="C258" ca="1">IF(B258&lt;=$C$9,GetGetCDSName(B258),"")</f>
        <v/>
      </c>
      <c r="D258" s="366"/>
      <c r="E258" s="399"/>
      <c r="F258" s="318"/>
      <c r="G258" s="318"/>
      <c r="H258" s="318"/>
      <c r="I258" s="318"/>
      <c r="J258" s="318"/>
      <c r="K258" s="318"/>
      <c r="L258" s="318"/>
      <c r="M258" s="318"/>
      <c r="N258" s="400"/>
      <c r="O258" s="293"/>
      <c r="P258" s="293"/>
      <c r="Q258" s="293"/>
      <c r="R258" s="293"/>
      <c r="S258" s="293"/>
      <c r="T258" s="293"/>
      <c r="U258" s="293"/>
      <c r="V258" s="293"/>
      <c r="W258" s="293"/>
      <c r="X258" s="293"/>
      <c r="Y258" s="293"/>
      <c r="Z258" s="293"/>
      <c r="AA258" s="293"/>
      <c r="AB258" s="293"/>
      <c r="AC258" s="293"/>
      <c r="AD258" s="293"/>
      <c r="AE258" s="293"/>
    </row>
    <row r="259" spans="2:31" ht="15">
      <c r="B259" s="398">
        <f t="shared" si="7"/>
        <v>214</v>
      </c>
      <c r="C259" s="406" t="str" cm="1">
        <f t="array" aca="1" ref="C259" ca="1">IF(B259&lt;=$C$9,GetGetCDSName(B259),"")</f>
        <v/>
      </c>
      <c r="D259" s="366"/>
      <c r="E259" s="399"/>
      <c r="F259" s="318"/>
      <c r="G259" s="318"/>
      <c r="H259" s="318"/>
      <c r="I259" s="318"/>
      <c r="J259" s="318"/>
      <c r="K259" s="318"/>
      <c r="L259" s="318"/>
      <c r="M259" s="318"/>
      <c r="N259" s="400"/>
      <c r="O259" s="293"/>
      <c r="P259" s="293"/>
      <c r="Q259" s="293"/>
      <c r="R259" s="293"/>
      <c r="S259" s="293"/>
      <c r="T259" s="293"/>
      <c r="U259" s="293"/>
      <c r="V259" s="293"/>
      <c r="W259" s="293"/>
      <c r="X259" s="293"/>
      <c r="Y259" s="293"/>
      <c r="Z259" s="293"/>
      <c r="AA259" s="293"/>
      <c r="AB259" s="293"/>
      <c r="AC259" s="293"/>
      <c r="AD259" s="293"/>
      <c r="AE259" s="293"/>
    </row>
    <row r="260" spans="2:31" ht="15">
      <c r="B260" s="398">
        <f t="shared" si="7"/>
        <v>215</v>
      </c>
      <c r="C260" s="406" t="str" cm="1">
        <f t="array" aca="1" ref="C260" ca="1">IF(B260&lt;=$C$9,GetGetCDSName(B260),"")</f>
        <v/>
      </c>
      <c r="D260" s="366"/>
      <c r="E260" s="399"/>
      <c r="F260" s="318"/>
      <c r="G260" s="318"/>
      <c r="H260" s="318"/>
      <c r="I260" s="318"/>
      <c r="J260" s="318"/>
      <c r="K260" s="318"/>
      <c r="L260" s="318"/>
      <c r="M260" s="318"/>
      <c r="N260" s="400"/>
      <c r="O260" s="293"/>
      <c r="P260" s="293"/>
      <c r="Q260" s="293"/>
      <c r="R260" s="293"/>
      <c r="S260" s="293"/>
      <c r="T260" s="293"/>
      <c r="U260" s="293"/>
      <c r="V260" s="293"/>
      <c r="W260" s="293"/>
      <c r="X260" s="293"/>
      <c r="Y260" s="293"/>
      <c r="Z260" s="293"/>
      <c r="AA260" s="293"/>
      <c r="AB260" s="293"/>
      <c r="AC260" s="293"/>
      <c r="AD260" s="293"/>
      <c r="AE260" s="293"/>
    </row>
    <row r="261" spans="2:31" ht="15">
      <c r="B261" s="398">
        <f t="shared" si="7"/>
        <v>216</v>
      </c>
      <c r="C261" s="406" t="str" cm="1">
        <f t="array" aca="1" ref="C261" ca="1">IF(B261&lt;=$C$9,GetGetCDSName(B261),"")</f>
        <v/>
      </c>
      <c r="D261" s="366"/>
      <c r="E261" s="399"/>
      <c r="F261" s="318"/>
      <c r="G261" s="318"/>
      <c r="H261" s="318"/>
      <c r="I261" s="318"/>
      <c r="J261" s="318"/>
      <c r="K261" s="318"/>
      <c r="L261" s="318"/>
      <c r="M261" s="318"/>
      <c r="N261" s="400"/>
      <c r="O261" s="293"/>
      <c r="P261" s="293"/>
      <c r="Q261" s="293"/>
      <c r="R261" s="293"/>
      <c r="S261" s="293"/>
      <c r="T261" s="293"/>
      <c r="U261" s="293"/>
      <c r="V261" s="293"/>
      <c r="W261" s="293"/>
      <c r="X261" s="293"/>
      <c r="Y261" s="293"/>
      <c r="Z261" s="293"/>
      <c r="AA261" s="293"/>
      <c r="AB261" s="293"/>
      <c r="AC261" s="293"/>
      <c r="AD261" s="293"/>
      <c r="AE261" s="293"/>
    </row>
    <row r="262" spans="2:31" ht="15">
      <c r="B262" s="398">
        <f t="shared" si="7"/>
        <v>217</v>
      </c>
      <c r="C262" s="406" t="str" cm="1">
        <f t="array" aca="1" ref="C262" ca="1">IF(B262&lt;=$C$9,GetGetCDSName(B262),"")</f>
        <v/>
      </c>
      <c r="D262" s="366"/>
      <c r="E262" s="399"/>
      <c r="F262" s="318"/>
      <c r="G262" s="318"/>
      <c r="H262" s="318"/>
      <c r="I262" s="318"/>
      <c r="J262" s="318"/>
      <c r="K262" s="318"/>
      <c r="L262" s="318"/>
      <c r="M262" s="318"/>
      <c r="N262" s="400"/>
      <c r="O262" s="293"/>
      <c r="P262" s="293"/>
      <c r="Q262" s="293"/>
      <c r="R262" s="293"/>
      <c r="S262" s="293"/>
      <c r="T262" s="293"/>
      <c r="U262" s="293"/>
      <c r="V262" s="293"/>
      <c r="W262" s="293"/>
      <c r="X262" s="293"/>
      <c r="Y262" s="293"/>
      <c r="Z262" s="293"/>
      <c r="AA262" s="293"/>
      <c r="AB262" s="293"/>
      <c r="AC262" s="293"/>
      <c r="AD262" s="293"/>
      <c r="AE262" s="293"/>
    </row>
    <row r="263" spans="2:31" ht="15">
      <c r="B263" s="398">
        <f t="shared" si="7"/>
        <v>218</v>
      </c>
      <c r="C263" s="406" t="str" cm="1">
        <f t="array" aca="1" ref="C263" ca="1">IF(B263&lt;=$C$9,GetGetCDSName(B263),"")</f>
        <v/>
      </c>
      <c r="D263" s="366"/>
      <c r="E263" s="399"/>
      <c r="F263" s="318"/>
      <c r="G263" s="318"/>
      <c r="H263" s="318"/>
      <c r="I263" s="318"/>
      <c r="J263" s="318"/>
      <c r="K263" s="318"/>
      <c r="L263" s="318"/>
      <c r="M263" s="318"/>
      <c r="N263" s="400"/>
      <c r="O263" s="293"/>
      <c r="P263" s="293"/>
      <c r="Q263" s="293"/>
      <c r="R263" s="293"/>
      <c r="S263" s="293"/>
      <c r="T263" s="293"/>
      <c r="U263" s="293"/>
      <c r="V263" s="293"/>
      <c r="W263" s="293"/>
      <c r="X263" s="293"/>
      <c r="Y263" s="293"/>
      <c r="Z263" s="293"/>
      <c r="AA263" s="293"/>
      <c r="AB263" s="293"/>
      <c r="AC263" s="293"/>
      <c r="AD263" s="293"/>
      <c r="AE263" s="293"/>
    </row>
    <row r="264" spans="2:31" ht="15">
      <c r="B264" s="398">
        <f t="shared" si="7"/>
        <v>219</v>
      </c>
      <c r="C264" s="406" t="str" cm="1">
        <f t="array" aca="1" ref="C264" ca="1">IF(B264&lt;=$C$9,GetGetCDSName(B264),"")</f>
        <v/>
      </c>
      <c r="D264" s="366"/>
      <c r="E264" s="399"/>
      <c r="F264" s="318"/>
      <c r="G264" s="318"/>
      <c r="H264" s="318"/>
      <c r="I264" s="318"/>
      <c r="J264" s="318"/>
      <c r="K264" s="318"/>
      <c r="L264" s="318"/>
      <c r="M264" s="318"/>
      <c r="N264" s="400"/>
      <c r="O264" s="293"/>
      <c r="P264" s="293"/>
      <c r="Q264" s="293"/>
      <c r="R264" s="293"/>
      <c r="S264" s="293"/>
      <c r="T264" s="293"/>
      <c r="U264" s="293"/>
      <c r="V264" s="293"/>
      <c r="W264" s="293"/>
      <c r="X264" s="293"/>
      <c r="Y264" s="293"/>
      <c r="Z264" s="293"/>
      <c r="AA264" s="293"/>
      <c r="AB264" s="293"/>
      <c r="AC264" s="293"/>
      <c r="AD264" s="293"/>
      <c r="AE264" s="293"/>
    </row>
    <row r="265" spans="2:31" ht="15">
      <c r="B265" s="398">
        <f t="shared" si="7"/>
        <v>220</v>
      </c>
      <c r="C265" s="406" t="str" cm="1">
        <f t="array" aca="1" ref="C265" ca="1">IF(B265&lt;=$C$9,GetGetCDSName(B265),"")</f>
        <v/>
      </c>
      <c r="D265" s="366"/>
      <c r="E265" s="399"/>
      <c r="F265" s="318"/>
      <c r="G265" s="318"/>
      <c r="H265" s="318"/>
      <c r="I265" s="318"/>
      <c r="J265" s="318"/>
      <c r="K265" s="318"/>
      <c r="L265" s="318"/>
      <c r="M265" s="318"/>
      <c r="N265" s="400"/>
      <c r="O265" s="293"/>
      <c r="P265" s="293"/>
      <c r="Q265" s="293"/>
      <c r="R265" s="293"/>
      <c r="S265" s="293"/>
      <c r="T265" s="293"/>
      <c r="U265" s="293"/>
      <c r="V265" s="293"/>
      <c r="W265" s="293"/>
      <c r="X265" s="293"/>
      <c r="Y265" s="293"/>
      <c r="Z265" s="293"/>
      <c r="AA265" s="293"/>
      <c r="AB265" s="293"/>
      <c r="AC265" s="293"/>
      <c r="AD265" s="293"/>
      <c r="AE265" s="293"/>
    </row>
    <row r="266" spans="2:31" ht="15">
      <c r="B266" s="398">
        <f t="shared" si="7"/>
        <v>221</v>
      </c>
      <c r="C266" s="406" t="str" cm="1">
        <f t="array" aca="1" ref="C266" ca="1">IF(B266&lt;=$C$9,GetGetCDSName(B266),"")</f>
        <v/>
      </c>
      <c r="D266" s="366"/>
      <c r="E266" s="399"/>
      <c r="F266" s="318"/>
      <c r="G266" s="318"/>
      <c r="H266" s="318"/>
      <c r="I266" s="318"/>
      <c r="J266" s="318"/>
      <c r="K266" s="318"/>
      <c r="L266" s="318"/>
      <c r="M266" s="318"/>
      <c r="N266" s="400"/>
      <c r="O266" s="293"/>
      <c r="P266" s="293"/>
      <c r="Q266" s="293"/>
      <c r="R266" s="293"/>
      <c r="S266" s="293"/>
      <c r="T266" s="293"/>
      <c r="U266" s="293"/>
      <c r="V266" s="293"/>
      <c r="W266" s="293"/>
      <c r="X266" s="293"/>
      <c r="Y266" s="293"/>
      <c r="Z266" s="293"/>
      <c r="AA266" s="293"/>
      <c r="AB266" s="293"/>
      <c r="AC266" s="293"/>
      <c r="AD266" s="293"/>
      <c r="AE266" s="293"/>
    </row>
    <row r="267" spans="2:31" ht="15">
      <c r="B267" s="398">
        <f t="shared" si="7"/>
        <v>222</v>
      </c>
      <c r="C267" s="406" t="str" cm="1">
        <f t="array" aca="1" ref="C267" ca="1">IF(B267&lt;=$C$9,GetGetCDSName(B267),"")</f>
        <v/>
      </c>
      <c r="D267" s="366"/>
      <c r="E267" s="399"/>
      <c r="F267" s="318"/>
      <c r="G267" s="318"/>
      <c r="H267" s="318"/>
      <c r="I267" s="318"/>
      <c r="J267" s="318"/>
      <c r="K267" s="318"/>
      <c r="L267" s="318"/>
      <c r="M267" s="318"/>
      <c r="N267" s="400"/>
      <c r="O267" s="293"/>
      <c r="P267" s="293"/>
      <c r="Q267" s="293"/>
      <c r="R267" s="293"/>
      <c r="S267" s="293"/>
      <c r="T267" s="293"/>
      <c r="U267" s="293"/>
      <c r="V267" s="293"/>
      <c r="W267" s="293"/>
      <c r="X267" s="293"/>
      <c r="Y267" s="293"/>
      <c r="Z267" s="293"/>
      <c r="AA267" s="293"/>
      <c r="AB267" s="293"/>
      <c r="AC267" s="293"/>
      <c r="AD267" s="293"/>
      <c r="AE267" s="293"/>
    </row>
    <row r="268" spans="2:31" ht="15">
      <c r="B268" s="398">
        <f t="shared" si="7"/>
        <v>223</v>
      </c>
      <c r="C268" s="406" t="str" cm="1">
        <f t="array" aca="1" ref="C268" ca="1">IF(B268&lt;=$C$9,GetGetCDSName(B268),"")</f>
        <v/>
      </c>
      <c r="D268" s="366"/>
      <c r="E268" s="399"/>
      <c r="F268" s="318"/>
      <c r="G268" s="318"/>
      <c r="H268" s="318"/>
      <c r="I268" s="318"/>
      <c r="J268" s="318"/>
      <c r="K268" s="318"/>
      <c r="L268" s="318"/>
      <c r="M268" s="318"/>
      <c r="N268" s="400"/>
      <c r="O268" s="293"/>
      <c r="P268" s="293"/>
      <c r="Q268" s="293"/>
      <c r="R268" s="293"/>
      <c r="S268" s="293"/>
      <c r="T268" s="293"/>
      <c r="U268" s="293"/>
      <c r="V268" s="293"/>
      <c r="W268" s="293"/>
      <c r="X268" s="293"/>
      <c r="Y268" s="293"/>
      <c r="Z268" s="293"/>
      <c r="AA268" s="293"/>
      <c r="AB268" s="293"/>
      <c r="AC268" s="293"/>
      <c r="AD268" s="293"/>
      <c r="AE268" s="293"/>
    </row>
    <row r="269" spans="2:31" ht="15">
      <c r="B269" s="398">
        <f t="shared" si="7"/>
        <v>224</v>
      </c>
      <c r="C269" s="406" t="str" cm="1">
        <f t="array" aca="1" ref="C269" ca="1">IF(B269&lt;=$C$9,GetGetCDSName(B269),"")</f>
        <v/>
      </c>
      <c r="D269" s="366"/>
      <c r="E269" s="399"/>
      <c r="F269" s="318"/>
      <c r="G269" s="318"/>
      <c r="H269" s="318"/>
      <c r="I269" s="318"/>
      <c r="J269" s="318"/>
      <c r="K269" s="318"/>
      <c r="L269" s="318"/>
      <c r="M269" s="318"/>
      <c r="N269" s="400"/>
      <c r="O269" s="293"/>
      <c r="P269" s="293"/>
      <c r="Q269" s="293"/>
      <c r="R269" s="293"/>
      <c r="S269" s="293"/>
      <c r="T269" s="293"/>
      <c r="U269" s="293"/>
      <c r="V269" s="293"/>
      <c r="W269" s="293"/>
      <c r="X269" s="293"/>
      <c r="Y269" s="293"/>
      <c r="Z269" s="293"/>
      <c r="AA269" s="293"/>
      <c r="AB269" s="293"/>
      <c r="AC269" s="293"/>
      <c r="AD269" s="293"/>
      <c r="AE269" s="293"/>
    </row>
    <row r="270" spans="2:31" ht="15">
      <c r="B270" s="398">
        <f t="shared" si="7"/>
        <v>225</v>
      </c>
      <c r="C270" s="406" t="str" cm="1">
        <f t="array" aca="1" ref="C270" ca="1">IF(B270&lt;=$C$9,GetGetCDSName(B270),"")</f>
        <v/>
      </c>
      <c r="D270" s="366"/>
      <c r="E270" s="399"/>
      <c r="F270" s="318"/>
      <c r="G270" s="318"/>
      <c r="H270" s="318"/>
      <c r="I270" s="318"/>
      <c r="J270" s="318"/>
      <c r="K270" s="318"/>
      <c r="L270" s="318"/>
      <c r="M270" s="318"/>
      <c r="N270" s="400"/>
      <c r="O270" s="293"/>
      <c r="P270" s="293"/>
      <c r="Q270" s="293"/>
      <c r="R270" s="293"/>
      <c r="S270" s="293"/>
      <c r="T270" s="293"/>
      <c r="U270" s="293"/>
      <c r="V270" s="293"/>
      <c r="W270" s="293"/>
      <c r="X270" s="293"/>
      <c r="Y270" s="293"/>
      <c r="Z270" s="293"/>
      <c r="AA270" s="293"/>
      <c r="AB270" s="293"/>
      <c r="AC270" s="293"/>
      <c r="AD270" s="293"/>
      <c r="AE270" s="293"/>
    </row>
    <row r="271" spans="2:31" ht="15">
      <c r="B271" s="398">
        <f t="shared" si="7"/>
        <v>226</v>
      </c>
      <c r="C271" s="406" t="str" cm="1">
        <f t="array" aca="1" ref="C271" ca="1">IF(B271&lt;=$C$9,GetGetCDSName(B271),"")</f>
        <v/>
      </c>
      <c r="D271" s="366"/>
      <c r="E271" s="399"/>
      <c r="F271" s="318"/>
      <c r="G271" s="318"/>
      <c r="H271" s="318"/>
      <c r="I271" s="318"/>
      <c r="J271" s="318"/>
      <c r="K271" s="318"/>
      <c r="L271" s="318"/>
      <c r="M271" s="318"/>
      <c r="N271" s="400"/>
      <c r="O271" s="293"/>
      <c r="P271" s="293"/>
      <c r="Q271" s="293"/>
      <c r="R271" s="293"/>
      <c r="S271" s="293"/>
      <c r="T271" s="293"/>
      <c r="U271" s="293"/>
      <c r="V271" s="293"/>
      <c r="W271" s="293"/>
      <c r="X271" s="293"/>
      <c r="Y271" s="293"/>
      <c r="Z271" s="293"/>
      <c r="AA271" s="293"/>
      <c r="AB271" s="293"/>
      <c r="AC271" s="293"/>
      <c r="AD271" s="293"/>
      <c r="AE271" s="293"/>
    </row>
    <row r="272" spans="2:31" ht="15">
      <c r="B272" s="398">
        <f t="shared" si="7"/>
        <v>227</v>
      </c>
      <c r="C272" s="406" t="str" cm="1">
        <f t="array" aca="1" ref="C272" ca="1">IF(B272&lt;=$C$9,GetGetCDSName(B272),"")</f>
        <v/>
      </c>
      <c r="D272" s="366"/>
      <c r="E272" s="399"/>
      <c r="F272" s="318"/>
      <c r="G272" s="318"/>
      <c r="H272" s="318"/>
      <c r="I272" s="318"/>
      <c r="J272" s="318"/>
      <c r="K272" s="318"/>
      <c r="L272" s="318"/>
      <c r="M272" s="318"/>
      <c r="N272" s="400"/>
      <c r="O272" s="293"/>
      <c r="P272" s="293"/>
      <c r="Q272" s="293"/>
      <c r="R272" s="293"/>
      <c r="S272" s="293"/>
      <c r="T272" s="293"/>
      <c r="U272" s="293"/>
      <c r="V272" s="293"/>
      <c r="W272" s="293"/>
      <c r="X272" s="293"/>
      <c r="Y272" s="293"/>
      <c r="Z272" s="293"/>
      <c r="AA272" s="293"/>
      <c r="AB272" s="293"/>
      <c r="AC272" s="293"/>
      <c r="AD272" s="293"/>
      <c r="AE272" s="293"/>
    </row>
    <row r="273" spans="2:31" ht="15">
      <c r="B273" s="398">
        <f t="shared" si="7"/>
        <v>228</v>
      </c>
      <c r="C273" s="406" t="str" cm="1">
        <f t="array" aca="1" ref="C273" ca="1">IF(B273&lt;=$C$9,GetGetCDSName(B273),"")</f>
        <v/>
      </c>
      <c r="D273" s="366"/>
      <c r="E273" s="399"/>
      <c r="F273" s="318"/>
      <c r="G273" s="318"/>
      <c r="H273" s="318"/>
      <c r="I273" s="318"/>
      <c r="J273" s="318"/>
      <c r="K273" s="318"/>
      <c r="L273" s="318"/>
      <c r="M273" s="318"/>
      <c r="N273" s="400"/>
      <c r="O273" s="293"/>
      <c r="P273" s="293"/>
      <c r="Q273" s="293"/>
      <c r="R273" s="293"/>
      <c r="S273" s="293"/>
      <c r="T273" s="293"/>
      <c r="U273" s="293"/>
      <c r="V273" s="293"/>
      <c r="W273" s="293"/>
      <c r="X273" s="293"/>
      <c r="Y273" s="293"/>
      <c r="Z273" s="293"/>
      <c r="AA273" s="293"/>
      <c r="AB273" s="293"/>
      <c r="AC273" s="293"/>
      <c r="AD273" s="293"/>
      <c r="AE273" s="293"/>
    </row>
    <row r="274" spans="2:31" ht="15">
      <c r="B274" s="398">
        <f t="shared" si="7"/>
        <v>229</v>
      </c>
      <c r="C274" s="406" t="str" cm="1">
        <f t="array" aca="1" ref="C274" ca="1">IF(B274&lt;=$C$9,GetGetCDSName(B274),"")</f>
        <v/>
      </c>
      <c r="D274" s="366"/>
      <c r="E274" s="399"/>
      <c r="F274" s="318"/>
      <c r="G274" s="318"/>
      <c r="H274" s="318"/>
      <c r="I274" s="318"/>
      <c r="J274" s="318"/>
      <c r="K274" s="318"/>
      <c r="L274" s="318"/>
      <c r="M274" s="318"/>
      <c r="N274" s="400"/>
      <c r="O274" s="293"/>
      <c r="P274" s="293"/>
      <c r="Q274" s="293"/>
      <c r="R274" s="293"/>
      <c r="S274" s="293"/>
      <c r="T274" s="293"/>
      <c r="U274" s="293"/>
      <c r="V274" s="293"/>
      <c r="W274" s="293"/>
      <c r="X274" s="293"/>
      <c r="Y274" s="293"/>
      <c r="Z274" s="293"/>
      <c r="AA274" s="293"/>
      <c r="AB274" s="293"/>
      <c r="AC274" s="293"/>
      <c r="AD274" s="293"/>
      <c r="AE274" s="293"/>
    </row>
    <row r="275" spans="2:31" ht="15">
      <c r="B275" s="398">
        <f t="shared" si="7"/>
        <v>230</v>
      </c>
      <c r="C275" s="406" t="str" cm="1">
        <f t="array" aca="1" ref="C275" ca="1">IF(B275&lt;=$C$9,GetGetCDSName(B275),"")</f>
        <v/>
      </c>
      <c r="D275" s="366"/>
      <c r="E275" s="399"/>
      <c r="F275" s="318"/>
      <c r="G275" s="318"/>
      <c r="H275" s="318"/>
      <c r="I275" s="318"/>
      <c r="J275" s="318"/>
      <c r="K275" s="318"/>
      <c r="L275" s="318"/>
      <c r="M275" s="318"/>
      <c r="N275" s="400"/>
      <c r="O275" s="293"/>
      <c r="P275" s="293"/>
      <c r="Q275" s="293"/>
      <c r="R275" s="293"/>
      <c r="S275" s="293"/>
      <c r="T275" s="293"/>
      <c r="U275" s="293"/>
      <c r="V275" s="293"/>
      <c r="W275" s="293"/>
      <c r="X275" s="293"/>
      <c r="Y275" s="293"/>
      <c r="Z275" s="293"/>
      <c r="AA275" s="293"/>
      <c r="AB275" s="293"/>
      <c r="AC275" s="293"/>
      <c r="AD275" s="293"/>
      <c r="AE275" s="293"/>
    </row>
    <row r="276" spans="2:31" ht="15">
      <c r="B276" s="398">
        <f t="shared" si="7"/>
        <v>231</v>
      </c>
      <c r="C276" s="406" t="str" cm="1">
        <f t="array" aca="1" ref="C276" ca="1">IF(B276&lt;=$C$9,GetGetCDSName(B276),"")</f>
        <v/>
      </c>
      <c r="D276" s="366"/>
      <c r="E276" s="399"/>
      <c r="F276" s="318"/>
      <c r="G276" s="318"/>
      <c r="H276" s="318"/>
      <c r="I276" s="318"/>
      <c r="J276" s="318"/>
      <c r="K276" s="318"/>
      <c r="L276" s="318"/>
      <c r="M276" s="318"/>
      <c r="N276" s="400"/>
      <c r="O276" s="293"/>
      <c r="P276" s="293"/>
      <c r="Q276" s="293"/>
      <c r="R276" s="293"/>
      <c r="S276" s="293"/>
      <c r="T276" s="293"/>
      <c r="U276" s="293"/>
      <c r="V276" s="293"/>
      <c r="W276" s="293"/>
      <c r="X276" s="293"/>
      <c r="Y276" s="293"/>
      <c r="Z276" s="293"/>
      <c r="AA276" s="293"/>
      <c r="AB276" s="293"/>
      <c r="AC276" s="293"/>
      <c r="AD276" s="293"/>
      <c r="AE276" s="293"/>
    </row>
    <row r="277" spans="2:31" ht="15">
      <c r="B277" s="398">
        <f t="shared" si="7"/>
        <v>232</v>
      </c>
      <c r="C277" s="406" t="str" cm="1">
        <f t="array" aca="1" ref="C277" ca="1">IF(B277&lt;=$C$9,GetGetCDSName(B277),"")</f>
        <v/>
      </c>
      <c r="D277" s="366"/>
      <c r="E277" s="399"/>
      <c r="F277" s="318"/>
      <c r="G277" s="318"/>
      <c r="H277" s="318"/>
      <c r="I277" s="318"/>
      <c r="J277" s="318"/>
      <c r="K277" s="318"/>
      <c r="L277" s="318"/>
      <c r="M277" s="318"/>
      <c r="N277" s="400"/>
      <c r="O277" s="293"/>
      <c r="P277" s="293"/>
      <c r="Q277" s="293"/>
      <c r="R277" s="293"/>
      <c r="S277" s="293"/>
      <c r="T277" s="293"/>
      <c r="U277" s="293"/>
      <c r="V277" s="293"/>
      <c r="W277" s="293"/>
      <c r="X277" s="293"/>
      <c r="Y277" s="293"/>
      <c r="Z277" s="293"/>
      <c r="AA277" s="293"/>
      <c r="AB277" s="293"/>
      <c r="AC277" s="293"/>
      <c r="AD277" s="293"/>
      <c r="AE277" s="293"/>
    </row>
    <row r="278" spans="2:31" ht="15">
      <c r="B278" s="398">
        <f t="shared" si="7"/>
        <v>233</v>
      </c>
      <c r="C278" s="406" t="str" cm="1">
        <f t="array" aca="1" ref="C278" ca="1">IF(B278&lt;=$C$9,GetGetCDSName(B278),"")</f>
        <v/>
      </c>
      <c r="D278" s="366"/>
      <c r="E278" s="399"/>
      <c r="F278" s="318"/>
      <c r="G278" s="318"/>
      <c r="H278" s="318"/>
      <c r="I278" s="318"/>
      <c r="J278" s="318"/>
      <c r="K278" s="318"/>
      <c r="L278" s="318"/>
      <c r="M278" s="318"/>
      <c r="N278" s="400"/>
      <c r="O278" s="293"/>
      <c r="P278" s="293"/>
      <c r="Q278" s="293"/>
      <c r="R278" s="293"/>
      <c r="S278" s="293"/>
      <c r="T278" s="293"/>
      <c r="U278" s="293"/>
      <c r="V278" s="293"/>
      <c r="W278" s="293"/>
      <c r="X278" s="293"/>
      <c r="Y278" s="293"/>
      <c r="Z278" s="293"/>
      <c r="AA278" s="293"/>
      <c r="AB278" s="293"/>
      <c r="AC278" s="293"/>
      <c r="AD278" s="293"/>
      <c r="AE278" s="293"/>
    </row>
    <row r="279" spans="2:31" ht="15">
      <c r="B279" s="398">
        <f t="shared" si="7"/>
        <v>234</v>
      </c>
      <c r="C279" s="406" t="str" cm="1">
        <f t="array" aca="1" ref="C279" ca="1">IF(B279&lt;=$C$9,GetGetCDSName(B279),"")</f>
        <v/>
      </c>
      <c r="D279" s="366"/>
      <c r="E279" s="399"/>
      <c r="F279" s="318"/>
      <c r="G279" s="318"/>
      <c r="H279" s="318"/>
      <c r="I279" s="318"/>
      <c r="J279" s="318"/>
      <c r="K279" s="318"/>
      <c r="L279" s="318"/>
      <c r="M279" s="318"/>
      <c r="N279" s="400"/>
      <c r="O279" s="293"/>
      <c r="P279" s="293"/>
      <c r="Q279" s="293"/>
      <c r="R279" s="293"/>
      <c r="S279" s="293"/>
      <c r="T279" s="293"/>
      <c r="U279" s="293"/>
      <c r="V279" s="293"/>
      <c r="W279" s="293"/>
      <c r="X279" s="293"/>
      <c r="Y279" s="293"/>
      <c r="Z279" s="293"/>
      <c r="AA279" s="293"/>
      <c r="AB279" s="293"/>
      <c r="AC279" s="293"/>
      <c r="AD279" s="293"/>
      <c r="AE279" s="293"/>
    </row>
    <row r="280" spans="2:31" ht="15">
      <c r="B280" s="398">
        <f t="shared" si="7"/>
        <v>235</v>
      </c>
      <c r="C280" s="406" t="str" cm="1">
        <f t="array" aca="1" ref="C280" ca="1">IF(B280&lt;=$C$9,GetGetCDSName(B280),"")</f>
        <v/>
      </c>
      <c r="D280" s="366"/>
      <c r="E280" s="399"/>
      <c r="F280" s="318"/>
      <c r="G280" s="318"/>
      <c r="H280" s="318"/>
      <c r="I280" s="318"/>
      <c r="J280" s="318"/>
      <c r="K280" s="318"/>
      <c r="L280" s="318"/>
      <c r="M280" s="318"/>
      <c r="N280" s="400"/>
      <c r="O280" s="293"/>
      <c r="P280" s="293"/>
      <c r="Q280" s="293"/>
      <c r="R280" s="293"/>
      <c r="S280" s="293"/>
      <c r="T280" s="293"/>
      <c r="U280" s="293"/>
      <c r="V280" s="293"/>
      <c r="W280" s="293"/>
      <c r="X280" s="293"/>
      <c r="Y280" s="293"/>
      <c r="Z280" s="293"/>
      <c r="AA280" s="293"/>
      <c r="AB280" s="293"/>
      <c r="AC280" s="293"/>
      <c r="AD280" s="293"/>
      <c r="AE280" s="293"/>
    </row>
    <row r="281" spans="2:31" ht="15">
      <c r="B281" s="398">
        <f t="shared" si="7"/>
        <v>236</v>
      </c>
      <c r="C281" s="406" t="str" cm="1">
        <f t="array" aca="1" ref="C281" ca="1">IF(B281&lt;=$C$9,GetGetCDSName(B281),"")</f>
        <v/>
      </c>
      <c r="D281" s="366"/>
      <c r="E281" s="399"/>
      <c r="F281" s="318"/>
      <c r="G281" s="318"/>
      <c r="H281" s="318"/>
      <c r="I281" s="318"/>
      <c r="J281" s="318"/>
      <c r="K281" s="318"/>
      <c r="L281" s="318"/>
      <c r="M281" s="318"/>
      <c r="N281" s="400"/>
      <c r="O281" s="293"/>
      <c r="P281" s="293"/>
      <c r="Q281" s="293"/>
      <c r="R281" s="293"/>
      <c r="S281" s="293"/>
      <c r="T281" s="293"/>
      <c r="U281" s="293"/>
      <c r="V281" s="293"/>
      <c r="W281" s="293"/>
      <c r="X281" s="293"/>
      <c r="Y281" s="293"/>
      <c r="Z281" s="293"/>
      <c r="AA281" s="293"/>
      <c r="AB281" s="293"/>
      <c r="AC281" s="293"/>
      <c r="AD281" s="293"/>
      <c r="AE281" s="293"/>
    </row>
    <row r="282" spans="2:31" ht="15">
      <c r="B282" s="398">
        <f t="shared" si="7"/>
        <v>237</v>
      </c>
      <c r="C282" s="406" t="str" cm="1">
        <f t="array" aca="1" ref="C282" ca="1">IF(B282&lt;=$C$9,GetGetCDSName(B282),"")</f>
        <v/>
      </c>
      <c r="D282" s="366"/>
      <c r="E282" s="399"/>
      <c r="F282" s="318"/>
      <c r="G282" s="318"/>
      <c r="H282" s="318"/>
      <c r="I282" s="318"/>
      <c r="J282" s="318"/>
      <c r="K282" s="318"/>
      <c r="L282" s="318"/>
      <c r="M282" s="318"/>
      <c r="N282" s="400"/>
      <c r="O282" s="293"/>
      <c r="P282" s="293"/>
      <c r="Q282" s="293"/>
      <c r="R282" s="293"/>
      <c r="S282" s="293"/>
      <c r="T282" s="293"/>
      <c r="U282" s="293"/>
      <c r="V282" s="293"/>
      <c r="W282" s="293"/>
      <c r="X282" s="293"/>
      <c r="Y282" s="293"/>
      <c r="Z282" s="293"/>
      <c r="AA282" s="293"/>
      <c r="AB282" s="293"/>
      <c r="AC282" s="293"/>
      <c r="AD282" s="293"/>
      <c r="AE282" s="293"/>
    </row>
    <row r="283" spans="2:31" ht="15">
      <c r="B283" s="398">
        <f t="shared" si="7"/>
        <v>238</v>
      </c>
      <c r="C283" s="406" t="str" cm="1">
        <f t="array" aca="1" ref="C283" ca="1">IF(B283&lt;=$C$9,GetGetCDSName(B283),"")</f>
        <v/>
      </c>
      <c r="D283" s="366"/>
      <c r="E283" s="399"/>
      <c r="F283" s="318"/>
      <c r="G283" s="318"/>
      <c r="H283" s="318"/>
      <c r="I283" s="318"/>
      <c r="J283" s="318"/>
      <c r="K283" s="318"/>
      <c r="L283" s="318"/>
      <c r="M283" s="318"/>
      <c r="N283" s="400"/>
      <c r="O283" s="293"/>
      <c r="P283" s="293"/>
      <c r="Q283" s="293"/>
      <c r="R283" s="293"/>
      <c r="S283" s="293"/>
      <c r="T283" s="293"/>
      <c r="U283" s="293"/>
      <c r="V283" s="293"/>
      <c r="W283" s="293"/>
      <c r="X283" s="293"/>
      <c r="Y283" s="293"/>
      <c r="Z283" s="293"/>
      <c r="AA283" s="293"/>
      <c r="AB283" s="293"/>
      <c r="AC283" s="293"/>
      <c r="AD283" s="293"/>
      <c r="AE283" s="293"/>
    </row>
    <row r="284" spans="2:31" ht="15">
      <c r="B284" s="398">
        <f t="shared" si="7"/>
        <v>239</v>
      </c>
      <c r="C284" s="406" t="str" cm="1">
        <f t="array" aca="1" ref="C284" ca="1">IF(B284&lt;=$C$9,GetGetCDSName(B284),"")</f>
        <v/>
      </c>
      <c r="D284" s="366"/>
      <c r="E284" s="399"/>
      <c r="F284" s="318"/>
      <c r="G284" s="318"/>
      <c r="H284" s="318"/>
      <c r="I284" s="318"/>
      <c r="J284" s="318"/>
      <c r="K284" s="318"/>
      <c r="L284" s="318"/>
      <c r="M284" s="318"/>
      <c r="N284" s="400"/>
      <c r="O284" s="293"/>
      <c r="P284" s="293"/>
      <c r="Q284" s="293"/>
      <c r="R284" s="293"/>
      <c r="S284" s="293"/>
      <c r="T284" s="293"/>
      <c r="U284" s="293"/>
      <c r="V284" s="293"/>
      <c r="W284" s="293"/>
      <c r="X284" s="293"/>
      <c r="Y284" s="293"/>
      <c r="Z284" s="293"/>
      <c r="AA284" s="293"/>
      <c r="AB284" s="293"/>
      <c r="AC284" s="293"/>
      <c r="AD284" s="293"/>
      <c r="AE284" s="293"/>
    </row>
    <row r="285" spans="2:31" ht="15">
      <c r="B285" s="398">
        <f t="shared" si="7"/>
        <v>240</v>
      </c>
      <c r="C285" s="406" t="str" cm="1">
        <f t="array" aca="1" ref="C285" ca="1">IF(B285&lt;=$C$9,GetGetCDSName(B285),"")</f>
        <v/>
      </c>
      <c r="D285" s="366"/>
      <c r="E285" s="399"/>
      <c r="F285" s="318"/>
      <c r="G285" s="318"/>
      <c r="H285" s="318"/>
      <c r="I285" s="318"/>
      <c r="J285" s="318"/>
      <c r="K285" s="318"/>
      <c r="L285" s="318"/>
      <c r="M285" s="318"/>
      <c r="N285" s="400"/>
      <c r="O285" s="293"/>
      <c r="P285" s="293"/>
      <c r="Q285" s="293"/>
      <c r="R285" s="293"/>
      <c r="S285" s="293"/>
      <c r="T285" s="293"/>
      <c r="U285" s="293"/>
      <c r="V285" s="293"/>
      <c r="W285" s="293"/>
      <c r="X285" s="293"/>
      <c r="Y285" s="293"/>
      <c r="Z285" s="293"/>
      <c r="AA285" s="293"/>
      <c r="AB285" s="293"/>
      <c r="AC285" s="293"/>
      <c r="AD285" s="293"/>
      <c r="AE285" s="293"/>
    </row>
    <row r="286" spans="2:31" ht="15">
      <c r="B286" s="398">
        <f t="shared" si="7"/>
        <v>241</v>
      </c>
      <c r="C286" s="406" t="str" cm="1">
        <f t="array" aca="1" ref="C286" ca="1">IF(B286&lt;=$C$9,GetGetCDSName(B286),"")</f>
        <v/>
      </c>
      <c r="D286" s="366"/>
      <c r="E286" s="399"/>
      <c r="F286" s="318"/>
      <c r="G286" s="318"/>
      <c r="H286" s="318"/>
      <c r="I286" s="318"/>
      <c r="J286" s="318"/>
      <c r="K286" s="318"/>
      <c r="L286" s="318"/>
      <c r="M286" s="318"/>
      <c r="N286" s="400"/>
      <c r="O286" s="293"/>
      <c r="P286" s="293"/>
      <c r="Q286" s="293"/>
      <c r="R286" s="293"/>
      <c r="S286" s="293"/>
      <c r="T286" s="293"/>
      <c r="U286" s="293"/>
      <c r="V286" s="293"/>
      <c r="W286" s="293"/>
      <c r="X286" s="293"/>
      <c r="Y286" s="293"/>
      <c r="Z286" s="293"/>
      <c r="AA286" s="293"/>
      <c r="AB286" s="293"/>
      <c r="AC286" s="293"/>
      <c r="AD286" s="293"/>
      <c r="AE286" s="293"/>
    </row>
    <row r="287" spans="2:31" ht="15">
      <c r="B287" s="398">
        <f t="shared" si="7"/>
        <v>242</v>
      </c>
      <c r="C287" s="406" t="str" cm="1">
        <f t="array" aca="1" ref="C287" ca="1">IF(B287&lt;=$C$9,GetGetCDSName(B287),"")</f>
        <v/>
      </c>
      <c r="D287" s="366"/>
      <c r="E287" s="399"/>
      <c r="F287" s="318"/>
      <c r="G287" s="318"/>
      <c r="H287" s="318"/>
      <c r="I287" s="318"/>
      <c r="J287" s="318"/>
      <c r="K287" s="318"/>
      <c r="L287" s="318"/>
      <c r="M287" s="318"/>
      <c r="N287" s="400"/>
      <c r="O287" s="293"/>
      <c r="P287" s="293"/>
      <c r="Q287" s="293"/>
      <c r="R287" s="293"/>
      <c r="S287" s="293"/>
      <c r="T287" s="293"/>
      <c r="U287" s="293"/>
      <c r="V287" s="293"/>
      <c r="W287" s="293"/>
      <c r="X287" s="293"/>
      <c r="Y287" s="293"/>
      <c r="Z287" s="293"/>
      <c r="AA287" s="293"/>
      <c r="AB287" s="293"/>
      <c r="AC287" s="293"/>
      <c r="AD287" s="293"/>
      <c r="AE287" s="293"/>
    </row>
    <row r="288" spans="2:31" ht="15">
      <c r="B288" s="398">
        <f t="shared" si="7"/>
        <v>243</v>
      </c>
      <c r="C288" s="406" t="str" cm="1">
        <f t="array" aca="1" ref="C288" ca="1">IF(B288&lt;=$C$9,GetGetCDSName(B288),"")</f>
        <v/>
      </c>
      <c r="D288" s="366"/>
      <c r="E288" s="399"/>
      <c r="F288" s="318"/>
      <c r="G288" s="318"/>
      <c r="H288" s="318"/>
      <c r="I288" s="318"/>
      <c r="J288" s="318"/>
      <c r="K288" s="318"/>
      <c r="L288" s="318"/>
      <c r="M288" s="318"/>
      <c r="N288" s="400"/>
      <c r="O288" s="293"/>
      <c r="P288" s="293"/>
      <c r="Q288" s="293"/>
      <c r="R288" s="293"/>
      <c r="S288" s="293"/>
      <c r="T288" s="293"/>
      <c r="U288" s="293"/>
      <c r="V288" s="293"/>
      <c r="W288" s="293"/>
      <c r="X288" s="293"/>
      <c r="Y288" s="293"/>
      <c r="Z288" s="293"/>
      <c r="AA288" s="293"/>
      <c r="AB288" s="293"/>
      <c r="AC288" s="293"/>
      <c r="AD288" s="293"/>
      <c r="AE288" s="293"/>
    </row>
    <row r="289" spans="2:31" ht="15">
      <c r="B289" s="398">
        <f t="shared" si="7"/>
        <v>244</v>
      </c>
      <c r="C289" s="406" t="str" cm="1">
        <f t="array" aca="1" ref="C289" ca="1">IF(B289&lt;=$C$9,GetGetCDSName(B289),"")</f>
        <v/>
      </c>
      <c r="D289" s="366"/>
      <c r="E289" s="399"/>
      <c r="F289" s="318"/>
      <c r="G289" s="318"/>
      <c r="H289" s="318"/>
      <c r="I289" s="318"/>
      <c r="J289" s="318"/>
      <c r="K289" s="318"/>
      <c r="L289" s="318"/>
      <c r="M289" s="318"/>
      <c r="N289" s="400"/>
      <c r="O289" s="293"/>
      <c r="P289" s="293"/>
      <c r="Q289" s="293"/>
      <c r="R289" s="293"/>
      <c r="S289" s="293"/>
      <c r="T289" s="293"/>
      <c r="U289" s="293"/>
      <c r="V289" s="293"/>
      <c r="W289" s="293"/>
      <c r="X289" s="293"/>
      <c r="Y289" s="293"/>
      <c r="Z289" s="293"/>
      <c r="AA289" s="293"/>
      <c r="AB289" s="293"/>
      <c r="AC289" s="293"/>
      <c r="AD289" s="293"/>
      <c r="AE289" s="293"/>
    </row>
    <row r="290" spans="2:31" ht="15">
      <c r="B290" s="398">
        <f t="shared" si="7"/>
        <v>245</v>
      </c>
      <c r="C290" s="406" t="str" cm="1">
        <f t="array" aca="1" ref="C290" ca="1">IF(B290&lt;=$C$9,GetGetCDSName(B290),"")</f>
        <v/>
      </c>
      <c r="D290" s="366"/>
      <c r="E290" s="399"/>
      <c r="F290" s="318"/>
      <c r="G290" s="318"/>
      <c r="H290" s="318"/>
      <c r="I290" s="318"/>
      <c r="J290" s="318"/>
      <c r="K290" s="318"/>
      <c r="L290" s="318"/>
      <c r="M290" s="318"/>
      <c r="N290" s="400"/>
      <c r="O290" s="293"/>
      <c r="P290" s="293"/>
      <c r="Q290" s="293"/>
      <c r="R290" s="293"/>
      <c r="S290" s="293"/>
      <c r="T290" s="293"/>
      <c r="U290" s="293"/>
      <c r="V290" s="293"/>
      <c r="W290" s="293"/>
      <c r="X290" s="293"/>
      <c r="Y290" s="293"/>
      <c r="Z290" s="293"/>
      <c r="AA290" s="293"/>
      <c r="AB290" s="293"/>
      <c r="AC290" s="293"/>
      <c r="AD290" s="293"/>
      <c r="AE290" s="293"/>
    </row>
    <row r="291" spans="2:31" ht="15">
      <c r="B291" s="398">
        <f t="shared" si="7"/>
        <v>246</v>
      </c>
      <c r="C291" s="406" t="str" cm="1">
        <f t="array" aca="1" ref="C291" ca="1">IF(B291&lt;=$C$9,GetGetCDSName(B291),"")</f>
        <v/>
      </c>
      <c r="D291" s="366"/>
      <c r="E291" s="399"/>
      <c r="F291" s="318"/>
      <c r="G291" s="318"/>
      <c r="H291" s="318"/>
      <c r="I291" s="318"/>
      <c r="J291" s="318"/>
      <c r="K291" s="318"/>
      <c r="L291" s="318"/>
      <c r="M291" s="318"/>
      <c r="N291" s="400"/>
      <c r="O291" s="293"/>
      <c r="P291" s="293"/>
      <c r="Q291" s="293"/>
      <c r="R291" s="293"/>
      <c r="S291" s="293"/>
      <c r="T291" s="293"/>
      <c r="U291" s="293"/>
      <c r="V291" s="293"/>
      <c r="W291" s="293"/>
      <c r="X291" s="293"/>
      <c r="Y291" s="293"/>
      <c r="Z291" s="293"/>
      <c r="AA291" s="293"/>
      <c r="AB291" s="293"/>
      <c r="AC291" s="293"/>
      <c r="AD291" s="293"/>
      <c r="AE291" s="293"/>
    </row>
    <row r="292" spans="2:31" ht="15">
      <c r="B292" s="398">
        <f t="shared" si="7"/>
        <v>247</v>
      </c>
      <c r="C292" s="406" t="str" cm="1">
        <f t="array" aca="1" ref="C292" ca="1">IF(B292&lt;=$C$9,GetGetCDSName(B292),"")</f>
        <v/>
      </c>
      <c r="D292" s="366"/>
      <c r="E292" s="399"/>
      <c r="F292" s="318"/>
      <c r="G292" s="318"/>
      <c r="H292" s="318"/>
      <c r="I292" s="318"/>
      <c r="J292" s="318"/>
      <c r="K292" s="318"/>
      <c r="L292" s="318"/>
      <c r="M292" s="318"/>
      <c r="N292" s="400"/>
      <c r="O292" s="293"/>
      <c r="P292" s="293"/>
      <c r="Q292" s="293"/>
      <c r="R292" s="293"/>
      <c r="S292" s="293"/>
      <c r="T292" s="293"/>
      <c r="U292" s="293"/>
      <c r="V292" s="293"/>
      <c r="W292" s="293"/>
      <c r="X292" s="293"/>
      <c r="Y292" s="293"/>
      <c r="Z292" s="293"/>
      <c r="AA292" s="293"/>
      <c r="AB292" s="293"/>
      <c r="AC292" s="293"/>
      <c r="AD292" s="293"/>
      <c r="AE292" s="293"/>
    </row>
    <row r="293" spans="2:31" ht="15">
      <c r="B293" s="398">
        <f t="shared" si="7"/>
        <v>248</v>
      </c>
      <c r="C293" s="406" t="str" cm="1">
        <f t="array" aca="1" ref="C293" ca="1">IF(B293&lt;=$C$9,GetGetCDSName(B293),"")</f>
        <v/>
      </c>
      <c r="D293" s="366"/>
      <c r="E293" s="399"/>
      <c r="F293" s="318"/>
      <c r="G293" s="318"/>
      <c r="H293" s="318"/>
      <c r="I293" s="318"/>
      <c r="J293" s="318"/>
      <c r="K293" s="318"/>
      <c r="L293" s="318"/>
      <c r="M293" s="318"/>
      <c r="N293" s="400"/>
      <c r="O293" s="293"/>
      <c r="P293" s="293"/>
      <c r="Q293" s="293"/>
      <c r="R293" s="293"/>
      <c r="S293" s="293"/>
      <c r="T293" s="293"/>
      <c r="U293" s="293"/>
      <c r="V293" s="293"/>
      <c r="W293" s="293"/>
      <c r="X293" s="293"/>
      <c r="Y293" s="293"/>
      <c r="Z293" s="293"/>
      <c r="AA293" s="293"/>
      <c r="AB293" s="293"/>
      <c r="AC293" s="293"/>
      <c r="AD293" s="293"/>
      <c r="AE293" s="293"/>
    </row>
    <row r="294" spans="2:31" ht="15">
      <c r="B294" s="398">
        <f t="shared" si="7"/>
        <v>249</v>
      </c>
      <c r="C294" s="406" t="str" cm="1">
        <f t="array" aca="1" ref="C294" ca="1">IF(B294&lt;=$C$9,GetGetCDSName(B294),"")</f>
        <v/>
      </c>
      <c r="D294" s="366"/>
      <c r="E294" s="399"/>
      <c r="F294" s="318"/>
      <c r="G294" s="318"/>
      <c r="H294" s="318"/>
      <c r="I294" s="318"/>
      <c r="J294" s="318"/>
      <c r="K294" s="318"/>
      <c r="L294" s="318"/>
      <c r="M294" s="318"/>
      <c r="N294" s="400"/>
      <c r="O294" s="293"/>
      <c r="P294" s="293"/>
      <c r="Q294" s="293"/>
      <c r="R294" s="293"/>
      <c r="S294" s="293"/>
      <c r="T294" s="293"/>
      <c r="U294" s="293"/>
      <c r="V294" s="293"/>
      <c r="W294" s="293"/>
      <c r="X294" s="293"/>
      <c r="Y294" s="293"/>
      <c r="Z294" s="293"/>
      <c r="AA294" s="293"/>
      <c r="AB294" s="293"/>
      <c r="AC294" s="293"/>
      <c r="AD294" s="293"/>
      <c r="AE294" s="293"/>
    </row>
    <row r="295" spans="2:31" ht="15">
      <c r="B295" s="398">
        <f t="shared" si="7"/>
        <v>250</v>
      </c>
      <c r="C295" s="406" t="str" cm="1">
        <f t="array" aca="1" ref="C295" ca="1">IF(B295&lt;=$C$9,GetGetCDSName(B295),"")</f>
        <v/>
      </c>
      <c r="D295" s="366"/>
      <c r="E295" s="399"/>
      <c r="F295" s="318"/>
      <c r="G295" s="318"/>
      <c r="H295" s="318"/>
      <c r="I295" s="318"/>
      <c r="J295" s="318"/>
      <c r="K295" s="318"/>
      <c r="L295" s="318"/>
      <c r="M295" s="318"/>
      <c r="N295" s="400"/>
      <c r="O295" s="293"/>
      <c r="P295" s="293"/>
      <c r="Q295" s="293"/>
      <c r="R295" s="293"/>
      <c r="S295" s="293"/>
      <c r="T295" s="293"/>
      <c r="U295" s="293"/>
      <c r="V295" s="293"/>
      <c r="W295" s="293"/>
      <c r="X295" s="293"/>
      <c r="Y295" s="293"/>
      <c r="Z295" s="293"/>
      <c r="AA295" s="293"/>
      <c r="AB295" s="293"/>
      <c r="AC295" s="293"/>
      <c r="AD295" s="293"/>
      <c r="AE295" s="293"/>
    </row>
    <row r="296" spans="2:31" ht="15">
      <c r="B296" s="398">
        <f t="shared" si="7"/>
        <v>251</v>
      </c>
      <c r="C296" s="406" t="str" cm="1">
        <f t="array" aca="1" ref="C296" ca="1">IF(B296&lt;=$C$9,GetGetCDSName(B296),"")</f>
        <v/>
      </c>
      <c r="D296" s="366"/>
      <c r="E296" s="399"/>
      <c r="F296" s="318"/>
      <c r="G296" s="318"/>
      <c r="H296" s="318"/>
      <c r="I296" s="318"/>
      <c r="J296" s="318"/>
      <c r="K296" s="318"/>
      <c r="L296" s="318"/>
      <c r="M296" s="318"/>
      <c r="N296" s="400"/>
      <c r="O296" s="293"/>
      <c r="P296" s="293"/>
      <c r="Q296" s="293"/>
      <c r="R296" s="293"/>
      <c r="S296" s="293"/>
      <c r="T296" s="293"/>
      <c r="U296" s="293"/>
      <c r="V296" s="293"/>
      <c r="W296" s="293"/>
      <c r="X296" s="293"/>
      <c r="Y296" s="293"/>
      <c r="Z296" s="293"/>
      <c r="AA296" s="293"/>
      <c r="AB296" s="293"/>
      <c r="AC296" s="293"/>
      <c r="AD296" s="293"/>
      <c r="AE296" s="293"/>
    </row>
    <row r="297" spans="2:31" ht="15">
      <c r="B297" s="398">
        <f t="shared" si="7"/>
        <v>252</v>
      </c>
      <c r="C297" s="406" t="str" cm="1">
        <f t="array" aca="1" ref="C297" ca="1">IF(B297&lt;=$C$9,GetGetCDSName(B297),"")</f>
        <v/>
      </c>
      <c r="D297" s="366"/>
      <c r="E297" s="399"/>
      <c r="F297" s="318"/>
      <c r="G297" s="318"/>
      <c r="H297" s="318"/>
      <c r="I297" s="318"/>
      <c r="J297" s="318"/>
      <c r="K297" s="318"/>
      <c r="L297" s="318"/>
      <c r="M297" s="318"/>
      <c r="N297" s="400"/>
      <c r="O297" s="293"/>
      <c r="P297" s="293"/>
      <c r="Q297" s="293"/>
      <c r="R297" s="293"/>
      <c r="S297" s="293"/>
      <c r="T297" s="293"/>
      <c r="U297" s="293"/>
      <c r="V297" s="293"/>
      <c r="W297" s="293"/>
      <c r="X297" s="293"/>
      <c r="Y297" s="293"/>
      <c r="Z297" s="293"/>
      <c r="AA297" s="293"/>
      <c r="AB297" s="293"/>
      <c r="AC297" s="293"/>
      <c r="AD297" s="293"/>
      <c r="AE297" s="293"/>
    </row>
    <row r="298" spans="2:31" ht="15">
      <c r="B298" s="398">
        <f t="shared" si="7"/>
        <v>253</v>
      </c>
      <c r="C298" s="406" t="str" cm="1">
        <f t="array" aca="1" ref="C298" ca="1">IF(B298&lt;=$C$9,GetGetCDSName(B298),"")</f>
        <v/>
      </c>
      <c r="D298" s="366"/>
      <c r="E298" s="399"/>
      <c r="F298" s="318"/>
      <c r="G298" s="318"/>
      <c r="H298" s="318"/>
      <c r="I298" s="318"/>
      <c r="J298" s="318"/>
      <c r="K298" s="318"/>
      <c r="L298" s="318"/>
      <c r="M298" s="318"/>
      <c r="N298" s="400"/>
      <c r="O298" s="293"/>
      <c r="P298" s="293"/>
      <c r="Q298" s="293"/>
      <c r="R298" s="293"/>
      <c r="S298" s="293"/>
      <c r="T298" s="293"/>
      <c r="U298" s="293"/>
      <c r="V298" s="293"/>
      <c r="W298" s="293"/>
      <c r="X298" s="293"/>
      <c r="Y298" s="293"/>
      <c r="Z298" s="293"/>
      <c r="AA298" s="293"/>
      <c r="AB298" s="293"/>
      <c r="AC298" s="293"/>
      <c r="AD298" s="293"/>
      <c r="AE298" s="293"/>
    </row>
    <row r="299" spans="2:31" ht="15">
      <c r="B299" s="398">
        <f t="shared" si="7"/>
        <v>254</v>
      </c>
      <c r="C299" s="406" t="str" cm="1">
        <f t="array" aca="1" ref="C299" ca="1">IF(B299&lt;=$C$9,GetGetCDSName(B299),"")</f>
        <v/>
      </c>
      <c r="D299" s="366"/>
      <c r="E299" s="399"/>
      <c r="F299" s="318"/>
      <c r="G299" s="318"/>
      <c r="H299" s="318"/>
      <c r="I299" s="318"/>
      <c r="J299" s="318"/>
      <c r="K299" s="318"/>
      <c r="L299" s="318"/>
      <c r="M299" s="318"/>
      <c r="N299" s="400"/>
      <c r="O299" s="293"/>
      <c r="P299" s="293"/>
      <c r="Q299" s="293"/>
      <c r="R299" s="293"/>
      <c r="S299" s="293"/>
      <c r="T299" s="293"/>
      <c r="U299" s="293"/>
      <c r="V299" s="293"/>
      <c r="W299" s="293"/>
      <c r="X299" s="293"/>
      <c r="Y299" s="293"/>
      <c r="Z299" s="293"/>
      <c r="AA299" s="293"/>
      <c r="AB299" s="293"/>
      <c r="AC299" s="293"/>
      <c r="AD299" s="293"/>
      <c r="AE299" s="293"/>
    </row>
    <row r="300" spans="2:31" ht="15">
      <c r="B300" s="398">
        <f t="shared" si="7"/>
        <v>255</v>
      </c>
      <c r="C300" s="406" t="str" cm="1">
        <f t="array" aca="1" ref="C300" ca="1">IF(B300&lt;=$C$9,GetGetCDSName(B300),"")</f>
        <v/>
      </c>
      <c r="D300" s="366"/>
      <c r="E300" s="399"/>
      <c r="F300" s="318"/>
      <c r="G300" s="318"/>
      <c r="H300" s="318"/>
      <c r="I300" s="318"/>
      <c r="J300" s="318"/>
      <c r="K300" s="318"/>
      <c r="L300" s="318"/>
      <c r="M300" s="318"/>
      <c r="N300" s="400"/>
      <c r="O300" s="293"/>
      <c r="P300" s="293"/>
      <c r="Q300" s="293"/>
      <c r="R300" s="293"/>
      <c r="S300" s="293"/>
      <c r="T300" s="293"/>
      <c r="U300" s="293"/>
      <c r="V300" s="293"/>
      <c r="W300" s="293"/>
      <c r="X300" s="293"/>
      <c r="Y300" s="293"/>
      <c r="Z300" s="293"/>
      <c r="AA300" s="293"/>
      <c r="AB300" s="293"/>
      <c r="AC300" s="293"/>
      <c r="AD300" s="293"/>
      <c r="AE300" s="293"/>
    </row>
    <row r="301" spans="2:31" ht="15">
      <c r="B301" s="398">
        <f t="shared" si="7"/>
        <v>256</v>
      </c>
      <c r="C301" s="406" t="str" cm="1">
        <f t="array" aca="1" ref="C301" ca="1">IF(B301&lt;=$C$9,GetGetCDSName(B301),"")</f>
        <v/>
      </c>
      <c r="D301" s="366"/>
      <c r="E301" s="399"/>
      <c r="F301" s="318"/>
      <c r="G301" s="318"/>
      <c r="H301" s="318"/>
      <c r="I301" s="318"/>
      <c r="J301" s="318"/>
      <c r="K301" s="318"/>
      <c r="L301" s="318"/>
      <c r="M301" s="318"/>
      <c r="N301" s="400"/>
      <c r="O301" s="293"/>
      <c r="P301" s="293"/>
      <c r="Q301" s="293"/>
      <c r="R301" s="293"/>
      <c r="S301" s="293"/>
      <c r="T301" s="293"/>
      <c r="U301" s="293"/>
      <c r="V301" s="293"/>
      <c r="W301" s="293"/>
      <c r="X301" s="293"/>
      <c r="Y301" s="293"/>
      <c r="Z301" s="293"/>
      <c r="AA301" s="293"/>
      <c r="AB301" s="293"/>
      <c r="AC301" s="293"/>
      <c r="AD301" s="293"/>
      <c r="AE301" s="293"/>
    </row>
    <row r="302" spans="2:31" ht="15">
      <c r="B302" s="398">
        <f t="shared" si="7"/>
        <v>257</v>
      </c>
      <c r="C302" s="406" t="str" cm="1">
        <f t="array" aca="1" ref="C302" ca="1">IF(B302&lt;=$C$9,GetGetCDSName(B302),"")</f>
        <v/>
      </c>
      <c r="D302" s="366"/>
      <c r="E302" s="399"/>
      <c r="F302" s="318"/>
      <c r="G302" s="318"/>
      <c r="H302" s="318"/>
      <c r="I302" s="318"/>
      <c r="J302" s="318"/>
      <c r="K302" s="318"/>
      <c r="L302" s="318"/>
      <c r="M302" s="318"/>
      <c r="N302" s="400"/>
      <c r="O302" s="293"/>
      <c r="P302" s="293"/>
      <c r="Q302" s="293"/>
      <c r="R302" s="293"/>
      <c r="S302" s="293"/>
      <c r="T302" s="293"/>
      <c r="U302" s="293"/>
      <c r="V302" s="293"/>
      <c r="W302" s="293"/>
      <c r="X302" s="293"/>
      <c r="Y302" s="293"/>
      <c r="Z302" s="293"/>
      <c r="AA302" s="293"/>
      <c r="AB302" s="293"/>
      <c r="AC302" s="293"/>
      <c r="AD302" s="293"/>
      <c r="AE302" s="293"/>
    </row>
    <row r="303" spans="2:31" ht="15">
      <c r="B303" s="398">
        <f t="shared" ref="B303:B345" si="8">B302+1</f>
        <v>258</v>
      </c>
      <c r="C303" s="406" t="str" cm="1">
        <f t="array" aca="1" ref="C303" ca="1">IF(B303&lt;=$C$9,GetGetCDSName(B303),"")</f>
        <v/>
      </c>
      <c r="D303" s="366"/>
      <c r="E303" s="399"/>
      <c r="F303" s="318"/>
      <c r="G303" s="318"/>
      <c r="H303" s="318"/>
      <c r="I303" s="318"/>
      <c r="J303" s="318"/>
      <c r="K303" s="318"/>
      <c r="L303" s="318"/>
      <c r="M303" s="318"/>
      <c r="N303" s="400"/>
      <c r="O303" s="293"/>
      <c r="P303" s="293"/>
      <c r="Q303" s="293"/>
      <c r="R303" s="293"/>
      <c r="S303" s="293"/>
      <c r="T303" s="293"/>
      <c r="U303" s="293"/>
      <c r="V303" s="293"/>
      <c r="W303" s="293"/>
      <c r="X303" s="293"/>
      <c r="Y303" s="293"/>
      <c r="Z303" s="293"/>
      <c r="AA303" s="293"/>
      <c r="AB303" s="293"/>
      <c r="AC303" s="293"/>
      <c r="AD303" s="293"/>
      <c r="AE303" s="293"/>
    </row>
    <row r="304" spans="2:31" ht="15">
      <c r="B304" s="398">
        <f t="shared" si="8"/>
        <v>259</v>
      </c>
      <c r="C304" s="406" t="str" cm="1">
        <f t="array" aca="1" ref="C304" ca="1">IF(B304&lt;=$C$9,GetGetCDSName(B304),"")</f>
        <v/>
      </c>
      <c r="D304" s="366"/>
      <c r="E304" s="399"/>
      <c r="F304" s="318"/>
      <c r="G304" s="318"/>
      <c r="H304" s="318"/>
      <c r="I304" s="318"/>
      <c r="J304" s="318"/>
      <c r="K304" s="318"/>
      <c r="L304" s="318"/>
      <c r="M304" s="318"/>
      <c r="N304" s="400"/>
      <c r="O304" s="293"/>
      <c r="P304" s="293"/>
      <c r="Q304" s="293"/>
      <c r="R304" s="293"/>
      <c r="S304" s="293"/>
      <c r="T304" s="293"/>
      <c r="U304" s="293"/>
      <c r="V304" s="293"/>
      <c r="W304" s="293"/>
      <c r="X304" s="293"/>
      <c r="Y304" s="293"/>
      <c r="Z304" s="293"/>
      <c r="AA304" s="293"/>
      <c r="AB304" s="293"/>
      <c r="AC304" s="293"/>
      <c r="AD304" s="293"/>
      <c r="AE304" s="293"/>
    </row>
    <row r="305" spans="2:31" ht="15">
      <c r="B305" s="398">
        <f t="shared" si="8"/>
        <v>260</v>
      </c>
      <c r="C305" s="406" t="str" cm="1">
        <f t="array" aca="1" ref="C305" ca="1">IF(B305&lt;=$C$9,GetGetCDSName(B305),"")</f>
        <v/>
      </c>
      <c r="D305" s="366"/>
      <c r="E305" s="399"/>
      <c r="F305" s="318"/>
      <c r="G305" s="318"/>
      <c r="H305" s="318"/>
      <c r="I305" s="318"/>
      <c r="J305" s="318"/>
      <c r="K305" s="318"/>
      <c r="L305" s="318"/>
      <c r="M305" s="318"/>
      <c r="N305" s="400"/>
      <c r="O305" s="293"/>
      <c r="P305" s="293"/>
      <c r="Q305" s="293"/>
      <c r="R305" s="293"/>
      <c r="S305" s="293"/>
      <c r="T305" s="293"/>
      <c r="U305" s="293"/>
      <c r="V305" s="293"/>
      <c r="W305" s="293"/>
      <c r="X305" s="293"/>
      <c r="Y305" s="293"/>
      <c r="Z305" s="293"/>
      <c r="AA305" s="293"/>
      <c r="AB305" s="293"/>
      <c r="AC305" s="293"/>
      <c r="AD305" s="293"/>
      <c r="AE305" s="293"/>
    </row>
    <row r="306" spans="2:31" ht="15">
      <c r="B306" s="398">
        <f t="shared" si="8"/>
        <v>261</v>
      </c>
      <c r="C306" s="406" t="str" cm="1">
        <f t="array" aca="1" ref="C306" ca="1">IF(B306&lt;=$C$9,GetGetCDSName(B306),"")</f>
        <v/>
      </c>
      <c r="D306" s="366"/>
      <c r="E306" s="399"/>
      <c r="F306" s="318"/>
      <c r="G306" s="318"/>
      <c r="H306" s="318"/>
      <c r="I306" s="318"/>
      <c r="J306" s="318"/>
      <c r="K306" s="318"/>
      <c r="L306" s="318"/>
      <c r="M306" s="318"/>
      <c r="N306" s="400"/>
      <c r="O306" s="293"/>
      <c r="P306" s="293"/>
      <c r="Q306" s="293"/>
      <c r="R306" s="293"/>
      <c r="S306" s="293"/>
      <c r="T306" s="293"/>
      <c r="U306" s="293"/>
      <c r="V306" s="293"/>
      <c r="W306" s="293"/>
      <c r="X306" s="293"/>
      <c r="Y306" s="293"/>
      <c r="Z306" s="293"/>
      <c r="AA306" s="293"/>
      <c r="AB306" s="293"/>
      <c r="AC306" s="293"/>
      <c r="AD306" s="293"/>
      <c r="AE306" s="293"/>
    </row>
    <row r="307" spans="2:31" ht="15">
      <c r="B307" s="398">
        <f t="shared" si="8"/>
        <v>262</v>
      </c>
      <c r="C307" s="406" t="str" cm="1">
        <f t="array" aca="1" ref="C307" ca="1">IF(B307&lt;=$C$9,GetGetCDSName(B307),"")</f>
        <v/>
      </c>
      <c r="D307" s="366"/>
      <c r="E307" s="399"/>
      <c r="F307" s="318"/>
      <c r="G307" s="318"/>
      <c r="H307" s="318"/>
      <c r="I307" s="318"/>
      <c r="J307" s="318"/>
      <c r="K307" s="318"/>
      <c r="L307" s="318"/>
      <c r="M307" s="318"/>
      <c r="N307" s="400"/>
      <c r="O307" s="293"/>
      <c r="P307" s="293"/>
      <c r="Q307" s="293"/>
      <c r="R307" s="293"/>
      <c r="S307" s="293"/>
      <c r="T307" s="293"/>
      <c r="U307" s="293"/>
      <c r="V307" s="293"/>
      <c r="W307" s="293"/>
      <c r="X307" s="293"/>
      <c r="Y307" s="293"/>
      <c r="Z307" s="293"/>
      <c r="AA307" s="293"/>
      <c r="AB307" s="293"/>
      <c r="AC307" s="293"/>
      <c r="AD307" s="293"/>
      <c r="AE307" s="293"/>
    </row>
    <row r="308" spans="2:31" ht="15">
      <c r="B308" s="398">
        <f t="shared" si="8"/>
        <v>263</v>
      </c>
      <c r="C308" s="406" t="str" cm="1">
        <f t="array" aca="1" ref="C308" ca="1">IF(B308&lt;=$C$9,GetGetCDSName(B308),"")</f>
        <v/>
      </c>
      <c r="D308" s="366"/>
      <c r="E308" s="399"/>
      <c r="F308" s="318"/>
      <c r="G308" s="318"/>
      <c r="H308" s="318"/>
      <c r="I308" s="318"/>
      <c r="J308" s="318"/>
      <c r="K308" s="318"/>
      <c r="L308" s="318"/>
      <c r="M308" s="318"/>
      <c r="N308" s="400"/>
      <c r="O308" s="293"/>
      <c r="P308" s="293"/>
      <c r="Q308" s="293"/>
      <c r="R308" s="293"/>
      <c r="S308" s="293"/>
      <c r="T308" s="293"/>
      <c r="U308" s="293"/>
      <c r="V308" s="293"/>
      <c r="W308" s="293"/>
      <c r="X308" s="293"/>
      <c r="Y308" s="293"/>
      <c r="Z308" s="293"/>
      <c r="AA308" s="293"/>
      <c r="AB308" s="293"/>
      <c r="AC308" s="293"/>
      <c r="AD308" s="293"/>
      <c r="AE308" s="293"/>
    </row>
    <row r="309" spans="2:31" ht="15">
      <c r="B309" s="398">
        <f t="shared" si="8"/>
        <v>264</v>
      </c>
      <c r="C309" s="406" t="str" cm="1">
        <f t="array" aca="1" ref="C309" ca="1">IF(B309&lt;=$C$9,GetGetCDSName(B309),"")</f>
        <v/>
      </c>
      <c r="D309" s="366"/>
      <c r="E309" s="399"/>
      <c r="F309" s="318"/>
      <c r="G309" s="318"/>
      <c r="H309" s="318"/>
      <c r="I309" s="318"/>
      <c r="J309" s="318"/>
      <c r="K309" s="318"/>
      <c r="L309" s="318"/>
      <c r="M309" s="318"/>
      <c r="N309" s="400"/>
      <c r="O309" s="293"/>
      <c r="P309" s="293"/>
      <c r="Q309" s="293"/>
      <c r="R309" s="293"/>
      <c r="S309" s="293"/>
      <c r="T309" s="293"/>
      <c r="U309" s="293"/>
      <c r="V309" s="293"/>
      <c r="W309" s="293"/>
      <c r="X309" s="293"/>
      <c r="Y309" s="293"/>
      <c r="Z309" s="293"/>
      <c r="AA309" s="293"/>
      <c r="AB309" s="293"/>
      <c r="AC309" s="293"/>
      <c r="AD309" s="293"/>
      <c r="AE309" s="293"/>
    </row>
    <row r="310" spans="2:31" ht="15">
      <c r="B310" s="398">
        <f t="shared" si="8"/>
        <v>265</v>
      </c>
      <c r="C310" s="406" t="str" cm="1">
        <f t="array" aca="1" ref="C310" ca="1">IF(B310&lt;=$C$9,GetGetCDSName(B310),"")</f>
        <v/>
      </c>
      <c r="D310" s="366"/>
      <c r="E310" s="399"/>
      <c r="F310" s="318"/>
      <c r="G310" s="318"/>
      <c r="H310" s="318"/>
      <c r="I310" s="318"/>
      <c r="J310" s="318"/>
      <c r="K310" s="318"/>
      <c r="L310" s="318"/>
      <c r="M310" s="318"/>
      <c r="N310" s="400"/>
      <c r="O310" s="293"/>
      <c r="P310" s="293"/>
      <c r="Q310" s="293"/>
      <c r="R310" s="293"/>
      <c r="S310" s="293"/>
      <c r="T310" s="293"/>
      <c r="U310" s="293"/>
      <c r="V310" s="293"/>
      <c r="W310" s="293"/>
      <c r="X310" s="293"/>
      <c r="Y310" s="293"/>
      <c r="Z310" s="293"/>
      <c r="AA310" s="293"/>
      <c r="AB310" s="293"/>
      <c r="AC310" s="293"/>
      <c r="AD310" s="293"/>
      <c r="AE310" s="293"/>
    </row>
    <row r="311" spans="2:31" ht="15">
      <c r="B311" s="398">
        <f t="shared" si="8"/>
        <v>266</v>
      </c>
      <c r="C311" s="406" t="str" cm="1">
        <f t="array" aca="1" ref="C311" ca="1">IF(B311&lt;=$C$9,GetGetCDSName(B311),"")</f>
        <v/>
      </c>
      <c r="D311" s="366"/>
      <c r="E311" s="399"/>
      <c r="F311" s="318"/>
      <c r="G311" s="318"/>
      <c r="H311" s="318"/>
      <c r="I311" s="318"/>
      <c r="J311" s="318"/>
      <c r="K311" s="318"/>
      <c r="L311" s="318"/>
      <c r="M311" s="318"/>
      <c r="N311" s="400"/>
      <c r="O311" s="293"/>
      <c r="P311" s="293"/>
      <c r="Q311" s="293"/>
      <c r="R311" s="293"/>
      <c r="S311" s="293"/>
      <c r="T311" s="293"/>
      <c r="U311" s="293"/>
      <c r="V311" s="293"/>
      <c r="W311" s="293"/>
      <c r="X311" s="293"/>
      <c r="Y311" s="293"/>
      <c r="Z311" s="293"/>
      <c r="AA311" s="293"/>
      <c r="AB311" s="293"/>
      <c r="AC311" s="293"/>
      <c r="AD311" s="293"/>
      <c r="AE311" s="293"/>
    </row>
    <row r="312" spans="2:31" ht="15">
      <c r="B312" s="398">
        <f t="shared" si="8"/>
        <v>267</v>
      </c>
      <c r="C312" s="406" t="str" cm="1">
        <f t="array" aca="1" ref="C312" ca="1">IF(B312&lt;=$C$9,GetGetCDSName(B312),"")</f>
        <v/>
      </c>
      <c r="D312" s="366"/>
      <c r="E312" s="399"/>
      <c r="F312" s="318"/>
      <c r="G312" s="318"/>
      <c r="H312" s="318"/>
      <c r="I312" s="318"/>
      <c r="J312" s="318"/>
      <c r="K312" s="318"/>
      <c r="L312" s="318"/>
      <c r="M312" s="318"/>
      <c r="N312" s="400"/>
      <c r="O312" s="293"/>
      <c r="P312" s="293"/>
      <c r="Q312" s="293"/>
      <c r="R312" s="293"/>
      <c r="S312" s="293"/>
      <c r="T312" s="293"/>
      <c r="U312" s="293"/>
      <c r="V312" s="293"/>
      <c r="W312" s="293"/>
      <c r="X312" s="293"/>
      <c r="Y312" s="293"/>
      <c r="Z312" s="293"/>
      <c r="AA312" s="293"/>
      <c r="AB312" s="293"/>
      <c r="AC312" s="293"/>
      <c r="AD312" s="293"/>
      <c r="AE312" s="293"/>
    </row>
    <row r="313" spans="2:31" ht="15">
      <c r="B313" s="398">
        <f t="shared" si="8"/>
        <v>268</v>
      </c>
      <c r="C313" s="406" t="str" cm="1">
        <f t="array" aca="1" ref="C313" ca="1">IF(B313&lt;=$C$9,GetGetCDSName(B313),"")</f>
        <v/>
      </c>
      <c r="D313" s="366"/>
      <c r="E313" s="399"/>
      <c r="F313" s="318"/>
      <c r="G313" s="318"/>
      <c r="H313" s="318"/>
      <c r="I313" s="318"/>
      <c r="J313" s="318"/>
      <c r="K313" s="318"/>
      <c r="L313" s="318"/>
      <c r="M313" s="318"/>
      <c r="N313" s="400"/>
      <c r="O313" s="293"/>
      <c r="P313" s="293"/>
      <c r="Q313" s="293"/>
      <c r="R313" s="293"/>
      <c r="S313" s="293"/>
      <c r="T313" s="293"/>
      <c r="U313" s="293"/>
      <c r="V313" s="293"/>
      <c r="W313" s="293"/>
      <c r="X313" s="293"/>
      <c r="Y313" s="293"/>
      <c r="Z313" s="293"/>
      <c r="AA313" s="293"/>
      <c r="AB313" s="293"/>
      <c r="AC313" s="293"/>
      <c r="AD313" s="293"/>
      <c r="AE313" s="293"/>
    </row>
    <row r="314" spans="2:31" ht="15">
      <c r="B314" s="398">
        <f t="shared" si="8"/>
        <v>269</v>
      </c>
      <c r="C314" s="406" t="str" cm="1">
        <f t="array" aca="1" ref="C314" ca="1">IF(B314&lt;=$C$9,GetGetCDSName(B314),"")</f>
        <v/>
      </c>
      <c r="D314" s="366"/>
      <c r="E314" s="399"/>
      <c r="F314" s="318"/>
      <c r="G314" s="318"/>
      <c r="H314" s="318"/>
      <c r="I314" s="318"/>
      <c r="J314" s="318"/>
      <c r="K314" s="318"/>
      <c r="L314" s="318"/>
      <c r="M314" s="318"/>
      <c r="N314" s="400"/>
      <c r="O314" s="293"/>
      <c r="P314" s="293"/>
      <c r="Q314" s="293"/>
      <c r="R314" s="293"/>
      <c r="S314" s="293"/>
      <c r="T314" s="293"/>
      <c r="U314" s="293"/>
      <c r="V314" s="293"/>
      <c r="W314" s="293"/>
      <c r="X314" s="293"/>
      <c r="Y314" s="293"/>
      <c r="Z314" s="293"/>
      <c r="AA314" s="293"/>
      <c r="AB314" s="293"/>
      <c r="AC314" s="293"/>
      <c r="AD314" s="293"/>
      <c r="AE314" s="293"/>
    </row>
    <row r="315" spans="2:31" ht="15">
      <c r="B315" s="398">
        <f t="shared" si="8"/>
        <v>270</v>
      </c>
      <c r="C315" s="406" t="str" cm="1">
        <f t="array" aca="1" ref="C315" ca="1">IF(B315&lt;=$C$9,GetGetCDSName(B315),"")</f>
        <v/>
      </c>
      <c r="D315" s="366"/>
      <c r="E315" s="399"/>
      <c r="F315" s="318"/>
      <c r="G315" s="318"/>
      <c r="H315" s="318"/>
      <c r="I315" s="318"/>
      <c r="J315" s="318"/>
      <c r="K315" s="318"/>
      <c r="L315" s="318"/>
      <c r="M315" s="318"/>
      <c r="N315" s="400"/>
      <c r="O315" s="293"/>
      <c r="P315" s="293"/>
      <c r="Q315" s="293"/>
      <c r="R315" s="293"/>
      <c r="S315" s="293"/>
      <c r="T315" s="293"/>
      <c r="U315" s="293"/>
      <c r="V315" s="293"/>
      <c r="W315" s="293"/>
      <c r="X315" s="293"/>
      <c r="Y315" s="293"/>
      <c r="Z315" s="293"/>
      <c r="AA315" s="293"/>
      <c r="AB315" s="293"/>
      <c r="AC315" s="293"/>
      <c r="AD315" s="293"/>
      <c r="AE315" s="293"/>
    </row>
    <row r="316" spans="2:31" ht="15">
      <c r="B316" s="398">
        <f t="shared" si="8"/>
        <v>271</v>
      </c>
      <c r="C316" s="406" t="str" cm="1">
        <f t="array" aca="1" ref="C316" ca="1">IF(B316&lt;=$C$9,GetGetCDSName(B316),"")</f>
        <v/>
      </c>
      <c r="D316" s="366"/>
      <c r="E316" s="399"/>
      <c r="F316" s="318"/>
      <c r="G316" s="318"/>
      <c r="H316" s="318"/>
      <c r="I316" s="318"/>
      <c r="J316" s="318"/>
      <c r="K316" s="318"/>
      <c r="L316" s="318"/>
      <c r="M316" s="318"/>
      <c r="N316" s="400"/>
      <c r="O316" s="293"/>
      <c r="P316" s="293"/>
      <c r="Q316" s="293"/>
      <c r="R316" s="293"/>
      <c r="S316" s="293"/>
      <c r="T316" s="293"/>
      <c r="U316" s="293"/>
      <c r="V316" s="293"/>
      <c r="W316" s="293"/>
      <c r="X316" s="293"/>
      <c r="Y316" s="293"/>
      <c r="Z316" s="293"/>
      <c r="AA316" s="293"/>
      <c r="AB316" s="293"/>
      <c r="AC316" s="293"/>
      <c r="AD316" s="293"/>
      <c r="AE316" s="293"/>
    </row>
    <row r="317" spans="2:31" ht="15">
      <c r="B317" s="398">
        <f t="shared" si="8"/>
        <v>272</v>
      </c>
      <c r="C317" s="406" t="str" cm="1">
        <f t="array" aca="1" ref="C317" ca="1">IF(B317&lt;=$C$9,GetGetCDSName(B317),"")</f>
        <v/>
      </c>
      <c r="D317" s="366"/>
      <c r="E317" s="399"/>
      <c r="F317" s="318"/>
      <c r="G317" s="318"/>
      <c r="H317" s="318"/>
      <c r="I317" s="318"/>
      <c r="J317" s="318"/>
      <c r="K317" s="318"/>
      <c r="L317" s="318"/>
      <c r="M317" s="318"/>
      <c r="N317" s="400"/>
      <c r="O317" s="293"/>
      <c r="P317" s="293"/>
      <c r="Q317" s="293"/>
      <c r="R317" s="293"/>
      <c r="S317" s="293"/>
      <c r="T317" s="293"/>
      <c r="U317" s="293"/>
      <c r="V317" s="293"/>
      <c r="W317" s="293"/>
      <c r="X317" s="293"/>
      <c r="Y317" s="293"/>
      <c r="Z317" s="293"/>
      <c r="AA317" s="293"/>
      <c r="AB317" s="293"/>
      <c r="AC317" s="293"/>
      <c r="AD317" s="293"/>
      <c r="AE317" s="293"/>
    </row>
    <row r="318" spans="2:31" ht="15">
      <c r="B318" s="398">
        <f t="shared" si="8"/>
        <v>273</v>
      </c>
      <c r="C318" s="406" t="str" cm="1">
        <f t="array" aca="1" ref="C318" ca="1">IF(B318&lt;=$C$9,GetGetCDSName(B318),"")</f>
        <v/>
      </c>
      <c r="D318" s="366"/>
      <c r="E318" s="399"/>
      <c r="F318" s="318"/>
      <c r="G318" s="318"/>
      <c r="H318" s="318"/>
      <c r="I318" s="318"/>
      <c r="J318" s="318"/>
      <c r="K318" s="318"/>
      <c r="L318" s="318"/>
      <c r="M318" s="318"/>
      <c r="N318" s="400"/>
      <c r="O318" s="293"/>
      <c r="P318" s="293"/>
      <c r="Q318" s="293"/>
      <c r="R318" s="293"/>
      <c r="S318" s="293"/>
      <c r="T318" s="293"/>
      <c r="U318" s="293"/>
      <c r="V318" s="293"/>
      <c r="W318" s="293"/>
      <c r="X318" s="293"/>
      <c r="Y318" s="293"/>
      <c r="Z318" s="293"/>
      <c r="AA318" s="293"/>
      <c r="AB318" s="293"/>
      <c r="AC318" s="293"/>
      <c r="AD318" s="293"/>
      <c r="AE318" s="293"/>
    </row>
    <row r="319" spans="2:31" ht="15">
      <c r="B319" s="398">
        <f t="shared" si="8"/>
        <v>274</v>
      </c>
      <c r="C319" s="406" t="str" cm="1">
        <f t="array" aca="1" ref="C319" ca="1">IF(B319&lt;=$C$9,GetGetCDSName(B319),"")</f>
        <v/>
      </c>
      <c r="D319" s="366"/>
      <c r="E319" s="399"/>
      <c r="F319" s="318"/>
      <c r="G319" s="318"/>
      <c r="H319" s="318"/>
      <c r="I319" s="318"/>
      <c r="J319" s="318"/>
      <c r="K319" s="318"/>
      <c r="L319" s="318"/>
      <c r="M319" s="318"/>
      <c r="N319" s="400"/>
      <c r="O319" s="293"/>
      <c r="P319" s="293"/>
      <c r="Q319" s="293"/>
      <c r="R319" s="293"/>
      <c r="S319" s="293"/>
      <c r="T319" s="293"/>
      <c r="U319" s="293"/>
      <c r="V319" s="293"/>
      <c r="W319" s="293"/>
      <c r="X319" s="293"/>
      <c r="Y319" s="293"/>
      <c r="Z319" s="293"/>
      <c r="AA319" s="293"/>
      <c r="AB319" s="293"/>
      <c r="AC319" s="293"/>
      <c r="AD319" s="293"/>
      <c r="AE319" s="293"/>
    </row>
    <row r="320" spans="2:31" ht="15">
      <c r="B320" s="398">
        <f t="shared" si="8"/>
        <v>275</v>
      </c>
      <c r="C320" s="406" t="str" cm="1">
        <f t="array" aca="1" ref="C320" ca="1">IF(B320&lt;=$C$9,GetGetCDSName(B320),"")</f>
        <v/>
      </c>
      <c r="D320" s="366"/>
      <c r="E320" s="399"/>
      <c r="F320" s="318"/>
      <c r="G320" s="318"/>
      <c r="H320" s="318"/>
      <c r="I320" s="318"/>
      <c r="J320" s="318"/>
      <c r="K320" s="318"/>
      <c r="L320" s="318"/>
      <c r="M320" s="318"/>
      <c r="N320" s="400"/>
      <c r="O320" s="293"/>
      <c r="P320" s="293"/>
      <c r="Q320" s="293"/>
      <c r="R320" s="293"/>
      <c r="S320" s="293"/>
      <c r="T320" s="293"/>
      <c r="U320" s="293"/>
      <c r="V320" s="293"/>
      <c r="W320" s="293"/>
      <c r="X320" s="293"/>
      <c r="Y320" s="293"/>
      <c r="Z320" s="293"/>
      <c r="AA320" s="293"/>
      <c r="AB320" s="293"/>
      <c r="AC320" s="293"/>
      <c r="AD320" s="293"/>
      <c r="AE320" s="293"/>
    </row>
    <row r="321" spans="2:31" ht="15">
      <c r="B321" s="398">
        <f t="shared" si="8"/>
        <v>276</v>
      </c>
      <c r="C321" s="406" t="str" cm="1">
        <f t="array" aca="1" ref="C321" ca="1">IF(B321&lt;=$C$9,GetGetCDSName(B321),"")</f>
        <v/>
      </c>
      <c r="D321" s="366"/>
      <c r="E321" s="399"/>
      <c r="F321" s="318"/>
      <c r="G321" s="318"/>
      <c r="H321" s="318"/>
      <c r="I321" s="318"/>
      <c r="J321" s="318"/>
      <c r="K321" s="318"/>
      <c r="L321" s="318"/>
      <c r="M321" s="318"/>
      <c r="N321" s="400"/>
      <c r="O321" s="293"/>
      <c r="P321" s="293"/>
      <c r="Q321" s="293"/>
      <c r="R321" s="293"/>
      <c r="S321" s="293"/>
      <c r="T321" s="293"/>
      <c r="U321" s="293"/>
      <c r="V321" s="293"/>
      <c r="W321" s="293"/>
      <c r="X321" s="293"/>
      <c r="Y321" s="293"/>
      <c r="Z321" s="293"/>
      <c r="AA321" s="293"/>
      <c r="AB321" s="293"/>
      <c r="AC321" s="293"/>
      <c r="AD321" s="293"/>
      <c r="AE321" s="293"/>
    </row>
    <row r="322" spans="2:31" ht="15">
      <c r="B322" s="398">
        <f t="shared" si="8"/>
        <v>277</v>
      </c>
      <c r="C322" s="406" t="str" cm="1">
        <f t="array" aca="1" ref="C322" ca="1">IF(B322&lt;=$C$9,GetGetCDSName(B322),"")</f>
        <v/>
      </c>
      <c r="D322" s="366"/>
      <c r="E322" s="399"/>
      <c r="F322" s="318"/>
      <c r="G322" s="318"/>
      <c r="H322" s="318"/>
      <c r="I322" s="318"/>
      <c r="J322" s="318"/>
      <c r="K322" s="318"/>
      <c r="L322" s="318"/>
      <c r="M322" s="318"/>
      <c r="N322" s="400"/>
      <c r="O322" s="293"/>
      <c r="P322" s="293"/>
      <c r="Q322" s="293"/>
      <c r="R322" s="293"/>
      <c r="S322" s="293"/>
      <c r="T322" s="293"/>
      <c r="U322" s="293"/>
      <c r="V322" s="293"/>
      <c r="W322" s="293"/>
      <c r="X322" s="293"/>
      <c r="Y322" s="293"/>
      <c r="Z322" s="293"/>
      <c r="AA322" s="293"/>
      <c r="AB322" s="293"/>
      <c r="AC322" s="293"/>
      <c r="AD322" s="293"/>
      <c r="AE322" s="293"/>
    </row>
    <row r="323" spans="2:31" ht="15">
      <c r="B323" s="398">
        <f t="shared" si="8"/>
        <v>278</v>
      </c>
      <c r="C323" s="406" t="str" cm="1">
        <f t="array" aca="1" ref="C323" ca="1">IF(B323&lt;=$C$9,GetGetCDSName(B323),"")</f>
        <v/>
      </c>
      <c r="D323" s="366"/>
      <c r="E323" s="399"/>
      <c r="F323" s="318"/>
      <c r="G323" s="318"/>
      <c r="H323" s="318"/>
      <c r="I323" s="318"/>
      <c r="J323" s="318"/>
      <c r="K323" s="318"/>
      <c r="L323" s="318"/>
      <c r="M323" s="318"/>
      <c r="N323" s="400"/>
      <c r="O323" s="293"/>
      <c r="P323" s="293"/>
      <c r="Q323" s="293"/>
      <c r="R323" s="293"/>
      <c r="S323" s="293"/>
      <c r="T323" s="293"/>
      <c r="U323" s="293"/>
      <c r="V323" s="293"/>
      <c r="W323" s="293"/>
      <c r="X323" s="293"/>
      <c r="Y323" s="293"/>
      <c r="Z323" s="293"/>
      <c r="AA323" s="293"/>
      <c r="AB323" s="293"/>
      <c r="AC323" s="293"/>
      <c r="AD323" s="293"/>
      <c r="AE323" s="293"/>
    </row>
    <row r="324" spans="2:31" ht="15">
      <c r="B324" s="398">
        <f t="shared" si="8"/>
        <v>279</v>
      </c>
      <c r="C324" s="406" t="str" cm="1">
        <f t="array" aca="1" ref="C324" ca="1">IF(B324&lt;=$C$9,GetGetCDSName(B324),"")</f>
        <v/>
      </c>
      <c r="D324" s="366"/>
      <c r="E324" s="399"/>
      <c r="F324" s="318"/>
      <c r="G324" s="318"/>
      <c r="H324" s="318"/>
      <c r="I324" s="318"/>
      <c r="J324" s="318"/>
      <c r="K324" s="318"/>
      <c r="L324" s="318"/>
      <c r="M324" s="318"/>
      <c r="N324" s="400"/>
      <c r="O324" s="293"/>
      <c r="P324" s="293"/>
      <c r="Q324" s="293"/>
      <c r="R324" s="293"/>
      <c r="S324" s="293"/>
      <c r="T324" s="293"/>
      <c r="U324" s="293"/>
      <c r="V324" s="293"/>
      <c r="W324" s="293"/>
      <c r="X324" s="293"/>
      <c r="Y324" s="293"/>
      <c r="Z324" s="293"/>
      <c r="AA324" s="293"/>
      <c r="AB324" s="293"/>
      <c r="AC324" s="293"/>
      <c r="AD324" s="293"/>
      <c r="AE324" s="293"/>
    </row>
    <row r="325" spans="2:31" ht="15">
      <c r="B325" s="398">
        <f t="shared" si="8"/>
        <v>280</v>
      </c>
      <c r="C325" s="406" t="str" cm="1">
        <f t="array" aca="1" ref="C325" ca="1">IF(B325&lt;=$C$9,GetGetCDSName(B325),"")</f>
        <v/>
      </c>
      <c r="D325" s="366"/>
      <c r="E325" s="399"/>
      <c r="F325" s="318"/>
      <c r="G325" s="318"/>
      <c r="H325" s="318"/>
      <c r="I325" s="318"/>
      <c r="J325" s="318"/>
      <c r="K325" s="318"/>
      <c r="L325" s="318"/>
      <c r="M325" s="318"/>
      <c r="N325" s="400"/>
      <c r="O325" s="293"/>
      <c r="P325" s="293"/>
      <c r="Q325" s="293"/>
      <c r="R325" s="293"/>
      <c r="S325" s="293"/>
      <c r="T325" s="293"/>
      <c r="U325" s="293"/>
      <c r="V325" s="293"/>
      <c r="W325" s="293"/>
      <c r="X325" s="293"/>
      <c r="Y325" s="293"/>
      <c r="Z325" s="293"/>
      <c r="AA325" s="293"/>
      <c r="AB325" s="293"/>
      <c r="AC325" s="293"/>
      <c r="AD325" s="293"/>
      <c r="AE325" s="293"/>
    </row>
    <row r="326" spans="2:31" ht="15">
      <c r="B326" s="398">
        <f t="shared" si="8"/>
        <v>281</v>
      </c>
      <c r="C326" s="406" t="str" cm="1">
        <f t="array" aca="1" ref="C326" ca="1">IF(B326&lt;=$C$9,GetGetCDSName(B326),"")</f>
        <v/>
      </c>
      <c r="D326" s="366"/>
      <c r="E326" s="399"/>
      <c r="F326" s="318"/>
      <c r="G326" s="318"/>
      <c r="H326" s="318"/>
      <c r="I326" s="318"/>
      <c r="J326" s="318"/>
      <c r="K326" s="318"/>
      <c r="L326" s="318"/>
      <c r="M326" s="318"/>
      <c r="N326" s="400"/>
      <c r="O326" s="293"/>
      <c r="P326" s="293"/>
      <c r="Q326" s="293"/>
      <c r="R326" s="293"/>
      <c r="S326" s="293"/>
      <c r="T326" s="293"/>
      <c r="U326" s="293"/>
      <c r="V326" s="293"/>
      <c r="W326" s="293"/>
      <c r="X326" s="293"/>
      <c r="Y326" s="293"/>
      <c r="Z326" s="293"/>
      <c r="AA326" s="293"/>
      <c r="AB326" s="293"/>
      <c r="AC326" s="293"/>
      <c r="AD326" s="293"/>
      <c r="AE326" s="293"/>
    </row>
    <row r="327" spans="2:31" ht="15">
      <c r="B327" s="398">
        <f t="shared" si="8"/>
        <v>282</v>
      </c>
      <c r="C327" s="406" t="str" cm="1">
        <f t="array" aca="1" ref="C327" ca="1">IF(B327&lt;=$C$9,GetGetCDSName(B327),"")</f>
        <v/>
      </c>
      <c r="D327" s="366"/>
      <c r="E327" s="399"/>
      <c r="F327" s="318"/>
      <c r="G327" s="318"/>
      <c r="H327" s="318"/>
      <c r="I327" s="318"/>
      <c r="J327" s="318"/>
      <c r="K327" s="318"/>
      <c r="L327" s="318"/>
      <c r="M327" s="318"/>
      <c r="N327" s="400"/>
      <c r="O327" s="293"/>
      <c r="P327" s="293"/>
      <c r="Q327" s="293"/>
      <c r="R327" s="293"/>
      <c r="S327" s="293"/>
      <c r="T327" s="293"/>
      <c r="U327" s="293"/>
      <c r="V327" s="293"/>
      <c r="W327" s="293"/>
      <c r="X327" s="293"/>
      <c r="Y327" s="293"/>
      <c r="Z327" s="293"/>
      <c r="AA327" s="293"/>
      <c r="AB327" s="293"/>
      <c r="AC327" s="293"/>
      <c r="AD327" s="293"/>
      <c r="AE327" s="293"/>
    </row>
    <row r="328" spans="2:31" ht="15">
      <c r="B328" s="398">
        <f t="shared" si="8"/>
        <v>283</v>
      </c>
      <c r="C328" s="406" t="str" cm="1">
        <f t="array" aca="1" ref="C328" ca="1">IF(B328&lt;=$C$9,GetGetCDSName(B328),"")</f>
        <v/>
      </c>
      <c r="D328" s="366"/>
      <c r="E328" s="399"/>
      <c r="F328" s="318"/>
      <c r="G328" s="318"/>
      <c r="H328" s="318"/>
      <c r="I328" s="318"/>
      <c r="J328" s="318"/>
      <c r="K328" s="318"/>
      <c r="L328" s="318"/>
      <c r="M328" s="318"/>
      <c r="N328" s="400"/>
      <c r="O328" s="293"/>
      <c r="P328" s="293"/>
      <c r="Q328" s="293"/>
      <c r="R328" s="293"/>
      <c r="S328" s="293"/>
      <c r="T328" s="293"/>
      <c r="U328" s="293"/>
      <c r="V328" s="293"/>
      <c r="W328" s="293"/>
      <c r="X328" s="293"/>
      <c r="Y328" s="293"/>
      <c r="Z328" s="293"/>
      <c r="AA328" s="293"/>
      <c r="AB328" s="293"/>
      <c r="AC328" s="293"/>
      <c r="AD328" s="293"/>
      <c r="AE328" s="293"/>
    </row>
    <row r="329" spans="2:31" ht="15">
      <c r="B329" s="398">
        <f t="shared" si="8"/>
        <v>284</v>
      </c>
      <c r="C329" s="406" t="str" cm="1">
        <f t="array" aca="1" ref="C329" ca="1">IF(B329&lt;=$C$9,GetGetCDSName(B329),"")</f>
        <v/>
      </c>
      <c r="D329" s="366"/>
      <c r="E329" s="399"/>
      <c r="F329" s="318"/>
      <c r="G329" s="318"/>
      <c r="H329" s="318"/>
      <c r="I329" s="318"/>
      <c r="J329" s="318"/>
      <c r="K329" s="318"/>
      <c r="L329" s="318"/>
      <c r="M329" s="318"/>
      <c r="N329" s="400"/>
      <c r="O329" s="293"/>
      <c r="P329" s="293"/>
      <c r="Q329" s="293"/>
      <c r="R329" s="293"/>
      <c r="S329" s="293"/>
      <c r="T329" s="293"/>
      <c r="U329" s="293"/>
      <c r="V329" s="293"/>
      <c r="W329" s="293"/>
      <c r="X329" s="293"/>
      <c r="Y329" s="293"/>
      <c r="Z329" s="293"/>
      <c r="AA329" s="293"/>
      <c r="AB329" s="293"/>
      <c r="AC329" s="293"/>
      <c r="AD329" s="293"/>
      <c r="AE329" s="293"/>
    </row>
    <row r="330" spans="2:31" ht="15">
      <c r="B330" s="398">
        <f t="shared" si="8"/>
        <v>285</v>
      </c>
      <c r="C330" s="406" t="str" cm="1">
        <f t="array" aca="1" ref="C330" ca="1">IF(B330&lt;=$C$9,GetGetCDSName(B330),"")</f>
        <v/>
      </c>
      <c r="D330" s="366"/>
      <c r="E330" s="399"/>
      <c r="F330" s="318"/>
      <c r="G330" s="318"/>
      <c r="H330" s="318"/>
      <c r="I330" s="318"/>
      <c r="J330" s="318"/>
      <c r="K330" s="318"/>
      <c r="L330" s="318"/>
      <c r="M330" s="318"/>
      <c r="N330" s="400"/>
      <c r="O330" s="293"/>
      <c r="P330" s="293"/>
      <c r="Q330" s="293"/>
      <c r="R330" s="293"/>
      <c r="S330" s="293"/>
      <c r="T330" s="293"/>
      <c r="U330" s="293"/>
      <c r="V330" s="293"/>
      <c r="W330" s="293"/>
      <c r="X330" s="293"/>
      <c r="Y330" s="293"/>
      <c r="Z330" s="293"/>
      <c r="AA330" s="293"/>
      <c r="AB330" s="293"/>
      <c r="AC330" s="293"/>
      <c r="AD330" s="293"/>
      <c r="AE330" s="293"/>
    </row>
    <row r="331" spans="2:31" ht="15">
      <c r="B331" s="398">
        <f t="shared" si="8"/>
        <v>286</v>
      </c>
      <c r="C331" s="406" t="str" cm="1">
        <f t="array" aca="1" ref="C331" ca="1">IF(B331&lt;=$C$9,GetGetCDSName(B331),"")</f>
        <v/>
      </c>
      <c r="D331" s="366"/>
      <c r="E331" s="399"/>
      <c r="F331" s="318"/>
      <c r="G331" s="318"/>
      <c r="H331" s="318"/>
      <c r="I331" s="318"/>
      <c r="J331" s="318"/>
      <c r="K331" s="318"/>
      <c r="L331" s="318"/>
      <c r="M331" s="318"/>
      <c r="N331" s="400"/>
      <c r="O331" s="293"/>
      <c r="P331" s="293"/>
      <c r="Q331" s="293"/>
      <c r="R331" s="293"/>
      <c r="S331" s="293"/>
      <c r="T331" s="293"/>
      <c r="U331" s="293"/>
      <c r="V331" s="293"/>
      <c r="W331" s="293"/>
      <c r="X331" s="293"/>
      <c r="Y331" s="293"/>
      <c r="Z331" s="293"/>
      <c r="AA331" s="293"/>
      <c r="AB331" s="293"/>
      <c r="AC331" s="293"/>
      <c r="AD331" s="293"/>
      <c r="AE331" s="293"/>
    </row>
    <row r="332" spans="2:31" ht="15">
      <c r="B332" s="398">
        <f t="shared" si="8"/>
        <v>287</v>
      </c>
      <c r="C332" s="406" t="str" cm="1">
        <f t="array" aca="1" ref="C332" ca="1">IF(B332&lt;=$C$9,GetGetCDSName(B332),"")</f>
        <v/>
      </c>
      <c r="D332" s="366"/>
      <c r="E332" s="399"/>
      <c r="F332" s="318"/>
      <c r="G332" s="318"/>
      <c r="H332" s="318"/>
      <c r="I332" s="318"/>
      <c r="J332" s="318"/>
      <c r="K332" s="318"/>
      <c r="L332" s="318"/>
      <c r="M332" s="318"/>
      <c r="N332" s="400"/>
      <c r="O332" s="293"/>
      <c r="P332" s="293"/>
      <c r="Q332" s="293"/>
      <c r="R332" s="293"/>
      <c r="S332" s="293"/>
      <c r="T332" s="293"/>
      <c r="U332" s="293"/>
      <c r="V332" s="293"/>
      <c r="W332" s="293"/>
      <c r="X332" s="293"/>
      <c r="Y332" s="293"/>
      <c r="Z332" s="293"/>
      <c r="AA332" s="293"/>
      <c r="AB332" s="293"/>
      <c r="AC332" s="293"/>
      <c r="AD332" s="293"/>
      <c r="AE332" s="293"/>
    </row>
    <row r="333" spans="2:31" ht="15">
      <c r="B333" s="398">
        <f t="shared" si="8"/>
        <v>288</v>
      </c>
      <c r="C333" s="406" t="str" cm="1">
        <f t="array" aca="1" ref="C333" ca="1">IF(B333&lt;=$C$9,GetGetCDSName(B333),"")</f>
        <v/>
      </c>
      <c r="D333" s="366"/>
      <c r="E333" s="399"/>
      <c r="F333" s="318"/>
      <c r="G333" s="318"/>
      <c r="H333" s="318"/>
      <c r="I333" s="318"/>
      <c r="J333" s="318"/>
      <c r="K333" s="318"/>
      <c r="L333" s="318"/>
      <c r="M333" s="318"/>
      <c r="N333" s="400"/>
      <c r="O333" s="293"/>
      <c r="P333" s="293"/>
      <c r="Q333" s="293"/>
      <c r="R333" s="293"/>
      <c r="S333" s="293"/>
      <c r="T333" s="293"/>
      <c r="U333" s="293"/>
      <c r="V333" s="293"/>
      <c r="W333" s="293"/>
      <c r="X333" s="293"/>
      <c r="Y333" s="293"/>
      <c r="Z333" s="293"/>
      <c r="AA333" s="293"/>
      <c r="AB333" s="293"/>
      <c r="AC333" s="293"/>
      <c r="AD333" s="293"/>
      <c r="AE333" s="293"/>
    </row>
    <row r="334" spans="2:31" ht="15">
      <c r="B334" s="398">
        <f t="shared" si="8"/>
        <v>289</v>
      </c>
      <c r="C334" s="406" t="str" cm="1">
        <f t="array" aca="1" ref="C334" ca="1">IF(B334&lt;=$C$9,GetGetCDSName(B334),"")</f>
        <v/>
      </c>
      <c r="D334" s="366"/>
      <c r="E334" s="399"/>
      <c r="F334" s="318"/>
      <c r="G334" s="318"/>
      <c r="H334" s="318"/>
      <c r="I334" s="318"/>
      <c r="J334" s="318"/>
      <c r="K334" s="318"/>
      <c r="L334" s="318"/>
      <c r="M334" s="318"/>
      <c r="N334" s="400"/>
      <c r="O334" s="293"/>
      <c r="P334" s="293"/>
      <c r="Q334" s="293"/>
      <c r="R334" s="293"/>
      <c r="S334" s="293"/>
      <c r="T334" s="293"/>
      <c r="U334" s="293"/>
      <c r="V334" s="293"/>
      <c r="W334" s="293"/>
      <c r="X334" s="293"/>
      <c r="Y334" s="293"/>
      <c r="Z334" s="293"/>
      <c r="AA334" s="293"/>
      <c r="AB334" s="293"/>
      <c r="AC334" s="293"/>
      <c r="AD334" s="293"/>
      <c r="AE334" s="293"/>
    </row>
    <row r="335" spans="2:31" ht="15">
      <c r="B335" s="398">
        <f t="shared" si="8"/>
        <v>290</v>
      </c>
      <c r="C335" s="406" t="str" cm="1">
        <f t="array" aca="1" ref="C335" ca="1">IF(B335&lt;=$C$9,GetGetCDSName(B335),"")</f>
        <v/>
      </c>
      <c r="D335" s="366"/>
      <c r="E335" s="399"/>
      <c r="F335" s="318"/>
      <c r="G335" s="318"/>
      <c r="H335" s="318"/>
      <c r="I335" s="318"/>
      <c r="J335" s="318"/>
      <c r="K335" s="318"/>
      <c r="L335" s="318"/>
      <c r="M335" s="318"/>
      <c r="N335" s="400"/>
      <c r="O335" s="293"/>
      <c r="P335" s="293"/>
      <c r="Q335" s="293"/>
      <c r="R335" s="293"/>
      <c r="S335" s="293"/>
      <c r="T335" s="293"/>
      <c r="U335" s="293"/>
      <c r="V335" s="293"/>
      <c r="W335" s="293"/>
      <c r="X335" s="293"/>
      <c r="Y335" s="293"/>
      <c r="Z335" s="293"/>
      <c r="AA335" s="293"/>
      <c r="AB335" s="293"/>
      <c r="AC335" s="293"/>
      <c r="AD335" s="293"/>
      <c r="AE335" s="293"/>
    </row>
    <row r="336" spans="2:31" ht="15">
      <c r="B336" s="398">
        <f t="shared" si="8"/>
        <v>291</v>
      </c>
      <c r="C336" s="406" t="str" cm="1">
        <f t="array" aca="1" ref="C336" ca="1">IF(B336&lt;=$C$9,GetGetCDSName(B336),"")</f>
        <v/>
      </c>
      <c r="D336" s="366"/>
      <c r="E336" s="399"/>
      <c r="F336" s="318"/>
      <c r="G336" s="318"/>
      <c r="H336" s="318"/>
      <c r="I336" s="318"/>
      <c r="J336" s="318"/>
      <c r="K336" s="318"/>
      <c r="L336" s="318"/>
      <c r="M336" s="318"/>
      <c r="N336" s="400"/>
      <c r="O336" s="293"/>
      <c r="P336" s="293"/>
      <c r="Q336" s="293"/>
      <c r="R336" s="293"/>
      <c r="S336" s="293"/>
      <c r="T336" s="293"/>
      <c r="U336" s="293"/>
      <c r="V336" s="293"/>
      <c r="W336" s="293"/>
      <c r="X336" s="293"/>
      <c r="Y336" s="293"/>
      <c r="Z336" s="293"/>
      <c r="AA336" s="293"/>
      <c r="AB336" s="293"/>
      <c r="AC336" s="293"/>
      <c r="AD336" s="293"/>
      <c r="AE336" s="293"/>
    </row>
    <row r="337" spans="2:31" ht="15">
      <c r="B337" s="398">
        <f t="shared" si="8"/>
        <v>292</v>
      </c>
      <c r="C337" s="406" t="str" cm="1">
        <f t="array" aca="1" ref="C337" ca="1">IF(B337&lt;=$C$9,GetGetCDSName(B337),"")</f>
        <v/>
      </c>
      <c r="D337" s="366"/>
      <c r="E337" s="399"/>
      <c r="F337" s="318"/>
      <c r="G337" s="318"/>
      <c r="H337" s="318"/>
      <c r="I337" s="318"/>
      <c r="J337" s="318"/>
      <c r="K337" s="318"/>
      <c r="L337" s="318"/>
      <c r="M337" s="318"/>
      <c r="N337" s="400"/>
      <c r="O337" s="293"/>
      <c r="P337" s="293"/>
      <c r="Q337" s="293"/>
      <c r="R337" s="293"/>
      <c r="S337" s="293"/>
      <c r="T337" s="293"/>
      <c r="U337" s="293"/>
      <c r="V337" s="293"/>
      <c r="W337" s="293"/>
      <c r="X337" s="293"/>
      <c r="Y337" s="293"/>
      <c r="Z337" s="293"/>
      <c r="AA337" s="293"/>
      <c r="AB337" s="293"/>
      <c r="AC337" s="293"/>
      <c r="AD337" s="293"/>
      <c r="AE337" s="293"/>
    </row>
    <row r="338" spans="2:31" ht="15">
      <c r="B338" s="398">
        <f t="shared" si="8"/>
        <v>293</v>
      </c>
      <c r="C338" s="406" t="str" cm="1">
        <f t="array" aca="1" ref="C338" ca="1">IF(B338&lt;=$C$9,GetGetCDSName(B338),"")</f>
        <v/>
      </c>
      <c r="D338" s="366"/>
      <c r="E338" s="399"/>
      <c r="F338" s="318"/>
      <c r="G338" s="318"/>
      <c r="H338" s="318"/>
      <c r="I338" s="318"/>
      <c r="J338" s="318"/>
      <c r="K338" s="318"/>
      <c r="L338" s="318"/>
      <c r="M338" s="318"/>
      <c r="N338" s="400"/>
      <c r="O338" s="293"/>
      <c r="P338" s="293"/>
      <c r="Q338" s="293"/>
      <c r="R338" s="293"/>
      <c r="S338" s="293"/>
      <c r="T338" s="293"/>
      <c r="U338" s="293"/>
      <c r="V338" s="293"/>
      <c r="W338" s="293"/>
      <c r="X338" s="293"/>
      <c r="Y338" s="293"/>
      <c r="Z338" s="293"/>
      <c r="AA338" s="293"/>
      <c r="AB338" s="293"/>
      <c r="AC338" s="293"/>
      <c r="AD338" s="293"/>
      <c r="AE338" s="293"/>
    </row>
    <row r="339" spans="2:31" ht="15">
      <c r="B339" s="398">
        <f t="shared" si="8"/>
        <v>294</v>
      </c>
      <c r="C339" s="406" t="str" cm="1">
        <f t="array" aca="1" ref="C339" ca="1">IF(B339&lt;=$C$9,GetGetCDSName(B339),"")</f>
        <v/>
      </c>
      <c r="D339" s="366"/>
      <c r="E339" s="399"/>
      <c r="F339" s="318"/>
      <c r="G339" s="318"/>
      <c r="H339" s="318"/>
      <c r="I339" s="318"/>
      <c r="J339" s="318"/>
      <c r="K339" s="318"/>
      <c r="L339" s="318"/>
      <c r="M339" s="318"/>
      <c r="N339" s="400"/>
      <c r="O339" s="293"/>
      <c r="P339" s="293"/>
      <c r="Q339" s="293"/>
      <c r="R339" s="293"/>
      <c r="S339" s="293"/>
      <c r="T339" s="293"/>
      <c r="U339" s="293"/>
      <c r="V339" s="293"/>
      <c r="W339" s="293"/>
      <c r="X339" s="293"/>
      <c r="Y339" s="293"/>
      <c r="Z339" s="293"/>
      <c r="AA339" s="293"/>
      <c r="AB339" s="293"/>
      <c r="AC339" s="293"/>
      <c r="AD339" s="293"/>
      <c r="AE339" s="293"/>
    </row>
    <row r="340" spans="2:31" ht="15">
      <c r="B340" s="398">
        <f t="shared" si="8"/>
        <v>295</v>
      </c>
      <c r="C340" s="406" t="str" cm="1">
        <f t="array" aca="1" ref="C340" ca="1">IF(B340&lt;=$C$9,GetGetCDSName(B340),"")</f>
        <v/>
      </c>
      <c r="D340" s="366"/>
      <c r="E340" s="399"/>
      <c r="F340" s="318"/>
      <c r="G340" s="318"/>
      <c r="H340" s="318"/>
      <c r="I340" s="318"/>
      <c r="J340" s="318"/>
      <c r="K340" s="318"/>
      <c r="L340" s="318"/>
      <c r="M340" s="318"/>
      <c r="N340" s="400"/>
      <c r="O340" s="293"/>
      <c r="P340" s="293"/>
      <c r="Q340" s="293"/>
      <c r="R340" s="293"/>
      <c r="S340" s="293"/>
      <c r="T340" s="293"/>
      <c r="U340" s="293"/>
      <c r="V340" s="293"/>
      <c r="W340" s="293"/>
      <c r="X340" s="293"/>
      <c r="Y340" s="293"/>
      <c r="Z340" s="293"/>
      <c r="AA340" s="293"/>
      <c r="AB340" s="293"/>
      <c r="AC340" s="293"/>
      <c r="AD340" s="293"/>
      <c r="AE340" s="293"/>
    </row>
    <row r="341" spans="2:31" ht="15">
      <c r="B341" s="398">
        <f t="shared" si="8"/>
        <v>296</v>
      </c>
      <c r="C341" s="406" t="str" cm="1">
        <f t="array" aca="1" ref="C341" ca="1">IF(B341&lt;=$C$9,GetGetCDSName(B341),"")</f>
        <v/>
      </c>
      <c r="D341" s="366"/>
      <c r="E341" s="399"/>
      <c r="F341" s="318"/>
      <c r="G341" s="318"/>
      <c r="H341" s="318"/>
      <c r="I341" s="318"/>
      <c r="J341" s="318"/>
      <c r="K341" s="318"/>
      <c r="L341" s="318"/>
      <c r="M341" s="318"/>
      <c r="N341" s="400"/>
      <c r="O341" s="293"/>
      <c r="P341" s="293"/>
      <c r="Q341" s="293"/>
      <c r="R341" s="293"/>
      <c r="S341" s="293"/>
      <c r="T341" s="293"/>
      <c r="U341" s="293"/>
      <c r="V341" s="293"/>
      <c r="W341" s="293"/>
      <c r="X341" s="293"/>
      <c r="Y341" s="293"/>
      <c r="Z341" s="293"/>
      <c r="AA341" s="293"/>
      <c r="AB341" s="293"/>
      <c r="AC341" s="293"/>
      <c r="AD341" s="293"/>
      <c r="AE341" s="293"/>
    </row>
    <row r="342" spans="2:31" ht="15">
      <c r="B342" s="398">
        <f t="shared" si="8"/>
        <v>297</v>
      </c>
      <c r="C342" s="406" t="str" cm="1">
        <f t="array" aca="1" ref="C342" ca="1">IF(B342&lt;=$C$9,GetGetCDSName(B342),"")</f>
        <v/>
      </c>
      <c r="D342" s="366"/>
      <c r="E342" s="399"/>
      <c r="F342" s="318"/>
      <c r="G342" s="318"/>
      <c r="H342" s="318"/>
      <c r="I342" s="318"/>
      <c r="J342" s="318"/>
      <c r="K342" s="318"/>
      <c r="L342" s="318"/>
      <c r="M342" s="318"/>
      <c r="N342" s="400"/>
      <c r="O342" s="293"/>
      <c r="P342" s="293"/>
      <c r="Q342" s="293"/>
      <c r="R342" s="293"/>
      <c r="S342" s="293"/>
      <c r="T342" s="293"/>
      <c r="U342" s="293"/>
      <c r="V342" s="293"/>
      <c r="W342" s="293"/>
      <c r="X342" s="293"/>
      <c r="Y342" s="293"/>
      <c r="Z342" s="293"/>
      <c r="AA342" s="293"/>
      <c r="AB342" s="293"/>
      <c r="AC342" s="293"/>
      <c r="AD342" s="293"/>
      <c r="AE342" s="293"/>
    </row>
    <row r="343" spans="2:31" ht="15">
      <c r="B343" s="398">
        <f t="shared" si="8"/>
        <v>298</v>
      </c>
      <c r="C343" s="406" t="str" cm="1">
        <f t="array" aca="1" ref="C343" ca="1">IF(B343&lt;=$C$9,GetGetCDSName(B343),"")</f>
        <v/>
      </c>
      <c r="D343" s="366"/>
      <c r="E343" s="399"/>
      <c r="F343" s="318"/>
      <c r="G343" s="318"/>
      <c r="H343" s="318"/>
      <c r="I343" s="318"/>
      <c r="J343" s="318"/>
      <c r="K343" s="318"/>
      <c r="L343" s="318"/>
      <c r="M343" s="318"/>
      <c r="N343" s="400"/>
      <c r="O343" s="293"/>
      <c r="P343" s="293"/>
      <c r="Q343" s="293"/>
      <c r="R343" s="293"/>
      <c r="S343" s="293"/>
      <c r="T343" s="293"/>
      <c r="U343" s="293"/>
      <c r="V343" s="293"/>
      <c r="W343" s="293"/>
      <c r="X343" s="293"/>
      <c r="Y343" s="293"/>
      <c r="Z343" s="293"/>
      <c r="AA343" s="293"/>
      <c r="AB343" s="293"/>
      <c r="AC343" s="293"/>
      <c r="AD343" s="293"/>
      <c r="AE343" s="293"/>
    </row>
    <row r="344" spans="2:31" ht="15">
      <c r="B344" s="398">
        <f t="shared" si="8"/>
        <v>299</v>
      </c>
      <c r="C344" s="406" t="str" cm="1">
        <f t="array" aca="1" ref="C344" ca="1">IF(B344&lt;=$C$9,GetGetCDSName(B344),"")</f>
        <v/>
      </c>
      <c r="D344" s="366"/>
      <c r="E344" s="399"/>
      <c r="F344" s="318"/>
      <c r="G344" s="318"/>
      <c r="H344" s="318"/>
      <c r="I344" s="318"/>
      <c r="J344" s="318"/>
      <c r="K344" s="318"/>
      <c r="L344" s="318"/>
      <c r="M344" s="318"/>
      <c r="N344" s="400"/>
      <c r="O344" s="293"/>
      <c r="P344" s="293"/>
      <c r="Q344" s="293"/>
      <c r="R344" s="293"/>
      <c r="S344" s="293"/>
      <c r="T344" s="293"/>
      <c r="U344" s="293"/>
      <c r="V344" s="293"/>
      <c r="W344" s="293"/>
      <c r="X344" s="293"/>
      <c r="Y344" s="293"/>
      <c r="Z344" s="293"/>
      <c r="AA344" s="293"/>
      <c r="AB344" s="293"/>
      <c r="AC344" s="293"/>
      <c r="AD344" s="293"/>
      <c r="AE344" s="293"/>
    </row>
    <row r="345" spans="2:31" ht="15.75" thickBot="1">
      <c r="B345" s="401">
        <f t="shared" si="8"/>
        <v>300</v>
      </c>
      <c r="C345" s="406" t="str" cm="1">
        <f t="array" aca="1" ref="C345" ca="1">IF(B345&lt;=$C$9,GetGetCDSName(B345),"")</f>
        <v/>
      </c>
      <c r="D345" s="402"/>
      <c r="E345" s="403"/>
      <c r="F345" s="404"/>
      <c r="G345" s="404"/>
      <c r="H345" s="404"/>
      <c r="I345" s="404"/>
      <c r="J345" s="404"/>
      <c r="K345" s="404"/>
      <c r="L345" s="404"/>
      <c r="M345" s="404"/>
      <c r="N345" s="405"/>
      <c r="O345" s="293"/>
      <c r="P345" s="293"/>
      <c r="Q345" s="293"/>
      <c r="R345" s="293"/>
      <c r="S345" s="293"/>
      <c r="T345" s="293"/>
      <c r="U345" s="293"/>
      <c r="V345" s="293"/>
      <c r="W345" s="293"/>
      <c r="X345" s="293"/>
      <c r="Y345" s="293"/>
      <c r="Z345" s="293"/>
      <c r="AA345" s="293"/>
      <c r="AB345" s="293"/>
      <c r="AC345" s="293"/>
      <c r="AD345" s="293"/>
      <c r="AE345" s="293"/>
    </row>
    <row r="346" spans="2:31">
      <c r="O346" s="293"/>
      <c r="P346" s="293"/>
      <c r="Q346" s="293"/>
      <c r="R346" s="293"/>
      <c r="S346" s="293"/>
      <c r="T346" s="293"/>
      <c r="U346" s="293"/>
      <c r="V346" s="293"/>
      <c r="W346" s="293"/>
      <c r="X346" s="293"/>
      <c r="Y346" s="293"/>
      <c r="Z346" s="293"/>
      <c r="AA346" s="293"/>
      <c r="AB346" s="293"/>
      <c r="AC346" s="293"/>
      <c r="AD346" s="293"/>
      <c r="AE346" s="293"/>
    </row>
    <row r="347" spans="2:31">
      <c r="O347" s="293"/>
      <c r="P347" s="293"/>
      <c r="Q347" s="293"/>
      <c r="R347" s="293"/>
      <c r="S347" s="293"/>
      <c r="T347" s="293"/>
      <c r="U347" s="293"/>
      <c r="V347" s="293"/>
      <c r="W347" s="293"/>
      <c r="X347" s="293"/>
      <c r="Y347" s="293"/>
      <c r="Z347" s="293"/>
      <c r="AA347" s="293"/>
      <c r="AB347" s="293"/>
      <c r="AC347" s="293"/>
      <c r="AD347" s="293"/>
      <c r="AE347" s="293"/>
    </row>
    <row r="348" spans="2:31">
      <c r="O348" s="293"/>
      <c r="P348" s="293"/>
      <c r="Q348" s="293"/>
      <c r="R348" s="293"/>
      <c r="S348" s="293"/>
      <c r="T348" s="293"/>
      <c r="U348" s="293"/>
      <c r="V348" s="293"/>
      <c r="W348" s="293"/>
      <c r="X348" s="293"/>
      <c r="Y348" s="293"/>
      <c r="Z348" s="293"/>
      <c r="AA348" s="293"/>
      <c r="AB348" s="293"/>
      <c r="AC348" s="293"/>
      <c r="AD348" s="293"/>
      <c r="AE348" s="293"/>
    </row>
    <row r="349" spans="2:31">
      <c r="O349" s="293"/>
      <c r="P349" s="293"/>
      <c r="Q349" s="293"/>
      <c r="R349" s="293"/>
      <c r="S349" s="293"/>
      <c r="T349" s="293"/>
      <c r="U349" s="293"/>
      <c r="V349" s="293"/>
      <c r="W349" s="293"/>
      <c r="X349" s="293"/>
      <c r="Y349" s="293"/>
      <c r="Z349" s="293"/>
      <c r="AA349" s="293"/>
      <c r="AB349" s="293"/>
      <c r="AC349" s="293"/>
      <c r="AD349" s="293"/>
      <c r="AE349" s="293"/>
    </row>
    <row r="350" spans="2:31">
      <c r="O350" s="293"/>
      <c r="P350" s="293"/>
      <c r="Q350" s="293"/>
      <c r="R350" s="293"/>
      <c r="S350" s="293"/>
      <c r="T350" s="293"/>
      <c r="U350" s="293"/>
      <c r="V350" s="293"/>
      <c r="W350" s="293"/>
      <c r="X350" s="293"/>
      <c r="Y350" s="293"/>
      <c r="Z350" s="293"/>
      <c r="AA350" s="293"/>
      <c r="AB350" s="293"/>
      <c r="AC350" s="293"/>
      <c r="AD350" s="293"/>
      <c r="AE350" s="293"/>
    </row>
    <row r="351" spans="2:31">
      <c r="O351" s="293"/>
      <c r="P351" s="293"/>
      <c r="Q351" s="293"/>
      <c r="R351" s="293"/>
      <c r="S351" s="293"/>
      <c r="T351" s="293"/>
      <c r="U351" s="293"/>
      <c r="V351" s="293"/>
      <c r="W351" s="293"/>
      <c r="X351" s="293"/>
      <c r="Y351" s="293"/>
      <c r="Z351" s="293"/>
      <c r="AA351" s="293"/>
      <c r="AB351" s="293"/>
      <c r="AC351" s="293"/>
      <c r="AD351" s="293"/>
      <c r="AE351" s="293"/>
    </row>
    <row r="352" spans="2:31">
      <c r="O352" s="293"/>
      <c r="P352" s="293"/>
      <c r="Q352" s="293"/>
      <c r="R352" s="293"/>
      <c r="S352" s="293"/>
      <c r="T352" s="293"/>
      <c r="U352" s="293"/>
      <c r="V352" s="293"/>
      <c r="W352" s="293"/>
      <c r="X352" s="293"/>
      <c r="Y352" s="293"/>
      <c r="Z352" s="293"/>
      <c r="AA352" s="293"/>
      <c r="AB352" s="293"/>
      <c r="AC352" s="293"/>
      <c r="AD352" s="293"/>
      <c r="AE352" s="293"/>
    </row>
    <row r="353" spans="15:31">
      <c r="O353" s="293"/>
      <c r="P353" s="293"/>
      <c r="Q353" s="293"/>
      <c r="R353" s="293"/>
      <c r="S353" s="293"/>
      <c r="T353" s="293"/>
      <c r="U353" s="293"/>
      <c r="V353" s="293"/>
      <c r="W353" s="293"/>
      <c r="X353" s="293"/>
      <c r="Y353" s="293"/>
      <c r="Z353" s="293"/>
      <c r="AA353" s="293"/>
      <c r="AB353" s="293"/>
      <c r="AC353" s="293"/>
      <c r="AD353" s="293"/>
      <c r="AE353" s="293"/>
    </row>
    <row r="354" spans="15:31">
      <c r="O354" s="293"/>
      <c r="P354" s="293"/>
      <c r="Q354" s="293"/>
      <c r="R354" s="293"/>
      <c r="S354" s="293"/>
      <c r="T354" s="293"/>
      <c r="U354" s="293"/>
      <c r="V354" s="293"/>
      <c r="W354" s="293"/>
      <c r="X354" s="293"/>
      <c r="Y354" s="293"/>
      <c r="Z354" s="293"/>
      <c r="AA354" s="293"/>
      <c r="AB354" s="293"/>
      <c r="AC354" s="293"/>
      <c r="AD354" s="293"/>
      <c r="AE354" s="293"/>
    </row>
    <row r="355" spans="15:31">
      <c r="O355" s="293"/>
      <c r="P355" s="293"/>
      <c r="Q355" s="293"/>
      <c r="R355" s="293"/>
      <c r="S355" s="293"/>
      <c r="T355" s="293"/>
      <c r="U355" s="293"/>
      <c r="V355" s="293"/>
      <c r="W355" s="293"/>
      <c r="X355" s="293"/>
      <c r="Y355" s="293"/>
      <c r="Z355" s="293"/>
      <c r="AA355" s="293"/>
      <c r="AB355" s="293"/>
      <c r="AC355" s="293"/>
      <c r="AD355" s="293"/>
      <c r="AE355" s="293"/>
    </row>
    <row r="356" spans="15:31">
      <c r="O356" s="293"/>
      <c r="P356" s="293"/>
      <c r="Q356" s="293"/>
      <c r="R356" s="293"/>
      <c r="S356" s="293"/>
      <c r="T356" s="293"/>
      <c r="U356" s="293"/>
      <c r="V356" s="293"/>
      <c r="W356" s="293"/>
      <c r="X356" s="293"/>
      <c r="Y356" s="293"/>
      <c r="Z356" s="293"/>
      <c r="AA356" s="293"/>
      <c r="AB356" s="293"/>
      <c r="AC356" s="293"/>
      <c r="AD356" s="293"/>
      <c r="AE356" s="293"/>
    </row>
    <row r="357" spans="15:31">
      <c r="O357" s="293"/>
      <c r="P357" s="293"/>
      <c r="Q357" s="293"/>
      <c r="R357" s="293"/>
      <c r="S357" s="293"/>
      <c r="T357" s="293"/>
      <c r="U357" s="293"/>
      <c r="V357" s="293"/>
      <c r="W357" s="293"/>
      <c r="X357" s="293"/>
      <c r="Y357" s="293"/>
      <c r="Z357" s="293"/>
      <c r="AA357" s="293"/>
      <c r="AB357" s="293"/>
      <c r="AC357" s="293"/>
      <c r="AD357" s="293"/>
      <c r="AE357" s="293"/>
    </row>
    <row r="358" spans="15:31">
      <c r="O358" s="293"/>
      <c r="P358" s="293"/>
      <c r="Q358" s="293"/>
      <c r="R358" s="293"/>
      <c r="S358" s="293"/>
      <c r="T358" s="293"/>
      <c r="U358" s="293"/>
      <c r="V358" s="293"/>
      <c r="W358" s="293"/>
      <c r="X358" s="293"/>
      <c r="Y358" s="293"/>
      <c r="Z358" s="293"/>
      <c r="AA358" s="293"/>
      <c r="AB358" s="293"/>
      <c r="AC358" s="293"/>
      <c r="AD358" s="293"/>
      <c r="AE358" s="293"/>
    </row>
    <row r="359" spans="15:31">
      <c r="O359" s="293"/>
      <c r="P359" s="293"/>
      <c r="Q359" s="293"/>
      <c r="R359" s="293"/>
      <c r="S359" s="293"/>
      <c r="T359" s="293"/>
      <c r="U359" s="293"/>
      <c r="V359" s="293"/>
      <c r="W359" s="293"/>
      <c r="X359" s="293"/>
      <c r="Y359" s="293"/>
      <c r="Z359" s="293"/>
      <c r="AA359" s="293"/>
      <c r="AB359" s="293"/>
      <c r="AC359" s="293"/>
      <c r="AD359" s="293"/>
      <c r="AE359" s="293"/>
    </row>
    <row r="360" spans="15:31">
      <c r="O360" s="293"/>
      <c r="P360" s="293"/>
      <c r="Q360" s="293"/>
      <c r="R360" s="293"/>
      <c r="S360" s="293"/>
      <c r="T360" s="293"/>
      <c r="U360" s="293"/>
      <c r="V360" s="293"/>
      <c r="W360" s="293"/>
      <c r="X360" s="293"/>
      <c r="Y360" s="293"/>
      <c r="Z360" s="293"/>
      <c r="AA360" s="293"/>
      <c r="AB360" s="293"/>
      <c r="AC360" s="293"/>
      <c r="AD360" s="293"/>
      <c r="AE360" s="293"/>
    </row>
    <row r="361" spans="15:31">
      <c r="O361" s="293"/>
      <c r="P361" s="293"/>
      <c r="Q361" s="293"/>
      <c r="R361" s="293"/>
      <c r="S361" s="293"/>
      <c r="T361" s="293"/>
      <c r="U361" s="293"/>
      <c r="V361" s="293"/>
      <c r="W361" s="293"/>
      <c r="X361" s="293"/>
      <c r="Y361" s="293"/>
      <c r="Z361" s="293"/>
      <c r="AA361" s="293"/>
      <c r="AB361" s="293"/>
      <c r="AC361" s="293"/>
      <c r="AD361" s="293"/>
      <c r="AE361" s="293"/>
    </row>
    <row r="362" spans="15:31">
      <c r="O362" s="293"/>
      <c r="P362" s="293"/>
      <c r="Q362" s="293"/>
      <c r="R362" s="293"/>
      <c r="S362" s="293"/>
      <c r="T362" s="293"/>
      <c r="U362" s="293"/>
      <c r="V362" s="293"/>
      <c r="W362" s="293"/>
      <c r="X362" s="293"/>
      <c r="Y362" s="293"/>
      <c r="Z362" s="293"/>
      <c r="AA362" s="293"/>
      <c r="AB362" s="293"/>
      <c r="AC362" s="293"/>
      <c r="AD362" s="293"/>
      <c r="AE362" s="293"/>
    </row>
    <row r="363" spans="15:31">
      <c r="O363" s="293"/>
      <c r="P363" s="293"/>
      <c r="Q363" s="293"/>
      <c r="R363" s="293"/>
      <c r="S363" s="293"/>
      <c r="T363" s="293"/>
      <c r="U363" s="293"/>
      <c r="V363" s="293"/>
      <c r="W363" s="293"/>
      <c r="X363" s="293"/>
      <c r="Y363" s="293"/>
      <c r="Z363" s="293"/>
      <c r="AA363" s="293"/>
      <c r="AB363" s="293"/>
      <c r="AC363" s="293"/>
      <c r="AD363" s="293"/>
      <c r="AE363" s="293"/>
    </row>
    <row r="364" spans="15:31">
      <c r="O364" s="293"/>
      <c r="P364" s="293"/>
      <c r="Q364" s="293"/>
      <c r="R364" s="293"/>
      <c r="S364" s="293"/>
      <c r="T364" s="293"/>
      <c r="U364" s="293"/>
      <c r="V364" s="293"/>
      <c r="W364" s="293"/>
      <c r="X364" s="293"/>
      <c r="Y364" s="293"/>
      <c r="Z364" s="293"/>
      <c r="AA364" s="293"/>
      <c r="AB364" s="293"/>
      <c r="AC364" s="293"/>
      <c r="AD364" s="293"/>
      <c r="AE364" s="293"/>
    </row>
    <row r="365" spans="15:31">
      <c r="O365" s="293"/>
      <c r="P365" s="293"/>
      <c r="Q365" s="293"/>
      <c r="R365" s="293"/>
      <c r="S365" s="293"/>
      <c r="T365" s="293"/>
      <c r="U365" s="293"/>
      <c r="V365" s="293"/>
      <c r="W365" s="293"/>
      <c r="X365" s="293"/>
      <c r="Y365" s="293"/>
      <c r="Z365" s="293"/>
      <c r="AA365" s="293"/>
      <c r="AB365" s="293"/>
      <c r="AC365" s="293"/>
      <c r="AD365" s="293"/>
      <c r="AE365" s="293"/>
    </row>
    <row r="366" spans="15:31">
      <c r="O366" s="293"/>
      <c r="P366" s="293"/>
      <c r="Q366" s="293"/>
      <c r="R366" s="293"/>
      <c r="S366" s="293"/>
      <c r="T366" s="293"/>
      <c r="U366" s="293"/>
      <c r="V366" s="293"/>
      <c r="W366" s="293"/>
      <c r="X366" s="293"/>
      <c r="Y366" s="293"/>
      <c r="Z366" s="293"/>
      <c r="AA366" s="293"/>
      <c r="AB366" s="293"/>
      <c r="AC366" s="293"/>
      <c r="AD366" s="293"/>
      <c r="AE366" s="293"/>
    </row>
    <row r="367" spans="15:31">
      <c r="O367" s="293"/>
      <c r="P367" s="293"/>
      <c r="Q367" s="293"/>
      <c r="R367" s="293"/>
      <c r="S367" s="293"/>
      <c r="T367" s="293"/>
      <c r="U367" s="293"/>
      <c r="V367" s="293"/>
      <c r="W367" s="293"/>
      <c r="X367" s="293"/>
      <c r="Y367" s="293"/>
      <c r="Z367" s="293"/>
      <c r="AA367" s="293"/>
      <c r="AB367" s="293"/>
      <c r="AC367" s="293"/>
      <c r="AD367" s="293"/>
      <c r="AE367" s="293"/>
    </row>
    <row r="368" spans="15:31">
      <c r="O368" s="293"/>
      <c r="P368" s="293"/>
      <c r="Q368" s="293"/>
      <c r="R368" s="293"/>
      <c r="S368" s="293"/>
      <c r="T368" s="293"/>
      <c r="U368" s="293"/>
      <c r="V368" s="293"/>
      <c r="W368" s="293"/>
      <c r="X368" s="293"/>
      <c r="Y368" s="293"/>
      <c r="Z368" s="293"/>
      <c r="AA368" s="293"/>
      <c r="AB368" s="293"/>
      <c r="AC368" s="293"/>
      <c r="AD368" s="293"/>
      <c r="AE368" s="293"/>
    </row>
    <row r="369" spans="15:31">
      <c r="O369" s="293"/>
      <c r="P369" s="293"/>
      <c r="Q369" s="293"/>
      <c r="R369" s="293"/>
      <c r="S369" s="293"/>
      <c r="T369" s="293"/>
      <c r="U369" s="293"/>
      <c r="V369" s="293"/>
      <c r="W369" s="293"/>
      <c r="X369" s="293"/>
      <c r="Y369" s="293"/>
      <c r="Z369" s="293"/>
      <c r="AA369" s="293"/>
      <c r="AB369" s="293"/>
      <c r="AC369" s="293"/>
      <c r="AD369" s="293"/>
      <c r="AE369" s="293"/>
    </row>
    <row r="370" spans="15:31">
      <c r="O370" s="293"/>
      <c r="P370" s="293"/>
      <c r="Q370" s="293"/>
      <c r="R370" s="293"/>
      <c r="S370" s="293"/>
      <c r="T370" s="293"/>
      <c r="U370" s="293"/>
      <c r="V370" s="293"/>
      <c r="W370" s="293"/>
      <c r="X370" s="293"/>
      <c r="Y370" s="293"/>
      <c r="Z370" s="293"/>
      <c r="AA370" s="293"/>
      <c r="AB370" s="293"/>
      <c r="AC370" s="293"/>
      <c r="AD370" s="293"/>
      <c r="AE370" s="293"/>
    </row>
    <row r="371" spans="15:31">
      <c r="O371" s="293"/>
      <c r="P371" s="293"/>
      <c r="Q371" s="293"/>
      <c r="R371" s="293"/>
      <c r="S371" s="293"/>
      <c r="T371" s="293"/>
      <c r="U371" s="293"/>
      <c r="V371" s="293"/>
      <c r="W371" s="293"/>
      <c r="X371" s="293"/>
      <c r="Y371" s="293"/>
      <c r="Z371" s="293"/>
      <c r="AA371" s="293"/>
      <c r="AB371" s="293"/>
      <c r="AC371" s="293"/>
      <c r="AD371" s="293"/>
      <c r="AE371" s="293"/>
    </row>
    <row r="372" spans="15:31">
      <c r="O372" s="293"/>
      <c r="P372" s="293"/>
      <c r="Q372" s="293"/>
      <c r="R372" s="293"/>
      <c r="S372" s="293"/>
      <c r="T372" s="293"/>
      <c r="U372" s="293"/>
      <c r="V372" s="293"/>
      <c r="W372" s="293"/>
      <c r="X372" s="293"/>
      <c r="Y372" s="293"/>
      <c r="Z372" s="293"/>
      <c r="AA372" s="293"/>
      <c r="AB372" s="293"/>
      <c r="AC372" s="293"/>
      <c r="AD372" s="293"/>
      <c r="AE372" s="293"/>
    </row>
    <row r="373" spans="15:31">
      <c r="O373" s="293"/>
      <c r="P373" s="293"/>
      <c r="Q373" s="293"/>
      <c r="R373" s="293"/>
      <c r="S373" s="293"/>
      <c r="T373" s="293"/>
      <c r="U373" s="293"/>
      <c r="V373" s="293"/>
      <c r="W373" s="293"/>
      <c r="X373" s="293"/>
      <c r="Y373" s="293"/>
      <c r="Z373" s="293"/>
      <c r="AA373" s="293"/>
      <c r="AB373" s="293"/>
      <c r="AC373" s="293"/>
      <c r="AD373" s="293"/>
      <c r="AE373" s="293"/>
    </row>
    <row r="374" spans="15:31">
      <c r="O374" s="293"/>
      <c r="P374" s="293"/>
      <c r="Q374" s="293"/>
      <c r="R374" s="293"/>
      <c r="S374" s="293"/>
      <c r="T374" s="293"/>
      <c r="U374" s="293"/>
      <c r="V374" s="293"/>
      <c r="W374" s="293"/>
      <c r="X374" s="293"/>
      <c r="Y374" s="293"/>
      <c r="Z374" s="293"/>
      <c r="AA374" s="293"/>
      <c r="AB374" s="293"/>
      <c r="AC374" s="293"/>
      <c r="AD374" s="293"/>
      <c r="AE374" s="293"/>
    </row>
    <row r="375" spans="15:31">
      <c r="O375" s="293"/>
      <c r="P375" s="293"/>
      <c r="Q375" s="293"/>
      <c r="R375" s="293"/>
      <c r="S375" s="293"/>
      <c r="T375" s="293"/>
      <c r="U375" s="293"/>
      <c r="V375" s="293"/>
      <c r="W375" s="293"/>
      <c r="X375" s="293"/>
      <c r="Y375" s="293"/>
      <c r="Z375" s="293"/>
      <c r="AA375" s="293"/>
      <c r="AB375" s="293"/>
      <c r="AC375" s="293"/>
      <c r="AD375" s="293"/>
      <c r="AE375" s="293"/>
    </row>
    <row r="376" spans="15:31">
      <c r="O376" s="293"/>
      <c r="P376" s="293"/>
      <c r="Q376" s="293"/>
      <c r="R376" s="293"/>
      <c r="S376" s="293"/>
      <c r="T376" s="293"/>
      <c r="U376" s="293"/>
      <c r="V376" s="293"/>
      <c r="W376" s="293"/>
      <c r="X376" s="293"/>
      <c r="Y376" s="293"/>
      <c r="Z376" s="293"/>
      <c r="AA376" s="293"/>
      <c r="AB376" s="293"/>
      <c r="AC376" s="293"/>
      <c r="AD376" s="293"/>
      <c r="AE376" s="293"/>
    </row>
    <row r="377" spans="15:31">
      <c r="O377" s="293"/>
      <c r="P377" s="293"/>
      <c r="Q377" s="293"/>
      <c r="R377" s="293"/>
      <c r="S377" s="293"/>
      <c r="T377" s="293"/>
      <c r="U377" s="293"/>
      <c r="V377" s="293"/>
      <c r="W377" s="293"/>
      <c r="X377" s="293"/>
      <c r="Y377" s="293"/>
      <c r="Z377" s="293"/>
      <c r="AA377" s="293"/>
      <c r="AB377" s="293"/>
      <c r="AC377" s="293"/>
      <c r="AD377" s="293"/>
      <c r="AE377" s="293"/>
    </row>
    <row r="378" spans="15:31">
      <c r="O378" s="293"/>
      <c r="P378" s="293"/>
      <c r="Q378" s="293"/>
      <c r="R378" s="293"/>
      <c r="S378" s="293"/>
      <c r="T378" s="293"/>
      <c r="U378" s="293"/>
      <c r="V378" s="293"/>
      <c r="W378" s="293"/>
      <c r="X378" s="293"/>
      <c r="Y378" s="293"/>
      <c r="Z378" s="293"/>
      <c r="AA378" s="293"/>
      <c r="AB378" s="293"/>
      <c r="AC378" s="293"/>
      <c r="AD378" s="293"/>
      <c r="AE378" s="293"/>
    </row>
    <row r="379" spans="15:31">
      <c r="O379" s="293"/>
      <c r="P379" s="293"/>
      <c r="Q379" s="293"/>
      <c r="R379" s="293"/>
      <c r="S379" s="293"/>
      <c r="T379" s="293"/>
      <c r="U379" s="293"/>
      <c r="V379" s="293"/>
      <c r="W379" s="293"/>
      <c r="X379" s="293"/>
      <c r="Y379" s="293"/>
      <c r="Z379" s="293"/>
      <c r="AA379" s="293"/>
      <c r="AB379" s="293"/>
      <c r="AC379" s="293"/>
      <c r="AD379" s="293"/>
      <c r="AE379" s="293"/>
    </row>
    <row r="380" spans="15:31">
      <c r="O380" s="293"/>
      <c r="P380" s="293"/>
      <c r="Q380" s="293"/>
      <c r="R380" s="293"/>
      <c r="S380" s="293"/>
      <c r="T380" s="293"/>
      <c r="U380" s="293"/>
      <c r="V380" s="293"/>
      <c r="W380" s="293"/>
      <c r="X380" s="293"/>
      <c r="Y380" s="293"/>
      <c r="Z380" s="293"/>
      <c r="AA380" s="293"/>
      <c r="AB380" s="293"/>
      <c r="AC380" s="293"/>
      <c r="AD380" s="293"/>
      <c r="AE380" s="293"/>
    </row>
    <row r="381" spans="15:31">
      <c r="O381" s="293"/>
      <c r="P381" s="293"/>
      <c r="Q381" s="293"/>
      <c r="R381" s="293"/>
      <c r="S381" s="293"/>
      <c r="T381" s="293"/>
      <c r="U381" s="293"/>
      <c r="V381" s="293"/>
      <c r="W381" s="293"/>
      <c r="X381" s="293"/>
      <c r="Y381" s="293"/>
      <c r="Z381" s="293"/>
      <c r="AA381" s="293"/>
      <c r="AB381" s="293"/>
      <c r="AC381" s="293"/>
      <c r="AD381" s="293"/>
      <c r="AE381" s="293"/>
    </row>
    <row r="382" spans="15:31">
      <c r="O382" s="293"/>
      <c r="P382" s="293"/>
      <c r="Q382" s="293"/>
      <c r="R382" s="293"/>
      <c r="S382" s="293"/>
      <c r="T382" s="293"/>
      <c r="U382" s="293"/>
      <c r="V382" s="293"/>
      <c r="W382" s="293"/>
      <c r="X382" s="293"/>
      <c r="Y382" s="293"/>
      <c r="Z382" s="293"/>
      <c r="AA382" s="293"/>
      <c r="AB382" s="293"/>
      <c r="AC382" s="293"/>
      <c r="AD382" s="293"/>
      <c r="AE382" s="293"/>
    </row>
    <row r="383" spans="15:31">
      <c r="O383" s="293"/>
      <c r="P383" s="293"/>
      <c r="Q383" s="293"/>
      <c r="R383" s="293"/>
      <c r="S383" s="293"/>
      <c r="T383" s="293"/>
      <c r="U383" s="293"/>
      <c r="V383" s="293"/>
      <c r="W383" s="293"/>
      <c r="X383" s="293"/>
      <c r="Y383" s="293"/>
      <c r="Z383" s="293"/>
      <c r="AA383" s="293"/>
      <c r="AB383" s="293"/>
      <c r="AC383" s="293"/>
      <c r="AD383" s="293"/>
      <c r="AE383" s="293"/>
    </row>
    <row r="384" spans="15:31">
      <c r="O384" s="293"/>
      <c r="P384" s="293"/>
      <c r="Q384" s="293"/>
      <c r="R384" s="293"/>
      <c r="S384" s="293"/>
      <c r="T384" s="293"/>
      <c r="U384" s="293"/>
      <c r="V384" s="293"/>
      <c r="W384" s="293"/>
      <c r="X384" s="293"/>
      <c r="Y384" s="293"/>
      <c r="Z384" s="293"/>
      <c r="AA384" s="293"/>
      <c r="AB384" s="293"/>
      <c r="AC384" s="293"/>
      <c r="AD384" s="293"/>
      <c r="AE384" s="293"/>
    </row>
    <row r="385" spans="15:31">
      <c r="O385" s="293"/>
      <c r="P385" s="293"/>
      <c r="Q385" s="293"/>
      <c r="R385" s="293"/>
      <c r="S385" s="293"/>
      <c r="T385" s="293"/>
      <c r="U385" s="293"/>
      <c r="V385" s="293"/>
      <c r="W385" s="293"/>
      <c r="X385" s="293"/>
      <c r="Y385" s="293"/>
      <c r="Z385" s="293"/>
      <c r="AA385" s="293"/>
      <c r="AB385" s="293"/>
      <c r="AC385" s="293"/>
      <c r="AD385" s="293"/>
      <c r="AE385" s="293"/>
    </row>
    <row r="386" spans="15:31">
      <c r="O386" s="293"/>
      <c r="P386" s="293"/>
      <c r="Q386" s="293"/>
      <c r="R386" s="293"/>
      <c r="S386" s="293"/>
      <c r="T386" s="293"/>
      <c r="U386" s="293"/>
      <c r="V386" s="293"/>
      <c r="W386" s="293"/>
      <c r="X386" s="293"/>
      <c r="Y386" s="293"/>
      <c r="Z386" s="293"/>
      <c r="AA386" s="293"/>
      <c r="AB386" s="293"/>
      <c r="AC386" s="293"/>
      <c r="AD386" s="293"/>
      <c r="AE386" s="293"/>
    </row>
    <row r="387" spans="15:31">
      <c r="O387" s="293"/>
      <c r="P387" s="293"/>
      <c r="Q387" s="293"/>
      <c r="R387" s="293"/>
      <c r="S387" s="293"/>
      <c r="T387" s="293"/>
      <c r="U387" s="293"/>
      <c r="V387" s="293"/>
      <c r="W387" s="293"/>
      <c r="X387" s="293"/>
      <c r="Y387" s="293"/>
      <c r="Z387" s="293"/>
      <c r="AA387" s="293"/>
      <c r="AB387" s="293"/>
      <c r="AC387" s="293"/>
      <c r="AD387" s="293"/>
      <c r="AE387" s="293"/>
    </row>
    <row r="388" spans="15:31">
      <c r="O388" s="293"/>
      <c r="P388" s="293"/>
      <c r="Q388" s="293"/>
      <c r="R388" s="293"/>
      <c r="S388" s="293"/>
      <c r="T388" s="293"/>
      <c r="U388" s="293"/>
      <c r="V388" s="293"/>
      <c r="W388" s="293"/>
      <c r="X388" s="293"/>
      <c r="Y388" s="293"/>
      <c r="Z388" s="293"/>
      <c r="AA388" s="293"/>
      <c r="AB388" s="293"/>
      <c r="AC388" s="293"/>
      <c r="AD388" s="293"/>
      <c r="AE388" s="293"/>
    </row>
    <row r="389" spans="15:31">
      <c r="O389" s="293"/>
      <c r="P389" s="293"/>
      <c r="Q389" s="293"/>
      <c r="R389" s="293"/>
      <c r="S389" s="293"/>
      <c r="T389" s="293"/>
      <c r="U389" s="293"/>
      <c r="V389" s="293"/>
      <c r="W389" s="293"/>
      <c r="X389" s="293"/>
      <c r="Y389" s="293"/>
      <c r="Z389" s="293"/>
      <c r="AA389" s="293"/>
      <c r="AB389" s="293"/>
      <c r="AC389" s="293"/>
      <c r="AD389" s="293"/>
      <c r="AE389" s="293"/>
    </row>
    <row r="390" spans="15:31">
      <c r="O390" s="293"/>
      <c r="P390" s="293"/>
      <c r="Q390" s="293"/>
      <c r="R390" s="293"/>
      <c r="S390" s="293"/>
      <c r="T390" s="293"/>
      <c r="U390" s="293"/>
      <c r="V390" s="293"/>
      <c r="W390" s="293"/>
      <c r="X390" s="293"/>
      <c r="Y390" s="293"/>
      <c r="Z390" s="293"/>
      <c r="AA390" s="293"/>
      <c r="AB390" s="293"/>
      <c r="AC390" s="293"/>
      <c r="AD390" s="293"/>
      <c r="AE390" s="293"/>
    </row>
    <row r="391" spans="15:31">
      <c r="O391" s="293"/>
      <c r="P391" s="293"/>
      <c r="Q391" s="293"/>
      <c r="R391" s="293"/>
      <c r="S391" s="293"/>
      <c r="T391" s="293"/>
      <c r="U391" s="293"/>
      <c r="V391" s="293"/>
      <c r="W391" s="293"/>
      <c r="X391" s="293"/>
      <c r="Y391" s="293"/>
      <c r="Z391" s="293"/>
      <c r="AA391" s="293"/>
      <c r="AB391" s="293"/>
      <c r="AC391" s="293"/>
      <c r="AD391" s="293"/>
      <c r="AE391" s="293"/>
    </row>
    <row r="392" spans="15:31">
      <c r="O392" s="293"/>
      <c r="P392" s="293"/>
      <c r="Q392" s="293"/>
      <c r="R392" s="293"/>
      <c r="S392" s="293"/>
      <c r="T392" s="293"/>
      <c r="U392" s="293"/>
      <c r="V392" s="293"/>
      <c r="W392" s="293"/>
      <c r="X392" s="293"/>
      <c r="Y392" s="293"/>
      <c r="Z392" s="293"/>
      <c r="AA392" s="293"/>
      <c r="AB392" s="293"/>
      <c r="AC392" s="293"/>
      <c r="AD392" s="293"/>
      <c r="AE392" s="293"/>
    </row>
    <row r="393" spans="15:31">
      <c r="O393" s="293"/>
      <c r="P393" s="293"/>
      <c r="Q393" s="293"/>
      <c r="R393" s="293"/>
      <c r="S393" s="293"/>
      <c r="T393" s="293"/>
      <c r="U393" s="293"/>
      <c r="V393" s="293"/>
      <c r="W393" s="293"/>
      <c r="X393" s="293"/>
      <c r="Y393" s="293"/>
      <c r="Z393" s="293"/>
      <c r="AA393" s="293"/>
      <c r="AB393" s="293"/>
      <c r="AC393" s="293"/>
      <c r="AD393" s="293"/>
      <c r="AE393" s="293"/>
    </row>
    <row r="394" spans="15:31">
      <c r="O394" s="293"/>
      <c r="P394" s="293"/>
      <c r="Q394" s="293"/>
      <c r="R394" s="293"/>
      <c r="S394" s="293"/>
      <c r="T394" s="293"/>
      <c r="U394" s="293"/>
      <c r="V394" s="293"/>
      <c r="W394" s="293"/>
      <c r="X394" s="293"/>
      <c r="Y394" s="293"/>
      <c r="Z394" s="293"/>
      <c r="AA394" s="293"/>
      <c r="AB394" s="293"/>
      <c r="AC394" s="293"/>
      <c r="AD394" s="293"/>
      <c r="AE394" s="293"/>
    </row>
    <row r="395" spans="15:31">
      <c r="O395" s="293"/>
      <c r="P395" s="293"/>
      <c r="Q395" s="293"/>
      <c r="R395" s="293"/>
      <c r="S395" s="293"/>
      <c r="T395" s="293"/>
      <c r="U395" s="293"/>
      <c r="V395" s="293"/>
      <c r="W395" s="293"/>
      <c r="X395" s="293"/>
      <c r="Y395" s="293"/>
      <c r="Z395" s="293"/>
      <c r="AA395" s="293"/>
      <c r="AB395" s="293"/>
      <c r="AC395" s="293"/>
      <c r="AD395" s="293"/>
      <c r="AE395" s="293"/>
    </row>
    <row r="396" spans="15:31">
      <c r="O396" s="293"/>
      <c r="P396" s="293"/>
      <c r="Q396" s="293"/>
      <c r="R396" s="293"/>
      <c r="S396" s="293"/>
      <c r="T396" s="293"/>
      <c r="U396" s="293"/>
      <c r="V396" s="293"/>
      <c r="W396" s="293"/>
      <c r="X396" s="293"/>
      <c r="Y396" s="293"/>
      <c r="Z396" s="293"/>
      <c r="AA396" s="293"/>
      <c r="AB396" s="293"/>
      <c r="AC396" s="293"/>
      <c r="AD396" s="293"/>
      <c r="AE396" s="293"/>
    </row>
    <row r="397" spans="15:31">
      <c r="O397" s="293"/>
      <c r="P397" s="293"/>
      <c r="Q397" s="293"/>
      <c r="R397" s="293"/>
      <c r="S397" s="293"/>
      <c r="T397" s="293"/>
      <c r="U397" s="293"/>
      <c r="V397" s="293"/>
      <c r="W397" s="293"/>
      <c r="X397" s="293"/>
      <c r="Y397" s="293"/>
      <c r="Z397" s="293"/>
      <c r="AA397" s="293"/>
      <c r="AB397" s="293"/>
      <c r="AC397" s="293"/>
      <c r="AD397" s="293"/>
      <c r="AE397" s="293"/>
    </row>
    <row r="398" spans="15:31">
      <c r="O398" s="293"/>
      <c r="P398" s="293"/>
      <c r="Q398" s="293"/>
      <c r="R398" s="293"/>
      <c r="S398" s="293"/>
      <c r="T398" s="293"/>
      <c r="U398" s="293"/>
      <c r="V398" s="293"/>
      <c r="W398" s="293"/>
      <c r="X398" s="293"/>
      <c r="Y398" s="293"/>
      <c r="Z398" s="293"/>
      <c r="AA398" s="293"/>
      <c r="AB398" s="293"/>
      <c r="AC398" s="293"/>
      <c r="AD398" s="293"/>
      <c r="AE398" s="293"/>
    </row>
    <row r="399" spans="15:31">
      <c r="O399" s="293"/>
      <c r="P399" s="293"/>
      <c r="Q399" s="293"/>
      <c r="R399" s="293"/>
      <c r="S399" s="293"/>
      <c r="T399" s="293"/>
      <c r="U399" s="293"/>
      <c r="V399" s="293"/>
      <c r="W399" s="293"/>
      <c r="X399" s="293"/>
      <c r="Y399" s="293"/>
      <c r="Z399" s="293"/>
      <c r="AA399" s="293"/>
      <c r="AB399" s="293"/>
      <c r="AC399" s="293"/>
      <c r="AD399" s="293"/>
      <c r="AE399" s="293"/>
    </row>
    <row r="400" spans="15:31">
      <c r="O400" s="293"/>
      <c r="P400" s="293"/>
      <c r="Q400" s="293"/>
      <c r="R400" s="293"/>
      <c r="S400" s="293"/>
      <c r="T400" s="293"/>
      <c r="U400" s="293"/>
      <c r="V400" s="293"/>
      <c r="W400" s="293"/>
      <c r="X400" s="293"/>
      <c r="Y400" s="293"/>
      <c r="Z400" s="293"/>
      <c r="AA400" s="293"/>
      <c r="AB400" s="293"/>
      <c r="AC400" s="293"/>
      <c r="AD400" s="293"/>
      <c r="AE400" s="293"/>
    </row>
    <row r="401" spans="15:31">
      <c r="O401" s="293"/>
      <c r="P401" s="293"/>
      <c r="Q401" s="293"/>
      <c r="R401" s="293"/>
      <c r="S401" s="293"/>
      <c r="T401" s="293"/>
      <c r="U401" s="293"/>
      <c r="V401" s="293"/>
      <c r="W401" s="293"/>
      <c r="X401" s="293"/>
      <c r="Y401" s="293"/>
      <c r="Z401" s="293"/>
      <c r="AA401" s="293"/>
      <c r="AB401" s="293"/>
      <c r="AC401" s="293"/>
      <c r="AD401" s="293"/>
      <c r="AE401" s="293"/>
    </row>
    <row r="402" spans="15:31">
      <c r="O402" s="293"/>
      <c r="P402" s="293"/>
      <c r="Q402" s="293"/>
      <c r="R402" s="293"/>
      <c r="S402" s="293"/>
      <c r="T402" s="293"/>
      <c r="U402" s="293"/>
      <c r="V402" s="293"/>
      <c r="W402" s="293"/>
      <c r="X402" s="293"/>
      <c r="Y402" s="293"/>
      <c r="Z402" s="293"/>
      <c r="AA402" s="293"/>
      <c r="AB402" s="293"/>
      <c r="AC402" s="293"/>
      <c r="AD402" s="293"/>
      <c r="AE402" s="293"/>
    </row>
    <row r="403" spans="15:31">
      <c r="O403" s="293"/>
      <c r="P403" s="293"/>
      <c r="Q403" s="293"/>
      <c r="R403" s="293"/>
      <c r="S403" s="293"/>
      <c r="T403" s="293"/>
      <c r="U403" s="293"/>
      <c r="V403" s="293"/>
      <c r="W403" s="293"/>
      <c r="X403" s="293"/>
      <c r="Y403" s="293"/>
      <c r="Z403" s="293"/>
      <c r="AA403" s="293"/>
      <c r="AB403" s="293"/>
      <c r="AC403" s="293"/>
      <c r="AD403" s="293"/>
      <c r="AE403" s="293"/>
    </row>
    <row r="404" spans="15:31">
      <c r="O404" s="293"/>
      <c r="P404" s="293"/>
      <c r="Q404" s="293"/>
      <c r="R404" s="293"/>
      <c r="S404" s="293"/>
      <c r="T404" s="293"/>
      <c r="U404" s="293"/>
      <c r="V404" s="293"/>
      <c r="W404" s="293"/>
      <c r="X404" s="293"/>
      <c r="Y404" s="293"/>
      <c r="Z404" s="293"/>
      <c r="AA404" s="293"/>
      <c r="AB404" s="293"/>
      <c r="AC404" s="293"/>
      <c r="AD404" s="293"/>
      <c r="AE404" s="293"/>
    </row>
    <row r="405" spans="15:31">
      <c r="O405" s="293"/>
      <c r="P405" s="293"/>
      <c r="Q405" s="293"/>
      <c r="R405" s="293"/>
      <c r="S405" s="293"/>
      <c r="T405" s="293"/>
      <c r="U405" s="293"/>
      <c r="V405" s="293"/>
      <c r="W405" s="293"/>
      <c r="X405" s="293"/>
      <c r="Y405" s="293"/>
      <c r="Z405" s="293"/>
      <c r="AA405" s="293"/>
      <c r="AB405" s="293"/>
      <c r="AC405" s="293"/>
      <c r="AD405" s="293"/>
      <c r="AE405" s="293"/>
    </row>
    <row r="406" spans="15:31">
      <c r="O406" s="293"/>
      <c r="P406" s="293"/>
      <c r="Q406" s="293"/>
      <c r="R406" s="293"/>
      <c r="S406" s="293"/>
      <c r="T406" s="293"/>
      <c r="U406" s="293"/>
      <c r="V406" s="293"/>
      <c r="W406" s="293"/>
      <c r="X406" s="293"/>
      <c r="Y406" s="293"/>
      <c r="Z406" s="293"/>
      <c r="AA406" s="293"/>
      <c r="AB406" s="293"/>
      <c r="AC406" s="293"/>
      <c r="AD406" s="293"/>
      <c r="AE406" s="293"/>
    </row>
    <row r="407" spans="15:31">
      <c r="O407" s="293"/>
      <c r="P407" s="293"/>
      <c r="Q407" s="293"/>
      <c r="R407" s="293"/>
      <c r="S407" s="293"/>
      <c r="T407" s="293"/>
      <c r="U407" s="293"/>
      <c r="V407" s="293"/>
      <c r="W407" s="293"/>
      <c r="X407" s="293"/>
      <c r="Y407" s="293"/>
      <c r="Z407" s="293"/>
      <c r="AA407" s="293"/>
      <c r="AB407" s="293"/>
      <c r="AC407" s="293"/>
      <c r="AD407" s="293"/>
      <c r="AE407" s="293"/>
    </row>
    <row r="408" spans="15:31">
      <c r="O408" s="293"/>
      <c r="P408" s="293"/>
      <c r="Q408" s="293"/>
      <c r="R408" s="293"/>
      <c r="S408" s="293"/>
      <c r="T408" s="293"/>
      <c r="U408" s="293"/>
      <c r="V408" s="293"/>
      <c r="W408" s="293"/>
      <c r="X408" s="293"/>
      <c r="Y408" s="293"/>
      <c r="Z408" s="293"/>
      <c r="AA408" s="293"/>
      <c r="AB408" s="293"/>
      <c r="AC408" s="293"/>
      <c r="AD408" s="293"/>
      <c r="AE408" s="293"/>
    </row>
    <row r="409" spans="15:31">
      <c r="O409" s="293"/>
      <c r="P409" s="293"/>
      <c r="Q409" s="293"/>
      <c r="R409" s="293"/>
      <c r="S409" s="293"/>
      <c r="T409" s="293"/>
      <c r="U409" s="293"/>
      <c r="V409" s="293"/>
      <c r="W409" s="293"/>
      <c r="X409" s="293"/>
      <c r="Y409" s="293"/>
      <c r="Z409" s="293"/>
      <c r="AA409" s="293"/>
      <c r="AB409" s="293"/>
      <c r="AC409" s="293"/>
      <c r="AD409" s="293"/>
      <c r="AE409" s="293"/>
    </row>
    <row r="410" spans="15:31">
      <c r="O410" s="293"/>
      <c r="P410" s="293"/>
      <c r="Q410" s="293"/>
      <c r="R410" s="293"/>
      <c r="S410" s="293"/>
      <c r="T410" s="293"/>
      <c r="U410" s="293"/>
      <c r="V410" s="293"/>
      <c r="W410" s="293"/>
      <c r="X410" s="293"/>
      <c r="Y410" s="293"/>
      <c r="Z410" s="293"/>
      <c r="AA410" s="293"/>
      <c r="AB410" s="293"/>
      <c r="AC410" s="293"/>
      <c r="AD410" s="293"/>
      <c r="AE410" s="293"/>
    </row>
    <row r="411" spans="15:31">
      <c r="O411" s="293"/>
      <c r="P411" s="293"/>
      <c r="Q411" s="293"/>
      <c r="R411" s="293"/>
      <c r="S411" s="293"/>
      <c r="T411" s="293"/>
      <c r="U411" s="293"/>
      <c r="V411" s="293"/>
      <c r="W411" s="293"/>
      <c r="X411" s="293"/>
      <c r="Y411" s="293"/>
      <c r="Z411" s="293"/>
      <c r="AA411" s="293"/>
      <c r="AB411" s="293"/>
      <c r="AC411" s="293"/>
      <c r="AD411" s="293"/>
      <c r="AE411" s="293"/>
    </row>
    <row r="412" spans="15:31">
      <c r="O412" s="293"/>
      <c r="P412" s="293"/>
      <c r="Q412" s="293"/>
      <c r="R412" s="293"/>
      <c r="S412" s="293"/>
      <c r="T412" s="293"/>
      <c r="U412" s="293"/>
      <c r="V412" s="293"/>
      <c r="W412" s="293"/>
      <c r="X412" s="293"/>
      <c r="Y412" s="293"/>
      <c r="Z412" s="293"/>
      <c r="AA412" s="293"/>
      <c r="AB412" s="293"/>
      <c r="AC412" s="293"/>
      <c r="AD412" s="293"/>
      <c r="AE412" s="293"/>
    </row>
    <row r="413" spans="15:31">
      <c r="O413" s="293"/>
      <c r="P413" s="293"/>
      <c r="Q413" s="293"/>
      <c r="R413" s="293"/>
      <c r="S413" s="293"/>
      <c r="T413" s="293"/>
      <c r="U413" s="293"/>
      <c r="V413" s="293"/>
      <c r="W413" s="293"/>
      <c r="X413" s="293"/>
      <c r="Y413" s="293"/>
      <c r="Z413" s="293"/>
      <c r="AA413" s="293"/>
      <c r="AB413" s="293"/>
      <c r="AC413" s="293"/>
      <c r="AD413" s="293"/>
      <c r="AE413" s="293"/>
    </row>
    <row r="414" spans="15:31">
      <c r="O414" s="293"/>
      <c r="P414" s="293"/>
      <c r="Q414" s="293"/>
      <c r="R414" s="293"/>
      <c r="S414" s="293"/>
      <c r="T414" s="293"/>
      <c r="U414" s="293"/>
      <c r="V414" s="293"/>
      <c r="W414" s="293"/>
      <c r="X414" s="293"/>
      <c r="Y414" s="293"/>
      <c r="Z414" s="293"/>
      <c r="AA414" s="293"/>
      <c r="AB414" s="293"/>
      <c r="AC414" s="293"/>
      <c r="AD414" s="293"/>
      <c r="AE414" s="293"/>
    </row>
    <row r="415" spans="15:31">
      <c r="O415" s="293"/>
      <c r="P415" s="293"/>
      <c r="Q415" s="293"/>
      <c r="R415" s="293"/>
      <c r="S415" s="293"/>
      <c r="T415" s="293"/>
      <c r="U415" s="293"/>
      <c r="V415" s="293"/>
      <c r="W415" s="293"/>
      <c r="X415" s="293"/>
      <c r="Y415" s="293"/>
      <c r="Z415" s="293"/>
      <c r="AA415" s="293"/>
      <c r="AB415" s="293"/>
      <c r="AC415" s="293"/>
      <c r="AD415" s="293"/>
      <c r="AE415" s="293"/>
    </row>
    <row r="416" spans="15:31">
      <c r="O416" s="293"/>
      <c r="P416" s="293"/>
      <c r="Q416" s="293"/>
      <c r="R416" s="293"/>
      <c r="S416" s="293"/>
      <c r="T416" s="293"/>
      <c r="U416" s="293"/>
      <c r="V416" s="293"/>
      <c r="W416" s="293"/>
      <c r="X416" s="293"/>
      <c r="Y416" s="293"/>
      <c r="Z416" s="293"/>
      <c r="AA416" s="293"/>
      <c r="AB416" s="293"/>
      <c r="AC416" s="293"/>
      <c r="AD416" s="293"/>
      <c r="AE416" s="293"/>
    </row>
    <row r="417" spans="15:31">
      <c r="O417" s="293"/>
      <c r="P417" s="293"/>
      <c r="Q417" s="293"/>
      <c r="R417" s="293"/>
      <c r="S417" s="293"/>
      <c r="T417" s="293"/>
      <c r="U417" s="293"/>
      <c r="V417" s="293"/>
      <c r="W417" s="293"/>
      <c r="X417" s="293"/>
      <c r="Y417" s="293"/>
      <c r="Z417" s="293"/>
      <c r="AA417" s="293"/>
      <c r="AB417" s="293"/>
      <c r="AC417" s="293"/>
      <c r="AD417" s="293"/>
      <c r="AE417" s="293"/>
    </row>
    <row r="418" spans="15:31">
      <c r="O418" s="293"/>
      <c r="P418" s="293"/>
      <c r="Q418" s="293"/>
      <c r="R418" s="293"/>
      <c r="S418" s="293"/>
      <c r="T418" s="293"/>
      <c r="U418" s="293"/>
      <c r="V418" s="293"/>
      <c r="W418" s="293"/>
      <c r="X418" s="293"/>
      <c r="Y418" s="293"/>
      <c r="Z418" s="293"/>
      <c r="AA418" s="293"/>
      <c r="AB418" s="293"/>
      <c r="AC418" s="293"/>
      <c r="AD418" s="293"/>
      <c r="AE418" s="293"/>
    </row>
    <row r="419" spans="15:31">
      <c r="O419" s="293"/>
      <c r="P419" s="293"/>
      <c r="Q419" s="293"/>
      <c r="R419" s="293"/>
      <c r="S419" s="293"/>
      <c r="T419" s="293"/>
      <c r="U419" s="293"/>
      <c r="V419" s="293"/>
      <c r="W419" s="293"/>
      <c r="X419" s="293"/>
      <c r="Y419" s="293"/>
      <c r="Z419" s="293"/>
      <c r="AA419" s="293"/>
      <c r="AB419" s="293"/>
      <c r="AC419" s="293"/>
      <c r="AD419" s="293"/>
      <c r="AE419" s="293"/>
    </row>
    <row r="420" spans="15:31">
      <c r="O420" s="293"/>
      <c r="P420" s="293"/>
      <c r="Q420" s="293"/>
      <c r="R420" s="293"/>
      <c r="S420" s="293"/>
      <c r="T420" s="293"/>
      <c r="U420" s="293"/>
      <c r="V420" s="293"/>
      <c r="W420" s="293"/>
      <c r="X420" s="293"/>
      <c r="Y420" s="293"/>
      <c r="Z420" s="293"/>
      <c r="AA420" s="293"/>
      <c r="AB420" s="293"/>
      <c r="AC420" s="293"/>
      <c r="AD420" s="293"/>
      <c r="AE420" s="293"/>
    </row>
    <row r="421" spans="15:31">
      <c r="O421" s="293"/>
      <c r="P421" s="293"/>
      <c r="Q421" s="293"/>
      <c r="R421" s="293"/>
      <c r="S421" s="293"/>
      <c r="T421" s="293"/>
      <c r="U421" s="293"/>
      <c r="V421" s="293"/>
      <c r="W421" s="293"/>
      <c r="X421" s="293"/>
      <c r="Y421" s="293"/>
      <c r="Z421" s="293"/>
      <c r="AA421" s="293"/>
      <c r="AB421" s="293"/>
      <c r="AC421" s="293"/>
      <c r="AD421" s="293"/>
      <c r="AE421" s="293"/>
    </row>
    <row r="422" spans="15:31">
      <c r="O422" s="293"/>
      <c r="P422" s="293"/>
      <c r="Q422" s="293"/>
      <c r="R422" s="293"/>
      <c r="S422" s="293"/>
      <c r="T422" s="293"/>
      <c r="U422" s="293"/>
      <c r="V422" s="293"/>
      <c r="W422" s="293"/>
      <c r="X422" s="293"/>
      <c r="Y422" s="293"/>
      <c r="Z422" s="293"/>
      <c r="AA422" s="293"/>
      <c r="AB422" s="293"/>
      <c r="AC422" s="293"/>
      <c r="AD422" s="293"/>
      <c r="AE422" s="293"/>
    </row>
    <row r="423" spans="15:31">
      <c r="O423" s="293"/>
      <c r="P423" s="293"/>
      <c r="Q423" s="293"/>
      <c r="R423" s="293"/>
      <c r="S423" s="293"/>
      <c r="T423" s="293"/>
      <c r="U423" s="293"/>
      <c r="V423" s="293"/>
      <c r="W423" s="293"/>
      <c r="X423" s="293"/>
      <c r="Y423" s="293"/>
      <c r="Z423" s="293"/>
      <c r="AA423" s="293"/>
      <c r="AB423" s="293"/>
      <c r="AC423" s="293"/>
      <c r="AD423" s="293"/>
      <c r="AE423" s="293"/>
    </row>
    <row r="424" spans="15:31">
      <c r="O424" s="293"/>
      <c r="P424" s="293"/>
      <c r="Q424" s="293"/>
      <c r="R424" s="293"/>
      <c r="S424" s="293"/>
      <c r="T424" s="293"/>
      <c r="U424" s="293"/>
      <c r="V424" s="293"/>
      <c r="W424" s="293"/>
      <c r="X424" s="293"/>
      <c r="Y424" s="293"/>
      <c r="Z424" s="293"/>
      <c r="AA424" s="293"/>
      <c r="AB424" s="293"/>
      <c r="AC424" s="293"/>
      <c r="AD424" s="293"/>
      <c r="AE424" s="293"/>
    </row>
    <row r="425" spans="15:31">
      <c r="O425" s="293"/>
      <c r="P425" s="293"/>
      <c r="Q425" s="293"/>
      <c r="R425" s="293"/>
      <c r="S425" s="293"/>
      <c r="T425" s="293"/>
      <c r="U425" s="293"/>
      <c r="V425" s="293"/>
      <c r="W425" s="293"/>
      <c r="X425" s="293"/>
      <c r="Y425" s="293"/>
      <c r="Z425" s="293"/>
      <c r="AA425" s="293"/>
      <c r="AB425" s="293"/>
      <c r="AC425" s="293"/>
      <c r="AD425" s="293"/>
      <c r="AE425" s="293"/>
    </row>
    <row r="426" spans="15:31">
      <c r="O426" s="293"/>
      <c r="P426" s="293"/>
      <c r="Q426" s="293"/>
      <c r="R426" s="293"/>
      <c r="S426" s="293"/>
      <c r="T426" s="293"/>
      <c r="U426" s="293"/>
      <c r="V426" s="293"/>
      <c r="W426" s="293"/>
      <c r="X426" s="293"/>
      <c r="Y426" s="293"/>
      <c r="Z426" s="293"/>
      <c r="AA426" s="293"/>
      <c r="AB426" s="293"/>
      <c r="AC426" s="293"/>
      <c r="AD426" s="293"/>
      <c r="AE426" s="293"/>
    </row>
    <row r="427" spans="15:31">
      <c r="O427" s="293"/>
      <c r="P427" s="293"/>
      <c r="Q427" s="293"/>
      <c r="R427" s="293"/>
      <c r="S427" s="293"/>
      <c r="T427" s="293"/>
      <c r="U427" s="293"/>
      <c r="V427" s="293"/>
      <c r="W427" s="293"/>
      <c r="X427" s="293"/>
      <c r="Y427" s="293"/>
      <c r="Z427" s="293"/>
      <c r="AA427" s="293"/>
      <c r="AB427" s="293"/>
      <c r="AC427" s="293"/>
      <c r="AD427" s="293"/>
      <c r="AE427" s="293"/>
    </row>
    <row r="428" spans="15:31">
      <c r="O428" s="293"/>
      <c r="P428" s="293"/>
      <c r="Q428" s="293"/>
      <c r="R428" s="293"/>
      <c r="S428" s="293"/>
      <c r="T428" s="293"/>
      <c r="U428" s="293"/>
      <c r="V428" s="293"/>
      <c r="W428" s="293"/>
      <c r="X428" s="293"/>
      <c r="Y428" s="293"/>
      <c r="Z428" s="293"/>
      <c r="AA428" s="293"/>
      <c r="AB428" s="293"/>
      <c r="AC428" s="293"/>
      <c r="AD428" s="293"/>
      <c r="AE428" s="293"/>
    </row>
    <row r="429" spans="15:31">
      <c r="O429" s="293"/>
      <c r="P429" s="293"/>
      <c r="Q429" s="293"/>
      <c r="R429" s="293"/>
      <c r="S429" s="293"/>
      <c r="T429" s="293"/>
      <c r="U429" s="293"/>
      <c r="V429" s="293"/>
      <c r="W429" s="293"/>
      <c r="X429" s="293"/>
      <c r="Y429" s="293"/>
      <c r="Z429" s="293"/>
      <c r="AA429" s="293"/>
      <c r="AB429" s="293"/>
      <c r="AC429" s="293"/>
      <c r="AD429" s="293"/>
      <c r="AE429" s="293"/>
    </row>
    <row r="430" spans="15:31">
      <c r="O430" s="293"/>
      <c r="P430" s="293"/>
      <c r="Q430" s="293"/>
      <c r="R430" s="293"/>
      <c r="S430" s="293"/>
      <c r="T430" s="293"/>
      <c r="U430" s="293"/>
      <c r="V430" s="293"/>
      <c r="W430" s="293"/>
      <c r="X430" s="293"/>
      <c r="Y430" s="293"/>
      <c r="Z430" s="293"/>
      <c r="AA430" s="293"/>
      <c r="AB430" s="293"/>
      <c r="AC430" s="293"/>
      <c r="AD430" s="293"/>
      <c r="AE430" s="293"/>
    </row>
    <row r="431" spans="15:31">
      <c r="O431" s="293"/>
      <c r="P431" s="293"/>
      <c r="Q431" s="293"/>
      <c r="R431" s="293"/>
      <c r="S431" s="293"/>
      <c r="T431" s="293"/>
      <c r="U431" s="293"/>
      <c r="V431" s="293"/>
      <c r="W431" s="293"/>
      <c r="X431" s="293"/>
      <c r="Y431" s="293"/>
      <c r="Z431" s="293"/>
      <c r="AA431" s="293"/>
      <c r="AB431" s="293"/>
      <c r="AC431" s="293"/>
      <c r="AD431" s="293"/>
      <c r="AE431" s="293"/>
    </row>
    <row r="432" spans="15:31">
      <c r="O432" s="293"/>
      <c r="P432" s="293"/>
      <c r="Q432" s="293"/>
      <c r="R432" s="293"/>
      <c r="S432" s="293"/>
      <c r="T432" s="293"/>
      <c r="U432" s="293"/>
      <c r="V432" s="293"/>
      <c r="W432" s="293"/>
      <c r="X432" s="293"/>
      <c r="Y432" s="293"/>
      <c r="Z432" s="293"/>
      <c r="AA432" s="293"/>
      <c r="AB432" s="293"/>
      <c r="AC432" s="293"/>
      <c r="AD432" s="293"/>
      <c r="AE432" s="293"/>
    </row>
    <row r="433" spans="15:31">
      <c r="O433" s="293"/>
      <c r="P433" s="293"/>
      <c r="Q433" s="293"/>
      <c r="R433" s="293"/>
      <c r="S433" s="293"/>
      <c r="T433" s="293"/>
      <c r="U433" s="293"/>
      <c r="V433" s="293"/>
      <c r="W433" s="293"/>
      <c r="X433" s="293"/>
      <c r="Y433" s="293"/>
      <c r="Z433" s="293"/>
      <c r="AA433" s="293"/>
      <c r="AB433" s="293"/>
      <c r="AC433" s="293"/>
      <c r="AD433" s="293"/>
      <c r="AE433" s="293"/>
    </row>
    <row r="434" spans="15:31">
      <c r="O434" s="293"/>
      <c r="P434" s="293"/>
      <c r="Q434" s="293"/>
      <c r="R434" s="293"/>
      <c r="S434" s="293"/>
      <c r="T434" s="293"/>
      <c r="U434" s="293"/>
      <c r="V434" s="293"/>
      <c r="W434" s="293"/>
      <c r="X434" s="293"/>
      <c r="Y434" s="293"/>
      <c r="Z434" s="293"/>
      <c r="AA434" s="293"/>
      <c r="AB434" s="293"/>
      <c r="AC434" s="293"/>
      <c r="AD434" s="293"/>
      <c r="AE434" s="293"/>
    </row>
    <row r="435" spans="15:31">
      <c r="O435" s="293"/>
      <c r="P435" s="293"/>
      <c r="Q435" s="293"/>
      <c r="R435" s="293"/>
      <c r="S435" s="293"/>
      <c r="T435" s="293"/>
      <c r="U435" s="293"/>
      <c r="V435" s="293"/>
      <c r="W435" s="293"/>
      <c r="X435" s="293"/>
      <c r="Y435" s="293"/>
      <c r="Z435" s="293"/>
      <c r="AA435" s="293"/>
      <c r="AB435" s="293"/>
      <c r="AC435" s="293"/>
      <c r="AD435" s="293"/>
      <c r="AE435" s="293"/>
    </row>
    <row r="436" spans="15:31">
      <c r="O436" s="293"/>
      <c r="P436" s="293"/>
      <c r="Q436" s="293"/>
      <c r="R436" s="293"/>
      <c r="S436" s="293"/>
      <c r="T436" s="293"/>
      <c r="U436" s="293"/>
      <c r="V436" s="293"/>
      <c r="W436" s="293"/>
      <c r="X436" s="293"/>
      <c r="Y436" s="293"/>
      <c r="Z436" s="293"/>
      <c r="AA436" s="293"/>
      <c r="AB436" s="293"/>
      <c r="AC436" s="293"/>
      <c r="AD436" s="293"/>
      <c r="AE436" s="293"/>
    </row>
    <row r="437" spans="15:31">
      <c r="O437" s="293"/>
      <c r="P437" s="293"/>
      <c r="Q437" s="293"/>
      <c r="R437" s="293"/>
      <c r="S437" s="293"/>
      <c r="T437" s="293"/>
      <c r="U437" s="293"/>
      <c r="V437" s="293"/>
      <c r="W437" s="293"/>
      <c r="X437" s="293"/>
      <c r="Y437" s="293"/>
      <c r="Z437" s="293"/>
      <c r="AA437" s="293"/>
      <c r="AB437" s="293"/>
      <c r="AC437" s="293"/>
      <c r="AD437" s="293"/>
      <c r="AE437" s="293"/>
    </row>
    <row r="438" spans="15:31">
      <c r="O438" s="293"/>
      <c r="P438" s="293"/>
      <c r="Q438" s="293"/>
      <c r="R438" s="293"/>
      <c r="S438" s="293"/>
      <c r="T438" s="293"/>
      <c r="U438" s="293"/>
      <c r="V438" s="293"/>
      <c r="W438" s="293"/>
      <c r="X438" s="293"/>
      <c r="Y438" s="293"/>
      <c r="Z438" s="293"/>
      <c r="AA438" s="293"/>
      <c r="AB438" s="293"/>
      <c r="AC438" s="293"/>
      <c r="AD438" s="293"/>
      <c r="AE438" s="293"/>
    </row>
    <row r="439" spans="15:31">
      <c r="O439" s="293"/>
      <c r="P439" s="293"/>
      <c r="Q439" s="293"/>
      <c r="R439" s="293"/>
      <c r="S439" s="293"/>
      <c r="T439" s="293"/>
      <c r="U439" s="293"/>
      <c r="V439" s="293"/>
      <c r="W439" s="293"/>
      <c r="X439" s="293"/>
      <c r="Y439" s="293"/>
      <c r="Z439" s="293"/>
      <c r="AA439" s="293"/>
      <c r="AB439" s="293"/>
      <c r="AC439" s="293"/>
      <c r="AD439" s="293"/>
      <c r="AE439" s="293"/>
    </row>
    <row r="440" spans="15:31">
      <c r="O440" s="293"/>
      <c r="P440" s="293"/>
      <c r="Q440" s="293"/>
      <c r="R440" s="293"/>
      <c r="S440" s="293"/>
      <c r="T440" s="293"/>
      <c r="U440" s="293"/>
      <c r="V440" s="293"/>
      <c r="W440" s="293"/>
      <c r="X440" s="293"/>
      <c r="Y440" s="293"/>
      <c r="Z440" s="293"/>
      <c r="AA440" s="293"/>
      <c r="AB440" s="293"/>
      <c r="AC440" s="293"/>
      <c r="AD440" s="293"/>
      <c r="AE440" s="293"/>
    </row>
    <row r="441" spans="15:31">
      <c r="O441" s="293"/>
      <c r="P441" s="293"/>
      <c r="Q441" s="293"/>
      <c r="R441" s="293"/>
      <c r="S441" s="293"/>
      <c r="T441" s="293"/>
      <c r="U441" s="293"/>
      <c r="V441" s="293"/>
      <c r="W441" s="293"/>
      <c r="X441" s="293"/>
      <c r="Y441" s="293"/>
      <c r="Z441" s="293"/>
      <c r="AA441" s="293"/>
      <c r="AB441" s="293"/>
      <c r="AC441" s="293"/>
      <c r="AD441" s="293"/>
      <c r="AE441" s="293"/>
    </row>
    <row r="442" spans="15:31">
      <c r="O442" s="293"/>
      <c r="P442" s="293"/>
      <c r="Q442" s="293"/>
      <c r="R442" s="293"/>
      <c r="S442" s="293"/>
      <c r="T442" s="293"/>
      <c r="U442" s="293"/>
      <c r="V442" s="293"/>
      <c r="W442" s="293"/>
      <c r="X442" s="293"/>
      <c r="Y442" s="293"/>
      <c r="Z442" s="293"/>
      <c r="AA442" s="293"/>
      <c r="AB442" s="293"/>
      <c r="AC442" s="293"/>
      <c r="AD442" s="293"/>
      <c r="AE442" s="293"/>
    </row>
    <row r="443" spans="15:31">
      <c r="O443" s="293"/>
      <c r="P443" s="293"/>
      <c r="Q443" s="293"/>
      <c r="R443" s="293"/>
      <c r="S443" s="293"/>
      <c r="T443" s="293"/>
      <c r="U443" s="293"/>
      <c r="V443" s="293"/>
      <c r="W443" s="293"/>
      <c r="X443" s="293"/>
      <c r="Y443" s="293"/>
      <c r="Z443" s="293"/>
      <c r="AA443" s="293"/>
      <c r="AB443" s="293"/>
      <c r="AC443" s="293"/>
      <c r="AD443" s="293"/>
      <c r="AE443" s="293"/>
    </row>
    <row r="444" spans="15:31">
      <c r="O444" s="293"/>
      <c r="P444" s="293"/>
      <c r="Q444" s="293"/>
      <c r="R444" s="293"/>
      <c r="S444" s="293"/>
      <c r="T444" s="293"/>
      <c r="U444" s="293"/>
      <c r="V444" s="293"/>
      <c r="W444" s="293"/>
      <c r="X444" s="293"/>
      <c r="Y444" s="293"/>
      <c r="Z444" s="293"/>
      <c r="AA444" s="293"/>
      <c r="AB444" s="293"/>
      <c r="AC444" s="293"/>
      <c r="AD444" s="293"/>
      <c r="AE444" s="293"/>
    </row>
    <row r="445" spans="15:31">
      <c r="O445" s="293"/>
      <c r="P445" s="293"/>
      <c r="Q445" s="293"/>
      <c r="R445" s="293"/>
      <c r="S445" s="293"/>
      <c r="T445" s="293"/>
      <c r="U445" s="293"/>
      <c r="V445" s="293"/>
      <c r="W445" s="293"/>
      <c r="X445" s="293"/>
      <c r="Y445" s="293"/>
      <c r="Z445" s="293"/>
      <c r="AA445" s="293"/>
      <c r="AB445" s="293"/>
      <c r="AC445" s="293"/>
      <c r="AD445" s="293"/>
      <c r="AE445" s="293"/>
    </row>
    <row r="446" spans="15:31">
      <c r="O446" s="293"/>
      <c r="P446" s="293"/>
      <c r="Q446" s="293"/>
      <c r="R446" s="293"/>
      <c r="S446" s="293"/>
      <c r="T446" s="293"/>
      <c r="U446" s="293"/>
      <c r="V446" s="293"/>
      <c r="W446" s="293"/>
      <c r="X446" s="293"/>
      <c r="Y446" s="293"/>
      <c r="Z446" s="293"/>
      <c r="AA446" s="293"/>
      <c r="AB446" s="293"/>
      <c r="AC446" s="293"/>
      <c r="AD446" s="293"/>
      <c r="AE446" s="293"/>
    </row>
    <row r="447" spans="15:31">
      <c r="O447" s="293"/>
      <c r="P447" s="293"/>
      <c r="Q447" s="293"/>
      <c r="R447" s="293"/>
      <c r="S447" s="293"/>
      <c r="T447" s="293"/>
      <c r="U447" s="293"/>
      <c r="V447" s="293"/>
      <c r="W447" s="293"/>
      <c r="X447" s="293"/>
      <c r="Y447" s="293"/>
      <c r="Z447" s="293"/>
      <c r="AA447" s="293"/>
      <c r="AB447" s="293"/>
      <c r="AC447" s="293"/>
      <c r="AD447" s="293"/>
      <c r="AE447" s="293"/>
    </row>
    <row r="448" spans="15:31">
      <c r="O448" s="293"/>
      <c r="P448" s="293"/>
      <c r="Q448" s="293"/>
      <c r="R448" s="293"/>
      <c r="S448" s="293"/>
      <c r="T448" s="293"/>
      <c r="U448" s="293"/>
      <c r="V448" s="293"/>
      <c r="W448" s="293"/>
      <c r="X448" s="293"/>
      <c r="Y448" s="293"/>
      <c r="Z448" s="293"/>
      <c r="AA448" s="293"/>
      <c r="AB448" s="293"/>
      <c r="AC448" s="293"/>
      <c r="AD448" s="293"/>
      <c r="AE448" s="293"/>
    </row>
    <row r="449" spans="15:31">
      <c r="O449" s="293"/>
      <c r="P449" s="293"/>
      <c r="Q449" s="293"/>
      <c r="R449" s="293"/>
      <c r="S449" s="293"/>
      <c r="T449" s="293"/>
      <c r="U449" s="293"/>
      <c r="V449" s="293"/>
      <c r="W449" s="293"/>
      <c r="X449" s="293"/>
      <c r="Y449" s="293"/>
      <c r="Z449" s="293"/>
      <c r="AA449" s="293"/>
      <c r="AB449" s="293"/>
      <c r="AC449" s="293"/>
      <c r="AD449" s="293"/>
      <c r="AE449" s="293"/>
    </row>
    <row r="450" spans="15:31">
      <c r="O450" s="293"/>
      <c r="P450" s="293"/>
      <c r="Q450" s="293"/>
      <c r="R450" s="293"/>
      <c r="S450" s="293"/>
      <c r="T450" s="293"/>
      <c r="U450" s="293"/>
      <c r="V450" s="293"/>
      <c r="W450" s="293"/>
      <c r="X450" s="293"/>
      <c r="Y450" s="293"/>
      <c r="Z450" s="293"/>
      <c r="AA450" s="293"/>
      <c r="AB450" s="293"/>
      <c r="AC450" s="293"/>
      <c r="AD450" s="293"/>
      <c r="AE450" s="293"/>
    </row>
    <row r="451" spans="15:31">
      <c r="O451" s="293"/>
      <c r="P451" s="293"/>
      <c r="Q451" s="293"/>
      <c r="R451" s="293"/>
      <c r="S451" s="293"/>
      <c r="T451" s="293"/>
      <c r="U451" s="293"/>
      <c r="V451" s="293"/>
      <c r="W451" s="293"/>
      <c r="X451" s="293"/>
      <c r="Y451" s="293"/>
      <c r="Z451" s="293"/>
      <c r="AA451" s="293"/>
      <c r="AB451" s="293"/>
      <c r="AC451" s="293"/>
      <c r="AD451" s="293"/>
      <c r="AE451" s="293"/>
    </row>
    <row r="452" spans="15:31">
      <c r="O452" s="293"/>
      <c r="P452" s="293"/>
      <c r="Q452" s="293"/>
      <c r="R452" s="293"/>
      <c r="S452" s="293"/>
      <c r="T452" s="293"/>
      <c r="U452" s="293"/>
      <c r="V452" s="293"/>
      <c r="W452" s="293"/>
      <c r="X452" s="293"/>
      <c r="Y452" s="293"/>
      <c r="Z452" s="293"/>
      <c r="AA452" s="293"/>
      <c r="AB452" s="293"/>
      <c r="AC452" s="293"/>
      <c r="AD452" s="293"/>
      <c r="AE452" s="293"/>
    </row>
    <row r="453" spans="15:31">
      <c r="O453" s="293"/>
      <c r="P453" s="293"/>
      <c r="Q453" s="293"/>
      <c r="R453" s="293"/>
      <c r="S453" s="293"/>
      <c r="T453" s="293"/>
      <c r="U453" s="293"/>
      <c r="V453" s="293"/>
      <c r="W453" s="293"/>
      <c r="X453" s="293"/>
      <c r="Y453" s="293"/>
      <c r="Z453" s="293"/>
      <c r="AA453" s="293"/>
      <c r="AB453" s="293"/>
      <c r="AC453" s="293"/>
      <c r="AD453" s="293"/>
      <c r="AE453" s="293"/>
    </row>
    <row r="454" spans="15:31">
      <c r="O454" s="293"/>
      <c r="P454" s="293"/>
      <c r="Q454" s="293"/>
      <c r="R454" s="293"/>
      <c r="S454" s="293"/>
      <c r="T454" s="293"/>
      <c r="U454" s="293"/>
      <c r="V454" s="293"/>
      <c r="W454" s="293"/>
      <c r="X454" s="293"/>
      <c r="Y454" s="293"/>
      <c r="Z454" s="293"/>
      <c r="AA454" s="293"/>
      <c r="AB454" s="293"/>
      <c r="AC454" s="293"/>
      <c r="AD454" s="293"/>
      <c r="AE454" s="293"/>
    </row>
    <row r="455" spans="15:31">
      <c r="O455" s="293"/>
      <c r="P455" s="293"/>
      <c r="Q455" s="293"/>
      <c r="R455" s="293"/>
      <c r="S455" s="293"/>
      <c r="T455" s="293"/>
      <c r="U455" s="293"/>
      <c r="V455" s="293"/>
      <c r="W455" s="293"/>
      <c r="X455" s="293"/>
      <c r="Y455" s="293"/>
      <c r="Z455" s="293"/>
      <c r="AA455" s="293"/>
      <c r="AB455" s="293"/>
      <c r="AC455" s="293"/>
      <c r="AD455" s="293"/>
      <c r="AE455" s="293"/>
    </row>
    <row r="456" spans="15:31">
      <c r="O456" s="293"/>
      <c r="P456" s="293"/>
      <c r="Q456" s="293"/>
      <c r="R456" s="293"/>
      <c r="S456" s="293"/>
      <c r="T456" s="293"/>
      <c r="U456" s="293"/>
      <c r="V456" s="293"/>
      <c r="W456" s="293"/>
      <c r="X456" s="293"/>
      <c r="Y456" s="293"/>
      <c r="Z456" s="293"/>
      <c r="AA456" s="293"/>
      <c r="AB456" s="293"/>
      <c r="AC456" s="293"/>
      <c r="AD456" s="293"/>
      <c r="AE456" s="293"/>
    </row>
    <row r="457" spans="15:31">
      <c r="O457" s="293"/>
      <c r="P457" s="293"/>
      <c r="Q457" s="293"/>
      <c r="R457" s="293"/>
      <c r="S457" s="293"/>
      <c r="T457" s="293"/>
      <c r="U457" s="293"/>
      <c r="V457" s="293"/>
      <c r="W457" s="293"/>
      <c r="X457" s="293"/>
      <c r="Y457" s="293"/>
      <c r="Z457" s="293"/>
      <c r="AA457" s="293"/>
      <c r="AB457" s="293"/>
      <c r="AC457" s="293"/>
      <c r="AD457" s="293"/>
      <c r="AE457" s="293"/>
    </row>
    <row r="458" spans="15:31">
      <c r="O458" s="293"/>
      <c r="P458" s="293"/>
      <c r="Q458" s="293"/>
      <c r="R458" s="293"/>
      <c r="S458" s="293"/>
      <c r="T458" s="293"/>
      <c r="U458" s="293"/>
      <c r="V458" s="293"/>
      <c r="W458" s="293"/>
      <c r="X458" s="293"/>
      <c r="Y458" s="293"/>
      <c r="Z458" s="293"/>
      <c r="AA458" s="293"/>
      <c r="AB458" s="293"/>
      <c r="AC458" s="293"/>
      <c r="AD458" s="293"/>
      <c r="AE458" s="293"/>
    </row>
    <row r="459" spans="15:31">
      <c r="O459" s="293"/>
      <c r="P459" s="293"/>
      <c r="Q459" s="293"/>
      <c r="R459" s="293"/>
      <c r="S459" s="293"/>
      <c r="T459" s="293"/>
      <c r="U459" s="293"/>
      <c r="V459" s="293"/>
      <c r="W459" s="293"/>
      <c r="X459" s="293"/>
      <c r="Y459" s="293"/>
      <c r="Z459" s="293"/>
      <c r="AA459" s="293"/>
      <c r="AB459" s="293"/>
      <c r="AC459" s="293"/>
      <c r="AD459" s="293"/>
      <c r="AE459" s="293"/>
    </row>
    <row r="460" spans="15:31">
      <c r="O460" s="293"/>
      <c r="P460" s="293"/>
      <c r="Q460" s="293"/>
      <c r="R460" s="293"/>
      <c r="S460" s="293"/>
      <c r="T460" s="293"/>
      <c r="U460" s="293"/>
      <c r="V460" s="293"/>
      <c r="W460" s="293"/>
      <c r="X460" s="293"/>
      <c r="Y460" s="293"/>
      <c r="Z460" s="293"/>
      <c r="AA460" s="293"/>
      <c r="AB460" s="293"/>
      <c r="AC460" s="293"/>
      <c r="AD460" s="293"/>
      <c r="AE460" s="293"/>
    </row>
    <row r="461" spans="15:31">
      <c r="O461" s="293"/>
      <c r="P461" s="293"/>
      <c r="Q461" s="293"/>
      <c r="R461" s="293"/>
      <c r="S461" s="293"/>
      <c r="T461" s="293"/>
      <c r="U461" s="293"/>
      <c r="V461" s="293"/>
      <c r="W461" s="293"/>
      <c r="X461" s="293"/>
      <c r="Y461" s="293"/>
      <c r="Z461" s="293"/>
      <c r="AA461" s="293"/>
      <c r="AB461" s="293"/>
      <c r="AC461" s="293"/>
      <c r="AD461" s="293"/>
      <c r="AE461" s="293"/>
    </row>
    <row r="462" spans="15:31">
      <c r="O462" s="293"/>
      <c r="P462" s="293"/>
      <c r="Q462" s="293"/>
      <c r="R462" s="293"/>
      <c r="S462" s="293"/>
      <c r="T462" s="293"/>
      <c r="U462" s="293"/>
      <c r="V462" s="293"/>
      <c r="W462" s="293"/>
      <c r="X462" s="293"/>
      <c r="Y462" s="293"/>
      <c r="Z462" s="293"/>
      <c r="AA462" s="293"/>
      <c r="AB462" s="293"/>
      <c r="AC462" s="293"/>
      <c r="AD462" s="293"/>
      <c r="AE462" s="293"/>
    </row>
    <row r="463" spans="15:31">
      <c r="O463" s="293"/>
      <c r="P463" s="293"/>
      <c r="Q463" s="293"/>
      <c r="R463" s="293"/>
      <c r="S463" s="293"/>
      <c r="T463" s="293"/>
      <c r="U463" s="293"/>
      <c r="V463" s="293"/>
      <c r="W463" s="293"/>
      <c r="X463" s="293"/>
      <c r="Y463" s="293"/>
      <c r="Z463" s="293"/>
      <c r="AA463" s="293"/>
      <c r="AB463" s="293"/>
      <c r="AC463" s="293"/>
      <c r="AD463" s="293"/>
      <c r="AE463" s="293"/>
    </row>
    <row r="464" spans="15:31">
      <c r="O464" s="293"/>
      <c r="P464" s="293"/>
      <c r="Q464" s="293"/>
      <c r="R464" s="293"/>
      <c r="S464" s="293"/>
      <c r="T464" s="293"/>
      <c r="U464" s="293"/>
      <c r="V464" s="293"/>
      <c r="W464" s="293"/>
      <c r="X464" s="293"/>
      <c r="Y464" s="293"/>
      <c r="Z464" s="293"/>
      <c r="AA464" s="293"/>
      <c r="AB464" s="293"/>
      <c r="AC464" s="293"/>
      <c r="AD464" s="293"/>
      <c r="AE464" s="293"/>
    </row>
    <row r="465" spans="15:31">
      <c r="O465" s="293"/>
      <c r="P465" s="293"/>
      <c r="Q465" s="293"/>
      <c r="R465" s="293"/>
      <c r="S465" s="293"/>
      <c r="T465" s="293"/>
      <c r="U465" s="293"/>
      <c r="V465" s="293"/>
      <c r="W465" s="293"/>
      <c r="X465" s="293"/>
      <c r="Y465" s="293"/>
      <c r="Z465" s="293"/>
      <c r="AA465" s="293"/>
      <c r="AB465" s="293"/>
      <c r="AC465" s="293"/>
      <c r="AD465" s="293"/>
      <c r="AE465" s="293"/>
    </row>
    <row r="466" spans="15:31">
      <c r="O466" s="293"/>
      <c r="P466" s="293"/>
      <c r="Q466" s="293"/>
      <c r="R466" s="293"/>
      <c r="S466" s="293"/>
      <c r="T466" s="293"/>
      <c r="U466" s="293"/>
      <c r="V466" s="293"/>
      <c r="W466" s="293"/>
      <c r="X466" s="293"/>
      <c r="Y466" s="293"/>
      <c r="Z466" s="293"/>
      <c r="AA466" s="293"/>
      <c r="AB466" s="293"/>
      <c r="AC466" s="293"/>
      <c r="AD466" s="293"/>
      <c r="AE466" s="293"/>
    </row>
    <row r="467" spans="15:31">
      <c r="O467" s="293"/>
      <c r="P467" s="293"/>
      <c r="Q467" s="293"/>
      <c r="R467" s="293"/>
      <c r="S467" s="293"/>
      <c r="T467" s="293"/>
      <c r="U467" s="293"/>
      <c r="V467" s="293"/>
      <c r="W467" s="293"/>
      <c r="X467" s="293"/>
      <c r="Y467" s="293"/>
      <c r="Z467" s="293"/>
      <c r="AA467" s="293"/>
      <c r="AB467" s="293"/>
      <c r="AC467" s="293"/>
      <c r="AD467" s="293"/>
      <c r="AE467" s="293"/>
    </row>
    <row r="468" spans="15:31">
      <c r="O468" s="293"/>
      <c r="P468" s="293"/>
      <c r="Q468" s="293"/>
      <c r="R468" s="293"/>
      <c r="S468" s="293"/>
      <c r="T468" s="293"/>
      <c r="U468" s="293"/>
      <c r="V468" s="293"/>
      <c r="W468" s="293"/>
      <c r="X468" s="293"/>
      <c r="Y468" s="293"/>
      <c r="Z468" s="293"/>
      <c r="AA468" s="293"/>
      <c r="AB468" s="293"/>
      <c r="AC468" s="293"/>
      <c r="AD468" s="293"/>
      <c r="AE468" s="293"/>
    </row>
    <row r="469" spans="15:31">
      <c r="O469" s="293"/>
      <c r="P469" s="293"/>
      <c r="Q469" s="293"/>
      <c r="R469" s="293"/>
      <c r="S469" s="293"/>
      <c r="T469" s="293"/>
      <c r="U469" s="293"/>
      <c r="V469" s="293"/>
      <c r="W469" s="293"/>
      <c r="X469" s="293"/>
      <c r="Y469" s="293"/>
      <c r="Z469" s="293"/>
      <c r="AA469" s="293"/>
      <c r="AB469" s="293"/>
      <c r="AC469" s="293"/>
      <c r="AD469" s="293"/>
      <c r="AE469" s="293"/>
    </row>
    <row r="470" spans="15:31">
      <c r="O470" s="293"/>
      <c r="P470" s="293"/>
      <c r="Q470" s="293"/>
      <c r="R470" s="293"/>
      <c r="S470" s="293"/>
      <c r="T470" s="293"/>
      <c r="U470" s="293"/>
      <c r="V470" s="293"/>
      <c r="W470" s="293"/>
      <c r="X470" s="293"/>
      <c r="Y470" s="293"/>
      <c r="Z470" s="293"/>
      <c r="AA470" s="293"/>
      <c r="AB470" s="293"/>
      <c r="AC470" s="293"/>
      <c r="AD470" s="293"/>
      <c r="AE470" s="293"/>
    </row>
    <row r="471" spans="15:31">
      <c r="O471" s="293"/>
      <c r="P471" s="293"/>
      <c r="Q471" s="293"/>
      <c r="R471" s="293"/>
      <c r="S471" s="293"/>
      <c r="T471" s="293"/>
      <c r="U471" s="293"/>
      <c r="V471" s="293"/>
      <c r="W471" s="293"/>
      <c r="X471" s="293"/>
      <c r="Y471" s="293"/>
      <c r="Z471" s="293"/>
      <c r="AA471" s="293"/>
      <c r="AB471" s="293"/>
      <c r="AC471" s="293"/>
      <c r="AD471" s="293"/>
      <c r="AE471" s="293"/>
    </row>
    <row r="472" spans="15:31">
      <c r="O472" s="293"/>
      <c r="P472" s="293"/>
      <c r="Q472" s="293"/>
      <c r="R472" s="293"/>
      <c r="S472" s="293"/>
      <c r="T472" s="293"/>
      <c r="U472" s="293"/>
      <c r="V472" s="293"/>
      <c r="W472" s="293"/>
      <c r="X472" s="293"/>
      <c r="Y472" s="293"/>
      <c r="Z472" s="293"/>
      <c r="AA472" s="293"/>
      <c r="AB472" s="293"/>
      <c r="AC472" s="293"/>
      <c r="AD472" s="293"/>
      <c r="AE472" s="293"/>
    </row>
    <row r="473" spans="15:31">
      <c r="O473" s="293"/>
      <c r="P473" s="293"/>
      <c r="Q473" s="293"/>
      <c r="R473" s="293"/>
      <c r="S473" s="293"/>
      <c r="T473" s="293"/>
      <c r="U473" s="293"/>
      <c r="V473" s="293"/>
      <c r="W473" s="293"/>
      <c r="X473" s="293"/>
      <c r="Y473" s="293"/>
      <c r="Z473" s="293"/>
      <c r="AA473" s="293"/>
      <c r="AB473" s="293"/>
      <c r="AC473" s="293"/>
      <c r="AD473" s="293"/>
      <c r="AE473" s="293"/>
    </row>
    <row r="474" spans="15:31">
      <c r="O474" s="293"/>
      <c r="P474" s="293"/>
      <c r="Q474" s="293"/>
      <c r="R474" s="293"/>
      <c r="S474" s="293"/>
      <c r="T474" s="293"/>
      <c r="U474" s="293"/>
      <c r="V474" s="293"/>
      <c r="W474" s="293"/>
      <c r="X474" s="293"/>
      <c r="Y474" s="293"/>
      <c r="Z474" s="293"/>
      <c r="AA474" s="293"/>
      <c r="AB474" s="293"/>
      <c r="AC474" s="293"/>
      <c r="AD474" s="293"/>
      <c r="AE474" s="293"/>
    </row>
    <row r="475" spans="15:31">
      <c r="O475" s="293"/>
      <c r="P475" s="293"/>
      <c r="Q475" s="293"/>
      <c r="R475" s="293"/>
      <c r="S475" s="293"/>
      <c r="T475" s="293"/>
      <c r="U475" s="293"/>
      <c r="V475" s="293"/>
      <c r="W475" s="293"/>
      <c r="X475" s="293"/>
      <c r="Y475" s="293"/>
      <c r="Z475" s="293"/>
      <c r="AA475" s="293"/>
      <c r="AB475" s="293"/>
      <c r="AC475" s="293"/>
      <c r="AD475" s="293"/>
      <c r="AE475" s="293"/>
    </row>
    <row r="476" spans="15:31">
      <c r="O476" s="293"/>
      <c r="P476" s="293"/>
      <c r="Q476" s="293"/>
      <c r="R476" s="293"/>
      <c r="S476" s="293"/>
      <c r="T476" s="293"/>
      <c r="U476" s="293"/>
      <c r="V476" s="293"/>
      <c r="W476" s="293"/>
      <c r="X476" s="293"/>
      <c r="Y476" s="293"/>
      <c r="Z476" s="293"/>
      <c r="AA476" s="293"/>
      <c r="AB476" s="293"/>
      <c r="AC476" s="293"/>
      <c r="AD476" s="293"/>
      <c r="AE476" s="293"/>
    </row>
    <row r="477" spans="15:31">
      <c r="O477" s="293"/>
      <c r="P477" s="293"/>
      <c r="Q477" s="293"/>
      <c r="R477" s="293"/>
      <c r="S477" s="293"/>
      <c r="T477" s="293"/>
      <c r="U477" s="293"/>
      <c r="V477" s="293"/>
      <c r="W477" s="293"/>
      <c r="X477" s="293"/>
      <c r="Y477" s="293"/>
      <c r="Z477" s="293"/>
      <c r="AA477" s="293"/>
      <c r="AB477" s="293"/>
      <c r="AC477" s="293"/>
      <c r="AD477" s="293"/>
      <c r="AE477" s="293"/>
    </row>
    <row r="478" spans="15:31">
      <c r="O478" s="293"/>
      <c r="P478" s="293"/>
      <c r="Q478" s="293"/>
      <c r="R478" s="293"/>
      <c r="S478" s="293"/>
      <c r="T478" s="293"/>
      <c r="U478" s="293"/>
      <c r="V478" s="293"/>
      <c r="W478" s="293"/>
      <c r="X478" s="293"/>
      <c r="Y478" s="293"/>
      <c r="Z478" s="293"/>
      <c r="AA478" s="293"/>
      <c r="AB478" s="293"/>
      <c r="AC478" s="293"/>
      <c r="AD478" s="293"/>
      <c r="AE478" s="293"/>
    </row>
    <row r="479" spans="15:31">
      <c r="O479" s="293"/>
      <c r="P479" s="293"/>
      <c r="Q479" s="293"/>
      <c r="R479" s="293"/>
      <c r="S479" s="293"/>
      <c r="T479" s="293"/>
      <c r="U479" s="293"/>
      <c r="V479" s="293"/>
      <c r="W479" s="293"/>
      <c r="X479" s="293"/>
      <c r="Y479" s="293"/>
      <c r="Z479" s="293"/>
      <c r="AA479" s="293"/>
      <c r="AB479" s="293"/>
      <c r="AC479" s="293"/>
      <c r="AD479" s="293"/>
      <c r="AE479" s="293"/>
    </row>
    <row r="480" spans="15:31">
      <c r="O480" s="293"/>
      <c r="P480" s="293"/>
      <c r="Q480" s="293"/>
      <c r="R480" s="293"/>
      <c r="S480" s="293"/>
      <c r="T480" s="293"/>
      <c r="U480" s="293"/>
      <c r="V480" s="293"/>
      <c r="W480" s="293"/>
      <c r="X480" s="293"/>
      <c r="Y480" s="293"/>
      <c r="Z480" s="293"/>
      <c r="AA480" s="293"/>
      <c r="AB480" s="293"/>
      <c r="AC480" s="293"/>
      <c r="AD480" s="293"/>
      <c r="AE480" s="293"/>
    </row>
    <row r="481" spans="15:31">
      <c r="O481" s="293"/>
      <c r="P481" s="293"/>
      <c r="Q481" s="293"/>
      <c r="R481" s="293"/>
      <c r="S481" s="293"/>
      <c r="T481" s="293"/>
      <c r="U481" s="293"/>
      <c r="V481" s="293"/>
      <c r="W481" s="293"/>
      <c r="X481" s="293"/>
      <c r="Y481" s="293"/>
      <c r="Z481" s="293"/>
      <c r="AA481" s="293"/>
      <c r="AB481" s="293"/>
      <c r="AC481" s="293"/>
      <c r="AD481" s="293"/>
      <c r="AE481" s="293"/>
    </row>
    <row r="482" spans="15:31">
      <c r="O482" s="293"/>
      <c r="P482" s="293"/>
      <c r="Q482" s="293"/>
      <c r="R482" s="293"/>
      <c r="S482" s="293"/>
      <c r="T482" s="293"/>
      <c r="U482" s="293"/>
      <c r="V482" s="293"/>
      <c r="W482" s="293"/>
      <c r="X482" s="293"/>
      <c r="Y482" s="293"/>
      <c r="Z482" s="293"/>
      <c r="AA482" s="293"/>
      <c r="AB482" s="293"/>
      <c r="AC482" s="293"/>
      <c r="AD482" s="293"/>
      <c r="AE482" s="293"/>
    </row>
    <row r="483" spans="15:31">
      <c r="O483" s="293"/>
      <c r="P483" s="293"/>
      <c r="Q483" s="293"/>
      <c r="R483" s="293"/>
      <c r="S483" s="293"/>
      <c r="T483" s="293"/>
      <c r="U483" s="293"/>
      <c r="V483" s="293"/>
      <c r="W483" s="293"/>
      <c r="X483" s="293"/>
      <c r="Y483" s="293"/>
      <c r="Z483" s="293"/>
      <c r="AA483" s="293"/>
      <c r="AB483" s="293"/>
      <c r="AC483" s="293"/>
      <c r="AD483" s="293"/>
      <c r="AE483" s="293"/>
    </row>
    <row r="484" spans="15:31">
      <c r="O484" s="293"/>
      <c r="P484" s="293"/>
      <c r="Q484" s="293"/>
      <c r="R484" s="293"/>
      <c r="S484" s="293"/>
      <c r="T484" s="293"/>
      <c r="U484" s="293"/>
      <c r="V484" s="293"/>
      <c r="W484" s="293"/>
      <c r="X484" s="293"/>
      <c r="Y484" s="293"/>
      <c r="Z484" s="293"/>
      <c r="AA484" s="293"/>
      <c r="AB484" s="293"/>
      <c r="AC484" s="293"/>
      <c r="AD484" s="293"/>
      <c r="AE484" s="293"/>
    </row>
    <row r="485" spans="15:31">
      <c r="O485" s="293"/>
      <c r="P485" s="293"/>
      <c r="Q485" s="293"/>
      <c r="R485" s="293"/>
      <c r="S485" s="293"/>
      <c r="T485" s="293"/>
      <c r="U485" s="293"/>
      <c r="V485" s="293"/>
      <c r="W485" s="293"/>
      <c r="X485" s="293"/>
      <c r="Y485" s="293"/>
      <c r="Z485" s="293"/>
      <c r="AA485" s="293"/>
      <c r="AB485" s="293"/>
      <c r="AC485" s="293"/>
      <c r="AD485" s="293"/>
      <c r="AE485" s="293"/>
    </row>
    <row r="486" spans="15:31">
      <c r="O486" s="293"/>
      <c r="P486" s="293"/>
      <c r="Q486" s="293"/>
      <c r="R486" s="293"/>
      <c r="S486" s="293"/>
      <c r="T486" s="293"/>
      <c r="U486" s="293"/>
      <c r="V486" s="293"/>
      <c r="W486" s="293"/>
      <c r="X486" s="293"/>
      <c r="Y486" s="293"/>
      <c r="Z486" s="293"/>
      <c r="AA486" s="293"/>
      <c r="AB486" s="293"/>
      <c r="AC486" s="293"/>
      <c r="AD486" s="293"/>
      <c r="AE486" s="293"/>
    </row>
    <row r="487" spans="15:31">
      <c r="O487" s="293"/>
      <c r="P487" s="293"/>
      <c r="Q487" s="293"/>
      <c r="R487" s="293"/>
      <c r="S487" s="293"/>
      <c r="T487" s="293"/>
      <c r="U487" s="293"/>
      <c r="V487" s="293"/>
      <c r="W487" s="293"/>
      <c r="X487" s="293"/>
      <c r="Y487" s="293"/>
      <c r="Z487" s="293"/>
      <c r="AA487" s="293"/>
      <c r="AB487" s="293"/>
      <c r="AC487" s="293"/>
      <c r="AD487" s="293"/>
      <c r="AE487" s="293"/>
    </row>
    <row r="488" spans="15:31">
      <c r="O488" s="293"/>
      <c r="P488" s="293"/>
      <c r="Q488" s="293"/>
      <c r="R488" s="293"/>
      <c r="S488" s="293"/>
      <c r="T488" s="293"/>
      <c r="U488" s="293"/>
      <c r="V488" s="293"/>
      <c r="W488" s="293"/>
      <c r="X488" s="293"/>
      <c r="Y488" s="293"/>
      <c r="Z488" s="293"/>
      <c r="AA488" s="293"/>
      <c r="AB488" s="293"/>
      <c r="AC488" s="293"/>
      <c r="AD488" s="293"/>
      <c r="AE488" s="293"/>
    </row>
    <row r="489" spans="15:31">
      <c r="O489" s="293"/>
      <c r="P489" s="293"/>
      <c r="Q489" s="293"/>
      <c r="R489" s="293"/>
      <c r="S489" s="293"/>
      <c r="T489" s="293"/>
      <c r="U489" s="293"/>
      <c r="V489" s="293"/>
      <c r="W489" s="293"/>
      <c r="X489" s="293"/>
      <c r="Y489" s="293"/>
      <c r="Z489" s="293"/>
      <c r="AA489" s="293"/>
      <c r="AB489" s="293"/>
      <c r="AC489" s="293"/>
      <c r="AD489" s="293"/>
      <c r="AE489" s="293"/>
    </row>
    <row r="490" spans="15:31">
      <c r="O490" s="293"/>
      <c r="P490" s="293"/>
      <c r="Q490" s="293"/>
      <c r="R490" s="293"/>
      <c r="S490" s="293"/>
      <c r="T490" s="293"/>
      <c r="U490" s="293"/>
      <c r="V490" s="293"/>
      <c r="W490" s="293"/>
      <c r="X490" s="293"/>
      <c r="Y490" s="293"/>
      <c r="Z490" s="293"/>
      <c r="AA490" s="293"/>
      <c r="AB490" s="293"/>
      <c r="AC490" s="293"/>
      <c r="AD490" s="293"/>
      <c r="AE490" s="293"/>
    </row>
    <row r="491" spans="15:31">
      <c r="O491" s="293"/>
      <c r="P491" s="293"/>
      <c r="Q491" s="293"/>
      <c r="R491" s="293"/>
      <c r="S491" s="293"/>
      <c r="T491" s="293"/>
      <c r="U491" s="293"/>
      <c r="V491" s="293"/>
      <c r="W491" s="293"/>
      <c r="X491" s="293"/>
      <c r="Y491" s="293"/>
      <c r="Z491" s="293"/>
      <c r="AA491" s="293"/>
      <c r="AB491" s="293"/>
      <c r="AC491" s="293"/>
      <c r="AD491" s="293"/>
      <c r="AE491" s="293"/>
    </row>
    <row r="492" spans="15:31">
      <c r="O492" s="293"/>
      <c r="P492" s="293"/>
      <c r="Q492" s="293"/>
      <c r="R492" s="293"/>
      <c r="S492" s="293"/>
      <c r="T492" s="293"/>
      <c r="U492" s="293"/>
      <c r="V492" s="293"/>
      <c r="W492" s="293"/>
      <c r="X492" s="293"/>
      <c r="Y492" s="293"/>
      <c r="Z492" s="293"/>
      <c r="AA492" s="293"/>
      <c r="AB492" s="293"/>
      <c r="AC492" s="293"/>
      <c r="AD492" s="293"/>
      <c r="AE492" s="293"/>
    </row>
    <row r="493" spans="15:31">
      <c r="O493" s="293"/>
      <c r="P493" s="293"/>
      <c r="Q493" s="293"/>
      <c r="R493" s="293"/>
      <c r="S493" s="293"/>
      <c r="T493" s="293"/>
      <c r="U493" s="293"/>
      <c r="V493" s="293"/>
      <c r="W493" s="293"/>
      <c r="X493" s="293"/>
      <c r="Y493" s="293"/>
      <c r="Z493" s="293"/>
      <c r="AA493" s="293"/>
      <c r="AB493" s="293"/>
      <c r="AC493" s="293"/>
      <c r="AD493" s="293"/>
      <c r="AE493" s="293"/>
    </row>
    <row r="494" spans="15:31">
      <c r="O494" s="293"/>
      <c r="P494" s="293"/>
      <c r="Q494" s="293"/>
      <c r="R494" s="293"/>
      <c r="S494" s="293"/>
      <c r="T494" s="293"/>
      <c r="U494" s="293"/>
      <c r="V494" s="293"/>
      <c r="W494" s="293"/>
      <c r="X494" s="293"/>
      <c r="Y494" s="293"/>
      <c r="Z494" s="293"/>
      <c r="AA494" s="293"/>
      <c r="AB494" s="293"/>
      <c r="AC494" s="293"/>
      <c r="AD494" s="293"/>
      <c r="AE494" s="293"/>
    </row>
    <row r="495" spans="15:31">
      <c r="O495" s="293"/>
      <c r="P495" s="293"/>
      <c r="Q495" s="293"/>
      <c r="R495" s="293"/>
      <c r="S495" s="293"/>
      <c r="T495" s="293"/>
      <c r="U495" s="293"/>
      <c r="V495" s="293"/>
      <c r="W495" s="293"/>
      <c r="X495" s="293"/>
      <c r="Y495" s="293"/>
      <c r="Z495" s="293"/>
      <c r="AA495" s="293"/>
      <c r="AB495" s="293"/>
      <c r="AC495" s="293"/>
      <c r="AD495" s="293"/>
      <c r="AE495" s="293"/>
    </row>
    <row r="496" spans="15:31">
      <c r="O496" s="293"/>
      <c r="P496" s="293"/>
      <c r="Q496" s="293"/>
      <c r="R496" s="293"/>
      <c r="S496" s="293"/>
      <c r="T496" s="293"/>
      <c r="U496" s="293"/>
      <c r="V496" s="293"/>
      <c r="W496" s="293"/>
      <c r="X496" s="293"/>
      <c r="Y496" s="293"/>
      <c r="Z496" s="293"/>
      <c r="AA496" s="293"/>
      <c r="AB496" s="293"/>
      <c r="AC496" s="293"/>
      <c r="AD496" s="293"/>
      <c r="AE496" s="293"/>
    </row>
    <row r="497" spans="15:31">
      <c r="O497" s="293"/>
      <c r="P497" s="293"/>
      <c r="Q497" s="293"/>
      <c r="R497" s="293"/>
      <c r="S497" s="293"/>
      <c r="T497" s="293"/>
      <c r="U497" s="293"/>
      <c r="V497" s="293"/>
      <c r="W497" s="293"/>
      <c r="X497" s="293"/>
      <c r="Y497" s="293"/>
      <c r="Z497" s="293"/>
      <c r="AA497" s="293"/>
      <c r="AB497" s="293"/>
      <c r="AC497" s="293"/>
      <c r="AD497" s="293"/>
      <c r="AE497" s="293"/>
    </row>
    <row r="498" spans="15:31">
      <c r="O498" s="293"/>
      <c r="P498" s="293"/>
      <c r="Q498" s="293"/>
      <c r="R498" s="293"/>
      <c r="S498" s="293"/>
      <c r="T498" s="293"/>
      <c r="U498" s="293"/>
      <c r="V498" s="293"/>
      <c r="W498" s="293"/>
      <c r="X498" s="293"/>
      <c r="Y498" s="293"/>
      <c r="Z498" s="293"/>
      <c r="AA498" s="293"/>
      <c r="AB498" s="293"/>
      <c r="AC498" s="293"/>
      <c r="AD498" s="293"/>
      <c r="AE498" s="293"/>
    </row>
    <row r="499" spans="15:31">
      <c r="O499" s="293"/>
      <c r="P499" s="293"/>
      <c r="Q499" s="293"/>
      <c r="R499" s="293"/>
      <c r="S499" s="293"/>
      <c r="T499" s="293"/>
      <c r="U499" s="293"/>
      <c r="V499" s="293"/>
      <c r="W499" s="293"/>
      <c r="X499" s="293"/>
      <c r="Y499" s="293"/>
      <c r="Z499" s="293"/>
      <c r="AA499" s="293"/>
      <c r="AB499" s="293"/>
      <c r="AC499" s="293"/>
      <c r="AD499" s="293"/>
      <c r="AE499" s="293"/>
    </row>
    <row r="500" spans="15:31">
      <c r="O500" s="293"/>
      <c r="P500" s="293"/>
      <c r="Q500" s="293"/>
      <c r="R500" s="293"/>
      <c r="S500" s="293"/>
      <c r="T500" s="293"/>
      <c r="U500" s="293"/>
      <c r="V500" s="293"/>
      <c r="W500" s="293"/>
      <c r="X500" s="293"/>
      <c r="Y500" s="293"/>
      <c r="Z500" s="293"/>
      <c r="AA500" s="293"/>
      <c r="AB500" s="293"/>
      <c r="AC500" s="293"/>
      <c r="AD500" s="293"/>
      <c r="AE500" s="293"/>
    </row>
    <row r="501" spans="15:31">
      <c r="O501" s="293"/>
      <c r="P501" s="293"/>
      <c r="Q501" s="293"/>
      <c r="R501" s="293"/>
      <c r="S501" s="293"/>
      <c r="T501" s="293"/>
      <c r="U501" s="293"/>
      <c r="V501" s="293"/>
      <c r="W501" s="293"/>
      <c r="X501" s="293"/>
      <c r="Y501" s="293"/>
      <c r="Z501" s="293"/>
      <c r="AA501" s="293"/>
      <c r="AB501" s="293"/>
      <c r="AC501" s="293"/>
      <c r="AD501" s="293"/>
      <c r="AE501" s="293"/>
    </row>
    <row r="502" spans="15:31">
      <c r="O502" s="293"/>
      <c r="P502" s="293"/>
      <c r="Q502" s="293"/>
      <c r="R502" s="293"/>
      <c r="S502" s="293"/>
      <c r="T502" s="293"/>
      <c r="U502" s="293"/>
      <c r="V502" s="293"/>
      <c r="W502" s="293"/>
      <c r="X502" s="293"/>
      <c r="Y502" s="293"/>
      <c r="Z502" s="293"/>
      <c r="AA502" s="293"/>
      <c r="AB502" s="293"/>
      <c r="AC502" s="293"/>
      <c r="AD502" s="293"/>
      <c r="AE502" s="293"/>
    </row>
    <row r="503" spans="15:31">
      <c r="O503" s="293"/>
      <c r="P503" s="293"/>
      <c r="Q503" s="293"/>
      <c r="R503" s="293"/>
      <c r="S503" s="293"/>
      <c r="T503" s="293"/>
      <c r="U503" s="293"/>
      <c r="V503" s="293"/>
      <c r="W503" s="293"/>
      <c r="X503" s="293"/>
      <c r="Y503" s="293"/>
      <c r="Z503" s="293"/>
      <c r="AA503" s="293"/>
      <c r="AB503" s="293"/>
      <c r="AC503" s="293"/>
      <c r="AD503" s="293"/>
      <c r="AE503" s="293"/>
    </row>
    <row r="504" spans="15:31">
      <c r="O504" s="293"/>
      <c r="P504" s="293"/>
      <c r="Q504" s="293"/>
      <c r="R504" s="293"/>
      <c r="S504" s="293"/>
      <c r="T504" s="293"/>
      <c r="U504" s="293"/>
      <c r="V504" s="293"/>
      <c r="W504" s="293"/>
      <c r="X504" s="293"/>
      <c r="Y504" s="293"/>
      <c r="Z504" s="293"/>
      <c r="AA504" s="293"/>
      <c r="AB504" s="293"/>
      <c r="AC504" s="293"/>
      <c r="AD504" s="293"/>
      <c r="AE504" s="293"/>
    </row>
    <row r="505" spans="15:31">
      <c r="O505" s="293"/>
      <c r="P505" s="293"/>
      <c r="Q505" s="293"/>
      <c r="R505" s="293"/>
      <c r="S505" s="293"/>
      <c r="T505" s="293"/>
      <c r="U505" s="293"/>
      <c r="V505" s="293"/>
      <c r="W505" s="293"/>
      <c r="X505" s="293"/>
      <c r="Y505" s="293"/>
      <c r="Z505" s="293"/>
      <c r="AA505" s="293"/>
      <c r="AB505" s="293"/>
      <c r="AC505" s="293"/>
      <c r="AD505" s="293"/>
      <c r="AE505" s="293"/>
    </row>
    <row r="506" spans="15:31">
      <c r="O506" s="293"/>
      <c r="P506" s="293"/>
      <c r="Q506" s="293"/>
      <c r="R506" s="293"/>
      <c r="S506" s="293"/>
      <c r="T506" s="293"/>
      <c r="U506" s="293"/>
      <c r="V506" s="293"/>
      <c r="W506" s="293"/>
      <c r="X506" s="293"/>
      <c r="Y506" s="293"/>
      <c r="Z506" s="293"/>
      <c r="AA506" s="293"/>
      <c r="AB506" s="293"/>
      <c r="AC506" s="293"/>
      <c r="AD506" s="293"/>
      <c r="AE506" s="293"/>
    </row>
    <row r="507" spans="15:31">
      <c r="O507" s="293"/>
      <c r="P507" s="293"/>
      <c r="Q507" s="293"/>
      <c r="R507" s="293"/>
      <c r="S507" s="293"/>
      <c r="T507" s="293"/>
      <c r="U507" s="293"/>
      <c r="V507" s="293"/>
      <c r="W507" s="293"/>
      <c r="X507" s="293"/>
      <c r="Y507" s="293"/>
      <c r="Z507" s="293"/>
      <c r="AA507" s="293"/>
      <c r="AB507" s="293"/>
      <c r="AC507" s="293"/>
      <c r="AD507" s="293"/>
      <c r="AE507" s="293"/>
    </row>
    <row r="508" spans="15:31">
      <c r="O508" s="293"/>
      <c r="P508" s="293"/>
      <c r="Q508" s="293"/>
      <c r="R508" s="293"/>
      <c r="S508" s="293"/>
      <c r="T508" s="293"/>
      <c r="U508" s="293"/>
      <c r="V508" s="293"/>
      <c r="W508" s="293"/>
      <c r="X508" s="293"/>
      <c r="Y508" s="293"/>
      <c r="Z508" s="293"/>
      <c r="AA508" s="293"/>
      <c r="AB508" s="293"/>
      <c r="AC508" s="293"/>
      <c r="AD508" s="293"/>
      <c r="AE508" s="293"/>
    </row>
    <row r="509" spans="15:31">
      <c r="O509" s="293"/>
      <c r="P509" s="293"/>
      <c r="Q509" s="293"/>
      <c r="R509" s="293"/>
      <c r="S509" s="293"/>
      <c r="T509" s="293"/>
      <c r="U509" s="293"/>
      <c r="V509" s="293"/>
      <c r="W509" s="293"/>
      <c r="X509" s="293"/>
      <c r="Y509" s="293"/>
      <c r="Z509" s="293"/>
      <c r="AA509" s="293"/>
      <c r="AB509" s="293"/>
      <c r="AC509" s="293"/>
      <c r="AD509" s="293"/>
      <c r="AE509" s="293"/>
    </row>
    <row r="510" spans="15:31">
      <c r="O510" s="293"/>
      <c r="P510" s="293"/>
      <c r="Q510" s="293"/>
      <c r="R510" s="293"/>
      <c r="S510" s="293"/>
      <c r="T510" s="293"/>
      <c r="U510" s="293"/>
      <c r="V510" s="293"/>
      <c r="W510" s="293"/>
      <c r="X510" s="293"/>
      <c r="Y510" s="293"/>
      <c r="Z510" s="293"/>
      <c r="AA510" s="293"/>
      <c r="AB510" s="293"/>
      <c r="AC510" s="293"/>
      <c r="AD510" s="293"/>
      <c r="AE510" s="293"/>
    </row>
    <row r="511" spans="15:31">
      <c r="O511" s="293"/>
      <c r="P511" s="293"/>
      <c r="Q511" s="293"/>
      <c r="R511" s="293"/>
      <c r="S511" s="293"/>
      <c r="T511" s="293"/>
      <c r="U511" s="293"/>
      <c r="V511" s="293"/>
      <c r="W511" s="293"/>
      <c r="X511" s="293"/>
      <c r="Y511" s="293"/>
      <c r="Z511" s="293"/>
      <c r="AA511" s="293"/>
      <c r="AB511" s="293"/>
      <c r="AC511" s="293"/>
      <c r="AD511" s="293"/>
      <c r="AE511" s="293"/>
    </row>
    <row r="512" spans="15:31">
      <c r="O512" s="293"/>
      <c r="P512" s="293"/>
      <c r="Q512" s="293"/>
      <c r="R512" s="293"/>
      <c r="S512" s="293"/>
      <c r="T512" s="293"/>
      <c r="U512" s="293"/>
      <c r="V512" s="293"/>
      <c r="W512" s="293"/>
      <c r="X512" s="293"/>
      <c r="Y512" s="293"/>
      <c r="Z512" s="293"/>
      <c r="AA512" s="293"/>
      <c r="AB512" s="293"/>
      <c r="AC512" s="293"/>
      <c r="AD512" s="293"/>
      <c r="AE512" s="293"/>
    </row>
    <row r="513" spans="15:31">
      <c r="O513" s="293"/>
      <c r="P513" s="293"/>
      <c r="Q513" s="293"/>
      <c r="R513" s="293"/>
      <c r="S513" s="293"/>
      <c r="T513" s="293"/>
      <c r="U513" s="293"/>
      <c r="V513" s="293"/>
      <c r="W513" s="293"/>
      <c r="X513" s="293"/>
      <c r="Y513" s="293"/>
      <c r="Z513" s="293"/>
      <c r="AA513" s="293"/>
      <c r="AB513" s="293"/>
      <c r="AC513" s="293"/>
      <c r="AD513" s="293"/>
      <c r="AE513" s="293"/>
    </row>
    <row r="514" spans="15:31">
      <c r="O514" s="293"/>
      <c r="P514" s="293"/>
      <c r="Q514" s="293"/>
      <c r="R514" s="293"/>
      <c r="S514" s="293"/>
      <c r="T514" s="293"/>
      <c r="U514" s="293"/>
      <c r="V514" s="293"/>
      <c r="W514" s="293"/>
      <c r="X514" s="293"/>
      <c r="Y514" s="293"/>
      <c r="Z514" s="293"/>
      <c r="AA514" s="293"/>
      <c r="AB514" s="293"/>
      <c r="AC514" s="293"/>
      <c r="AD514" s="293"/>
      <c r="AE514" s="293"/>
    </row>
    <row r="515" spans="15:31">
      <c r="O515" s="293"/>
      <c r="P515" s="293"/>
      <c r="Q515" s="293"/>
      <c r="R515" s="293"/>
      <c r="S515" s="293"/>
      <c r="T515" s="293"/>
      <c r="U515" s="293"/>
      <c r="V515" s="293"/>
      <c r="W515" s="293"/>
      <c r="X515" s="293"/>
      <c r="Y515" s="293"/>
      <c r="Z515" s="293"/>
      <c r="AA515" s="293"/>
      <c r="AB515" s="293"/>
      <c r="AC515" s="293"/>
      <c r="AD515" s="293"/>
      <c r="AE515" s="293"/>
    </row>
    <row r="516" spans="15:31">
      <c r="O516" s="293"/>
      <c r="P516" s="293"/>
      <c r="Q516" s="293"/>
      <c r="R516" s="293"/>
      <c r="S516" s="293"/>
      <c r="T516" s="293"/>
      <c r="U516" s="293"/>
      <c r="V516" s="293"/>
      <c r="W516" s="293"/>
      <c r="X516" s="293"/>
      <c r="Y516" s="293"/>
      <c r="Z516" s="293"/>
      <c r="AA516" s="293"/>
      <c r="AB516" s="293"/>
      <c r="AC516" s="293"/>
      <c r="AD516" s="293"/>
      <c r="AE516" s="293"/>
    </row>
    <row r="517" spans="15:31">
      <c r="O517" s="293"/>
      <c r="P517" s="293"/>
      <c r="Q517" s="293"/>
      <c r="R517" s="293"/>
      <c r="S517" s="293"/>
      <c r="T517" s="293"/>
      <c r="U517" s="293"/>
      <c r="V517" s="293"/>
      <c r="W517" s="293"/>
      <c r="X517" s="293"/>
      <c r="Y517" s="293"/>
      <c r="Z517" s="293"/>
      <c r="AA517" s="293"/>
      <c r="AB517" s="293"/>
      <c r="AC517" s="293"/>
      <c r="AD517" s="293"/>
      <c r="AE517" s="293"/>
    </row>
    <row r="518" spans="15:31">
      <c r="O518" s="293"/>
      <c r="P518" s="293"/>
      <c r="Q518" s="293"/>
      <c r="R518" s="293"/>
      <c r="S518" s="293"/>
      <c r="T518" s="293"/>
      <c r="U518" s="293"/>
      <c r="V518" s="293"/>
      <c r="W518" s="293"/>
      <c r="X518" s="293"/>
      <c r="Y518" s="293"/>
      <c r="Z518" s="293"/>
      <c r="AA518" s="293"/>
      <c r="AB518" s="293"/>
      <c r="AC518" s="293"/>
      <c r="AD518" s="293"/>
      <c r="AE518" s="293"/>
    </row>
    <row r="519" spans="15:31">
      <c r="O519" s="293"/>
      <c r="P519" s="293"/>
      <c r="Q519" s="293"/>
      <c r="R519" s="293"/>
      <c r="S519" s="293"/>
      <c r="T519" s="293"/>
      <c r="U519" s="293"/>
      <c r="V519" s="293"/>
      <c r="W519" s="293"/>
      <c r="X519" s="293"/>
      <c r="Y519" s="293"/>
      <c r="Z519" s="293"/>
      <c r="AA519" s="293"/>
      <c r="AB519" s="293"/>
      <c r="AC519" s="293"/>
      <c r="AD519" s="293"/>
      <c r="AE519" s="293"/>
    </row>
    <row r="520" spans="15:31">
      <c r="O520" s="293"/>
      <c r="P520" s="293"/>
      <c r="Q520" s="293"/>
      <c r="R520" s="293"/>
      <c r="S520" s="293"/>
      <c r="T520" s="293"/>
      <c r="U520" s="293"/>
      <c r="V520" s="293"/>
      <c r="W520" s="293"/>
      <c r="X520" s="293"/>
      <c r="Y520" s="293"/>
      <c r="Z520" s="293"/>
      <c r="AA520" s="293"/>
      <c r="AB520" s="293"/>
      <c r="AC520" s="293"/>
      <c r="AD520" s="293"/>
      <c r="AE520" s="293"/>
    </row>
    <row r="521" spans="15:31">
      <c r="O521" s="293"/>
      <c r="P521" s="293"/>
      <c r="Q521" s="293"/>
      <c r="R521" s="293"/>
      <c r="S521" s="293"/>
      <c r="T521" s="293"/>
      <c r="U521" s="293"/>
      <c r="V521" s="293"/>
      <c r="W521" s="293"/>
      <c r="X521" s="293"/>
      <c r="Y521" s="293"/>
      <c r="Z521" s="293"/>
      <c r="AA521" s="293"/>
      <c r="AB521" s="293"/>
      <c r="AC521" s="293"/>
      <c r="AD521" s="293"/>
      <c r="AE521" s="293"/>
    </row>
    <row r="522" spans="15:31">
      <c r="O522" s="293"/>
      <c r="P522" s="293"/>
      <c r="Q522" s="293"/>
      <c r="R522" s="293"/>
      <c r="S522" s="293"/>
      <c r="T522" s="293"/>
      <c r="U522" s="293"/>
      <c r="V522" s="293"/>
      <c r="W522" s="293"/>
      <c r="X522" s="293"/>
      <c r="Y522" s="293"/>
      <c r="Z522" s="293"/>
      <c r="AA522" s="293"/>
      <c r="AB522" s="293"/>
      <c r="AC522" s="293"/>
      <c r="AD522" s="293"/>
      <c r="AE522" s="293"/>
    </row>
    <row r="523" spans="15:31">
      <c r="O523" s="293"/>
      <c r="P523" s="293"/>
      <c r="Q523" s="293"/>
      <c r="R523" s="293"/>
      <c r="S523" s="293"/>
      <c r="T523" s="293"/>
      <c r="U523" s="293"/>
      <c r="V523" s="293"/>
      <c r="W523" s="293"/>
      <c r="X523" s="293"/>
      <c r="Y523" s="293"/>
      <c r="Z523" s="293"/>
      <c r="AA523" s="293"/>
      <c r="AB523" s="293"/>
      <c r="AC523" s="293"/>
      <c r="AD523" s="293"/>
      <c r="AE523" s="293"/>
    </row>
    <row r="524" spans="15:31">
      <c r="O524" s="293"/>
      <c r="P524" s="293"/>
      <c r="Q524" s="293"/>
      <c r="R524" s="293"/>
      <c r="S524" s="293"/>
      <c r="T524" s="293"/>
      <c r="U524" s="293"/>
      <c r="V524" s="293"/>
      <c r="W524" s="293"/>
      <c r="X524" s="293"/>
      <c r="Y524" s="293"/>
      <c r="Z524" s="293"/>
      <c r="AA524" s="293"/>
      <c r="AB524" s="293"/>
      <c r="AC524" s="293"/>
      <c r="AD524" s="293"/>
      <c r="AE524" s="293"/>
    </row>
    <row r="525" spans="15:31">
      <c r="O525" s="293"/>
      <c r="P525" s="293"/>
      <c r="Q525" s="293"/>
      <c r="R525" s="293"/>
      <c r="S525" s="293"/>
      <c r="T525" s="293"/>
      <c r="U525" s="293"/>
      <c r="V525" s="293"/>
      <c r="W525" s="293"/>
      <c r="X525" s="293"/>
      <c r="Y525" s="293"/>
      <c r="Z525" s="293"/>
      <c r="AA525" s="293"/>
      <c r="AB525" s="293"/>
      <c r="AC525" s="293"/>
      <c r="AD525" s="293"/>
      <c r="AE525" s="293"/>
    </row>
    <row r="526" spans="15:31">
      <c r="O526" s="293"/>
      <c r="P526" s="293"/>
      <c r="Q526" s="293"/>
      <c r="R526" s="293"/>
      <c r="S526" s="293"/>
      <c r="T526" s="293"/>
      <c r="U526" s="293"/>
      <c r="V526" s="293"/>
      <c r="W526" s="293"/>
      <c r="X526" s="293"/>
      <c r="Y526" s="293"/>
      <c r="Z526" s="293"/>
      <c r="AA526" s="293"/>
      <c r="AB526" s="293"/>
      <c r="AC526" s="293"/>
      <c r="AD526" s="293"/>
      <c r="AE526" s="293"/>
    </row>
    <row r="527" spans="15:31">
      <c r="O527" s="293"/>
      <c r="P527" s="293"/>
      <c r="Q527" s="293"/>
      <c r="R527" s="293"/>
      <c r="S527" s="293"/>
      <c r="T527" s="293"/>
      <c r="U527" s="293"/>
      <c r="V527" s="293"/>
      <c r="W527" s="293"/>
      <c r="X527" s="293"/>
      <c r="Y527" s="293"/>
      <c r="Z527" s="293"/>
      <c r="AA527" s="293"/>
      <c r="AB527" s="293"/>
      <c r="AC527" s="293"/>
      <c r="AD527" s="293"/>
      <c r="AE527" s="293"/>
    </row>
    <row r="528" spans="15:31">
      <c r="O528" s="293"/>
      <c r="P528" s="293"/>
      <c r="Q528" s="293"/>
      <c r="R528" s="293"/>
      <c r="S528" s="293"/>
      <c r="T528" s="293"/>
      <c r="U528" s="293"/>
      <c r="V528" s="293"/>
      <c r="W528" s="293"/>
      <c r="X528" s="293"/>
      <c r="Y528" s="293"/>
      <c r="Z528" s="293"/>
      <c r="AA528" s="293"/>
      <c r="AB528" s="293"/>
      <c r="AC528" s="293"/>
      <c r="AD528" s="293"/>
      <c r="AE528" s="293"/>
    </row>
    <row r="529" spans="15:31">
      <c r="O529" s="293"/>
      <c r="P529" s="293"/>
      <c r="Q529" s="293"/>
      <c r="R529" s="293"/>
      <c r="S529" s="293"/>
      <c r="T529" s="293"/>
      <c r="U529" s="293"/>
      <c r="V529" s="293"/>
      <c r="W529" s="293"/>
      <c r="X529" s="293"/>
      <c r="Y529" s="293"/>
      <c r="Z529" s="293"/>
      <c r="AA529" s="293"/>
      <c r="AB529" s="293"/>
      <c r="AC529" s="293"/>
      <c r="AD529" s="293"/>
      <c r="AE529" s="293"/>
    </row>
    <row r="530" spans="15:31">
      <c r="O530" s="293"/>
      <c r="P530" s="293"/>
      <c r="Q530" s="293"/>
      <c r="R530" s="293"/>
      <c r="S530" s="293"/>
      <c r="T530" s="293"/>
      <c r="U530" s="293"/>
      <c r="V530" s="293"/>
      <c r="W530" s="293"/>
      <c r="X530" s="293"/>
      <c r="Y530" s="293"/>
      <c r="Z530" s="293"/>
      <c r="AA530" s="293"/>
      <c r="AB530" s="293"/>
      <c r="AC530" s="293"/>
      <c r="AD530" s="293"/>
      <c r="AE530" s="293"/>
    </row>
    <row r="531" spans="15:31">
      <c r="O531" s="293"/>
      <c r="P531" s="293"/>
      <c r="Q531" s="293"/>
      <c r="R531" s="293"/>
      <c r="S531" s="293"/>
      <c r="T531" s="293"/>
      <c r="U531" s="293"/>
      <c r="V531" s="293"/>
      <c r="W531" s="293"/>
      <c r="X531" s="293"/>
      <c r="Y531" s="293"/>
      <c r="Z531" s="293"/>
      <c r="AA531" s="293"/>
      <c r="AB531" s="293"/>
      <c r="AC531" s="293"/>
      <c r="AD531" s="293"/>
      <c r="AE531" s="293"/>
    </row>
    <row r="532" spans="15:31">
      <c r="O532" s="293"/>
      <c r="P532" s="293"/>
      <c r="Q532" s="293"/>
      <c r="R532" s="293"/>
      <c r="S532" s="293"/>
      <c r="T532" s="293"/>
      <c r="U532" s="293"/>
      <c r="V532" s="293"/>
      <c r="W532" s="293"/>
      <c r="X532" s="293"/>
      <c r="Y532" s="293"/>
      <c r="Z532" s="293"/>
      <c r="AA532" s="293"/>
      <c r="AB532" s="293"/>
      <c r="AC532" s="293"/>
      <c r="AD532" s="293"/>
      <c r="AE532" s="293"/>
    </row>
    <row r="533" spans="15:31">
      <c r="O533" s="293"/>
      <c r="P533" s="293"/>
      <c r="Q533" s="293"/>
      <c r="R533" s="293"/>
      <c r="S533" s="293"/>
      <c r="T533" s="293"/>
      <c r="U533" s="293"/>
      <c r="V533" s="293"/>
      <c r="W533" s="293"/>
      <c r="X533" s="293"/>
      <c r="Y533" s="293"/>
      <c r="Z533" s="293"/>
      <c r="AA533" s="293"/>
      <c r="AB533" s="293"/>
      <c r="AC533" s="293"/>
      <c r="AD533" s="293"/>
      <c r="AE533" s="293"/>
    </row>
    <row r="534" spans="15:31">
      <c r="O534" s="293"/>
      <c r="P534" s="293"/>
      <c r="Q534" s="293"/>
      <c r="R534" s="293"/>
      <c r="S534" s="293"/>
      <c r="T534" s="293"/>
      <c r="U534" s="293"/>
      <c r="V534" s="293"/>
      <c r="W534" s="293"/>
      <c r="X534" s="293"/>
      <c r="Y534" s="293"/>
      <c r="Z534" s="293"/>
      <c r="AA534" s="293"/>
      <c r="AB534" s="293"/>
      <c r="AC534" s="293"/>
      <c r="AD534" s="293"/>
      <c r="AE534" s="293"/>
    </row>
    <row r="535" spans="15:31">
      <c r="O535" s="293"/>
      <c r="P535" s="293"/>
      <c r="Q535" s="293"/>
      <c r="R535" s="293"/>
      <c r="S535" s="293"/>
      <c r="T535" s="293"/>
      <c r="U535" s="293"/>
      <c r="V535" s="293"/>
      <c r="W535" s="293"/>
      <c r="X535" s="293"/>
      <c r="Y535" s="293"/>
      <c r="Z535" s="293"/>
      <c r="AA535" s="293"/>
      <c r="AB535" s="293"/>
      <c r="AC535" s="293"/>
      <c r="AD535" s="293"/>
      <c r="AE535" s="293"/>
    </row>
    <row r="536" spans="15:31">
      <c r="O536" s="293"/>
      <c r="P536" s="293"/>
      <c r="Q536" s="293"/>
      <c r="R536" s="293"/>
      <c r="S536" s="293"/>
      <c r="T536" s="293"/>
      <c r="U536" s="293"/>
      <c r="V536" s="293"/>
      <c r="W536" s="293"/>
      <c r="X536" s="293"/>
      <c r="Y536" s="293"/>
      <c r="Z536" s="293"/>
      <c r="AA536" s="293"/>
      <c r="AB536" s="293"/>
      <c r="AC536" s="293"/>
      <c r="AD536" s="293"/>
      <c r="AE536" s="293"/>
    </row>
    <row r="537" spans="15:31">
      <c r="O537" s="293"/>
      <c r="P537" s="293"/>
      <c r="Q537" s="293"/>
      <c r="R537" s="293"/>
      <c r="S537" s="293"/>
      <c r="T537" s="293"/>
      <c r="U537" s="293"/>
      <c r="V537" s="293"/>
      <c r="W537" s="293"/>
      <c r="X537" s="293"/>
      <c r="Y537" s="293"/>
      <c r="Z537" s="293"/>
      <c r="AA537" s="293"/>
      <c r="AB537" s="293"/>
      <c r="AC537" s="293"/>
      <c r="AD537" s="293"/>
      <c r="AE537" s="293"/>
    </row>
    <row r="538" spans="15:31">
      <c r="O538" s="293"/>
      <c r="P538" s="293"/>
      <c r="Q538" s="293"/>
      <c r="R538" s="293"/>
      <c r="S538" s="293"/>
      <c r="T538" s="293"/>
      <c r="U538" s="293"/>
      <c r="V538" s="293"/>
      <c r="W538" s="293"/>
      <c r="X538" s="293"/>
      <c r="Y538" s="293"/>
      <c r="Z538" s="293"/>
      <c r="AA538" s="293"/>
      <c r="AB538" s="293"/>
      <c r="AC538" s="293"/>
      <c r="AD538" s="293"/>
      <c r="AE538" s="293"/>
    </row>
    <row r="539" spans="15:31">
      <c r="O539" s="293"/>
      <c r="P539" s="293"/>
      <c r="Q539" s="293"/>
      <c r="R539" s="293"/>
      <c r="S539" s="293"/>
      <c r="T539" s="293"/>
      <c r="U539" s="293"/>
      <c r="V539" s="293"/>
      <c r="W539" s="293"/>
      <c r="X539" s="293"/>
      <c r="Y539" s="293"/>
      <c r="Z539" s="293"/>
      <c r="AA539" s="293"/>
      <c r="AB539" s="293"/>
      <c r="AC539" s="293"/>
      <c r="AD539" s="293"/>
      <c r="AE539" s="293"/>
    </row>
    <row r="540" spans="15:31">
      <c r="O540" s="293"/>
      <c r="P540" s="293"/>
      <c r="Q540" s="293"/>
      <c r="R540" s="293"/>
      <c r="S540" s="293"/>
      <c r="T540" s="293"/>
      <c r="U540" s="293"/>
      <c r="V540" s="293"/>
      <c r="W540" s="293"/>
      <c r="X540" s="293"/>
      <c r="Y540" s="293"/>
      <c r="Z540" s="293"/>
      <c r="AA540" s="293"/>
      <c r="AB540" s="293"/>
      <c r="AC540" s="293"/>
      <c r="AD540" s="293"/>
      <c r="AE540" s="293"/>
    </row>
    <row r="541" spans="15:31">
      <c r="O541" s="293"/>
      <c r="P541" s="293"/>
      <c r="Q541" s="293"/>
      <c r="R541" s="293"/>
      <c r="S541" s="293"/>
      <c r="T541" s="293"/>
      <c r="U541" s="293"/>
      <c r="V541" s="293"/>
      <c r="W541" s="293"/>
      <c r="X541" s="293"/>
      <c r="Y541" s="293"/>
      <c r="Z541" s="293"/>
      <c r="AA541" s="293"/>
      <c r="AB541" s="293"/>
      <c r="AC541" s="293"/>
      <c r="AD541" s="293"/>
      <c r="AE541" s="293"/>
    </row>
    <row r="542" spans="15:31">
      <c r="O542" s="293"/>
      <c r="P542" s="293"/>
      <c r="Q542" s="293"/>
      <c r="R542" s="293"/>
      <c r="S542" s="293"/>
      <c r="T542" s="293"/>
      <c r="U542" s="293"/>
      <c r="V542" s="293"/>
      <c r="W542" s="293"/>
      <c r="X542" s="293"/>
      <c r="Y542" s="293"/>
      <c r="Z542" s="293"/>
      <c r="AA542" s="293"/>
      <c r="AB542" s="293"/>
      <c r="AC542" s="293"/>
      <c r="AD542" s="293"/>
      <c r="AE542" s="293"/>
    </row>
    <row r="543" spans="15:31">
      <c r="O543" s="293"/>
      <c r="P543" s="293"/>
      <c r="Q543" s="293"/>
      <c r="R543" s="293"/>
      <c r="S543" s="293"/>
      <c r="T543" s="293"/>
      <c r="U543" s="293"/>
      <c r="V543" s="293"/>
      <c r="W543" s="293"/>
      <c r="X543" s="293"/>
      <c r="Y543" s="293"/>
      <c r="Z543" s="293"/>
      <c r="AA543" s="293"/>
      <c r="AB543" s="293"/>
      <c r="AC543" s="293"/>
      <c r="AD543" s="293"/>
      <c r="AE543" s="293"/>
    </row>
    <row r="544" spans="15:31">
      <c r="O544" s="293"/>
      <c r="P544" s="293"/>
      <c r="Q544" s="293"/>
      <c r="R544" s="293"/>
      <c r="S544" s="293"/>
      <c r="T544" s="293"/>
      <c r="U544" s="293"/>
      <c r="V544" s="293"/>
      <c r="W544" s="293"/>
      <c r="X544" s="293"/>
      <c r="Y544" s="293"/>
      <c r="Z544" s="293"/>
      <c r="AA544" s="293"/>
      <c r="AB544" s="293"/>
      <c r="AC544" s="293"/>
      <c r="AD544" s="293"/>
      <c r="AE544" s="293"/>
    </row>
    <row r="545" spans="15:31">
      <c r="O545" s="293"/>
      <c r="P545" s="293"/>
      <c r="Q545" s="293"/>
      <c r="R545" s="293"/>
      <c r="S545" s="293"/>
      <c r="T545" s="293"/>
      <c r="U545" s="293"/>
      <c r="V545" s="293"/>
      <c r="W545" s="293"/>
      <c r="X545" s="293"/>
      <c r="Y545" s="293"/>
      <c r="Z545" s="293"/>
      <c r="AA545" s="293"/>
      <c r="AB545" s="293"/>
      <c r="AC545" s="293"/>
      <c r="AD545" s="293"/>
      <c r="AE545" s="293"/>
    </row>
    <row r="546" spans="15:31">
      <c r="O546" s="293"/>
      <c r="P546" s="293"/>
      <c r="Q546" s="293"/>
      <c r="R546" s="293"/>
      <c r="S546" s="293"/>
      <c r="T546" s="293"/>
      <c r="U546" s="293"/>
      <c r="V546" s="293"/>
      <c r="W546" s="293"/>
      <c r="X546" s="293"/>
      <c r="Y546" s="293"/>
      <c r="Z546" s="293"/>
      <c r="AA546" s="293"/>
      <c r="AB546" s="293"/>
      <c r="AC546" s="293"/>
      <c r="AD546" s="293"/>
      <c r="AE546" s="293"/>
    </row>
    <row r="547" spans="15:31">
      <c r="O547" s="293"/>
      <c r="P547" s="293"/>
      <c r="Q547" s="293"/>
      <c r="R547" s="293"/>
      <c r="S547" s="293"/>
      <c r="T547" s="293"/>
      <c r="U547" s="293"/>
      <c r="V547" s="293"/>
      <c r="W547" s="293"/>
      <c r="X547" s="293"/>
      <c r="Y547" s="293"/>
      <c r="Z547" s="293"/>
      <c r="AA547" s="293"/>
      <c r="AB547" s="293"/>
      <c r="AC547" s="293"/>
      <c r="AD547" s="293"/>
      <c r="AE547" s="293"/>
    </row>
    <row r="548" spans="15:31">
      <c r="O548" s="293"/>
      <c r="P548" s="293"/>
      <c r="Q548" s="293"/>
      <c r="R548" s="293"/>
      <c r="S548" s="293"/>
      <c r="T548" s="293"/>
      <c r="U548" s="293"/>
      <c r="V548" s="293"/>
      <c r="W548" s="293"/>
      <c r="X548" s="293"/>
      <c r="Y548" s="293"/>
      <c r="Z548" s="293"/>
      <c r="AA548" s="293"/>
      <c r="AB548" s="293"/>
      <c r="AC548" s="293"/>
      <c r="AD548" s="293"/>
      <c r="AE548" s="293"/>
    </row>
    <row r="549" spans="15:31">
      <c r="O549" s="293"/>
      <c r="P549" s="293"/>
      <c r="Q549" s="293"/>
      <c r="R549" s="293"/>
      <c r="S549" s="293"/>
      <c r="T549" s="293"/>
      <c r="U549" s="293"/>
      <c r="V549" s="293"/>
      <c r="W549" s="293"/>
      <c r="X549" s="293"/>
      <c r="Y549" s="293"/>
      <c r="Z549" s="293"/>
      <c r="AA549" s="293"/>
      <c r="AB549" s="293"/>
      <c r="AC549" s="293"/>
      <c r="AD549" s="293"/>
      <c r="AE549" s="293"/>
    </row>
    <row r="550" spans="15:31">
      <c r="O550" s="293"/>
      <c r="P550" s="293"/>
      <c r="Q550" s="293"/>
      <c r="R550" s="293"/>
      <c r="S550" s="293"/>
      <c r="T550" s="293"/>
      <c r="U550" s="293"/>
      <c r="V550" s="293"/>
      <c r="W550" s="293"/>
      <c r="X550" s="293"/>
      <c r="Y550" s="293"/>
      <c r="Z550" s="293"/>
      <c r="AA550" s="293"/>
      <c r="AB550" s="293"/>
      <c r="AC550" s="293"/>
      <c r="AD550" s="293"/>
      <c r="AE550" s="293"/>
    </row>
    <row r="551" spans="15:31">
      <c r="O551" s="293"/>
      <c r="P551" s="293"/>
      <c r="Q551" s="293"/>
      <c r="R551" s="293"/>
      <c r="S551" s="293"/>
      <c r="T551" s="293"/>
      <c r="U551" s="293"/>
      <c r="V551" s="293"/>
      <c r="W551" s="293"/>
      <c r="X551" s="293"/>
      <c r="Y551" s="293"/>
      <c r="Z551" s="293"/>
      <c r="AA551" s="293"/>
      <c r="AB551" s="293"/>
      <c r="AC551" s="293"/>
      <c r="AD551" s="293"/>
      <c r="AE551" s="293"/>
    </row>
    <row r="552" spans="15:31">
      <c r="O552" s="293"/>
      <c r="P552" s="293"/>
      <c r="Q552" s="293"/>
      <c r="R552" s="293"/>
      <c r="S552" s="293"/>
      <c r="T552" s="293"/>
      <c r="U552" s="293"/>
      <c r="V552" s="293"/>
      <c r="W552" s="293"/>
      <c r="X552" s="293"/>
      <c r="Y552" s="293"/>
      <c r="Z552" s="293"/>
      <c r="AA552" s="293"/>
      <c r="AB552" s="293"/>
      <c r="AC552" s="293"/>
      <c r="AD552" s="293"/>
      <c r="AE552" s="293"/>
    </row>
    <row r="553" spans="15:31">
      <c r="O553" s="293"/>
      <c r="P553" s="293"/>
      <c r="Q553" s="293"/>
      <c r="R553" s="293"/>
      <c r="S553" s="293"/>
      <c r="T553" s="293"/>
      <c r="U553" s="293"/>
      <c r="V553" s="293"/>
      <c r="W553" s="293"/>
      <c r="X553" s="293"/>
      <c r="Y553" s="293"/>
      <c r="Z553" s="293"/>
      <c r="AA553" s="293"/>
      <c r="AB553" s="293"/>
      <c r="AC553" s="293"/>
      <c r="AD553" s="293"/>
      <c r="AE553" s="293"/>
    </row>
    <row r="554" spans="15:31">
      <c r="O554" s="293"/>
      <c r="P554" s="293"/>
      <c r="Q554" s="293"/>
      <c r="R554" s="293"/>
      <c r="S554" s="293"/>
      <c r="T554" s="293"/>
      <c r="U554" s="293"/>
      <c r="V554" s="293"/>
      <c r="W554" s="293"/>
      <c r="X554" s="293"/>
      <c r="Y554" s="293"/>
      <c r="Z554" s="293"/>
      <c r="AA554" s="293"/>
      <c r="AB554" s="293"/>
      <c r="AC554" s="293"/>
      <c r="AD554" s="293"/>
      <c r="AE554" s="293"/>
    </row>
    <row r="555" spans="15:31">
      <c r="O555" s="293"/>
      <c r="P555" s="293"/>
      <c r="Q555" s="293"/>
      <c r="R555" s="293"/>
      <c r="S555" s="293"/>
      <c r="T555" s="293"/>
      <c r="U555" s="293"/>
      <c r="V555" s="293"/>
      <c r="W555" s="293"/>
      <c r="X555" s="293"/>
      <c r="Y555" s="293"/>
      <c r="Z555" s="293"/>
      <c r="AA555" s="293"/>
      <c r="AB555" s="293"/>
      <c r="AC555" s="293"/>
      <c r="AD555" s="293"/>
      <c r="AE555" s="293"/>
    </row>
    <row r="556" spans="15:31">
      <c r="O556" s="293"/>
      <c r="P556" s="293"/>
      <c r="Q556" s="293"/>
      <c r="R556" s="293"/>
      <c r="S556" s="293"/>
      <c r="T556" s="293"/>
      <c r="U556" s="293"/>
      <c r="V556" s="293"/>
      <c r="W556" s="293"/>
      <c r="X556" s="293"/>
      <c r="Y556" s="293"/>
      <c r="Z556" s="293"/>
      <c r="AA556" s="293"/>
      <c r="AB556" s="293"/>
      <c r="AC556" s="293"/>
      <c r="AD556" s="293"/>
      <c r="AE556" s="293"/>
    </row>
    <row r="557" spans="15:31">
      <c r="O557" s="293"/>
      <c r="P557" s="293"/>
      <c r="Q557" s="293"/>
      <c r="R557" s="293"/>
      <c r="S557" s="293"/>
      <c r="T557" s="293"/>
      <c r="U557" s="293"/>
      <c r="V557" s="293"/>
      <c r="W557" s="293"/>
      <c r="X557" s="293"/>
      <c r="Y557" s="293"/>
      <c r="Z557" s="293"/>
      <c r="AA557" s="293"/>
      <c r="AB557" s="293"/>
      <c r="AC557" s="293"/>
      <c r="AD557" s="293"/>
      <c r="AE557" s="293"/>
    </row>
    <row r="558" spans="15:31">
      <c r="O558" s="293"/>
      <c r="P558" s="293"/>
      <c r="Q558" s="293"/>
      <c r="R558" s="293"/>
      <c r="S558" s="293"/>
      <c r="T558" s="293"/>
      <c r="U558" s="293"/>
      <c r="V558" s="293"/>
      <c r="W558" s="293"/>
      <c r="X558" s="293"/>
      <c r="Y558" s="293"/>
      <c r="Z558" s="293"/>
      <c r="AA558" s="293"/>
      <c r="AB558" s="293"/>
      <c r="AC558" s="293"/>
      <c r="AD558" s="293"/>
      <c r="AE558" s="293"/>
    </row>
    <row r="559" spans="15:31">
      <c r="O559" s="293"/>
      <c r="P559" s="293"/>
      <c r="Q559" s="293"/>
      <c r="R559" s="293"/>
      <c r="S559" s="293"/>
      <c r="T559" s="293"/>
      <c r="U559" s="293"/>
      <c r="V559" s="293"/>
      <c r="W559" s="293"/>
      <c r="X559" s="293"/>
      <c r="Y559" s="293"/>
      <c r="Z559" s="293"/>
      <c r="AA559" s="293"/>
      <c r="AB559" s="293"/>
      <c r="AC559" s="293"/>
      <c r="AD559" s="293"/>
      <c r="AE559" s="293"/>
    </row>
    <row r="560" spans="15:31">
      <c r="O560" s="293"/>
      <c r="P560" s="293"/>
      <c r="Q560" s="293"/>
      <c r="R560" s="293"/>
      <c r="S560" s="293"/>
      <c r="T560" s="293"/>
      <c r="U560" s="293"/>
      <c r="V560" s="293"/>
      <c r="W560" s="293"/>
      <c r="X560" s="293"/>
      <c r="Y560" s="293"/>
      <c r="Z560" s="293"/>
      <c r="AA560" s="293"/>
      <c r="AB560" s="293"/>
      <c r="AC560" s="293"/>
      <c r="AD560" s="293"/>
      <c r="AE560" s="293"/>
    </row>
    <row r="561" spans="15:31">
      <c r="O561" s="293"/>
      <c r="P561" s="293"/>
      <c r="Q561" s="293"/>
      <c r="R561" s="293"/>
      <c r="S561" s="293"/>
      <c r="T561" s="293"/>
      <c r="U561" s="293"/>
      <c r="V561" s="293"/>
      <c r="W561" s="293"/>
      <c r="X561" s="293"/>
      <c r="Y561" s="293"/>
      <c r="Z561" s="293"/>
      <c r="AA561" s="293"/>
      <c r="AB561" s="293"/>
      <c r="AC561" s="293"/>
      <c r="AD561" s="293"/>
      <c r="AE561" s="293"/>
    </row>
    <row r="562" spans="15:31">
      <c r="O562" s="293"/>
      <c r="P562" s="293"/>
      <c r="Q562" s="293"/>
      <c r="R562" s="293"/>
      <c r="S562" s="293"/>
      <c r="T562" s="293"/>
      <c r="U562" s="293"/>
      <c r="V562" s="293"/>
      <c r="W562" s="293"/>
      <c r="X562" s="293"/>
      <c r="Y562" s="293"/>
      <c r="Z562" s="293"/>
      <c r="AA562" s="293"/>
      <c r="AB562" s="293"/>
      <c r="AC562" s="293"/>
      <c r="AD562" s="293"/>
      <c r="AE562" s="293"/>
    </row>
    <row r="563" spans="15:31">
      <c r="O563" s="293"/>
      <c r="P563" s="293"/>
      <c r="Q563" s="293"/>
      <c r="R563" s="293"/>
      <c r="S563" s="293"/>
      <c r="T563" s="293"/>
      <c r="U563" s="293"/>
      <c r="V563" s="293"/>
      <c r="W563" s="293"/>
      <c r="X563" s="293"/>
      <c r="Y563" s="293"/>
      <c r="Z563" s="293"/>
      <c r="AA563" s="293"/>
      <c r="AB563" s="293"/>
      <c r="AC563" s="293"/>
      <c r="AD563" s="293"/>
      <c r="AE563" s="293"/>
    </row>
    <row r="564" spans="15:31">
      <c r="O564" s="293"/>
      <c r="P564" s="293"/>
      <c r="Q564" s="293"/>
      <c r="R564" s="293"/>
      <c r="S564" s="293"/>
      <c r="T564" s="293"/>
      <c r="U564" s="293"/>
      <c r="V564" s="293"/>
      <c r="W564" s="293"/>
      <c r="X564" s="293"/>
      <c r="Y564" s="293"/>
      <c r="Z564" s="293"/>
      <c r="AA564" s="293"/>
      <c r="AB564" s="293"/>
      <c r="AC564" s="293"/>
      <c r="AD564" s="293"/>
      <c r="AE564" s="293"/>
    </row>
    <row r="565" spans="15:31">
      <c r="O565" s="293"/>
      <c r="P565" s="293"/>
      <c r="Q565" s="293"/>
      <c r="R565" s="293"/>
      <c r="S565" s="293"/>
      <c r="T565" s="293"/>
      <c r="U565" s="293"/>
      <c r="V565" s="293"/>
      <c r="W565" s="293"/>
      <c r="X565" s="293"/>
      <c r="Y565" s="293"/>
      <c r="Z565" s="293"/>
      <c r="AA565" s="293"/>
      <c r="AB565" s="293"/>
      <c r="AC565" s="293"/>
      <c r="AD565" s="293"/>
      <c r="AE565" s="293"/>
    </row>
    <row r="566" spans="15:31">
      <c r="O566" s="293"/>
      <c r="P566" s="293"/>
      <c r="Q566" s="293"/>
      <c r="R566" s="293"/>
      <c r="S566" s="293"/>
      <c r="T566" s="293"/>
      <c r="U566" s="293"/>
      <c r="V566" s="293"/>
      <c r="W566" s="293"/>
      <c r="X566" s="293"/>
      <c r="Y566" s="293"/>
      <c r="Z566" s="293"/>
      <c r="AA566" s="293"/>
      <c r="AB566" s="293"/>
      <c r="AC566" s="293"/>
      <c r="AD566" s="293"/>
      <c r="AE566" s="293"/>
    </row>
    <row r="567" spans="15:31">
      <c r="O567" s="293"/>
      <c r="P567" s="293"/>
      <c r="Q567" s="293"/>
      <c r="R567" s="293"/>
      <c r="S567" s="293"/>
      <c r="T567" s="293"/>
      <c r="U567" s="293"/>
      <c r="V567" s="293"/>
      <c r="W567" s="293"/>
      <c r="X567" s="293"/>
      <c r="Y567" s="293"/>
      <c r="Z567" s="293"/>
      <c r="AA567" s="293"/>
      <c r="AB567" s="293"/>
      <c r="AC567" s="293"/>
      <c r="AD567" s="293"/>
      <c r="AE567" s="293"/>
    </row>
    <row r="568" spans="15:31">
      <c r="O568" s="293"/>
      <c r="P568" s="293"/>
      <c r="Q568" s="293"/>
      <c r="R568" s="293"/>
      <c r="S568" s="293"/>
      <c r="T568" s="293"/>
      <c r="U568" s="293"/>
      <c r="V568" s="293"/>
      <c r="W568" s="293"/>
      <c r="X568" s="293"/>
      <c r="Y568" s="293"/>
      <c r="Z568" s="293"/>
      <c r="AA568" s="293"/>
      <c r="AB568" s="293"/>
      <c r="AC568" s="293"/>
      <c r="AD568" s="293"/>
      <c r="AE568" s="293"/>
    </row>
    <row r="569" spans="15:31">
      <c r="O569" s="293"/>
      <c r="P569" s="293"/>
      <c r="Q569" s="293"/>
      <c r="R569" s="293"/>
      <c r="S569" s="293"/>
      <c r="T569" s="293"/>
      <c r="U569" s="293"/>
      <c r="V569" s="293"/>
      <c r="W569" s="293"/>
      <c r="X569" s="293"/>
      <c r="Y569" s="293"/>
      <c r="Z569" s="293"/>
      <c r="AA569" s="293"/>
      <c r="AB569" s="293"/>
      <c r="AC569" s="293"/>
      <c r="AD569" s="293"/>
      <c r="AE569" s="293"/>
    </row>
    <row r="570" spans="15:31">
      <c r="O570" s="293"/>
      <c r="P570" s="293"/>
      <c r="Q570" s="293"/>
      <c r="R570" s="293"/>
      <c r="S570" s="293"/>
      <c r="T570" s="293"/>
      <c r="U570" s="293"/>
      <c r="V570" s="293"/>
      <c r="W570" s="293"/>
      <c r="X570" s="293"/>
      <c r="Y570" s="293"/>
      <c r="Z570" s="293"/>
      <c r="AA570" s="293"/>
      <c r="AB570" s="293"/>
      <c r="AC570" s="293"/>
      <c r="AD570" s="293"/>
      <c r="AE570" s="293"/>
    </row>
    <row r="571" spans="15:31">
      <c r="O571" s="293"/>
      <c r="P571" s="293"/>
      <c r="Q571" s="293"/>
      <c r="R571" s="293"/>
      <c r="S571" s="293"/>
      <c r="T571" s="293"/>
      <c r="U571" s="293"/>
      <c r="V571" s="293"/>
      <c r="W571" s="293"/>
      <c r="X571" s="293"/>
      <c r="Y571" s="293"/>
      <c r="Z571" s="293"/>
      <c r="AA571" s="293"/>
      <c r="AB571" s="293"/>
      <c r="AC571" s="293"/>
      <c r="AD571" s="293"/>
      <c r="AE571" s="293"/>
    </row>
    <row r="572" spans="15:31">
      <c r="O572" s="293"/>
      <c r="P572" s="293"/>
      <c r="Q572" s="293"/>
      <c r="R572" s="293"/>
      <c r="S572" s="293"/>
      <c r="T572" s="293"/>
      <c r="U572" s="293"/>
      <c r="V572" s="293"/>
      <c r="W572" s="293"/>
      <c r="X572" s="293"/>
      <c r="Y572" s="293"/>
      <c r="Z572" s="293"/>
      <c r="AA572" s="293"/>
      <c r="AB572" s="293"/>
      <c r="AC572" s="293"/>
      <c r="AD572" s="293"/>
      <c r="AE572" s="293"/>
    </row>
    <row r="573" spans="15:31">
      <c r="O573" s="293"/>
      <c r="P573" s="293"/>
      <c r="Q573" s="293"/>
      <c r="R573" s="293"/>
      <c r="S573" s="293"/>
      <c r="T573" s="293"/>
      <c r="U573" s="293"/>
      <c r="V573" s="293"/>
      <c r="W573" s="293"/>
      <c r="X573" s="293"/>
      <c r="Y573" s="293"/>
      <c r="Z573" s="293"/>
      <c r="AA573" s="293"/>
      <c r="AB573" s="293"/>
      <c r="AC573" s="293"/>
      <c r="AD573" s="293"/>
      <c r="AE573" s="293"/>
    </row>
    <row r="574" spans="15:31">
      <c r="O574" s="293"/>
      <c r="P574" s="293"/>
      <c r="Q574" s="293"/>
      <c r="R574" s="293"/>
      <c r="S574" s="293"/>
      <c r="T574" s="293"/>
      <c r="U574" s="293"/>
      <c r="V574" s="293"/>
      <c r="W574" s="293"/>
      <c r="X574" s="293"/>
      <c r="Y574" s="293"/>
      <c r="Z574" s="293"/>
      <c r="AA574" s="293"/>
      <c r="AB574" s="293"/>
      <c r="AC574" s="293"/>
      <c r="AD574" s="293"/>
      <c r="AE574" s="293"/>
    </row>
    <row r="575" spans="15:31">
      <c r="O575" s="293"/>
      <c r="P575" s="293"/>
      <c r="Q575" s="293"/>
      <c r="R575" s="293"/>
      <c r="S575" s="293"/>
      <c r="T575" s="293"/>
      <c r="U575" s="293"/>
      <c r="V575" s="293"/>
      <c r="W575" s="293"/>
      <c r="X575" s="293"/>
      <c r="Y575" s="293"/>
      <c r="Z575" s="293"/>
      <c r="AA575" s="293"/>
      <c r="AB575" s="293"/>
      <c r="AC575" s="293"/>
      <c r="AD575" s="293"/>
      <c r="AE575" s="293"/>
    </row>
    <row r="576" spans="15:31">
      <c r="O576" s="293"/>
      <c r="P576" s="293"/>
      <c r="Q576" s="293"/>
      <c r="R576" s="293"/>
      <c r="S576" s="293"/>
      <c r="T576" s="293"/>
      <c r="U576" s="293"/>
      <c r="V576" s="293"/>
      <c r="W576" s="293"/>
      <c r="X576" s="293"/>
      <c r="Y576" s="293"/>
      <c r="Z576" s="293"/>
      <c r="AA576" s="293"/>
      <c r="AB576" s="293"/>
      <c r="AC576" s="293"/>
      <c r="AD576" s="293"/>
      <c r="AE576" s="293"/>
    </row>
    <row r="577" spans="15:31">
      <c r="O577" s="293"/>
      <c r="P577" s="293"/>
      <c r="Q577" s="293"/>
      <c r="R577" s="293"/>
      <c r="S577" s="293"/>
      <c r="T577" s="293"/>
      <c r="U577" s="293"/>
      <c r="V577" s="293"/>
      <c r="W577" s="293"/>
      <c r="X577" s="293"/>
      <c r="Y577" s="293"/>
      <c r="Z577" s="293"/>
      <c r="AA577" s="293"/>
      <c r="AB577" s="293"/>
      <c r="AC577" s="293"/>
      <c r="AD577" s="293"/>
      <c r="AE577" s="293"/>
    </row>
    <row r="578" spans="15:31">
      <c r="O578" s="293"/>
      <c r="P578" s="293"/>
      <c r="Q578" s="293"/>
      <c r="R578" s="293"/>
      <c r="S578" s="293"/>
      <c r="T578" s="293"/>
      <c r="U578" s="293"/>
      <c r="V578" s="293"/>
      <c r="W578" s="293"/>
      <c r="X578" s="293"/>
      <c r="Y578" s="293"/>
      <c r="Z578" s="293"/>
      <c r="AA578" s="293"/>
      <c r="AB578" s="293"/>
      <c r="AC578" s="293"/>
      <c r="AD578" s="293"/>
      <c r="AE578" s="293"/>
    </row>
    <row r="579" spans="15:31">
      <c r="O579" s="293"/>
      <c r="P579" s="293"/>
      <c r="Q579" s="293"/>
      <c r="R579" s="293"/>
      <c r="S579" s="293"/>
      <c r="T579" s="293"/>
      <c r="U579" s="293"/>
      <c r="V579" s="293"/>
      <c r="W579" s="293"/>
      <c r="X579" s="293"/>
      <c r="Y579" s="293"/>
      <c r="Z579" s="293"/>
      <c r="AA579" s="293"/>
      <c r="AB579" s="293"/>
      <c r="AC579" s="293"/>
      <c r="AD579" s="293"/>
      <c r="AE579" s="293"/>
    </row>
    <row r="580" spans="15:31">
      <c r="O580" s="293"/>
      <c r="P580" s="293"/>
      <c r="Q580" s="293"/>
      <c r="R580" s="293"/>
      <c r="S580" s="293"/>
      <c r="T580" s="293"/>
      <c r="U580" s="293"/>
      <c r="V580" s="293"/>
      <c r="W580" s="293"/>
      <c r="X580" s="293"/>
      <c r="Y580" s="293"/>
      <c r="Z580" s="293"/>
      <c r="AA580" s="293"/>
      <c r="AB580" s="293"/>
      <c r="AC580" s="293"/>
      <c r="AD580" s="293"/>
      <c r="AE580" s="293"/>
    </row>
    <row r="581" spans="15:31">
      <c r="O581" s="293"/>
      <c r="P581" s="293"/>
      <c r="Q581" s="293"/>
      <c r="R581" s="293"/>
      <c r="S581" s="293"/>
      <c r="T581" s="293"/>
      <c r="U581" s="293"/>
      <c r="V581" s="293"/>
      <c r="W581" s="293"/>
      <c r="X581" s="293"/>
      <c r="Y581" s="293"/>
      <c r="Z581" s="293"/>
      <c r="AA581" s="293"/>
      <c r="AB581" s="293"/>
      <c r="AC581" s="293"/>
      <c r="AD581" s="293"/>
      <c r="AE581" s="293"/>
    </row>
    <row r="582" spans="15:31">
      <c r="O582" s="293"/>
      <c r="P582" s="293"/>
      <c r="Q582" s="293"/>
      <c r="R582" s="293"/>
      <c r="S582" s="293"/>
      <c r="T582" s="293"/>
      <c r="U582" s="293"/>
      <c r="V582" s="293"/>
      <c r="W582" s="293"/>
      <c r="X582" s="293"/>
      <c r="Y582" s="293"/>
      <c r="Z582" s="293"/>
      <c r="AA582" s="293"/>
      <c r="AB582" s="293"/>
      <c r="AC582" s="293"/>
      <c r="AD582" s="293"/>
      <c r="AE582" s="293"/>
    </row>
    <row r="583" spans="15:31">
      <c r="O583" s="293"/>
      <c r="P583" s="293"/>
      <c r="Q583" s="293"/>
      <c r="R583" s="293"/>
      <c r="S583" s="293"/>
      <c r="T583" s="293"/>
      <c r="U583" s="293"/>
      <c r="V583" s="293"/>
      <c r="W583" s="293"/>
      <c r="X583" s="293"/>
      <c r="Y583" s="293"/>
      <c r="Z583" s="293"/>
      <c r="AA583" s="293"/>
      <c r="AB583" s="293"/>
      <c r="AC583" s="293"/>
      <c r="AD583" s="293"/>
      <c r="AE583" s="293"/>
    </row>
    <row r="584" spans="15:31">
      <c r="O584" s="293"/>
      <c r="P584" s="293"/>
      <c r="Q584" s="293"/>
      <c r="R584" s="293"/>
      <c r="S584" s="293"/>
      <c r="T584" s="293"/>
      <c r="U584" s="293"/>
      <c r="V584" s="293"/>
      <c r="W584" s="293"/>
      <c r="X584" s="293"/>
      <c r="Y584" s="293"/>
      <c r="Z584" s="293"/>
      <c r="AA584" s="293"/>
      <c r="AB584" s="293"/>
      <c r="AC584" s="293"/>
      <c r="AD584" s="293"/>
      <c r="AE584" s="293"/>
    </row>
    <row r="585" spans="15:31">
      <c r="O585" s="293"/>
      <c r="P585" s="293"/>
      <c r="Q585" s="293"/>
      <c r="R585" s="293"/>
      <c r="S585" s="293"/>
      <c r="T585" s="293"/>
      <c r="U585" s="293"/>
      <c r="V585" s="293"/>
      <c r="W585" s="293"/>
      <c r="X585" s="293"/>
      <c r="Y585" s="293"/>
      <c r="Z585" s="293"/>
      <c r="AA585" s="293"/>
      <c r="AB585" s="293"/>
      <c r="AC585" s="293"/>
      <c r="AD585" s="293"/>
      <c r="AE585" s="293"/>
    </row>
    <row r="586" spans="15:31">
      <c r="O586" s="293"/>
      <c r="P586" s="293"/>
      <c r="Q586" s="293"/>
      <c r="R586" s="293"/>
      <c r="S586" s="293"/>
      <c r="T586" s="293"/>
      <c r="U586" s="293"/>
      <c r="V586" s="293"/>
      <c r="W586" s="293"/>
      <c r="X586" s="293"/>
      <c r="Y586" s="293"/>
      <c r="Z586" s="293"/>
      <c r="AA586" s="293"/>
      <c r="AB586" s="293"/>
      <c r="AC586" s="293"/>
      <c r="AD586" s="293"/>
      <c r="AE586" s="293"/>
    </row>
    <row r="587" spans="15:31">
      <c r="O587" s="293"/>
      <c r="P587" s="293"/>
      <c r="Q587" s="293"/>
      <c r="R587" s="293"/>
      <c r="S587" s="293"/>
      <c r="T587" s="293"/>
      <c r="U587" s="293"/>
      <c r="V587" s="293"/>
      <c r="W587" s="293"/>
      <c r="X587" s="293"/>
      <c r="Y587" s="293"/>
      <c r="Z587" s="293"/>
      <c r="AA587" s="293"/>
      <c r="AB587" s="293"/>
      <c r="AC587" s="293"/>
      <c r="AD587" s="293"/>
      <c r="AE587" s="293"/>
    </row>
    <row r="588" spans="15:31">
      <c r="O588" s="293"/>
      <c r="P588" s="293"/>
      <c r="Q588" s="293"/>
      <c r="R588" s="293"/>
      <c r="S588" s="293"/>
      <c r="T588" s="293"/>
      <c r="U588" s="293"/>
      <c r="V588" s="293"/>
      <c r="W588" s="293"/>
      <c r="X588" s="293"/>
      <c r="Y588" s="293"/>
      <c r="Z588" s="293"/>
      <c r="AA588" s="293"/>
      <c r="AB588" s="293"/>
      <c r="AC588" s="293"/>
      <c r="AD588" s="293"/>
      <c r="AE588" s="293"/>
    </row>
    <row r="589" spans="15:31">
      <c r="O589" s="293"/>
      <c r="P589" s="293"/>
      <c r="Q589" s="293"/>
      <c r="R589" s="293"/>
      <c r="S589" s="293"/>
      <c r="T589" s="293"/>
      <c r="U589" s="293"/>
      <c r="V589" s="293"/>
      <c r="W589" s="293"/>
      <c r="X589" s="293"/>
      <c r="Y589" s="293"/>
      <c r="Z589" s="293"/>
      <c r="AA589" s="293"/>
      <c r="AB589" s="293"/>
      <c r="AC589" s="293"/>
      <c r="AD589" s="293"/>
      <c r="AE589" s="293"/>
    </row>
    <row r="590" spans="15:31">
      <c r="O590" s="293"/>
      <c r="P590" s="293"/>
      <c r="Q590" s="293"/>
      <c r="R590" s="293"/>
      <c r="S590" s="293"/>
      <c r="T590" s="293"/>
      <c r="U590" s="293"/>
      <c r="V590" s="293"/>
      <c r="W590" s="293"/>
      <c r="X590" s="293"/>
      <c r="Y590" s="293"/>
      <c r="Z590" s="293"/>
      <c r="AA590" s="293"/>
      <c r="AB590" s="293"/>
      <c r="AC590" s="293"/>
      <c r="AD590" s="293"/>
      <c r="AE590" s="293"/>
    </row>
    <row r="591" spans="15:31">
      <c r="O591" s="293"/>
      <c r="P591" s="293"/>
      <c r="Q591" s="293"/>
      <c r="R591" s="293"/>
      <c r="S591" s="293"/>
      <c r="T591" s="293"/>
      <c r="U591" s="293"/>
      <c r="V591" s="293"/>
      <c r="W591" s="293"/>
      <c r="X591" s="293"/>
      <c r="Y591" s="293"/>
      <c r="Z591" s="293"/>
      <c r="AA591" s="293"/>
      <c r="AB591" s="293"/>
      <c r="AC591" s="293"/>
      <c r="AD591" s="293"/>
      <c r="AE591" s="293"/>
    </row>
    <row r="592" spans="15:31">
      <c r="O592" s="293"/>
      <c r="P592" s="293"/>
      <c r="Q592" s="293"/>
      <c r="R592" s="293"/>
      <c r="S592" s="293"/>
      <c r="T592" s="293"/>
      <c r="U592" s="293"/>
      <c r="V592" s="293"/>
      <c r="W592" s="293"/>
      <c r="X592" s="293"/>
      <c r="Y592" s="293"/>
      <c r="Z592" s="293"/>
      <c r="AA592" s="293"/>
      <c r="AB592" s="293"/>
      <c r="AC592" s="293"/>
      <c r="AD592" s="293"/>
      <c r="AE592" s="293"/>
    </row>
    <row r="593" spans="15:31">
      <c r="O593" s="293"/>
      <c r="P593" s="293"/>
      <c r="Q593" s="293"/>
      <c r="R593" s="293"/>
      <c r="S593" s="293"/>
      <c r="T593" s="293"/>
      <c r="U593" s="293"/>
      <c r="V593" s="293"/>
      <c r="W593" s="293"/>
      <c r="X593" s="293"/>
      <c r="Y593" s="293"/>
      <c r="Z593" s="293"/>
      <c r="AA593" s="293"/>
      <c r="AB593" s="293"/>
      <c r="AC593" s="293"/>
      <c r="AD593" s="293"/>
      <c r="AE593" s="293"/>
    </row>
    <row r="594" spans="15:31">
      <c r="O594" s="293"/>
      <c r="P594" s="293"/>
      <c r="Q594" s="293"/>
      <c r="R594" s="293"/>
      <c r="S594" s="293"/>
      <c r="T594" s="293"/>
      <c r="U594" s="293"/>
      <c r="V594" s="293"/>
      <c r="W594" s="293"/>
      <c r="X594" s="293"/>
      <c r="Y594" s="293"/>
      <c r="Z594" s="293"/>
      <c r="AA594" s="293"/>
      <c r="AB594" s="293"/>
      <c r="AC594" s="293"/>
      <c r="AD594" s="293"/>
      <c r="AE594" s="293"/>
    </row>
    <row r="595" spans="15:31">
      <c r="O595" s="293"/>
      <c r="P595" s="293"/>
      <c r="Q595" s="293"/>
      <c r="R595" s="293"/>
      <c r="S595" s="293"/>
      <c r="T595" s="293"/>
      <c r="U595" s="293"/>
      <c r="V595" s="293"/>
      <c r="W595" s="293"/>
      <c r="X595" s="293"/>
      <c r="Y595" s="293"/>
      <c r="Z595" s="293"/>
      <c r="AA595" s="293"/>
      <c r="AB595" s="293"/>
      <c r="AC595" s="293"/>
      <c r="AD595" s="293"/>
      <c r="AE595" s="293"/>
    </row>
    <row r="596" spans="15:31">
      <c r="O596" s="293"/>
      <c r="P596" s="293"/>
      <c r="Q596" s="293"/>
      <c r="R596" s="293"/>
      <c r="S596" s="293"/>
      <c r="T596" s="293"/>
      <c r="U596" s="293"/>
      <c r="V596" s="293"/>
      <c r="W596" s="293"/>
      <c r="X596" s="293"/>
      <c r="Y596" s="293"/>
      <c r="Z596" s="293"/>
      <c r="AA596" s="293"/>
      <c r="AB596" s="293"/>
      <c r="AC596" s="293"/>
      <c r="AD596" s="293"/>
      <c r="AE596" s="293"/>
    </row>
    <row r="597" spans="15:31">
      <c r="O597" s="293"/>
      <c r="P597" s="293"/>
      <c r="Q597" s="293"/>
      <c r="R597" s="293"/>
      <c r="S597" s="293"/>
      <c r="T597" s="293"/>
      <c r="U597" s="293"/>
      <c r="V597" s="293"/>
      <c r="W597" s="293"/>
      <c r="X597" s="293"/>
      <c r="Y597" s="293"/>
      <c r="Z597" s="293"/>
      <c r="AA597" s="293"/>
      <c r="AB597" s="293"/>
      <c r="AC597" s="293"/>
      <c r="AD597" s="293"/>
      <c r="AE597" s="293"/>
    </row>
    <row r="598" spans="15:31">
      <c r="O598" s="293"/>
      <c r="P598" s="293"/>
      <c r="Q598" s="293"/>
      <c r="R598" s="293"/>
      <c r="S598" s="293"/>
      <c r="T598" s="293"/>
      <c r="U598" s="293"/>
      <c r="V598" s="293"/>
      <c r="W598" s="293"/>
      <c r="X598" s="293"/>
      <c r="Y598" s="293"/>
      <c r="Z598" s="293"/>
      <c r="AA598" s="293"/>
      <c r="AB598" s="293"/>
      <c r="AC598" s="293"/>
      <c r="AD598" s="293"/>
      <c r="AE598" s="293"/>
    </row>
    <row r="599" spans="15:31">
      <c r="O599" s="293"/>
      <c r="P599" s="293"/>
      <c r="Q599" s="293"/>
      <c r="R599" s="293"/>
      <c r="S599" s="293"/>
      <c r="T599" s="293"/>
      <c r="U599" s="293"/>
      <c r="V599" s="293"/>
      <c r="W599" s="293"/>
      <c r="X599" s="293"/>
      <c r="Y599" s="293"/>
      <c r="Z599" s="293"/>
      <c r="AA599" s="293"/>
      <c r="AB599" s="293"/>
      <c r="AC599" s="293"/>
      <c r="AD599" s="293"/>
      <c r="AE599" s="293"/>
    </row>
    <row r="600" spans="15:31">
      <c r="O600" s="293"/>
      <c r="P600" s="293"/>
      <c r="Q600" s="293"/>
      <c r="R600" s="293"/>
      <c r="S600" s="293"/>
      <c r="T600" s="293"/>
      <c r="U600" s="293"/>
      <c r="V600" s="293"/>
      <c r="W600" s="293"/>
      <c r="X600" s="293"/>
      <c r="Y600" s="293"/>
      <c r="Z600" s="293"/>
      <c r="AA600" s="293"/>
      <c r="AB600" s="293"/>
      <c r="AC600" s="293"/>
      <c r="AD600" s="293"/>
      <c r="AE600" s="293"/>
    </row>
    <row r="601" spans="15:31">
      <c r="O601" s="293"/>
      <c r="P601" s="293"/>
      <c r="Q601" s="293"/>
      <c r="R601" s="293"/>
      <c r="S601" s="293"/>
      <c r="T601" s="293"/>
      <c r="U601" s="293"/>
      <c r="V601" s="293"/>
      <c r="W601" s="293"/>
      <c r="X601" s="293"/>
      <c r="Y601" s="293"/>
      <c r="Z601" s="293"/>
      <c r="AA601" s="293"/>
      <c r="AB601" s="293"/>
      <c r="AC601" s="293"/>
      <c r="AD601" s="293"/>
      <c r="AE601" s="293"/>
    </row>
    <row r="602" spans="15:31">
      <c r="O602" s="293"/>
      <c r="P602" s="293"/>
      <c r="Q602" s="293"/>
      <c r="R602" s="293"/>
      <c r="S602" s="293"/>
      <c r="T602" s="293"/>
      <c r="U602" s="293"/>
      <c r="V602" s="293"/>
      <c r="W602" s="293"/>
      <c r="X602" s="293"/>
      <c r="Y602" s="293"/>
      <c r="Z602" s="293"/>
      <c r="AA602" s="293"/>
      <c r="AB602" s="293"/>
      <c r="AC602" s="293"/>
      <c r="AD602" s="293"/>
      <c r="AE602" s="293"/>
    </row>
    <row r="603" spans="15:31">
      <c r="O603" s="293"/>
      <c r="P603" s="293"/>
      <c r="Q603" s="293"/>
      <c r="R603" s="293"/>
      <c r="S603" s="293"/>
      <c r="T603" s="293"/>
      <c r="U603" s="293"/>
      <c r="V603" s="293"/>
      <c r="W603" s="293"/>
      <c r="X603" s="293"/>
      <c r="Y603" s="293"/>
      <c r="Z603" s="293"/>
      <c r="AA603" s="293"/>
      <c r="AB603" s="293"/>
      <c r="AC603" s="293"/>
      <c r="AD603" s="293"/>
      <c r="AE603" s="293"/>
    </row>
    <row r="604" spans="15:31">
      <c r="O604" s="293"/>
      <c r="P604" s="293"/>
      <c r="Q604" s="293"/>
      <c r="R604" s="293"/>
      <c r="S604" s="293"/>
      <c r="T604" s="293"/>
      <c r="U604" s="293"/>
      <c r="V604" s="293"/>
      <c r="W604" s="293"/>
      <c r="X604" s="293"/>
      <c r="Y604" s="293"/>
      <c r="Z604" s="293"/>
      <c r="AA604" s="293"/>
      <c r="AB604" s="293"/>
      <c r="AC604" s="293"/>
      <c r="AD604" s="293"/>
      <c r="AE604" s="293"/>
    </row>
    <row r="605" spans="15:31">
      <c r="O605" s="293"/>
      <c r="P605" s="293"/>
      <c r="Q605" s="293"/>
      <c r="R605" s="293"/>
      <c r="S605" s="293"/>
      <c r="T605" s="293"/>
      <c r="U605" s="293"/>
      <c r="V605" s="293"/>
      <c r="W605" s="293"/>
      <c r="X605" s="293"/>
      <c r="Y605" s="293"/>
      <c r="Z605" s="293"/>
      <c r="AA605" s="293"/>
      <c r="AB605" s="293"/>
      <c r="AC605" s="293"/>
      <c r="AD605" s="293"/>
      <c r="AE605" s="293"/>
    </row>
    <row r="606" spans="15:31">
      <c r="O606" s="293"/>
      <c r="P606" s="293"/>
      <c r="Q606" s="293"/>
      <c r="R606" s="293"/>
      <c r="S606" s="293"/>
      <c r="T606" s="293"/>
      <c r="U606" s="293"/>
      <c r="V606" s="293"/>
      <c r="W606" s="293"/>
      <c r="X606" s="293"/>
      <c r="Y606" s="293"/>
      <c r="Z606" s="293"/>
      <c r="AA606" s="293"/>
      <c r="AB606" s="293"/>
      <c r="AC606" s="293"/>
      <c r="AD606" s="293"/>
      <c r="AE606" s="293"/>
    </row>
    <row r="607" spans="15:31">
      <c r="O607" s="293"/>
      <c r="P607" s="293"/>
      <c r="Q607" s="293"/>
      <c r="R607" s="293"/>
      <c r="S607" s="293"/>
      <c r="T607" s="293"/>
      <c r="U607" s="293"/>
      <c r="V607" s="293"/>
      <c r="W607" s="293"/>
      <c r="X607" s="293"/>
      <c r="Y607" s="293"/>
      <c r="Z607" s="293"/>
      <c r="AA607" s="293"/>
      <c r="AB607" s="293"/>
      <c r="AC607" s="293"/>
      <c r="AD607" s="293"/>
      <c r="AE607" s="293"/>
    </row>
    <row r="608" spans="15:31">
      <c r="O608" s="293"/>
      <c r="P608" s="293"/>
      <c r="Q608" s="293"/>
      <c r="R608" s="293"/>
      <c r="S608" s="293"/>
      <c r="T608" s="293"/>
      <c r="U608" s="293"/>
      <c r="V608" s="293"/>
      <c r="W608" s="293"/>
      <c r="X608" s="293"/>
      <c r="Y608" s="293"/>
      <c r="Z608" s="293"/>
      <c r="AA608" s="293"/>
      <c r="AB608" s="293"/>
      <c r="AC608" s="293"/>
      <c r="AD608" s="293"/>
      <c r="AE608" s="293"/>
    </row>
    <row r="609" spans="15:31">
      <c r="O609" s="293"/>
      <c r="P609" s="293"/>
      <c r="Q609" s="293"/>
      <c r="R609" s="293"/>
      <c r="S609" s="293"/>
      <c r="T609" s="293"/>
      <c r="U609" s="293"/>
      <c r="V609" s="293"/>
      <c r="W609" s="293"/>
      <c r="X609" s="293"/>
      <c r="Y609" s="293"/>
      <c r="Z609" s="293"/>
      <c r="AA609" s="293"/>
      <c r="AB609" s="293"/>
      <c r="AC609" s="293"/>
      <c r="AD609" s="293"/>
      <c r="AE609" s="293"/>
    </row>
    <row r="610" spans="15:31">
      <c r="O610" s="293"/>
      <c r="P610" s="293"/>
      <c r="Q610" s="293"/>
      <c r="R610" s="293"/>
      <c r="S610" s="293"/>
      <c r="T610" s="293"/>
      <c r="U610" s="293"/>
      <c r="V610" s="293"/>
      <c r="W610" s="293"/>
      <c r="X610" s="293"/>
      <c r="Y610" s="293"/>
      <c r="Z610" s="293"/>
      <c r="AA610" s="293"/>
      <c r="AB610" s="293"/>
      <c r="AC610" s="293"/>
      <c r="AD610" s="293"/>
      <c r="AE610" s="293"/>
    </row>
    <row r="611" spans="15:31">
      <c r="O611" s="293"/>
      <c r="P611" s="293"/>
      <c r="Q611" s="293"/>
      <c r="R611" s="293"/>
      <c r="S611" s="293"/>
      <c r="T611" s="293"/>
      <c r="U611" s="293"/>
      <c r="V611" s="293"/>
      <c r="W611" s="293"/>
      <c r="X611" s="293"/>
      <c r="Y611" s="293"/>
      <c r="Z611" s="293"/>
      <c r="AA611" s="293"/>
      <c r="AB611" s="293"/>
      <c r="AC611" s="293"/>
      <c r="AD611" s="293"/>
      <c r="AE611" s="293"/>
    </row>
    <row r="612" spans="15:31">
      <c r="O612" s="293"/>
      <c r="P612" s="293"/>
      <c r="Q612" s="293"/>
      <c r="R612" s="293"/>
      <c r="S612" s="293"/>
      <c r="T612" s="293"/>
      <c r="U612" s="293"/>
      <c r="V612" s="293"/>
      <c r="W612" s="293"/>
      <c r="X612" s="293"/>
      <c r="Y612" s="293"/>
      <c r="Z612" s="293"/>
      <c r="AA612" s="293"/>
      <c r="AB612" s="293"/>
      <c r="AC612" s="293"/>
      <c r="AD612" s="293"/>
      <c r="AE612" s="293"/>
    </row>
    <row r="613" spans="15:31">
      <c r="O613" s="293"/>
      <c r="P613" s="293"/>
      <c r="Q613" s="293"/>
      <c r="R613" s="293"/>
      <c r="S613" s="293"/>
      <c r="T613" s="293"/>
      <c r="U613" s="293"/>
      <c r="V613" s="293"/>
      <c r="W613" s="293"/>
      <c r="X613" s="293"/>
      <c r="Y613" s="293"/>
      <c r="Z613" s="293"/>
      <c r="AA613" s="293"/>
      <c r="AB613" s="293"/>
      <c r="AC613" s="293"/>
      <c r="AD613" s="293"/>
      <c r="AE613" s="293"/>
    </row>
    <row r="614" spans="15:31">
      <c r="O614" s="293"/>
      <c r="P614" s="293"/>
      <c r="Q614" s="293"/>
      <c r="R614" s="293"/>
      <c r="S614" s="293"/>
      <c r="T614" s="293"/>
      <c r="U614" s="293"/>
      <c r="V614" s="293"/>
      <c r="W614" s="293"/>
      <c r="X614" s="293"/>
      <c r="Y614" s="293"/>
      <c r="Z614" s="293"/>
      <c r="AA614" s="293"/>
      <c r="AB614" s="293"/>
      <c r="AC614" s="293"/>
      <c r="AD614" s="293"/>
      <c r="AE614" s="293"/>
    </row>
    <row r="615" spans="15:31">
      <c r="O615" s="293"/>
      <c r="P615" s="293"/>
      <c r="Q615" s="293"/>
      <c r="R615" s="293"/>
      <c r="S615" s="293"/>
      <c r="T615" s="293"/>
      <c r="U615" s="293"/>
      <c r="V615" s="293"/>
      <c r="W615" s="293"/>
      <c r="X615" s="293"/>
      <c r="Y615" s="293"/>
      <c r="Z615" s="293"/>
      <c r="AA615" s="293"/>
      <c r="AB615" s="293"/>
      <c r="AC615" s="293"/>
      <c r="AD615" s="293"/>
      <c r="AE615" s="293"/>
    </row>
    <row r="616" spans="15:31">
      <c r="O616" s="293"/>
      <c r="P616" s="293"/>
      <c r="Q616" s="293"/>
      <c r="R616" s="293"/>
      <c r="S616" s="293"/>
      <c r="T616" s="293"/>
      <c r="U616" s="293"/>
      <c r="V616" s="293"/>
      <c r="W616" s="293"/>
      <c r="X616" s="293"/>
      <c r="Y616" s="293"/>
      <c r="Z616" s="293"/>
      <c r="AA616" s="293"/>
      <c r="AB616" s="293"/>
      <c r="AC616" s="293"/>
      <c r="AD616" s="293"/>
      <c r="AE616" s="293"/>
    </row>
    <row r="617" spans="15:31">
      <c r="O617" s="293"/>
      <c r="P617" s="293"/>
      <c r="Q617" s="293"/>
      <c r="R617" s="293"/>
      <c r="S617" s="293"/>
      <c r="T617" s="293"/>
      <c r="U617" s="293"/>
      <c r="V617" s="293"/>
      <c r="W617" s="293"/>
      <c r="X617" s="293"/>
      <c r="Y617" s="293"/>
      <c r="Z617" s="293"/>
      <c r="AA617" s="293"/>
      <c r="AB617" s="293"/>
      <c r="AC617" s="293"/>
      <c r="AD617" s="293"/>
      <c r="AE617" s="293"/>
    </row>
    <row r="618" spans="15:31">
      <c r="O618" s="293"/>
      <c r="P618" s="293"/>
      <c r="Q618" s="293"/>
      <c r="R618" s="293"/>
      <c r="S618" s="293"/>
      <c r="T618" s="293"/>
      <c r="U618" s="293"/>
      <c r="V618" s="293"/>
      <c r="W618" s="293"/>
      <c r="X618" s="293"/>
      <c r="Y618" s="293"/>
      <c r="Z618" s="293"/>
      <c r="AA618" s="293"/>
      <c r="AB618" s="293"/>
      <c r="AC618" s="293"/>
      <c r="AD618" s="293"/>
      <c r="AE618" s="293"/>
    </row>
    <row r="619" spans="15:31">
      <c r="O619" s="293"/>
      <c r="P619" s="293"/>
      <c r="Q619" s="293"/>
      <c r="R619" s="293"/>
      <c r="S619" s="293"/>
      <c r="T619" s="293"/>
      <c r="U619" s="293"/>
      <c r="V619" s="293"/>
      <c r="W619" s="293"/>
      <c r="X619" s="293"/>
      <c r="Y619" s="293"/>
      <c r="Z619" s="293"/>
      <c r="AA619" s="293"/>
      <c r="AB619" s="293"/>
      <c r="AC619" s="293"/>
      <c r="AD619" s="293"/>
      <c r="AE619" s="293"/>
    </row>
    <row r="620" spans="15:31">
      <c r="O620" s="293"/>
      <c r="P620" s="293"/>
      <c r="Q620" s="293"/>
      <c r="R620" s="293"/>
      <c r="S620" s="293"/>
      <c r="T620" s="293"/>
      <c r="U620" s="293"/>
      <c r="V620" s="293"/>
      <c r="W620" s="293"/>
      <c r="X620" s="293"/>
      <c r="Y620" s="293"/>
      <c r="Z620" s="293"/>
      <c r="AA620" s="293"/>
      <c r="AB620" s="293"/>
      <c r="AC620" s="293"/>
      <c r="AD620" s="293"/>
      <c r="AE620" s="293"/>
    </row>
    <row r="621" spans="15:31">
      <c r="O621" s="293"/>
      <c r="P621" s="293"/>
      <c r="Q621" s="293"/>
      <c r="R621" s="293"/>
      <c r="S621" s="293"/>
      <c r="T621" s="293"/>
      <c r="U621" s="293"/>
      <c r="V621" s="293"/>
      <c r="W621" s="293"/>
      <c r="X621" s="293"/>
      <c r="Y621" s="293"/>
      <c r="Z621" s="293"/>
      <c r="AA621" s="293"/>
      <c r="AB621" s="293"/>
      <c r="AC621" s="293"/>
      <c r="AD621" s="293"/>
      <c r="AE621" s="293"/>
    </row>
    <row r="622" spans="15:31">
      <c r="O622" s="293"/>
      <c r="P622" s="293"/>
      <c r="Q622" s="293"/>
      <c r="R622" s="293"/>
      <c r="S622" s="293"/>
      <c r="T622" s="293"/>
      <c r="U622" s="293"/>
      <c r="V622" s="293"/>
      <c r="W622" s="293"/>
      <c r="X622" s="293"/>
      <c r="Y622" s="293"/>
      <c r="Z622" s="293"/>
      <c r="AA622" s="293"/>
      <c r="AB622" s="293"/>
      <c r="AC622" s="293"/>
      <c r="AD622" s="293"/>
      <c r="AE622" s="293"/>
    </row>
    <row r="623" spans="15:31">
      <c r="O623" s="293"/>
      <c r="P623" s="293"/>
      <c r="Q623" s="293"/>
      <c r="R623" s="293"/>
      <c r="S623" s="293"/>
      <c r="T623" s="293"/>
      <c r="U623" s="293"/>
      <c r="V623" s="293"/>
      <c r="W623" s="293"/>
      <c r="X623" s="293"/>
      <c r="Y623" s="293"/>
      <c r="Z623" s="293"/>
      <c r="AA623" s="293"/>
      <c r="AB623" s="293"/>
      <c r="AC623" s="293"/>
      <c r="AD623" s="293"/>
      <c r="AE623" s="293"/>
    </row>
    <row r="624" spans="15:31">
      <c r="O624" s="293"/>
      <c r="P624" s="293"/>
      <c r="Q624" s="293"/>
      <c r="R624" s="293"/>
      <c r="S624" s="293"/>
      <c r="T624" s="293"/>
      <c r="U624" s="293"/>
      <c r="V624" s="293"/>
      <c r="W624" s="293"/>
      <c r="X624" s="293"/>
      <c r="Y624" s="293"/>
      <c r="Z624" s="293"/>
      <c r="AA624" s="293"/>
      <c r="AB624" s="293"/>
      <c r="AC624" s="293"/>
      <c r="AD624" s="293"/>
      <c r="AE624" s="293"/>
    </row>
    <row r="625" spans="15:31">
      <c r="O625" s="293"/>
      <c r="P625" s="293"/>
      <c r="Q625" s="293"/>
      <c r="R625" s="293"/>
      <c r="S625" s="293"/>
      <c r="T625" s="293"/>
      <c r="U625" s="293"/>
      <c r="V625" s="293"/>
      <c r="W625" s="293"/>
      <c r="X625" s="293"/>
      <c r="Y625" s="293"/>
      <c r="Z625" s="293"/>
      <c r="AA625" s="293"/>
      <c r="AB625" s="293"/>
      <c r="AC625" s="293"/>
      <c r="AD625" s="293"/>
      <c r="AE625" s="293"/>
    </row>
    <row r="626" spans="15:31">
      <c r="O626" s="293"/>
      <c r="P626" s="293"/>
      <c r="Q626" s="293"/>
      <c r="R626" s="293"/>
      <c r="S626" s="293"/>
      <c r="T626" s="293"/>
      <c r="U626" s="293"/>
      <c r="V626" s="293"/>
      <c r="W626" s="293"/>
      <c r="X626" s="293"/>
      <c r="Y626" s="293"/>
      <c r="Z626" s="293"/>
      <c r="AA626" s="293"/>
      <c r="AB626" s="293"/>
      <c r="AC626" s="293"/>
      <c r="AD626" s="293"/>
      <c r="AE626" s="293"/>
    </row>
    <row r="627" spans="15:31">
      <c r="O627" s="293"/>
      <c r="P627" s="293"/>
      <c r="Q627" s="293"/>
      <c r="R627" s="293"/>
      <c r="S627" s="293"/>
      <c r="T627" s="293"/>
      <c r="U627" s="293"/>
      <c r="V627" s="293"/>
      <c r="W627" s="293"/>
      <c r="X627" s="293"/>
      <c r="Y627" s="293"/>
      <c r="Z627" s="293"/>
      <c r="AA627" s="293"/>
      <c r="AB627" s="293"/>
      <c r="AC627" s="293"/>
      <c r="AD627" s="293"/>
      <c r="AE627" s="293"/>
    </row>
    <row r="628" spans="15:31">
      <c r="O628" s="293"/>
      <c r="P628" s="293"/>
      <c r="Q628" s="293"/>
      <c r="R628" s="293"/>
      <c r="S628" s="293"/>
      <c r="T628" s="293"/>
      <c r="U628" s="293"/>
      <c r="V628" s="293"/>
      <c r="W628" s="293"/>
      <c r="X628" s="293"/>
      <c r="Y628" s="293"/>
      <c r="Z628" s="293"/>
      <c r="AA628" s="293"/>
      <c r="AB628" s="293"/>
      <c r="AC628" s="293"/>
      <c r="AD628" s="293"/>
      <c r="AE628" s="293"/>
    </row>
    <row r="629" spans="15:31">
      <c r="O629" s="293"/>
      <c r="P629" s="293"/>
      <c r="Q629" s="293"/>
      <c r="R629" s="293"/>
      <c r="S629" s="293"/>
      <c r="T629" s="293"/>
      <c r="U629" s="293"/>
      <c r="V629" s="293"/>
      <c r="W629" s="293"/>
      <c r="X629" s="293"/>
      <c r="Y629" s="293"/>
      <c r="Z629" s="293"/>
      <c r="AA629" s="293"/>
      <c r="AB629" s="293"/>
      <c r="AC629" s="293"/>
      <c r="AD629" s="293"/>
      <c r="AE629" s="293"/>
    </row>
    <row r="630" spans="15:31">
      <c r="O630" s="293"/>
      <c r="P630" s="293"/>
      <c r="Q630" s="293"/>
      <c r="R630" s="293"/>
      <c r="S630" s="293"/>
      <c r="T630" s="293"/>
      <c r="U630" s="293"/>
      <c r="V630" s="293"/>
      <c r="W630" s="293"/>
      <c r="X630" s="293"/>
      <c r="Y630" s="293"/>
      <c r="Z630" s="293"/>
      <c r="AA630" s="293"/>
      <c r="AB630" s="293"/>
      <c r="AC630" s="293"/>
      <c r="AD630" s="293"/>
      <c r="AE630" s="293"/>
    </row>
    <row r="631" spans="15:31">
      <c r="O631" s="293"/>
      <c r="P631" s="293"/>
      <c r="Q631" s="293"/>
      <c r="R631" s="293"/>
      <c r="S631" s="293"/>
      <c r="T631" s="293"/>
      <c r="U631" s="293"/>
      <c r="V631" s="293"/>
      <c r="W631" s="293"/>
      <c r="X631" s="293"/>
      <c r="Y631" s="293"/>
      <c r="Z631" s="293"/>
      <c r="AA631" s="293"/>
      <c r="AB631" s="293"/>
      <c r="AC631" s="293"/>
      <c r="AD631" s="293"/>
      <c r="AE631" s="293"/>
    </row>
    <row r="632" spans="15:31">
      <c r="O632" s="293"/>
      <c r="P632" s="293"/>
      <c r="Q632" s="293"/>
      <c r="R632" s="293"/>
      <c r="S632" s="293"/>
      <c r="T632" s="293"/>
      <c r="U632" s="293"/>
      <c r="V632" s="293"/>
      <c r="W632" s="293"/>
      <c r="X632" s="293"/>
      <c r="Y632" s="293"/>
      <c r="Z632" s="293"/>
      <c r="AA632" s="293"/>
      <c r="AB632" s="293"/>
      <c r="AC632" s="293"/>
      <c r="AD632" s="293"/>
      <c r="AE632" s="293"/>
    </row>
    <row r="633" spans="15:31">
      <c r="O633" s="293"/>
      <c r="P633" s="293"/>
      <c r="Q633" s="293"/>
      <c r="R633" s="293"/>
      <c r="S633" s="293"/>
      <c r="T633" s="293"/>
      <c r="U633" s="293"/>
      <c r="V633" s="293"/>
      <c r="W633" s="293"/>
      <c r="X633" s="293"/>
      <c r="Y633" s="293"/>
      <c r="Z633" s="293"/>
      <c r="AA633" s="293"/>
      <c r="AB633" s="293"/>
      <c r="AC633" s="293"/>
      <c r="AD633" s="293"/>
      <c r="AE633" s="293"/>
    </row>
    <row r="634" spans="15:31">
      <c r="O634" s="293"/>
      <c r="P634" s="293"/>
      <c r="Q634" s="293"/>
      <c r="R634" s="293"/>
      <c r="S634" s="293"/>
      <c r="T634" s="293"/>
      <c r="U634" s="293"/>
      <c r="V634" s="293"/>
      <c r="W634" s="293"/>
      <c r="X634" s="293"/>
      <c r="Y634" s="293"/>
      <c r="Z634" s="293"/>
      <c r="AA634" s="293"/>
      <c r="AB634" s="293"/>
      <c r="AC634" s="293"/>
      <c r="AD634" s="293"/>
      <c r="AE634" s="293"/>
    </row>
    <row r="635" spans="15:31">
      <c r="O635" s="293"/>
      <c r="P635" s="293"/>
      <c r="Q635" s="293"/>
      <c r="R635" s="293"/>
      <c r="S635" s="293"/>
      <c r="T635" s="293"/>
      <c r="U635" s="293"/>
      <c r="V635" s="293"/>
      <c r="W635" s="293"/>
      <c r="X635" s="293"/>
      <c r="Y635" s="293"/>
      <c r="Z635" s="293"/>
      <c r="AA635" s="293"/>
      <c r="AB635" s="293"/>
      <c r="AC635" s="293"/>
      <c r="AD635" s="293"/>
      <c r="AE635" s="293"/>
    </row>
    <row r="636" spans="15:31">
      <c r="O636" s="293"/>
      <c r="P636" s="293"/>
      <c r="Q636" s="293"/>
      <c r="R636" s="293"/>
      <c r="S636" s="293"/>
      <c r="T636" s="293"/>
      <c r="U636" s="293"/>
      <c r="V636" s="293"/>
      <c r="W636" s="293"/>
      <c r="X636" s="293"/>
      <c r="Y636" s="293"/>
      <c r="Z636" s="293"/>
      <c r="AA636" s="293"/>
      <c r="AB636" s="293"/>
      <c r="AC636" s="293"/>
      <c r="AD636" s="293"/>
      <c r="AE636" s="293"/>
    </row>
    <row r="637" spans="15:31">
      <c r="O637" s="293"/>
      <c r="P637" s="293"/>
      <c r="Q637" s="293"/>
      <c r="R637" s="293"/>
      <c r="S637" s="293"/>
      <c r="T637" s="293"/>
      <c r="U637" s="293"/>
      <c r="V637" s="293"/>
      <c r="W637" s="293"/>
      <c r="X637" s="293"/>
      <c r="Y637" s="293"/>
      <c r="Z637" s="293"/>
      <c r="AA637" s="293"/>
      <c r="AB637" s="293"/>
      <c r="AC637" s="293"/>
      <c r="AD637" s="293"/>
      <c r="AE637" s="293"/>
    </row>
    <row r="638" spans="15:31">
      <c r="O638" s="293"/>
      <c r="P638" s="293"/>
      <c r="Q638" s="293"/>
      <c r="R638" s="293"/>
      <c r="S638" s="293"/>
      <c r="T638" s="293"/>
      <c r="U638" s="293"/>
      <c r="V638" s="293"/>
      <c r="W638" s="293"/>
      <c r="X638" s="293"/>
      <c r="Y638" s="293"/>
      <c r="Z638" s="293"/>
      <c r="AA638" s="293"/>
      <c r="AB638" s="293"/>
      <c r="AC638" s="293"/>
      <c r="AD638" s="293"/>
      <c r="AE638" s="293"/>
    </row>
    <row r="639" spans="15:31">
      <c r="O639" s="293"/>
      <c r="P639" s="293"/>
      <c r="Q639" s="293"/>
      <c r="R639" s="293"/>
      <c r="S639" s="293"/>
      <c r="T639" s="293"/>
      <c r="U639" s="293"/>
      <c r="V639" s="293"/>
      <c r="W639" s="293"/>
      <c r="X639" s="293"/>
      <c r="Y639" s="293"/>
      <c r="Z639" s="293"/>
      <c r="AA639" s="293"/>
      <c r="AB639" s="293"/>
      <c r="AC639" s="293"/>
      <c r="AD639" s="293"/>
      <c r="AE639" s="293"/>
    </row>
    <row r="640" spans="15:31">
      <c r="O640" s="293"/>
      <c r="P640" s="293"/>
      <c r="Q640" s="293"/>
      <c r="R640" s="293"/>
      <c r="S640" s="293"/>
      <c r="T640" s="293"/>
      <c r="U640" s="293"/>
      <c r="V640" s="293"/>
      <c r="W640" s="293"/>
      <c r="X640" s="293"/>
      <c r="Y640" s="293"/>
      <c r="Z640" s="293"/>
      <c r="AA640" s="293"/>
      <c r="AB640" s="293"/>
      <c r="AC640" s="293"/>
      <c r="AD640" s="293"/>
      <c r="AE640" s="293"/>
    </row>
    <row r="641" spans="15:31">
      <c r="O641" s="293"/>
      <c r="P641" s="293"/>
      <c r="Q641" s="293"/>
      <c r="R641" s="293"/>
      <c r="S641" s="293"/>
      <c r="T641" s="293"/>
      <c r="U641" s="293"/>
      <c r="V641" s="293"/>
      <c r="W641" s="293"/>
      <c r="X641" s="293"/>
      <c r="Y641" s="293"/>
      <c r="Z641" s="293"/>
      <c r="AA641" s="293"/>
      <c r="AB641" s="293"/>
      <c r="AC641" s="293"/>
      <c r="AD641" s="293"/>
      <c r="AE641" s="293"/>
    </row>
    <row r="642" spans="15:31">
      <c r="O642" s="293"/>
      <c r="P642" s="293"/>
      <c r="Q642" s="293"/>
      <c r="R642" s="293"/>
      <c r="S642" s="293"/>
      <c r="T642" s="293"/>
      <c r="U642" s="293"/>
      <c r="V642" s="293"/>
      <c r="W642" s="293"/>
      <c r="X642" s="293"/>
      <c r="Y642" s="293"/>
      <c r="Z642" s="293"/>
      <c r="AA642" s="293"/>
      <c r="AB642" s="293"/>
      <c r="AC642" s="293"/>
      <c r="AD642" s="293"/>
      <c r="AE642" s="293"/>
    </row>
    <row r="643" spans="15:31">
      <c r="O643" s="293"/>
      <c r="P643" s="293"/>
      <c r="Q643" s="293"/>
      <c r="R643" s="293"/>
      <c r="S643" s="293"/>
      <c r="T643" s="293"/>
      <c r="U643" s="293"/>
      <c r="V643" s="293"/>
      <c r="W643" s="293"/>
      <c r="X643" s="293"/>
      <c r="Y643" s="293"/>
      <c r="Z643" s="293"/>
      <c r="AA643" s="293"/>
      <c r="AB643" s="293"/>
      <c r="AC643" s="293"/>
      <c r="AD643" s="293"/>
      <c r="AE643" s="293"/>
    </row>
    <row r="644" spans="15:31">
      <c r="O644" s="293"/>
      <c r="P644" s="293"/>
      <c r="Q644" s="293"/>
      <c r="R644" s="293"/>
      <c r="S644" s="293"/>
      <c r="T644" s="293"/>
      <c r="U644" s="293"/>
      <c r="V644" s="293"/>
      <c r="W644" s="293"/>
      <c r="X644" s="293"/>
      <c r="Y644" s="293"/>
      <c r="Z644" s="293"/>
      <c r="AA644" s="293"/>
      <c r="AB644" s="293"/>
      <c r="AC644" s="293"/>
      <c r="AD644" s="293"/>
      <c r="AE644" s="293"/>
    </row>
    <row r="645" spans="15:31">
      <c r="O645" s="293"/>
      <c r="P645" s="293"/>
      <c r="Q645" s="293"/>
      <c r="R645" s="293"/>
      <c r="S645" s="293"/>
      <c r="T645" s="293"/>
      <c r="U645" s="293"/>
      <c r="V645" s="293"/>
      <c r="W645" s="293"/>
      <c r="X645" s="293"/>
      <c r="Y645" s="293"/>
      <c r="Z645" s="293"/>
      <c r="AA645" s="293"/>
      <c r="AB645" s="293"/>
      <c r="AC645" s="293"/>
      <c r="AD645" s="293"/>
      <c r="AE645" s="293"/>
    </row>
    <row r="646" spans="15:31">
      <c r="O646" s="293"/>
      <c r="P646" s="293"/>
      <c r="Q646" s="293"/>
      <c r="R646" s="293"/>
      <c r="S646" s="293"/>
      <c r="T646" s="293"/>
      <c r="U646" s="293"/>
      <c r="V646" s="293"/>
      <c r="W646" s="293"/>
      <c r="X646" s="293"/>
      <c r="Y646" s="293"/>
      <c r="Z646" s="293"/>
      <c r="AA646" s="293"/>
      <c r="AB646" s="293"/>
      <c r="AC646" s="293"/>
      <c r="AD646" s="293"/>
      <c r="AE646" s="293"/>
    </row>
    <row r="647" spans="15:31">
      <c r="O647" s="293"/>
      <c r="P647" s="293"/>
      <c r="Q647" s="293"/>
      <c r="R647" s="293"/>
      <c r="S647" s="293"/>
      <c r="T647" s="293"/>
      <c r="U647" s="293"/>
      <c r="V647" s="293"/>
      <c r="W647" s="293"/>
      <c r="X647" s="293"/>
      <c r="Y647" s="293"/>
      <c r="Z647" s="293"/>
      <c r="AA647" s="293"/>
      <c r="AB647" s="293"/>
      <c r="AC647" s="293"/>
      <c r="AD647" s="293"/>
      <c r="AE647" s="293"/>
    </row>
    <row r="648" spans="15:31">
      <c r="O648" s="293"/>
      <c r="P648" s="293"/>
      <c r="Q648" s="293"/>
      <c r="R648" s="293"/>
      <c r="S648" s="293"/>
      <c r="T648" s="293"/>
      <c r="U648" s="293"/>
      <c r="V648" s="293"/>
      <c r="W648" s="293"/>
      <c r="X648" s="293"/>
      <c r="Y648" s="293"/>
      <c r="Z648" s="293"/>
      <c r="AA648" s="293"/>
      <c r="AB648" s="293"/>
      <c r="AC648" s="293"/>
      <c r="AD648" s="293"/>
      <c r="AE648" s="293"/>
    </row>
    <row r="649" spans="15:31">
      <c r="O649" s="293"/>
      <c r="P649" s="293"/>
      <c r="Q649" s="293"/>
      <c r="R649" s="293"/>
      <c r="S649" s="293"/>
      <c r="T649" s="293"/>
      <c r="U649" s="293"/>
      <c r="V649" s="293"/>
      <c r="W649" s="293"/>
      <c r="X649" s="293"/>
      <c r="Y649" s="293"/>
      <c r="Z649" s="293"/>
      <c r="AA649" s="293"/>
      <c r="AB649" s="293"/>
      <c r="AC649" s="293"/>
      <c r="AD649" s="293"/>
      <c r="AE649" s="293"/>
    </row>
    <row r="650" spans="15:31">
      <c r="O650" s="293"/>
      <c r="P650" s="293"/>
      <c r="Q650" s="293"/>
      <c r="R650" s="293"/>
      <c r="S650" s="293"/>
      <c r="T650" s="293"/>
      <c r="U650" s="293"/>
      <c r="V650" s="293"/>
      <c r="W650" s="293"/>
      <c r="X650" s="293"/>
      <c r="Y650" s="293"/>
      <c r="Z650" s="293"/>
      <c r="AA650" s="293"/>
      <c r="AB650" s="293"/>
      <c r="AC650" s="293"/>
      <c r="AD650" s="293"/>
      <c r="AE650" s="293"/>
    </row>
    <row r="651" spans="15:31">
      <c r="O651" s="293"/>
      <c r="P651" s="293"/>
      <c r="Q651" s="293"/>
      <c r="R651" s="293"/>
      <c r="S651" s="293"/>
      <c r="T651" s="293"/>
      <c r="U651" s="293"/>
      <c r="V651" s="293"/>
      <c r="W651" s="293"/>
      <c r="X651" s="293"/>
      <c r="Y651" s="293"/>
      <c r="Z651" s="293"/>
      <c r="AA651" s="293"/>
      <c r="AB651" s="293"/>
      <c r="AC651" s="293"/>
      <c r="AD651" s="293"/>
      <c r="AE651" s="293"/>
    </row>
    <row r="652" spans="15:31">
      <c r="O652" s="293"/>
      <c r="P652" s="293"/>
      <c r="Q652" s="293"/>
      <c r="R652" s="293"/>
      <c r="S652" s="293"/>
      <c r="T652" s="293"/>
      <c r="U652" s="293"/>
      <c r="V652" s="293"/>
      <c r="W652" s="293"/>
      <c r="X652" s="293"/>
      <c r="Y652" s="293"/>
      <c r="Z652" s="293"/>
      <c r="AA652" s="293"/>
      <c r="AB652" s="293"/>
      <c r="AC652" s="293"/>
      <c r="AD652" s="293"/>
      <c r="AE652" s="293"/>
    </row>
    <row r="653" spans="15:31">
      <c r="O653" s="293"/>
      <c r="P653" s="293"/>
      <c r="Q653" s="293"/>
      <c r="R653" s="293"/>
      <c r="S653" s="293"/>
      <c r="T653" s="293"/>
      <c r="U653" s="293"/>
      <c r="V653" s="293"/>
      <c r="W653" s="293"/>
      <c r="X653" s="293"/>
      <c r="Y653" s="293"/>
      <c r="Z653" s="293"/>
      <c r="AA653" s="293"/>
      <c r="AB653" s="293"/>
      <c r="AC653" s="293"/>
      <c r="AD653" s="293"/>
      <c r="AE653" s="293"/>
    </row>
    <row r="654" spans="15:31">
      <c r="O654" s="293"/>
      <c r="P654" s="293"/>
      <c r="Q654" s="293"/>
      <c r="R654" s="293"/>
      <c r="S654" s="293"/>
      <c r="T654" s="293"/>
      <c r="U654" s="293"/>
      <c r="V654" s="293"/>
      <c r="W654" s="293"/>
      <c r="X654" s="293"/>
      <c r="Y654" s="293"/>
      <c r="Z654" s="293"/>
      <c r="AA654" s="293"/>
      <c r="AB654" s="293"/>
      <c r="AC654" s="293"/>
      <c r="AD654" s="293"/>
      <c r="AE654" s="293"/>
    </row>
    <row r="655" spans="15:31">
      <c r="O655" s="293"/>
      <c r="P655" s="293"/>
      <c r="Q655" s="293"/>
      <c r="R655" s="293"/>
      <c r="S655" s="293"/>
      <c r="T655" s="293"/>
      <c r="U655" s="293"/>
      <c r="V655" s="293"/>
      <c r="W655" s="293"/>
      <c r="X655" s="293"/>
      <c r="Y655" s="293"/>
      <c r="Z655" s="293"/>
      <c r="AA655" s="293"/>
      <c r="AB655" s="293"/>
      <c r="AC655" s="293"/>
      <c r="AD655" s="293"/>
      <c r="AE655" s="293"/>
    </row>
    <row r="656" spans="15:31">
      <c r="O656" s="293"/>
      <c r="P656" s="293"/>
      <c r="Q656" s="293"/>
      <c r="R656" s="293"/>
      <c r="S656" s="293"/>
      <c r="T656" s="293"/>
      <c r="U656" s="293"/>
      <c r="V656" s="293"/>
      <c r="W656" s="293"/>
      <c r="X656" s="293"/>
      <c r="Y656" s="293"/>
      <c r="Z656" s="293"/>
      <c r="AA656" s="293"/>
      <c r="AB656" s="293"/>
      <c r="AC656" s="293"/>
      <c r="AD656" s="293"/>
      <c r="AE656" s="293"/>
    </row>
    <row r="657" spans="15:31">
      <c r="O657" s="293"/>
      <c r="P657" s="293"/>
      <c r="Q657" s="293"/>
      <c r="R657" s="293"/>
      <c r="S657" s="293"/>
      <c r="T657" s="293"/>
      <c r="U657" s="293"/>
      <c r="V657" s="293"/>
      <c r="W657" s="293"/>
      <c r="X657" s="293"/>
      <c r="Y657" s="293"/>
      <c r="Z657" s="293"/>
      <c r="AA657" s="293"/>
      <c r="AB657" s="293"/>
      <c r="AC657" s="293"/>
      <c r="AD657" s="293"/>
      <c r="AE657" s="293"/>
    </row>
    <row r="658" spans="15:31">
      <c r="O658" s="293"/>
      <c r="P658" s="293"/>
      <c r="Q658" s="293"/>
      <c r="R658" s="293"/>
      <c r="S658" s="293"/>
      <c r="T658" s="293"/>
      <c r="U658" s="293"/>
      <c r="V658" s="293"/>
      <c r="W658" s="293"/>
      <c r="X658" s="293"/>
      <c r="Y658" s="293"/>
      <c r="Z658" s="293"/>
      <c r="AA658" s="293"/>
      <c r="AB658" s="293"/>
      <c r="AC658" s="293"/>
      <c r="AD658" s="293"/>
      <c r="AE658" s="293"/>
    </row>
    <row r="659" spans="15:31">
      <c r="O659" s="293"/>
      <c r="P659" s="293"/>
      <c r="Q659" s="293"/>
      <c r="R659" s="293"/>
      <c r="S659" s="293"/>
      <c r="T659" s="293"/>
      <c r="U659" s="293"/>
      <c r="V659" s="293"/>
      <c r="W659" s="293"/>
      <c r="X659" s="293"/>
      <c r="Y659" s="293"/>
      <c r="Z659" s="293"/>
      <c r="AA659" s="293"/>
      <c r="AB659" s="293"/>
      <c r="AC659" s="293"/>
      <c r="AD659" s="293"/>
      <c r="AE659" s="293"/>
    </row>
    <row r="660" spans="15:31">
      <c r="O660" s="293"/>
      <c r="P660" s="293"/>
      <c r="Q660" s="293"/>
      <c r="R660" s="293"/>
      <c r="S660" s="293"/>
      <c r="T660" s="293"/>
      <c r="U660" s="293"/>
      <c r="V660" s="293"/>
      <c r="W660" s="293"/>
      <c r="X660" s="293"/>
      <c r="Y660" s="293"/>
      <c r="Z660" s="293"/>
      <c r="AA660" s="293"/>
      <c r="AB660" s="293"/>
      <c r="AC660" s="293"/>
      <c r="AD660" s="293"/>
      <c r="AE660" s="293"/>
    </row>
    <row r="661" spans="15:31">
      <c r="O661" s="293"/>
      <c r="P661" s="293"/>
      <c r="Q661" s="293"/>
      <c r="R661" s="293"/>
      <c r="S661" s="293"/>
      <c r="T661" s="293"/>
      <c r="U661" s="293"/>
      <c r="V661" s="293"/>
      <c r="W661" s="293"/>
      <c r="X661" s="293"/>
      <c r="Y661" s="293"/>
      <c r="Z661" s="293"/>
      <c r="AA661" s="293"/>
      <c r="AB661" s="293"/>
      <c r="AC661" s="293"/>
      <c r="AD661" s="293"/>
      <c r="AE661" s="293"/>
    </row>
    <row r="662" spans="15:31">
      <c r="O662" s="293"/>
      <c r="P662" s="293"/>
      <c r="Q662" s="293"/>
      <c r="R662" s="293"/>
      <c r="S662" s="293"/>
      <c r="T662" s="293"/>
      <c r="U662" s="293"/>
      <c r="V662" s="293"/>
      <c r="W662" s="293"/>
      <c r="X662" s="293"/>
      <c r="Y662" s="293"/>
      <c r="Z662" s="293"/>
      <c r="AA662" s="293"/>
      <c r="AB662" s="293"/>
      <c r="AC662" s="293"/>
      <c r="AD662" s="293"/>
      <c r="AE662" s="293"/>
    </row>
    <row r="663" spans="15:31">
      <c r="O663" s="293"/>
      <c r="P663" s="293"/>
      <c r="Q663" s="293"/>
      <c r="R663" s="293"/>
      <c r="S663" s="293"/>
      <c r="T663" s="293"/>
      <c r="U663" s="293"/>
      <c r="V663" s="293"/>
      <c r="W663" s="293"/>
      <c r="X663" s="293"/>
      <c r="Y663" s="293"/>
      <c r="Z663" s="293"/>
      <c r="AA663" s="293"/>
      <c r="AB663" s="293"/>
      <c r="AC663" s="293"/>
      <c r="AD663" s="293"/>
      <c r="AE663" s="293"/>
    </row>
    <row r="664" spans="15:31">
      <c r="O664" s="293"/>
      <c r="P664" s="293"/>
      <c r="Q664" s="293"/>
      <c r="R664" s="293"/>
      <c r="S664" s="293"/>
      <c r="T664" s="293"/>
      <c r="U664" s="293"/>
      <c r="V664" s="293"/>
      <c r="W664" s="293"/>
      <c r="X664" s="293"/>
      <c r="Y664" s="293"/>
      <c r="Z664" s="293"/>
      <c r="AA664" s="293"/>
      <c r="AB664" s="293"/>
      <c r="AC664" s="293"/>
      <c r="AD664" s="293"/>
      <c r="AE664" s="293"/>
    </row>
    <row r="665" spans="15:31">
      <c r="O665" s="293"/>
      <c r="P665" s="293"/>
      <c r="Q665" s="293"/>
      <c r="R665" s="293"/>
      <c r="S665" s="293"/>
      <c r="T665" s="293"/>
      <c r="U665" s="293"/>
      <c r="V665" s="293"/>
      <c r="W665" s="293"/>
      <c r="X665" s="293"/>
      <c r="Y665" s="293"/>
      <c r="Z665" s="293"/>
      <c r="AA665" s="293"/>
      <c r="AB665" s="293"/>
      <c r="AC665" s="293"/>
      <c r="AD665" s="293"/>
      <c r="AE665" s="293"/>
    </row>
    <row r="666" spans="15:31">
      <c r="O666" s="293"/>
      <c r="P666" s="293"/>
      <c r="Q666" s="293"/>
      <c r="R666" s="293"/>
      <c r="S666" s="293"/>
      <c r="T666" s="293"/>
      <c r="U666" s="293"/>
      <c r="V666" s="293"/>
      <c r="W666" s="293"/>
      <c r="X666" s="293"/>
      <c r="Y666" s="293"/>
      <c r="Z666" s="293"/>
      <c r="AA666" s="293"/>
      <c r="AB666" s="293"/>
      <c r="AC666" s="293"/>
      <c r="AD666" s="293"/>
      <c r="AE666" s="293"/>
    </row>
    <row r="667" spans="15:31">
      <c r="O667" s="293"/>
      <c r="P667" s="293"/>
      <c r="Q667" s="293"/>
      <c r="R667" s="293"/>
      <c r="S667" s="293"/>
      <c r="T667" s="293"/>
      <c r="U667" s="293"/>
      <c r="V667" s="293"/>
      <c r="W667" s="293"/>
      <c r="X667" s="293"/>
      <c r="Y667" s="293"/>
      <c r="Z667" s="293"/>
      <c r="AA667" s="293"/>
      <c r="AB667" s="293"/>
      <c r="AC667" s="293"/>
      <c r="AD667" s="293"/>
      <c r="AE667" s="293"/>
    </row>
    <row r="668" spans="15:31">
      <c r="O668" s="293"/>
      <c r="P668" s="293"/>
      <c r="Q668" s="293"/>
      <c r="R668" s="293"/>
      <c r="S668" s="293"/>
      <c r="T668" s="293"/>
      <c r="U668" s="293"/>
      <c r="V668" s="293"/>
      <c r="W668" s="293"/>
      <c r="X668" s="293"/>
      <c r="Y668" s="293"/>
      <c r="Z668" s="293"/>
      <c r="AA668" s="293"/>
      <c r="AB668" s="293"/>
      <c r="AC668" s="293"/>
      <c r="AD668" s="293"/>
      <c r="AE668" s="293"/>
    </row>
    <row r="669" spans="15:31">
      <c r="O669" s="293"/>
      <c r="P669" s="293"/>
      <c r="Q669" s="293"/>
      <c r="R669" s="293"/>
      <c r="S669" s="293"/>
      <c r="T669" s="293"/>
      <c r="U669" s="293"/>
      <c r="V669" s="293"/>
      <c r="W669" s="293"/>
      <c r="X669" s="293"/>
      <c r="Y669" s="293"/>
      <c r="Z669" s="293"/>
      <c r="AA669" s="293"/>
      <c r="AB669" s="293"/>
      <c r="AC669" s="293"/>
      <c r="AD669" s="293"/>
      <c r="AE669" s="293"/>
    </row>
    <row r="670" spans="15:31">
      <c r="O670" s="293"/>
      <c r="P670" s="293"/>
      <c r="Q670" s="293"/>
      <c r="R670" s="293"/>
      <c r="S670" s="293"/>
      <c r="T670" s="293"/>
      <c r="U670" s="293"/>
      <c r="V670" s="293"/>
      <c r="W670" s="293"/>
      <c r="X670" s="293"/>
      <c r="Y670" s="293"/>
      <c r="Z670" s="293"/>
      <c r="AA670" s="293"/>
      <c r="AB670" s="293"/>
      <c r="AC670" s="293"/>
      <c r="AD670" s="293"/>
      <c r="AE670" s="293"/>
    </row>
    <row r="671" spans="15:31">
      <c r="O671" s="293"/>
      <c r="P671" s="293"/>
      <c r="Q671" s="293"/>
      <c r="R671" s="293"/>
      <c r="S671" s="293"/>
      <c r="T671" s="293"/>
      <c r="U671" s="293"/>
      <c r="V671" s="293"/>
      <c r="W671" s="293"/>
      <c r="X671" s="293"/>
      <c r="Y671" s="293"/>
      <c r="Z671" s="293"/>
      <c r="AA671" s="293"/>
      <c r="AB671" s="293"/>
      <c r="AC671" s="293"/>
      <c r="AD671" s="293"/>
      <c r="AE671" s="293"/>
    </row>
    <row r="672" spans="15:31">
      <c r="O672" s="293"/>
      <c r="P672" s="293"/>
      <c r="Q672" s="293"/>
      <c r="R672" s="293"/>
      <c r="S672" s="293"/>
      <c r="T672" s="293"/>
      <c r="U672" s="293"/>
      <c r="V672" s="293"/>
      <c r="W672" s="293"/>
      <c r="X672" s="293"/>
      <c r="Y672" s="293"/>
      <c r="Z672" s="293"/>
      <c r="AA672" s="293"/>
      <c r="AB672" s="293"/>
      <c r="AC672" s="293"/>
      <c r="AD672" s="293"/>
      <c r="AE672" s="293"/>
    </row>
    <row r="673" spans="15:31">
      <c r="O673" s="293"/>
      <c r="P673" s="293"/>
      <c r="Q673" s="293"/>
      <c r="R673" s="293"/>
      <c r="S673" s="293"/>
      <c r="T673" s="293"/>
      <c r="U673" s="293"/>
      <c r="V673" s="293"/>
      <c r="W673" s="293"/>
      <c r="X673" s="293"/>
      <c r="Y673" s="293"/>
      <c r="Z673" s="293"/>
      <c r="AA673" s="293"/>
      <c r="AB673" s="293"/>
      <c r="AC673" s="293"/>
      <c r="AD673" s="293"/>
      <c r="AE673" s="293"/>
    </row>
    <row r="674" spans="15:31">
      <c r="O674" s="293"/>
      <c r="P674" s="293"/>
      <c r="Q674" s="293"/>
      <c r="R674" s="293"/>
      <c r="S674" s="293"/>
      <c r="T674" s="293"/>
      <c r="U674" s="293"/>
      <c r="V674" s="293"/>
      <c r="W674" s="293"/>
      <c r="X674" s="293"/>
      <c r="Y674" s="293"/>
      <c r="Z674" s="293"/>
      <c r="AA674" s="293"/>
      <c r="AB674" s="293"/>
      <c r="AC674" s="293"/>
      <c r="AD674" s="293"/>
      <c r="AE674" s="293"/>
    </row>
    <row r="675" spans="15:31">
      <c r="O675" s="293"/>
      <c r="P675" s="293"/>
      <c r="Q675" s="293"/>
      <c r="R675" s="293"/>
      <c r="S675" s="293"/>
      <c r="T675" s="293"/>
      <c r="U675" s="293"/>
      <c r="V675" s="293"/>
      <c r="W675" s="293"/>
      <c r="X675" s="293"/>
      <c r="Y675" s="293"/>
      <c r="Z675" s="293"/>
      <c r="AA675" s="293"/>
      <c r="AB675" s="293"/>
      <c r="AC675" s="293"/>
      <c r="AD675" s="293"/>
      <c r="AE675" s="293"/>
    </row>
    <row r="676" spans="15:31">
      <c r="O676" s="293"/>
      <c r="P676" s="293"/>
      <c r="Q676" s="293"/>
      <c r="R676" s="293"/>
      <c r="S676" s="293"/>
      <c r="T676" s="293"/>
      <c r="U676" s="293"/>
      <c r="V676" s="293"/>
      <c r="W676" s="293"/>
      <c r="X676" s="293"/>
      <c r="Y676" s="293"/>
      <c r="Z676" s="293"/>
      <c r="AA676" s="293"/>
      <c r="AB676" s="293"/>
      <c r="AC676" s="293"/>
      <c r="AD676" s="293"/>
      <c r="AE676" s="293"/>
    </row>
    <row r="677" spans="15:31">
      <c r="O677" s="293"/>
      <c r="P677" s="293"/>
      <c r="Q677" s="293"/>
      <c r="R677" s="293"/>
      <c r="S677" s="293"/>
      <c r="T677" s="293"/>
      <c r="U677" s="293"/>
      <c r="V677" s="293"/>
      <c r="W677" s="293"/>
      <c r="X677" s="293"/>
      <c r="Y677" s="293"/>
      <c r="Z677" s="293"/>
      <c r="AA677" s="293"/>
      <c r="AB677" s="293"/>
      <c r="AC677" s="293"/>
      <c r="AD677" s="293"/>
      <c r="AE677" s="293"/>
    </row>
    <row r="678" spans="15:31">
      <c r="O678" s="293"/>
      <c r="P678" s="293"/>
      <c r="Q678" s="293"/>
      <c r="R678" s="293"/>
      <c r="S678" s="293"/>
      <c r="T678" s="293"/>
      <c r="U678" s="293"/>
      <c r="V678" s="293"/>
      <c r="W678" s="293"/>
      <c r="X678" s="293"/>
      <c r="Y678" s="293"/>
      <c r="Z678" s="293"/>
      <c r="AA678" s="293"/>
      <c r="AB678" s="293"/>
      <c r="AC678" s="293"/>
      <c r="AD678" s="293"/>
      <c r="AE678" s="293"/>
    </row>
    <row r="679" spans="15:31">
      <c r="O679" s="293"/>
      <c r="P679" s="293"/>
      <c r="Q679" s="293"/>
      <c r="R679" s="293"/>
      <c r="S679" s="293"/>
      <c r="T679" s="293"/>
      <c r="U679" s="293"/>
      <c r="V679" s="293"/>
      <c r="W679" s="293"/>
      <c r="X679" s="293"/>
      <c r="Y679" s="293"/>
      <c r="Z679" s="293"/>
      <c r="AA679" s="293"/>
      <c r="AB679" s="293"/>
      <c r="AC679" s="293"/>
      <c r="AD679" s="293"/>
      <c r="AE679" s="293"/>
    </row>
    <row r="680" spans="15:31">
      <c r="O680" s="293"/>
      <c r="P680" s="293"/>
      <c r="Q680" s="293"/>
      <c r="R680" s="293"/>
      <c r="S680" s="293"/>
      <c r="T680" s="293"/>
      <c r="U680" s="293"/>
      <c r="V680" s="293"/>
      <c r="W680" s="293"/>
      <c r="X680" s="293"/>
      <c r="Y680" s="293"/>
      <c r="Z680" s="293"/>
      <c r="AA680" s="293"/>
      <c r="AB680" s="293"/>
      <c r="AC680" s="293"/>
      <c r="AD680" s="293"/>
      <c r="AE680" s="293"/>
    </row>
    <row r="681" spans="15:31">
      <c r="O681" s="293"/>
      <c r="P681" s="293"/>
      <c r="Q681" s="293"/>
      <c r="R681" s="293"/>
      <c r="S681" s="293"/>
      <c r="T681" s="293"/>
      <c r="U681" s="293"/>
      <c r="V681" s="293"/>
      <c r="W681" s="293"/>
      <c r="X681" s="293"/>
      <c r="Y681" s="293"/>
      <c r="Z681" s="293"/>
      <c r="AA681" s="293"/>
      <c r="AB681" s="293"/>
      <c r="AC681" s="293"/>
      <c r="AD681" s="293"/>
      <c r="AE681" s="293"/>
    </row>
    <row r="682" spans="15:31">
      <c r="O682" s="293"/>
      <c r="P682" s="293"/>
      <c r="Q682" s="293"/>
      <c r="R682" s="293"/>
      <c r="S682" s="293"/>
      <c r="T682" s="293"/>
      <c r="U682" s="293"/>
      <c r="V682" s="293"/>
      <c r="W682" s="293"/>
      <c r="X682" s="293"/>
      <c r="Y682" s="293"/>
      <c r="Z682" s="293"/>
      <c r="AA682" s="293"/>
      <c r="AB682" s="293"/>
      <c r="AC682" s="293"/>
      <c r="AD682" s="293"/>
      <c r="AE682" s="293"/>
    </row>
    <row r="683" spans="15:31">
      <c r="O683" s="293"/>
      <c r="P683" s="293"/>
      <c r="Q683" s="293"/>
      <c r="R683" s="293"/>
      <c r="S683" s="293"/>
      <c r="T683" s="293"/>
      <c r="U683" s="293"/>
      <c r="V683" s="293"/>
      <c r="W683" s="293"/>
      <c r="X683" s="293"/>
      <c r="Y683" s="293"/>
      <c r="Z683" s="293"/>
      <c r="AA683" s="293"/>
      <c r="AB683" s="293"/>
      <c r="AC683" s="293"/>
      <c r="AD683" s="293"/>
      <c r="AE683" s="293"/>
    </row>
    <row r="684" spans="15:31">
      <c r="O684" s="293"/>
      <c r="P684" s="293"/>
      <c r="Q684" s="293"/>
      <c r="R684" s="293"/>
      <c r="S684" s="293"/>
      <c r="T684" s="293"/>
      <c r="U684" s="293"/>
      <c r="V684" s="293"/>
      <c r="W684" s="293"/>
      <c r="X684" s="293"/>
      <c r="Y684" s="293"/>
      <c r="Z684" s="293"/>
      <c r="AA684" s="293"/>
      <c r="AB684" s="293"/>
      <c r="AC684" s="293"/>
      <c r="AD684" s="293"/>
      <c r="AE684" s="293"/>
    </row>
    <row r="685" spans="15:31">
      <c r="O685" s="293"/>
      <c r="P685" s="293"/>
      <c r="Q685" s="293"/>
      <c r="R685" s="293"/>
      <c r="S685" s="293"/>
      <c r="T685" s="293"/>
      <c r="U685" s="293"/>
      <c r="V685" s="293"/>
      <c r="W685" s="293"/>
      <c r="X685" s="293"/>
      <c r="Y685" s="293"/>
      <c r="Z685" s="293"/>
      <c r="AA685" s="293"/>
      <c r="AB685" s="293"/>
      <c r="AC685" s="293"/>
      <c r="AD685" s="293"/>
      <c r="AE685" s="293"/>
    </row>
    <row r="686" spans="15:31">
      <c r="O686" s="293"/>
      <c r="P686" s="293"/>
      <c r="Q686" s="293"/>
      <c r="R686" s="293"/>
      <c r="S686" s="293"/>
      <c r="T686" s="293"/>
      <c r="U686" s="293"/>
      <c r="V686" s="293"/>
      <c r="W686" s="293"/>
      <c r="X686" s="293"/>
      <c r="Y686" s="293"/>
      <c r="Z686" s="293"/>
      <c r="AA686" s="293"/>
      <c r="AB686" s="293"/>
      <c r="AC686" s="293"/>
      <c r="AD686" s="293"/>
      <c r="AE686" s="293"/>
    </row>
    <row r="687" spans="15:31">
      <c r="O687" s="293"/>
      <c r="P687" s="293"/>
      <c r="Q687" s="293"/>
      <c r="R687" s="293"/>
      <c r="S687" s="293"/>
      <c r="T687" s="293"/>
      <c r="U687" s="293"/>
      <c r="V687" s="293"/>
      <c r="W687" s="293"/>
      <c r="X687" s="293"/>
      <c r="Y687" s="293"/>
      <c r="Z687" s="293"/>
      <c r="AA687" s="293"/>
      <c r="AB687" s="293"/>
      <c r="AC687" s="293"/>
      <c r="AD687" s="293"/>
      <c r="AE687" s="293"/>
    </row>
    <row r="688" spans="15:31">
      <c r="O688" s="293"/>
      <c r="P688" s="293"/>
      <c r="Q688" s="293"/>
      <c r="R688" s="293"/>
      <c r="S688" s="293"/>
      <c r="T688" s="293"/>
      <c r="U688" s="293"/>
      <c r="V688" s="293"/>
      <c r="W688" s="293"/>
      <c r="X688" s="293"/>
      <c r="Y688" s="293"/>
      <c r="Z688" s="293"/>
      <c r="AA688" s="293"/>
      <c r="AB688" s="293"/>
      <c r="AC688" s="293"/>
      <c r="AD688" s="293"/>
      <c r="AE688" s="293"/>
    </row>
    <row r="689" spans="15:31">
      <c r="O689" s="293"/>
      <c r="P689" s="293"/>
      <c r="Q689" s="293"/>
      <c r="R689" s="293"/>
      <c r="S689" s="293"/>
      <c r="T689" s="293"/>
      <c r="U689" s="293"/>
      <c r="V689" s="293"/>
      <c r="W689" s="293"/>
      <c r="X689" s="293"/>
      <c r="Y689" s="293"/>
      <c r="Z689" s="293"/>
      <c r="AA689" s="293"/>
      <c r="AB689" s="293"/>
      <c r="AC689" s="293"/>
      <c r="AD689" s="293"/>
      <c r="AE689" s="293"/>
    </row>
    <row r="690" spans="15:31">
      <c r="O690" s="293"/>
      <c r="P690" s="293"/>
      <c r="Q690" s="293"/>
      <c r="R690" s="293"/>
      <c r="S690" s="293"/>
      <c r="T690" s="293"/>
      <c r="U690" s="293"/>
      <c r="V690" s="293"/>
      <c r="W690" s="293"/>
      <c r="X690" s="293"/>
      <c r="Y690" s="293"/>
      <c r="Z690" s="293"/>
      <c r="AA690" s="293"/>
      <c r="AB690" s="293"/>
      <c r="AC690" s="293"/>
      <c r="AD690" s="293"/>
      <c r="AE690" s="293"/>
    </row>
    <row r="691" spans="15:31">
      <c r="O691" s="293"/>
      <c r="P691" s="293"/>
      <c r="Q691" s="293"/>
      <c r="R691" s="293"/>
      <c r="S691" s="293"/>
      <c r="T691" s="293"/>
      <c r="U691" s="293"/>
      <c r="V691" s="293"/>
      <c r="W691" s="293"/>
      <c r="X691" s="293"/>
      <c r="Y691" s="293"/>
      <c r="Z691" s="293"/>
      <c r="AA691" s="293"/>
      <c r="AB691" s="293"/>
      <c r="AC691" s="293"/>
      <c r="AD691" s="293"/>
      <c r="AE691" s="293"/>
    </row>
    <row r="692" spans="15:31">
      <c r="O692" s="293"/>
      <c r="P692" s="293"/>
      <c r="Q692" s="293"/>
      <c r="R692" s="293"/>
      <c r="S692" s="293"/>
      <c r="T692" s="293"/>
      <c r="U692" s="293"/>
      <c r="V692" s="293"/>
      <c r="W692" s="293"/>
      <c r="X692" s="293"/>
      <c r="Y692" s="293"/>
      <c r="Z692" s="293"/>
      <c r="AA692" s="293"/>
      <c r="AB692" s="293"/>
      <c r="AC692" s="293"/>
      <c r="AD692" s="293"/>
      <c r="AE692" s="293"/>
    </row>
    <row r="693" spans="15:31">
      <c r="O693" s="293"/>
      <c r="P693" s="293"/>
      <c r="Q693" s="293"/>
      <c r="R693" s="293"/>
      <c r="S693" s="293"/>
      <c r="T693" s="293"/>
      <c r="U693" s="293"/>
      <c r="V693" s="293"/>
      <c r="W693" s="293"/>
      <c r="X693" s="293"/>
      <c r="Y693" s="293"/>
      <c r="Z693" s="293"/>
      <c r="AA693" s="293"/>
      <c r="AB693" s="293"/>
      <c r="AC693" s="293"/>
      <c r="AD693" s="293"/>
      <c r="AE693" s="293"/>
    </row>
    <row r="694" spans="15:31">
      <c r="O694" s="293"/>
      <c r="P694" s="293"/>
      <c r="Q694" s="293"/>
      <c r="R694" s="293"/>
      <c r="S694" s="293"/>
      <c r="T694" s="293"/>
      <c r="U694" s="293"/>
      <c r="V694" s="293"/>
      <c r="W694" s="293"/>
      <c r="X694" s="293"/>
      <c r="Y694" s="293"/>
      <c r="Z694" s="293"/>
      <c r="AA694" s="293"/>
      <c r="AB694" s="293"/>
      <c r="AC694" s="293"/>
      <c r="AD694" s="293"/>
      <c r="AE694" s="293"/>
    </row>
    <row r="695" spans="15:31">
      <c r="O695" s="293"/>
      <c r="P695" s="293"/>
      <c r="Q695" s="293"/>
      <c r="R695" s="293"/>
      <c r="S695" s="293"/>
      <c r="T695" s="293"/>
      <c r="U695" s="293"/>
      <c r="V695" s="293"/>
      <c r="W695" s="293"/>
      <c r="X695" s="293"/>
      <c r="Y695" s="293"/>
      <c r="Z695" s="293"/>
      <c r="AA695" s="293"/>
      <c r="AB695" s="293"/>
      <c r="AC695" s="293"/>
      <c r="AD695" s="293"/>
      <c r="AE695" s="293"/>
    </row>
    <row r="696" spans="15:31">
      <c r="O696" s="293"/>
      <c r="P696" s="293"/>
      <c r="Q696" s="293"/>
      <c r="R696" s="293"/>
      <c r="S696" s="293"/>
      <c r="T696" s="293"/>
      <c r="U696" s="293"/>
      <c r="V696" s="293"/>
      <c r="W696" s="293"/>
      <c r="X696" s="293"/>
      <c r="Y696" s="293"/>
      <c r="Z696" s="293"/>
      <c r="AA696" s="293"/>
      <c r="AB696" s="293"/>
      <c r="AC696" s="293"/>
      <c r="AD696" s="293"/>
      <c r="AE696" s="293"/>
    </row>
    <row r="697" spans="15:31">
      <c r="O697" s="293"/>
      <c r="P697" s="293"/>
      <c r="Q697" s="293"/>
      <c r="R697" s="293"/>
      <c r="S697" s="293"/>
      <c r="T697" s="293"/>
      <c r="U697" s="293"/>
      <c r="V697" s="293"/>
      <c r="W697" s="293"/>
      <c r="X697" s="293"/>
      <c r="Y697" s="293"/>
      <c r="Z697" s="293"/>
      <c r="AA697" s="293"/>
      <c r="AB697" s="293"/>
      <c r="AC697" s="293"/>
      <c r="AD697" s="293"/>
      <c r="AE697" s="293"/>
    </row>
    <row r="698" spans="15:31">
      <c r="O698" s="293"/>
      <c r="P698" s="293"/>
      <c r="Q698" s="293"/>
      <c r="R698" s="293"/>
      <c r="S698" s="293"/>
      <c r="T698" s="293"/>
      <c r="U698" s="293"/>
      <c r="V698" s="293"/>
      <c r="W698" s="293"/>
      <c r="X698" s="293"/>
      <c r="Y698" s="293"/>
      <c r="Z698" s="293"/>
      <c r="AA698" s="293"/>
      <c r="AB698" s="293"/>
      <c r="AC698" s="293"/>
      <c r="AD698" s="293"/>
      <c r="AE698" s="293"/>
    </row>
    <row r="699" spans="15:31">
      <c r="O699" s="293"/>
      <c r="P699" s="293"/>
      <c r="Q699" s="293"/>
      <c r="R699" s="293"/>
      <c r="S699" s="293"/>
      <c r="T699" s="293"/>
      <c r="U699" s="293"/>
      <c r="V699" s="293"/>
      <c r="W699" s="293"/>
      <c r="X699" s="293"/>
      <c r="Y699" s="293"/>
      <c r="Z699" s="293"/>
      <c r="AA699" s="293"/>
      <c r="AB699" s="293"/>
      <c r="AC699" s="293"/>
      <c r="AD699" s="293"/>
      <c r="AE699" s="293"/>
    </row>
    <row r="700" spans="15:31">
      <c r="O700" s="293"/>
      <c r="P700" s="293"/>
      <c r="Q700" s="293"/>
      <c r="R700" s="293"/>
      <c r="S700" s="293"/>
      <c r="T700" s="293"/>
      <c r="U700" s="293"/>
      <c r="V700" s="293"/>
      <c r="W700" s="293"/>
      <c r="X700" s="293"/>
      <c r="Y700" s="293"/>
      <c r="Z700" s="293"/>
      <c r="AA700" s="293"/>
      <c r="AB700" s="293"/>
      <c r="AC700" s="293"/>
      <c r="AD700" s="293"/>
      <c r="AE700" s="293"/>
    </row>
    <row r="701" spans="15:31">
      <c r="O701" s="293"/>
      <c r="P701" s="293"/>
      <c r="Q701" s="293"/>
      <c r="R701" s="293"/>
      <c r="S701" s="293"/>
      <c r="T701" s="293"/>
      <c r="U701" s="293"/>
      <c r="V701" s="293"/>
      <c r="W701" s="293"/>
      <c r="X701" s="293"/>
      <c r="Y701" s="293"/>
      <c r="Z701" s="293"/>
      <c r="AA701" s="293"/>
      <c r="AB701" s="293"/>
      <c r="AC701" s="293"/>
      <c r="AD701" s="293"/>
      <c r="AE701" s="293"/>
    </row>
    <row r="702" spans="15:31">
      <c r="O702" s="293"/>
      <c r="P702" s="293"/>
      <c r="Q702" s="293"/>
      <c r="R702" s="293"/>
      <c r="S702" s="293"/>
      <c r="T702" s="293"/>
      <c r="U702" s="293"/>
      <c r="V702" s="293"/>
      <c r="W702" s="293"/>
      <c r="X702" s="293"/>
      <c r="Y702" s="293"/>
      <c r="Z702" s="293"/>
      <c r="AA702" s="293"/>
      <c r="AB702" s="293"/>
      <c r="AC702" s="293"/>
      <c r="AD702" s="293"/>
      <c r="AE702" s="293"/>
    </row>
    <row r="703" spans="15:31">
      <c r="O703" s="293"/>
      <c r="P703" s="293"/>
      <c r="Q703" s="293"/>
      <c r="R703" s="293"/>
      <c r="S703" s="293"/>
      <c r="T703" s="293"/>
      <c r="U703" s="293"/>
      <c r="V703" s="293"/>
      <c r="W703" s="293"/>
      <c r="X703" s="293"/>
      <c r="Y703" s="293"/>
      <c r="Z703" s="293"/>
      <c r="AA703" s="293"/>
      <c r="AB703" s="293"/>
      <c r="AC703" s="293"/>
      <c r="AD703" s="293"/>
      <c r="AE703" s="293"/>
    </row>
    <row r="704" spans="15:31">
      <c r="O704" s="293"/>
      <c r="P704" s="293"/>
      <c r="Q704" s="293"/>
      <c r="R704" s="293"/>
      <c r="S704" s="293"/>
      <c r="T704" s="293"/>
      <c r="U704" s="293"/>
      <c r="V704" s="293"/>
      <c r="W704" s="293"/>
      <c r="X704" s="293"/>
      <c r="Y704" s="293"/>
      <c r="Z704" s="293"/>
      <c r="AA704" s="293"/>
      <c r="AB704" s="293"/>
      <c r="AC704" s="293"/>
      <c r="AD704" s="293"/>
      <c r="AE704" s="293"/>
    </row>
    <row r="705" spans="15:31">
      <c r="O705" s="293"/>
      <c r="P705" s="293"/>
      <c r="Q705" s="293"/>
      <c r="R705" s="293"/>
      <c r="S705" s="293"/>
      <c r="T705" s="293"/>
      <c r="U705" s="293"/>
      <c r="V705" s="293"/>
      <c r="W705" s="293"/>
      <c r="X705" s="293"/>
      <c r="Y705" s="293"/>
      <c r="Z705" s="293"/>
      <c r="AA705" s="293"/>
      <c r="AB705" s="293"/>
      <c r="AC705" s="293"/>
      <c r="AD705" s="293"/>
      <c r="AE705" s="293"/>
    </row>
    <row r="706" spans="15:31">
      <c r="O706" s="293"/>
      <c r="P706" s="293"/>
      <c r="Q706" s="293"/>
      <c r="R706" s="293"/>
      <c r="S706" s="293"/>
      <c r="T706" s="293"/>
      <c r="U706" s="293"/>
      <c r="V706" s="293"/>
      <c r="W706" s="293"/>
      <c r="X706" s="293"/>
      <c r="Y706" s="293"/>
      <c r="Z706" s="293"/>
      <c r="AA706" s="293"/>
      <c r="AB706" s="293"/>
      <c r="AC706" s="293"/>
      <c r="AD706" s="293"/>
      <c r="AE706" s="293"/>
    </row>
    <row r="707" spans="15:31">
      <c r="O707" s="293"/>
      <c r="P707" s="293"/>
      <c r="Q707" s="293"/>
      <c r="R707" s="293"/>
      <c r="S707" s="293"/>
      <c r="T707" s="293"/>
      <c r="U707" s="293"/>
      <c r="V707" s="293"/>
      <c r="W707" s="293"/>
      <c r="X707" s="293"/>
      <c r="Y707" s="293"/>
      <c r="Z707" s="293"/>
      <c r="AA707" s="293"/>
      <c r="AB707" s="293"/>
      <c r="AC707" s="293"/>
      <c r="AD707" s="293"/>
      <c r="AE707" s="293"/>
    </row>
    <row r="708" spans="15:31">
      <c r="O708" s="293"/>
      <c r="P708" s="293"/>
      <c r="Q708" s="293"/>
      <c r="R708" s="293"/>
      <c r="S708" s="293"/>
      <c r="T708" s="293"/>
      <c r="U708" s="293"/>
      <c r="V708" s="293"/>
      <c r="W708" s="293"/>
      <c r="X708" s="293"/>
      <c r="Y708" s="293"/>
      <c r="Z708" s="293"/>
      <c r="AA708" s="293"/>
      <c r="AB708" s="293"/>
      <c r="AC708" s="293"/>
      <c r="AD708" s="293"/>
      <c r="AE708" s="293"/>
    </row>
    <row r="709" spans="15:31">
      <c r="O709" s="293"/>
      <c r="P709" s="293"/>
      <c r="Q709" s="293"/>
      <c r="R709" s="293"/>
      <c r="S709" s="293"/>
      <c r="T709" s="293"/>
      <c r="U709" s="293"/>
      <c r="V709" s="293"/>
      <c r="W709" s="293"/>
      <c r="X709" s="293"/>
      <c r="Y709" s="293"/>
      <c r="Z709" s="293"/>
      <c r="AA709" s="293"/>
      <c r="AB709" s="293"/>
      <c r="AC709" s="293"/>
      <c r="AD709" s="293"/>
      <c r="AE709" s="293"/>
    </row>
    <row r="710" spans="15:31">
      <c r="O710" s="293"/>
      <c r="P710" s="293"/>
      <c r="Q710" s="293"/>
      <c r="R710" s="293"/>
      <c r="S710" s="293"/>
      <c r="T710" s="293"/>
      <c r="U710" s="293"/>
      <c r="V710" s="293"/>
      <c r="W710" s="293"/>
      <c r="X710" s="293"/>
      <c r="Y710" s="293"/>
      <c r="Z710" s="293"/>
      <c r="AA710" s="293"/>
      <c r="AB710" s="293"/>
      <c r="AC710" s="293"/>
      <c r="AD710" s="293"/>
      <c r="AE710" s="293"/>
    </row>
    <row r="711" spans="15:31">
      <c r="O711" s="293"/>
      <c r="P711" s="293"/>
      <c r="Q711" s="293"/>
      <c r="R711" s="293"/>
      <c r="S711" s="293"/>
      <c r="T711" s="293"/>
      <c r="U711" s="293"/>
      <c r="V711" s="293"/>
      <c r="W711" s="293"/>
      <c r="X711" s="293"/>
      <c r="Y711" s="293"/>
      <c r="Z711" s="293"/>
      <c r="AA711" s="293"/>
      <c r="AB711" s="293"/>
      <c r="AC711" s="293"/>
      <c r="AD711" s="293"/>
      <c r="AE711" s="293"/>
    </row>
    <row r="712" spans="15:31">
      <c r="O712" s="293"/>
      <c r="P712" s="293"/>
      <c r="Q712" s="293"/>
      <c r="R712" s="293"/>
      <c r="S712" s="293"/>
      <c r="T712" s="293"/>
      <c r="U712" s="293"/>
      <c r="V712" s="293"/>
      <c r="W712" s="293"/>
      <c r="X712" s="293"/>
      <c r="Y712" s="293"/>
      <c r="Z712" s="293"/>
      <c r="AA712" s="293"/>
      <c r="AB712" s="293"/>
      <c r="AC712" s="293"/>
      <c r="AD712" s="293"/>
      <c r="AE712" s="293"/>
    </row>
    <row r="713" spans="15:31">
      <c r="O713" s="293"/>
      <c r="P713" s="293"/>
      <c r="Q713" s="293"/>
      <c r="R713" s="293"/>
      <c r="S713" s="293"/>
      <c r="T713" s="293"/>
      <c r="U713" s="293"/>
      <c r="V713" s="293"/>
      <c r="W713" s="293"/>
      <c r="X713" s="293"/>
      <c r="Y713" s="293"/>
      <c r="Z713" s="293"/>
      <c r="AA713" s="293"/>
      <c r="AB713" s="293"/>
      <c r="AC713" s="293"/>
      <c r="AD713" s="293"/>
      <c r="AE713" s="293"/>
    </row>
    <row r="714" spans="15:31">
      <c r="O714" s="293"/>
      <c r="P714" s="293"/>
      <c r="Q714" s="293"/>
      <c r="R714" s="293"/>
      <c r="S714" s="293"/>
      <c r="T714" s="293"/>
      <c r="U714" s="293"/>
      <c r="V714" s="293"/>
      <c r="W714" s="293"/>
      <c r="X714" s="293"/>
      <c r="Y714" s="293"/>
      <c r="Z714" s="293"/>
      <c r="AA714" s="293"/>
      <c r="AB714" s="293"/>
      <c r="AC714" s="293"/>
      <c r="AD714" s="293"/>
      <c r="AE714" s="293"/>
    </row>
    <row r="715" spans="15:31">
      <c r="O715" s="293"/>
      <c r="P715" s="293"/>
      <c r="Q715" s="293"/>
      <c r="R715" s="293"/>
      <c r="S715" s="293"/>
      <c r="T715" s="293"/>
      <c r="U715" s="293"/>
      <c r="V715" s="293"/>
      <c r="W715" s="293"/>
      <c r="X715" s="293"/>
      <c r="Y715" s="293"/>
      <c r="Z715" s="293"/>
      <c r="AA715" s="293"/>
      <c r="AB715" s="293"/>
      <c r="AC715" s="293"/>
      <c r="AD715" s="293"/>
      <c r="AE715" s="293"/>
    </row>
    <row r="716" spans="15:31">
      <c r="O716" s="293"/>
      <c r="P716" s="293"/>
      <c r="Q716" s="293"/>
      <c r="R716" s="293"/>
      <c r="S716" s="293"/>
      <c r="T716" s="293"/>
      <c r="U716" s="293"/>
      <c r="V716" s="293"/>
      <c r="W716" s="293"/>
      <c r="X716" s="293"/>
      <c r="Y716" s="293"/>
      <c r="Z716" s="293"/>
      <c r="AA716" s="293"/>
      <c r="AB716" s="293"/>
      <c r="AC716" s="293"/>
      <c r="AD716" s="293"/>
      <c r="AE716" s="293"/>
    </row>
    <row r="717" spans="15:31">
      <c r="O717" s="293"/>
      <c r="P717" s="293"/>
      <c r="Q717" s="293"/>
      <c r="R717" s="293"/>
      <c r="S717" s="293"/>
      <c r="T717" s="293"/>
      <c r="U717" s="293"/>
      <c r="V717" s="293"/>
      <c r="W717" s="293"/>
      <c r="X717" s="293"/>
      <c r="Y717" s="293"/>
      <c r="Z717" s="293"/>
      <c r="AA717" s="293"/>
      <c r="AB717" s="293"/>
      <c r="AC717" s="293"/>
      <c r="AD717" s="293"/>
      <c r="AE717" s="293"/>
    </row>
    <row r="718" spans="15:31">
      <c r="O718" s="293"/>
      <c r="P718" s="293"/>
      <c r="Q718" s="293"/>
      <c r="R718" s="293"/>
      <c r="S718" s="293"/>
      <c r="T718" s="293"/>
      <c r="U718" s="293"/>
      <c r="V718" s="293"/>
      <c r="W718" s="293"/>
      <c r="X718" s="293"/>
      <c r="Y718" s="293"/>
      <c r="Z718" s="293"/>
      <c r="AA718" s="293"/>
      <c r="AB718" s="293"/>
      <c r="AC718" s="293"/>
      <c r="AD718" s="293"/>
      <c r="AE718" s="293"/>
    </row>
    <row r="719" spans="15:31">
      <c r="O719" s="293"/>
      <c r="P719" s="293"/>
      <c r="Q719" s="293"/>
      <c r="R719" s="293"/>
      <c r="S719" s="293"/>
      <c r="T719" s="293"/>
      <c r="U719" s="293"/>
      <c r="V719" s="293"/>
      <c r="W719" s="293"/>
      <c r="X719" s="293"/>
      <c r="Y719" s="293"/>
      <c r="Z719" s="293"/>
      <c r="AA719" s="293"/>
      <c r="AB719" s="293"/>
      <c r="AC719" s="293"/>
      <c r="AD719" s="293"/>
      <c r="AE719" s="293"/>
    </row>
    <row r="720" spans="15:31">
      <c r="O720" s="293"/>
      <c r="P720" s="293"/>
      <c r="Q720" s="293"/>
      <c r="R720" s="293"/>
      <c r="S720" s="293"/>
      <c r="T720" s="293"/>
      <c r="U720" s="293"/>
      <c r="V720" s="293"/>
      <c r="W720" s="293"/>
      <c r="X720" s="293"/>
      <c r="Y720" s="293"/>
      <c r="Z720" s="293"/>
      <c r="AA720" s="293"/>
      <c r="AB720" s="293"/>
      <c r="AC720" s="293"/>
      <c r="AD720" s="293"/>
      <c r="AE720" s="293"/>
    </row>
    <row r="721" spans="15:31">
      <c r="O721" s="293"/>
      <c r="P721" s="293"/>
      <c r="Q721" s="293"/>
      <c r="R721" s="293"/>
      <c r="S721" s="293"/>
      <c r="T721" s="293"/>
      <c r="U721" s="293"/>
      <c r="V721" s="293"/>
      <c r="W721" s="293"/>
      <c r="X721" s="293"/>
      <c r="Y721" s="293"/>
      <c r="Z721" s="293"/>
      <c r="AA721" s="293"/>
      <c r="AB721" s="293"/>
      <c r="AC721" s="293"/>
      <c r="AD721" s="293"/>
      <c r="AE721" s="293"/>
    </row>
    <row r="722" spans="15:31">
      <c r="O722" s="293"/>
      <c r="P722" s="293"/>
      <c r="Q722" s="293"/>
      <c r="R722" s="293"/>
      <c r="S722" s="293"/>
      <c r="T722" s="293"/>
      <c r="U722" s="293"/>
      <c r="V722" s="293"/>
      <c r="W722" s="293"/>
      <c r="X722" s="293"/>
      <c r="Y722" s="293"/>
      <c r="Z722" s="293"/>
      <c r="AA722" s="293"/>
      <c r="AB722" s="293"/>
      <c r="AC722" s="293"/>
      <c r="AD722" s="293"/>
      <c r="AE722" s="293"/>
    </row>
    <row r="723" spans="15:31">
      <c r="O723" s="293"/>
      <c r="P723" s="293"/>
      <c r="Q723" s="293"/>
      <c r="R723" s="293"/>
      <c r="S723" s="293"/>
      <c r="T723" s="293"/>
      <c r="U723" s="293"/>
      <c r="V723" s="293"/>
      <c r="W723" s="293"/>
      <c r="X723" s="293"/>
      <c r="Y723" s="293"/>
      <c r="Z723" s="293"/>
      <c r="AA723" s="293"/>
      <c r="AB723" s="293"/>
      <c r="AC723" s="293"/>
      <c r="AD723" s="293"/>
      <c r="AE723" s="293"/>
    </row>
    <row r="724" spans="15:31">
      <c r="O724" s="293"/>
      <c r="P724" s="293"/>
      <c r="Q724" s="293"/>
      <c r="R724" s="293"/>
      <c r="S724" s="293"/>
      <c r="T724" s="293"/>
      <c r="U724" s="293"/>
      <c r="V724" s="293"/>
      <c r="W724" s="293"/>
      <c r="X724" s="293"/>
      <c r="Y724" s="293"/>
      <c r="Z724" s="293"/>
      <c r="AA724" s="293"/>
      <c r="AB724" s="293"/>
      <c r="AC724" s="293"/>
      <c r="AD724" s="293"/>
      <c r="AE724" s="293"/>
    </row>
    <row r="725" spans="15:31">
      <c r="O725" s="293"/>
      <c r="P725" s="293"/>
      <c r="Q725" s="293"/>
      <c r="R725" s="293"/>
      <c r="S725" s="293"/>
      <c r="T725" s="293"/>
      <c r="U725" s="293"/>
      <c r="V725" s="293"/>
      <c r="W725" s="293"/>
      <c r="X725" s="293"/>
      <c r="Y725" s="293"/>
      <c r="Z725" s="293"/>
      <c r="AA725" s="293"/>
      <c r="AB725" s="293"/>
      <c r="AC725" s="293"/>
      <c r="AD725" s="293"/>
      <c r="AE725" s="293"/>
    </row>
    <row r="726" spans="15:31">
      <c r="O726" s="293"/>
      <c r="P726" s="293"/>
      <c r="Q726" s="293"/>
      <c r="R726" s="293"/>
      <c r="S726" s="293"/>
      <c r="T726" s="293"/>
      <c r="U726" s="293"/>
      <c r="V726" s="293"/>
      <c r="W726" s="293"/>
      <c r="X726" s="293"/>
      <c r="Y726" s="293"/>
      <c r="Z726" s="293"/>
      <c r="AA726" s="293"/>
      <c r="AB726" s="293"/>
      <c r="AC726" s="293"/>
      <c r="AD726" s="293"/>
      <c r="AE726" s="293"/>
    </row>
    <row r="727" spans="15:31">
      <c r="O727" s="293"/>
      <c r="P727" s="293"/>
      <c r="Q727" s="293"/>
      <c r="R727" s="293"/>
      <c r="S727" s="293"/>
      <c r="T727" s="293"/>
      <c r="U727" s="293"/>
      <c r="V727" s="293"/>
      <c r="W727" s="293"/>
      <c r="X727" s="293"/>
      <c r="Y727" s="293"/>
      <c r="Z727" s="293"/>
      <c r="AA727" s="293"/>
      <c r="AB727" s="293"/>
      <c r="AC727" s="293"/>
      <c r="AD727" s="293"/>
      <c r="AE727" s="293"/>
    </row>
    <row r="728" spans="15:31">
      <c r="O728" s="293"/>
      <c r="P728" s="293"/>
      <c r="Q728" s="293"/>
      <c r="R728" s="293"/>
      <c r="S728" s="293"/>
      <c r="T728" s="293"/>
      <c r="U728" s="293"/>
      <c r="V728" s="293"/>
      <c r="W728" s="293"/>
      <c r="X728" s="293"/>
      <c r="Y728" s="293"/>
      <c r="Z728" s="293"/>
      <c r="AA728" s="293"/>
      <c r="AB728" s="293"/>
      <c r="AC728" s="293"/>
      <c r="AD728" s="293"/>
      <c r="AE728" s="293"/>
    </row>
    <row r="729" spans="15:31">
      <c r="O729" s="293"/>
      <c r="P729" s="293"/>
      <c r="Q729" s="293"/>
      <c r="R729" s="293"/>
      <c r="S729" s="293"/>
      <c r="T729" s="293"/>
      <c r="U729" s="293"/>
      <c r="V729" s="293"/>
      <c r="W729" s="293"/>
      <c r="X729" s="293"/>
      <c r="Y729" s="293"/>
      <c r="Z729" s="293"/>
      <c r="AA729" s="293"/>
      <c r="AB729" s="293"/>
      <c r="AC729" s="293"/>
      <c r="AD729" s="293"/>
      <c r="AE729" s="293"/>
    </row>
    <row r="730" spans="15:31">
      <c r="O730" s="293"/>
      <c r="P730" s="293"/>
      <c r="Q730" s="293"/>
      <c r="R730" s="293"/>
      <c r="S730" s="293"/>
      <c r="T730" s="293"/>
      <c r="U730" s="293"/>
      <c r="V730" s="293"/>
      <c r="W730" s="293"/>
      <c r="X730" s="293"/>
      <c r="Y730" s="293"/>
      <c r="Z730" s="293"/>
      <c r="AA730" s="293"/>
      <c r="AB730" s="293"/>
      <c r="AC730" s="293"/>
      <c r="AD730" s="293"/>
      <c r="AE730" s="293"/>
    </row>
    <row r="731" spans="15:31">
      <c r="O731" s="293"/>
      <c r="P731" s="293"/>
      <c r="Q731" s="293"/>
      <c r="R731" s="293"/>
      <c r="S731" s="293"/>
      <c r="T731" s="293"/>
      <c r="U731" s="293"/>
      <c r="V731" s="293"/>
      <c r="W731" s="293"/>
      <c r="X731" s="293"/>
      <c r="Y731" s="293"/>
      <c r="Z731" s="293"/>
      <c r="AA731" s="293"/>
      <c r="AB731" s="293"/>
      <c r="AC731" s="293"/>
      <c r="AD731" s="293"/>
      <c r="AE731" s="293"/>
    </row>
    <row r="732" spans="15:31">
      <c r="O732" s="293"/>
      <c r="P732" s="293"/>
      <c r="Q732" s="293"/>
      <c r="R732" s="293"/>
      <c r="S732" s="293"/>
      <c r="T732" s="293"/>
      <c r="U732" s="293"/>
      <c r="V732" s="293"/>
      <c r="W732" s="293"/>
      <c r="X732" s="293"/>
      <c r="Y732" s="293"/>
      <c r="Z732" s="293"/>
      <c r="AA732" s="293"/>
      <c r="AB732" s="293"/>
      <c r="AC732" s="293"/>
      <c r="AD732" s="293"/>
      <c r="AE732" s="293"/>
    </row>
    <row r="733" spans="15:31">
      <c r="O733" s="293"/>
      <c r="P733" s="293"/>
      <c r="Q733" s="293"/>
      <c r="R733" s="293"/>
      <c r="S733" s="293"/>
      <c r="T733" s="293"/>
      <c r="U733" s="293"/>
      <c r="V733" s="293"/>
      <c r="W733" s="293"/>
      <c r="X733" s="293"/>
      <c r="Y733" s="293"/>
      <c r="Z733" s="293"/>
      <c r="AA733" s="293"/>
      <c r="AB733" s="293"/>
      <c r="AC733" s="293"/>
      <c r="AD733" s="293"/>
      <c r="AE733" s="293"/>
    </row>
    <row r="734" spans="15:31">
      <c r="O734" s="293"/>
      <c r="P734" s="293"/>
      <c r="Q734" s="293"/>
      <c r="R734" s="293"/>
      <c r="S734" s="293"/>
      <c r="T734" s="293"/>
      <c r="U734" s="293"/>
      <c r="V734" s="293"/>
      <c r="W734" s="293"/>
      <c r="X734" s="293"/>
      <c r="Y734" s="293"/>
      <c r="Z734" s="293"/>
      <c r="AA734" s="293"/>
      <c r="AB734" s="293"/>
      <c r="AC734" s="293"/>
      <c r="AD734" s="293"/>
      <c r="AE734" s="293"/>
    </row>
    <row r="735" spans="15:31">
      <c r="O735" s="293"/>
      <c r="P735" s="293"/>
      <c r="Q735" s="293"/>
      <c r="R735" s="293"/>
      <c r="S735" s="293"/>
      <c r="T735" s="293"/>
      <c r="U735" s="293"/>
      <c r="V735" s="293"/>
      <c r="W735" s="293"/>
      <c r="X735" s="293"/>
      <c r="Y735" s="293"/>
      <c r="Z735" s="293"/>
      <c r="AA735" s="293"/>
      <c r="AB735" s="293"/>
      <c r="AC735" s="293"/>
      <c r="AD735" s="293"/>
      <c r="AE735" s="293"/>
    </row>
    <row r="736" spans="15:31">
      <c r="O736" s="293"/>
      <c r="P736" s="293"/>
      <c r="Q736" s="293"/>
      <c r="R736" s="293"/>
      <c r="S736" s="293"/>
      <c r="T736" s="293"/>
      <c r="U736" s="293"/>
      <c r="V736" s="293"/>
      <c r="W736" s="293"/>
      <c r="X736" s="293"/>
      <c r="Y736" s="293"/>
      <c r="Z736" s="293"/>
      <c r="AA736" s="293"/>
      <c r="AB736" s="293"/>
      <c r="AC736" s="293"/>
      <c r="AD736" s="293"/>
      <c r="AE736" s="293"/>
    </row>
    <row r="737" spans="15:31">
      <c r="O737" s="293"/>
      <c r="P737" s="293"/>
      <c r="Q737" s="293"/>
      <c r="R737" s="293"/>
      <c r="S737" s="293"/>
      <c r="T737" s="293"/>
      <c r="U737" s="293"/>
      <c r="V737" s="293"/>
      <c r="W737" s="293"/>
      <c r="X737" s="293"/>
      <c r="Y737" s="293"/>
      <c r="Z737" s="293"/>
      <c r="AA737" s="293"/>
      <c r="AB737" s="293"/>
      <c r="AC737" s="293"/>
      <c r="AD737" s="293"/>
      <c r="AE737" s="293"/>
    </row>
    <row r="738" spans="15:31">
      <c r="O738" s="293"/>
      <c r="P738" s="293"/>
      <c r="Q738" s="293"/>
      <c r="R738" s="293"/>
      <c r="S738" s="293"/>
      <c r="T738" s="293"/>
      <c r="U738" s="293"/>
      <c r="V738" s="293"/>
      <c r="W738" s="293"/>
      <c r="X738" s="293"/>
      <c r="Y738" s="293"/>
      <c r="Z738" s="293"/>
      <c r="AA738" s="293"/>
      <c r="AB738" s="293"/>
      <c r="AC738" s="293"/>
      <c r="AD738" s="293"/>
      <c r="AE738" s="293"/>
    </row>
    <row r="739" spans="15:31">
      <c r="O739" s="293"/>
      <c r="P739" s="293"/>
      <c r="Q739" s="293"/>
      <c r="R739" s="293"/>
      <c r="S739" s="293"/>
      <c r="T739" s="293"/>
      <c r="U739" s="293"/>
      <c r="V739" s="293"/>
      <c r="W739" s="293"/>
      <c r="X739" s="293"/>
      <c r="Y739" s="293"/>
      <c r="Z739" s="293"/>
      <c r="AA739" s="293"/>
      <c r="AB739" s="293"/>
      <c r="AC739" s="293"/>
      <c r="AD739" s="293"/>
      <c r="AE739" s="293"/>
    </row>
    <row r="740" spans="15:31">
      <c r="O740" s="293"/>
      <c r="P740" s="293"/>
      <c r="Q740" s="293"/>
      <c r="R740" s="293"/>
      <c r="S740" s="293"/>
      <c r="T740" s="293"/>
      <c r="U740" s="293"/>
      <c r="V740" s="293"/>
      <c r="W740" s="293"/>
      <c r="X740" s="293"/>
      <c r="Y740" s="293"/>
      <c r="Z740" s="293"/>
      <c r="AA740" s="293"/>
      <c r="AB740" s="293"/>
      <c r="AC740" s="293"/>
      <c r="AD740" s="293"/>
      <c r="AE740" s="293"/>
    </row>
    <row r="741" spans="15:31">
      <c r="O741" s="293"/>
      <c r="P741" s="293"/>
      <c r="Q741" s="293"/>
      <c r="R741" s="293"/>
      <c r="S741" s="293"/>
      <c r="T741" s="293"/>
      <c r="U741" s="293"/>
      <c r="V741" s="293"/>
      <c r="W741" s="293"/>
      <c r="X741" s="293"/>
      <c r="Y741" s="293"/>
      <c r="Z741" s="293"/>
      <c r="AA741" s="293"/>
      <c r="AB741" s="293"/>
      <c r="AC741" s="293"/>
      <c r="AD741" s="293"/>
      <c r="AE741" s="293"/>
    </row>
    <row r="742" spans="15:31">
      <c r="O742" s="293"/>
      <c r="P742" s="293"/>
      <c r="Q742" s="293"/>
      <c r="R742" s="293"/>
      <c r="S742" s="293"/>
      <c r="T742" s="293"/>
      <c r="U742" s="293"/>
      <c r="V742" s="293"/>
      <c r="W742" s="293"/>
      <c r="X742" s="293"/>
      <c r="Y742" s="293"/>
      <c r="Z742" s="293"/>
      <c r="AA742" s="293"/>
      <c r="AB742" s="293"/>
      <c r="AC742" s="293"/>
      <c r="AD742" s="293"/>
      <c r="AE742" s="293"/>
    </row>
    <row r="743" spans="15:31">
      <c r="O743" s="293"/>
      <c r="P743" s="293"/>
      <c r="Q743" s="293"/>
      <c r="R743" s="293"/>
      <c r="S743" s="293"/>
      <c r="T743" s="293"/>
      <c r="U743" s="293"/>
      <c r="V743" s="293"/>
      <c r="W743" s="293"/>
      <c r="X743" s="293"/>
      <c r="Y743" s="293"/>
      <c r="Z743" s="293"/>
      <c r="AA743" s="293"/>
      <c r="AB743" s="293"/>
      <c r="AC743" s="293"/>
      <c r="AD743" s="293"/>
      <c r="AE743" s="293"/>
    </row>
    <row r="744" spans="15:31">
      <c r="O744" s="293"/>
      <c r="P744" s="293"/>
      <c r="Q744" s="293"/>
      <c r="R744" s="293"/>
      <c r="S744" s="293"/>
      <c r="T744" s="293"/>
      <c r="U744" s="293"/>
      <c r="V744" s="293"/>
      <c r="W744" s="293"/>
      <c r="X744" s="293"/>
      <c r="Y744" s="293"/>
      <c r="Z744" s="293"/>
      <c r="AA744" s="293"/>
      <c r="AB744" s="293"/>
      <c r="AC744" s="293"/>
      <c r="AD744" s="293"/>
      <c r="AE744" s="293"/>
    </row>
    <row r="745" spans="15:31">
      <c r="O745" s="293"/>
      <c r="P745" s="293"/>
      <c r="Q745" s="293"/>
      <c r="R745" s="293"/>
      <c r="S745" s="293"/>
      <c r="T745" s="293"/>
      <c r="U745" s="293"/>
      <c r="V745" s="293"/>
      <c r="W745" s="293"/>
      <c r="X745" s="293"/>
      <c r="Y745" s="293"/>
      <c r="Z745" s="293"/>
      <c r="AA745" s="293"/>
      <c r="AB745" s="293"/>
      <c r="AC745" s="293"/>
      <c r="AD745" s="293"/>
      <c r="AE745" s="293"/>
    </row>
    <row r="746" spans="15:31">
      <c r="O746" s="293"/>
      <c r="P746" s="293"/>
      <c r="Q746" s="293"/>
      <c r="R746" s="293"/>
      <c r="S746" s="293"/>
      <c r="T746" s="293"/>
      <c r="U746" s="293"/>
      <c r="V746" s="293"/>
      <c r="W746" s="293"/>
      <c r="X746" s="293"/>
      <c r="Y746" s="293"/>
      <c r="Z746" s="293"/>
      <c r="AA746" s="293"/>
      <c r="AB746" s="293"/>
      <c r="AC746" s="293"/>
      <c r="AD746" s="293"/>
      <c r="AE746" s="293"/>
    </row>
    <row r="747" spans="15:31">
      <c r="O747" s="293"/>
      <c r="P747" s="293"/>
      <c r="Q747" s="293"/>
      <c r="R747" s="293"/>
      <c r="S747" s="293"/>
      <c r="T747" s="293"/>
      <c r="U747" s="293"/>
      <c r="V747" s="293"/>
      <c r="W747" s="293"/>
      <c r="X747" s="293"/>
      <c r="Y747" s="293"/>
      <c r="Z747" s="293"/>
      <c r="AA747" s="293"/>
      <c r="AB747" s="293"/>
      <c r="AC747" s="293"/>
      <c r="AD747" s="293"/>
      <c r="AE747" s="293"/>
    </row>
    <row r="748" spans="15:31">
      <c r="O748" s="293"/>
      <c r="P748" s="293"/>
      <c r="Q748" s="293"/>
      <c r="R748" s="293"/>
      <c r="S748" s="293"/>
      <c r="T748" s="293"/>
      <c r="U748" s="293"/>
      <c r="V748" s="293"/>
      <c r="W748" s="293"/>
      <c r="X748" s="293"/>
      <c r="Y748" s="293"/>
      <c r="Z748" s="293"/>
      <c r="AA748" s="293"/>
      <c r="AB748" s="293"/>
      <c r="AC748" s="293"/>
      <c r="AD748" s="293"/>
      <c r="AE748" s="293"/>
    </row>
    <row r="749" spans="15:31">
      <c r="O749" s="293"/>
      <c r="P749" s="293"/>
      <c r="Q749" s="293"/>
      <c r="R749" s="293"/>
      <c r="S749" s="293"/>
      <c r="T749" s="293"/>
      <c r="U749" s="293"/>
      <c r="V749" s="293"/>
      <c r="W749" s="293"/>
      <c r="X749" s="293"/>
      <c r="Y749" s="293"/>
      <c r="Z749" s="293"/>
      <c r="AA749" s="293"/>
      <c r="AB749" s="293"/>
      <c r="AC749" s="293"/>
      <c r="AD749" s="293"/>
      <c r="AE749" s="293"/>
    </row>
    <row r="750" spans="15:31">
      <c r="O750" s="293"/>
      <c r="P750" s="293"/>
      <c r="Q750" s="293"/>
      <c r="R750" s="293"/>
      <c r="S750" s="293"/>
      <c r="T750" s="293"/>
      <c r="U750" s="293"/>
      <c r="V750" s="293"/>
      <c r="W750" s="293"/>
      <c r="X750" s="293"/>
      <c r="Y750" s="293"/>
      <c r="Z750" s="293"/>
      <c r="AA750" s="293"/>
      <c r="AB750" s="293"/>
      <c r="AC750" s="293"/>
      <c r="AD750" s="293"/>
      <c r="AE750" s="293"/>
    </row>
    <row r="751" spans="15:31">
      <c r="O751" s="293"/>
      <c r="P751" s="293"/>
      <c r="Q751" s="293"/>
      <c r="R751" s="293"/>
      <c r="S751" s="293"/>
      <c r="T751" s="293"/>
      <c r="U751" s="293"/>
      <c r="V751" s="293"/>
      <c r="W751" s="293"/>
      <c r="X751" s="293"/>
      <c r="Y751" s="293"/>
      <c r="Z751" s="293"/>
      <c r="AA751" s="293"/>
      <c r="AB751" s="293"/>
      <c r="AC751" s="293"/>
      <c r="AD751" s="293"/>
      <c r="AE751" s="293"/>
    </row>
    <row r="752" spans="15:31">
      <c r="O752" s="293"/>
      <c r="P752" s="293"/>
      <c r="Q752" s="293"/>
      <c r="R752" s="293"/>
      <c r="S752" s="293"/>
      <c r="T752" s="293"/>
      <c r="U752" s="293"/>
      <c r="V752" s="293"/>
      <c r="W752" s="293"/>
      <c r="X752" s="293"/>
      <c r="Y752" s="293"/>
      <c r="Z752" s="293"/>
      <c r="AA752" s="293"/>
      <c r="AB752" s="293"/>
      <c r="AC752" s="293"/>
      <c r="AD752" s="293"/>
      <c r="AE752" s="293"/>
    </row>
    <row r="753" spans="15:31">
      <c r="O753" s="293"/>
      <c r="P753" s="293"/>
      <c r="Q753" s="293"/>
      <c r="R753" s="293"/>
      <c r="S753" s="293"/>
      <c r="T753" s="293"/>
      <c r="U753" s="293"/>
      <c r="V753" s="293"/>
      <c r="W753" s="293"/>
      <c r="X753" s="293"/>
      <c r="Y753" s="293"/>
      <c r="Z753" s="293"/>
      <c r="AA753" s="293"/>
      <c r="AB753" s="293"/>
      <c r="AC753" s="293"/>
      <c r="AD753" s="293"/>
      <c r="AE753" s="293"/>
    </row>
    <row r="754" spans="15:31">
      <c r="O754" s="293"/>
      <c r="P754" s="293"/>
      <c r="Q754" s="293"/>
      <c r="R754" s="293"/>
      <c r="S754" s="293"/>
      <c r="T754" s="293"/>
      <c r="U754" s="293"/>
      <c r="V754" s="293"/>
      <c r="W754" s="293"/>
      <c r="X754" s="293"/>
      <c r="Y754" s="293"/>
      <c r="Z754" s="293"/>
      <c r="AA754" s="293"/>
      <c r="AB754" s="293"/>
      <c r="AC754" s="293"/>
      <c r="AD754" s="293"/>
      <c r="AE754" s="293"/>
    </row>
    <row r="755" spans="15:31">
      <c r="O755" s="293"/>
      <c r="P755" s="293"/>
      <c r="Q755" s="293"/>
      <c r="R755" s="293"/>
      <c r="S755" s="293"/>
      <c r="T755" s="293"/>
      <c r="U755" s="293"/>
      <c r="V755" s="293"/>
      <c r="W755" s="293"/>
      <c r="X755" s="293"/>
      <c r="Y755" s="293"/>
      <c r="Z755" s="293"/>
      <c r="AA755" s="293"/>
      <c r="AB755" s="293"/>
      <c r="AC755" s="293"/>
      <c r="AD755" s="293"/>
      <c r="AE755" s="293"/>
    </row>
    <row r="756" spans="15:31">
      <c r="O756" s="293"/>
      <c r="P756" s="293"/>
      <c r="Q756" s="293"/>
      <c r="R756" s="293"/>
      <c r="S756" s="293"/>
      <c r="T756" s="293"/>
      <c r="U756" s="293"/>
      <c r="V756" s="293"/>
      <c r="W756" s="293"/>
      <c r="X756" s="293"/>
      <c r="Y756" s="293"/>
      <c r="Z756" s="293"/>
      <c r="AA756" s="293"/>
      <c r="AB756" s="293"/>
      <c r="AC756" s="293"/>
      <c r="AD756" s="293"/>
      <c r="AE756" s="293"/>
    </row>
    <row r="757" spans="15:31">
      <c r="O757" s="293"/>
      <c r="P757" s="293"/>
      <c r="Q757" s="293"/>
      <c r="R757" s="293"/>
      <c r="S757" s="293"/>
      <c r="T757" s="293"/>
      <c r="U757" s="293"/>
      <c r="V757" s="293"/>
      <c r="W757" s="293"/>
      <c r="X757" s="293"/>
      <c r="Y757" s="293"/>
      <c r="Z757" s="293"/>
      <c r="AA757" s="293"/>
      <c r="AB757" s="293"/>
      <c r="AC757" s="293"/>
      <c r="AD757" s="293"/>
      <c r="AE757" s="293"/>
    </row>
    <row r="758" spans="15:31">
      <c r="O758" s="293"/>
      <c r="P758" s="293"/>
      <c r="Q758" s="293"/>
      <c r="R758" s="293"/>
      <c r="S758" s="293"/>
      <c r="T758" s="293"/>
      <c r="U758" s="293"/>
      <c r="V758" s="293"/>
      <c r="W758" s="293"/>
      <c r="X758" s="293"/>
      <c r="Y758" s="293"/>
      <c r="Z758" s="293"/>
      <c r="AA758" s="293"/>
      <c r="AB758" s="293"/>
      <c r="AC758" s="293"/>
      <c r="AD758" s="293"/>
      <c r="AE758" s="293"/>
    </row>
    <row r="759" spans="15:31">
      <c r="O759" s="293"/>
      <c r="P759" s="293"/>
      <c r="Q759" s="293"/>
      <c r="R759" s="293"/>
      <c r="S759" s="293"/>
      <c r="T759" s="293"/>
      <c r="U759" s="293"/>
      <c r="V759" s="293"/>
      <c r="W759" s="293"/>
      <c r="X759" s="293"/>
      <c r="Y759" s="293"/>
      <c r="Z759" s="293"/>
      <c r="AA759" s="293"/>
      <c r="AB759" s="293"/>
      <c r="AC759" s="293"/>
      <c r="AD759" s="293"/>
      <c r="AE759" s="293"/>
    </row>
    <row r="760" spans="15:31">
      <c r="O760" s="293"/>
      <c r="P760" s="293"/>
      <c r="Q760" s="293"/>
      <c r="R760" s="293"/>
      <c r="S760" s="293"/>
      <c r="T760" s="293"/>
      <c r="U760" s="293"/>
      <c r="V760" s="293"/>
      <c r="W760" s="293"/>
      <c r="X760" s="293"/>
      <c r="Y760" s="293"/>
      <c r="Z760" s="293"/>
      <c r="AA760" s="293"/>
      <c r="AB760" s="293"/>
      <c r="AC760" s="293"/>
      <c r="AD760" s="293"/>
      <c r="AE760" s="293"/>
    </row>
    <row r="761" spans="15:31">
      <c r="O761" s="293"/>
      <c r="P761" s="293"/>
      <c r="Q761" s="293"/>
      <c r="R761" s="293"/>
      <c r="S761" s="293"/>
      <c r="T761" s="293"/>
      <c r="U761" s="293"/>
      <c r="V761" s="293"/>
      <c r="W761" s="293"/>
      <c r="X761" s="293"/>
      <c r="Y761" s="293"/>
      <c r="Z761" s="293"/>
      <c r="AA761" s="293"/>
      <c r="AB761" s="293"/>
      <c r="AC761" s="293"/>
      <c r="AD761" s="293"/>
      <c r="AE761" s="293"/>
    </row>
    <row r="762" spans="15:31">
      <c r="O762" s="293"/>
      <c r="P762" s="293"/>
      <c r="Q762" s="293"/>
      <c r="R762" s="293"/>
      <c r="S762" s="293"/>
      <c r="T762" s="293"/>
      <c r="U762" s="293"/>
      <c r="V762" s="293"/>
      <c r="W762" s="293"/>
      <c r="X762" s="293"/>
      <c r="Y762" s="293"/>
      <c r="Z762" s="293"/>
      <c r="AA762" s="293"/>
      <c r="AB762" s="293"/>
      <c r="AC762" s="293"/>
      <c r="AD762" s="293"/>
      <c r="AE762" s="293"/>
    </row>
    <row r="763" spans="15:31">
      <c r="O763" s="293"/>
      <c r="P763" s="293"/>
      <c r="Q763" s="293"/>
      <c r="R763" s="293"/>
      <c r="S763" s="293"/>
      <c r="T763" s="293"/>
      <c r="U763" s="293"/>
      <c r="V763" s="293"/>
      <c r="W763" s="293"/>
      <c r="X763" s="293"/>
      <c r="Y763" s="293"/>
      <c r="Z763" s="293"/>
      <c r="AA763" s="293"/>
      <c r="AB763" s="293"/>
      <c r="AC763" s="293"/>
      <c r="AD763" s="293"/>
      <c r="AE763" s="293"/>
    </row>
    <row r="764" spans="15:31">
      <c r="O764" s="293"/>
      <c r="P764" s="293"/>
      <c r="Q764" s="293"/>
      <c r="R764" s="293"/>
      <c r="S764" s="293"/>
      <c r="T764" s="293"/>
      <c r="U764" s="293"/>
      <c r="V764" s="293"/>
      <c r="W764" s="293"/>
      <c r="X764" s="293"/>
      <c r="Y764" s="293"/>
      <c r="Z764" s="293"/>
      <c r="AA764" s="293"/>
      <c r="AB764" s="293"/>
      <c r="AC764" s="293"/>
      <c r="AD764" s="293"/>
      <c r="AE764" s="293"/>
    </row>
    <row r="765" spans="15:31">
      <c r="O765" s="293"/>
      <c r="P765" s="293"/>
      <c r="Q765" s="293"/>
      <c r="R765" s="293"/>
      <c r="S765" s="293"/>
      <c r="T765" s="293"/>
      <c r="U765" s="293"/>
      <c r="V765" s="293"/>
      <c r="W765" s="293"/>
      <c r="X765" s="293"/>
      <c r="Y765" s="293"/>
      <c r="Z765" s="293"/>
      <c r="AA765" s="293"/>
      <c r="AB765" s="293"/>
      <c r="AC765" s="293"/>
      <c r="AD765" s="293"/>
      <c r="AE765" s="293"/>
    </row>
    <row r="766" spans="15:31">
      <c r="O766" s="293"/>
      <c r="P766" s="293"/>
      <c r="Q766" s="293"/>
      <c r="R766" s="293"/>
      <c r="S766" s="293"/>
      <c r="T766" s="293"/>
      <c r="U766" s="293"/>
      <c r="V766" s="293"/>
      <c r="W766" s="293"/>
      <c r="X766" s="293"/>
      <c r="Y766" s="293"/>
      <c r="Z766" s="293"/>
      <c r="AA766" s="293"/>
      <c r="AB766" s="293"/>
      <c r="AC766" s="293"/>
      <c r="AD766" s="293"/>
      <c r="AE766" s="293"/>
    </row>
    <row r="767" spans="15:31">
      <c r="O767" s="293"/>
      <c r="P767" s="293"/>
      <c r="Q767" s="293"/>
      <c r="R767" s="293"/>
      <c r="S767" s="293"/>
      <c r="T767" s="293"/>
      <c r="U767" s="293"/>
      <c r="V767" s="293"/>
      <c r="W767" s="293"/>
      <c r="X767" s="293"/>
      <c r="Y767" s="293"/>
      <c r="Z767" s="293"/>
      <c r="AA767" s="293"/>
      <c r="AB767" s="293"/>
      <c r="AC767" s="293"/>
      <c r="AD767" s="293"/>
      <c r="AE767" s="293"/>
    </row>
    <row r="768" spans="15:31">
      <c r="O768" s="293"/>
      <c r="P768" s="293"/>
      <c r="Q768" s="293"/>
      <c r="R768" s="293"/>
      <c r="S768" s="293"/>
      <c r="T768" s="293"/>
      <c r="U768" s="293"/>
      <c r="V768" s="293"/>
      <c r="W768" s="293"/>
      <c r="X768" s="293"/>
      <c r="Y768" s="293"/>
      <c r="Z768" s="293"/>
      <c r="AA768" s="293"/>
      <c r="AB768" s="293"/>
      <c r="AC768" s="293"/>
      <c r="AD768" s="293"/>
      <c r="AE768" s="293"/>
    </row>
    <row r="769" spans="15:31">
      <c r="O769" s="293"/>
      <c r="P769" s="293"/>
      <c r="Q769" s="293"/>
      <c r="R769" s="293"/>
      <c r="S769" s="293"/>
      <c r="T769" s="293"/>
      <c r="U769" s="293"/>
      <c r="V769" s="293"/>
      <c r="W769" s="293"/>
      <c r="X769" s="293"/>
      <c r="Y769" s="293"/>
      <c r="Z769" s="293"/>
      <c r="AA769" s="293"/>
      <c r="AB769" s="293"/>
      <c r="AC769" s="293"/>
      <c r="AD769" s="293"/>
      <c r="AE769" s="293"/>
    </row>
    <row r="770" spans="15:31">
      <c r="O770" s="293"/>
      <c r="P770" s="293"/>
      <c r="Q770" s="293"/>
      <c r="R770" s="293"/>
      <c r="S770" s="293"/>
      <c r="T770" s="293"/>
      <c r="U770" s="293"/>
      <c r="V770" s="293"/>
      <c r="W770" s="293"/>
      <c r="X770" s="293"/>
      <c r="Y770" s="293"/>
      <c r="Z770" s="293"/>
      <c r="AA770" s="293"/>
      <c r="AB770" s="293"/>
      <c r="AC770" s="293"/>
      <c r="AD770" s="293"/>
      <c r="AE770" s="293"/>
    </row>
    <row r="771" spans="15:31">
      <c r="O771" s="293"/>
      <c r="P771" s="293"/>
      <c r="Q771" s="293"/>
      <c r="R771" s="293"/>
      <c r="S771" s="293"/>
      <c r="T771" s="293"/>
      <c r="U771" s="293"/>
      <c r="V771" s="293"/>
      <c r="W771" s="293"/>
      <c r="X771" s="293"/>
      <c r="Y771" s="293"/>
      <c r="Z771" s="293"/>
      <c r="AA771" s="293"/>
      <c r="AB771" s="293"/>
      <c r="AC771" s="293"/>
      <c r="AD771" s="293"/>
      <c r="AE771" s="293"/>
    </row>
    <row r="772" spans="15:31">
      <c r="O772" s="293"/>
      <c r="P772" s="293"/>
      <c r="Q772" s="293"/>
      <c r="R772" s="293"/>
      <c r="S772" s="293"/>
      <c r="T772" s="293"/>
      <c r="U772" s="293"/>
      <c r="V772" s="293"/>
      <c r="W772" s="293"/>
      <c r="X772" s="293"/>
      <c r="Y772" s="293"/>
      <c r="Z772" s="293"/>
      <c r="AA772" s="293"/>
      <c r="AB772" s="293"/>
      <c r="AC772" s="293"/>
      <c r="AD772" s="293"/>
      <c r="AE772" s="293"/>
    </row>
    <row r="773" spans="15:31">
      <c r="O773" s="293"/>
      <c r="P773" s="293"/>
      <c r="Q773" s="293"/>
      <c r="R773" s="293"/>
      <c r="S773" s="293"/>
      <c r="T773" s="293"/>
      <c r="U773" s="293"/>
      <c r="V773" s="293"/>
      <c r="W773" s="293"/>
      <c r="X773" s="293"/>
      <c r="Y773" s="293"/>
      <c r="Z773" s="293"/>
      <c r="AA773" s="293"/>
      <c r="AB773" s="293"/>
      <c r="AC773" s="293"/>
      <c r="AD773" s="293"/>
      <c r="AE773" s="293"/>
    </row>
    <row r="774" spans="15:31">
      <c r="O774" s="293"/>
      <c r="P774" s="293"/>
      <c r="Q774" s="293"/>
      <c r="R774" s="293"/>
      <c r="S774" s="293"/>
      <c r="T774" s="293"/>
      <c r="U774" s="293"/>
      <c r="V774" s="293"/>
      <c r="W774" s="293"/>
      <c r="X774" s="293"/>
      <c r="Y774" s="293"/>
      <c r="Z774" s="293"/>
      <c r="AA774" s="293"/>
      <c r="AB774" s="293"/>
      <c r="AC774" s="293"/>
      <c r="AD774" s="293"/>
      <c r="AE774" s="293"/>
    </row>
    <row r="775" spans="15:31">
      <c r="O775" s="293"/>
      <c r="P775" s="293"/>
      <c r="Q775" s="293"/>
      <c r="R775" s="293"/>
      <c r="S775" s="293"/>
      <c r="T775" s="293"/>
      <c r="U775" s="293"/>
      <c r="V775" s="293"/>
      <c r="W775" s="293"/>
      <c r="X775" s="293"/>
      <c r="Y775" s="293"/>
      <c r="Z775" s="293"/>
      <c r="AA775" s="293"/>
      <c r="AB775" s="293"/>
      <c r="AC775" s="293"/>
      <c r="AD775" s="293"/>
      <c r="AE775" s="293"/>
    </row>
    <row r="776" spans="15:31">
      <c r="O776" s="293"/>
      <c r="P776" s="293"/>
      <c r="Q776" s="293"/>
      <c r="R776" s="293"/>
      <c r="S776" s="293"/>
      <c r="T776" s="293"/>
      <c r="U776" s="293"/>
      <c r="V776" s="293"/>
      <c r="W776" s="293"/>
      <c r="X776" s="293"/>
      <c r="Y776" s="293"/>
      <c r="Z776" s="293"/>
      <c r="AA776" s="293"/>
      <c r="AB776" s="293"/>
      <c r="AC776" s="293"/>
      <c r="AD776" s="293"/>
      <c r="AE776" s="293"/>
    </row>
    <row r="777" spans="15:31">
      <c r="O777" s="293"/>
      <c r="P777" s="293"/>
      <c r="Q777" s="293"/>
      <c r="R777" s="293"/>
      <c r="S777" s="293"/>
      <c r="T777" s="293"/>
      <c r="U777" s="293"/>
      <c r="V777" s="293"/>
      <c r="W777" s="293"/>
      <c r="X777" s="293"/>
      <c r="Y777" s="293"/>
      <c r="Z777" s="293"/>
      <c r="AA777" s="293"/>
      <c r="AB777" s="293"/>
      <c r="AC777" s="293"/>
      <c r="AD777" s="293"/>
      <c r="AE777" s="293"/>
    </row>
    <row r="778" spans="15:31">
      <c r="O778" s="293"/>
      <c r="P778" s="293"/>
      <c r="Q778" s="293"/>
      <c r="R778" s="293"/>
      <c r="S778" s="293"/>
      <c r="T778" s="293"/>
      <c r="U778" s="293"/>
      <c r="V778" s="293"/>
      <c r="W778" s="293"/>
      <c r="X778" s="293"/>
      <c r="Y778" s="293"/>
      <c r="Z778" s="293"/>
      <c r="AA778" s="293"/>
      <c r="AB778" s="293"/>
      <c r="AC778" s="293"/>
      <c r="AD778" s="293"/>
      <c r="AE778" s="293"/>
    </row>
    <row r="779" spans="15:31">
      <c r="O779" s="293"/>
      <c r="P779" s="293"/>
      <c r="Q779" s="293"/>
      <c r="R779" s="293"/>
      <c r="S779" s="293"/>
      <c r="T779" s="293"/>
      <c r="U779" s="293"/>
      <c r="V779" s="293"/>
      <c r="W779" s="293"/>
      <c r="X779" s="293"/>
      <c r="Y779" s="293"/>
      <c r="Z779" s="293"/>
      <c r="AA779" s="293"/>
      <c r="AB779" s="293"/>
      <c r="AC779" s="293"/>
      <c r="AD779" s="293"/>
      <c r="AE779" s="293"/>
    </row>
    <row r="780" spans="15:31">
      <c r="O780" s="293"/>
      <c r="P780" s="293"/>
      <c r="Q780" s="293"/>
      <c r="R780" s="293"/>
      <c r="S780" s="293"/>
      <c r="T780" s="293"/>
      <c r="U780" s="293"/>
      <c r="V780" s="293"/>
      <c r="W780" s="293"/>
      <c r="X780" s="293"/>
      <c r="Y780" s="293"/>
      <c r="Z780" s="293"/>
      <c r="AA780" s="293"/>
      <c r="AB780" s="293"/>
      <c r="AC780" s="293"/>
      <c r="AD780" s="293"/>
      <c r="AE780" s="293"/>
    </row>
    <row r="781" spans="15:31">
      <c r="O781" s="293"/>
      <c r="P781" s="293"/>
      <c r="Q781" s="293"/>
      <c r="R781" s="293"/>
      <c r="S781" s="293"/>
      <c r="T781" s="293"/>
      <c r="U781" s="293"/>
      <c r="V781" s="293"/>
      <c r="W781" s="293"/>
      <c r="X781" s="293"/>
      <c r="Y781" s="293"/>
      <c r="Z781" s="293"/>
      <c r="AA781" s="293"/>
      <c r="AB781" s="293"/>
      <c r="AC781" s="293"/>
      <c r="AD781" s="293"/>
      <c r="AE781" s="293"/>
    </row>
    <row r="782" spans="15:31">
      <c r="O782" s="293"/>
      <c r="P782" s="293"/>
      <c r="Q782" s="293"/>
      <c r="R782" s="293"/>
      <c r="S782" s="293"/>
      <c r="T782" s="293"/>
      <c r="U782" s="293"/>
      <c r="V782" s="293"/>
      <c r="W782" s="293"/>
      <c r="X782" s="293"/>
      <c r="Y782" s="293"/>
      <c r="Z782" s="293"/>
      <c r="AA782" s="293"/>
      <c r="AB782" s="293"/>
      <c r="AC782" s="293"/>
      <c r="AD782" s="293"/>
      <c r="AE782" s="293"/>
    </row>
    <row r="783" spans="15:31">
      <c r="O783" s="293"/>
      <c r="P783" s="293"/>
      <c r="Q783" s="293"/>
      <c r="R783" s="293"/>
      <c r="S783" s="293"/>
      <c r="T783" s="293"/>
      <c r="U783" s="293"/>
      <c r="V783" s="293"/>
      <c r="W783" s="293"/>
      <c r="X783" s="293"/>
      <c r="Y783" s="293"/>
      <c r="Z783" s="293"/>
      <c r="AA783" s="293"/>
      <c r="AB783" s="293"/>
      <c r="AC783" s="293"/>
      <c r="AD783" s="293"/>
      <c r="AE783" s="293"/>
    </row>
    <row r="784" spans="15:31">
      <c r="O784" s="293"/>
      <c r="P784" s="293"/>
      <c r="Q784" s="293"/>
      <c r="R784" s="293"/>
      <c r="S784" s="293"/>
      <c r="T784" s="293"/>
      <c r="U784" s="293"/>
      <c r="V784" s="293"/>
      <c r="W784" s="293"/>
      <c r="X784" s="293"/>
      <c r="Y784" s="293"/>
      <c r="Z784" s="293"/>
      <c r="AA784" s="293"/>
      <c r="AB784" s="293"/>
      <c r="AC784" s="293"/>
      <c r="AD784" s="293"/>
      <c r="AE784" s="293"/>
    </row>
    <row r="785" spans="15:31">
      <c r="O785" s="293"/>
      <c r="P785" s="293"/>
      <c r="Q785" s="293"/>
      <c r="R785" s="293"/>
      <c r="S785" s="293"/>
      <c r="T785" s="293"/>
      <c r="U785" s="293"/>
      <c r="V785" s="293"/>
      <c r="W785" s="293"/>
      <c r="X785" s="293"/>
      <c r="Y785" s="293"/>
      <c r="Z785" s="293"/>
      <c r="AA785" s="293"/>
      <c r="AB785" s="293"/>
      <c r="AC785" s="293"/>
      <c r="AD785" s="293"/>
      <c r="AE785" s="293"/>
    </row>
    <row r="786" spans="15:31">
      <c r="O786" s="293"/>
      <c r="P786" s="293"/>
      <c r="Q786" s="293"/>
      <c r="R786" s="293"/>
      <c r="S786" s="293"/>
      <c r="T786" s="293"/>
      <c r="U786" s="293"/>
      <c r="V786" s="293"/>
      <c r="W786" s="293"/>
      <c r="X786" s="293"/>
      <c r="Y786" s="293"/>
      <c r="Z786" s="293"/>
      <c r="AA786" s="293"/>
      <c r="AB786" s="293"/>
      <c r="AC786" s="293"/>
      <c r="AD786" s="293"/>
      <c r="AE786" s="293"/>
    </row>
    <row r="787" spans="15:31">
      <c r="O787" s="293"/>
      <c r="P787" s="293"/>
      <c r="Q787" s="293"/>
      <c r="R787" s="293"/>
      <c r="S787" s="293"/>
      <c r="T787" s="293"/>
      <c r="U787" s="293"/>
      <c r="V787" s="293"/>
      <c r="W787" s="293"/>
      <c r="X787" s="293"/>
      <c r="Y787" s="293"/>
      <c r="Z787" s="293"/>
      <c r="AA787" s="293"/>
      <c r="AB787" s="293"/>
      <c r="AC787" s="293"/>
      <c r="AD787" s="293"/>
      <c r="AE787" s="293"/>
    </row>
    <row r="788" spans="15:31">
      <c r="O788" s="293"/>
      <c r="P788" s="293"/>
      <c r="Q788" s="293"/>
      <c r="R788" s="293"/>
      <c r="S788" s="293"/>
      <c r="T788" s="293"/>
      <c r="U788" s="293"/>
      <c r="V788" s="293"/>
      <c r="W788" s="293"/>
      <c r="X788" s="293"/>
      <c r="Y788" s="293"/>
      <c r="Z788" s="293"/>
      <c r="AA788" s="293"/>
      <c r="AB788" s="293"/>
      <c r="AC788" s="293"/>
      <c r="AD788" s="293"/>
      <c r="AE788" s="293"/>
    </row>
    <row r="789" spans="15:31">
      <c r="O789" s="293"/>
      <c r="P789" s="293"/>
      <c r="Q789" s="293"/>
      <c r="R789" s="293"/>
      <c r="S789" s="293"/>
      <c r="T789" s="293"/>
      <c r="U789" s="293"/>
      <c r="V789" s="293"/>
      <c r="W789" s="293"/>
      <c r="X789" s="293"/>
      <c r="Y789" s="293"/>
      <c r="Z789" s="293"/>
      <c r="AA789" s="293"/>
      <c r="AB789" s="293"/>
      <c r="AC789" s="293"/>
      <c r="AD789" s="293"/>
      <c r="AE789" s="293"/>
    </row>
    <row r="790" spans="15:31">
      <c r="O790" s="293"/>
      <c r="P790" s="293"/>
      <c r="Q790" s="293"/>
      <c r="R790" s="293"/>
      <c r="S790" s="293"/>
      <c r="T790" s="293"/>
      <c r="U790" s="293"/>
      <c r="V790" s="293"/>
      <c r="W790" s="293"/>
      <c r="X790" s="293"/>
      <c r="Y790" s="293"/>
      <c r="Z790" s="293"/>
      <c r="AA790" s="293"/>
      <c r="AB790" s="293"/>
      <c r="AC790" s="293"/>
      <c r="AD790" s="293"/>
      <c r="AE790" s="293"/>
    </row>
    <row r="791" spans="15:31">
      <c r="O791" s="293"/>
      <c r="P791" s="293"/>
      <c r="Q791" s="293"/>
      <c r="R791" s="293"/>
      <c r="S791" s="293"/>
      <c r="T791" s="293"/>
      <c r="U791" s="293"/>
      <c r="V791" s="293"/>
      <c r="W791" s="293"/>
      <c r="X791" s="293"/>
      <c r="Y791" s="293"/>
      <c r="Z791" s="293"/>
      <c r="AA791" s="293"/>
      <c r="AB791" s="293"/>
      <c r="AC791" s="293"/>
      <c r="AD791" s="293"/>
      <c r="AE791" s="293"/>
    </row>
    <row r="792" spans="15:31">
      <c r="O792" s="293"/>
      <c r="P792" s="293"/>
      <c r="Q792" s="293"/>
      <c r="R792" s="293"/>
      <c r="S792" s="293"/>
      <c r="T792" s="293"/>
      <c r="U792" s="293"/>
      <c r="V792" s="293"/>
      <c r="W792" s="293"/>
      <c r="X792" s="293"/>
      <c r="Y792" s="293"/>
      <c r="Z792" s="293"/>
      <c r="AA792" s="293"/>
      <c r="AB792" s="293"/>
      <c r="AC792" s="293"/>
      <c r="AD792" s="293"/>
      <c r="AE792" s="293"/>
    </row>
    <row r="793" spans="15:31">
      <c r="O793" s="293"/>
      <c r="P793" s="293"/>
      <c r="Q793" s="293"/>
      <c r="R793" s="293"/>
      <c r="S793" s="293"/>
      <c r="T793" s="293"/>
      <c r="U793" s="293"/>
      <c r="V793" s="293"/>
      <c r="W793" s="293"/>
      <c r="X793" s="293"/>
      <c r="Y793" s="293"/>
      <c r="Z793" s="293"/>
      <c r="AA793" s="293"/>
      <c r="AB793" s="293"/>
      <c r="AC793" s="293"/>
      <c r="AD793" s="293"/>
      <c r="AE793" s="293"/>
    </row>
    <row r="794" spans="15:31">
      <c r="O794" s="293"/>
      <c r="P794" s="293"/>
      <c r="Q794" s="293"/>
      <c r="R794" s="293"/>
      <c r="S794" s="293"/>
      <c r="T794" s="293"/>
      <c r="U794" s="293"/>
      <c r="V794" s="293"/>
      <c r="W794" s="293"/>
      <c r="X794" s="293"/>
      <c r="Y794" s="293"/>
      <c r="Z794" s="293"/>
      <c r="AA794" s="293"/>
      <c r="AB794" s="293"/>
      <c r="AC794" s="293"/>
      <c r="AD794" s="293"/>
      <c r="AE794" s="293"/>
    </row>
    <row r="795" spans="15:31">
      <c r="O795" s="293"/>
      <c r="P795" s="293"/>
      <c r="Q795" s="293"/>
      <c r="R795" s="293"/>
      <c r="S795" s="293"/>
      <c r="T795" s="293"/>
      <c r="U795" s="293"/>
      <c r="V795" s="293"/>
      <c r="W795" s="293"/>
      <c r="X795" s="293"/>
      <c r="Y795" s="293"/>
      <c r="Z795" s="293"/>
      <c r="AA795" s="293"/>
      <c r="AB795" s="293"/>
      <c r="AC795" s="293"/>
      <c r="AD795" s="293"/>
      <c r="AE795" s="293"/>
    </row>
    <row r="796" spans="15:31">
      <c r="O796" s="293"/>
      <c r="P796" s="293"/>
      <c r="Q796" s="293"/>
      <c r="R796" s="293"/>
      <c r="S796" s="293"/>
      <c r="T796" s="293"/>
      <c r="U796" s="293"/>
      <c r="V796" s="293"/>
      <c r="W796" s="293"/>
      <c r="X796" s="293"/>
      <c r="Y796" s="293"/>
      <c r="Z796" s="293"/>
      <c r="AA796" s="293"/>
      <c r="AB796" s="293"/>
      <c r="AC796" s="293"/>
      <c r="AD796" s="293"/>
      <c r="AE796" s="293"/>
    </row>
    <row r="797" spans="15:31">
      <c r="O797" s="293"/>
      <c r="P797" s="293"/>
      <c r="Q797" s="293"/>
      <c r="R797" s="293"/>
      <c r="S797" s="293"/>
      <c r="T797" s="293"/>
      <c r="U797" s="293"/>
      <c r="V797" s="293"/>
      <c r="W797" s="293"/>
      <c r="X797" s="293"/>
      <c r="Y797" s="293"/>
      <c r="Z797" s="293"/>
      <c r="AA797" s="293"/>
      <c r="AB797" s="293"/>
      <c r="AC797" s="293"/>
      <c r="AD797" s="293"/>
      <c r="AE797" s="293"/>
    </row>
    <row r="798" spans="15:31">
      <c r="O798" s="293"/>
      <c r="P798" s="293"/>
      <c r="Q798" s="293"/>
      <c r="R798" s="293"/>
      <c r="S798" s="293"/>
      <c r="T798" s="293"/>
      <c r="U798" s="293"/>
      <c r="V798" s="293"/>
      <c r="W798" s="293"/>
      <c r="X798" s="293"/>
      <c r="Y798" s="293"/>
      <c r="Z798" s="293"/>
      <c r="AA798" s="293"/>
      <c r="AB798" s="293"/>
      <c r="AC798" s="293"/>
      <c r="AD798" s="293"/>
      <c r="AE798" s="293"/>
    </row>
    <row r="799" spans="15:31">
      <c r="O799" s="293"/>
      <c r="P799" s="293"/>
      <c r="Q799" s="293"/>
      <c r="R799" s="293"/>
      <c r="S799" s="293"/>
      <c r="T799" s="293"/>
      <c r="U799" s="293"/>
      <c r="V799" s="293"/>
      <c r="W799" s="293"/>
      <c r="X799" s="293"/>
      <c r="Y799" s="293"/>
      <c r="Z799" s="293"/>
      <c r="AA799" s="293"/>
      <c r="AB799" s="293"/>
      <c r="AC799" s="293"/>
      <c r="AD799" s="293"/>
      <c r="AE799" s="293"/>
    </row>
    <row r="800" spans="15:31">
      <c r="O800" s="293"/>
      <c r="P800" s="293"/>
      <c r="Q800" s="293"/>
      <c r="R800" s="293"/>
      <c r="S800" s="293"/>
      <c r="T800" s="293"/>
      <c r="U800" s="293"/>
      <c r="V800" s="293"/>
      <c r="W800" s="293"/>
      <c r="X800" s="293"/>
      <c r="Y800" s="293"/>
      <c r="Z800" s="293"/>
      <c r="AA800" s="293"/>
      <c r="AB800" s="293"/>
      <c r="AC800" s="293"/>
      <c r="AD800" s="293"/>
      <c r="AE800" s="293"/>
    </row>
    <row r="801" spans="15:31">
      <c r="O801" s="293"/>
      <c r="P801" s="293"/>
      <c r="Q801" s="293"/>
      <c r="R801" s="293"/>
      <c r="S801" s="293"/>
      <c r="T801" s="293"/>
      <c r="U801" s="293"/>
      <c r="V801" s="293"/>
      <c r="W801" s="293"/>
      <c r="X801" s="293"/>
      <c r="Y801" s="293"/>
      <c r="Z801" s="293"/>
      <c r="AA801" s="293"/>
      <c r="AB801" s="293"/>
      <c r="AC801" s="293"/>
      <c r="AD801" s="293"/>
      <c r="AE801" s="293"/>
    </row>
    <row r="802" spans="15:31">
      <c r="O802" s="293"/>
      <c r="P802" s="293"/>
      <c r="Q802" s="293"/>
      <c r="R802" s="293"/>
      <c r="S802" s="293"/>
      <c r="T802" s="293"/>
      <c r="U802" s="293"/>
      <c r="V802" s="293"/>
      <c r="W802" s="293"/>
      <c r="X802" s="293"/>
      <c r="Y802" s="293"/>
      <c r="Z802" s="293"/>
      <c r="AA802" s="293"/>
      <c r="AB802" s="293"/>
      <c r="AC802" s="293"/>
      <c r="AD802" s="293"/>
      <c r="AE802" s="293"/>
    </row>
    <row r="803" spans="15:31">
      <c r="O803" s="293"/>
      <c r="P803" s="293"/>
      <c r="Q803" s="293"/>
      <c r="R803" s="293"/>
      <c r="S803" s="293"/>
      <c r="T803" s="293"/>
      <c r="U803" s="293"/>
      <c r="V803" s="293"/>
      <c r="W803" s="293"/>
      <c r="X803" s="293"/>
      <c r="Y803" s="293"/>
      <c r="Z803" s="293"/>
      <c r="AA803" s="293"/>
      <c r="AB803" s="293"/>
      <c r="AC803" s="293"/>
      <c r="AD803" s="293"/>
      <c r="AE803" s="293"/>
    </row>
    <row r="804" spans="15:31">
      <c r="O804" s="293"/>
      <c r="P804" s="293"/>
      <c r="Q804" s="293"/>
      <c r="R804" s="293"/>
      <c r="S804" s="293"/>
      <c r="T804" s="293"/>
      <c r="U804" s="293"/>
      <c r="V804" s="293"/>
      <c r="W804" s="293"/>
      <c r="X804" s="293"/>
      <c r="Y804" s="293"/>
      <c r="Z804" s="293"/>
      <c r="AA804" s="293"/>
      <c r="AB804" s="293"/>
      <c r="AC804" s="293"/>
      <c r="AD804" s="293"/>
      <c r="AE804" s="293"/>
    </row>
    <row r="805" spans="15:31">
      <c r="O805" s="293"/>
      <c r="P805" s="293"/>
      <c r="Q805" s="293"/>
      <c r="R805" s="293"/>
      <c r="S805" s="293"/>
      <c r="T805" s="293"/>
      <c r="U805" s="293"/>
      <c r="V805" s="293"/>
      <c r="W805" s="293"/>
      <c r="X805" s="293"/>
      <c r="Y805" s="293"/>
      <c r="Z805" s="293"/>
      <c r="AA805" s="293"/>
      <c r="AB805" s="293"/>
      <c r="AC805" s="293"/>
      <c r="AD805" s="293"/>
      <c r="AE805" s="293"/>
    </row>
    <row r="806" spans="15:31">
      <c r="O806" s="293"/>
      <c r="P806" s="293"/>
      <c r="Q806" s="293"/>
      <c r="R806" s="293"/>
      <c r="S806" s="293"/>
      <c r="T806" s="293"/>
      <c r="U806" s="293"/>
      <c r="V806" s="293"/>
      <c r="W806" s="293"/>
      <c r="X806" s="293"/>
      <c r="Y806" s="293"/>
      <c r="Z806" s="293"/>
      <c r="AA806" s="293"/>
      <c r="AB806" s="293"/>
      <c r="AC806" s="293"/>
      <c r="AD806" s="293"/>
      <c r="AE806" s="293"/>
    </row>
    <row r="807" spans="15:31">
      <c r="O807" s="293"/>
      <c r="P807" s="293"/>
      <c r="Q807" s="293"/>
      <c r="R807" s="293"/>
      <c r="S807" s="293"/>
      <c r="T807" s="293"/>
      <c r="U807" s="293"/>
      <c r="V807" s="293"/>
      <c r="W807" s="293"/>
      <c r="X807" s="293"/>
      <c r="Y807" s="293"/>
      <c r="Z807" s="293"/>
      <c r="AA807" s="293"/>
      <c r="AB807" s="293"/>
      <c r="AC807" s="293"/>
      <c r="AD807" s="293"/>
      <c r="AE807" s="293"/>
    </row>
    <row r="808" spans="15:31">
      <c r="O808" s="293"/>
      <c r="P808" s="293"/>
      <c r="Q808" s="293"/>
      <c r="R808" s="293"/>
      <c r="S808" s="293"/>
      <c r="T808" s="293"/>
      <c r="U808" s="293"/>
      <c r="V808" s="293"/>
      <c r="W808" s="293"/>
      <c r="X808" s="293"/>
      <c r="Y808" s="293"/>
      <c r="Z808" s="293"/>
      <c r="AA808" s="293"/>
      <c r="AB808" s="293"/>
      <c r="AC808" s="293"/>
      <c r="AD808" s="293"/>
      <c r="AE808" s="293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2024-05-31T15:58:02Z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