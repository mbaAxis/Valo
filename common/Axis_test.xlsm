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0" documentId="8_{E6C0388F-3BE6-4FE4-9DCB-8247CDE607B4}" xr6:coauthVersionLast="47" xr6:coauthVersionMax="47" xr10:uidLastSave="{00000000-0000-0000-0000-000000000000}"/>
  <bookViews>
    <workbookView xWindow="-108" yWindow="-108" windowWidth="23256" windowHeight="12456" activeTab="2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Fwd Intensity" sheetId="7" r:id="rId5"/>
    <sheet name="CDS" sheetId="8" r:id="rId6"/>
  </sheets>
  <functionGroups builtInGroupCount="19"/>
  <externalReferences>
    <externalReference r:id="rId7"/>
  </externalReferences>
  <definedNames>
    <definedName name="BeSpokeStrike">#REF!</definedName>
    <definedName name="CDSRollDate">'CDS Strip'!$C$7</definedName>
    <definedName name="CDXStrike">#REF!</definedName>
    <definedName name="CorrelResult">#REF!</definedName>
    <definedName name="CorrelStart">#REF!</definedName>
    <definedName name="Currency">'[1]CDS Strip'!$D$11:$D$310</definedName>
    <definedName name="Currency2">#REF!</definedName>
    <definedName name="CurrencyName">#REF!</definedName>
    <definedName name="CurvePointsList">Parametres!$D$15:$D$16</definedName>
    <definedName name="Expected_Recovery">#REF!</definedName>
    <definedName name="ExpLossResult">#REF!</definedName>
    <definedName name="ExpLossStart">#REF!</definedName>
    <definedName name="FXSpot">#REF!</definedName>
    <definedName name="iTraxxStrike">#REF!</definedName>
    <definedName name="kCDXStart">#REF!</definedName>
    <definedName name="kiTraxxStart">#REF!</definedName>
    <definedName name="MappingMethodo">#REF!</definedName>
    <definedName name="NextCDXStrike">#REF!</definedName>
    <definedName name="optionFlag">Parametres!$B$3:$B$4</definedName>
    <definedName name="optionPosition">Parametres!$D$3:$D$4</definedName>
    <definedName name="Parameter_Date">Parametres!$E$7</definedName>
    <definedName name="PM_Correl">#REF!</definedName>
    <definedName name="PM_Current">#REF!</definedName>
    <definedName name="PM_Error">#REF!</definedName>
    <definedName name="PM_kCDX">#REF!</definedName>
    <definedName name="PM_kiTraxx">#REF!</definedName>
    <definedName name="PM_Next">#REF!</definedName>
    <definedName name="poids">#REF!</definedName>
    <definedName name="ProbaMatchBespokeStrike">#REF!</definedName>
    <definedName name="ProjectionCalculation">#REF!</definedName>
    <definedName name="RatioDifference">#REF!</definedName>
    <definedName name="SpreadCurveMaturities">'CDS Strip'!$E$10:$M$10</definedName>
    <definedName name="StrikeStart">#REF!</definedName>
    <definedName name="StrippedDefaultProb">'[1]CDS Strip'!$N$11:$AE$310</definedName>
    <definedName name="sumpoi">#REF!</definedName>
    <definedName name="sumpoids">#REF!</definedName>
    <definedName name="SumWeights">#REF!</definedName>
    <definedName name="Swap_Convention">Parametres!$B$7:$B$11</definedName>
    <definedName name="SwapConventions">#REF!</definedName>
    <definedName name="test">#REF!</definedName>
    <definedName name="TrueFalseList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2" l="1" a="1"/>
  <c r="J7" i="2"/>
  <c r="P22" i="2" a="1"/>
  <c r="P22" i="2"/>
  <c r="M22" i="2" a="1"/>
  <c r="M22" i="2"/>
  <c r="M24" i="2" a="1"/>
  <c r="M24" i="2"/>
  <c r="M25" i="2" a="1"/>
  <c r="M25" i="2"/>
  <c r="M26" i="2" a="1"/>
  <c r="M26" i="2"/>
  <c r="M27" i="2" a="1"/>
  <c r="M27" i="2"/>
  <c r="G7" i="2" a="1"/>
  <c r="G7" i="2"/>
  <c r="G9" i="2" a="1"/>
  <c r="G9" i="2"/>
  <c r="AA22" i="2" a="1"/>
  <c r="AA22" i="2"/>
  <c r="V9" i="2" a="1"/>
  <c r="V9" i="2"/>
  <c r="V7" i="2" a="1"/>
  <c r="V7" i="2"/>
  <c r="F10" i="8"/>
  <c r="F11" i="8"/>
  <c r="F13" i="8" a="1"/>
  <c r="F14" i="8"/>
  <c r="F15" i="8"/>
  <c r="G12" i="8"/>
  <c r="F13" i="8"/>
  <c r="G13" i="8"/>
  <c r="H13" i="8"/>
  <c r="I13" i="8"/>
  <c r="J13" i="8"/>
  <c r="K13" i="8"/>
  <c r="G14" i="8"/>
  <c r="H14" i="8"/>
  <c r="I14" i="8"/>
  <c r="J14" i="8"/>
  <c r="K14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16" i="6"/>
  <c r="N16" i="6" a="1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17" i="6"/>
  <c r="N17" i="6" a="1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18" i="6"/>
  <c r="N18" i="6" a="1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19" i="6"/>
  <c r="N19" i="6" a="1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20" i="6"/>
  <c r="N20" i="6" a="1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21" i="6"/>
  <c r="N21" i="6" a="1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22" i="6"/>
  <c r="N22" i="6" a="1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23" i="6"/>
  <c r="N23" i="6" a="1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24" i="6"/>
  <c r="N24" i="6" a="1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25" i="6"/>
  <c r="N25" i="6" a="1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26" i="6"/>
  <c r="N26" i="6" a="1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27" i="6"/>
  <c r="N27" i="6" a="1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28" i="6"/>
  <c r="N28" i="6" a="1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29" i="6"/>
  <c r="N29" i="6" a="1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30" i="6"/>
  <c r="N30" i="6" a="1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31" i="6"/>
  <c r="N31" i="6" a="1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32" i="6"/>
  <c r="N32" i="6" a="1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33" i="6"/>
  <c r="N33" i="6" a="1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34" i="6"/>
  <c r="N34" i="6" a="1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35" i="6"/>
  <c r="N35" i="6" a="1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36" i="6"/>
  <c r="N36" i="6" a="1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37" i="6"/>
  <c r="N37" i="6" a="1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38" i="6"/>
  <c r="N38" i="6" a="1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39" i="6"/>
  <c r="N39" i="6" a="1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40" i="6"/>
  <c r="N40" i="6" a="1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41" i="6"/>
  <c r="N41" i="6" a="1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42" i="6"/>
  <c r="N42" i="6" a="1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43" i="6"/>
  <c r="N43" i="6" a="1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44" i="6"/>
  <c r="N44" i="6" a="1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45" i="6"/>
  <c r="N45" i="6" a="1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46" i="6"/>
  <c r="N46" i="6" a="1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47" i="6"/>
  <c r="N47" i="6" a="1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48" i="6"/>
  <c r="N48" i="6" a="1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49" i="6"/>
  <c r="N49" i="6" a="1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50" i="6"/>
  <c r="N50" i="6" a="1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51" i="6"/>
  <c r="N51" i="6" a="1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52" i="6"/>
  <c r="N52" i="6" a="1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53" i="6"/>
  <c r="N53" i="6" a="1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54" i="6"/>
  <c r="N54" i="6" a="1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55" i="6"/>
  <c r="N55" i="6" a="1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56" i="6"/>
  <c r="N56" i="6" a="1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57" i="6"/>
  <c r="N57" i="6" a="1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58" i="6"/>
  <c r="N58" i="6" a="1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59" i="6"/>
  <c r="N59" i="6" a="1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60" i="6"/>
  <c r="N60" i="6" a="1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61" i="6"/>
  <c r="N61" i="6" a="1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62" i="6"/>
  <c r="N62" i="6" a="1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63" i="6"/>
  <c r="N63" i="6" a="1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64" i="6"/>
  <c r="N64" i="6" a="1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65" i="6"/>
  <c r="N65" i="6" a="1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66" i="6"/>
  <c r="N66" i="6" a="1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67" i="6"/>
  <c r="N67" i="6" a="1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68" i="6"/>
  <c r="N68" i="6" a="1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69" i="6"/>
  <c r="N69" i="6" a="1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70" i="6"/>
  <c r="N70" i="6" a="1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71" i="6"/>
  <c r="N71" i="6" a="1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72" i="6"/>
  <c r="N72" i="6" a="1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73" i="6"/>
  <c r="N73" i="6" a="1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74" i="6"/>
  <c r="N74" i="6" a="1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75" i="6"/>
  <c r="N75" i="6" a="1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76" i="6"/>
  <c r="N76" i="6" a="1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77" i="6"/>
  <c r="N77" i="6" a="1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78" i="6"/>
  <c r="N78" i="6" a="1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79" i="6"/>
  <c r="N79" i="6" a="1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80" i="6"/>
  <c r="N80" i="6" a="1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81" i="6"/>
  <c r="N81" i="6" a="1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82" i="6"/>
  <c r="N82" i="6" a="1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83" i="6"/>
  <c r="N83" i="6" a="1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84" i="6"/>
  <c r="N84" i="6" a="1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85" i="6"/>
  <c r="N85" i="6" a="1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86" i="6"/>
  <c r="N86" i="6" a="1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87" i="6"/>
  <c r="N87" i="6" a="1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88" i="6"/>
  <c r="N88" i="6" a="1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89" i="6"/>
  <c r="N89" i="6" a="1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90" i="6"/>
  <c r="N90" i="6" a="1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91" i="6"/>
  <c r="N91" i="6" a="1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92" i="6"/>
  <c r="N92" i="6" a="1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93" i="6"/>
  <c r="N93" i="6" a="1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94" i="6"/>
  <c r="N94" i="6" a="1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95" i="6"/>
  <c r="N95" i="6" a="1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96" i="6"/>
  <c r="N96" i="6" a="1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97" i="6"/>
  <c r="N97" i="6" a="1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98" i="6"/>
  <c r="N98" i="6" a="1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99" i="6"/>
  <c r="N99" i="6" a="1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100" i="6"/>
  <c r="N100" i="6" a="1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101" i="6"/>
  <c r="N101" i="6" a="1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102" i="6"/>
  <c r="N102" i="6" a="1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103" i="6"/>
  <c r="N103" i="6" a="1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104" i="6"/>
  <c r="N104" i="6" a="1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105" i="6"/>
  <c r="N105" i="6" a="1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106" i="6"/>
  <c r="N106" i="6" a="1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107" i="6"/>
  <c r="N107" i="6" a="1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108" i="6"/>
  <c r="N108" i="6" a="1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109" i="6"/>
  <c r="N109" i="6" a="1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110" i="6"/>
  <c r="N110" i="6" a="1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111" i="6"/>
  <c r="N111" i="6" a="1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112" i="6"/>
  <c r="N112" i="6" a="1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113" i="6"/>
  <c r="N113" i="6" a="1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114" i="6"/>
  <c r="N114" i="6" a="1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115" i="6"/>
  <c r="N115" i="6" a="1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116" i="6"/>
  <c r="N116" i="6" a="1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117" i="6"/>
  <c r="N117" i="6" a="1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C117" i="6"/>
  <c r="AD117" i="6"/>
  <c r="AE117" i="6"/>
  <c r="A118" i="6"/>
  <c r="N118" i="6" a="1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A119" i="6"/>
  <c r="N119" i="6" a="1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120" i="6"/>
  <c r="N120" i="6" a="1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E120" i="6"/>
  <c r="A121" i="6"/>
  <c r="N121" i="6" a="1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A122" i="6"/>
  <c r="N122" i="6" a="1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123" i="6"/>
  <c r="N123" i="6" a="1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124" i="6"/>
  <c r="N124" i="6" a="1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125" i="6"/>
  <c r="N125" i="6" a="1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126" i="6"/>
  <c r="N126" i="6" a="1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127" i="6"/>
  <c r="N127" i="6" a="1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128" i="6"/>
  <c r="N128" i="6" a="1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129" i="6"/>
  <c r="N129" i="6" a="1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130" i="6"/>
  <c r="N130" i="6" a="1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131" i="6"/>
  <c r="N131" i="6" a="1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132" i="6"/>
  <c r="N132" i="6" a="1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133" i="6"/>
  <c r="N133" i="6" a="1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134" i="6"/>
  <c r="N134" i="6" a="1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135" i="6"/>
  <c r="N135" i="6" a="1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136" i="6"/>
  <c r="N136" i="6" a="1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B136" i="6"/>
  <c r="AC136" i="6"/>
  <c r="AD136" i="6"/>
  <c r="AE136" i="6"/>
  <c r="A137" i="6"/>
  <c r="N137" i="6" a="1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B137" i="6"/>
  <c r="AC137" i="6"/>
  <c r="AD137" i="6"/>
  <c r="AE137" i="6"/>
  <c r="A138" i="6"/>
  <c r="N138" i="6" a="1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B138" i="6"/>
  <c r="AC138" i="6"/>
  <c r="AD138" i="6"/>
  <c r="AE138" i="6"/>
  <c r="A139" i="6"/>
  <c r="N139" i="6" a="1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B139" i="6"/>
  <c r="AC139" i="6"/>
  <c r="AD139" i="6"/>
  <c r="AE139" i="6"/>
  <c r="A140" i="6"/>
  <c r="N140" i="6" a="1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E140" i="6"/>
  <c r="A141" i="6"/>
  <c r="N141" i="6" a="1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B141" i="6"/>
  <c r="AC141" i="6"/>
  <c r="AD141" i="6"/>
  <c r="AE141" i="6"/>
  <c r="A142" i="6"/>
  <c r="N142" i="6" a="1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B142" i="6"/>
  <c r="AC142" i="6"/>
  <c r="AD142" i="6"/>
  <c r="AE142" i="6"/>
  <c r="A143" i="6"/>
  <c r="N143" i="6" a="1"/>
  <c r="N143" i="6"/>
  <c r="O143" i="6"/>
  <c r="P143" i="6"/>
  <c r="Q143" i="6"/>
  <c r="R143" i="6"/>
  <c r="S143" i="6"/>
  <c r="T143" i="6"/>
  <c r="U143" i="6"/>
  <c r="V143" i="6"/>
  <c r="W143" i="6"/>
  <c r="X143" i="6"/>
  <c r="Y143" i="6"/>
  <c r="Z143" i="6"/>
  <c r="AA143" i="6"/>
  <c r="AB143" i="6"/>
  <c r="AC143" i="6"/>
  <c r="AD143" i="6"/>
  <c r="AE143" i="6"/>
  <c r="A144" i="6"/>
  <c r="N144" i="6" a="1"/>
  <c r="N144" i="6"/>
  <c r="O144" i="6"/>
  <c r="P144" i="6"/>
  <c r="Q144" i="6"/>
  <c r="R144" i="6"/>
  <c r="S144" i="6"/>
  <c r="T144" i="6"/>
  <c r="U144" i="6"/>
  <c r="V144" i="6"/>
  <c r="W144" i="6"/>
  <c r="X144" i="6"/>
  <c r="Y144" i="6"/>
  <c r="Z144" i="6"/>
  <c r="AA144" i="6"/>
  <c r="AB144" i="6"/>
  <c r="AC144" i="6"/>
  <c r="AD144" i="6"/>
  <c r="AE144" i="6"/>
  <c r="A145" i="6"/>
  <c r="N145" i="6" a="1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B145" i="6"/>
  <c r="AC145" i="6"/>
  <c r="AD145" i="6"/>
  <c r="AE145" i="6"/>
  <c r="A146" i="6"/>
  <c r="N146" i="6" a="1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B146" i="6"/>
  <c r="AC146" i="6"/>
  <c r="AD146" i="6"/>
  <c r="AE146" i="6"/>
  <c r="A147" i="6"/>
  <c r="N147" i="6" a="1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B147" i="6"/>
  <c r="AC147" i="6"/>
  <c r="AD147" i="6"/>
  <c r="AE147" i="6"/>
  <c r="A148" i="6"/>
  <c r="N148" i="6" a="1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B148" i="6"/>
  <c r="AC148" i="6"/>
  <c r="AD148" i="6"/>
  <c r="AE148" i="6"/>
  <c r="A149" i="6"/>
  <c r="N149" i="6" a="1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B149" i="6"/>
  <c r="AC149" i="6"/>
  <c r="AD149" i="6"/>
  <c r="AE149" i="6"/>
  <c r="A150" i="6"/>
  <c r="N150" i="6" a="1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B150" i="6"/>
  <c r="AC150" i="6"/>
  <c r="AD150" i="6"/>
  <c r="AE150" i="6"/>
  <c r="A151" i="6"/>
  <c r="N151" i="6" a="1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B151" i="6"/>
  <c r="AC151" i="6"/>
  <c r="AD151" i="6"/>
  <c r="AE151" i="6"/>
  <c r="A152" i="6"/>
  <c r="N152" i="6" a="1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B152" i="6"/>
  <c r="AC152" i="6"/>
  <c r="AD152" i="6"/>
  <c r="AE152" i="6"/>
  <c r="A153" i="6"/>
  <c r="N153" i="6" a="1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B153" i="6"/>
  <c r="AC153" i="6"/>
  <c r="AD153" i="6"/>
  <c r="AE153" i="6"/>
  <c r="A154" i="6"/>
  <c r="N154" i="6" a="1"/>
  <c r="N154" i="6"/>
  <c r="O154" i="6"/>
  <c r="P154" i="6"/>
  <c r="Q154" i="6"/>
  <c r="R154" i="6"/>
  <c r="S154" i="6"/>
  <c r="T154" i="6"/>
  <c r="U154" i="6"/>
  <c r="V154" i="6"/>
  <c r="W154" i="6"/>
  <c r="X154" i="6"/>
  <c r="Y154" i="6"/>
  <c r="Z154" i="6"/>
  <c r="AA154" i="6"/>
  <c r="AB154" i="6"/>
  <c r="AC154" i="6"/>
  <c r="AD154" i="6"/>
  <c r="AE154" i="6"/>
  <c r="A155" i="6"/>
  <c r="N155" i="6" a="1"/>
  <c r="N155" i="6"/>
  <c r="O155" i="6"/>
  <c r="P155" i="6"/>
  <c r="Q155" i="6"/>
  <c r="R155" i="6"/>
  <c r="S155" i="6"/>
  <c r="T155" i="6"/>
  <c r="U155" i="6"/>
  <c r="V155" i="6"/>
  <c r="W155" i="6"/>
  <c r="X155" i="6"/>
  <c r="Y155" i="6"/>
  <c r="Z155" i="6"/>
  <c r="AA155" i="6"/>
  <c r="AB155" i="6"/>
  <c r="AC155" i="6"/>
  <c r="AD155" i="6"/>
  <c r="AE155" i="6"/>
  <c r="A156" i="6"/>
  <c r="N156" i="6" a="1"/>
  <c r="N156" i="6"/>
  <c r="O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B156" i="6"/>
  <c r="AC156" i="6"/>
  <c r="AD156" i="6"/>
  <c r="AE156" i="6"/>
  <c r="A157" i="6"/>
  <c r="N157" i="6" a="1"/>
  <c r="N157" i="6"/>
  <c r="O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B157" i="6"/>
  <c r="AC157" i="6"/>
  <c r="AD157" i="6"/>
  <c r="AE157" i="6"/>
  <c r="A158" i="6"/>
  <c r="N158" i="6" a="1"/>
  <c r="N158" i="6"/>
  <c r="O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B158" i="6"/>
  <c r="AC158" i="6"/>
  <c r="AD158" i="6"/>
  <c r="AE158" i="6"/>
  <c r="A159" i="6"/>
  <c r="N159" i="6" a="1"/>
  <c r="N159" i="6"/>
  <c r="O159" i="6"/>
  <c r="P159" i="6"/>
  <c r="Q159" i="6"/>
  <c r="R159" i="6"/>
  <c r="S159" i="6"/>
  <c r="T159" i="6"/>
  <c r="U159" i="6"/>
  <c r="V159" i="6"/>
  <c r="W159" i="6"/>
  <c r="X159" i="6"/>
  <c r="Y159" i="6"/>
  <c r="Z159" i="6"/>
  <c r="AA159" i="6"/>
  <c r="AB159" i="6"/>
  <c r="AC159" i="6"/>
  <c r="AD159" i="6"/>
  <c r="AE159" i="6"/>
  <c r="A160" i="6"/>
  <c r="N160" i="6" a="1"/>
  <c r="N160" i="6"/>
  <c r="O160" i="6"/>
  <c r="P160" i="6"/>
  <c r="Q160" i="6"/>
  <c r="R160" i="6"/>
  <c r="S160" i="6"/>
  <c r="T160" i="6"/>
  <c r="U160" i="6"/>
  <c r="V160" i="6"/>
  <c r="W160" i="6"/>
  <c r="X160" i="6"/>
  <c r="Y160" i="6"/>
  <c r="Z160" i="6"/>
  <c r="AA160" i="6"/>
  <c r="AB160" i="6"/>
  <c r="AC160" i="6"/>
  <c r="AD160" i="6"/>
  <c r="AE160" i="6"/>
  <c r="A161" i="6"/>
  <c r="N161" i="6" a="1"/>
  <c r="N161" i="6"/>
  <c r="O161" i="6"/>
  <c r="P161" i="6"/>
  <c r="Q161" i="6"/>
  <c r="R161" i="6"/>
  <c r="S161" i="6"/>
  <c r="T161" i="6"/>
  <c r="U161" i="6"/>
  <c r="V161" i="6"/>
  <c r="W161" i="6"/>
  <c r="X161" i="6"/>
  <c r="Y161" i="6"/>
  <c r="Z161" i="6"/>
  <c r="AA161" i="6"/>
  <c r="AB161" i="6"/>
  <c r="AC161" i="6"/>
  <c r="AD161" i="6"/>
  <c r="AE161" i="6"/>
  <c r="A162" i="6"/>
  <c r="N162" i="6" a="1"/>
  <c r="N162" i="6"/>
  <c r="O162" i="6"/>
  <c r="P162" i="6"/>
  <c r="Q162" i="6"/>
  <c r="R162" i="6"/>
  <c r="S162" i="6"/>
  <c r="T162" i="6"/>
  <c r="U162" i="6"/>
  <c r="V162" i="6"/>
  <c r="W162" i="6"/>
  <c r="X162" i="6"/>
  <c r="Y162" i="6"/>
  <c r="Z162" i="6"/>
  <c r="AA162" i="6"/>
  <c r="AB162" i="6"/>
  <c r="AC162" i="6"/>
  <c r="AD162" i="6"/>
  <c r="AE162" i="6"/>
  <c r="A163" i="6"/>
  <c r="N163" i="6" a="1"/>
  <c r="N163" i="6"/>
  <c r="O163" i="6"/>
  <c r="P163" i="6"/>
  <c r="Q163" i="6"/>
  <c r="R163" i="6"/>
  <c r="S163" i="6"/>
  <c r="T163" i="6"/>
  <c r="U163" i="6"/>
  <c r="V163" i="6"/>
  <c r="W163" i="6"/>
  <c r="X163" i="6"/>
  <c r="Y163" i="6"/>
  <c r="Z163" i="6"/>
  <c r="AA163" i="6"/>
  <c r="AB163" i="6"/>
  <c r="AC163" i="6"/>
  <c r="AD163" i="6"/>
  <c r="AE163" i="6"/>
  <c r="A164" i="6"/>
  <c r="N164" i="6" a="1"/>
  <c r="N164" i="6"/>
  <c r="O164" i="6"/>
  <c r="P164" i="6"/>
  <c r="Q164" i="6"/>
  <c r="R164" i="6"/>
  <c r="S164" i="6"/>
  <c r="T164" i="6"/>
  <c r="U164" i="6"/>
  <c r="V164" i="6"/>
  <c r="W164" i="6"/>
  <c r="X164" i="6"/>
  <c r="Y164" i="6"/>
  <c r="Z164" i="6"/>
  <c r="AA164" i="6"/>
  <c r="AB164" i="6"/>
  <c r="AC164" i="6"/>
  <c r="AD164" i="6"/>
  <c r="AE164" i="6"/>
  <c r="A165" i="6"/>
  <c r="N165" i="6" a="1"/>
  <c r="N165" i="6"/>
  <c r="O165" i="6"/>
  <c r="P165" i="6"/>
  <c r="Q165" i="6"/>
  <c r="R165" i="6"/>
  <c r="S165" i="6"/>
  <c r="T165" i="6"/>
  <c r="U165" i="6"/>
  <c r="V165" i="6"/>
  <c r="W165" i="6"/>
  <c r="X165" i="6"/>
  <c r="Y165" i="6"/>
  <c r="Z165" i="6"/>
  <c r="AA165" i="6"/>
  <c r="AB165" i="6"/>
  <c r="AC165" i="6"/>
  <c r="AD165" i="6"/>
  <c r="AE165" i="6"/>
  <c r="A166" i="6"/>
  <c r="N166" i="6" a="1"/>
  <c r="N166" i="6"/>
  <c r="O166" i="6"/>
  <c r="P166" i="6"/>
  <c r="Q166" i="6"/>
  <c r="R166" i="6"/>
  <c r="S166" i="6"/>
  <c r="T166" i="6"/>
  <c r="U166" i="6"/>
  <c r="V166" i="6"/>
  <c r="W166" i="6"/>
  <c r="X166" i="6"/>
  <c r="Y166" i="6"/>
  <c r="Z166" i="6"/>
  <c r="AA166" i="6"/>
  <c r="AB166" i="6"/>
  <c r="AC166" i="6"/>
  <c r="AD166" i="6"/>
  <c r="AE166" i="6"/>
  <c r="A167" i="6"/>
  <c r="N167" i="6" a="1"/>
  <c r="N167" i="6"/>
  <c r="O167" i="6"/>
  <c r="P167" i="6"/>
  <c r="Q167" i="6"/>
  <c r="R167" i="6"/>
  <c r="S167" i="6"/>
  <c r="T167" i="6"/>
  <c r="U167" i="6"/>
  <c r="V167" i="6"/>
  <c r="W167" i="6"/>
  <c r="X167" i="6"/>
  <c r="Y167" i="6"/>
  <c r="Z167" i="6"/>
  <c r="AA167" i="6"/>
  <c r="AB167" i="6"/>
  <c r="AC167" i="6"/>
  <c r="AD167" i="6"/>
  <c r="AE167" i="6"/>
  <c r="A168" i="6"/>
  <c r="N168" i="6" a="1"/>
  <c r="N168" i="6"/>
  <c r="O168" i="6"/>
  <c r="P168" i="6"/>
  <c r="Q168" i="6"/>
  <c r="R168" i="6"/>
  <c r="S168" i="6"/>
  <c r="T168" i="6"/>
  <c r="U168" i="6"/>
  <c r="V168" i="6"/>
  <c r="W168" i="6"/>
  <c r="X168" i="6"/>
  <c r="Y168" i="6"/>
  <c r="Z168" i="6"/>
  <c r="AA168" i="6"/>
  <c r="AB168" i="6"/>
  <c r="AC168" i="6"/>
  <c r="AD168" i="6"/>
  <c r="AE168" i="6"/>
  <c r="A169" i="6"/>
  <c r="N169" i="6" a="1"/>
  <c r="N169" i="6"/>
  <c r="O169" i="6"/>
  <c r="P169" i="6"/>
  <c r="Q169" i="6"/>
  <c r="R169" i="6"/>
  <c r="S169" i="6"/>
  <c r="T169" i="6"/>
  <c r="U169" i="6"/>
  <c r="V169" i="6"/>
  <c r="W169" i="6"/>
  <c r="X169" i="6"/>
  <c r="Y169" i="6"/>
  <c r="Z169" i="6"/>
  <c r="AA169" i="6"/>
  <c r="AB169" i="6"/>
  <c r="AC169" i="6"/>
  <c r="AD169" i="6"/>
  <c r="AE169" i="6"/>
  <c r="A170" i="6"/>
  <c r="N170" i="6" a="1"/>
  <c r="N170" i="6"/>
  <c r="O170" i="6"/>
  <c r="P170" i="6"/>
  <c r="Q170" i="6"/>
  <c r="R170" i="6"/>
  <c r="S170" i="6"/>
  <c r="T170" i="6"/>
  <c r="U170" i="6"/>
  <c r="V170" i="6"/>
  <c r="W170" i="6"/>
  <c r="X170" i="6"/>
  <c r="Y170" i="6"/>
  <c r="Z170" i="6"/>
  <c r="AA170" i="6"/>
  <c r="AB170" i="6"/>
  <c r="AC170" i="6"/>
  <c r="AD170" i="6"/>
  <c r="AE170" i="6"/>
  <c r="A171" i="6"/>
  <c r="N171" i="6" a="1"/>
  <c r="N171" i="6"/>
  <c r="O171" i="6"/>
  <c r="P171" i="6"/>
  <c r="Q171" i="6"/>
  <c r="R171" i="6"/>
  <c r="S171" i="6"/>
  <c r="T171" i="6"/>
  <c r="U171" i="6"/>
  <c r="V171" i="6"/>
  <c r="W171" i="6"/>
  <c r="X171" i="6"/>
  <c r="Y171" i="6"/>
  <c r="Z171" i="6"/>
  <c r="AA171" i="6"/>
  <c r="AB171" i="6"/>
  <c r="AC171" i="6"/>
  <c r="AD171" i="6"/>
  <c r="AE171" i="6"/>
  <c r="A172" i="6"/>
  <c r="N172" i="6" a="1"/>
  <c r="N172" i="6"/>
  <c r="O172" i="6"/>
  <c r="P172" i="6"/>
  <c r="Q172" i="6"/>
  <c r="R172" i="6"/>
  <c r="S172" i="6"/>
  <c r="T172" i="6"/>
  <c r="U172" i="6"/>
  <c r="V172" i="6"/>
  <c r="W172" i="6"/>
  <c r="X172" i="6"/>
  <c r="Y172" i="6"/>
  <c r="Z172" i="6"/>
  <c r="AA172" i="6"/>
  <c r="AB172" i="6"/>
  <c r="AC172" i="6"/>
  <c r="AD172" i="6"/>
  <c r="AE172" i="6"/>
  <c r="A173" i="6"/>
  <c r="N173" i="6" a="1"/>
  <c r="N173" i="6"/>
  <c r="O173" i="6"/>
  <c r="P173" i="6"/>
  <c r="Q173" i="6"/>
  <c r="R173" i="6"/>
  <c r="S173" i="6"/>
  <c r="T173" i="6"/>
  <c r="U173" i="6"/>
  <c r="V173" i="6"/>
  <c r="W173" i="6"/>
  <c r="X173" i="6"/>
  <c r="Y173" i="6"/>
  <c r="Z173" i="6"/>
  <c r="AA173" i="6"/>
  <c r="AB173" i="6"/>
  <c r="AC173" i="6"/>
  <c r="AD173" i="6"/>
  <c r="AE173" i="6"/>
  <c r="A174" i="6"/>
  <c r="N174" i="6" a="1"/>
  <c r="N174" i="6"/>
  <c r="O174" i="6"/>
  <c r="P174" i="6"/>
  <c r="Q174" i="6"/>
  <c r="R174" i="6"/>
  <c r="S174" i="6"/>
  <c r="T174" i="6"/>
  <c r="U174" i="6"/>
  <c r="V174" i="6"/>
  <c r="W174" i="6"/>
  <c r="X174" i="6"/>
  <c r="Y174" i="6"/>
  <c r="Z174" i="6"/>
  <c r="AA174" i="6"/>
  <c r="AB174" i="6"/>
  <c r="AC174" i="6"/>
  <c r="AD174" i="6"/>
  <c r="AE174" i="6"/>
  <c r="A175" i="6"/>
  <c r="N175" i="6" a="1"/>
  <c r="N175" i="6"/>
  <c r="O175" i="6"/>
  <c r="P175" i="6"/>
  <c r="Q175" i="6"/>
  <c r="R175" i="6"/>
  <c r="S175" i="6"/>
  <c r="T175" i="6"/>
  <c r="U175" i="6"/>
  <c r="V175" i="6"/>
  <c r="W175" i="6"/>
  <c r="X175" i="6"/>
  <c r="Y175" i="6"/>
  <c r="Z175" i="6"/>
  <c r="AA175" i="6"/>
  <c r="AB175" i="6"/>
  <c r="AC175" i="6"/>
  <c r="AD175" i="6"/>
  <c r="AE175" i="6"/>
  <c r="A176" i="6"/>
  <c r="N176" i="6" a="1"/>
  <c r="N176" i="6"/>
  <c r="O176" i="6"/>
  <c r="P176" i="6"/>
  <c r="Q176" i="6"/>
  <c r="R176" i="6"/>
  <c r="S176" i="6"/>
  <c r="T176" i="6"/>
  <c r="U176" i="6"/>
  <c r="V176" i="6"/>
  <c r="W176" i="6"/>
  <c r="X176" i="6"/>
  <c r="Y176" i="6"/>
  <c r="Z176" i="6"/>
  <c r="AA176" i="6"/>
  <c r="AB176" i="6"/>
  <c r="AC176" i="6"/>
  <c r="AD176" i="6"/>
  <c r="AE176" i="6"/>
  <c r="A177" i="6"/>
  <c r="N177" i="6" a="1"/>
  <c r="N177" i="6"/>
  <c r="O177" i="6"/>
  <c r="P177" i="6"/>
  <c r="Q177" i="6"/>
  <c r="R177" i="6"/>
  <c r="S177" i="6"/>
  <c r="T177" i="6"/>
  <c r="U177" i="6"/>
  <c r="V177" i="6"/>
  <c r="W177" i="6"/>
  <c r="X177" i="6"/>
  <c r="Y177" i="6"/>
  <c r="Z177" i="6"/>
  <c r="AA177" i="6"/>
  <c r="AB177" i="6"/>
  <c r="AC177" i="6"/>
  <c r="AD177" i="6"/>
  <c r="AE177" i="6"/>
  <c r="A178" i="6"/>
  <c r="N178" i="6" a="1"/>
  <c r="N178" i="6"/>
  <c r="O178" i="6"/>
  <c r="P178" i="6"/>
  <c r="Q178" i="6"/>
  <c r="R178" i="6"/>
  <c r="S178" i="6"/>
  <c r="T178" i="6"/>
  <c r="U178" i="6"/>
  <c r="V178" i="6"/>
  <c r="W178" i="6"/>
  <c r="X178" i="6"/>
  <c r="Y178" i="6"/>
  <c r="Z178" i="6"/>
  <c r="AA178" i="6"/>
  <c r="AB178" i="6"/>
  <c r="AC178" i="6"/>
  <c r="AD178" i="6"/>
  <c r="AE178" i="6"/>
  <c r="A179" i="6"/>
  <c r="N179" i="6" a="1"/>
  <c r="N179" i="6"/>
  <c r="O179" i="6"/>
  <c r="P179" i="6"/>
  <c r="Q179" i="6"/>
  <c r="R179" i="6"/>
  <c r="S179" i="6"/>
  <c r="T179" i="6"/>
  <c r="U179" i="6"/>
  <c r="V179" i="6"/>
  <c r="W179" i="6"/>
  <c r="X179" i="6"/>
  <c r="Y179" i="6"/>
  <c r="Z179" i="6"/>
  <c r="AA179" i="6"/>
  <c r="AB179" i="6"/>
  <c r="AC179" i="6"/>
  <c r="AD179" i="6"/>
  <c r="AE179" i="6"/>
  <c r="A180" i="6"/>
  <c r="N180" i="6" a="1"/>
  <c r="N180" i="6"/>
  <c r="O180" i="6"/>
  <c r="P180" i="6"/>
  <c r="Q180" i="6"/>
  <c r="R180" i="6"/>
  <c r="S180" i="6"/>
  <c r="T180" i="6"/>
  <c r="U180" i="6"/>
  <c r="V180" i="6"/>
  <c r="W180" i="6"/>
  <c r="X180" i="6"/>
  <c r="Y180" i="6"/>
  <c r="Z180" i="6"/>
  <c r="AA180" i="6"/>
  <c r="AB180" i="6"/>
  <c r="AC180" i="6"/>
  <c r="AD180" i="6"/>
  <c r="AE180" i="6"/>
  <c r="A181" i="6"/>
  <c r="N181" i="6" a="1"/>
  <c r="N181" i="6"/>
  <c r="O181" i="6"/>
  <c r="P181" i="6"/>
  <c r="Q181" i="6"/>
  <c r="R181" i="6"/>
  <c r="S181" i="6"/>
  <c r="T181" i="6"/>
  <c r="U181" i="6"/>
  <c r="V181" i="6"/>
  <c r="W181" i="6"/>
  <c r="X181" i="6"/>
  <c r="Y181" i="6"/>
  <c r="Z181" i="6"/>
  <c r="AA181" i="6"/>
  <c r="AB181" i="6"/>
  <c r="AC181" i="6"/>
  <c r="AD181" i="6"/>
  <c r="AE181" i="6"/>
  <c r="A182" i="6"/>
  <c r="N182" i="6" a="1"/>
  <c r="N182" i="6"/>
  <c r="O182" i="6"/>
  <c r="P182" i="6"/>
  <c r="Q182" i="6"/>
  <c r="R182" i="6"/>
  <c r="S182" i="6"/>
  <c r="T182" i="6"/>
  <c r="U182" i="6"/>
  <c r="V182" i="6"/>
  <c r="W182" i="6"/>
  <c r="X182" i="6"/>
  <c r="Y182" i="6"/>
  <c r="Z182" i="6"/>
  <c r="AA182" i="6"/>
  <c r="AB182" i="6"/>
  <c r="AC182" i="6"/>
  <c r="AD182" i="6"/>
  <c r="AE182" i="6"/>
  <c r="A183" i="6"/>
  <c r="N183" i="6" a="1"/>
  <c r="N183" i="6"/>
  <c r="O183" i="6"/>
  <c r="P183" i="6"/>
  <c r="Q183" i="6"/>
  <c r="R183" i="6"/>
  <c r="S183" i="6"/>
  <c r="T183" i="6"/>
  <c r="U183" i="6"/>
  <c r="V183" i="6"/>
  <c r="W183" i="6"/>
  <c r="X183" i="6"/>
  <c r="Y183" i="6"/>
  <c r="Z183" i="6"/>
  <c r="AA183" i="6"/>
  <c r="AB183" i="6"/>
  <c r="AC183" i="6"/>
  <c r="AD183" i="6"/>
  <c r="AE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O185" i="6"/>
  <c r="P185" i="6"/>
  <c r="Q185" i="6"/>
  <c r="R185" i="6"/>
  <c r="S185" i="6"/>
  <c r="T185" i="6"/>
  <c r="U185" i="6"/>
  <c r="V185" i="6"/>
  <c r="W185" i="6"/>
  <c r="X185" i="6"/>
  <c r="Y185" i="6"/>
  <c r="Z185" i="6"/>
  <c r="AA185" i="6"/>
  <c r="AB185" i="6"/>
  <c r="AC185" i="6"/>
  <c r="AD185" i="6"/>
  <c r="AE185" i="6"/>
  <c r="A186" i="6"/>
  <c r="N186" i="6" a="1"/>
  <c r="N186" i="6"/>
  <c r="O186" i="6"/>
  <c r="P186" i="6"/>
  <c r="Q186" i="6"/>
  <c r="R186" i="6"/>
  <c r="S186" i="6"/>
  <c r="T186" i="6"/>
  <c r="U186" i="6"/>
  <c r="V186" i="6"/>
  <c r="W186" i="6"/>
  <c r="X186" i="6"/>
  <c r="Y186" i="6"/>
  <c r="Z186" i="6"/>
  <c r="AA186" i="6"/>
  <c r="AB186" i="6"/>
  <c r="AC186" i="6"/>
  <c r="AD186" i="6"/>
  <c r="AE186" i="6"/>
  <c r="A187" i="6"/>
  <c r="N187" i="6" a="1"/>
  <c r="N187" i="6"/>
  <c r="O187" i="6"/>
  <c r="P187" i="6"/>
  <c r="Q187" i="6"/>
  <c r="R187" i="6"/>
  <c r="S187" i="6"/>
  <c r="T187" i="6"/>
  <c r="U187" i="6"/>
  <c r="V187" i="6"/>
  <c r="W187" i="6"/>
  <c r="X187" i="6"/>
  <c r="Y187" i="6"/>
  <c r="Z187" i="6"/>
  <c r="AA187" i="6"/>
  <c r="AB187" i="6"/>
  <c r="AC187" i="6"/>
  <c r="AD187" i="6"/>
  <c r="AE187" i="6"/>
  <c r="A188" i="6"/>
  <c r="N188" i="6" a="1"/>
  <c r="N188" i="6"/>
  <c r="O188" i="6"/>
  <c r="P188" i="6"/>
  <c r="Q188" i="6"/>
  <c r="R188" i="6"/>
  <c r="S188" i="6"/>
  <c r="T188" i="6"/>
  <c r="U188" i="6"/>
  <c r="V188" i="6"/>
  <c r="W188" i="6"/>
  <c r="X188" i="6"/>
  <c r="Y188" i="6"/>
  <c r="Z188" i="6"/>
  <c r="AA188" i="6"/>
  <c r="AB188" i="6"/>
  <c r="AC188" i="6"/>
  <c r="AD188" i="6"/>
  <c r="AE188" i="6"/>
  <c r="A189" i="6"/>
  <c r="N189" i="6" a="1"/>
  <c r="N189" i="6"/>
  <c r="O189" i="6"/>
  <c r="P189" i="6"/>
  <c r="Q189" i="6"/>
  <c r="R189" i="6"/>
  <c r="S189" i="6"/>
  <c r="T189" i="6"/>
  <c r="U189" i="6"/>
  <c r="V189" i="6"/>
  <c r="W189" i="6"/>
  <c r="X189" i="6"/>
  <c r="Y189" i="6"/>
  <c r="Z189" i="6"/>
  <c r="AA189" i="6"/>
  <c r="AB189" i="6"/>
  <c r="AC189" i="6"/>
  <c r="AD189" i="6"/>
  <c r="AE189" i="6"/>
  <c r="A190" i="6"/>
  <c r="N190" i="6" a="1"/>
  <c r="N190" i="6"/>
  <c r="O190" i="6"/>
  <c r="P190" i="6"/>
  <c r="Q190" i="6"/>
  <c r="R190" i="6"/>
  <c r="S190" i="6"/>
  <c r="T190" i="6"/>
  <c r="U190" i="6"/>
  <c r="V190" i="6"/>
  <c r="W190" i="6"/>
  <c r="X190" i="6"/>
  <c r="Y190" i="6"/>
  <c r="Z190" i="6"/>
  <c r="AA190" i="6"/>
  <c r="AB190" i="6"/>
  <c r="AC190" i="6"/>
  <c r="AD190" i="6"/>
  <c r="AE190" i="6"/>
  <c r="A191" i="6"/>
  <c r="N191" i="6" a="1"/>
  <c r="N191" i="6"/>
  <c r="O191" i="6"/>
  <c r="P191" i="6"/>
  <c r="Q191" i="6"/>
  <c r="R191" i="6"/>
  <c r="S191" i="6"/>
  <c r="T191" i="6"/>
  <c r="U191" i="6"/>
  <c r="V191" i="6"/>
  <c r="W191" i="6"/>
  <c r="X191" i="6"/>
  <c r="Y191" i="6"/>
  <c r="Z191" i="6"/>
  <c r="AA191" i="6"/>
  <c r="AB191" i="6"/>
  <c r="AC191" i="6"/>
  <c r="AD191" i="6"/>
  <c r="AE191" i="6"/>
  <c r="A192" i="6"/>
  <c r="N192" i="6" a="1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193" i="6"/>
  <c r="N193" i="6" a="1"/>
  <c r="N193" i="6"/>
  <c r="O193" i="6"/>
  <c r="P193" i="6"/>
  <c r="Q193" i="6"/>
  <c r="R193" i="6"/>
  <c r="S193" i="6"/>
  <c r="T193" i="6"/>
  <c r="U193" i="6"/>
  <c r="V193" i="6"/>
  <c r="W193" i="6"/>
  <c r="X193" i="6"/>
  <c r="Y193" i="6"/>
  <c r="Z193" i="6"/>
  <c r="AA193" i="6"/>
  <c r="AB193" i="6"/>
  <c r="AC193" i="6"/>
  <c r="AD193" i="6"/>
  <c r="AE193" i="6"/>
  <c r="A194" i="6"/>
  <c r="N194" i="6" a="1"/>
  <c r="N194" i="6"/>
  <c r="O194" i="6"/>
  <c r="P194" i="6"/>
  <c r="Q194" i="6"/>
  <c r="R194" i="6"/>
  <c r="S194" i="6"/>
  <c r="T194" i="6"/>
  <c r="U194" i="6"/>
  <c r="V194" i="6"/>
  <c r="W194" i="6"/>
  <c r="X194" i="6"/>
  <c r="Y194" i="6"/>
  <c r="Z194" i="6"/>
  <c r="AA194" i="6"/>
  <c r="AB194" i="6"/>
  <c r="AC194" i="6"/>
  <c r="AD194" i="6"/>
  <c r="AE194" i="6"/>
  <c r="A195" i="6"/>
  <c r="N195" i="6" a="1"/>
  <c r="N195" i="6"/>
  <c r="O195" i="6"/>
  <c r="P195" i="6"/>
  <c r="Q195" i="6"/>
  <c r="R195" i="6"/>
  <c r="S195" i="6"/>
  <c r="T195" i="6"/>
  <c r="U195" i="6"/>
  <c r="V195" i="6"/>
  <c r="W195" i="6"/>
  <c r="X195" i="6"/>
  <c r="Y195" i="6"/>
  <c r="Z195" i="6"/>
  <c r="AA195" i="6"/>
  <c r="AB195" i="6"/>
  <c r="AC195" i="6"/>
  <c r="AD195" i="6"/>
  <c r="AE195" i="6"/>
  <c r="A196" i="6"/>
  <c r="N196" i="6" a="1"/>
  <c r="N196" i="6"/>
  <c r="O196" i="6"/>
  <c r="P196" i="6"/>
  <c r="Q196" i="6"/>
  <c r="R196" i="6"/>
  <c r="S196" i="6"/>
  <c r="T196" i="6"/>
  <c r="U196" i="6"/>
  <c r="V196" i="6"/>
  <c r="W196" i="6"/>
  <c r="X196" i="6"/>
  <c r="Y196" i="6"/>
  <c r="Z196" i="6"/>
  <c r="AA196" i="6"/>
  <c r="AB196" i="6"/>
  <c r="AC196" i="6"/>
  <c r="AD196" i="6"/>
  <c r="AE196" i="6"/>
  <c r="A197" i="6"/>
  <c r="N197" i="6" a="1"/>
  <c r="N197" i="6"/>
  <c r="O197" i="6"/>
  <c r="P197" i="6"/>
  <c r="Q197" i="6"/>
  <c r="R197" i="6"/>
  <c r="S197" i="6"/>
  <c r="T197" i="6"/>
  <c r="U197" i="6"/>
  <c r="V197" i="6"/>
  <c r="W197" i="6"/>
  <c r="X197" i="6"/>
  <c r="Y197" i="6"/>
  <c r="Z197" i="6"/>
  <c r="AA197" i="6"/>
  <c r="AB197" i="6"/>
  <c r="AC197" i="6"/>
  <c r="AD197" i="6"/>
  <c r="AE197" i="6"/>
  <c r="A198" i="6"/>
  <c r="N198" i="6" a="1"/>
  <c r="N198" i="6"/>
  <c r="O198" i="6"/>
  <c r="P198" i="6"/>
  <c r="Q198" i="6"/>
  <c r="R198" i="6"/>
  <c r="S198" i="6"/>
  <c r="T198" i="6"/>
  <c r="U198" i="6"/>
  <c r="V198" i="6"/>
  <c r="W198" i="6"/>
  <c r="X198" i="6"/>
  <c r="Y198" i="6"/>
  <c r="Z198" i="6"/>
  <c r="AA198" i="6"/>
  <c r="AB198" i="6"/>
  <c r="AC198" i="6"/>
  <c r="AD198" i="6"/>
  <c r="AE198" i="6"/>
  <c r="A199" i="6"/>
  <c r="N199" i="6" a="1"/>
  <c r="N199" i="6"/>
  <c r="O199" i="6"/>
  <c r="P199" i="6"/>
  <c r="Q199" i="6"/>
  <c r="R199" i="6"/>
  <c r="S199" i="6"/>
  <c r="T199" i="6"/>
  <c r="U199" i="6"/>
  <c r="V199" i="6"/>
  <c r="W199" i="6"/>
  <c r="X199" i="6"/>
  <c r="Y199" i="6"/>
  <c r="Z199" i="6"/>
  <c r="AA199" i="6"/>
  <c r="AB199" i="6"/>
  <c r="AC199" i="6"/>
  <c r="AD199" i="6"/>
  <c r="AE199" i="6"/>
  <c r="A200" i="6"/>
  <c r="N200" i="6" a="1"/>
  <c r="N200" i="6"/>
  <c r="O200" i="6"/>
  <c r="P200" i="6"/>
  <c r="Q200" i="6"/>
  <c r="R200" i="6"/>
  <c r="S200" i="6"/>
  <c r="T200" i="6"/>
  <c r="U200" i="6"/>
  <c r="V200" i="6"/>
  <c r="W200" i="6"/>
  <c r="X200" i="6"/>
  <c r="Y200" i="6"/>
  <c r="Z200" i="6"/>
  <c r="AA200" i="6"/>
  <c r="AB200" i="6"/>
  <c r="AC200" i="6"/>
  <c r="AD200" i="6"/>
  <c r="AE200" i="6"/>
  <c r="A201" i="6"/>
  <c r="N201" i="6" a="1"/>
  <c r="N201" i="6"/>
  <c r="O201" i="6"/>
  <c r="P201" i="6"/>
  <c r="Q201" i="6"/>
  <c r="R201" i="6"/>
  <c r="S201" i="6"/>
  <c r="T201" i="6"/>
  <c r="U201" i="6"/>
  <c r="V201" i="6"/>
  <c r="W201" i="6"/>
  <c r="X201" i="6"/>
  <c r="Y201" i="6"/>
  <c r="Z201" i="6"/>
  <c r="AA201" i="6"/>
  <c r="AB201" i="6"/>
  <c r="AC201" i="6"/>
  <c r="AD201" i="6"/>
  <c r="AE201" i="6"/>
  <c r="A202" i="6"/>
  <c r="N202" i="6" a="1"/>
  <c r="N202" i="6"/>
  <c r="O202" i="6"/>
  <c r="P202" i="6"/>
  <c r="Q202" i="6"/>
  <c r="R202" i="6"/>
  <c r="S202" i="6"/>
  <c r="T202" i="6"/>
  <c r="U202" i="6"/>
  <c r="V202" i="6"/>
  <c r="W202" i="6"/>
  <c r="X202" i="6"/>
  <c r="Y202" i="6"/>
  <c r="Z202" i="6"/>
  <c r="AA202" i="6"/>
  <c r="AB202" i="6"/>
  <c r="AC202" i="6"/>
  <c r="AD202" i="6"/>
  <c r="AE202" i="6"/>
  <c r="A203" i="6"/>
  <c r="N203" i="6" a="1"/>
  <c r="N203" i="6"/>
  <c r="O203" i="6"/>
  <c r="P203" i="6"/>
  <c r="Q203" i="6"/>
  <c r="R203" i="6"/>
  <c r="S203" i="6"/>
  <c r="T203" i="6"/>
  <c r="U203" i="6"/>
  <c r="V203" i="6"/>
  <c r="W203" i="6"/>
  <c r="X203" i="6"/>
  <c r="Y203" i="6"/>
  <c r="Z203" i="6"/>
  <c r="AA203" i="6"/>
  <c r="AB203" i="6"/>
  <c r="AC203" i="6"/>
  <c r="AD203" i="6"/>
  <c r="AE203" i="6"/>
  <c r="A204" i="6"/>
  <c r="N204" i="6" a="1"/>
  <c r="N204" i="6"/>
  <c r="O204" i="6"/>
  <c r="P204" i="6"/>
  <c r="Q204" i="6"/>
  <c r="R204" i="6"/>
  <c r="S204" i="6"/>
  <c r="T204" i="6"/>
  <c r="U204" i="6"/>
  <c r="V204" i="6"/>
  <c r="W204" i="6"/>
  <c r="X204" i="6"/>
  <c r="Y204" i="6"/>
  <c r="Z204" i="6"/>
  <c r="AA204" i="6"/>
  <c r="AB204" i="6"/>
  <c r="AC204" i="6"/>
  <c r="AD204" i="6"/>
  <c r="AE204" i="6"/>
  <c r="A205" i="6"/>
  <c r="N205" i="6" a="1"/>
  <c r="N205" i="6"/>
  <c r="O205" i="6"/>
  <c r="P205" i="6"/>
  <c r="Q205" i="6"/>
  <c r="R205" i="6"/>
  <c r="S205" i="6"/>
  <c r="T205" i="6"/>
  <c r="U205" i="6"/>
  <c r="V205" i="6"/>
  <c r="W205" i="6"/>
  <c r="X205" i="6"/>
  <c r="Y205" i="6"/>
  <c r="Z205" i="6"/>
  <c r="AA205" i="6"/>
  <c r="AB205" i="6"/>
  <c r="AC205" i="6"/>
  <c r="AD205" i="6"/>
  <c r="AE205" i="6"/>
  <c r="A206" i="6"/>
  <c r="N206" i="6" a="1"/>
  <c r="N206" i="6"/>
  <c r="O206" i="6"/>
  <c r="P206" i="6"/>
  <c r="Q206" i="6"/>
  <c r="R206" i="6"/>
  <c r="S206" i="6"/>
  <c r="T206" i="6"/>
  <c r="U206" i="6"/>
  <c r="V206" i="6"/>
  <c r="W206" i="6"/>
  <c r="X206" i="6"/>
  <c r="Y206" i="6"/>
  <c r="Z206" i="6"/>
  <c r="AA206" i="6"/>
  <c r="AB206" i="6"/>
  <c r="AC206" i="6"/>
  <c r="AD206" i="6"/>
  <c r="AE206" i="6"/>
  <c r="A207" i="6"/>
  <c r="N207" i="6" a="1"/>
  <c r="N207" i="6"/>
  <c r="O207" i="6"/>
  <c r="P207" i="6"/>
  <c r="Q207" i="6"/>
  <c r="R207" i="6"/>
  <c r="S207" i="6"/>
  <c r="T207" i="6"/>
  <c r="U207" i="6"/>
  <c r="V207" i="6"/>
  <c r="W207" i="6"/>
  <c r="X207" i="6"/>
  <c r="Y207" i="6"/>
  <c r="Z207" i="6"/>
  <c r="AA207" i="6"/>
  <c r="AB207" i="6"/>
  <c r="AC207" i="6"/>
  <c r="AD207" i="6"/>
  <c r="AE207" i="6"/>
  <c r="A208" i="6"/>
  <c r="N208" i="6" a="1"/>
  <c r="N208" i="6"/>
  <c r="O208" i="6"/>
  <c r="P208" i="6"/>
  <c r="Q208" i="6"/>
  <c r="R208" i="6"/>
  <c r="S208" i="6"/>
  <c r="T208" i="6"/>
  <c r="U208" i="6"/>
  <c r="V208" i="6"/>
  <c r="W208" i="6"/>
  <c r="X208" i="6"/>
  <c r="Y208" i="6"/>
  <c r="Z208" i="6"/>
  <c r="AA208" i="6"/>
  <c r="AB208" i="6"/>
  <c r="AC208" i="6"/>
  <c r="AD208" i="6"/>
  <c r="AE208" i="6"/>
  <c r="A209" i="6"/>
  <c r="N209" i="6" a="1"/>
  <c r="N209" i="6"/>
  <c r="O209" i="6"/>
  <c r="P209" i="6"/>
  <c r="Q209" i="6"/>
  <c r="R209" i="6"/>
  <c r="S209" i="6"/>
  <c r="T209" i="6"/>
  <c r="U209" i="6"/>
  <c r="V209" i="6"/>
  <c r="W209" i="6"/>
  <c r="X209" i="6"/>
  <c r="Y209" i="6"/>
  <c r="Z209" i="6"/>
  <c r="AA209" i="6"/>
  <c r="AB209" i="6"/>
  <c r="AC209" i="6"/>
  <c r="AD209" i="6"/>
  <c r="AE209" i="6"/>
  <c r="A210" i="6"/>
  <c r="N210" i="6" a="1"/>
  <c r="N210" i="6"/>
  <c r="O210" i="6"/>
  <c r="P210" i="6"/>
  <c r="Q210" i="6"/>
  <c r="R210" i="6"/>
  <c r="S210" i="6"/>
  <c r="T210" i="6"/>
  <c r="U210" i="6"/>
  <c r="V210" i="6"/>
  <c r="W210" i="6"/>
  <c r="X210" i="6"/>
  <c r="Y210" i="6"/>
  <c r="Z210" i="6"/>
  <c r="AA210" i="6"/>
  <c r="AB210" i="6"/>
  <c r="AC210" i="6"/>
  <c r="AD210" i="6"/>
  <c r="AE210" i="6"/>
  <c r="A211" i="6"/>
  <c r="N211" i="6" a="1"/>
  <c r="N211" i="6"/>
  <c r="O211" i="6"/>
  <c r="P211" i="6"/>
  <c r="Q211" i="6"/>
  <c r="R211" i="6"/>
  <c r="S211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212" i="6"/>
  <c r="N212" i="6" a="1"/>
  <c r="N212" i="6"/>
  <c r="O212" i="6"/>
  <c r="P212" i="6"/>
  <c r="Q212" i="6"/>
  <c r="R212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213" i="6"/>
  <c r="N213" i="6" a="1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214" i="6"/>
  <c r="N214" i="6" a="1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215" i="6"/>
  <c r="N215" i="6" a="1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216" i="6"/>
  <c r="N216" i="6" a="1"/>
  <c r="N216" i="6"/>
  <c r="O216" i="6"/>
  <c r="P216" i="6"/>
  <c r="Q216" i="6"/>
  <c r="R216" i="6"/>
  <c r="S216" i="6"/>
  <c r="T216" i="6"/>
  <c r="U216" i="6"/>
  <c r="V216" i="6"/>
  <c r="W216" i="6"/>
  <c r="X216" i="6"/>
  <c r="Y216" i="6"/>
  <c r="Z216" i="6"/>
  <c r="AA216" i="6"/>
  <c r="AB216" i="6"/>
  <c r="AC216" i="6"/>
  <c r="AD216" i="6"/>
  <c r="AE216" i="6"/>
  <c r="A217" i="6"/>
  <c r="N217" i="6" a="1"/>
  <c r="N217" i="6"/>
  <c r="O217" i="6"/>
  <c r="P217" i="6"/>
  <c r="Q217" i="6"/>
  <c r="R217" i="6"/>
  <c r="S217" i="6"/>
  <c r="T217" i="6"/>
  <c r="U217" i="6"/>
  <c r="V217" i="6"/>
  <c r="W217" i="6"/>
  <c r="X217" i="6"/>
  <c r="Y217" i="6"/>
  <c r="Z217" i="6"/>
  <c r="AA217" i="6"/>
  <c r="AB217" i="6"/>
  <c r="AC217" i="6"/>
  <c r="AD217" i="6"/>
  <c r="AE217" i="6"/>
  <c r="A218" i="6"/>
  <c r="N218" i="6" a="1"/>
  <c r="N218" i="6"/>
  <c r="O218" i="6"/>
  <c r="P218" i="6"/>
  <c r="Q218" i="6"/>
  <c r="R218" i="6"/>
  <c r="S218" i="6"/>
  <c r="T218" i="6"/>
  <c r="U218" i="6"/>
  <c r="V218" i="6"/>
  <c r="W218" i="6"/>
  <c r="X218" i="6"/>
  <c r="Y218" i="6"/>
  <c r="Z218" i="6"/>
  <c r="AA218" i="6"/>
  <c r="AB218" i="6"/>
  <c r="AC218" i="6"/>
  <c r="AD218" i="6"/>
  <c r="AE218" i="6"/>
  <c r="A219" i="6"/>
  <c r="N219" i="6" a="1"/>
  <c r="N219" i="6"/>
  <c r="O219" i="6"/>
  <c r="P219" i="6"/>
  <c r="Q219" i="6"/>
  <c r="R219" i="6"/>
  <c r="S219" i="6"/>
  <c r="T219" i="6"/>
  <c r="U219" i="6"/>
  <c r="V219" i="6"/>
  <c r="W219" i="6"/>
  <c r="X219" i="6"/>
  <c r="Y219" i="6"/>
  <c r="Z219" i="6"/>
  <c r="AA219" i="6"/>
  <c r="AB219" i="6"/>
  <c r="AC219" i="6"/>
  <c r="AD219" i="6"/>
  <c r="AE219" i="6"/>
  <c r="A220" i="6"/>
  <c r="N220" i="6" a="1"/>
  <c r="N220" i="6"/>
  <c r="O220" i="6"/>
  <c r="P220" i="6"/>
  <c r="Q220" i="6"/>
  <c r="R220" i="6"/>
  <c r="S220" i="6"/>
  <c r="T220" i="6"/>
  <c r="U220" i="6"/>
  <c r="V220" i="6"/>
  <c r="W220" i="6"/>
  <c r="X220" i="6"/>
  <c r="Y220" i="6"/>
  <c r="Z220" i="6"/>
  <c r="AA220" i="6"/>
  <c r="AB220" i="6"/>
  <c r="AC220" i="6"/>
  <c r="AD220" i="6"/>
  <c r="AE220" i="6"/>
  <c r="A221" i="6"/>
  <c r="N221" i="6" a="1"/>
  <c r="N221" i="6"/>
  <c r="O221" i="6"/>
  <c r="P221" i="6"/>
  <c r="Q221" i="6"/>
  <c r="R221" i="6"/>
  <c r="S221" i="6"/>
  <c r="T221" i="6"/>
  <c r="U221" i="6"/>
  <c r="V221" i="6"/>
  <c r="W221" i="6"/>
  <c r="X221" i="6"/>
  <c r="Y221" i="6"/>
  <c r="Z221" i="6"/>
  <c r="AA221" i="6"/>
  <c r="AB221" i="6"/>
  <c r="AC221" i="6"/>
  <c r="AD221" i="6"/>
  <c r="AE221" i="6"/>
  <c r="A222" i="6"/>
  <c r="N222" i="6" a="1"/>
  <c r="N222" i="6"/>
  <c r="O222" i="6"/>
  <c r="P222" i="6"/>
  <c r="Q222" i="6"/>
  <c r="R222" i="6"/>
  <c r="S222" i="6"/>
  <c r="T222" i="6"/>
  <c r="U222" i="6"/>
  <c r="V222" i="6"/>
  <c r="W222" i="6"/>
  <c r="X222" i="6"/>
  <c r="Y222" i="6"/>
  <c r="Z222" i="6"/>
  <c r="AA222" i="6"/>
  <c r="AB222" i="6"/>
  <c r="AC222" i="6"/>
  <c r="AD222" i="6"/>
  <c r="AE222" i="6"/>
  <c r="A223" i="6"/>
  <c r="N223" i="6" a="1"/>
  <c r="N223" i="6"/>
  <c r="O223" i="6"/>
  <c r="P223" i="6"/>
  <c r="Q223" i="6"/>
  <c r="R223" i="6"/>
  <c r="S223" i="6"/>
  <c r="T223" i="6"/>
  <c r="U223" i="6"/>
  <c r="V223" i="6"/>
  <c r="W223" i="6"/>
  <c r="X223" i="6"/>
  <c r="Y223" i="6"/>
  <c r="Z223" i="6"/>
  <c r="AA223" i="6"/>
  <c r="AB223" i="6"/>
  <c r="AC223" i="6"/>
  <c r="AD223" i="6"/>
  <c r="AE223" i="6"/>
  <c r="A224" i="6"/>
  <c r="N224" i="6" a="1"/>
  <c r="N224" i="6"/>
  <c r="O224" i="6"/>
  <c r="P224" i="6"/>
  <c r="Q224" i="6"/>
  <c r="R224" i="6"/>
  <c r="S224" i="6"/>
  <c r="T224" i="6"/>
  <c r="U224" i="6"/>
  <c r="V224" i="6"/>
  <c r="W224" i="6"/>
  <c r="X224" i="6"/>
  <c r="Y224" i="6"/>
  <c r="Z224" i="6"/>
  <c r="AA224" i="6"/>
  <c r="AB224" i="6"/>
  <c r="AC224" i="6"/>
  <c r="AD224" i="6"/>
  <c r="AE224" i="6"/>
  <c r="A225" i="6"/>
  <c r="N225" i="6" a="1"/>
  <c r="N225" i="6"/>
  <c r="O225" i="6"/>
  <c r="P225" i="6"/>
  <c r="Q225" i="6"/>
  <c r="R225" i="6"/>
  <c r="S225" i="6"/>
  <c r="T225" i="6"/>
  <c r="U225" i="6"/>
  <c r="V225" i="6"/>
  <c r="W225" i="6"/>
  <c r="X225" i="6"/>
  <c r="Y225" i="6"/>
  <c r="Z225" i="6"/>
  <c r="AA225" i="6"/>
  <c r="AB225" i="6"/>
  <c r="AC225" i="6"/>
  <c r="AD225" i="6"/>
  <c r="AE225" i="6"/>
  <c r="A226" i="6"/>
  <c r="N226" i="6" a="1"/>
  <c r="N226" i="6"/>
  <c r="O226" i="6"/>
  <c r="P226" i="6"/>
  <c r="Q226" i="6"/>
  <c r="R226" i="6"/>
  <c r="S226" i="6"/>
  <c r="T226" i="6"/>
  <c r="U226" i="6"/>
  <c r="V226" i="6"/>
  <c r="W226" i="6"/>
  <c r="X226" i="6"/>
  <c r="Y226" i="6"/>
  <c r="Z226" i="6"/>
  <c r="AA226" i="6"/>
  <c r="AB226" i="6"/>
  <c r="AC226" i="6"/>
  <c r="AD226" i="6"/>
  <c r="AE226" i="6"/>
  <c r="A227" i="6"/>
  <c r="N227" i="6" a="1"/>
  <c r="N227" i="6"/>
  <c r="O227" i="6"/>
  <c r="P227" i="6"/>
  <c r="Q227" i="6"/>
  <c r="R227" i="6"/>
  <c r="S227" i="6"/>
  <c r="T227" i="6"/>
  <c r="U227" i="6"/>
  <c r="V227" i="6"/>
  <c r="W227" i="6"/>
  <c r="X227" i="6"/>
  <c r="Y227" i="6"/>
  <c r="Z227" i="6"/>
  <c r="AA227" i="6"/>
  <c r="AB227" i="6"/>
  <c r="AC227" i="6"/>
  <c r="AD227" i="6"/>
  <c r="AE227" i="6"/>
  <c r="A228" i="6"/>
  <c r="N228" i="6" a="1"/>
  <c r="N228" i="6"/>
  <c r="O228" i="6"/>
  <c r="P228" i="6"/>
  <c r="Q228" i="6"/>
  <c r="R228" i="6"/>
  <c r="S228" i="6"/>
  <c r="T228" i="6"/>
  <c r="U228" i="6"/>
  <c r="V228" i="6"/>
  <c r="W228" i="6"/>
  <c r="X228" i="6"/>
  <c r="Y228" i="6"/>
  <c r="Z228" i="6"/>
  <c r="AA228" i="6"/>
  <c r="AB228" i="6"/>
  <c r="AC228" i="6"/>
  <c r="AD228" i="6"/>
  <c r="AE228" i="6"/>
  <c r="A229" i="6"/>
  <c r="N229" i="6" a="1"/>
  <c r="N229" i="6"/>
  <c r="O229" i="6"/>
  <c r="P229" i="6"/>
  <c r="Q229" i="6"/>
  <c r="R229" i="6"/>
  <c r="S229" i="6"/>
  <c r="T229" i="6"/>
  <c r="U229" i="6"/>
  <c r="V229" i="6"/>
  <c r="W229" i="6"/>
  <c r="X229" i="6"/>
  <c r="Y229" i="6"/>
  <c r="Z229" i="6"/>
  <c r="AA229" i="6"/>
  <c r="AB229" i="6"/>
  <c r="AC229" i="6"/>
  <c r="AD229" i="6"/>
  <c r="AE229" i="6"/>
  <c r="A230" i="6"/>
  <c r="N230" i="6" a="1"/>
  <c r="N230" i="6"/>
  <c r="O230" i="6"/>
  <c r="P230" i="6"/>
  <c r="Q230" i="6"/>
  <c r="R230" i="6"/>
  <c r="S230" i="6"/>
  <c r="T230" i="6"/>
  <c r="U230" i="6"/>
  <c r="V230" i="6"/>
  <c r="W230" i="6"/>
  <c r="X230" i="6"/>
  <c r="Y230" i="6"/>
  <c r="Z230" i="6"/>
  <c r="AA230" i="6"/>
  <c r="AB230" i="6"/>
  <c r="AC230" i="6"/>
  <c r="AD230" i="6"/>
  <c r="AE230" i="6"/>
  <c r="A231" i="6"/>
  <c r="N231" i="6" a="1"/>
  <c r="N231" i="6"/>
  <c r="O231" i="6"/>
  <c r="P231" i="6"/>
  <c r="Q231" i="6"/>
  <c r="R231" i="6"/>
  <c r="S231" i="6"/>
  <c r="T231" i="6"/>
  <c r="U231" i="6"/>
  <c r="V231" i="6"/>
  <c r="W231" i="6"/>
  <c r="X231" i="6"/>
  <c r="Y231" i="6"/>
  <c r="Z231" i="6"/>
  <c r="AA231" i="6"/>
  <c r="AB231" i="6"/>
  <c r="AC231" i="6"/>
  <c r="AD231" i="6"/>
  <c r="AE231" i="6"/>
  <c r="A232" i="6"/>
  <c r="N232" i="6" a="1"/>
  <c r="N232" i="6"/>
  <c r="O232" i="6"/>
  <c r="P232" i="6"/>
  <c r="Q232" i="6"/>
  <c r="R232" i="6"/>
  <c r="S232" i="6"/>
  <c r="T232" i="6"/>
  <c r="U232" i="6"/>
  <c r="V232" i="6"/>
  <c r="W232" i="6"/>
  <c r="X232" i="6"/>
  <c r="Y232" i="6"/>
  <c r="Z232" i="6"/>
  <c r="AA232" i="6"/>
  <c r="AB232" i="6"/>
  <c r="AC232" i="6"/>
  <c r="AD232" i="6"/>
  <c r="AE232" i="6"/>
  <c r="A233" i="6"/>
  <c r="N233" i="6" a="1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234" i="6"/>
  <c r="N234" i="6" a="1"/>
  <c r="N234" i="6"/>
  <c r="O234" i="6"/>
  <c r="P234" i="6"/>
  <c r="Q234" i="6"/>
  <c r="R234" i="6"/>
  <c r="S234" i="6"/>
  <c r="T234" i="6"/>
  <c r="U234" i="6"/>
  <c r="V234" i="6"/>
  <c r="W234" i="6"/>
  <c r="X234" i="6"/>
  <c r="Y234" i="6"/>
  <c r="Z234" i="6"/>
  <c r="AA234" i="6"/>
  <c r="AB234" i="6"/>
  <c r="AC234" i="6"/>
  <c r="AD234" i="6"/>
  <c r="AE234" i="6"/>
  <c r="A235" i="6"/>
  <c r="N235" i="6" a="1"/>
  <c r="N235" i="6"/>
  <c r="O235" i="6"/>
  <c r="P235" i="6"/>
  <c r="Q235" i="6"/>
  <c r="R235" i="6"/>
  <c r="S235" i="6"/>
  <c r="T235" i="6"/>
  <c r="U235" i="6"/>
  <c r="V235" i="6"/>
  <c r="W235" i="6"/>
  <c r="X235" i="6"/>
  <c r="Y235" i="6"/>
  <c r="Z235" i="6"/>
  <c r="AA235" i="6"/>
  <c r="AB235" i="6"/>
  <c r="AC235" i="6"/>
  <c r="AD235" i="6"/>
  <c r="AE235" i="6"/>
  <c r="A236" i="6"/>
  <c r="N236" i="6" a="1"/>
  <c r="N236" i="6"/>
  <c r="O236" i="6"/>
  <c r="P236" i="6"/>
  <c r="Q236" i="6"/>
  <c r="R236" i="6"/>
  <c r="S236" i="6"/>
  <c r="T236" i="6"/>
  <c r="U236" i="6"/>
  <c r="V236" i="6"/>
  <c r="W236" i="6"/>
  <c r="X236" i="6"/>
  <c r="Y236" i="6"/>
  <c r="Z236" i="6"/>
  <c r="AA236" i="6"/>
  <c r="AB236" i="6"/>
  <c r="AC236" i="6"/>
  <c r="AD236" i="6"/>
  <c r="AE236" i="6"/>
  <c r="A237" i="6"/>
  <c r="N237" i="6" a="1"/>
  <c r="N237" i="6"/>
  <c r="O237" i="6"/>
  <c r="P237" i="6"/>
  <c r="Q237" i="6"/>
  <c r="R237" i="6"/>
  <c r="S237" i="6"/>
  <c r="T237" i="6"/>
  <c r="U237" i="6"/>
  <c r="V237" i="6"/>
  <c r="W237" i="6"/>
  <c r="X237" i="6"/>
  <c r="Y237" i="6"/>
  <c r="Z237" i="6"/>
  <c r="AA237" i="6"/>
  <c r="AB237" i="6"/>
  <c r="AC237" i="6"/>
  <c r="AD237" i="6"/>
  <c r="AE237" i="6"/>
  <c r="A238" i="6"/>
  <c r="N238" i="6" a="1"/>
  <c r="N238" i="6"/>
  <c r="O238" i="6"/>
  <c r="P238" i="6"/>
  <c r="Q238" i="6"/>
  <c r="R238" i="6"/>
  <c r="S238" i="6"/>
  <c r="T238" i="6"/>
  <c r="U238" i="6"/>
  <c r="V238" i="6"/>
  <c r="W238" i="6"/>
  <c r="X238" i="6"/>
  <c r="Y238" i="6"/>
  <c r="Z238" i="6"/>
  <c r="AA238" i="6"/>
  <c r="AB238" i="6"/>
  <c r="AC238" i="6"/>
  <c r="AD238" i="6"/>
  <c r="AE238" i="6"/>
  <c r="A239" i="6"/>
  <c r="N239" i="6" a="1"/>
  <c r="N239" i="6"/>
  <c r="O239" i="6"/>
  <c r="P239" i="6"/>
  <c r="Q239" i="6"/>
  <c r="R239" i="6"/>
  <c r="S239" i="6"/>
  <c r="T239" i="6"/>
  <c r="U239" i="6"/>
  <c r="V239" i="6"/>
  <c r="W239" i="6"/>
  <c r="X239" i="6"/>
  <c r="Y239" i="6"/>
  <c r="Z239" i="6"/>
  <c r="AA239" i="6"/>
  <c r="AB239" i="6"/>
  <c r="AC239" i="6"/>
  <c r="AD239" i="6"/>
  <c r="AE239" i="6"/>
  <c r="A240" i="6"/>
  <c r="N240" i="6" a="1"/>
  <c r="N240" i="6"/>
  <c r="O240" i="6"/>
  <c r="P240" i="6"/>
  <c r="Q240" i="6"/>
  <c r="R240" i="6"/>
  <c r="S240" i="6"/>
  <c r="T240" i="6"/>
  <c r="U240" i="6"/>
  <c r="V240" i="6"/>
  <c r="W240" i="6"/>
  <c r="X240" i="6"/>
  <c r="Y240" i="6"/>
  <c r="Z240" i="6"/>
  <c r="AA240" i="6"/>
  <c r="AB240" i="6"/>
  <c r="AC240" i="6"/>
  <c r="AD240" i="6"/>
  <c r="AE240" i="6"/>
  <c r="A241" i="6"/>
  <c r="N241" i="6" a="1"/>
  <c r="N241" i="6"/>
  <c r="O241" i="6"/>
  <c r="P241" i="6"/>
  <c r="Q241" i="6"/>
  <c r="R241" i="6"/>
  <c r="S241" i="6"/>
  <c r="T241" i="6"/>
  <c r="U241" i="6"/>
  <c r="V241" i="6"/>
  <c r="W241" i="6"/>
  <c r="X241" i="6"/>
  <c r="Y241" i="6"/>
  <c r="Z241" i="6"/>
  <c r="AA241" i="6"/>
  <c r="AB241" i="6"/>
  <c r="AC241" i="6"/>
  <c r="AD241" i="6"/>
  <c r="AE241" i="6"/>
  <c r="A242" i="6"/>
  <c r="N242" i="6" a="1"/>
  <c r="N242" i="6"/>
  <c r="O242" i="6"/>
  <c r="P242" i="6"/>
  <c r="Q242" i="6"/>
  <c r="R242" i="6"/>
  <c r="S242" i="6"/>
  <c r="T242" i="6"/>
  <c r="U242" i="6"/>
  <c r="V242" i="6"/>
  <c r="W242" i="6"/>
  <c r="X242" i="6"/>
  <c r="Y242" i="6"/>
  <c r="Z242" i="6"/>
  <c r="AA242" i="6"/>
  <c r="AB242" i="6"/>
  <c r="AC242" i="6"/>
  <c r="AD242" i="6"/>
  <c r="AE242" i="6"/>
  <c r="A243" i="6"/>
  <c r="N243" i="6" a="1"/>
  <c r="N243" i="6"/>
  <c r="O243" i="6"/>
  <c r="P243" i="6"/>
  <c r="Q243" i="6"/>
  <c r="R243" i="6"/>
  <c r="S243" i="6"/>
  <c r="T243" i="6"/>
  <c r="U243" i="6"/>
  <c r="V243" i="6"/>
  <c r="W243" i="6"/>
  <c r="X243" i="6"/>
  <c r="Y243" i="6"/>
  <c r="Z243" i="6"/>
  <c r="AA243" i="6"/>
  <c r="AB243" i="6"/>
  <c r="AC243" i="6"/>
  <c r="AD243" i="6"/>
  <c r="AE243" i="6"/>
  <c r="A244" i="6"/>
  <c r="N244" i="6" a="1"/>
  <c r="N244" i="6"/>
  <c r="O244" i="6"/>
  <c r="P244" i="6"/>
  <c r="Q244" i="6"/>
  <c r="R244" i="6"/>
  <c r="S244" i="6"/>
  <c r="T244" i="6"/>
  <c r="U244" i="6"/>
  <c r="V244" i="6"/>
  <c r="W244" i="6"/>
  <c r="X244" i="6"/>
  <c r="Y244" i="6"/>
  <c r="Z244" i="6"/>
  <c r="AA244" i="6"/>
  <c r="AB244" i="6"/>
  <c r="AC244" i="6"/>
  <c r="AD244" i="6"/>
  <c r="AE244" i="6"/>
  <c r="A245" i="6"/>
  <c r="N245" i="6" a="1"/>
  <c r="N245" i="6"/>
  <c r="O245" i="6"/>
  <c r="P245" i="6"/>
  <c r="Q245" i="6"/>
  <c r="R245" i="6"/>
  <c r="S245" i="6"/>
  <c r="T245" i="6"/>
  <c r="U245" i="6"/>
  <c r="V245" i="6"/>
  <c r="W245" i="6"/>
  <c r="X245" i="6"/>
  <c r="Y245" i="6"/>
  <c r="Z245" i="6"/>
  <c r="AA245" i="6"/>
  <c r="AB245" i="6"/>
  <c r="AC245" i="6"/>
  <c r="AD245" i="6"/>
  <c r="AE245" i="6"/>
  <c r="A246" i="6"/>
  <c r="N246" i="6" a="1"/>
  <c r="N246" i="6"/>
  <c r="O246" i="6"/>
  <c r="P246" i="6"/>
  <c r="Q246" i="6"/>
  <c r="R246" i="6"/>
  <c r="S246" i="6"/>
  <c r="T246" i="6"/>
  <c r="U246" i="6"/>
  <c r="V246" i="6"/>
  <c r="W246" i="6"/>
  <c r="X246" i="6"/>
  <c r="Y246" i="6"/>
  <c r="Z246" i="6"/>
  <c r="AA246" i="6"/>
  <c r="AB246" i="6"/>
  <c r="AC246" i="6"/>
  <c r="AD246" i="6"/>
  <c r="AE246" i="6"/>
  <c r="A247" i="6"/>
  <c r="N247" i="6" a="1"/>
  <c r="N247" i="6"/>
  <c r="O247" i="6"/>
  <c r="P247" i="6"/>
  <c r="Q247" i="6"/>
  <c r="R247" i="6"/>
  <c r="S247" i="6"/>
  <c r="T247" i="6"/>
  <c r="U247" i="6"/>
  <c r="V247" i="6"/>
  <c r="W247" i="6"/>
  <c r="X247" i="6"/>
  <c r="Y247" i="6"/>
  <c r="Z247" i="6"/>
  <c r="AA247" i="6"/>
  <c r="AB247" i="6"/>
  <c r="AC247" i="6"/>
  <c r="AD247" i="6"/>
  <c r="AE247" i="6"/>
  <c r="A248" i="6"/>
  <c r="N248" i="6" a="1"/>
  <c r="N248" i="6"/>
  <c r="O248" i="6"/>
  <c r="P248" i="6"/>
  <c r="Q248" i="6"/>
  <c r="R248" i="6"/>
  <c r="S248" i="6"/>
  <c r="T248" i="6"/>
  <c r="U248" i="6"/>
  <c r="V248" i="6"/>
  <c r="W248" i="6"/>
  <c r="X248" i="6"/>
  <c r="Y248" i="6"/>
  <c r="Z248" i="6"/>
  <c r="AA248" i="6"/>
  <c r="AB248" i="6"/>
  <c r="AC248" i="6"/>
  <c r="AD248" i="6"/>
  <c r="AE248" i="6"/>
  <c r="A249" i="6"/>
  <c r="N249" i="6" a="1"/>
  <c r="N249" i="6"/>
  <c r="O249" i="6"/>
  <c r="P249" i="6"/>
  <c r="Q249" i="6"/>
  <c r="R249" i="6"/>
  <c r="S249" i="6"/>
  <c r="T249" i="6"/>
  <c r="U249" i="6"/>
  <c r="V249" i="6"/>
  <c r="W249" i="6"/>
  <c r="X249" i="6"/>
  <c r="Y249" i="6"/>
  <c r="Z249" i="6"/>
  <c r="AA249" i="6"/>
  <c r="AB249" i="6"/>
  <c r="AC249" i="6"/>
  <c r="AD249" i="6"/>
  <c r="AE249" i="6"/>
  <c r="A250" i="6"/>
  <c r="N250" i="6" a="1"/>
  <c r="N250" i="6"/>
  <c r="O250" i="6"/>
  <c r="P250" i="6"/>
  <c r="Q250" i="6"/>
  <c r="R250" i="6"/>
  <c r="S250" i="6"/>
  <c r="T250" i="6"/>
  <c r="U250" i="6"/>
  <c r="V250" i="6"/>
  <c r="W250" i="6"/>
  <c r="X250" i="6"/>
  <c r="Y250" i="6"/>
  <c r="Z250" i="6"/>
  <c r="AA250" i="6"/>
  <c r="AB250" i="6"/>
  <c r="AC250" i="6"/>
  <c r="AD250" i="6"/>
  <c r="AE250" i="6"/>
  <c r="A251" i="6"/>
  <c r="N251" i="6" a="1"/>
  <c r="N251" i="6"/>
  <c r="O251" i="6"/>
  <c r="P251" i="6"/>
  <c r="Q251" i="6"/>
  <c r="R251" i="6"/>
  <c r="S251" i="6"/>
  <c r="T251" i="6"/>
  <c r="U251" i="6"/>
  <c r="V251" i="6"/>
  <c r="W251" i="6"/>
  <c r="X251" i="6"/>
  <c r="Y251" i="6"/>
  <c r="Z251" i="6"/>
  <c r="AA251" i="6"/>
  <c r="AB251" i="6"/>
  <c r="AC251" i="6"/>
  <c r="AD251" i="6"/>
  <c r="AE251" i="6"/>
  <c r="A252" i="6"/>
  <c r="N252" i="6" a="1"/>
  <c r="N252" i="6"/>
  <c r="O252" i="6"/>
  <c r="P252" i="6"/>
  <c r="Q252" i="6"/>
  <c r="R252" i="6"/>
  <c r="S252" i="6"/>
  <c r="T252" i="6"/>
  <c r="U252" i="6"/>
  <c r="V252" i="6"/>
  <c r="W252" i="6"/>
  <c r="X252" i="6"/>
  <c r="Y252" i="6"/>
  <c r="Z252" i="6"/>
  <c r="AA252" i="6"/>
  <c r="AB252" i="6"/>
  <c r="AC252" i="6"/>
  <c r="AD252" i="6"/>
  <c r="AE252" i="6"/>
  <c r="A253" i="6"/>
  <c r="N253" i="6" a="1"/>
  <c r="N253" i="6"/>
  <c r="O253" i="6"/>
  <c r="P253" i="6"/>
  <c r="Q253" i="6"/>
  <c r="R253" i="6"/>
  <c r="S253" i="6"/>
  <c r="T253" i="6"/>
  <c r="U253" i="6"/>
  <c r="V253" i="6"/>
  <c r="W253" i="6"/>
  <c r="X253" i="6"/>
  <c r="Y253" i="6"/>
  <c r="Z253" i="6"/>
  <c r="AA253" i="6"/>
  <c r="AB253" i="6"/>
  <c r="AC253" i="6"/>
  <c r="AD253" i="6"/>
  <c r="AE253" i="6"/>
  <c r="A254" i="6"/>
  <c r="N254" i="6" a="1"/>
  <c r="N254" i="6"/>
  <c r="O254" i="6"/>
  <c r="P254" i="6"/>
  <c r="Q254" i="6"/>
  <c r="R254" i="6"/>
  <c r="S254" i="6"/>
  <c r="T254" i="6"/>
  <c r="U254" i="6"/>
  <c r="V254" i="6"/>
  <c r="W254" i="6"/>
  <c r="X254" i="6"/>
  <c r="Y254" i="6"/>
  <c r="Z254" i="6"/>
  <c r="AA254" i="6"/>
  <c r="AB254" i="6"/>
  <c r="AC254" i="6"/>
  <c r="AD254" i="6"/>
  <c r="AE254" i="6"/>
  <c r="A255" i="6"/>
  <c r="N255" i="6" a="1"/>
  <c r="N255" i="6"/>
  <c r="O255" i="6"/>
  <c r="P255" i="6"/>
  <c r="Q255" i="6"/>
  <c r="R255" i="6"/>
  <c r="S255" i="6"/>
  <c r="T255" i="6"/>
  <c r="U255" i="6"/>
  <c r="V255" i="6"/>
  <c r="W255" i="6"/>
  <c r="X255" i="6"/>
  <c r="Y255" i="6"/>
  <c r="Z255" i="6"/>
  <c r="AA255" i="6"/>
  <c r="AB255" i="6"/>
  <c r="AC255" i="6"/>
  <c r="AD255" i="6"/>
  <c r="AE255" i="6"/>
  <c r="A256" i="6"/>
  <c r="N256" i="6" a="1"/>
  <c r="N256" i="6"/>
  <c r="O256" i="6"/>
  <c r="P256" i="6"/>
  <c r="Q256" i="6"/>
  <c r="R256" i="6"/>
  <c r="S256" i="6"/>
  <c r="T256" i="6"/>
  <c r="U256" i="6"/>
  <c r="V256" i="6"/>
  <c r="W256" i="6"/>
  <c r="X256" i="6"/>
  <c r="Y256" i="6"/>
  <c r="Z256" i="6"/>
  <c r="AA256" i="6"/>
  <c r="AB256" i="6"/>
  <c r="AC256" i="6"/>
  <c r="AD256" i="6"/>
  <c r="AE256" i="6"/>
  <c r="A257" i="6"/>
  <c r="N257" i="6" a="1"/>
  <c r="N257" i="6"/>
  <c r="O257" i="6"/>
  <c r="P257" i="6"/>
  <c r="Q257" i="6"/>
  <c r="R257" i="6"/>
  <c r="S257" i="6"/>
  <c r="T257" i="6"/>
  <c r="U257" i="6"/>
  <c r="V257" i="6"/>
  <c r="W257" i="6"/>
  <c r="X257" i="6"/>
  <c r="Y257" i="6"/>
  <c r="Z257" i="6"/>
  <c r="AA257" i="6"/>
  <c r="AB257" i="6"/>
  <c r="AC257" i="6"/>
  <c r="AD257" i="6"/>
  <c r="AE257" i="6"/>
  <c r="A258" i="6"/>
  <c r="N258" i="6" a="1"/>
  <c r="N258" i="6"/>
  <c r="O258" i="6"/>
  <c r="P258" i="6"/>
  <c r="Q258" i="6"/>
  <c r="R258" i="6"/>
  <c r="S258" i="6"/>
  <c r="T258" i="6"/>
  <c r="U258" i="6"/>
  <c r="V258" i="6"/>
  <c r="W258" i="6"/>
  <c r="X258" i="6"/>
  <c r="Y258" i="6"/>
  <c r="Z258" i="6"/>
  <c r="AA258" i="6"/>
  <c r="AB258" i="6"/>
  <c r="AC258" i="6"/>
  <c r="AD258" i="6"/>
  <c r="AE258" i="6"/>
  <c r="A259" i="6"/>
  <c r="N259" i="6" a="1"/>
  <c r="N259" i="6"/>
  <c r="O259" i="6"/>
  <c r="P259" i="6"/>
  <c r="Q259" i="6"/>
  <c r="R259" i="6"/>
  <c r="S259" i="6"/>
  <c r="T259" i="6"/>
  <c r="U259" i="6"/>
  <c r="V259" i="6"/>
  <c r="W259" i="6"/>
  <c r="X259" i="6"/>
  <c r="Y259" i="6"/>
  <c r="Z259" i="6"/>
  <c r="AA259" i="6"/>
  <c r="AB259" i="6"/>
  <c r="AC259" i="6"/>
  <c r="AD259" i="6"/>
  <c r="AE259" i="6"/>
  <c r="A260" i="6"/>
  <c r="N260" i="6" a="1"/>
  <c r="N260" i="6"/>
  <c r="O260" i="6"/>
  <c r="P260" i="6"/>
  <c r="Q260" i="6"/>
  <c r="R260" i="6"/>
  <c r="S260" i="6"/>
  <c r="T260" i="6"/>
  <c r="U260" i="6"/>
  <c r="V260" i="6"/>
  <c r="W260" i="6"/>
  <c r="X260" i="6"/>
  <c r="Y260" i="6"/>
  <c r="Z260" i="6"/>
  <c r="AA260" i="6"/>
  <c r="AB260" i="6"/>
  <c r="AC260" i="6"/>
  <c r="AD260" i="6"/>
  <c r="AE260" i="6"/>
  <c r="A261" i="6"/>
  <c r="N261" i="6" a="1"/>
  <c r="N261" i="6"/>
  <c r="O261" i="6"/>
  <c r="P261" i="6"/>
  <c r="Q261" i="6"/>
  <c r="R261" i="6"/>
  <c r="S261" i="6"/>
  <c r="T261" i="6"/>
  <c r="U261" i="6"/>
  <c r="V261" i="6"/>
  <c r="W261" i="6"/>
  <c r="X261" i="6"/>
  <c r="Y261" i="6"/>
  <c r="Z261" i="6"/>
  <c r="AA261" i="6"/>
  <c r="AB261" i="6"/>
  <c r="AC261" i="6"/>
  <c r="AD261" i="6"/>
  <c r="AE261" i="6"/>
  <c r="A262" i="6"/>
  <c r="N262" i="6" a="1"/>
  <c r="N262" i="6"/>
  <c r="O262" i="6"/>
  <c r="P262" i="6"/>
  <c r="Q262" i="6"/>
  <c r="R262" i="6"/>
  <c r="S262" i="6"/>
  <c r="T262" i="6"/>
  <c r="U262" i="6"/>
  <c r="V262" i="6"/>
  <c r="W262" i="6"/>
  <c r="X262" i="6"/>
  <c r="Y262" i="6"/>
  <c r="Z262" i="6"/>
  <c r="AA262" i="6"/>
  <c r="AB262" i="6"/>
  <c r="AC262" i="6"/>
  <c r="AD262" i="6"/>
  <c r="AE262" i="6"/>
  <c r="A263" i="6"/>
  <c r="N263" i="6" a="1"/>
  <c r="N263" i="6"/>
  <c r="O263" i="6"/>
  <c r="P263" i="6"/>
  <c r="Q263" i="6"/>
  <c r="R263" i="6"/>
  <c r="S263" i="6"/>
  <c r="T263" i="6"/>
  <c r="U263" i="6"/>
  <c r="V263" i="6"/>
  <c r="W263" i="6"/>
  <c r="X263" i="6"/>
  <c r="Y263" i="6"/>
  <c r="Z263" i="6"/>
  <c r="AA263" i="6"/>
  <c r="AB263" i="6"/>
  <c r="AC263" i="6"/>
  <c r="AD263" i="6"/>
  <c r="AE263" i="6"/>
  <c r="A264" i="6"/>
  <c r="N264" i="6" a="1"/>
  <c r="N264" i="6"/>
  <c r="O264" i="6"/>
  <c r="P264" i="6"/>
  <c r="Q264" i="6"/>
  <c r="R264" i="6"/>
  <c r="S264" i="6"/>
  <c r="T264" i="6"/>
  <c r="U264" i="6"/>
  <c r="V264" i="6"/>
  <c r="W264" i="6"/>
  <c r="X264" i="6"/>
  <c r="Y264" i="6"/>
  <c r="Z264" i="6"/>
  <c r="AA264" i="6"/>
  <c r="AB264" i="6"/>
  <c r="AC264" i="6"/>
  <c r="AD264" i="6"/>
  <c r="AE264" i="6"/>
  <c r="A265" i="6"/>
  <c r="N265" i="6" a="1"/>
  <c r="N265" i="6"/>
  <c r="O265" i="6"/>
  <c r="P265" i="6"/>
  <c r="Q265" i="6"/>
  <c r="R265" i="6"/>
  <c r="S265" i="6"/>
  <c r="T265" i="6"/>
  <c r="U265" i="6"/>
  <c r="V265" i="6"/>
  <c r="W265" i="6"/>
  <c r="X265" i="6"/>
  <c r="Y265" i="6"/>
  <c r="Z265" i="6"/>
  <c r="AA265" i="6"/>
  <c r="AB265" i="6"/>
  <c r="AC265" i="6"/>
  <c r="AD265" i="6"/>
  <c r="AE265" i="6"/>
  <c r="A266" i="6"/>
  <c r="N266" i="6" a="1"/>
  <c r="N266" i="6"/>
  <c r="O266" i="6"/>
  <c r="P266" i="6"/>
  <c r="Q266" i="6"/>
  <c r="R266" i="6"/>
  <c r="S266" i="6"/>
  <c r="T266" i="6"/>
  <c r="U266" i="6"/>
  <c r="V266" i="6"/>
  <c r="W266" i="6"/>
  <c r="X266" i="6"/>
  <c r="Y266" i="6"/>
  <c r="Z266" i="6"/>
  <c r="AA266" i="6"/>
  <c r="AB266" i="6"/>
  <c r="AC266" i="6"/>
  <c r="AD266" i="6"/>
  <c r="AE266" i="6"/>
  <c r="A267" i="6"/>
  <c r="N267" i="6" a="1"/>
  <c r="N267" i="6"/>
  <c r="O267" i="6"/>
  <c r="P267" i="6"/>
  <c r="Q267" i="6"/>
  <c r="R267" i="6"/>
  <c r="S267" i="6"/>
  <c r="T267" i="6"/>
  <c r="U267" i="6"/>
  <c r="V267" i="6"/>
  <c r="W267" i="6"/>
  <c r="X267" i="6"/>
  <c r="Y267" i="6"/>
  <c r="Z267" i="6"/>
  <c r="AA267" i="6"/>
  <c r="AB267" i="6"/>
  <c r="AC267" i="6"/>
  <c r="AD267" i="6"/>
  <c r="AE267" i="6"/>
  <c r="A268" i="6"/>
  <c r="N268" i="6" a="1"/>
  <c r="N268" i="6"/>
  <c r="O268" i="6"/>
  <c r="P268" i="6"/>
  <c r="Q268" i="6"/>
  <c r="R268" i="6"/>
  <c r="S268" i="6"/>
  <c r="T268" i="6"/>
  <c r="U268" i="6"/>
  <c r="V268" i="6"/>
  <c r="W268" i="6"/>
  <c r="X268" i="6"/>
  <c r="Y268" i="6"/>
  <c r="Z268" i="6"/>
  <c r="AA268" i="6"/>
  <c r="AB268" i="6"/>
  <c r="AC268" i="6"/>
  <c r="AD268" i="6"/>
  <c r="AE268" i="6"/>
  <c r="A269" i="6"/>
  <c r="N269" i="6" a="1"/>
  <c r="N269" i="6"/>
  <c r="O269" i="6"/>
  <c r="P269" i="6"/>
  <c r="Q269" i="6"/>
  <c r="R269" i="6"/>
  <c r="S269" i="6"/>
  <c r="T269" i="6"/>
  <c r="U269" i="6"/>
  <c r="V269" i="6"/>
  <c r="W269" i="6"/>
  <c r="X269" i="6"/>
  <c r="Y269" i="6"/>
  <c r="Z269" i="6"/>
  <c r="AA269" i="6"/>
  <c r="AB269" i="6"/>
  <c r="AC269" i="6"/>
  <c r="AD269" i="6"/>
  <c r="AE269" i="6"/>
  <c r="A270" i="6"/>
  <c r="N270" i="6" a="1"/>
  <c r="N270" i="6"/>
  <c r="O270" i="6"/>
  <c r="P270" i="6"/>
  <c r="Q270" i="6"/>
  <c r="R270" i="6"/>
  <c r="S270" i="6"/>
  <c r="T270" i="6"/>
  <c r="U270" i="6"/>
  <c r="V270" i="6"/>
  <c r="W270" i="6"/>
  <c r="X270" i="6"/>
  <c r="Y270" i="6"/>
  <c r="Z270" i="6"/>
  <c r="AA270" i="6"/>
  <c r="AB270" i="6"/>
  <c r="AC270" i="6"/>
  <c r="AD270" i="6"/>
  <c r="AE270" i="6"/>
  <c r="A271" i="6"/>
  <c r="N271" i="6" a="1"/>
  <c r="N271" i="6"/>
  <c r="O271" i="6"/>
  <c r="P271" i="6"/>
  <c r="Q271" i="6"/>
  <c r="R271" i="6"/>
  <c r="S271" i="6"/>
  <c r="T271" i="6"/>
  <c r="U271" i="6"/>
  <c r="V271" i="6"/>
  <c r="W271" i="6"/>
  <c r="X271" i="6"/>
  <c r="Y271" i="6"/>
  <c r="Z271" i="6"/>
  <c r="AA271" i="6"/>
  <c r="AB271" i="6"/>
  <c r="AC271" i="6"/>
  <c r="AD271" i="6"/>
  <c r="AE271" i="6"/>
  <c r="A272" i="6"/>
  <c r="N272" i="6" a="1"/>
  <c r="N272" i="6"/>
  <c r="O272" i="6"/>
  <c r="P272" i="6"/>
  <c r="Q272" i="6"/>
  <c r="R272" i="6"/>
  <c r="S272" i="6"/>
  <c r="T272" i="6"/>
  <c r="U272" i="6"/>
  <c r="V272" i="6"/>
  <c r="W272" i="6"/>
  <c r="X272" i="6"/>
  <c r="Y272" i="6"/>
  <c r="Z272" i="6"/>
  <c r="AA272" i="6"/>
  <c r="AB272" i="6"/>
  <c r="AC272" i="6"/>
  <c r="AD272" i="6"/>
  <c r="AE272" i="6"/>
  <c r="A273" i="6"/>
  <c r="N273" i="6" a="1"/>
  <c r="N273" i="6"/>
  <c r="O273" i="6"/>
  <c r="P273" i="6"/>
  <c r="Q273" i="6"/>
  <c r="R273" i="6"/>
  <c r="S273" i="6"/>
  <c r="T273" i="6"/>
  <c r="U273" i="6"/>
  <c r="V273" i="6"/>
  <c r="W273" i="6"/>
  <c r="X273" i="6"/>
  <c r="Y273" i="6"/>
  <c r="Z273" i="6"/>
  <c r="AA273" i="6"/>
  <c r="AB273" i="6"/>
  <c r="AC273" i="6"/>
  <c r="AD273" i="6"/>
  <c r="AE273" i="6"/>
  <c r="A274" i="6"/>
  <c r="N274" i="6" a="1"/>
  <c r="N274" i="6"/>
  <c r="O274" i="6"/>
  <c r="P274" i="6"/>
  <c r="Q274" i="6"/>
  <c r="R274" i="6"/>
  <c r="S274" i="6"/>
  <c r="T274" i="6"/>
  <c r="U274" i="6"/>
  <c r="V274" i="6"/>
  <c r="W274" i="6"/>
  <c r="X274" i="6"/>
  <c r="Y274" i="6"/>
  <c r="Z274" i="6"/>
  <c r="AA274" i="6"/>
  <c r="AB274" i="6"/>
  <c r="AC274" i="6"/>
  <c r="AD274" i="6"/>
  <c r="AE274" i="6"/>
  <c r="A275" i="6"/>
  <c r="N275" i="6" a="1"/>
  <c r="N275" i="6"/>
  <c r="O275" i="6"/>
  <c r="P275" i="6"/>
  <c r="Q275" i="6"/>
  <c r="R275" i="6"/>
  <c r="S275" i="6"/>
  <c r="T275" i="6"/>
  <c r="U275" i="6"/>
  <c r="V275" i="6"/>
  <c r="W275" i="6"/>
  <c r="X275" i="6"/>
  <c r="Y275" i="6"/>
  <c r="Z275" i="6"/>
  <c r="AA275" i="6"/>
  <c r="AB275" i="6"/>
  <c r="AC275" i="6"/>
  <c r="AD275" i="6"/>
  <c r="AE275" i="6"/>
  <c r="A276" i="6"/>
  <c r="N276" i="6" a="1"/>
  <c r="N276" i="6"/>
  <c r="O276" i="6"/>
  <c r="P276" i="6"/>
  <c r="Q276" i="6"/>
  <c r="R276" i="6"/>
  <c r="S276" i="6"/>
  <c r="T276" i="6"/>
  <c r="U276" i="6"/>
  <c r="V276" i="6"/>
  <c r="W276" i="6"/>
  <c r="X276" i="6"/>
  <c r="Y276" i="6"/>
  <c r="Z276" i="6"/>
  <c r="AA276" i="6"/>
  <c r="AB276" i="6"/>
  <c r="AC276" i="6"/>
  <c r="AD276" i="6"/>
  <c r="AE276" i="6"/>
  <c r="A277" i="6"/>
  <c r="N277" i="6" a="1"/>
  <c r="N277" i="6"/>
  <c r="O277" i="6"/>
  <c r="P277" i="6"/>
  <c r="Q277" i="6"/>
  <c r="R277" i="6"/>
  <c r="S277" i="6"/>
  <c r="T277" i="6"/>
  <c r="U277" i="6"/>
  <c r="V277" i="6"/>
  <c r="W277" i="6"/>
  <c r="X277" i="6"/>
  <c r="Y277" i="6"/>
  <c r="Z277" i="6"/>
  <c r="AA277" i="6"/>
  <c r="AB277" i="6"/>
  <c r="AC277" i="6"/>
  <c r="AD277" i="6"/>
  <c r="AE277" i="6"/>
  <c r="A278" i="6"/>
  <c r="N278" i="6" a="1"/>
  <c r="N278" i="6"/>
  <c r="O278" i="6"/>
  <c r="P278" i="6"/>
  <c r="Q278" i="6"/>
  <c r="R278" i="6"/>
  <c r="S278" i="6"/>
  <c r="T278" i="6"/>
  <c r="U278" i="6"/>
  <c r="V278" i="6"/>
  <c r="W278" i="6"/>
  <c r="X278" i="6"/>
  <c r="Y278" i="6"/>
  <c r="Z278" i="6"/>
  <c r="AA278" i="6"/>
  <c r="AB278" i="6"/>
  <c r="AC278" i="6"/>
  <c r="AD278" i="6"/>
  <c r="AE278" i="6"/>
  <c r="A279" i="6"/>
  <c r="N279" i="6" a="1"/>
  <c r="N279" i="6"/>
  <c r="O279" i="6"/>
  <c r="P279" i="6"/>
  <c r="Q279" i="6"/>
  <c r="R279" i="6"/>
  <c r="S279" i="6"/>
  <c r="T279" i="6"/>
  <c r="U279" i="6"/>
  <c r="V279" i="6"/>
  <c r="W279" i="6"/>
  <c r="X279" i="6"/>
  <c r="Y279" i="6"/>
  <c r="Z279" i="6"/>
  <c r="AA279" i="6"/>
  <c r="AB279" i="6"/>
  <c r="AC279" i="6"/>
  <c r="AD279" i="6"/>
  <c r="AE279" i="6"/>
  <c r="A280" i="6"/>
  <c r="N280" i="6" a="1"/>
  <c r="N280" i="6"/>
  <c r="O280" i="6"/>
  <c r="P280" i="6"/>
  <c r="Q280" i="6"/>
  <c r="R280" i="6"/>
  <c r="S280" i="6"/>
  <c r="T280" i="6"/>
  <c r="U280" i="6"/>
  <c r="V280" i="6"/>
  <c r="W280" i="6"/>
  <c r="X280" i="6"/>
  <c r="Y280" i="6"/>
  <c r="Z280" i="6"/>
  <c r="AA280" i="6"/>
  <c r="AB280" i="6"/>
  <c r="AC280" i="6"/>
  <c r="AD280" i="6"/>
  <c r="AE280" i="6"/>
  <c r="A281" i="6"/>
  <c r="N281" i="6" a="1"/>
  <c r="N281" i="6"/>
  <c r="O281" i="6"/>
  <c r="P281" i="6"/>
  <c r="Q281" i="6"/>
  <c r="R281" i="6"/>
  <c r="S281" i="6"/>
  <c r="T281" i="6"/>
  <c r="U281" i="6"/>
  <c r="V281" i="6"/>
  <c r="W281" i="6"/>
  <c r="X281" i="6"/>
  <c r="Y281" i="6"/>
  <c r="Z281" i="6"/>
  <c r="AA281" i="6"/>
  <c r="AB281" i="6"/>
  <c r="AC281" i="6"/>
  <c r="AD281" i="6"/>
  <c r="AE281" i="6"/>
  <c r="A282" i="6"/>
  <c r="N282" i="6" a="1"/>
  <c r="N282" i="6"/>
  <c r="O282" i="6"/>
  <c r="P282" i="6"/>
  <c r="Q282" i="6"/>
  <c r="R282" i="6"/>
  <c r="S282" i="6"/>
  <c r="T282" i="6"/>
  <c r="U282" i="6"/>
  <c r="V282" i="6"/>
  <c r="W282" i="6"/>
  <c r="X282" i="6"/>
  <c r="Y282" i="6"/>
  <c r="Z282" i="6"/>
  <c r="AA282" i="6"/>
  <c r="AB282" i="6"/>
  <c r="AC282" i="6"/>
  <c r="AD282" i="6"/>
  <c r="AE282" i="6"/>
  <c r="A283" i="6"/>
  <c r="N283" i="6" a="1"/>
  <c r="N283" i="6"/>
  <c r="O283" i="6"/>
  <c r="P283" i="6"/>
  <c r="Q283" i="6"/>
  <c r="R283" i="6"/>
  <c r="S283" i="6"/>
  <c r="T283" i="6"/>
  <c r="U283" i="6"/>
  <c r="V283" i="6"/>
  <c r="W283" i="6"/>
  <c r="X283" i="6"/>
  <c r="Y283" i="6"/>
  <c r="Z283" i="6"/>
  <c r="AA283" i="6"/>
  <c r="AB283" i="6"/>
  <c r="AC283" i="6"/>
  <c r="AD283" i="6"/>
  <c r="AE283" i="6"/>
  <c r="A284" i="6"/>
  <c r="N284" i="6" a="1"/>
  <c r="N284" i="6"/>
  <c r="O284" i="6"/>
  <c r="P284" i="6"/>
  <c r="Q284" i="6"/>
  <c r="R284" i="6"/>
  <c r="S284" i="6"/>
  <c r="T284" i="6"/>
  <c r="U284" i="6"/>
  <c r="V284" i="6"/>
  <c r="W284" i="6"/>
  <c r="X284" i="6"/>
  <c r="Y284" i="6"/>
  <c r="Z284" i="6"/>
  <c r="AA284" i="6"/>
  <c r="AB284" i="6"/>
  <c r="AC284" i="6"/>
  <c r="AD284" i="6"/>
  <c r="AE284" i="6"/>
  <c r="A285" i="6"/>
  <c r="N285" i="6" a="1"/>
  <c r="N285" i="6"/>
  <c r="O285" i="6"/>
  <c r="P285" i="6"/>
  <c r="Q285" i="6"/>
  <c r="R285" i="6"/>
  <c r="S285" i="6"/>
  <c r="T285" i="6"/>
  <c r="U285" i="6"/>
  <c r="V285" i="6"/>
  <c r="W285" i="6"/>
  <c r="X285" i="6"/>
  <c r="Y285" i="6"/>
  <c r="Z285" i="6"/>
  <c r="AA285" i="6"/>
  <c r="AB285" i="6"/>
  <c r="AC285" i="6"/>
  <c r="AD285" i="6"/>
  <c r="AE285" i="6"/>
  <c r="A286" i="6"/>
  <c r="N286" i="6" a="1"/>
  <c r="N286" i="6"/>
  <c r="O286" i="6"/>
  <c r="P286" i="6"/>
  <c r="Q286" i="6"/>
  <c r="R286" i="6"/>
  <c r="S286" i="6"/>
  <c r="T286" i="6"/>
  <c r="U286" i="6"/>
  <c r="V286" i="6"/>
  <c r="W286" i="6"/>
  <c r="X286" i="6"/>
  <c r="Y286" i="6"/>
  <c r="Z286" i="6"/>
  <c r="AA286" i="6"/>
  <c r="AB286" i="6"/>
  <c r="AC286" i="6"/>
  <c r="AD286" i="6"/>
  <c r="AE286" i="6"/>
  <c r="A287" i="6"/>
  <c r="N287" i="6" a="1"/>
  <c r="N287" i="6"/>
  <c r="O287" i="6"/>
  <c r="P287" i="6"/>
  <c r="Q287" i="6"/>
  <c r="R287" i="6"/>
  <c r="S287" i="6"/>
  <c r="T287" i="6"/>
  <c r="U287" i="6"/>
  <c r="V287" i="6"/>
  <c r="W287" i="6"/>
  <c r="X287" i="6"/>
  <c r="Y287" i="6"/>
  <c r="Z287" i="6"/>
  <c r="AA287" i="6"/>
  <c r="AB287" i="6"/>
  <c r="AC287" i="6"/>
  <c r="AD287" i="6"/>
  <c r="AE287" i="6"/>
  <c r="A288" i="6"/>
  <c r="N288" i="6" a="1"/>
  <c r="N288" i="6"/>
  <c r="O288" i="6"/>
  <c r="P288" i="6"/>
  <c r="Q288" i="6"/>
  <c r="R288" i="6"/>
  <c r="S288" i="6"/>
  <c r="T288" i="6"/>
  <c r="U288" i="6"/>
  <c r="V288" i="6"/>
  <c r="W288" i="6"/>
  <c r="X288" i="6"/>
  <c r="Y288" i="6"/>
  <c r="Z288" i="6"/>
  <c r="AA288" i="6"/>
  <c r="AB288" i="6"/>
  <c r="AC288" i="6"/>
  <c r="AD288" i="6"/>
  <c r="AE288" i="6"/>
  <c r="A289" i="6"/>
  <c r="N289" i="6" a="1"/>
  <c r="N289" i="6"/>
  <c r="O289" i="6"/>
  <c r="P289" i="6"/>
  <c r="Q289" i="6"/>
  <c r="R289" i="6"/>
  <c r="S289" i="6"/>
  <c r="T289" i="6"/>
  <c r="U289" i="6"/>
  <c r="V289" i="6"/>
  <c r="W289" i="6"/>
  <c r="X289" i="6"/>
  <c r="Y289" i="6"/>
  <c r="Z289" i="6"/>
  <c r="AA289" i="6"/>
  <c r="AB289" i="6"/>
  <c r="AC289" i="6"/>
  <c r="AD289" i="6"/>
  <c r="AE289" i="6"/>
  <c r="A290" i="6"/>
  <c r="N290" i="6" a="1"/>
  <c r="N290" i="6"/>
  <c r="O290" i="6"/>
  <c r="P290" i="6"/>
  <c r="Q290" i="6"/>
  <c r="R290" i="6"/>
  <c r="S290" i="6"/>
  <c r="T290" i="6"/>
  <c r="U290" i="6"/>
  <c r="V290" i="6"/>
  <c r="W290" i="6"/>
  <c r="X290" i="6"/>
  <c r="Y290" i="6"/>
  <c r="Z290" i="6"/>
  <c r="AA290" i="6"/>
  <c r="AB290" i="6"/>
  <c r="AC290" i="6"/>
  <c r="AD290" i="6"/>
  <c r="AE290" i="6"/>
  <c r="A291" i="6"/>
  <c r="N291" i="6" a="1"/>
  <c r="N291" i="6"/>
  <c r="O291" i="6"/>
  <c r="P291" i="6"/>
  <c r="Q291" i="6"/>
  <c r="R291" i="6"/>
  <c r="S291" i="6"/>
  <c r="T291" i="6"/>
  <c r="U291" i="6"/>
  <c r="V291" i="6"/>
  <c r="W291" i="6"/>
  <c r="X291" i="6"/>
  <c r="Y291" i="6"/>
  <c r="Z291" i="6"/>
  <c r="AA291" i="6"/>
  <c r="AB291" i="6"/>
  <c r="AC291" i="6"/>
  <c r="AD291" i="6"/>
  <c r="AE291" i="6"/>
  <c r="A292" i="6"/>
  <c r="N292" i="6" a="1"/>
  <c r="N292" i="6"/>
  <c r="O292" i="6"/>
  <c r="P292" i="6"/>
  <c r="Q292" i="6"/>
  <c r="R292" i="6"/>
  <c r="S292" i="6"/>
  <c r="T292" i="6"/>
  <c r="U292" i="6"/>
  <c r="V292" i="6"/>
  <c r="W292" i="6"/>
  <c r="X292" i="6"/>
  <c r="Y292" i="6"/>
  <c r="Z292" i="6"/>
  <c r="AA292" i="6"/>
  <c r="AB292" i="6"/>
  <c r="AC292" i="6"/>
  <c r="AD292" i="6"/>
  <c r="AE292" i="6"/>
  <c r="A293" i="6"/>
  <c r="N293" i="6" a="1"/>
  <c r="N293" i="6"/>
  <c r="O293" i="6"/>
  <c r="P293" i="6"/>
  <c r="Q293" i="6"/>
  <c r="R293" i="6"/>
  <c r="S293" i="6"/>
  <c r="T293" i="6"/>
  <c r="U293" i="6"/>
  <c r="V293" i="6"/>
  <c r="W293" i="6"/>
  <c r="X293" i="6"/>
  <c r="Y293" i="6"/>
  <c r="Z293" i="6"/>
  <c r="AA293" i="6"/>
  <c r="AB293" i="6"/>
  <c r="AC293" i="6"/>
  <c r="AD293" i="6"/>
  <c r="AE293" i="6"/>
  <c r="A294" i="6"/>
  <c r="N294" i="6" a="1"/>
  <c r="N294" i="6"/>
  <c r="O294" i="6"/>
  <c r="P294" i="6"/>
  <c r="Q294" i="6"/>
  <c r="R294" i="6"/>
  <c r="S294" i="6"/>
  <c r="T294" i="6"/>
  <c r="U294" i="6"/>
  <c r="V294" i="6"/>
  <c r="W294" i="6"/>
  <c r="X294" i="6"/>
  <c r="Y294" i="6"/>
  <c r="Z294" i="6"/>
  <c r="AA294" i="6"/>
  <c r="AB294" i="6"/>
  <c r="AC294" i="6"/>
  <c r="AD294" i="6"/>
  <c r="AE294" i="6"/>
  <c r="A295" i="6"/>
  <c r="N295" i="6" a="1"/>
  <c r="N295" i="6"/>
  <c r="O295" i="6"/>
  <c r="P295" i="6"/>
  <c r="Q295" i="6"/>
  <c r="R295" i="6"/>
  <c r="S295" i="6"/>
  <c r="T295" i="6"/>
  <c r="U295" i="6"/>
  <c r="V295" i="6"/>
  <c r="W295" i="6"/>
  <c r="X295" i="6"/>
  <c r="Y295" i="6"/>
  <c r="Z295" i="6"/>
  <c r="AA295" i="6"/>
  <c r="AB295" i="6"/>
  <c r="AC295" i="6"/>
  <c r="AD295" i="6"/>
  <c r="AE295" i="6"/>
  <c r="A296" i="6"/>
  <c r="N296" i="6" a="1"/>
  <c r="N296" i="6"/>
  <c r="O296" i="6"/>
  <c r="P296" i="6"/>
  <c r="Q296" i="6"/>
  <c r="R296" i="6"/>
  <c r="S296" i="6"/>
  <c r="T296" i="6"/>
  <c r="U296" i="6"/>
  <c r="V296" i="6"/>
  <c r="W296" i="6"/>
  <c r="X296" i="6"/>
  <c r="Y296" i="6"/>
  <c r="Z296" i="6"/>
  <c r="AA296" i="6"/>
  <c r="AB296" i="6"/>
  <c r="AC296" i="6"/>
  <c r="AD296" i="6"/>
  <c r="AE296" i="6"/>
  <c r="A297" i="6"/>
  <c r="N297" i="6" a="1"/>
  <c r="N297" i="6"/>
  <c r="O297" i="6"/>
  <c r="P297" i="6"/>
  <c r="Q297" i="6"/>
  <c r="R297" i="6"/>
  <c r="S297" i="6"/>
  <c r="T297" i="6"/>
  <c r="U297" i="6"/>
  <c r="V297" i="6"/>
  <c r="W297" i="6"/>
  <c r="X297" i="6"/>
  <c r="Y297" i="6"/>
  <c r="Z297" i="6"/>
  <c r="AA297" i="6"/>
  <c r="AB297" i="6"/>
  <c r="AC297" i="6"/>
  <c r="AD297" i="6"/>
  <c r="AE297" i="6"/>
  <c r="A298" i="6"/>
  <c r="N298" i="6" a="1"/>
  <c r="N298" i="6"/>
  <c r="O298" i="6"/>
  <c r="P298" i="6"/>
  <c r="Q298" i="6"/>
  <c r="R298" i="6"/>
  <c r="S298" i="6"/>
  <c r="T298" i="6"/>
  <c r="U298" i="6"/>
  <c r="V298" i="6"/>
  <c r="W298" i="6"/>
  <c r="X298" i="6"/>
  <c r="Y298" i="6"/>
  <c r="Z298" i="6"/>
  <c r="AA298" i="6"/>
  <c r="AB298" i="6"/>
  <c r="AC298" i="6"/>
  <c r="AD298" i="6"/>
  <c r="AE298" i="6"/>
  <c r="A299" i="6"/>
  <c r="N299" i="6" a="1"/>
  <c r="N299" i="6"/>
  <c r="O299" i="6"/>
  <c r="P299" i="6"/>
  <c r="Q299" i="6"/>
  <c r="R299" i="6"/>
  <c r="S299" i="6"/>
  <c r="T299" i="6"/>
  <c r="U299" i="6"/>
  <c r="V299" i="6"/>
  <c r="W299" i="6"/>
  <c r="X299" i="6"/>
  <c r="Y299" i="6"/>
  <c r="Z299" i="6"/>
  <c r="AA299" i="6"/>
  <c r="AB299" i="6"/>
  <c r="AC299" i="6"/>
  <c r="AD299" i="6"/>
  <c r="AE299" i="6"/>
  <c r="A300" i="6"/>
  <c r="N300" i="6" a="1"/>
  <c r="N300" i="6"/>
  <c r="O300" i="6"/>
  <c r="P300" i="6"/>
  <c r="Q300" i="6"/>
  <c r="R300" i="6"/>
  <c r="S300" i="6"/>
  <c r="T300" i="6"/>
  <c r="U300" i="6"/>
  <c r="V300" i="6"/>
  <c r="W300" i="6"/>
  <c r="X300" i="6"/>
  <c r="Y300" i="6"/>
  <c r="Z300" i="6"/>
  <c r="AA300" i="6"/>
  <c r="AB300" i="6"/>
  <c r="AC300" i="6"/>
  <c r="AD300" i="6"/>
  <c r="AE300" i="6"/>
  <c r="A301" i="6"/>
  <c r="N301" i="6" a="1"/>
  <c r="N301" i="6"/>
  <c r="O301" i="6"/>
  <c r="P301" i="6"/>
  <c r="Q301" i="6"/>
  <c r="R301" i="6"/>
  <c r="S301" i="6"/>
  <c r="T301" i="6"/>
  <c r="U301" i="6"/>
  <c r="V301" i="6"/>
  <c r="W301" i="6"/>
  <c r="X301" i="6"/>
  <c r="Y301" i="6"/>
  <c r="Z301" i="6"/>
  <c r="AA301" i="6"/>
  <c r="AB301" i="6"/>
  <c r="AC301" i="6"/>
  <c r="AD301" i="6"/>
  <c r="AE301" i="6"/>
  <c r="A302" i="6"/>
  <c r="N302" i="6" a="1"/>
  <c r="N302" i="6"/>
  <c r="O302" i="6"/>
  <c r="P302" i="6"/>
  <c r="Q302" i="6"/>
  <c r="R302" i="6"/>
  <c r="S302" i="6"/>
  <c r="T302" i="6"/>
  <c r="U302" i="6"/>
  <c r="V302" i="6"/>
  <c r="W302" i="6"/>
  <c r="X302" i="6"/>
  <c r="Y302" i="6"/>
  <c r="Z302" i="6"/>
  <c r="AA302" i="6"/>
  <c r="AB302" i="6"/>
  <c r="AC302" i="6"/>
  <c r="AD302" i="6"/>
  <c r="AE302" i="6"/>
  <c r="A303" i="6"/>
  <c r="N303" i="6" a="1"/>
  <c r="N303" i="6"/>
  <c r="O303" i="6"/>
  <c r="P303" i="6"/>
  <c r="Q303" i="6"/>
  <c r="R303" i="6"/>
  <c r="S303" i="6"/>
  <c r="T303" i="6"/>
  <c r="U303" i="6"/>
  <c r="V303" i="6"/>
  <c r="W303" i="6"/>
  <c r="X303" i="6"/>
  <c r="Y303" i="6"/>
  <c r="Z303" i="6"/>
  <c r="AA303" i="6"/>
  <c r="AB303" i="6"/>
  <c r="AC303" i="6"/>
  <c r="AD303" i="6"/>
  <c r="AE303" i="6"/>
  <c r="A304" i="6"/>
  <c r="N304" i="6" a="1"/>
  <c r="N304" i="6"/>
  <c r="O304" i="6"/>
  <c r="P304" i="6"/>
  <c r="Q304" i="6"/>
  <c r="R304" i="6"/>
  <c r="S304" i="6"/>
  <c r="T304" i="6"/>
  <c r="U304" i="6"/>
  <c r="V304" i="6"/>
  <c r="W304" i="6"/>
  <c r="X304" i="6"/>
  <c r="Y304" i="6"/>
  <c r="Z304" i="6"/>
  <c r="AA304" i="6"/>
  <c r="AB304" i="6"/>
  <c r="AC304" i="6"/>
  <c r="AD304" i="6"/>
  <c r="AE304" i="6"/>
  <c r="A305" i="6"/>
  <c r="N305" i="6" a="1"/>
  <c r="N305" i="6"/>
  <c r="O305" i="6"/>
  <c r="P305" i="6"/>
  <c r="Q305" i="6"/>
  <c r="R305" i="6"/>
  <c r="S305" i="6"/>
  <c r="T305" i="6"/>
  <c r="U305" i="6"/>
  <c r="V305" i="6"/>
  <c r="W305" i="6"/>
  <c r="X305" i="6"/>
  <c r="Y305" i="6"/>
  <c r="Z305" i="6"/>
  <c r="AA305" i="6"/>
  <c r="AB305" i="6"/>
  <c r="AC305" i="6"/>
  <c r="AD305" i="6"/>
  <c r="AE305" i="6"/>
  <c r="A306" i="6"/>
  <c r="N306" i="6" a="1"/>
  <c r="N306" i="6"/>
  <c r="O306" i="6"/>
  <c r="P306" i="6"/>
  <c r="Q306" i="6"/>
  <c r="R306" i="6"/>
  <c r="S306" i="6"/>
  <c r="T306" i="6"/>
  <c r="U306" i="6"/>
  <c r="V306" i="6"/>
  <c r="W306" i="6"/>
  <c r="X306" i="6"/>
  <c r="Y306" i="6"/>
  <c r="Z306" i="6"/>
  <c r="AA306" i="6"/>
  <c r="AB306" i="6"/>
  <c r="AC306" i="6"/>
  <c r="AD306" i="6"/>
  <c r="AE306" i="6"/>
  <c r="A307" i="6"/>
  <c r="N307" i="6" a="1"/>
  <c r="N307" i="6"/>
  <c r="O307" i="6"/>
  <c r="P307" i="6"/>
  <c r="Q307" i="6"/>
  <c r="R307" i="6"/>
  <c r="S307" i="6"/>
  <c r="T307" i="6"/>
  <c r="U307" i="6"/>
  <c r="V307" i="6"/>
  <c r="W307" i="6"/>
  <c r="X307" i="6"/>
  <c r="Y307" i="6"/>
  <c r="Z307" i="6"/>
  <c r="AA307" i="6"/>
  <c r="AB307" i="6"/>
  <c r="AC307" i="6"/>
  <c r="AD307" i="6"/>
  <c r="AE307" i="6"/>
  <c r="A308" i="6"/>
  <c r="N308" i="6" a="1"/>
  <c r="N308" i="6"/>
  <c r="O308" i="6"/>
  <c r="P308" i="6"/>
  <c r="Q308" i="6"/>
  <c r="R308" i="6"/>
  <c r="S308" i="6"/>
  <c r="T308" i="6"/>
  <c r="U308" i="6"/>
  <c r="V308" i="6"/>
  <c r="W308" i="6"/>
  <c r="X308" i="6"/>
  <c r="Y308" i="6"/>
  <c r="Z308" i="6"/>
  <c r="AA308" i="6"/>
  <c r="AB308" i="6"/>
  <c r="AC308" i="6"/>
  <c r="AD308" i="6"/>
  <c r="AE308" i="6"/>
  <c r="A309" i="6"/>
  <c r="N309" i="6" a="1"/>
  <c r="N309" i="6"/>
  <c r="O309" i="6"/>
  <c r="P309" i="6"/>
  <c r="Q309" i="6"/>
  <c r="R309" i="6"/>
  <c r="S309" i="6"/>
  <c r="T309" i="6"/>
  <c r="U309" i="6"/>
  <c r="V309" i="6"/>
  <c r="W309" i="6"/>
  <c r="X309" i="6"/>
  <c r="Y309" i="6"/>
  <c r="Z309" i="6"/>
  <c r="AA309" i="6"/>
  <c r="AB309" i="6"/>
  <c r="AC309" i="6"/>
  <c r="AD309" i="6"/>
  <c r="AE309" i="6"/>
  <c r="A310" i="6"/>
  <c r="N310" i="6" a="1"/>
  <c r="N310" i="6"/>
  <c r="O310" i="6"/>
  <c r="P310" i="6"/>
  <c r="Q310" i="6"/>
  <c r="R310" i="6"/>
  <c r="S310" i="6"/>
  <c r="T310" i="6"/>
  <c r="U310" i="6"/>
  <c r="V310" i="6"/>
  <c r="W310" i="6"/>
  <c r="X310" i="6"/>
  <c r="Y310" i="6"/>
  <c r="Z310" i="6"/>
  <c r="AA310" i="6"/>
  <c r="AB310" i="6"/>
  <c r="AC310" i="6"/>
  <c r="AD310" i="6"/>
  <c r="AE310" i="6"/>
  <c r="A311" i="6"/>
  <c r="N311" i="6" a="1"/>
  <c r="N311" i="6"/>
  <c r="O311" i="6"/>
  <c r="P311" i="6"/>
  <c r="Q311" i="6"/>
  <c r="R311" i="6"/>
  <c r="S311" i="6"/>
  <c r="T311" i="6"/>
  <c r="U311" i="6"/>
  <c r="V311" i="6"/>
  <c r="W311" i="6"/>
  <c r="X311" i="6"/>
  <c r="Y311" i="6"/>
  <c r="Z311" i="6"/>
  <c r="AA311" i="6"/>
  <c r="AB311" i="6"/>
  <c r="AC311" i="6"/>
  <c r="AD311" i="6"/>
  <c r="AE311" i="6"/>
  <c r="A312" i="6"/>
  <c r="N312" i="6" a="1"/>
  <c r="N312" i="6"/>
  <c r="O312" i="6"/>
  <c r="P312" i="6"/>
  <c r="Q312" i="6"/>
  <c r="R312" i="6"/>
  <c r="S312" i="6"/>
  <c r="T312" i="6"/>
  <c r="U312" i="6"/>
  <c r="V312" i="6"/>
  <c r="W312" i="6"/>
  <c r="X312" i="6"/>
  <c r="Y312" i="6"/>
  <c r="Z312" i="6"/>
  <c r="AA312" i="6"/>
  <c r="AB312" i="6"/>
  <c r="AC312" i="6"/>
  <c r="AD312" i="6"/>
  <c r="AE312" i="6"/>
  <c r="A313" i="6"/>
  <c r="N313" i="6" a="1"/>
  <c r="N313" i="6"/>
  <c r="O313" i="6"/>
  <c r="P313" i="6"/>
  <c r="Q313" i="6"/>
  <c r="R313" i="6"/>
  <c r="S313" i="6"/>
  <c r="T313" i="6"/>
  <c r="U313" i="6"/>
  <c r="V313" i="6"/>
  <c r="W313" i="6"/>
  <c r="X313" i="6"/>
  <c r="Y313" i="6"/>
  <c r="Z313" i="6"/>
  <c r="AA313" i="6"/>
  <c r="AB313" i="6"/>
  <c r="AC313" i="6"/>
  <c r="AD313" i="6"/>
  <c r="AE313" i="6"/>
  <c r="A314" i="6"/>
  <c r="N314" i="6" a="1"/>
  <c r="N314" i="6"/>
  <c r="O314" i="6"/>
  <c r="P314" i="6"/>
  <c r="Q314" i="6"/>
  <c r="R314" i="6"/>
  <c r="S314" i="6"/>
  <c r="T314" i="6"/>
  <c r="U314" i="6"/>
  <c r="V314" i="6"/>
  <c r="W314" i="6"/>
  <c r="X314" i="6"/>
  <c r="Y314" i="6"/>
  <c r="Z314" i="6"/>
  <c r="AA314" i="6"/>
  <c r="AB314" i="6"/>
  <c r="AC314" i="6"/>
  <c r="AD314" i="6"/>
  <c r="AE314" i="6"/>
  <c r="A315" i="6"/>
  <c r="N315" i="6" a="1"/>
  <c r="N315" i="6"/>
  <c r="O315" i="6"/>
  <c r="P315" i="6"/>
  <c r="Q315" i="6"/>
  <c r="R315" i="6"/>
  <c r="S315" i="6"/>
  <c r="T315" i="6"/>
  <c r="U315" i="6"/>
  <c r="V315" i="6"/>
  <c r="W315" i="6"/>
  <c r="X315" i="6"/>
  <c r="Y315" i="6"/>
  <c r="Z315" i="6"/>
  <c r="AA315" i="6"/>
  <c r="AB315" i="6"/>
  <c r="AC315" i="6"/>
  <c r="AD315" i="6"/>
  <c r="AE315" i="6"/>
  <c r="A316" i="6"/>
  <c r="N316" i="6" a="1"/>
  <c r="N316" i="6"/>
  <c r="O316" i="6"/>
  <c r="P316" i="6"/>
  <c r="Q316" i="6"/>
  <c r="R316" i="6"/>
  <c r="S316" i="6"/>
  <c r="T316" i="6"/>
  <c r="U316" i="6"/>
  <c r="V316" i="6"/>
  <c r="W316" i="6"/>
  <c r="X316" i="6"/>
  <c r="Y316" i="6"/>
  <c r="Z316" i="6"/>
  <c r="AA316" i="6"/>
  <c r="AB316" i="6"/>
  <c r="AC316" i="6"/>
  <c r="AD316" i="6"/>
  <c r="AE316" i="6"/>
  <c r="A317" i="6"/>
  <c r="N317" i="6" a="1"/>
  <c r="N317" i="6"/>
  <c r="O317" i="6"/>
  <c r="P317" i="6"/>
  <c r="Q317" i="6"/>
  <c r="R317" i="6"/>
  <c r="S317" i="6"/>
  <c r="T317" i="6"/>
  <c r="U317" i="6"/>
  <c r="V317" i="6"/>
  <c r="W317" i="6"/>
  <c r="X317" i="6"/>
  <c r="Y317" i="6"/>
  <c r="Z317" i="6"/>
  <c r="AA317" i="6"/>
  <c r="AB317" i="6"/>
  <c r="AC317" i="6"/>
  <c r="AD317" i="6"/>
  <c r="AE317" i="6"/>
  <c r="A318" i="6"/>
  <c r="N318" i="6" a="1"/>
  <c r="N318" i="6"/>
  <c r="O318" i="6"/>
  <c r="P318" i="6"/>
  <c r="Q318" i="6"/>
  <c r="R318" i="6"/>
  <c r="S318" i="6"/>
  <c r="T318" i="6"/>
  <c r="U318" i="6"/>
  <c r="V318" i="6"/>
  <c r="W318" i="6"/>
  <c r="X318" i="6"/>
  <c r="Y318" i="6"/>
  <c r="Z318" i="6"/>
  <c r="AA318" i="6"/>
  <c r="AB318" i="6"/>
  <c r="AC318" i="6"/>
  <c r="AD318" i="6"/>
  <c r="AE318" i="6"/>
  <c r="A319" i="6"/>
  <c r="N319" i="6" a="1"/>
  <c r="N319" i="6"/>
  <c r="O319" i="6"/>
  <c r="P319" i="6"/>
  <c r="Q319" i="6"/>
  <c r="R319" i="6"/>
  <c r="S319" i="6"/>
  <c r="T319" i="6"/>
  <c r="U319" i="6"/>
  <c r="V319" i="6"/>
  <c r="W319" i="6"/>
  <c r="X319" i="6"/>
  <c r="Y319" i="6"/>
  <c r="Z319" i="6"/>
  <c r="AA319" i="6"/>
  <c r="AB319" i="6"/>
  <c r="AC319" i="6"/>
  <c r="AD319" i="6"/>
  <c r="AE319" i="6"/>
  <c r="A320" i="6"/>
  <c r="N320" i="6" a="1"/>
  <c r="N320" i="6"/>
  <c r="O320" i="6"/>
  <c r="P320" i="6"/>
  <c r="Q320" i="6"/>
  <c r="R320" i="6"/>
  <c r="S320" i="6"/>
  <c r="T320" i="6"/>
  <c r="U320" i="6"/>
  <c r="V320" i="6"/>
  <c r="W320" i="6"/>
  <c r="X320" i="6"/>
  <c r="Y320" i="6"/>
  <c r="Z320" i="6"/>
  <c r="AA320" i="6"/>
  <c r="AB320" i="6"/>
  <c r="AC320" i="6"/>
  <c r="AD320" i="6"/>
  <c r="AE320" i="6"/>
  <c r="A321" i="6"/>
  <c r="N321" i="6" a="1"/>
  <c r="N321" i="6"/>
  <c r="O321" i="6"/>
  <c r="P321" i="6"/>
  <c r="Q321" i="6"/>
  <c r="R321" i="6"/>
  <c r="S321" i="6"/>
  <c r="T321" i="6"/>
  <c r="U321" i="6"/>
  <c r="V321" i="6"/>
  <c r="W321" i="6"/>
  <c r="X321" i="6"/>
  <c r="Y321" i="6"/>
  <c r="Z321" i="6"/>
  <c r="AA321" i="6"/>
  <c r="AB321" i="6"/>
  <c r="AC321" i="6"/>
  <c r="AD321" i="6"/>
  <c r="AE321" i="6"/>
  <c r="A322" i="6"/>
  <c r="N322" i="6" a="1"/>
  <c r="N322" i="6"/>
  <c r="O322" i="6"/>
  <c r="P322" i="6"/>
  <c r="Q322" i="6"/>
  <c r="R322" i="6"/>
  <c r="S322" i="6"/>
  <c r="T322" i="6"/>
  <c r="U322" i="6"/>
  <c r="V322" i="6"/>
  <c r="W322" i="6"/>
  <c r="X322" i="6"/>
  <c r="Y322" i="6"/>
  <c r="Z322" i="6"/>
  <c r="AA322" i="6"/>
  <c r="AB322" i="6"/>
  <c r="AC322" i="6"/>
  <c r="AD322" i="6"/>
  <c r="AE322" i="6"/>
  <c r="A323" i="6"/>
  <c r="N323" i="6" a="1"/>
  <c r="N323" i="6"/>
  <c r="O323" i="6"/>
  <c r="P323" i="6"/>
  <c r="Q323" i="6"/>
  <c r="R323" i="6"/>
  <c r="S323" i="6"/>
  <c r="T323" i="6"/>
  <c r="U323" i="6"/>
  <c r="V323" i="6"/>
  <c r="W323" i="6"/>
  <c r="X323" i="6"/>
  <c r="Y323" i="6"/>
  <c r="Z323" i="6"/>
  <c r="AA323" i="6"/>
  <c r="AB323" i="6"/>
  <c r="AC323" i="6"/>
  <c r="AD323" i="6"/>
  <c r="AE323" i="6"/>
  <c r="A324" i="6"/>
  <c r="N324" i="6" a="1"/>
  <c r="N324" i="6"/>
  <c r="O324" i="6"/>
  <c r="P324" i="6"/>
  <c r="Q324" i="6"/>
  <c r="R324" i="6"/>
  <c r="S324" i="6"/>
  <c r="T324" i="6"/>
  <c r="U324" i="6"/>
  <c r="V324" i="6"/>
  <c r="W324" i="6"/>
  <c r="X324" i="6"/>
  <c r="Y324" i="6"/>
  <c r="Z324" i="6"/>
  <c r="AA324" i="6"/>
  <c r="AB324" i="6"/>
  <c r="AC324" i="6"/>
  <c r="AD324" i="6"/>
  <c r="AE324" i="6"/>
  <c r="A325" i="6"/>
  <c r="N325" i="6" a="1"/>
  <c r="N325" i="6"/>
  <c r="O325" i="6"/>
  <c r="P325" i="6"/>
  <c r="Q325" i="6"/>
  <c r="R325" i="6"/>
  <c r="S325" i="6"/>
  <c r="T325" i="6"/>
  <c r="U325" i="6"/>
  <c r="V325" i="6"/>
  <c r="W325" i="6"/>
  <c r="X325" i="6"/>
  <c r="Y325" i="6"/>
  <c r="Z325" i="6"/>
  <c r="AA325" i="6"/>
  <c r="AB325" i="6"/>
  <c r="AC325" i="6"/>
  <c r="AD325" i="6"/>
  <c r="AE325" i="6"/>
  <c r="A326" i="6"/>
  <c r="N326" i="6" a="1"/>
  <c r="N326" i="6"/>
  <c r="O326" i="6"/>
  <c r="P326" i="6"/>
  <c r="Q326" i="6"/>
  <c r="R326" i="6"/>
  <c r="S326" i="6"/>
  <c r="T326" i="6"/>
  <c r="U326" i="6"/>
  <c r="V326" i="6"/>
  <c r="W326" i="6"/>
  <c r="X326" i="6"/>
  <c r="Y326" i="6"/>
  <c r="Z326" i="6"/>
  <c r="AA326" i="6"/>
  <c r="AB326" i="6"/>
  <c r="AC326" i="6"/>
  <c r="AD326" i="6"/>
  <c r="AE326" i="6"/>
  <c r="A327" i="6"/>
  <c r="N327" i="6" a="1"/>
  <c r="N327" i="6"/>
  <c r="O327" i="6"/>
  <c r="P327" i="6"/>
  <c r="Q327" i="6"/>
  <c r="R327" i="6"/>
  <c r="S327" i="6"/>
  <c r="T327" i="6"/>
  <c r="U327" i="6"/>
  <c r="V327" i="6"/>
  <c r="W327" i="6"/>
  <c r="X327" i="6"/>
  <c r="Y327" i="6"/>
  <c r="Z327" i="6"/>
  <c r="AA327" i="6"/>
  <c r="AB327" i="6"/>
  <c r="AC327" i="6"/>
  <c r="AD327" i="6"/>
  <c r="AE327" i="6"/>
  <c r="A328" i="6"/>
  <c r="N328" i="6" a="1"/>
  <c r="N328" i="6"/>
  <c r="O328" i="6"/>
  <c r="P328" i="6"/>
  <c r="Q328" i="6"/>
  <c r="R328" i="6"/>
  <c r="S328" i="6"/>
  <c r="T328" i="6"/>
  <c r="U328" i="6"/>
  <c r="V328" i="6"/>
  <c r="W328" i="6"/>
  <c r="X328" i="6"/>
  <c r="Y328" i="6"/>
  <c r="Z328" i="6"/>
  <c r="AA328" i="6"/>
  <c r="AB328" i="6"/>
  <c r="AC328" i="6"/>
  <c r="AD328" i="6"/>
  <c r="AE328" i="6"/>
  <c r="A329" i="6"/>
  <c r="N329" i="6" a="1"/>
  <c r="N329" i="6"/>
  <c r="O329" i="6"/>
  <c r="P329" i="6"/>
  <c r="Q329" i="6"/>
  <c r="R329" i="6"/>
  <c r="S329" i="6"/>
  <c r="T329" i="6"/>
  <c r="U329" i="6"/>
  <c r="V329" i="6"/>
  <c r="W329" i="6"/>
  <c r="X329" i="6"/>
  <c r="Y329" i="6"/>
  <c r="Z329" i="6"/>
  <c r="AA329" i="6"/>
  <c r="AB329" i="6"/>
  <c r="AC329" i="6"/>
  <c r="AD329" i="6"/>
  <c r="AE329" i="6"/>
  <c r="A330" i="6"/>
  <c r="N330" i="6" a="1"/>
  <c r="N330" i="6"/>
  <c r="O330" i="6"/>
  <c r="P330" i="6"/>
  <c r="Q330" i="6"/>
  <c r="R330" i="6"/>
  <c r="S330" i="6"/>
  <c r="T330" i="6"/>
  <c r="U330" i="6"/>
  <c r="V330" i="6"/>
  <c r="W330" i="6"/>
  <c r="X330" i="6"/>
  <c r="Y330" i="6"/>
  <c r="Z330" i="6"/>
  <c r="AA330" i="6"/>
  <c r="AB330" i="6"/>
  <c r="AC330" i="6"/>
  <c r="AD330" i="6"/>
  <c r="AE330" i="6"/>
  <c r="A331" i="6"/>
  <c r="N331" i="6" a="1"/>
  <c r="N331" i="6"/>
  <c r="O331" i="6"/>
  <c r="P331" i="6"/>
  <c r="Q331" i="6"/>
  <c r="R331" i="6"/>
  <c r="S331" i="6"/>
  <c r="T331" i="6"/>
  <c r="U331" i="6"/>
  <c r="V331" i="6"/>
  <c r="W331" i="6"/>
  <c r="X331" i="6"/>
  <c r="Y331" i="6"/>
  <c r="Z331" i="6"/>
  <c r="AA331" i="6"/>
  <c r="AB331" i="6"/>
  <c r="AC331" i="6"/>
  <c r="AD331" i="6"/>
  <c r="AE331" i="6"/>
  <c r="A332" i="6"/>
  <c r="N332" i="6" a="1"/>
  <c r="N332" i="6"/>
  <c r="O332" i="6"/>
  <c r="P332" i="6"/>
  <c r="Q332" i="6"/>
  <c r="R332" i="6"/>
  <c r="S332" i="6"/>
  <c r="T332" i="6"/>
  <c r="U332" i="6"/>
  <c r="V332" i="6"/>
  <c r="W332" i="6"/>
  <c r="X332" i="6"/>
  <c r="Y332" i="6"/>
  <c r="Z332" i="6"/>
  <c r="AA332" i="6"/>
  <c r="AB332" i="6"/>
  <c r="AC332" i="6"/>
  <c r="AD332" i="6"/>
  <c r="AE332" i="6"/>
  <c r="A333" i="6"/>
  <c r="N333" i="6" a="1"/>
  <c r="N333" i="6"/>
  <c r="O333" i="6"/>
  <c r="P333" i="6"/>
  <c r="Q333" i="6"/>
  <c r="R333" i="6"/>
  <c r="S333" i="6"/>
  <c r="T333" i="6"/>
  <c r="U333" i="6"/>
  <c r="V333" i="6"/>
  <c r="W333" i="6"/>
  <c r="X333" i="6"/>
  <c r="Y333" i="6"/>
  <c r="Z333" i="6"/>
  <c r="AA333" i="6"/>
  <c r="AB333" i="6"/>
  <c r="AC333" i="6"/>
  <c r="AD333" i="6"/>
  <c r="AE333" i="6"/>
  <c r="A334" i="6"/>
  <c r="N334" i="6" a="1"/>
  <c r="N334" i="6"/>
  <c r="O334" i="6"/>
  <c r="P334" i="6"/>
  <c r="Q334" i="6"/>
  <c r="R334" i="6"/>
  <c r="S334" i="6"/>
  <c r="T334" i="6"/>
  <c r="U334" i="6"/>
  <c r="V334" i="6"/>
  <c r="W334" i="6"/>
  <c r="X334" i="6"/>
  <c r="Y334" i="6"/>
  <c r="Z334" i="6"/>
  <c r="AA334" i="6"/>
  <c r="AB334" i="6"/>
  <c r="AC334" i="6"/>
  <c r="AD334" i="6"/>
  <c r="AE334" i="6"/>
  <c r="A335" i="6"/>
  <c r="N335" i="6" a="1"/>
  <c r="N335" i="6"/>
  <c r="O335" i="6"/>
  <c r="P335" i="6"/>
  <c r="Q335" i="6"/>
  <c r="R335" i="6"/>
  <c r="S335" i="6"/>
  <c r="T335" i="6"/>
  <c r="U335" i="6"/>
  <c r="V335" i="6"/>
  <c r="W335" i="6"/>
  <c r="X335" i="6"/>
  <c r="Y335" i="6"/>
  <c r="Z335" i="6"/>
  <c r="AA335" i="6"/>
  <c r="AB335" i="6"/>
  <c r="AC335" i="6"/>
  <c r="AD335" i="6"/>
  <c r="AE335" i="6"/>
  <c r="A336" i="6"/>
  <c r="N336" i="6" a="1"/>
  <c r="N336" i="6"/>
  <c r="O336" i="6"/>
  <c r="P336" i="6"/>
  <c r="Q336" i="6"/>
  <c r="R336" i="6"/>
  <c r="S336" i="6"/>
  <c r="T336" i="6"/>
  <c r="U336" i="6"/>
  <c r="V336" i="6"/>
  <c r="W336" i="6"/>
  <c r="X336" i="6"/>
  <c r="Y336" i="6"/>
  <c r="Z336" i="6"/>
  <c r="AA336" i="6"/>
  <c r="AB336" i="6"/>
  <c r="AC336" i="6"/>
  <c r="AD336" i="6"/>
  <c r="AE336" i="6"/>
  <c r="A337" i="6"/>
  <c r="N337" i="6" a="1"/>
  <c r="N337" i="6"/>
  <c r="O337" i="6"/>
  <c r="P337" i="6"/>
  <c r="Q337" i="6"/>
  <c r="R337" i="6"/>
  <c r="S337" i="6"/>
  <c r="T337" i="6"/>
  <c r="U337" i="6"/>
  <c r="V337" i="6"/>
  <c r="W337" i="6"/>
  <c r="X337" i="6"/>
  <c r="Y337" i="6"/>
  <c r="Z337" i="6"/>
  <c r="AA337" i="6"/>
  <c r="AB337" i="6"/>
  <c r="AC337" i="6"/>
  <c r="AD337" i="6"/>
  <c r="AE337" i="6"/>
  <c r="A338" i="6"/>
  <c r="N338" i="6" a="1"/>
  <c r="N338" i="6"/>
  <c r="O338" i="6"/>
  <c r="P338" i="6"/>
  <c r="Q338" i="6"/>
  <c r="R338" i="6"/>
  <c r="S338" i="6"/>
  <c r="T338" i="6"/>
  <c r="U338" i="6"/>
  <c r="V338" i="6"/>
  <c r="W338" i="6"/>
  <c r="X338" i="6"/>
  <c r="Y338" i="6"/>
  <c r="Z338" i="6"/>
  <c r="AA338" i="6"/>
  <c r="AB338" i="6"/>
  <c r="AC338" i="6"/>
  <c r="AD338" i="6"/>
  <c r="AE338" i="6"/>
  <c r="A339" i="6"/>
  <c r="N339" i="6" a="1"/>
  <c r="N339" i="6"/>
  <c r="O339" i="6"/>
  <c r="P339" i="6"/>
  <c r="Q339" i="6"/>
  <c r="R339" i="6"/>
  <c r="S339" i="6"/>
  <c r="T339" i="6"/>
  <c r="U339" i="6"/>
  <c r="V339" i="6"/>
  <c r="W339" i="6"/>
  <c r="X339" i="6"/>
  <c r="Y339" i="6"/>
  <c r="Z339" i="6"/>
  <c r="AA339" i="6"/>
  <c r="AB339" i="6"/>
  <c r="AC339" i="6"/>
  <c r="AD339" i="6"/>
  <c r="AE339" i="6"/>
  <c r="A340" i="6"/>
  <c r="N340" i="6" a="1"/>
  <c r="N340" i="6"/>
  <c r="O340" i="6"/>
  <c r="P340" i="6"/>
  <c r="Q340" i="6"/>
  <c r="R340" i="6"/>
  <c r="S340" i="6"/>
  <c r="T340" i="6"/>
  <c r="U340" i="6"/>
  <c r="V340" i="6"/>
  <c r="W340" i="6"/>
  <c r="X340" i="6"/>
  <c r="Y340" i="6"/>
  <c r="Z340" i="6"/>
  <c r="AA340" i="6"/>
  <c r="AB340" i="6"/>
  <c r="AC340" i="6"/>
  <c r="AD340" i="6"/>
  <c r="AE340" i="6"/>
  <c r="A341" i="6"/>
  <c r="N341" i="6" a="1"/>
  <c r="N341" i="6"/>
  <c r="O341" i="6"/>
  <c r="P341" i="6"/>
  <c r="Q341" i="6"/>
  <c r="R341" i="6"/>
  <c r="S341" i="6"/>
  <c r="T341" i="6"/>
  <c r="U341" i="6"/>
  <c r="V341" i="6"/>
  <c r="W341" i="6"/>
  <c r="X341" i="6"/>
  <c r="Y341" i="6"/>
  <c r="Z341" i="6"/>
  <c r="AA341" i="6"/>
  <c r="AB341" i="6"/>
  <c r="AC341" i="6"/>
  <c r="AD341" i="6"/>
  <c r="AE341" i="6"/>
  <c r="A342" i="6"/>
  <c r="N342" i="6" a="1"/>
  <c r="N342" i="6"/>
  <c r="O342" i="6"/>
  <c r="P342" i="6"/>
  <c r="Q342" i="6"/>
  <c r="R342" i="6"/>
  <c r="S342" i="6"/>
  <c r="T342" i="6"/>
  <c r="U342" i="6"/>
  <c r="V342" i="6"/>
  <c r="W342" i="6"/>
  <c r="X342" i="6"/>
  <c r="Y342" i="6"/>
  <c r="Z342" i="6"/>
  <c r="AA342" i="6"/>
  <c r="AB342" i="6"/>
  <c r="AC342" i="6"/>
  <c r="AD342" i="6"/>
  <c r="AE342" i="6"/>
  <c r="A343" i="6"/>
  <c r="N343" i="6" a="1"/>
  <c r="N343" i="6"/>
  <c r="O343" i="6"/>
  <c r="P343" i="6"/>
  <c r="Q343" i="6"/>
  <c r="R343" i="6"/>
  <c r="S343" i="6"/>
  <c r="T343" i="6"/>
  <c r="U343" i="6"/>
  <c r="V343" i="6"/>
  <c r="W343" i="6"/>
  <c r="X343" i="6"/>
  <c r="Y343" i="6"/>
  <c r="Z343" i="6"/>
  <c r="AA343" i="6"/>
  <c r="AB343" i="6"/>
  <c r="AC343" i="6"/>
  <c r="AD343" i="6"/>
  <c r="AE343" i="6"/>
  <c r="A344" i="6"/>
  <c r="N344" i="6" a="1"/>
  <c r="N344" i="6"/>
  <c r="O344" i="6"/>
  <c r="P344" i="6"/>
  <c r="Q344" i="6"/>
  <c r="R344" i="6"/>
  <c r="S344" i="6"/>
  <c r="T344" i="6"/>
  <c r="U344" i="6"/>
  <c r="V344" i="6"/>
  <c r="W344" i="6"/>
  <c r="X344" i="6"/>
  <c r="Y344" i="6"/>
  <c r="Z344" i="6"/>
  <c r="AA344" i="6"/>
  <c r="AB344" i="6"/>
  <c r="AC344" i="6"/>
  <c r="AD344" i="6"/>
  <c r="AE344" i="6"/>
  <c r="A345" i="6"/>
  <c r="N345" i="6" a="1"/>
  <c r="N345" i="6"/>
  <c r="O345" i="6"/>
  <c r="P345" i="6"/>
  <c r="Q345" i="6"/>
  <c r="R345" i="6"/>
  <c r="S345" i="6"/>
  <c r="T345" i="6"/>
  <c r="U345" i="6"/>
  <c r="V345" i="6"/>
  <c r="W345" i="6"/>
  <c r="X345" i="6"/>
  <c r="Y345" i="6"/>
  <c r="Z345" i="6"/>
  <c r="AA345" i="6"/>
  <c r="AB345" i="6"/>
  <c r="AC345" i="6"/>
  <c r="AD345" i="6"/>
  <c r="AE345" i="6"/>
  <c r="A346" i="6"/>
  <c r="N346" i="6" a="1"/>
  <c r="N346" i="6"/>
  <c r="O346" i="6"/>
  <c r="P346" i="6"/>
  <c r="Q346" i="6"/>
  <c r="R346" i="6"/>
  <c r="S346" i="6"/>
  <c r="T346" i="6"/>
  <c r="U346" i="6"/>
  <c r="V346" i="6"/>
  <c r="W346" i="6"/>
  <c r="X346" i="6"/>
  <c r="Y346" i="6"/>
  <c r="Z346" i="6"/>
  <c r="AA346" i="6"/>
  <c r="AB346" i="6"/>
  <c r="AC346" i="6"/>
  <c r="AD346" i="6"/>
  <c r="AE346" i="6"/>
  <c r="A347" i="6"/>
  <c r="N347" i="6" a="1"/>
  <c r="N347" i="6"/>
  <c r="O347" i="6"/>
  <c r="P347" i="6"/>
  <c r="Q347" i="6"/>
  <c r="R347" i="6"/>
  <c r="S347" i="6"/>
  <c r="T347" i="6"/>
  <c r="U347" i="6"/>
  <c r="V347" i="6"/>
  <c r="W347" i="6"/>
  <c r="X347" i="6"/>
  <c r="Y347" i="6"/>
  <c r="Z347" i="6"/>
  <c r="AA347" i="6"/>
  <c r="AB347" i="6"/>
  <c r="AC347" i="6"/>
  <c r="AD347" i="6"/>
  <c r="AE347" i="6"/>
  <c r="A348" i="6"/>
  <c r="N348" i="6" a="1"/>
  <c r="N348" i="6"/>
  <c r="O348" i="6"/>
  <c r="P348" i="6"/>
  <c r="Q348" i="6"/>
  <c r="R348" i="6"/>
  <c r="S348" i="6"/>
  <c r="T348" i="6"/>
  <c r="U348" i="6"/>
  <c r="V348" i="6"/>
  <c r="W348" i="6"/>
  <c r="X348" i="6"/>
  <c r="Y348" i="6"/>
  <c r="Z348" i="6"/>
  <c r="AA348" i="6"/>
  <c r="AB348" i="6"/>
  <c r="AC348" i="6"/>
  <c r="AD348" i="6"/>
  <c r="AE348" i="6"/>
  <c r="A349" i="6"/>
  <c r="N349" i="6" a="1"/>
  <c r="N349" i="6"/>
  <c r="O349" i="6"/>
  <c r="P349" i="6"/>
  <c r="Q349" i="6"/>
  <c r="R349" i="6"/>
  <c r="S349" i="6"/>
  <c r="T349" i="6"/>
  <c r="U349" i="6"/>
  <c r="V349" i="6"/>
  <c r="W349" i="6"/>
  <c r="X349" i="6"/>
  <c r="Y349" i="6"/>
  <c r="Z349" i="6"/>
  <c r="AA349" i="6"/>
  <c r="AB349" i="6"/>
  <c r="AC349" i="6"/>
  <c r="AD349" i="6"/>
  <c r="AE349" i="6"/>
  <c r="A350" i="6"/>
  <c r="N350" i="6" a="1"/>
  <c r="N350" i="6"/>
  <c r="O350" i="6"/>
  <c r="P350" i="6"/>
  <c r="Q350" i="6"/>
  <c r="R350" i="6"/>
  <c r="S350" i="6"/>
  <c r="T350" i="6"/>
  <c r="U350" i="6"/>
  <c r="V350" i="6"/>
  <c r="W350" i="6"/>
  <c r="X350" i="6"/>
  <c r="Y350" i="6"/>
  <c r="Z350" i="6"/>
  <c r="AA350" i="6"/>
  <c r="AB350" i="6"/>
  <c r="AC350" i="6"/>
  <c r="AD350" i="6"/>
  <c r="AE350" i="6"/>
  <c r="A351" i="6"/>
  <c r="N351" i="6" a="1"/>
  <c r="N351" i="6"/>
  <c r="O351" i="6"/>
  <c r="P351" i="6"/>
  <c r="Q351" i="6"/>
  <c r="R351" i="6"/>
  <c r="S351" i="6"/>
  <c r="T351" i="6"/>
  <c r="U351" i="6"/>
  <c r="V351" i="6"/>
  <c r="W351" i="6"/>
  <c r="X351" i="6"/>
  <c r="Y351" i="6"/>
  <c r="Z351" i="6"/>
  <c r="AA351" i="6"/>
  <c r="AB351" i="6"/>
  <c r="AC351" i="6"/>
  <c r="AD351" i="6"/>
  <c r="AE351" i="6"/>
  <c r="A352" i="6"/>
  <c r="N352" i="6" a="1"/>
  <c r="N352" i="6"/>
  <c r="O352" i="6"/>
  <c r="P352" i="6"/>
  <c r="Q352" i="6"/>
  <c r="R352" i="6"/>
  <c r="S352" i="6"/>
  <c r="T352" i="6"/>
  <c r="U352" i="6"/>
  <c r="V352" i="6"/>
  <c r="W352" i="6"/>
  <c r="X352" i="6"/>
  <c r="Y352" i="6"/>
  <c r="Z352" i="6"/>
  <c r="AA352" i="6"/>
  <c r="AB352" i="6"/>
  <c r="AC352" i="6"/>
  <c r="AD352" i="6"/>
  <c r="AE352" i="6"/>
  <c r="A353" i="6"/>
  <c r="N353" i="6" a="1"/>
  <c r="N353" i="6"/>
  <c r="O353" i="6"/>
  <c r="P353" i="6"/>
  <c r="Q353" i="6"/>
  <c r="R353" i="6"/>
  <c r="S353" i="6"/>
  <c r="T353" i="6"/>
  <c r="U353" i="6"/>
  <c r="V353" i="6"/>
  <c r="W353" i="6"/>
  <c r="X353" i="6"/>
  <c r="Y353" i="6"/>
  <c r="Z353" i="6"/>
  <c r="AA353" i="6"/>
  <c r="AB353" i="6"/>
  <c r="AC353" i="6"/>
  <c r="AD353" i="6"/>
  <c r="AE353" i="6"/>
  <c r="A354" i="6"/>
  <c r="N354" i="6" a="1"/>
  <c r="N354" i="6"/>
  <c r="O354" i="6"/>
  <c r="P354" i="6"/>
  <c r="Q354" i="6"/>
  <c r="R354" i="6"/>
  <c r="S354" i="6"/>
  <c r="T354" i="6"/>
  <c r="U354" i="6"/>
  <c r="V354" i="6"/>
  <c r="W354" i="6"/>
  <c r="X354" i="6"/>
  <c r="Y354" i="6"/>
  <c r="Z354" i="6"/>
  <c r="AA354" i="6"/>
  <c r="AB354" i="6"/>
  <c r="AC354" i="6"/>
  <c r="AD354" i="6"/>
  <c r="AE354" i="6"/>
  <c r="A355" i="6"/>
  <c r="N355" i="6" a="1"/>
  <c r="N355" i="6"/>
  <c r="O355" i="6"/>
  <c r="P355" i="6"/>
  <c r="Q355" i="6"/>
  <c r="R355" i="6"/>
  <c r="S355" i="6"/>
  <c r="T355" i="6"/>
  <c r="U355" i="6"/>
  <c r="V355" i="6"/>
  <c r="W355" i="6"/>
  <c r="X355" i="6"/>
  <c r="Y355" i="6"/>
  <c r="Z355" i="6"/>
  <c r="AA355" i="6"/>
  <c r="AB355" i="6"/>
  <c r="AC355" i="6"/>
  <c r="AD355" i="6"/>
  <c r="AE355" i="6"/>
  <c r="A356" i="6"/>
  <c r="N356" i="6" a="1"/>
  <c r="N356" i="6"/>
  <c r="O356" i="6"/>
  <c r="P356" i="6"/>
  <c r="Q356" i="6"/>
  <c r="R356" i="6"/>
  <c r="S356" i="6"/>
  <c r="T356" i="6"/>
  <c r="U356" i="6"/>
  <c r="V356" i="6"/>
  <c r="W356" i="6"/>
  <c r="X356" i="6"/>
  <c r="Y356" i="6"/>
  <c r="Z356" i="6"/>
  <c r="AA356" i="6"/>
  <c r="AB356" i="6"/>
  <c r="AC356" i="6"/>
  <c r="AD356" i="6"/>
  <c r="AE356" i="6"/>
  <c r="A357" i="6"/>
  <c r="N357" i="6" a="1"/>
  <c r="N357" i="6"/>
  <c r="O357" i="6"/>
  <c r="P357" i="6"/>
  <c r="Q357" i="6"/>
  <c r="R357" i="6"/>
  <c r="S357" i="6"/>
  <c r="T357" i="6"/>
  <c r="U357" i="6"/>
  <c r="V357" i="6"/>
  <c r="W357" i="6"/>
  <c r="X357" i="6"/>
  <c r="Y357" i="6"/>
  <c r="Z357" i="6"/>
  <c r="AA357" i="6"/>
  <c r="AB357" i="6"/>
  <c r="AC357" i="6"/>
  <c r="AD357" i="6"/>
  <c r="AE357" i="6"/>
  <c r="A358" i="6"/>
  <c r="N358" i="6" a="1"/>
  <c r="N358" i="6"/>
  <c r="O358" i="6"/>
  <c r="P358" i="6"/>
  <c r="Q358" i="6"/>
  <c r="R358" i="6"/>
  <c r="S358" i="6"/>
  <c r="T358" i="6"/>
  <c r="U358" i="6"/>
  <c r="V358" i="6"/>
  <c r="W358" i="6"/>
  <c r="X358" i="6"/>
  <c r="Y358" i="6"/>
  <c r="Z358" i="6"/>
  <c r="AA358" i="6"/>
  <c r="AB358" i="6"/>
  <c r="AC358" i="6"/>
  <c r="AD358" i="6"/>
  <c r="AE358" i="6"/>
  <c r="A359" i="6"/>
  <c r="N359" i="6" a="1"/>
  <c r="N359" i="6"/>
  <c r="O359" i="6"/>
  <c r="P359" i="6"/>
  <c r="Q359" i="6"/>
  <c r="R359" i="6"/>
  <c r="S359" i="6"/>
  <c r="T359" i="6"/>
  <c r="U359" i="6"/>
  <c r="V359" i="6"/>
  <c r="W359" i="6"/>
  <c r="X359" i="6"/>
  <c r="Y359" i="6"/>
  <c r="Z359" i="6"/>
  <c r="AA359" i="6"/>
  <c r="AB359" i="6"/>
  <c r="AC359" i="6"/>
  <c r="AD359" i="6"/>
  <c r="AE359" i="6"/>
  <c r="A360" i="6"/>
  <c r="N360" i="6" a="1"/>
  <c r="N360" i="6"/>
  <c r="O360" i="6"/>
  <c r="P360" i="6"/>
  <c r="Q360" i="6"/>
  <c r="R360" i="6"/>
  <c r="S360" i="6"/>
  <c r="T360" i="6"/>
  <c r="U360" i="6"/>
  <c r="V360" i="6"/>
  <c r="W360" i="6"/>
  <c r="X360" i="6"/>
  <c r="Y360" i="6"/>
  <c r="Z360" i="6"/>
  <c r="AA360" i="6"/>
  <c r="AB360" i="6"/>
  <c r="AC360" i="6"/>
  <c r="AD360" i="6"/>
  <c r="AE360" i="6"/>
  <c r="A361" i="6"/>
  <c r="N361" i="6" a="1"/>
  <c r="N361" i="6"/>
  <c r="O361" i="6"/>
  <c r="P361" i="6"/>
  <c r="Q361" i="6"/>
  <c r="R361" i="6"/>
  <c r="S361" i="6"/>
  <c r="T361" i="6"/>
  <c r="U361" i="6"/>
  <c r="V361" i="6"/>
  <c r="W361" i="6"/>
  <c r="X361" i="6"/>
  <c r="Y361" i="6"/>
  <c r="Z361" i="6"/>
  <c r="AA361" i="6"/>
  <c r="AB361" i="6"/>
  <c r="AC361" i="6"/>
  <c r="AD361" i="6"/>
  <c r="AE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/>
  <c r="B10" i="7" l="1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G11" i="6"/>
  <c r="AG12" i="6"/>
  <c r="AG13" i="6"/>
  <c r="I7" i="7" l="1"/>
  <c r="C1" i="6" l="1" a="1"/>
  <c r="C1" i="6"/>
  <c r="AA27" i="2" l="1" a="1"/>
  <c r="AA27" i="2"/>
  <c r="AA26" i="2" a="1"/>
  <c r="AA26" i="2"/>
  <c r="AA25" i="2" a="1"/>
  <c r="AA25" i="2"/>
  <c r="AA24" i="2" a="1"/>
  <c r="AA2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4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F19" authorId="0" shapeId="0" xr:uid="{67CF2343-8EF1-486D-A565-7168CB937217}">
      <text>
        <r>
          <rPr>
            <b/>
            <sz val="8"/>
            <color indexed="81"/>
            <rFont val="Tahoma"/>
            <family val="2"/>
          </rPr>
          <t>Change of NPV of CDS, when spread curve is shifted in parallel.</t>
        </r>
      </text>
    </comment>
    <comment ref="G19" authorId="0" shapeId="0" xr:uid="{5E4B7899-045B-4D2A-87F3-A56A01C4CE8E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H19" authorId="0" shapeId="0" xr:uid="{E70A060E-178E-434E-9F10-65F33E8CFE08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C27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1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<sst xmlns="http://schemas.openxmlformats.org/spreadsheetml/2006/main" count="1947" uniqueCount="456">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</sst>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sz val="8"/>
      <color theme="9" tint="-0.249977111117893"/>
      <name val="Arial"/>
      <family val="2"/>
    </font>
    <font>
      <b/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70C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</cellStyleXfs>
  <cellXfs count="285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0" fontId="21" fillId="0" borderId="0" xfId="0" quotePrefix="1" applyFont="1" applyAlignment="1">
      <alignment horizontal="center"/>
    </xf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65" fontId="21" fillId="0" borderId="0" xfId="1" applyNumberFormat="1" applyFont="1"/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4" fontId="21" fillId="0" borderId="0" xfId="0" applyNumberFormat="1" applyFont="1"/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0" fontId="22" fillId="3" borderId="10" xfId="0" applyFont="1" applyFill="1" applyBorder="1" applyAlignment="1">
      <alignment horizontal="left"/>
    </xf>
    <xf numFmtId="0" fontId="22" fillId="3" borderId="11" xfId="0" applyFont="1" applyFill="1" applyBorder="1" applyAlignment="1">
      <alignment horizontal="center"/>
    </xf>
    <xf numFmtId="0" fontId="22" fillId="3" borderId="12" xfId="0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67" fontId="26" fillId="4" borderId="9" xfId="1" quotePrefix="1" applyNumberFormat="1" applyFont="1" applyFill="1" applyBorder="1" applyAlignment="1">
      <alignment horizontal="center"/>
    </xf>
    <xf numFmtId="167" fontId="19" fillId="4" borderId="8" xfId="0" applyNumberFormat="1" applyFont="1" applyFill="1" applyBorder="1" applyAlignment="1">
      <alignment horizontal="center"/>
    </xf>
    <xf numFmtId="167" fontId="21" fillId="0" borderId="9" xfId="0" applyNumberFormat="1" applyFont="1" applyBorder="1"/>
    <xf numFmtId="167" fontId="21" fillId="0" borderId="8" xfId="0" applyNumberFormat="1" applyFont="1" applyBorder="1"/>
    <xf numFmtId="167" fontId="26" fillId="4" borderId="10" xfId="1" quotePrefix="1" applyNumberFormat="1" applyFont="1" applyFill="1" applyBorder="1" applyAlignment="1">
      <alignment horizontal="center"/>
    </xf>
    <xf numFmtId="167" fontId="19" fillId="4" borderId="2" xfId="0" applyNumberFormat="1" applyFont="1" applyFill="1" applyBorder="1" applyAlignment="1">
      <alignment horizontal="center"/>
    </xf>
    <xf numFmtId="167" fontId="21" fillId="0" borderId="10" xfId="0" applyNumberFormat="1" applyFont="1" applyBorder="1"/>
    <xf numFmtId="167" fontId="21" fillId="0" borderId="2" xfId="0" applyNumberFormat="1" applyFont="1" applyBorder="1"/>
    <xf numFmtId="167" fontId="26" fillId="4" borderId="10" xfId="0" quotePrefix="1" applyNumberFormat="1" applyFont="1" applyFill="1" applyBorder="1" applyAlignment="1">
      <alignment horizontal="center"/>
    </xf>
    <xf numFmtId="167" fontId="26" fillId="4" borderId="10" xfId="1" applyNumberFormat="1" applyFont="1" applyFill="1" applyBorder="1" applyAlignment="1">
      <alignment horizontal="center"/>
    </xf>
    <xf numFmtId="167" fontId="22" fillId="6" borderId="12" xfId="0" applyNumberFormat="1" applyFont="1" applyFill="1" applyBorder="1" applyAlignment="1">
      <alignment horizontal="center"/>
    </xf>
    <xf numFmtId="167" fontId="22" fillId="6" borderId="6" xfId="0" applyNumberFormat="1" applyFont="1" applyFill="1" applyBorder="1" applyAlignment="1">
      <alignment horizontal="center"/>
    </xf>
    <xf numFmtId="167" fontId="25" fillId="0" borderId="11" xfId="1" applyNumberFormat="1" applyFont="1" applyBorder="1" applyAlignment="1">
      <alignment horizontal="center"/>
    </xf>
    <xf numFmtId="167" fontId="25" fillId="0" borderId="4" xfId="1" applyNumberFormat="1" applyFont="1" applyBorder="1" applyAlignment="1">
      <alignment horizontal="center"/>
    </xf>
    <xf numFmtId="167" fontId="35" fillId="0" borderId="11" xfId="1" applyNumberFormat="1" applyFont="1" applyBorder="1" applyAlignment="1">
      <alignment horizontal="center"/>
    </xf>
    <xf numFmtId="167" fontId="35" fillId="0" borderId="4" xfId="1" applyNumberFormat="1" applyFont="1" applyBorder="1" applyAlignment="1">
      <alignment horizontal="center"/>
    </xf>
    <xf numFmtId="9" fontId="25" fillId="0" borderId="11" xfId="1" applyFont="1" applyBorder="1" applyAlignment="1">
      <alignment horizontal="center"/>
    </xf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9" fontId="25" fillId="4" borderId="9" xfId="1" quotePrefix="1" applyFont="1" applyFill="1" applyBorder="1" applyAlignment="1">
      <alignment horizontal="center"/>
    </xf>
    <xf numFmtId="9" fontId="25" fillId="4" borderId="10" xfId="1" quotePrefix="1" applyFont="1" applyFill="1" applyBorder="1" applyAlignment="1">
      <alignment horizontal="center"/>
    </xf>
    <xf numFmtId="9" fontId="25" fillId="4" borderId="10" xfId="1" applyFont="1" applyFill="1" applyBorder="1" applyAlignment="1">
      <alignment horizontal="center"/>
    </xf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6" xfId="0" applyFont="1" applyBorder="1" applyAlignment="1">
      <alignment horizontal="center"/>
    </xf>
  </cellXfs>
  <cellStyles count="5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2.2316625363527315E-3</c:v>
                </c:pt>
                <c:pt idx="1">
                  <c:v>2.2316625363540195E-3</c:v>
                </c:pt>
                <c:pt idx="2">
                  <c:v>2.2316625363510032E-3</c:v>
                </c:pt>
                <c:pt idx="3">
                  <c:v>2.2316625363526686E-3</c:v>
                </c:pt>
                <c:pt idx="4">
                  <c:v>2.2316625363523121E-3</c:v>
                </c:pt>
                <c:pt idx="5">
                  <c:v>2.2316625363523108E-3</c:v>
                </c:pt>
                <c:pt idx="6">
                  <c:v>3.8480990859580187E-3</c:v>
                </c:pt>
                <c:pt idx="7">
                  <c:v>3.8480990859574662E-3</c:v>
                </c:pt>
                <c:pt idx="8">
                  <c:v>3.8480990859580187E-3</c:v>
                </c:pt>
                <c:pt idx="9">
                  <c:v>5.4645356355629516E-3</c:v>
                </c:pt>
                <c:pt idx="10">
                  <c:v>5.4645356355629516E-3</c:v>
                </c:pt>
                <c:pt idx="11">
                  <c:v>5.4645356355625136E-3</c:v>
                </c:pt>
                <c:pt idx="12">
                  <c:v>5.4664464368262417E-3</c:v>
                </c:pt>
                <c:pt idx="13">
                  <c:v>5.4664464368253942E-3</c:v>
                </c:pt>
                <c:pt idx="14">
                  <c:v>5.4664464368262564E-3</c:v>
                </c:pt>
                <c:pt idx="15">
                  <c:v>5.468357238089569E-3</c:v>
                </c:pt>
                <c:pt idx="16">
                  <c:v>5.4683572380884024E-3</c:v>
                </c:pt>
                <c:pt idx="17">
                  <c:v>5.4683572380884024E-3</c:v>
                </c:pt>
                <c:pt idx="18">
                  <c:v>5.4702680393525112E-3</c:v>
                </c:pt>
                <c:pt idx="19">
                  <c:v>5.4702680393520046E-3</c:v>
                </c:pt>
                <c:pt idx="20">
                  <c:v>5.4702680393524964E-3</c:v>
                </c:pt>
                <c:pt idx="21">
                  <c:v>5.4721788406157561E-3</c:v>
                </c:pt>
                <c:pt idx="22">
                  <c:v>5.4721788406157561E-3</c:v>
                </c:pt>
                <c:pt idx="23">
                  <c:v>5.4721788406159912E-3</c:v>
                </c:pt>
                <c:pt idx="24">
                  <c:v>6.2465474309922209E-3</c:v>
                </c:pt>
                <c:pt idx="25">
                  <c:v>6.2465474309924152E-3</c:v>
                </c:pt>
                <c:pt idx="26">
                  <c:v>6.2465474309922209E-3</c:v>
                </c:pt>
                <c:pt idx="27">
                  <c:v>7.0209160213683735E-3</c:v>
                </c:pt>
                <c:pt idx="28">
                  <c:v>7.0209160213690102E-3</c:v>
                </c:pt>
                <c:pt idx="29">
                  <c:v>7.0209160213690102E-3</c:v>
                </c:pt>
                <c:pt idx="30">
                  <c:v>7.7952846117446649E-3</c:v>
                </c:pt>
                <c:pt idx="31">
                  <c:v>7.795284611744932E-3</c:v>
                </c:pt>
                <c:pt idx="32">
                  <c:v>7.7952846117447074E-3</c:v>
                </c:pt>
                <c:pt idx="33">
                  <c:v>8.5696532021216267E-3</c:v>
                </c:pt>
                <c:pt idx="34">
                  <c:v>8.5696532021216267E-3</c:v>
                </c:pt>
                <c:pt idx="35">
                  <c:v>8.5696532021207091E-3</c:v>
                </c:pt>
                <c:pt idx="36">
                  <c:v>8.700832377546857E-3</c:v>
                </c:pt>
                <c:pt idx="37">
                  <c:v>8.7008323775464979E-3</c:v>
                </c:pt>
                <c:pt idx="38">
                  <c:v>8.700832377548165E-3</c:v>
                </c:pt>
                <c:pt idx="39">
                  <c:v>8.8320115529727482E-3</c:v>
                </c:pt>
                <c:pt idx="40">
                  <c:v>8.8320115529744361E-3</c:v>
                </c:pt>
                <c:pt idx="41">
                  <c:v>8.8320115529731281E-3</c:v>
                </c:pt>
                <c:pt idx="42">
                  <c:v>8.9631907283985457E-3</c:v>
                </c:pt>
                <c:pt idx="43">
                  <c:v>8.9631907283985457E-3</c:v>
                </c:pt>
                <c:pt idx="44">
                  <c:v>8.9631907283985925E-3</c:v>
                </c:pt>
                <c:pt idx="45">
                  <c:v>9.0943699038251412E-3</c:v>
                </c:pt>
                <c:pt idx="46">
                  <c:v>9.0943699038251412E-3</c:v>
                </c:pt>
                <c:pt idx="47">
                  <c:v>9.094369903825417E-3</c:v>
                </c:pt>
                <c:pt idx="48">
                  <c:v>9.2255490792510705E-3</c:v>
                </c:pt>
                <c:pt idx="49">
                  <c:v>9.2255490792515493E-3</c:v>
                </c:pt>
                <c:pt idx="50">
                  <c:v>9.2255490792510705E-3</c:v>
                </c:pt>
                <c:pt idx="51">
                  <c:v>9.3567282546765992E-3</c:v>
                </c:pt>
                <c:pt idx="52">
                  <c:v>9.3567282546768646E-3</c:v>
                </c:pt>
                <c:pt idx="53">
                  <c:v>9.3567282546769635E-3</c:v>
                </c:pt>
                <c:pt idx="54">
                  <c:v>9.4879074301037793E-3</c:v>
                </c:pt>
                <c:pt idx="55">
                  <c:v>9.4879074301035884E-3</c:v>
                </c:pt>
                <c:pt idx="56">
                  <c:v>9.4879074301037793E-3</c:v>
                </c:pt>
                <c:pt idx="57">
                  <c:v>9.6190866055290564E-3</c:v>
                </c:pt>
                <c:pt idx="58">
                  <c:v>9.6190866055289558E-3</c:v>
                </c:pt>
                <c:pt idx="59">
                  <c:v>9.6190866055289904E-3</c:v>
                </c:pt>
                <c:pt idx="60">
                  <c:v>9.5786214436522302E-3</c:v>
                </c:pt>
                <c:pt idx="61">
                  <c:v>9.5786214436523708E-3</c:v>
                </c:pt>
                <c:pt idx="62">
                  <c:v>9.5786214436522302E-3</c:v>
                </c:pt>
                <c:pt idx="63">
                  <c:v>9.5381562817746617E-3</c:v>
                </c:pt>
                <c:pt idx="64">
                  <c:v>9.5381562817750901E-3</c:v>
                </c:pt>
                <c:pt idx="65">
                  <c:v>9.5381562817751907E-3</c:v>
                </c:pt>
                <c:pt idx="66">
                  <c:v>9.4976911198973273E-3</c:v>
                </c:pt>
                <c:pt idx="67">
                  <c:v>9.4976911198984132E-3</c:v>
                </c:pt>
                <c:pt idx="68">
                  <c:v>9.4976911198973273E-3</c:v>
                </c:pt>
                <c:pt idx="69">
                  <c:v>9.4572259580210719E-3</c:v>
                </c:pt>
                <c:pt idx="70">
                  <c:v>9.457225958020973E-3</c:v>
                </c:pt>
                <c:pt idx="71">
                  <c:v>9.4572259580211655E-3</c:v>
                </c:pt>
                <c:pt idx="72">
                  <c:v>9.4167607961436403E-3</c:v>
                </c:pt>
                <c:pt idx="73">
                  <c:v>9.4167607961442197E-3</c:v>
                </c:pt>
                <c:pt idx="74">
                  <c:v>9.4167607961436403E-3</c:v>
                </c:pt>
                <c:pt idx="75">
                  <c:v>9.3762956342666372E-3</c:v>
                </c:pt>
                <c:pt idx="76">
                  <c:v>9.3762956342665037E-3</c:v>
                </c:pt>
                <c:pt idx="77">
                  <c:v>9.3762956342666008E-3</c:v>
                </c:pt>
                <c:pt idx="78">
                  <c:v>9.3358304723898684E-3</c:v>
                </c:pt>
                <c:pt idx="79">
                  <c:v>9.335830472389119E-3</c:v>
                </c:pt>
                <c:pt idx="80">
                  <c:v>9.3358304723898684E-3</c:v>
                </c:pt>
                <c:pt idx="81">
                  <c:v>9.295365310512985E-3</c:v>
                </c:pt>
                <c:pt idx="82">
                  <c:v>9.2953653105128878E-3</c:v>
                </c:pt>
                <c:pt idx="83">
                  <c:v>9.2953653105124698E-3</c:v>
                </c:pt>
                <c:pt idx="84">
                  <c:v>9.4287863255567757E-3</c:v>
                </c:pt>
                <c:pt idx="85">
                  <c:v>9.4287863255559327E-3</c:v>
                </c:pt>
                <c:pt idx="86">
                  <c:v>9.4287863255567757E-3</c:v>
                </c:pt>
                <c:pt idx="87">
                  <c:v>9.5622073406001259E-3</c:v>
                </c:pt>
                <c:pt idx="88">
                  <c:v>9.5622073406001987E-3</c:v>
                </c:pt>
                <c:pt idx="89">
                  <c:v>9.5622073406002994E-3</c:v>
                </c:pt>
                <c:pt idx="90">
                  <c:v>9.6956283556444076E-3</c:v>
                </c:pt>
                <c:pt idx="91">
                  <c:v>9.6956283556447389E-3</c:v>
                </c:pt>
                <c:pt idx="92">
                  <c:v>9.6956283556444076E-3</c:v>
                </c:pt>
                <c:pt idx="93">
                  <c:v>9.829049370688665E-3</c:v>
                </c:pt>
                <c:pt idx="94">
                  <c:v>9.8290493706885626E-3</c:v>
                </c:pt>
                <c:pt idx="95">
                  <c:v>9.8290493706882087E-3</c:v>
                </c:pt>
                <c:pt idx="96">
                  <c:v>9.9624703857318468E-3</c:v>
                </c:pt>
                <c:pt idx="97">
                  <c:v>9.9624703857327107E-3</c:v>
                </c:pt>
                <c:pt idx="98">
                  <c:v>9.9624703857331548E-3</c:v>
                </c:pt>
                <c:pt idx="99">
                  <c:v>1.0095891400775627E-2</c:v>
                </c:pt>
                <c:pt idx="100">
                  <c:v>1.0095891400775676E-2</c:v>
                </c:pt>
                <c:pt idx="101">
                  <c:v>1.0095891400775676E-2</c:v>
                </c:pt>
                <c:pt idx="102">
                  <c:v>1.0229312415819347E-2</c:v>
                </c:pt>
                <c:pt idx="103">
                  <c:v>1.0229312415819923E-2</c:v>
                </c:pt>
                <c:pt idx="104">
                  <c:v>1.0229312415819347E-2</c:v>
                </c:pt>
                <c:pt idx="105">
                  <c:v>1.036273343086316E-2</c:v>
                </c:pt>
                <c:pt idx="106">
                  <c:v>1.036273343086316E-2</c:v>
                </c:pt>
                <c:pt idx="107">
                  <c:v>1.0362733430863694E-2</c:v>
                </c:pt>
                <c:pt idx="108">
                  <c:v>1.0496154445907879E-2</c:v>
                </c:pt>
                <c:pt idx="109">
                  <c:v>1.0496154445907197E-2</c:v>
                </c:pt>
                <c:pt idx="110">
                  <c:v>1.0496154445907879E-2</c:v>
                </c:pt>
                <c:pt idx="111">
                  <c:v>1.0629575460951684E-2</c:v>
                </c:pt>
                <c:pt idx="112">
                  <c:v>1.0629575460951337E-2</c:v>
                </c:pt>
                <c:pt idx="113">
                  <c:v>1.0629575460951337E-2</c:v>
                </c:pt>
                <c:pt idx="114">
                  <c:v>1.0762996475994985E-2</c:v>
                </c:pt>
                <c:pt idx="115">
                  <c:v>1.0762996475996029E-2</c:v>
                </c:pt>
                <c:pt idx="116">
                  <c:v>1.0762996475994985E-2</c:v>
                </c:pt>
                <c:pt idx="117">
                  <c:v>1.0896417491039216E-2</c:v>
                </c:pt>
                <c:pt idx="118">
                  <c:v>1.0896417491040524E-2</c:v>
                </c:pt>
                <c:pt idx="119">
                  <c:v>1.0896417491040198E-2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</xdr:colOff>
          <xdr:row>11</xdr:row>
          <xdr:rowOff>76200</xdr:rowOff>
        </xdr:from>
        <xdr:to>
          <xdr:col>15</xdr:col>
          <xdr:colOff>0</xdr:colOff>
          <xdr:row>13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18</xdr:row>
          <xdr:rowOff>175260</xdr:rowOff>
        </xdr:from>
        <xdr:to>
          <xdr:col>9</xdr:col>
          <xdr:colOff>167640</xdr:colOff>
          <xdr:row>21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</xdr:row>
          <xdr:rowOff>7620</xdr:rowOff>
        </xdr:from>
        <xdr:to>
          <xdr:col>13</xdr:col>
          <xdr:colOff>480060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3</xdr:row>
          <xdr:rowOff>30480</xdr:rowOff>
        </xdr:from>
        <xdr:to>
          <xdr:col>6</xdr:col>
          <xdr:colOff>190500</xdr:colOff>
          <xdr:row>5</xdr:row>
          <xdr:rowOff>45720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205740</xdr:colOff>
          <xdr:row>6</xdr:row>
          <xdr:rowOff>30480</xdr:rowOff>
        </xdr:from>
        <xdr:to>
          <xdr:col>9</xdr:col>
          <xdr:colOff>586740</xdr:colOff>
          <xdr:row>8</xdr:row>
          <xdr:rowOff>22860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11" sqref="H11"/>
    </sheetView>
  </sheetViews>
  <sheetFormatPr baseColWidth="10" defaultRowHeight="14.4" x14ac:dyDescent="0.3"/>
  <cols>
    <col min="2" max="2" width="15.5546875" bestFit="1" customWidth="1"/>
    <col min="3" max="3" width="4.44140625" customWidth="1"/>
    <col min="4" max="4" width="14.109375" bestFit="1" customWidth="1"/>
    <col min="5" max="5" width="11.33203125" bestFit="1" customWidth="1"/>
  </cols>
  <sheetData>
    <row r="1" spans="2:6" ht="15" thickBot="1" x14ac:dyDescent="0.35"/>
    <row r="2" spans="2:6" ht="15" thickBot="1" x14ac:dyDescent="0.35">
      <c r="B2" s="42" t="s">
        <v>33</v>
      </c>
      <c r="D2" s="42" t="s">
        <v>430</v>
      </c>
      <c r="F2" s="42" t="s">
        <v>34</v>
      </c>
    </row>
    <row r="3" spans="2:6" x14ac:dyDescent="0.3">
      <c r="B3" s="38" t="s">
        <v>7</v>
      </c>
      <c r="D3" s="38" t="s">
        <v>32</v>
      </c>
      <c r="F3" s="37" t="s">
        <v>0</v>
      </c>
    </row>
    <row r="4" spans="2:6" ht="15" thickBot="1" x14ac:dyDescent="0.35">
      <c r="B4" s="41" t="s">
        <v>30</v>
      </c>
      <c r="D4" s="41" t="s">
        <v>31</v>
      </c>
      <c r="F4" s="38" t="s">
        <v>2</v>
      </c>
    </row>
    <row r="5" spans="2:6" ht="15" thickBot="1" x14ac:dyDescent="0.35">
      <c r="F5" s="41" t="s">
        <v>1</v>
      </c>
    </row>
    <row r="6" spans="2:6" ht="15" thickBot="1" x14ac:dyDescent="0.35">
      <c r="B6" s="57" t="s">
        <v>44</v>
      </c>
    </row>
    <row r="7" spans="2:6" ht="15" thickBot="1" x14ac:dyDescent="0.35">
      <c r="B7" s="143" t="s">
        <v>45</v>
      </c>
      <c r="D7" s="92" t="s">
        <v>429</v>
      </c>
      <c r="E7" s="146">
        <v>45352</v>
      </c>
    </row>
    <row r="8" spans="2:6" x14ac:dyDescent="0.3">
      <c r="B8" s="144" t="s">
        <v>46</v>
      </c>
    </row>
    <row r="9" spans="2:6" x14ac:dyDescent="0.3">
      <c r="B9" s="144" t="s">
        <v>43</v>
      </c>
    </row>
    <row r="10" spans="2:6" x14ac:dyDescent="0.3">
      <c r="B10" s="144" t="s">
        <v>41</v>
      </c>
    </row>
    <row r="11" spans="2:6" ht="15" thickBot="1" x14ac:dyDescent="0.35">
      <c r="B11" s="145" t="s">
        <v>42</v>
      </c>
    </row>
    <row r="13" spans="2:6" ht="15" thickBot="1" x14ac:dyDescent="0.35"/>
    <row r="14" spans="2:6" ht="15" thickBot="1" x14ac:dyDescent="0.35">
      <c r="B14" s="57" t="s">
        <v>420</v>
      </c>
      <c r="D14" s="57" t="s">
        <v>421</v>
      </c>
    </row>
    <row r="15" spans="2:6" x14ac:dyDescent="0.3">
      <c r="B15" s="37" t="b">
        <v>1</v>
      </c>
      <c r="D15" s="37" t="s">
        <v>83</v>
      </c>
    </row>
    <row r="16" spans="2:6" ht="15" thickBot="1" x14ac:dyDescent="0.35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15" zoomScale="97" zoomScaleNormal="400" workbookViewId="0">
      <selection activeCell="O7" sqref="O7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48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3" ht="24.6" customHeight="1" thickBot="1" x14ac:dyDescent="0.35"/>
    <row r="2" spans="1:23" ht="31.2" customHeight="1" thickBot="1" x14ac:dyDescent="0.65">
      <c r="D2" s="53" t="s">
        <v>36</v>
      </c>
      <c r="E2" s="102"/>
      <c r="F2" s="103"/>
      <c r="I2" s="53" t="s">
        <v>15</v>
      </c>
      <c r="J2" s="102"/>
      <c r="K2" s="103"/>
      <c r="T2" s="53" t="s">
        <v>92</v>
      </c>
      <c r="U2" s="102"/>
      <c r="V2" s="103"/>
    </row>
    <row r="3" spans="1:23" s="2" customFormat="1" x14ac:dyDescent="0.3">
      <c r="D3" s="52"/>
      <c r="Q3" s="49"/>
    </row>
    <row r="4" spans="1:23" ht="28.5" customHeight="1" thickBot="1" x14ac:dyDescent="0.35"/>
    <row r="5" spans="1:23" ht="15" thickBot="1" x14ac:dyDescent="0.35">
      <c r="A5" s="54" t="s">
        <v>17</v>
      </c>
      <c r="C5" s="258" t="s">
        <v>21</v>
      </c>
      <c r="D5" s="259"/>
      <c r="F5" s="256" t="s">
        <v>23</v>
      </c>
      <c r="G5" s="257"/>
      <c r="I5" s="256" t="s">
        <v>22</v>
      </c>
      <c r="J5" s="257"/>
      <c r="R5" s="258" t="s">
        <v>39</v>
      </c>
      <c r="S5" s="259"/>
      <c r="U5" s="256" t="s">
        <v>40</v>
      </c>
      <c r="V5" s="257"/>
    </row>
    <row r="6" spans="1:23" ht="15" thickBot="1" x14ac:dyDescent="0.35">
      <c r="A6" s="55" t="s">
        <v>18</v>
      </c>
      <c r="C6" s="99"/>
      <c r="D6" s="99"/>
      <c r="F6" s="100"/>
      <c r="G6" s="100"/>
      <c r="I6" s="100"/>
      <c r="J6" s="100"/>
      <c r="R6" s="99"/>
      <c r="S6" s="99"/>
      <c r="U6" s="100"/>
      <c r="V6" s="100"/>
    </row>
    <row r="7" spans="1:23" ht="15" thickBot="1" x14ac:dyDescent="0.35">
      <c r="A7" s="56" t="s">
        <v>19</v>
      </c>
      <c r="C7" s="105" t="s">
        <v>91</v>
      </c>
      <c r="D7" s="101">
        <v>1</v>
      </c>
      <c r="F7" s="115" t="s">
        <v>24</v>
      </c>
      <c r="G7" s="5" cm="1">
        <f t="array" aca="1" ref="G7" ca="1">GetBSOptionPrice(D7,D8,D9,D10,D11,D12,D13,D14,D16)</f>
        <v>10.450575415435083</v>
      </c>
      <c r="I7" s="115" t="s">
        <v>24</v>
      </c>
      <c r="J7" s="5" cm="1">
        <f t="array" aca="1" ref="J7" ca="1">GetMCEurOptionPrice(D7,D8,D9,D10,D11,D12,D13,D14,D16)</f>
        <v>10.45096103539135</v>
      </c>
      <c r="R7" s="105" t="s">
        <v>91</v>
      </c>
      <c r="S7" s="101">
        <v>1</v>
      </c>
      <c r="U7" s="115" t="s">
        <v>24</v>
      </c>
      <c r="V7" s="5" cm="1">
        <f t="array" aca="1" ref="V7" ca="1">GetOptionPrice(S7,S8,S9,S10,S11,S12,S14)</f>
        <v>61.985324987694256</v>
      </c>
    </row>
    <row r="8" spans="1:23" ht="15" thickBot="1" x14ac:dyDescent="0.35">
      <c r="C8" s="106" t="s">
        <v>14</v>
      </c>
      <c r="D8" s="30" t="s">
        <v>7</v>
      </c>
      <c r="E8" s="4"/>
      <c r="F8" s="4"/>
      <c r="K8" s="1"/>
      <c r="R8" s="106" t="s">
        <v>14</v>
      </c>
      <c r="S8" s="30" t="s">
        <v>7</v>
      </c>
      <c r="T8" s="4"/>
      <c r="U8" s="4"/>
      <c r="V8" s="4"/>
      <c r="W8" s="4"/>
    </row>
    <row r="9" spans="1:23" x14ac:dyDescent="0.3">
      <c r="C9" s="106" t="s">
        <v>27</v>
      </c>
      <c r="D9" s="30" t="s">
        <v>32</v>
      </c>
      <c r="E9" s="4"/>
      <c r="F9" s="116" t="s">
        <v>4</v>
      </c>
      <c r="G9" s="13" cm="1">
        <f t="array" aca="1" ref="G9:G12" ca="1">GetSensiOptionBS(D7,D8,D9,D10,D11,D12,D13,D14,D16)</f>
        <v>0.63683058600703024</v>
      </c>
      <c r="I9" s="4"/>
      <c r="K9" s="1"/>
      <c r="R9" s="107" t="s">
        <v>27</v>
      </c>
      <c r="S9" s="30" t="s">
        <v>29</v>
      </c>
      <c r="T9" s="4"/>
      <c r="U9" s="116" t="s">
        <v>4</v>
      </c>
      <c r="V9" s="13" cm="1">
        <f t="array" aca="1" ref="V9:V12" ca="1">GetSensiOption(S7,S8,S9,S10,S11,S12,S14)</f>
        <v>1</v>
      </c>
      <c r="W9" s="4"/>
    </row>
    <row r="10" spans="1:23" x14ac:dyDescent="0.3">
      <c r="C10" s="107" t="s">
        <v>11</v>
      </c>
      <c r="D10" s="30">
        <v>100</v>
      </c>
      <c r="E10" s="4"/>
      <c r="F10" s="107" t="s">
        <v>5</v>
      </c>
      <c r="G10" s="14">
        <f ca="1"/>
        <v>1.8762017345846895E-2</v>
      </c>
      <c r="R10" s="107" t="s">
        <v>9</v>
      </c>
      <c r="S10" s="30">
        <v>100</v>
      </c>
      <c r="T10" s="4"/>
      <c r="U10" s="107" t="s">
        <v>5</v>
      </c>
      <c r="V10" s="14">
        <f ca="1"/>
        <v>0</v>
      </c>
      <c r="W10" s="4"/>
    </row>
    <row r="11" spans="1:23" x14ac:dyDescent="0.3">
      <c r="C11" s="108" t="s">
        <v>3</v>
      </c>
      <c r="D11" s="39">
        <v>0.2</v>
      </c>
      <c r="E11" s="4"/>
      <c r="F11" s="107" t="s">
        <v>6</v>
      </c>
      <c r="G11" s="14">
        <f ca="1"/>
        <v>1.090779309905983</v>
      </c>
      <c r="R11" s="107" t="s">
        <v>10</v>
      </c>
      <c r="S11" s="46">
        <v>44989</v>
      </c>
      <c r="T11" s="4"/>
      <c r="U11" s="107" t="s">
        <v>6</v>
      </c>
      <c r="V11" s="14">
        <f ca="1"/>
        <v>-36.767714459864607</v>
      </c>
      <c r="W11" s="4"/>
    </row>
    <row r="12" spans="1:23" ht="15" thickBot="1" x14ac:dyDescent="0.35">
      <c r="C12" s="108" t="s">
        <v>8</v>
      </c>
      <c r="D12" s="39">
        <v>0.05</v>
      </c>
      <c r="E12" s="4"/>
      <c r="F12" s="117" t="s">
        <v>26</v>
      </c>
      <c r="G12" s="15">
        <f ca="1"/>
        <v>37.524034691693792</v>
      </c>
      <c r="R12" s="117" t="s">
        <v>13</v>
      </c>
      <c r="S12" s="40" t="s">
        <v>0</v>
      </c>
      <c r="T12" s="4"/>
      <c r="U12" s="117" t="s">
        <v>26</v>
      </c>
      <c r="V12" s="15">
        <f ca="1"/>
        <v>0</v>
      </c>
      <c r="W12" s="4"/>
    </row>
    <row r="13" spans="1:23" ht="15" thickBot="1" x14ac:dyDescent="0.35">
      <c r="C13" s="108" t="s">
        <v>9</v>
      </c>
      <c r="D13" s="30">
        <v>100</v>
      </c>
      <c r="E13" s="4"/>
      <c r="R13" s="4"/>
      <c r="S13" s="4"/>
      <c r="T13" s="4"/>
      <c r="W13" s="4"/>
    </row>
    <row r="14" spans="1:23" ht="15" thickBot="1" x14ac:dyDescent="0.35">
      <c r="C14" s="109" t="s">
        <v>10</v>
      </c>
      <c r="D14" s="31">
        <v>1</v>
      </c>
      <c r="E14" s="4"/>
      <c r="R14" s="114" t="s">
        <v>12</v>
      </c>
      <c r="S14" s="12">
        <v>0</v>
      </c>
      <c r="T14" s="4"/>
      <c r="W14" s="4"/>
    </row>
    <row r="15" spans="1:23" ht="15" thickBot="1" x14ac:dyDescent="0.35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 x14ac:dyDescent="0.35">
      <c r="C16" s="114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 x14ac:dyDescent="0.3">
      <c r="P17" s="4"/>
      <c r="Q17" s="50"/>
      <c r="R17" s="4"/>
      <c r="S17" s="4"/>
      <c r="T17" s="4"/>
      <c r="U17" s="4"/>
      <c r="V17" s="4"/>
      <c r="W17" s="4"/>
    </row>
    <row r="18" spans="2:27" s="2" customFormat="1" ht="28.2" customHeight="1" x14ac:dyDescent="0.6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 x14ac:dyDescent="0.35">
      <c r="P19" s="4"/>
      <c r="Q19" s="50"/>
      <c r="R19" s="4"/>
      <c r="S19" s="4"/>
      <c r="T19" s="4"/>
      <c r="U19" s="4"/>
      <c r="V19" s="4"/>
      <c r="W19" s="4"/>
    </row>
    <row r="20" spans="2:27" ht="15" thickBot="1" x14ac:dyDescent="0.35">
      <c r="B20" s="258" t="s">
        <v>21</v>
      </c>
      <c r="C20" s="260"/>
      <c r="D20" s="260"/>
      <c r="E20" s="260"/>
      <c r="F20" s="260"/>
      <c r="G20" s="260"/>
      <c r="H20" s="260"/>
      <c r="I20" s="260"/>
      <c r="J20" s="259"/>
      <c r="L20" s="258" t="s">
        <v>23</v>
      </c>
      <c r="M20" s="259"/>
      <c r="O20" s="258" t="s">
        <v>22</v>
      </c>
      <c r="P20" s="259"/>
      <c r="R20" s="261" t="s">
        <v>39</v>
      </c>
      <c r="S20" s="262"/>
      <c r="T20" s="262"/>
      <c r="U20" s="262"/>
      <c r="V20" s="262"/>
      <c r="W20" s="262"/>
      <c r="X20" s="263"/>
      <c r="Z20" s="256" t="s">
        <v>40</v>
      </c>
      <c r="AA20" s="257"/>
    </row>
    <row r="21" spans="2:27" ht="15" thickBot="1" x14ac:dyDescent="0.35">
      <c r="B21" s="118" t="s">
        <v>91</v>
      </c>
      <c r="C21" s="169" t="s">
        <v>14</v>
      </c>
      <c r="D21" s="170" t="s">
        <v>27</v>
      </c>
      <c r="E21" s="169" t="s">
        <v>11</v>
      </c>
      <c r="F21" s="170" t="s">
        <v>3</v>
      </c>
      <c r="G21" s="169" t="s">
        <v>8</v>
      </c>
      <c r="H21" s="170" t="s">
        <v>9</v>
      </c>
      <c r="I21" s="169" t="s">
        <v>10</v>
      </c>
      <c r="J21" s="171" t="s">
        <v>12</v>
      </c>
      <c r="R21" s="118" t="s">
        <v>91</v>
      </c>
      <c r="S21" s="119" t="s">
        <v>14</v>
      </c>
      <c r="T21" s="119" t="s">
        <v>35</v>
      </c>
      <c r="U21" s="120" t="s">
        <v>9</v>
      </c>
      <c r="V21" s="120" t="s">
        <v>10</v>
      </c>
      <c r="W21" s="121" t="s">
        <v>13</v>
      </c>
      <c r="X21" s="121" t="s">
        <v>12</v>
      </c>
    </row>
    <row r="22" spans="2:27" ht="15" thickBot="1" x14ac:dyDescent="0.35">
      <c r="B22" s="9">
        <v>2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0.05</v>
      </c>
      <c r="H22" s="20">
        <v>100</v>
      </c>
      <c r="I22" s="20">
        <v>1</v>
      </c>
      <c r="J22" s="22">
        <v>0</v>
      </c>
      <c r="L22" s="115" t="s">
        <v>25</v>
      </c>
      <c r="M22" s="5" cm="1">
        <f t="array" aca="1" ref="M22" ca="1">GetBSOptionPortfolioPrice(B22:J26)</f>
        <v>-5.6762072190878783</v>
      </c>
      <c r="O22" s="115" t="s">
        <v>25</v>
      </c>
      <c r="P22" s="47" cm="1">
        <f t="array" aca="1" ref="P22" ca="1">GetMCEurOptionPortfolioPrice(B22:J26)</f>
        <v>-5.6773427524914286</v>
      </c>
      <c r="R22" s="17">
        <v>1</v>
      </c>
      <c r="S22" s="29" t="s">
        <v>16</v>
      </c>
      <c r="T22" s="29" t="s">
        <v>29</v>
      </c>
      <c r="U22" s="29">
        <v>100</v>
      </c>
      <c r="V22" s="43">
        <v>44989</v>
      </c>
      <c r="W22" s="32" t="s">
        <v>0</v>
      </c>
      <c r="X22" s="34">
        <v>0</v>
      </c>
      <c r="Z22" s="113" t="s">
        <v>25</v>
      </c>
      <c r="AA22" s="5" cm="1">
        <f t="array" aca="1" ref="AA22" ca="1">GetOptionPortfolioPrice(R22:X26)</f>
        <v>61.985324987694256</v>
      </c>
    </row>
    <row r="23" spans="2:27" ht="15" thickBot="1" x14ac:dyDescent="0.35">
      <c r="B23" s="10">
        <v>1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2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 x14ac:dyDescent="0.3">
      <c r="B24" s="10">
        <v>1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6" t="s">
        <v>4</v>
      </c>
      <c r="M24" s="13" cm="1">
        <f t="array" aca="1" ref="M24" ca="1">GetDeltaOptionPortfolioBS(B22:J26)</f>
        <v>-5.2860439519268887E-2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6" t="s">
        <v>4</v>
      </c>
      <c r="AA24" s="13" cm="1">
        <f t="array" aca="1" ref="AA24" ca="1">GetDeltaOptionPortfolio(R22:X26)</f>
        <v>1</v>
      </c>
    </row>
    <row r="25" spans="2:27" x14ac:dyDescent="0.3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7" t="s">
        <v>5</v>
      </c>
      <c r="M25" s="14" cm="1">
        <f t="array" aca="1" ref="M25" ca="1">GetGammaOptionPortfolioBS(B22:J26)</f>
        <v>6.2834709440392732E-3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7" t="s">
        <v>5</v>
      </c>
      <c r="AA25" s="14" cm="1">
        <f t="array" aca="1" ref="AA25" ca="1">GetGammaOptionPortfolio(R22:X26)</f>
        <v>0</v>
      </c>
    </row>
    <row r="26" spans="2:27" ht="15" thickBot="1" x14ac:dyDescent="0.35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7" t="s">
        <v>6</v>
      </c>
      <c r="M26" s="14" cm="1">
        <f t="array" aca="1" ref="M26" ca="1">GetThetaOptionPortfolioBS(B22:J26)</f>
        <v>1.237186025449807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7" t="s">
        <v>6</v>
      </c>
      <c r="AA26" s="14" cm="1">
        <f t="array" aca="1" ref="AA26" ca="1">GetThetaOptionPortfolio(R22:X26)</f>
        <v>-36.767714459864607</v>
      </c>
    </row>
    <row r="27" spans="2:27" ht="15" thickBot="1" x14ac:dyDescent="0.35">
      <c r="L27" s="117" t="s">
        <v>26</v>
      </c>
      <c r="M27" s="15" cm="1">
        <f t="array" aca="1" ref="M27" ca="1">GetVegaOptionPortfolioBS(B22:J26)</f>
        <v>-12.390150915536701</v>
      </c>
      <c r="Z27" s="117" t="s">
        <v>26</v>
      </c>
      <c r="AA27" s="15" cm="1">
        <f t="array" aca="1" ref="AA27" ca="1">GetVegaOptionPortfolio(R22:X26)</f>
        <v>0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urrentRegionCalculate">
                <anchor moveWithCells="1" sizeWithCells="1">
                  <from>
                    <xdr:col>12</xdr:col>
                    <xdr:colOff>45720</xdr:colOff>
                    <xdr:row>11</xdr:row>
                    <xdr:rowOff>76200</xdr:rowOff>
                  </from>
                  <to>
                    <xdr:col>15</xdr:col>
                    <xdr:colOff>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abSelected="1" workbookViewId="0">
      <selection activeCell="F22" sqref="F22"/>
    </sheetView>
  </sheetViews>
  <sheetFormatPr baseColWidth="10" defaultRowHeight="14.4" x14ac:dyDescent="0.3"/>
  <cols>
    <col min="2" max="2" width="11.88671875" bestFit="1" customWidth="1"/>
  </cols>
  <sheetData>
    <row r="6" spans="2:17" ht="15" thickBot="1" x14ac:dyDescent="0.35"/>
    <row r="7" spans="2:17" ht="15" thickBot="1" x14ac:dyDescent="0.35">
      <c r="B7" s="110" t="s">
        <v>47</v>
      </c>
      <c r="C7" s="104">
        <f ca="1">Parameter_Date</f>
        <v>45352</v>
      </c>
      <c r="D7" s="111"/>
      <c r="E7" s="112"/>
      <c r="F7" s="267" t="s">
        <v>48</v>
      </c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9"/>
    </row>
    <row r="8" spans="2:17" ht="21" thickBot="1" x14ac:dyDescent="0.35">
      <c r="B8" s="129" t="s">
        <v>49</v>
      </c>
      <c r="C8" s="130" t="s">
        <v>50</v>
      </c>
      <c r="D8" s="128" t="s">
        <v>51</v>
      </c>
      <c r="E8" s="129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 x14ac:dyDescent="0.3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 x14ac:dyDescent="0.3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 x14ac:dyDescent="0.35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 x14ac:dyDescent="0.35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 x14ac:dyDescent="0.35">
      <c r="B13" s="79"/>
      <c r="C13" s="79"/>
      <c r="D13" s="79"/>
      <c r="E13" s="79"/>
      <c r="F13" s="264" t="s">
        <v>68</v>
      </c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6"/>
    </row>
    <row r="14" spans="2:17" x14ac:dyDescent="0.3">
      <c r="B14" s="80" t="s">
        <v>65</v>
      </c>
      <c r="C14" s="81" t="s">
        <v>69</v>
      </c>
      <c r="D14" s="81" t="s">
        <v>69</v>
      </c>
      <c r="E14" s="125" t="s">
        <v>69</v>
      </c>
      <c r="F14" s="122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 x14ac:dyDescent="0.3">
      <c r="B15" s="84" t="s">
        <v>66</v>
      </c>
      <c r="C15" s="79" t="s">
        <v>69</v>
      </c>
      <c r="D15" s="79" t="s">
        <v>69</v>
      </c>
      <c r="E15" s="126" t="s">
        <v>69</v>
      </c>
      <c r="F15" s="123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 x14ac:dyDescent="0.35">
      <c r="B16" s="88" t="s">
        <v>67</v>
      </c>
      <c r="C16" s="89" t="s">
        <v>69</v>
      </c>
      <c r="D16" s="89" t="s">
        <v>69</v>
      </c>
      <c r="E16" s="127" t="s">
        <v>69</v>
      </c>
      <c r="F16" s="124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579120</xdr:colOff>
                    <xdr:row>18</xdr:row>
                    <xdr:rowOff>175260</xdr:rowOff>
                  </from>
                  <to>
                    <xdr:col>9</xdr:col>
                    <xdr:colOff>167640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opLeftCell="R1" workbookViewId="0">
      <selection activeCell="X17" sqref="X17"/>
    </sheetView>
  </sheetViews>
  <sheetFormatPr baseColWidth="10" defaultRowHeight="14.4" x14ac:dyDescent="0.3"/>
  <cols>
    <col min="2" max="2" width="30.44140625" bestFit="1" customWidth="1"/>
    <col min="17" max="17" width="13.88671875" customWidth="1"/>
  </cols>
  <sheetData>
    <row r="1" spans="1:50" ht="15" thickBot="1" x14ac:dyDescent="0.35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 x14ac:dyDescent="0.35">
      <c r="G2" s="267" t="s">
        <v>72</v>
      </c>
      <c r="H2" s="268"/>
      <c r="I2" s="268"/>
      <c r="J2" s="147" t="b">
        <v>1</v>
      </c>
    </row>
    <row r="3" spans="1:50" ht="15" thickBot="1" x14ac:dyDescent="0.35">
      <c r="J3" s="100"/>
    </row>
    <row r="4" spans="1:50" ht="15" thickBot="1" x14ac:dyDescent="0.35">
      <c r="G4" s="267" t="s">
        <v>73</v>
      </c>
      <c r="H4" s="268"/>
      <c r="I4" s="269"/>
      <c r="J4" s="142" t="b">
        <v>0</v>
      </c>
    </row>
    <row r="5" spans="1:50" ht="16.2" customHeight="1" thickBot="1" x14ac:dyDescent="0.35">
      <c r="J5" s="100"/>
    </row>
    <row r="6" spans="1:50" s="79" customFormat="1" ht="15.6" customHeight="1" thickBot="1" x14ac:dyDescent="0.25">
      <c r="B6" s="148" t="s">
        <v>70</v>
      </c>
      <c r="C6" s="273" t="b">
        <v>1</v>
      </c>
      <c r="D6" s="274"/>
      <c r="E6" s="85"/>
      <c r="F6" s="85"/>
      <c r="G6" s="267" t="s">
        <v>74</v>
      </c>
      <c r="H6" s="268"/>
      <c r="I6" s="269"/>
      <c r="J6" s="142" t="s">
        <v>83</v>
      </c>
      <c r="K6" s="85"/>
      <c r="L6" s="93"/>
      <c r="M6" s="85"/>
    </row>
    <row r="7" spans="1:50" s="79" customFormat="1" ht="13.5" customHeight="1" thickBot="1" x14ac:dyDescent="0.25">
      <c r="B7" s="149" t="s">
        <v>71</v>
      </c>
      <c r="C7" s="275">
        <f ca="1">GetCDSRefDate(Parameter_Date,C6)</f>
        <v>45371</v>
      </c>
      <c r="D7" s="276"/>
      <c r="E7" s="85"/>
      <c r="F7" s="85"/>
      <c r="L7" s="94"/>
      <c r="M7" s="85"/>
      <c r="N7" s="158" t="s">
        <v>87</v>
      </c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</row>
    <row r="8" spans="1:50" s="79" customFormat="1" ht="10.8" thickBot="1" x14ac:dyDescent="0.25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</row>
    <row r="9" spans="1:50" s="79" customFormat="1" ht="13.5" customHeight="1" thickBot="1" x14ac:dyDescent="0.25">
      <c r="A9" s="151"/>
      <c r="B9" s="151"/>
      <c r="C9" s="151"/>
      <c r="D9" s="150"/>
      <c r="E9" s="267" t="s">
        <v>76</v>
      </c>
      <c r="F9" s="268"/>
      <c r="G9" s="268"/>
      <c r="H9" s="268"/>
      <c r="I9" s="268"/>
      <c r="J9" s="268"/>
      <c r="K9" s="268"/>
      <c r="L9" s="268"/>
      <c r="M9" s="269"/>
      <c r="N9" s="270" t="s">
        <v>77</v>
      </c>
      <c r="O9" s="271"/>
      <c r="P9" s="271"/>
      <c r="Q9" s="271"/>
      <c r="R9" s="271"/>
      <c r="S9" s="271"/>
      <c r="T9" s="271"/>
      <c r="U9" s="271"/>
      <c r="V9" s="272"/>
      <c r="W9" s="270" t="s">
        <v>78</v>
      </c>
      <c r="X9" s="271"/>
      <c r="Y9" s="271"/>
      <c r="Z9" s="271"/>
      <c r="AA9" s="271"/>
      <c r="AB9" s="271"/>
      <c r="AC9" s="271"/>
      <c r="AD9" s="271"/>
      <c r="AE9" s="272"/>
    </row>
    <row r="10" spans="1:50" s="79" customFormat="1" ht="15" customHeight="1" thickBot="1" x14ac:dyDescent="0.25">
      <c r="A10" s="190" t="s">
        <v>79</v>
      </c>
      <c r="B10" s="195" t="s">
        <v>80</v>
      </c>
      <c r="C10" s="194" t="s">
        <v>81</v>
      </c>
      <c r="D10" s="190" t="s">
        <v>82</v>
      </c>
      <c r="E10" s="111" t="s">
        <v>83</v>
      </c>
      <c r="F10" s="157" t="s">
        <v>84</v>
      </c>
      <c r="G10" s="157" t="s">
        <v>53</v>
      </c>
      <c r="H10" s="157" t="s">
        <v>54</v>
      </c>
      <c r="I10" s="157" t="s">
        <v>55</v>
      </c>
      <c r="J10" s="157" t="s">
        <v>56</v>
      </c>
      <c r="K10" s="157" t="s">
        <v>57</v>
      </c>
      <c r="L10" s="157" t="s">
        <v>59</v>
      </c>
      <c r="M10" s="112" t="s">
        <v>62</v>
      </c>
      <c r="N10" s="196" t="str">
        <f t="shared" ref="N10:V10" ca="1" si="0">IF(E10="","",E10)</f>
        <v>3M</v>
      </c>
      <c r="O10" s="174" t="str">
        <f t="shared" ca="1" si="0"/>
        <v>6M</v>
      </c>
      <c r="P10" s="174" t="str">
        <f t="shared" ca="1" si="0"/>
        <v>1Y</v>
      </c>
      <c r="Q10" s="174" t="str">
        <f t="shared" ca="1" si="0"/>
        <v>2Y</v>
      </c>
      <c r="R10" s="174" t="str">
        <f t="shared" ca="1" si="0"/>
        <v>3Y</v>
      </c>
      <c r="S10" s="174" t="str">
        <f t="shared" ca="1" si="0"/>
        <v>4Y</v>
      </c>
      <c r="T10" s="174" t="str">
        <f t="shared" ca="1" si="0"/>
        <v>5Y</v>
      </c>
      <c r="U10" s="174" t="str">
        <f t="shared" ca="1" si="0"/>
        <v>7Y</v>
      </c>
      <c r="V10" s="174" t="str">
        <f t="shared" ca="1" si="0"/>
        <v>10Y</v>
      </c>
      <c r="W10" s="196" t="str">
        <f t="shared" ref="W10:AE10" ca="1" si="1">IF(E10="","",E10)</f>
        <v>3M</v>
      </c>
      <c r="X10" s="174" t="str">
        <f t="shared" ca="1" si="1"/>
        <v>6M</v>
      </c>
      <c r="Y10" s="174" t="str">
        <f t="shared" ca="1" si="1"/>
        <v>1Y</v>
      </c>
      <c r="Z10" s="174" t="str">
        <f t="shared" ca="1" si="1"/>
        <v>2Y</v>
      </c>
      <c r="AA10" s="174" t="str">
        <f t="shared" ca="1" si="1"/>
        <v>3Y</v>
      </c>
      <c r="AB10" s="174" t="str">
        <f t="shared" ca="1" si="1"/>
        <v>4Y</v>
      </c>
      <c r="AC10" s="174" t="str">
        <f t="shared" ca="1" si="1"/>
        <v>5Y</v>
      </c>
      <c r="AD10" s="174" t="str">
        <f t="shared" ca="1" si="1"/>
        <v>7Y</v>
      </c>
      <c r="AE10" s="175" t="str">
        <f t="shared" ca="1" si="1"/>
        <v>10Y</v>
      </c>
    </row>
    <row r="11" spans="1:50" s="79" customFormat="1" ht="15" customHeight="1" thickBot="1" x14ac:dyDescent="0.25">
      <c r="A11" s="192"/>
      <c r="B11" s="193"/>
      <c r="C11" s="191" t="s">
        <v>85</v>
      </c>
      <c r="D11" s="194"/>
      <c r="E11" s="154" cm="1">
        <f t="array" aca="1" ref="E11" ca="1">IF(E10="","",GetConvertDate(CDSRollDate,E10))</f>
        <v>45463</v>
      </c>
      <c r="F11" s="154" cm="1">
        <f t="array" aca="1" ref="F11" ca="1">IF(F10="","",GetConvertDate(CDSRollDate,F10))</f>
        <v>45555</v>
      </c>
      <c r="G11" s="154" cm="1">
        <f t="array" aca="1" ref="G11" ca="1">IF(G10="","",GetConvertDate(CDSRollDate,G10))</f>
        <v>45736</v>
      </c>
      <c r="H11" s="154" cm="1">
        <f t="array" aca="1" ref="H11" ca="1">IF(H10="","",GetConvertDate(CDSRollDate,H10))</f>
        <v>46101</v>
      </c>
      <c r="I11" s="154" cm="1">
        <f t="array" aca="1" ref="I11" ca="1">IF(I10="","",GetConvertDate(CDSRollDate,I10))</f>
        <v>46466</v>
      </c>
      <c r="J11" s="154" cm="1">
        <f t="array" aca="1" ref="J11" ca="1">IF(J10="","",GetConvertDate(CDSRollDate,J10))</f>
        <v>46832</v>
      </c>
      <c r="K11" s="154" cm="1">
        <f t="array" aca="1" ref="K11" ca="1">IF(K10="","",GetConvertDate(CDSRollDate,K10))</f>
        <v>47197</v>
      </c>
      <c r="L11" s="154" cm="1">
        <f t="array" aca="1" ref="L11" ca="1">IF(L10="","",GetConvertDate(CDSRollDate,L10))</f>
        <v>47927</v>
      </c>
      <c r="M11" s="155" cm="1">
        <f t="array" aca="1" ref="M11" ca="1">IF(M10="","",GetConvertDate(CDSRollDate,M10))</f>
        <v>49023</v>
      </c>
      <c r="N11" s="153"/>
      <c r="O11" s="153"/>
      <c r="P11" s="153"/>
      <c r="Q11" s="153"/>
      <c r="R11" s="153"/>
      <c r="S11" s="153"/>
      <c r="T11" s="153"/>
      <c r="U11" s="153"/>
      <c r="V11" s="153"/>
      <c r="W11" s="152"/>
      <c r="X11" s="153"/>
      <c r="Y11" s="153"/>
      <c r="Z11" s="153"/>
      <c r="AA11" s="153"/>
      <c r="AB11" s="153"/>
      <c r="AC11" s="153"/>
      <c r="AD11" s="153"/>
      <c r="AE11" s="156"/>
      <c r="AG11" s="79" t="b">
        <f ca="1">AH12=O12</f>
        <v>1</v>
      </c>
      <c r="AH11" s="79" t="b">
        <f t="shared" ref="AH11:AX11" ca="1" si="2">AI12=P12</f>
        <v>1</v>
      </c>
      <c r="AI11" s="79" t="b">
        <f t="shared" ca="1" si="2"/>
        <v>1</v>
      </c>
      <c r="AJ11" s="79" t="b">
        <f t="shared" ca="1" si="2"/>
        <v>1</v>
      </c>
      <c r="AK11" s="79" t="b">
        <f t="shared" ca="1" si="2"/>
        <v>1</v>
      </c>
      <c r="AL11" s="79" t="b">
        <f t="shared" ca="1" si="2"/>
        <v>1</v>
      </c>
      <c r="AM11" s="79" t="b">
        <f t="shared" ca="1" si="2"/>
        <v>1</v>
      </c>
      <c r="AN11" s="79" t="b">
        <f t="shared" ca="1" si="2"/>
        <v>1</v>
      </c>
      <c r="AO11" s="79" t="b">
        <f t="shared" ca="1" si="2"/>
        <v>1</v>
      </c>
      <c r="AP11" s="79" t="b">
        <f t="shared" ca="1" si="2"/>
        <v>1</v>
      </c>
      <c r="AQ11" s="79" t="b">
        <f t="shared" ca="1" si="2"/>
        <v>1</v>
      </c>
      <c r="AR11" s="79" t="b">
        <f t="shared" ca="1" si="2"/>
        <v>1</v>
      </c>
      <c r="AS11" s="79" t="b">
        <f t="shared" ca="1" si="2"/>
        <v>1</v>
      </c>
      <c r="AT11" s="79" t="b">
        <f t="shared" ca="1" si="2"/>
        <v>1</v>
      </c>
      <c r="AU11" s="79" t="b">
        <f t="shared" ca="1" si="2"/>
        <v>1</v>
      </c>
      <c r="AV11" s="79" t="b">
        <f t="shared" ca="1" si="2"/>
        <v>1</v>
      </c>
      <c r="AW11" s="79" t="b">
        <f t="shared" ca="1" si="2"/>
        <v>1</v>
      </c>
      <c r="AX11" s="79" t="b">
        <f t="shared" ca="1" si="2"/>
        <v>1</v>
      </c>
    </row>
    <row r="12" spans="1:50" s="79" customFormat="1" ht="10.199999999999999" x14ac:dyDescent="0.2">
      <c r="A12" s="95">
        <v>1</v>
      </c>
      <c r="B12" s="62" t="s">
        <v>86</v>
      </c>
      <c r="C12" s="96">
        <v>0.4</v>
      </c>
      <c r="D12" s="63" t="s">
        <v>66</v>
      </c>
      <c r="E12" s="131"/>
      <c r="F12" s="132">
        <v>1.33E-3</v>
      </c>
      <c r="G12" s="132">
        <v>2E-3</v>
      </c>
      <c r="H12" s="132">
        <v>2.5999999999999999E-3</v>
      </c>
      <c r="I12" s="132">
        <v>3.16E-3</v>
      </c>
      <c r="J12" s="132"/>
      <c r="K12" s="133">
        <v>4.0000000000000001E-3</v>
      </c>
      <c r="L12" s="132">
        <v>4.4000000000000003E-3</v>
      </c>
      <c r="M12" s="132">
        <v>4.7999999999999996E-3</v>
      </c>
      <c r="N12" s="134">
        <f t="array" aca="1" ref="N12:AE12" ca="1">IF(OR(B12="",NOT($J$2)),"",ROUND(GetStripDefaultProbability(A12,B12,Parameter_Date,CDSRollDate,E12:M12,SpreadCurveMaturities,D12,C12,$J$4,$J$6),4))</f>
        <v>0</v>
      </c>
      <c r="O12" s="230">
        <f ca="1"/>
        <v>1.1999999999999999E-3</v>
      </c>
      <c r="P12" s="135">
        <f ca="1"/>
        <v>3.5000000000000001E-3</v>
      </c>
      <c r="Q12" s="135">
        <f ca="1"/>
        <v>8.9999999999999993E-3</v>
      </c>
      <c r="R12" s="135">
        <f ca="1"/>
        <v>1.6299999999999999E-2</v>
      </c>
      <c r="S12" s="135">
        <f ca="1"/>
        <v>0</v>
      </c>
      <c r="T12" s="135">
        <f ca="1"/>
        <v>3.4200000000000001E-2</v>
      </c>
      <c r="U12" s="135">
        <f ca="1"/>
        <v>5.2200000000000003E-2</v>
      </c>
      <c r="V12" s="136">
        <f ca="1"/>
        <v>8.0699999999999994E-2</v>
      </c>
      <c r="W12" s="134">
        <f ca="1"/>
        <v>0</v>
      </c>
      <c r="X12" s="135">
        <f ca="1"/>
        <v>1.2999999999999999E-3</v>
      </c>
      <c r="Y12" s="135">
        <f ca="1"/>
        <v>3.7000000000000002E-3</v>
      </c>
      <c r="Z12" s="135">
        <f ca="1"/>
        <v>9.4000000000000004E-3</v>
      </c>
      <c r="AA12" s="135">
        <f ca="1"/>
        <v>1.7100000000000001E-2</v>
      </c>
      <c r="AB12" s="135">
        <f ca="1"/>
        <v>0</v>
      </c>
      <c r="AC12" s="135">
        <f ca="1"/>
        <v>3.5799999999999998E-2</v>
      </c>
      <c r="AD12" s="135">
        <f ca="1"/>
        <v>5.4800000000000001E-2</v>
      </c>
      <c r="AE12" s="136">
        <f ca="1"/>
        <v>8.4599999999999995E-2</v>
      </c>
      <c r="AG12" s="249" t="b">
        <f ca="1">AH12=O12</f>
        <v>1</v>
      </c>
      <c r="AH12" s="248">
        <v>1.1999999999999999E-3</v>
      </c>
      <c r="AI12" s="250">
        <v>3.5000000000000001E-3</v>
      </c>
      <c r="AJ12" s="137">
        <v>8.8999999999999999E-3</v>
      </c>
      <c r="AK12" s="137">
        <v>1.6199999999999999E-2</v>
      </c>
      <c r="AL12" s="137"/>
      <c r="AM12" s="137">
        <v>3.4099999999999998E-2</v>
      </c>
      <c r="AN12" s="137">
        <v>5.21E-2</v>
      </c>
      <c r="AO12" s="137">
        <v>8.0500000000000002E-2</v>
      </c>
      <c r="AQ12" s="137">
        <v>1.2999999999999999E-3</v>
      </c>
      <c r="AR12" s="137">
        <v>3.7000000000000002E-3</v>
      </c>
      <c r="AS12" s="137">
        <v>9.4000000000000004E-3</v>
      </c>
      <c r="AT12" s="137">
        <v>1.7000000000000001E-2</v>
      </c>
      <c r="AV12" s="137">
        <v>3.5700000000000003E-2</v>
      </c>
      <c r="AW12" s="137">
        <v>5.4600000000000003E-2</v>
      </c>
      <c r="AX12" s="137">
        <v>8.4400000000000003E-2</v>
      </c>
    </row>
    <row r="13" spans="1:50" s="79" customFormat="1" ht="10.199999999999999" x14ac:dyDescent="0.2">
      <c r="A13" s="97">
        <v>2</v>
      </c>
      <c r="B13" s="68" t="s">
        <v>88</v>
      </c>
      <c r="C13" s="98">
        <v>0.4</v>
      </c>
      <c r="D13" s="69" t="s">
        <v>66</v>
      </c>
      <c r="E13" s="138" t="s">
        <v>87</v>
      </c>
      <c r="F13" s="159">
        <v>8.0000000000000004E-4</v>
      </c>
      <c r="G13" s="159">
        <v>1.1000000000000001E-3</v>
      </c>
      <c r="H13" s="159">
        <v>1.6000000000000001E-3</v>
      </c>
      <c r="I13" s="159">
        <v>2.3E-3</v>
      </c>
      <c r="J13" s="159" t="s">
        <v>87</v>
      </c>
      <c r="K13" s="159">
        <v>3.5999999999999999E-3</v>
      </c>
      <c r="L13" s="159">
        <v>4.3E-3</v>
      </c>
      <c r="M13" s="159">
        <v>5.3E-3</v>
      </c>
      <c r="N13" s="139">
        <f t="array" aca="1" ref="N13:AE13" ca="1">IF(OR(B13="",NOT($J$2)),"",GetStripDefaultProbability(A13,B13,Parameter_Date,CDSRollDate,E13:M13,SpreadCurveMaturities,D13,C13,$J$4,$J$6))</f>
        <v>0</v>
      </c>
      <c r="O13" s="166">
        <f ca="1"/>
        <v>7.4629011945415158E-4</v>
      </c>
      <c r="P13" s="166">
        <f ca="1"/>
        <v>1.9475855649176976E-3</v>
      </c>
      <c r="Q13" s="166">
        <f ca="1"/>
        <v>5.5494189134120964E-3</v>
      </c>
      <c r="R13" s="166">
        <f ca="1"/>
        <v>1.1958528869702945E-2</v>
      </c>
      <c r="S13" s="166">
        <f ca="1"/>
        <v>0</v>
      </c>
      <c r="T13" s="166">
        <f ca="1"/>
        <v>3.124223495215106E-2</v>
      </c>
      <c r="U13" s="166">
        <f ca="1"/>
        <v>5.192903578843544E-2</v>
      </c>
      <c r="V13" s="140">
        <f ca="1"/>
        <v>9.1635301623914089E-2</v>
      </c>
      <c r="W13" s="139">
        <f ca="1"/>
        <v>0</v>
      </c>
      <c r="X13" s="166">
        <f ca="1"/>
        <v>8.3953601351138829E-4</v>
      </c>
      <c r="Y13" s="166">
        <f ca="1"/>
        <v>2.1237642424348779E-3</v>
      </c>
      <c r="Z13" s="166">
        <f ca="1"/>
        <v>5.8919787821947178E-3</v>
      </c>
      <c r="AA13" s="166">
        <f ca="1"/>
        <v>1.2545546651794415E-2</v>
      </c>
      <c r="AB13" s="166">
        <f ca="1"/>
        <v>0</v>
      </c>
      <c r="AC13" s="166">
        <f ca="1"/>
        <v>3.2781983297812123E-2</v>
      </c>
      <c r="AD13" s="166">
        <f ca="1"/>
        <v>5.4462333479487479E-2</v>
      </c>
      <c r="AE13" s="140">
        <f ca="1"/>
        <v>9.6051026099250203E-2</v>
      </c>
      <c r="AG13" s="250">
        <f ca="1">ROUND(AG12,4)</f>
        <v>1.1999999999999999E-3</v>
      </c>
      <c r="AH13" s="137">
        <v>6.9999999999999999E-4</v>
      </c>
      <c r="AI13" s="137">
        <v>1.9E-3</v>
      </c>
      <c r="AJ13" s="137">
        <v>5.4999999999999997E-3</v>
      </c>
      <c r="AK13" s="137">
        <v>1.1900000000000001E-2</v>
      </c>
      <c r="AL13" s="137"/>
      <c r="AM13" s="137">
        <v>3.1099999999999999E-2</v>
      </c>
      <c r="AN13" s="137">
        <v>5.1799999999999999E-2</v>
      </c>
      <c r="AO13" s="137">
        <v>9.1200000000000003E-2</v>
      </c>
      <c r="AQ13" s="137">
        <v>8.0000000000000004E-4</v>
      </c>
      <c r="AR13" s="137">
        <v>2.0999999999999999E-3</v>
      </c>
      <c r="AS13" s="137">
        <v>5.7999999999999996E-3</v>
      </c>
      <c r="AT13" s="137">
        <v>1.2500000000000001E-2</v>
      </c>
      <c r="AV13" s="137">
        <v>3.2599999999999997E-2</v>
      </c>
      <c r="AW13" s="137">
        <v>5.4300000000000001E-2</v>
      </c>
      <c r="AX13" s="137">
        <v>9.5500000000000002E-2</v>
      </c>
    </row>
    <row r="14" spans="1:50" s="79" customFormat="1" ht="10.199999999999999" x14ac:dyDescent="0.2">
      <c r="A14" s="97">
        <f t="shared" ref="A14:A77" ca="1" si="3">IF(B14="","",A13+1)</f>
        <v>3</v>
      </c>
      <c r="B14" s="68" t="s">
        <v>89</v>
      </c>
      <c r="C14" s="98">
        <v>0.4</v>
      </c>
      <c r="D14" s="69" t="s">
        <v>66</v>
      </c>
      <c r="E14" s="138" t="s">
        <v>87</v>
      </c>
      <c r="F14" s="159">
        <v>5.9999999999999995E-4</v>
      </c>
      <c r="G14" s="159">
        <v>1E-3</v>
      </c>
      <c r="H14" s="159">
        <v>1.8E-3</v>
      </c>
      <c r="I14" s="159">
        <v>2.7000000000000001E-3</v>
      </c>
      <c r="J14" s="159" t="s">
        <v>87</v>
      </c>
      <c r="K14" s="159">
        <v>4.0000000000000001E-3</v>
      </c>
      <c r="L14" s="159">
        <v>5.1000000000000004E-3</v>
      </c>
      <c r="M14" s="159">
        <v>6.1999999999999998E-3</v>
      </c>
      <c r="N14" s="139">
        <f t="array" aca="1" ref="N14:AE14" ca="1">IF(OR(B14="",NOT($J$2)),"",GetStripDefaultProbability(A14,B14,Parameter_Date,CDSRollDate,E14:M14,SpreadCurveMaturities,D14,C14,$J$4,$J$6))</f>
        <v>0</v>
      </c>
      <c r="O14" s="166">
        <f ca="1"/>
        <v>5.5976970645477131E-4</v>
      </c>
      <c r="P14" s="166">
        <f ca="1"/>
        <v>1.7739267333377606E-3</v>
      </c>
      <c r="Q14" s="166">
        <f ca="1"/>
        <v>6.2675743525804073E-3</v>
      </c>
      <c r="R14" s="166">
        <f ca="1"/>
        <v>1.4071087717338004E-2</v>
      </c>
      <c r="S14" s="166">
        <f ca="1"/>
        <v>0</v>
      </c>
      <c r="T14" s="166">
        <f ca="1"/>
        <v>3.4597858901773693E-2</v>
      </c>
      <c r="U14" s="166">
        <f ca="1"/>
        <v>6.177292666393519E-2</v>
      </c>
      <c r="V14" s="140">
        <f ca="1"/>
        <v>0.10641772613185363</v>
      </c>
      <c r="W14" s="139">
        <f ca="1"/>
        <v>0</v>
      </c>
      <c r="X14" s="166">
        <f ca="1"/>
        <v>6.5303351059242676E-4</v>
      </c>
      <c r="Y14" s="166">
        <f ca="1"/>
        <v>1.9501457535440192E-3</v>
      </c>
      <c r="Z14" s="166">
        <f ca="1"/>
        <v>6.6100079570802217E-3</v>
      </c>
      <c r="AA14" s="166">
        <f ca="1"/>
        <v>1.476423604937227E-2</v>
      </c>
      <c r="AB14" s="166">
        <f ca="1"/>
        <v>0</v>
      </c>
      <c r="AC14" s="166">
        <f ca="1"/>
        <v>3.6318941609148947E-2</v>
      </c>
      <c r="AD14" s="166">
        <f ca="1"/>
        <v>6.4780684060761096E-2</v>
      </c>
      <c r="AE14" s="140">
        <f ca="1"/>
        <v>0.1115086906960846</v>
      </c>
      <c r="AH14" s="137">
        <v>5.0000000000000001E-4</v>
      </c>
      <c r="AI14" s="137">
        <v>1.6999999999999999E-3</v>
      </c>
      <c r="AJ14" s="137">
        <v>6.1999999999999998E-3</v>
      </c>
      <c r="AK14" s="137">
        <v>1.4E-2</v>
      </c>
      <c r="AM14" s="137">
        <v>3.4500000000000003E-2</v>
      </c>
      <c r="AN14" s="137">
        <v>6.1499999999999999E-2</v>
      </c>
      <c r="AO14" s="137">
        <v>0.1061</v>
      </c>
      <c r="AQ14" s="137">
        <v>5.9999999999999995E-4</v>
      </c>
      <c r="AR14" s="137">
        <v>1.9E-3</v>
      </c>
      <c r="AS14" s="137">
        <v>6.4999999999999997E-3</v>
      </c>
      <c r="AT14" s="137">
        <v>1.47E-2</v>
      </c>
      <c r="AV14" s="137">
        <v>3.6200000000000003E-2</v>
      </c>
      <c r="AW14" s="137">
        <v>6.4500000000000002E-2</v>
      </c>
      <c r="AX14" s="137">
        <v>0.11119999999999999</v>
      </c>
    </row>
    <row r="15" spans="1:50" s="79" customFormat="1" ht="10.199999999999999" x14ac:dyDescent="0.2">
      <c r="A15" s="97">
        <f t="shared" ca="1" si="3"/>
        <v>4</v>
      </c>
      <c r="B15" s="68" t="s">
        <v>90</v>
      </c>
      <c r="C15" s="98">
        <v>0.4</v>
      </c>
      <c r="D15" s="69" t="s">
        <v>66</v>
      </c>
      <c r="E15" s="138" t="s">
        <v>87</v>
      </c>
      <c r="F15" s="159">
        <v>1.2600000000000001E-3</v>
      </c>
      <c r="G15" s="159">
        <v>1.7700000000000001E-3</v>
      </c>
      <c r="H15" s="159">
        <v>2.3999999999999998E-3</v>
      </c>
      <c r="I15" s="159">
        <v>2.9099999999999998E-3</v>
      </c>
      <c r="J15" s="159" t="s">
        <v>87</v>
      </c>
      <c r="K15" s="159">
        <v>3.8E-3</v>
      </c>
      <c r="L15" s="159">
        <v>4.2599999999999999E-3</v>
      </c>
      <c r="M15" s="159">
        <v>4.5999999999999999E-3</v>
      </c>
      <c r="N15" s="139">
        <f t="array" aca="1" ref="N15:AE15" ca="1">IF(OR(B15="",NOT($J$2)),"",GetStripDefaultProbability(A15,B15,Parameter_Date,CDSRollDate,E15:M15,SpreadCurveMaturities,D15,C15,$J$4,$J$6))</f>
        <v>0</v>
      </c>
      <c r="O15" s="166">
        <f ca="1"/>
        <v>1.1751552909645691E-3</v>
      </c>
      <c r="P15" s="166">
        <f ca="1"/>
        <v>3.1328566998179985E-3</v>
      </c>
      <c r="Q15" s="166">
        <f ca="1"/>
        <v>8.300296062074719E-3</v>
      </c>
      <c r="R15" s="166">
        <f ca="1"/>
        <v>1.5007460250392901E-2</v>
      </c>
      <c r="S15" s="166">
        <f ca="1"/>
        <v>0</v>
      </c>
      <c r="T15" s="166">
        <f ca="1"/>
        <v>3.2573809484175209E-2</v>
      </c>
      <c r="U15" s="166">
        <f ca="1"/>
        <v>5.0759393256487262E-2</v>
      </c>
      <c r="V15" s="140">
        <f ca="1"/>
        <v>7.7464526593004512E-2</v>
      </c>
      <c r="W15" s="139">
        <f ca="1"/>
        <v>0</v>
      </c>
      <c r="X15" s="166">
        <f ca="1"/>
        <v>1.2683594227894668E-3</v>
      </c>
      <c r="Y15" s="166">
        <f ca="1"/>
        <v>3.3088464111098448E-3</v>
      </c>
      <c r="Z15" s="166">
        <f ca="1"/>
        <v>8.7126447971679344E-3</v>
      </c>
      <c r="AA15" s="166">
        <f ca="1"/>
        <v>1.5751541459428142E-2</v>
      </c>
      <c r="AB15" s="166">
        <f ca="1"/>
        <v>0</v>
      </c>
      <c r="AC15" s="166">
        <f ca="1"/>
        <v>3.4179072130736565E-2</v>
      </c>
      <c r="AD15" s="166">
        <f ca="1"/>
        <v>5.3239633909354156E-2</v>
      </c>
      <c r="AE15" s="140">
        <f ca="1"/>
        <v>8.1199354156770043E-2</v>
      </c>
      <c r="AH15" s="137">
        <v>1.1000000000000001E-3</v>
      </c>
      <c r="AI15" s="137">
        <v>3.0999999999999999E-3</v>
      </c>
      <c r="AJ15" s="137">
        <v>8.2000000000000007E-3</v>
      </c>
      <c r="AK15" s="137">
        <v>1.49E-2</v>
      </c>
      <c r="AL15" s="141"/>
      <c r="AM15" s="137">
        <v>3.2399999999999998E-2</v>
      </c>
      <c r="AN15" s="137">
        <v>5.0599999999999999E-2</v>
      </c>
      <c r="AO15" s="137">
        <v>7.7299999999999994E-2</v>
      </c>
      <c r="AQ15" s="137">
        <v>1.1999999999999999E-3</v>
      </c>
      <c r="AR15" s="137">
        <v>3.3E-3</v>
      </c>
      <c r="AS15" s="137">
        <v>8.6E-3</v>
      </c>
      <c r="AT15" s="137">
        <v>1.5699999999999999E-2</v>
      </c>
      <c r="AV15" s="137">
        <v>3.4000000000000002E-2</v>
      </c>
      <c r="AW15" s="137">
        <v>5.3100000000000001E-2</v>
      </c>
      <c r="AX15" s="137">
        <v>8.1000000000000003E-2</v>
      </c>
    </row>
    <row r="16" spans="1:50" s="79" customFormat="1" ht="10.199999999999999" x14ac:dyDescent="0.2">
      <c r="A16" s="97">
        <f t="shared" ca="1" si="3"/>
        <v>5</v>
      </c>
      <c r="B16" s="68" t="s">
        <v>93</v>
      </c>
      <c r="C16" s="98">
        <v>0.4</v>
      </c>
      <c r="D16" s="69" t="s">
        <v>66</v>
      </c>
      <c r="E16" s="138" t="s">
        <v>87</v>
      </c>
      <c r="F16" s="159">
        <v>5.0000000000000001E-4</v>
      </c>
      <c r="G16" s="159">
        <v>5.9999999999999995E-4</v>
      </c>
      <c r="H16" s="159">
        <v>1.1000000000000001E-3</v>
      </c>
      <c r="I16" s="159">
        <v>1.5E-3</v>
      </c>
      <c r="J16" s="159" t="s">
        <v>87</v>
      </c>
      <c r="K16" s="159">
        <v>2.5000000000000001E-3</v>
      </c>
      <c r="L16" s="159">
        <v>3.2000000000000002E-3</v>
      </c>
      <c r="M16" s="159">
        <v>3.8999999999999998E-3</v>
      </c>
      <c r="N16" s="139">
        <f t="array" aca="1" ref="N16:AE16" ca="1">IF(OR(B16="",NOT($J$2)),"",GetStripDefaultProbability(A16,B16,Parameter_Date,CDSRollDate,E16:M16,SpreadCurveMaturities,D16,C16,$J$4,$J$6))</f>
        <v>0</v>
      </c>
      <c r="O16" s="166">
        <f ca="1"/>
        <v>4.6649647376628689E-4</v>
      </c>
      <c r="P16" s="166">
        <f ca="1"/>
        <v>1.061102768032729E-3</v>
      </c>
      <c r="Q16" s="166">
        <f ca="1"/>
        <v>3.8331465308971691E-3</v>
      </c>
      <c r="R16" s="166">
        <f ca="1"/>
        <v>7.8073315581209668E-3</v>
      </c>
      <c r="S16" s="166">
        <f ca="1"/>
        <v>0</v>
      </c>
      <c r="T16" s="166">
        <f ca="1"/>
        <v>2.185532699919579E-2</v>
      </c>
      <c r="U16" s="166">
        <f ca="1"/>
        <v>3.9161160144094875E-2</v>
      </c>
      <c r="V16" s="140">
        <f ca="1"/>
        <v>6.8148255011855396E-2</v>
      </c>
      <c r="W16" s="139">
        <f ca="1"/>
        <v>0</v>
      </c>
      <c r="X16" s="166">
        <f ca="1"/>
        <v>5.5976917815403482E-4</v>
      </c>
      <c r="Y16" s="166">
        <f ca="1"/>
        <v>1.2374185751623523E-3</v>
      </c>
      <c r="Z16" s="166">
        <f ca="1"/>
        <v>4.1762915718871474E-3</v>
      </c>
      <c r="AA16" s="166">
        <f ca="1"/>
        <v>8.3159534311608718E-3</v>
      </c>
      <c r="AB16" s="166">
        <f ca="1"/>
        <v>0</v>
      </c>
      <c r="AC16" s="166">
        <f ca="1"/>
        <v>2.2914420580989359E-2</v>
      </c>
      <c r="AD16" s="166">
        <f ca="1"/>
        <v>4.1068961461243392E-2</v>
      </c>
      <c r="AE16" s="140">
        <f ca="1"/>
        <v>7.1441946060771255E-2</v>
      </c>
      <c r="AH16" s="137">
        <v>5.0000000000000001E-4</v>
      </c>
      <c r="AI16" s="137">
        <v>1E-3</v>
      </c>
      <c r="AJ16" s="137">
        <v>3.8E-3</v>
      </c>
      <c r="AK16" s="137">
        <v>7.7999999999999996E-3</v>
      </c>
      <c r="AL16" s="141"/>
      <c r="AM16" s="137">
        <v>2.1700000000000001E-2</v>
      </c>
      <c r="AN16" s="137">
        <v>3.9E-2</v>
      </c>
      <c r="AO16" s="137">
        <v>6.7900000000000002E-2</v>
      </c>
      <c r="AQ16" s="137">
        <v>5.0000000000000001E-4</v>
      </c>
      <c r="AR16" s="137">
        <v>1.1999999999999999E-3</v>
      </c>
      <c r="AS16" s="137">
        <v>4.1000000000000003E-3</v>
      </c>
      <c r="AT16" s="137">
        <v>8.3000000000000001E-3</v>
      </c>
      <c r="AV16" s="137">
        <v>2.2800000000000001E-2</v>
      </c>
      <c r="AW16" s="137">
        <v>4.0899999999999999E-2</v>
      </c>
      <c r="AX16" s="137">
        <v>7.1199999999999999E-2</v>
      </c>
    </row>
    <row r="17" spans="1:50" s="79" customFormat="1" ht="10.199999999999999" x14ac:dyDescent="0.2">
      <c r="A17" s="97">
        <f t="shared" ca="1" si="3"/>
        <v>6</v>
      </c>
      <c r="B17" s="68" t="s">
        <v>94</v>
      </c>
      <c r="C17" s="98">
        <v>0.4</v>
      </c>
      <c r="D17" s="69" t="s">
        <v>66</v>
      </c>
      <c r="E17" s="138" t="s">
        <v>87</v>
      </c>
      <c r="F17" s="159">
        <v>1.23E-3</v>
      </c>
      <c r="G17" s="159">
        <v>1.5900000000000001E-3</v>
      </c>
      <c r="H17" s="159">
        <v>2.2100000000000002E-3</v>
      </c>
      <c r="I17" s="159">
        <v>2.5200000000000001E-3</v>
      </c>
      <c r="J17" s="159" t="s">
        <v>87</v>
      </c>
      <c r="K17" s="159">
        <v>3.2000000000000002E-3</v>
      </c>
      <c r="L17" s="159">
        <v>3.63E-3</v>
      </c>
      <c r="M17" s="159">
        <v>4.1000000000000003E-3</v>
      </c>
      <c r="N17" s="139">
        <f t="array" aca="1" ref="N17:AE17" ca="1">IF(OR(B17="",NOT($J$2)),"",GetStripDefaultProbability(A17,B17,Parameter_Date,CDSRollDate,E17:M17,SpreadCurveMaturities,D17,C17,$J$4,$J$6))</f>
        <v>0</v>
      </c>
      <c r="O17" s="166">
        <f ca="1"/>
        <v>1.1471914209082446E-3</v>
      </c>
      <c r="P17" s="166">
        <f ca="1"/>
        <v>2.8121298546746054E-3</v>
      </c>
      <c r="Q17" s="166">
        <f ca="1"/>
        <v>7.650646022903218E-3</v>
      </c>
      <c r="R17" s="166">
        <f ca="1"/>
        <v>1.2972720961509254E-2</v>
      </c>
      <c r="S17" s="166">
        <f ca="1"/>
        <v>0</v>
      </c>
      <c r="T17" s="166">
        <f ca="1"/>
        <v>2.7425935185180994E-2</v>
      </c>
      <c r="U17" s="166">
        <f ca="1"/>
        <v>4.3376486436873751E-2</v>
      </c>
      <c r="V17" s="140">
        <f ca="1"/>
        <v>6.9887966788861999E-2</v>
      </c>
      <c r="W17" s="139">
        <f ca="1"/>
        <v>0</v>
      </c>
      <c r="X17" s="166">
        <f ca="1"/>
        <v>1.2403983010320641E-3</v>
      </c>
      <c r="Y17" s="166">
        <f ca="1"/>
        <v>2.988161452904925E-3</v>
      </c>
      <c r="Z17" s="166">
        <f ca="1"/>
        <v>8.0296045998486942E-3</v>
      </c>
      <c r="AA17" s="166">
        <f ca="1"/>
        <v>1.3615545807590279E-2</v>
      </c>
      <c r="AB17" s="166">
        <f ca="1"/>
        <v>0</v>
      </c>
      <c r="AC17" s="166">
        <f ca="1"/>
        <v>2.8778924832738695E-2</v>
      </c>
      <c r="AD17" s="166">
        <f ca="1"/>
        <v>4.5502152929558726E-2</v>
      </c>
      <c r="AE17" s="140">
        <f ca="1"/>
        <v>7.3272518162517453E-2</v>
      </c>
      <c r="AH17" s="137">
        <v>1.1000000000000001E-3</v>
      </c>
      <c r="AI17" s="137">
        <v>2.8E-3</v>
      </c>
      <c r="AJ17" s="137">
        <v>7.6E-3</v>
      </c>
      <c r="AK17" s="137">
        <v>1.29E-2</v>
      </c>
      <c r="AL17" s="141"/>
      <c r="AM17" s="137">
        <v>2.7300000000000001E-2</v>
      </c>
      <c r="AN17" s="137">
        <v>4.3299999999999998E-2</v>
      </c>
      <c r="AO17" s="137">
        <v>6.9599999999999995E-2</v>
      </c>
      <c r="AQ17" s="137">
        <v>1.1999999999999999E-3</v>
      </c>
      <c r="AR17" s="137">
        <v>2.8999999999999998E-3</v>
      </c>
      <c r="AS17" s="137">
        <v>8.0000000000000002E-3</v>
      </c>
      <c r="AT17" s="137">
        <v>1.35E-2</v>
      </c>
      <c r="AV17" s="137">
        <v>2.86E-2</v>
      </c>
      <c r="AW17" s="137">
        <v>4.5400000000000003E-2</v>
      </c>
      <c r="AX17" s="137">
        <v>7.2999999999999995E-2</v>
      </c>
    </row>
    <row r="18" spans="1:50" s="79" customFormat="1" ht="10.199999999999999" x14ac:dyDescent="0.2">
      <c r="A18" s="97">
        <f t="shared" ca="1" si="3"/>
        <v>7</v>
      </c>
      <c r="B18" s="68" t="s">
        <v>95</v>
      </c>
      <c r="C18" s="98">
        <v>0.4</v>
      </c>
      <c r="D18" s="69" t="s">
        <v>66</v>
      </c>
      <c r="E18" s="138" t="s">
        <v>87</v>
      </c>
      <c r="F18" s="159">
        <v>5.0000000000000001E-4</v>
      </c>
      <c r="G18" s="159">
        <v>1.4E-3</v>
      </c>
      <c r="H18" s="159">
        <v>2.3999999999999998E-3</v>
      </c>
      <c r="I18" s="159">
        <v>3.5000000000000001E-3</v>
      </c>
      <c r="J18" s="159" t="s">
        <v>87</v>
      </c>
      <c r="K18" s="159">
        <v>5.7000000000000002E-3</v>
      </c>
      <c r="L18" s="159">
        <v>7.0000000000000001E-3</v>
      </c>
      <c r="M18" s="159">
        <v>8.5000000000000006E-3</v>
      </c>
      <c r="N18" s="139">
        <f t="array" aca="1" ref="N18:AE18" ca="1">IF(OR(B18="",NOT($J$2)),"",GetStripDefaultProbability(A18,B18,Parameter_Date,CDSRollDate,E18:M18,SpreadCurveMaturities,D18,C18,$J$4,$J$6))</f>
        <v>0</v>
      </c>
      <c r="O18" s="166">
        <f ca="1"/>
        <v>4.6649647376628689E-4</v>
      </c>
      <c r="P18" s="166">
        <f ca="1"/>
        <v>2.4910784677441011E-3</v>
      </c>
      <c r="Q18" s="166">
        <f ca="1"/>
        <v>8.3364432388162157E-3</v>
      </c>
      <c r="R18" s="166">
        <f ca="1"/>
        <v>1.8196851766406619E-2</v>
      </c>
      <c r="S18" s="166">
        <f ca="1"/>
        <v>0</v>
      </c>
      <c r="T18" s="166">
        <f ca="1"/>
        <v>4.9308139195725298E-2</v>
      </c>
      <c r="U18" s="166">
        <f ca="1"/>
        <v>8.3925033470320209E-2</v>
      </c>
      <c r="V18" s="140">
        <f ca="1"/>
        <v>0.14389955580252733</v>
      </c>
      <c r="W18" s="139">
        <f ca="1"/>
        <v>0</v>
      </c>
      <c r="X18" s="166">
        <f ca="1"/>
        <v>5.5976917815403482E-4</v>
      </c>
      <c r="Y18" s="166">
        <f ca="1"/>
        <v>2.6672192050837262E-3</v>
      </c>
      <c r="Z18" s="166">
        <f ca="1"/>
        <v>8.7491248555475742E-3</v>
      </c>
      <c r="AA18" s="166">
        <f ca="1"/>
        <v>1.9096922964149443E-2</v>
      </c>
      <c r="AB18" s="166">
        <f ca="1"/>
        <v>0</v>
      </c>
      <c r="AC18" s="166">
        <f ca="1"/>
        <v>5.1725053327905557E-2</v>
      </c>
      <c r="AD18" s="166">
        <f ca="1"/>
        <v>8.7983871382984469E-2</v>
      </c>
      <c r="AE18" s="140">
        <f ca="1"/>
        <v>0.15068014516410932</v>
      </c>
      <c r="AH18" s="137">
        <v>5.0000000000000001E-4</v>
      </c>
      <c r="AI18" s="137">
        <v>2.5000000000000001E-3</v>
      </c>
      <c r="AJ18" s="137">
        <v>8.3000000000000001E-3</v>
      </c>
      <c r="AK18" s="137">
        <v>1.8100000000000002E-2</v>
      </c>
      <c r="AL18" s="141"/>
      <c r="AM18" s="137">
        <v>4.9000000000000002E-2</v>
      </c>
      <c r="AN18" s="137">
        <v>8.3599999999999994E-2</v>
      </c>
      <c r="AO18" s="137">
        <v>0.14319999999999999</v>
      </c>
      <c r="AQ18" s="137">
        <v>5.0000000000000001E-4</v>
      </c>
      <c r="AR18" s="137">
        <v>2.5999999999999999E-3</v>
      </c>
      <c r="AS18" s="137">
        <v>8.6999999999999994E-3</v>
      </c>
      <c r="AT18" s="137">
        <v>1.9E-2</v>
      </c>
      <c r="AV18" s="137">
        <v>5.1400000000000001E-2</v>
      </c>
      <c r="AW18" s="137">
        <v>8.77E-2</v>
      </c>
      <c r="AX18" s="137">
        <v>0.15</v>
      </c>
    </row>
    <row r="19" spans="1:50" s="79" customFormat="1" ht="10.199999999999999" x14ac:dyDescent="0.2">
      <c r="A19" s="97">
        <f t="shared" ca="1" si="3"/>
        <v>8</v>
      </c>
      <c r="B19" s="68" t="s">
        <v>96</v>
      </c>
      <c r="C19" s="98">
        <v>0.4</v>
      </c>
      <c r="D19" s="69" t="s">
        <v>66</v>
      </c>
      <c r="E19" s="138" t="s">
        <v>87</v>
      </c>
      <c r="F19" s="159">
        <v>1.2999999999999999E-3</v>
      </c>
      <c r="G19" s="159">
        <v>1.4E-3</v>
      </c>
      <c r="H19" s="159">
        <v>2.5999999999999999E-3</v>
      </c>
      <c r="I19" s="159">
        <v>3.3E-3</v>
      </c>
      <c r="J19" s="159" t="s">
        <v>87</v>
      </c>
      <c r="K19" s="159">
        <v>5.1999999999999998E-3</v>
      </c>
      <c r="L19" s="159">
        <v>6.6E-3</v>
      </c>
      <c r="M19" s="159">
        <v>7.9000000000000008E-3</v>
      </c>
      <c r="N19" s="139">
        <f t="array" aca="1" ref="N19:AE19" ca="1">IF(OR(B19="",NOT($J$2)),"",GetStripDefaultProbability(A19,B19,Parameter_Date,CDSRollDate,E19:M19,SpreadCurveMaturities,D19,C19,$J$4,$J$6))</f>
        <v>0</v>
      </c>
      <c r="O19" s="166">
        <f ca="1"/>
        <v>1.2124392363684899E-3</v>
      </c>
      <c r="P19" s="166">
        <f ca="1"/>
        <v>2.4707571732626166E-3</v>
      </c>
      <c r="Q19" s="166">
        <f ca="1"/>
        <v>9.0396760477243765E-3</v>
      </c>
      <c r="R19" s="166">
        <f ca="1"/>
        <v>1.7062525950806706E-2</v>
      </c>
      <c r="S19" s="166">
        <f ca="1"/>
        <v>0</v>
      </c>
      <c r="T19" s="166">
        <f ca="1"/>
        <v>4.4999575882928688E-2</v>
      </c>
      <c r="U19" s="166">
        <f ca="1"/>
        <v>7.9411104889548612E-2</v>
      </c>
      <c r="V19" s="140">
        <f ca="1"/>
        <v>0.13404047193554502</v>
      </c>
      <c r="W19" s="139">
        <f ca="1"/>
        <v>0</v>
      </c>
      <c r="X19" s="166">
        <f ca="1"/>
        <v>1.3056396982709106E-3</v>
      </c>
      <c r="Y19" s="166">
        <f ca="1"/>
        <v>2.6468239288931494E-3</v>
      </c>
      <c r="Z19" s="166">
        <f ca="1"/>
        <v>9.4867207477044024E-3</v>
      </c>
      <c r="AA19" s="166">
        <f ca="1"/>
        <v>1.7907569718714988E-2</v>
      </c>
      <c r="AB19" s="166">
        <f ca="1"/>
        <v>0</v>
      </c>
      <c r="AC19" s="166">
        <f ca="1"/>
        <v>4.7208579481535673E-2</v>
      </c>
      <c r="AD19" s="166">
        <f ca="1"/>
        <v>8.3260603617751117E-2</v>
      </c>
      <c r="AE19" s="140">
        <f ca="1"/>
        <v>0.14037838336384267</v>
      </c>
      <c r="AH19" s="137">
        <v>1.1999999999999999E-3</v>
      </c>
      <c r="AI19" s="137">
        <v>2.3999999999999998E-3</v>
      </c>
      <c r="AJ19" s="137">
        <v>8.9999999999999993E-3</v>
      </c>
      <c r="AK19" s="137">
        <v>1.7000000000000001E-2</v>
      </c>
      <c r="AL19" s="141"/>
      <c r="AM19" s="137">
        <v>4.4699999999999997E-2</v>
      </c>
      <c r="AN19" s="137">
        <v>7.9100000000000004E-2</v>
      </c>
      <c r="AO19" s="137">
        <v>0.13339999999999999</v>
      </c>
      <c r="AQ19" s="137">
        <v>1.2999999999999999E-3</v>
      </c>
      <c r="AR19" s="137">
        <v>2.5999999999999999E-3</v>
      </c>
      <c r="AS19" s="137">
        <v>9.4000000000000004E-3</v>
      </c>
      <c r="AT19" s="137">
        <v>1.78E-2</v>
      </c>
      <c r="AV19" s="137">
        <v>4.6800000000000001E-2</v>
      </c>
      <c r="AW19" s="137">
        <v>8.2900000000000001E-2</v>
      </c>
      <c r="AX19" s="137">
        <v>0.13969999999999999</v>
      </c>
    </row>
    <row r="20" spans="1:50" s="79" customFormat="1" ht="10.199999999999999" x14ac:dyDescent="0.2">
      <c r="A20" s="97">
        <f t="shared" ca="1" si="3"/>
        <v>9</v>
      </c>
      <c r="B20" s="68" t="s">
        <v>97</v>
      </c>
      <c r="C20" s="98">
        <v>0.4</v>
      </c>
      <c r="D20" s="69" t="s">
        <v>66</v>
      </c>
      <c r="E20" s="138" t="s">
        <v>87</v>
      </c>
      <c r="F20" s="159">
        <v>2.9999999999999997E-4</v>
      </c>
      <c r="G20" s="159">
        <v>5.9999999999999995E-4</v>
      </c>
      <c r="H20" s="159">
        <v>1.1000000000000001E-3</v>
      </c>
      <c r="I20" s="159">
        <v>1.6000000000000001E-3</v>
      </c>
      <c r="J20" s="159" t="s">
        <v>87</v>
      </c>
      <c r="K20" s="159">
        <v>2.3E-3</v>
      </c>
      <c r="L20" s="159">
        <v>2.8E-3</v>
      </c>
      <c r="M20" s="159">
        <v>3.7000000000000002E-3</v>
      </c>
      <c r="N20" s="139">
        <f t="array" aca="1" ref="N20:AE20" ca="1">IF(OR(B20="",NOT($J$2)),"",GetStripDefaultProbability(A20,B20,Parameter_Date,CDSRollDate,E20:M20,SpreadCurveMaturities,D20,C20,$J$4,$J$6))</f>
        <v>0</v>
      </c>
      <c r="O20" s="166">
        <f ca="1"/>
        <v>2.799239499720052E-4</v>
      </c>
      <c r="P20" s="166">
        <f ca="1"/>
        <v>1.0662255982871738E-3</v>
      </c>
      <c r="Q20" s="166">
        <f ca="1"/>
        <v>3.8348478058790603E-3</v>
      </c>
      <c r="R20" s="166">
        <f ca="1"/>
        <v>8.3485054141601012E-3</v>
      </c>
      <c r="S20" s="166">
        <f ca="1"/>
        <v>0</v>
      </c>
      <c r="T20" s="166">
        <f ca="1"/>
        <v>1.9969827627168368E-2</v>
      </c>
      <c r="U20" s="166">
        <f ca="1"/>
        <v>3.4071357508955513E-2</v>
      </c>
      <c r="V20" s="140">
        <f ca="1"/>
        <v>6.5232031988711303E-2</v>
      </c>
      <c r="W20" s="139">
        <f ca="1"/>
        <v>0</v>
      </c>
      <c r="X20" s="166">
        <f ca="1"/>
        <v>3.7321434723358582E-4</v>
      </c>
      <c r="Y20" s="166">
        <f ca="1"/>
        <v>1.2425599600046633E-3</v>
      </c>
      <c r="Z20" s="166">
        <f ca="1"/>
        <v>4.1779983096331685E-3</v>
      </c>
      <c r="AA20" s="166">
        <f ca="1"/>
        <v>8.8569709027087606E-3</v>
      </c>
      <c r="AB20" s="166">
        <f ca="1"/>
        <v>0</v>
      </c>
      <c r="AC20" s="166">
        <f ca="1"/>
        <v>2.0940270101307057E-2</v>
      </c>
      <c r="AD20" s="166">
        <f ca="1"/>
        <v>3.5731687854290928E-2</v>
      </c>
      <c r="AE20" s="140">
        <f ca="1"/>
        <v>6.8393642942570443E-2</v>
      </c>
      <c r="AH20" s="137">
        <v>2.9999999999999997E-4</v>
      </c>
      <c r="AI20" s="137">
        <v>1.1000000000000001E-3</v>
      </c>
      <c r="AJ20" s="137">
        <v>3.8E-3</v>
      </c>
      <c r="AK20" s="137">
        <v>8.3000000000000001E-3</v>
      </c>
      <c r="AL20" s="141"/>
      <c r="AM20" s="137">
        <v>1.9900000000000001E-2</v>
      </c>
      <c r="AN20" s="137">
        <v>3.39E-2</v>
      </c>
      <c r="AO20" s="137">
        <v>6.4899999999999999E-2</v>
      </c>
      <c r="AQ20" s="137">
        <v>4.0000000000000002E-4</v>
      </c>
      <c r="AR20" s="137">
        <v>1.1999999999999999E-3</v>
      </c>
      <c r="AS20" s="137">
        <v>4.1000000000000003E-3</v>
      </c>
      <c r="AT20" s="137">
        <v>8.8000000000000005E-3</v>
      </c>
      <c r="AV20" s="137">
        <v>2.0899999999999998E-2</v>
      </c>
      <c r="AW20" s="137">
        <v>3.56E-2</v>
      </c>
      <c r="AX20" s="137">
        <v>6.8000000000000005E-2</v>
      </c>
    </row>
    <row r="21" spans="1:50" s="79" customFormat="1" ht="10.199999999999999" x14ac:dyDescent="0.2">
      <c r="A21" s="97">
        <f t="shared" ca="1" si="3"/>
        <v>10</v>
      </c>
      <c r="B21" s="68" t="s">
        <v>98</v>
      </c>
      <c r="C21" s="98">
        <v>0.4</v>
      </c>
      <c r="D21" s="69" t="s">
        <v>66</v>
      </c>
      <c r="E21" s="138" t="s">
        <v>87</v>
      </c>
      <c r="F21" s="159">
        <v>1.1900000000000001E-3</v>
      </c>
      <c r="G21" s="159">
        <v>1.4300000000000001E-3</v>
      </c>
      <c r="H21" s="159">
        <v>1.91E-3</v>
      </c>
      <c r="I21" s="159">
        <v>2.32E-3</v>
      </c>
      <c r="J21" s="159" t="s">
        <v>87</v>
      </c>
      <c r="K21" s="159">
        <v>3.0999999999999999E-3</v>
      </c>
      <c r="L21" s="159">
        <v>3.5100000000000001E-3</v>
      </c>
      <c r="M21" s="159">
        <v>3.8999999999999998E-3</v>
      </c>
      <c r="N21" s="139">
        <f t="array" aca="1" ref="N21:AE21" ca="1">IF(OR(B21="",NOT($J$2)),"",GetStripDefaultProbability(A21,B21,Parameter_Date,CDSRollDate,E21:M21,SpreadCurveMaturities,D21,C21,$J$4,$J$6))</f>
        <v>0</v>
      </c>
      <c r="O21" s="166">
        <f ca="1"/>
        <v>1.1099050460458004E-3</v>
      </c>
      <c r="P21" s="166">
        <f ca="1"/>
        <v>2.5272871553615461E-3</v>
      </c>
      <c r="Q21" s="166">
        <f ca="1"/>
        <v>6.6086154287712251E-3</v>
      </c>
      <c r="R21" s="166">
        <f ca="1"/>
        <v>1.1974979020622389E-2</v>
      </c>
      <c r="S21" s="166">
        <f ca="1"/>
        <v>0</v>
      </c>
      <c r="T21" s="166">
        <f ca="1"/>
        <v>2.667537325898528E-2</v>
      </c>
      <c r="U21" s="166">
        <f ca="1"/>
        <v>4.204659754580542E-2</v>
      </c>
      <c r="V21" s="140">
        <f ca="1"/>
        <v>6.6431999220119442E-2</v>
      </c>
      <c r="W21" s="139">
        <f ca="1"/>
        <v>0</v>
      </c>
      <c r="X21" s="166">
        <f ca="1"/>
        <v>1.2031155852008091E-3</v>
      </c>
      <c r="Y21" s="166">
        <f ca="1"/>
        <v>2.7033573460991667E-3</v>
      </c>
      <c r="Z21" s="166">
        <f ca="1"/>
        <v>6.9508008781840047E-3</v>
      </c>
      <c r="AA21" s="166">
        <f ca="1"/>
        <v>1.2567109334923221E-2</v>
      </c>
      <c r="AB21" s="166">
        <f ca="1"/>
        <v>0</v>
      </c>
      <c r="AC21" s="166">
        <f ca="1"/>
        <v>2.7990755571815407E-2</v>
      </c>
      <c r="AD21" s="166">
        <f ca="1"/>
        <v>4.4107239070578563E-2</v>
      </c>
      <c r="AE21" s="140">
        <f ca="1"/>
        <v>6.9677239894715526E-2</v>
      </c>
      <c r="AH21" s="137">
        <v>1.1000000000000001E-3</v>
      </c>
      <c r="AI21" s="137">
        <v>2.5000000000000001E-3</v>
      </c>
      <c r="AJ21" s="137">
        <v>6.6E-3</v>
      </c>
      <c r="AK21" s="137">
        <v>1.1900000000000001E-2</v>
      </c>
      <c r="AL21" s="141"/>
      <c r="AM21" s="137">
        <v>2.6499999999999999E-2</v>
      </c>
      <c r="AN21" s="137">
        <v>4.19E-2</v>
      </c>
      <c r="AO21" s="137">
        <v>6.6199999999999995E-2</v>
      </c>
      <c r="AQ21" s="137">
        <v>1.1999999999999999E-3</v>
      </c>
      <c r="AR21" s="137">
        <v>2.7000000000000001E-3</v>
      </c>
      <c r="AS21" s="137">
        <v>6.8999999999999999E-3</v>
      </c>
      <c r="AT21" s="137">
        <v>1.2500000000000001E-2</v>
      </c>
      <c r="AV21" s="137">
        <v>2.7900000000000001E-2</v>
      </c>
      <c r="AW21" s="137">
        <v>4.3999999999999997E-2</v>
      </c>
      <c r="AX21" s="137">
        <v>6.9400000000000003E-2</v>
      </c>
    </row>
    <row r="22" spans="1:50" s="79" customFormat="1" ht="10.199999999999999" x14ac:dyDescent="0.2">
      <c r="A22" s="97">
        <f t="shared" ca="1" si="3"/>
        <v>11</v>
      </c>
      <c r="B22" s="68" t="s">
        <v>99</v>
      </c>
      <c r="C22" s="98">
        <v>0.4</v>
      </c>
      <c r="D22" s="69" t="s">
        <v>66</v>
      </c>
      <c r="E22" s="138" t="s">
        <v>87</v>
      </c>
      <c r="F22" s="159">
        <v>1.25E-3</v>
      </c>
      <c r="G22" s="159">
        <v>1.6299999999999999E-3</v>
      </c>
      <c r="H22" s="159">
        <v>2.2599999999999999E-3</v>
      </c>
      <c r="I22" s="159">
        <v>2.64E-3</v>
      </c>
      <c r="J22" s="159" t="s">
        <v>87</v>
      </c>
      <c r="K22" s="159">
        <v>3.3999999999999998E-3</v>
      </c>
      <c r="L22" s="159">
        <v>3.8500000000000001E-3</v>
      </c>
      <c r="M22" s="159">
        <v>4.3E-3</v>
      </c>
      <c r="N22" s="139">
        <f t="array" aca="1" ref="N22:AE22" ca="1">IF(OR(B22="",NOT($J$2)),"",GetStripDefaultProbability(A22,B22,Parameter_Date,CDSRollDate,E22:M22,SpreadCurveMaturities,D22,C22,$J$4,$J$6))</f>
        <v>0</v>
      </c>
      <c r="O22" s="166">
        <f ca="1"/>
        <v>1.1658340877146456E-3</v>
      </c>
      <c r="P22" s="166">
        <f ca="1"/>
        <v>2.8830670786861301E-3</v>
      </c>
      <c r="Q22" s="166">
        <f ca="1"/>
        <v>7.8227058962890839E-3</v>
      </c>
      <c r="R22" s="166">
        <f ca="1"/>
        <v>1.3601747336706937E-2</v>
      </c>
      <c r="S22" s="166">
        <f ca="1"/>
        <v>0</v>
      </c>
      <c r="T22" s="166">
        <f ca="1"/>
        <v>2.9156438608213597E-2</v>
      </c>
      <c r="U22" s="166">
        <f ca="1"/>
        <v>4.5979850611865158E-2</v>
      </c>
      <c r="V22" s="140">
        <f ca="1"/>
        <v>7.3038709525613865E-2</v>
      </c>
      <c r="W22" s="139">
        <f ca="1"/>
        <v>0</v>
      </c>
      <c r="X22" s="166">
        <f ca="1"/>
        <v>1.259039136012996E-3</v>
      </c>
      <c r="Y22" s="166">
        <f ca="1"/>
        <v>3.059088087485673E-3</v>
      </c>
      <c r="Z22" s="166">
        <f ca="1"/>
        <v>8.2104383388926783E-3</v>
      </c>
      <c r="AA22" s="166">
        <f ca="1"/>
        <v>1.4275848072370256E-2</v>
      </c>
      <c r="AB22" s="166">
        <f ca="1"/>
        <v>0</v>
      </c>
      <c r="AC22" s="166">
        <f ca="1"/>
        <v>3.059418994824803E-2</v>
      </c>
      <c r="AD22" s="166">
        <f ca="1"/>
        <v>4.8230914518626822E-2</v>
      </c>
      <c r="AE22" s="140">
        <f ca="1"/>
        <v>7.6595819772965146E-2</v>
      </c>
      <c r="AH22" s="137">
        <v>1.1000000000000001E-3</v>
      </c>
      <c r="AI22" s="137">
        <v>2.8E-3</v>
      </c>
      <c r="AJ22" s="137">
        <v>7.7999999999999996E-3</v>
      </c>
      <c r="AK22" s="137">
        <v>1.35E-2</v>
      </c>
      <c r="AL22" s="141"/>
      <c r="AM22" s="137">
        <v>2.9000000000000001E-2</v>
      </c>
      <c r="AN22" s="137">
        <v>4.5900000000000003E-2</v>
      </c>
      <c r="AO22" s="137">
        <v>7.2800000000000004E-2</v>
      </c>
      <c r="AQ22" s="137">
        <v>1.1999999999999999E-3</v>
      </c>
      <c r="AR22" s="137">
        <v>3.0000000000000001E-3</v>
      </c>
      <c r="AS22" s="137">
        <v>8.0999999999999996E-3</v>
      </c>
      <c r="AT22" s="137">
        <v>1.4200000000000001E-2</v>
      </c>
      <c r="AV22" s="137">
        <v>3.04E-2</v>
      </c>
      <c r="AW22" s="137">
        <v>4.8099999999999997E-2</v>
      </c>
      <c r="AX22" s="137">
        <v>7.6300000000000007E-2</v>
      </c>
    </row>
    <row r="23" spans="1:50" s="79" customFormat="1" ht="10.199999999999999" x14ac:dyDescent="0.2">
      <c r="A23" s="97">
        <f t="shared" ca="1" si="3"/>
        <v>12</v>
      </c>
      <c r="B23" s="68" t="s">
        <v>100</v>
      </c>
      <c r="C23" s="98">
        <v>0.4</v>
      </c>
      <c r="D23" s="69" t="s">
        <v>66</v>
      </c>
      <c r="E23" s="138" t="s">
        <v>87</v>
      </c>
      <c r="F23" s="159">
        <v>1.0499999999999999E-3</v>
      </c>
      <c r="G23" s="159">
        <v>2.0500000000000002E-3</v>
      </c>
      <c r="H23" s="159">
        <v>3.1099999999999999E-3</v>
      </c>
      <c r="I23" s="159">
        <v>3.6900000000000001E-3</v>
      </c>
      <c r="J23" s="159" t="s">
        <v>87</v>
      </c>
      <c r="K23" s="159">
        <v>4.4999999999999997E-3</v>
      </c>
      <c r="L23" s="159">
        <v>5.0499999999999998E-3</v>
      </c>
      <c r="M23" s="159">
        <v>5.5500000000000002E-3</v>
      </c>
      <c r="N23" s="139">
        <f t="array" aca="1" ref="N23:AE23" ca="1">IF(OR(B23="",NOT($J$2)),"",GetStripDefaultProbability(A23,B23,Parameter_Date,CDSRollDate,E23:M23,SpreadCurveMaturities,D23,C23,$J$4,$J$6))</f>
        <v>0</v>
      </c>
      <c r="O23" s="166">
        <f ca="1"/>
        <v>9.7939180000472525E-4</v>
      </c>
      <c r="P23" s="166">
        <f ca="1"/>
        <v>3.6378939160475188E-3</v>
      </c>
      <c r="Q23" s="166">
        <f ca="1"/>
        <v>1.0764956092587652E-2</v>
      </c>
      <c r="R23" s="166">
        <f ca="1"/>
        <v>1.9011023331642174E-2</v>
      </c>
      <c r="S23" s="166">
        <f ca="1"/>
        <v>0</v>
      </c>
      <c r="T23" s="166">
        <f ca="1"/>
        <v>3.8328807999089776E-2</v>
      </c>
      <c r="U23" s="166">
        <f ca="1"/>
        <v>5.9838547929888963E-2</v>
      </c>
      <c r="V23" s="140">
        <f ca="1"/>
        <v>9.2962971511956871E-2</v>
      </c>
      <c r="W23" s="139">
        <f ca="1"/>
        <v>0</v>
      </c>
      <c r="X23" s="166">
        <f ca="1"/>
        <v>1.0726150971397397E-3</v>
      </c>
      <c r="Y23" s="166">
        <f ca="1"/>
        <v>3.8183005128339387E-3</v>
      </c>
      <c r="Z23" s="166">
        <f ca="1"/>
        <v>1.1302011236667076E-2</v>
      </c>
      <c r="AA23" s="166">
        <f ca="1"/>
        <v>1.9949335026277493E-2</v>
      </c>
      <c r="AB23" s="166">
        <f ca="1"/>
        <v>0</v>
      </c>
      <c r="AC23" s="166">
        <f ca="1"/>
        <v>4.021502153295109E-2</v>
      </c>
      <c r="AD23" s="166">
        <f ca="1"/>
        <v>6.2750908031709685E-2</v>
      </c>
      <c r="AE23" s="140">
        <f ca="1"/>
        <v>9.7418395749145348E-2</v>
      </c>
      <c r="AH23" s="137">
        <v>1E-3</v>
      </c>
      <c r="AI23" s="137">
        <v>3.5999999999999999E-3</v>
      </c>
      <c r="AJ23" s="137">
        <v>1.0699999999999999E-2</v>
      </c>
      <c r="AK23" s="137">
        <v>1.89E-2</v>
      </c>
      <c r="AL23" s="141"/>
      <c r="AM23" s="137">
        <v>3.8199999999999998E-2</v>
      </c>
      <c r="AN23" s="137">
        <v>5.9700000000000003E-2</v>
      </c>
      <c r="AO23" s="137">
        <v>9.2799999999999994E-2</v>
      </c>
      <c r="AQ23" s="137">
        <v>1E-3</v>
      </c>
      <c r="AR23" s="137">
        <v>3.8E-3</v>
      </c>
      <c r="AS23" s="137">
        <v>1.12E-2</v>
      </c>
      <c r="AT23" s="137">
        <v>1.9800000000000002E-2</v>
      </c>
      <c r="AV23" s="137">
        <v>4.0099999999999997E-2</v>
      </c>
      <c r="AW23" s="137">
        <v>6.2600000000000003E-2</v>
      </c>
      <c r="AX23" s="137">
        <v>9.7199999999999995E-2</v>
      </c>
    </row>
    <row r="24" spans="1:50" s="79" customFormat="1" ht="10.199999999999999" x14ac:dyDescent="0.2">
      <c r="A24" s="97">
        <f t="shared" ca="1" si="3"/>
        <v>13</v>
      </c>
      <c r="B24" s="68" t="s">
        <v>101</v>
      </c>
      <c r="C24" s="98">
        <v>0.4</v>
      </c>
      <c r="D24" s="69" t="s">
        <v>66</v>
      </c>
      <c r="E24" s="138" t="s">
        <v>87</v>
      </c>
      <c r="F24" s="159">
        <v>1.5399999999999999E-3</v>
      </c>
      <c r="G24" s="159">
        <v>2.3600000000000001E-3</v>
      </c>
      <c r="H24" s="159">
        <v>3.0799999999999998E-3</v>
      </c>
      <c r="I24" s="159">
        <v>3.3800000000000002E-3</v>
      </c>
      <c r="J24" s="159" t="s">
        <v>87</v>
      </c>
      <c r="K24" s="159">
        <v>4.0000000000000001E-3</v>
      </c>
      <c r="L24" s="159">
        <v>4.4000000000000003E-3</v>
      </c>
      <c r="M24" s="159">
        <v>5.0000000000000001E-3</v>
      </c>
      <c r="N24" s="139">
        <f t="array" aca="1" ref="N24:AE24" ca="1">IF(OR(B24="",NOT($J$2)),"",GetStripDefaultProbability(A24,B24,Parameter_Date,CDSRollDate,E24:M24,SpreadCurveMaturities,D24,C24,$J$4,$J$6))</f>
        <v>0</v>
      </c>
      <c r="O24" s="166">
        <f ca="1"/>
        <v>1.4361137599120388E-3</v>
      </c>
      <c r="P24" s="166">
        <f ca="1"/>
        <v>4.1787320038700893E-3</v>
      </c>
      <c r="Q24" s="166">
        <f ca="1"/>
        <v>1.0625175805806464E-2</v>
      </c>
      <c r="R24" s="166">
        <f ca="1"/>
        <v>1.733222666479739E-2</v>
      </c>
      <c r="S24" s="166">
        <f ca="1"/>
        <v>0</v>
      </c>
      <c r="T24" s="166">
        <f ca="1"/>
        <v>3.3992655746569622E-2</v>
      </c>
      <c r="U24" s="166">
        <f ca="1"/>
        <v>5.2027185055779079E-2</v>
      </c>
      <c r="V24" s="140">
        <f ca="1"/>
        <v>8.4435317639479091E-2</v>
      </c>
      <c r="W24" s="139">
        <f ca="1"/>
        <v>0</v>
      </c>
      <c r="X24" s="166">
        <f ca="1"/>
        <v>1.5292920702321133E-3</v>
      </c>
      <c r="Y24" s="166">
        <f ca="1"/>
        <v>4.3866702304659055E-3</v>
      </c>
      <c r="Z24" s="166">
        <f ca="1"/>
        <v>1.1154162322574934E-2</v>
      </c>
      <c r="AA24" s="166">
        <f ca="1"/>
        <v>1.8191496158660225E-2</v>
      </c>
      <c r="AB24" s="166">
        <f ca="1"/>
        <v>0</v>
      </c>
      <c r="AC24" s="166">
        <f ca="1"/>
        <v>3.5666186029780889E-2</v>
      </c>
      <c r="AD24" s="166">
        <f ca="1"/>
        <v>5.4566003258872842E-2</v>
      </c>
      <c r="AE24" s="140">
        <f ca="1"/>
        <v>8.8500187653720475E-2</v>
      </c>
      <c r="AH24" s="137">
        <v>1.4E-3</v>
      </c>
      <c r="AI24" s="137">
        <v>4.1000000000000003E-3</v>
      </c>
      <c r="AJ24" s="137">
        <v>1.06E-2</v>
      </c>
      <c r="AK24" s="137">
        <v>1.72E-2</v>
      </c>
      <c r="AL24" s="141"/>
      <c r="AM24" s="137">
        <v>3.39E-2</v>
      </c>
      <c r="AN24" s="137">
        <v>5.1900000000000002E-2</v>
      </c>
      <c r="AO24" s="137">
        <v>8.4099999999999994E-2</v>
      </c>
      <c r="AQ24" s="137">
        <v>1.5E-3</v>
      </c>
      <c r="AR24" s="137">
        <v>4.3E-3</v>
      </c>
      <c r="AS24" s="137">
        <v>1.11E-2</v>
      </c>
      <c r="AT24" s="137">
        <v>1.8100000000000002E-2</v>
      </c>
      <c r="AV24" s="137">
        <v>3.5499999999999997E-2</v>
      </c>
      <c r="AW24" s="137">
        <v>5.4399999999999997E-2</v>
      </c>
      <c r="AX24" s="137">
        <v>8.8099999999999998E-2</v>
      </c>
    </row>
    <row r="25" spans="1:50" s="79" customFormat="1" ht="10.199999999999999" x14ac:dyDescent="0.2">
      <c r="A25" s="97">
        <f t="shared" ca="1" si="3"/>
        <v>14</v>
      </c>
      <c r="B25" s="68" t="s">
        <v>102</v>
      </c>
      <c r="C25" s="98">
        <v>0.4</v>
      </c>
      <c r="D25" s="69" t="s">
        <v>66</v>
      </c>
      <c r="E25" s="138" t="s">
        <v>87</v>
      </c>
      <c r="F25" s="159">
        <v>5.0000000000000001E-4</v>
      </c>
      <c r="G25" s="159">
        <v>5.9999999999999995E-4</v>
      </c>
      <c r="H25" s="159">
        <v>8.0000000000000004E-4</v>
      </c>
      <c r="I25" s="159">
        <v>1.1999999999999999E-3</v>
      </c>
      <c r="J25" s="159" t="s">
        <v>87</v>
      </c>
      <c r="K25" s="159">
        <v>1.9E-3</v>
      </c>
      <c r="L25" s="159">
        <v>2.3999999999999998E-3</v>
      </c>
      <c r="M25" s="159">
        <v>3.0999999999999999E-3</v>
      </c>
      <c r="N25" s="139">
        <f t="array" aca="1" ref="N25:AE25" ca="1">IF(OR(B25="",NOT($J$2)),"",GetStripDefaultProbability(A25,B25,Parameter_Date,CDSRollDate,E25:M25,SpreadCurveMaturities,D25,C25,$J$4,$J$6))</f>
        <v>0</v>
      </c>
      <c r="O25" s="166">
        <f ca="1"/>
        <v>4.6649647376628689E-4</v>
      </c>
      <c r="P25" s="166">
        <f ca="1"/>
        <v>1.061102768032729E-3</v>
      </c>
      <c r="Q25" s="166">
        <f ca="1"/>
        <v>2.7723395404963824E-3</v>
      </c>
      <c r="R25" s="166">
        <f ca="1"/>
        <v>6.2552067531262967E-3</v>
      </c>
      <c r="S25" s="166">
        <f ca="1"/>
        <v>0</v>
      </c>
      <c r="T25" s="166">
        <f ca="1"/>
        <v>1.6574455156018297E-2</v>
      </c>
      <c r="U25" s="166">
        <f ca="1"/>
        <v>2.9406641336146566E-2</v>
      </c>
      <c r="V25" s="140">
        <f ca="1"/>
        <v>5.4810282680861189E-2</v>
      </c>
      <c r="W25" s="139">
        <f ca="1"/>
        <v>0</v>
      </c>
      <c r="X25" s="166">
        <f ca="1"/>
        <v>5.5976917815403482E-4</v>
      </c>
      <c r="Y25" s="166">
        <f ca="1"/>
        <v>1.2374185751623523E-3</v>
      </c>
      <c r="Z25" s="166">
        <f ca="1"/>
        <v>3.1157319936362393E-3</v>
      </c>
      <c r="AA25" s="166">
        <f ca="1"/>
        <v>6.7645325138531165E-3</v>
      </c>
      <c r="AB25" s="166">
        <f ca="1"/>
        <v>0</v>
      </c>
      <c r="AC25" s="166">
        <f ca="1"/>
        <v>1.7410669853151983E-2</v>
      </c>
      <c r="AD25" s="166">
        <f ca="1"/>
        <v>3.0825919531025536E-2</v>
      </c>
      <c r="AE25" s="140">
        <f ca="1"/>
        <v>5.7457409628781431E-2</v>
      </c>
      <c r="AH25" s="137">
        <v>5.0000000000000001E-4</v>
      </c>
      <c r="AI25" s="137">
        <v>1E-3</v>
      </c>
      <c r="AJ25" s="137">
        <v>2.8E-3</v>
      </c>
      <c r="AK25" s="137">
        <v>6.1999999999999998E-3</v>
      </c>
      <c r="AL25" s="141"/>
      <c r="AM25" s="137">
        <v>1.6500000000000001E-2</v>
      </c>
      <c r="AN25" s="137">
        <v>2.93E-2</v>
      </c>
      <c r="AO25" s="137">
        <v>5.4600000000000003E-2</v>
      </c>
      <c r="AQ25" s="137">
        <v>5.0000000000000001E-4</v>
      </c>
      <c r="AR25" s="137">
        <v>1.1999999999999999E-3</v>
      </c>
      <c r="AS25" s="137">
        <v>3.0999999999999999E-3</v>
      </c>
      <c r="AT25" s="137">
        <v>6.7000000000000002E-3</v>
      </c>
      <c r="AV25" s="137">
        <v>1.7299999999999999E-2</v>
      </c>
      <c r="AW25" s="137">
        <v>3.0700000000000002E-2</v>
      </c>
      <c r="AX25" s="137">
        <v>5.7200000000000001E-2</v>
      </c>
    </row>
    <row r="26" spans="1:50" s="79" customFormat="1" ht="10.199999999999999" x14ac:dyDescent="0.2">
      <c r="A26" s="97">
        <f t="shared" ca="1" si="3"/>
        <v>15</v>
      </c>
      <c r="B26" s="68" t="s">
        <v>103</v>
      </c>
      <c r="C26" s="98">
        <v>0.4</v>
      </c>
      <c r="D26" s="69" t="s">
        <v>66</v>
      </c>
      <c r="E26" s="138" t="s">
        <v>87</v>
      </c>
      <c r="F26" s="159">
        <v>2.9999999999999997E-4</v>
      </c>
      <c r="G26" s="159">
        <v>8.9999999999999998E-4</v>
      </c>
      <c r="H26" s="159">
        <v>1.5E-3</v>
      </c>
      <c r="I26" s="159">
        <v>2E-3</v>
      </c>
      <c r="J26" s="159" t="s">
        <v>87</v>
      </c>
      <c r="K26" s="159">
        <v>3.3E-3</v>
      </c>
      <c r="L26" s="159">
        <v>4.1000000000000003E-3</v>
      </c>
      <c r="M26" s="159">
        <v>5.1999999999999998E-3</v>
      </c>
      <c r="N26" s="139">
        <f t="array" aca="1" ref="N26:AE26" ca="1">IF(OR(B26="",NOT($J$2)),"",GetStripDefaultProbability(A26,B26,Parameter_Date,CDSRollDate,E26:M26,SpreadCurveMaturities,D26,C26,$J$4,$J$6))</f>
        <v>0</v>
      </c>
      <c r="O26" s="166">
        <f ca="1"/>
        <v>2.799239499720052E-4</v>
      </c>
      <c r="P26" s="166">
        <f ca="1"/>
        <v>1.6026642863309348E-3</v>
      </c>
      <c r="Q26" s="166">
        <f ca="1"/>
        <v>5.2149428614746141E-3</v>
      </c>
      <c r="R26" s="166">
        <f ca="1"/>
        <v>1.0395017851131616E-2</v>
      </c>
      <c r="S26" s="166">
        <f ca="1"/>
        <v>0</v>
      </c>
      <c r="T26" s="166">
        <f ca="1"/>
        <v>2.87626975858436E-2</v>
      </c>
      <c r="U26" s="166">
        <f ca="1"/>
        <v>4.9819091029929985E-2</v>
      </c>
      <c r="V26" s="140">
        <f ca="1"/>
        <v>9.060329928630706E-2</v>
      </c>
      <c r="W26" s="139">
        <f ca="1"/>
        <v>0</v>
      </c>
      <c r="X26" s="166">
        <f ca="1"/>
        <v>3.7321434723358582E-4</v>
      </c>
      <c r="Y26" s="166">
        <f ca="1"/>
        <v>1.7789330236713807E-3</v>
      </c>
      <c r="Z26" s="166">
        <f ca="1"/>
        <v>5.5576658108038579E-3</v>
      </c>
      <c r="AA26" s="166">
        <f ca="1"/>
        <v>1.090248731959631E-2</v>
      </c>
      <c r="AB26" s="166">
        <f ca="1"/>
        <v>0</v>
      </c>
      <c r="AC26" s="166">
        <f ca="1"/>
        <v>3.0178863365215025E-2</v>
      </c>
      <c r="AD26" s="166">
        <f ca="1"/>
        <v>5.2253717783412368E-2</v>
      </c>
      <c r="AE26" s="140">
        <f ca="1"/>
        <v>9.4976596872647479E-2</v>
      </c>
      <c r="AH26" s="137">
        <v>2.9999999999999997E-4</v>
      </c>
      <c r="AI26" s="137">
        <v>1.6000000000000001E-3</v>
      </c>
      <c r="AJ26" s="137">
        <v>5.1999999999999998E-3</v>
      </c>
      <c r="AK26" s="137">
        <v>1.03E-2</v>
      </c>
      <c r="AL26" s="141"/>
      <c r="AM26" s="137">
        <v>2.86E-2</v>
      </c>
      <c r="AN26" s="137">
        <v>4.9599999999999998E-2</v>
      </c>
      <c r="AO26" s="137">
        <v>9.01E-2</v>
      </c>
      <c r="AQ26" s="137">
        <v>4.0000000000000002E-4</v>
      </c>
      <c r="AR26" s="137">
        <v>1.6999999999999999E-3</v>
      </c>
      <c r="AS26" s="137">
        <v>5.4999999999999997E-3</v>
      </c>
      <c r="AT26" s="137">
        <v>1.0800000000000001E-2</v>
      </c>
      <c r="AV26" s="137">
        <v>0.03</v>
      </c>
      <c r="AW26" s="137">
        <v>5.21E-2</v>
      </c>
      <c r="AX26" s="137">
        <v>9.4399999999999998E-2</v>
      </c>
    </row>
    <row r="27" spans="1:50" s="79" customFormat="1" ht="10.199999999999999" x14ac:dyDescent="0.2">
      <c r="A27" s="97">
        <f t="shared" ca="1" si="3"/>
        <v>16</v>
      </c>
      <c r="B27" s="68" t="s">
        <v>104</v>
      </c>
      <c r="C27" s="98">
        <v>0.4</v>
      </c>
      <c r="D27" s="69" t="s">
        <v>66</v>
      </c>
      <c r="E27" s="138" t="s">
        <v>87</v>
      </c>
      <c r="F27" s="159">
        <v>5.9999999999999995E-4</v>
      </c>
      <c r="G27" s="159">
        <v>5.9999999999999995E-4</v>
      </c>
      <c r="H27" s="159">
        <v>1.1000000000000001E-3</v>
      </c>
      <c r="I27" s="159">
        <v>1.5E-3</v>
      </c>
      <c r="J27" s="159" t="s">
        <v>87</v>
      </c>
      <c r="K27" s="159">
        <v>2.5000000000000001E-3</v>
      </c>
      <c r="L27" s="159">
        <v>3.3E-3</v>
      </c>
      <c r="M27" s="159">
        <v>4.3E-3</v>
      </c>
      <c r="N27" s="139">
        <f t="array" aca="1" ref="N27:AE27" ca="1">IF(OR(B27="",NOT($J$2)),"",GetStripDefaultProbability(A27,B27,Parameter_Date,CDSRollDate,E27:M27,SpreadCurveMaturities,D27,C27,$J$4,$J$6))</f>
        <v>0</v>
      </c>
      <c r="O27" s="166">
        <f ca="1"/>
        <v>5.5976970645477131E-4</v>
      </c>
      <c r="P27" s="166">
        <f ca="1"/>
        <v>1.0593624460729645E-3</v>
      </c>
      <c r="Q27" s="166">
        <f ca="1"/>
        <v>3.8310149992184517E-3</v>
      </c>
      <c r="R27" s="166">
        <f ca="1"/>
        <v>7.8046782691558736E-3</v>
      </c>
      <c r="S27" s="166">
        <f ca="1"/>
        <v>0</v>
      </c>
      <c r="T27" s="166">
        <f ca="1"/>
        <v>2.1852033215224664E-2</v>
      </c>
      <c r="U27" s="166">
        <f ca="1"/>
        <v>4.0466418311014607E-2</v>
      </c>
      <c r="V27" s="140">
        <f ca="1"/>
        <v>7.5790838888140089E-2</v>
      </c>
      <c r="W27" s="139">
        <f ca="1"/>
        <v>0</v>
      </c>
      <c r="X27" s="166">
        <f ca="1"/>
        <v>6.5303351059242676E-4</v>
      </c>
      <c r="Y27" s="166">
        <f ca="1"/>
        <v>1.2356871236886002E-3</v>
      </c>
      <c r="Z27" s="166">
        <f ca="1"/>
        <v>4.17415693385359E-3</v>
      </c>
      <c r="AA27" s="166">
        <f ca="1"/>
        <v>8.3132944118238239E-3</v>
      </c>
      <c r="AB27" s="166">
        <f ca="1"/>
        <v>0</v>
      </c>
      <c r="AC27" s="166">
        <f ca="1"/>
        <v>2.2910929849370709E-2</v>
      </c>
      <c r="AD27" s="166">
        <f ca="1"/>
        <v>4.2439074205187222E-2</v>
      </c>
      <c r="AE27" s="140">
        <f ca="1"/>
        <v>7.9448435978679788E-2</v>
      </c>
      <c r="AH27" s="137">
        <v>5.0000000000000001E-4</v>
      </c>
      <c r="AI27" s="137">
        <v>1E-3</v>
      </c>
      <c r="AJ27" s="137">
        <v>3.8E-3</v>
      </c>
      <c r="AK27" s="137">
        <v>7.7999999999999996E-3</v>
      </c>
      <c r="AL27" s="141"/>
      <c r="AM27" s="137">
        <v>2.1700000000000001E-2</v>
      </c>
      <c r="AN27" s="137">
        <v>4.0300000000000002E-2</v>
      </c>
      <c r="AO27" s="137">
        <v>7.5399999999999995E-2</v>
      </c>
      <c r="AQ27" s="137">
        <v>5.9999999999999995E-4</v>
      </c>
      <c r="AR27" s="137">
        <v>1.1999999999999999E-3</v>
      </c>
      <c r="AS27" s="137">
        <v>4.1000000000000003E-3</v>
      </c>
      <c r="AT27" s="137">
        <v>8.3000000000000001E-3</v>
      </c>
      <c r="AV27" s="137">
        <v>2.2800000000000001E-2</v>
      </c>
      <c r="AW27" s="137">
        <v>4.2299999999999997E-2</v>
      </c>
      <c r="AX27" s="137">
        <v>7.9000000000000001E-2</v>
      </c>
    </row>
    <row r="28" spans="1:50" s="79" customFormat="1" ht="10.199999999999999" x14ac:dyDescent="0.2">
      <c r="A28" s="97">
        <f t="shared" ca="1" si="3"/>
        <v>17</v>
      </c>
      <c r="B28" s="68" t="s">
        <v>105</v>
      </c>
      <c r="C28" s="98">
        <v>0.4</v>
      </c>
      <c r="D28" s="69" t="s">
        <v>66</v>
      </c>
      <c r="E28" s="138" t="s">
        <v>87</v>
      </c>
      <c r="F28" s="159">
        <v>1.1299999999999999E-3</v>
      </c>
      <c r="G28" s="159">
        <v>1.83E-3</v>
      </c>
      <c r="H28" s="159">
        <v>2.63E-3</v>
      </c>
      <c r="I28" s="159">
        <v>2.8999999999999998E-3</v>
      </c>
      <c r="J28" s="159" t="s">
        <v>87</v>
      </c>
      <c r="K28" s="159">
        <v>3.3E-3</v>
      </c>
      <c r="L28" s="159">
        <v>3.65E-3</v>
      </c>
      <c r="M28" s="159">
        <v>4.1000000000000003E-3</v>
      </c>
      <c r="N28" s="139">
        <f t="array" aca="1" ref="N28:AE28" ca="1">IF(OR(B28="",NOT($J$2)),"",GetStripDefaultProbability(A28,B28,Parameter_Date,CDSRollDate,E28:M28,SpreadCurveMaturities,D28,C28,$J$4,$J$6))</f>
        <v>0</v>
      </c>
      <c r="O28" s="166">
        <f ca="1"/>
        <v>1.0539728805090132E-3</v>
      </c>
      <c r="P28" s="166">
        <f ca="1"/>
        <v>3.2432924523280171E-3</v>
      </c>
      <c r="Q28" s="166">
        <f ca="1"/>
        <v>9.1030929450658382E-3</v>
      </c>
      <c r="R28" s="166">
        <f ca="1"/>
        <v>1.4905474882960013E-2</v>
      </c>
      <c r="S28" s="166">
        <f ca="1"/>
        <v>0</v>
      </c>
      <c r="T28" s="166">
        <f ca="1"/>
        <v>2.8057019505202119E-2</v>
      </c>
      <c r="U28" s="166">
        <f ca="1"/>
        <v>4.3320256608388563E-2</v>
      </c>
      <c r="V28" s="140">
        <f ca="1"/>
        <v>6.9479106953681535E-2</v>
      </c>
      <c r="W28" s="139">
        <f ca="1"/>
        <v>0</v>
      </c>
      <c r="X28" s="166">
        <f ca="1"/>
        <v>1.1471888965925991E-3</v>
      </c>
      <c r="Y28" s="166">
        <f ca="1"/>
        <v>3.4192816000191417E-3</v>
      </c>
      <c r="Z28" s="166">
        <f ca="1"/>
        <v>9.5559636293434114E-3</v>
      </c>
      <c r="AA28" s="166">
        <f ca="1"/>
        <v>1.5644105626376748E-2</v>
      </c>
      <c r="AB28" s="166">
        <f ca="1"/>
        <v>0</v>
      </c>
      <c r="AC28" s="166">
        <f ca="1"/>
        <v>2.9440079313340028E-2</v>
      </c>
      <c r="AD28" s="166">
        <f ca="1"/>
        <v>4.544221800036341E-2</v>
      </c>
      <c r="AE28" s="140">
        <f ca="1"/>
        <v>7.2844416295031134E-2</v>
      </c>
      <c r="AH28" s="137">
        <v>1E-3</v>
      </c>
      <c r="AI28" s="137">
        <v>3.2000000000000002E-3</v>
      </c>
      <c r="AJ28" s="137">
        <v>8.9999999999999993E-3</v>
      </c>
      <c r="AK28" s="137">
        <v>1.4800000000000001E-2</v>
      </c>
      <c r="AL28" s="141"/>
      <c r="AM28" s="137">
        <v>2.8000000000000001E-2</v>
      </c>
      <c r="AN28" s="137">
        <v>4.3200000000000002E-2</v>
      </c>
      <c r="AO28" s="137">
        <v>6.93E-2</v>
      </c>
      <c r="AQ28" s="137">
        <v>1.1000000000000001E-3</v>
      </c>
      <c r="AR28" s="137">
        <v>3.3999999999999998E-3</v>
      </c>
      <c r="AS28" s="137">
        <v>9.4999999999999998E-3</v>
      </c>
      <c r="AT28" s="137">
        <v>1.5599999999999999E-2</v>
      </c>
      <c r="AV28" s="137">
        <v>2.93E-2</v>
      </c>
      <c r="AW28" s="137">
        <v>4.53E-2</v>
      </c>
      <c r="AX28" s="137">
        <v>7.2599999999999998E-2</v>
      </c>
    </row>
    <row r="29" spans="1:50" s="79" customFormat="1" ht="10.199999999999999" x14ac:dyDescent="0.2">
      <c r="A29" s="97">
        <f t="shared" ca="1" si="3"/>
        <v>18</v>
      </c>
      <c r="B29" s="68" t="s">
        <v>106</v>
      </c>
      <c r="C29" s="98">
        <v>0.4</v>
      </c>
      <c r="D29" s="69" t="s">
        <v>66</v>
      </c>
      <c r="E29" s="138" t="s">
        <v>87</v>
      </c>
      <c r="F29" s="159">
        <v>6.9999999999999999E-4</v>
      </c>
      <c r="G29" s="159">
        <v>8.0000000000000004E-4</v>
      </c>
      <c r="H29" s="159">
        <v>1.4E-3</v>
      </c>
      <c r="I29" s="159">
        <v>1.9E-3</v>
      </c>
      <c r="J29" s="159" t="s">
        <v>87</v>
      </c>
      <c r="K29" s="159">
        <v>3.0999999999999999E-3</v>
      </c>
      <c r="L29" s="159">
        <v>3.8999999999999998E-3</v>
      </c>
      <c r="M29" s="159">
        <v>5.3E-3</v>
      </c>
      <c r="N29" s="139">
        <f t="array" aca="1" ref="N29:AE29" ca="1">IF(OR(B29="",NOT($J$2)),"",GetStripDefaultProbability(A29,B29,Parameter_Date,CDSRollDate,E29:M29,SpreadCurveMaturities,D29,C29,$J$4,$J$6))</f>
        <v>0</v>
      </c>
      <c r="O29" s="166">
        <f ca="1"/>
        <v>6.5303425461338271E-4</v>
      </c>
      <c r="P29" s="166">
        <f ca="1"/>
        <v>1.4137031826377822E-3</v>
      </c>
      <c r="Q29" s="166">
        <f ca="1"/>
        <v>4.8724165243494433E-3</v>
      </c>
      <c r="R29" s="166">
        <f ca="1"/>
        <v>9.8766772109240009E-3</v>
      </c>
      <c r="S29" s="166">
        <f ca="1"/>
        <v>0</v>
      </c>
      <c r="T29" s="166">
        <f ca="1"/>
        <v>2.7021117357960089E-2</v>
      </c>
      <c r="U29" s="166">
        <f ca="1"/>
        <v>4.7481718741196444E-2</v>
      </c>
      <c r="V29" s="140">
        <f ca="1"/>
        <v>9.3279995825165773E-2</v>
      </c>
      <c r="W29" s="139">
        <f ca="1"/>
        <v>0</v>
      </c>
      <c r="X29" s="166">
        <f ca="1"/>
        <v>7.4628912209839804E-4</v>
      </c>
      <c r="Y29" s="166">
        <f ca="1"/>
        <v>1.5899567491424182E-3</v>
      </c>
      <c r="Z29" s="166">
        <f ca="1"/>
        <v>5.2152428582994403E-3</v>
      </c>
      <c r="AA29" s="166">
        <f ca="1"/>
        <v>1.0384375544905899E-2</v>
      </c>
      <c r="AB29" s="166">
        <f ca="1"/>
        <v>0</v>
      </c>
      <c r="AC29" s="166">
        <f ca="1"/>
        <v>2.8346521860671992E-2</v>
      </c>
      <c r="AD29" s="166">
        <f ca="1"/>
        <v>4.9801702908186307E-2</v>
      </c>
      <c r="AE29" s="140">
        <f ca="1"/>
        <v>9.7781439034134388E-2</v>
      </c>
      <c r="AH29" s="137">
        <v>5.9999999999999995E-4</v>
      </c>
      <c r="AI29" s="137">
        <v>1.4E-3</v>
      </c>
      <c r="AJ29" s="137">
        <v>4.7999999999999996E-3</v>
      </c>
      <c r="AK29" s="137">
        <v>9.7999999999999997E-3</v>
      </c>
      <c r="AL29" s="141"/>
      <c r="AM29" s="137">
        <v>2.6800000000000001E-2</v>
      </c>
      <c r="AN29" s="137">
        <v>4.7300000000000002E-2</v>
      </c>
      <c r="AO29" s="137">
        <v>9.2600000000000002E-2</v>
      </c>
      <c r="AQ29" s="137">
        <v>6.9999999999999999E-4</v>
      </c>
      <c r="AR29" s="137">
        <v>1.6000000000000001E-3</v>
      </c>
      <c r="AS29" s="137">
        <v>5.1999999999999998E-3</v>
      </c>
      <c r="AT29" s="137">
        <v>1.03E-2</v>
      </c>
      <c r="AV29" s="137">
        <v>2.8199999999999999E-2</v>
      </c>
      <c r="AW29" s="137">
        <v>4.9599999999999998E-2</v>
      </c>
      <c r="AX29" s="137">
        <v>9.7100000000000006E-2</v>
      </c>
    </row>
    <row r="30" spans="1:50" s="79" customFormat="1" ht="10.199999999999999" x14ac:dyDescent="0.2">
      <c r="A30" s="97">
        <f t="shared" ca="1" si="3"/>
        <v>19</v>
      </c>
      <c r="B30" s="68" t="s">
        <v>107</v>
      </c>
      <c r="C30" s="98">
        <v>0.4</v>
      </c>
      <c r="D30" s="69" t="s">
        <v>66</v>
      </c>
      <c r="E30" s="138" t="s">
        <v>87</v>
      </c>
      <c r="F30" s="159">
        <v>5.0000000000000001E-4</v>
      </c>
      <c r="G30" s="159">
        <v>8.0000000000000004E-4</v>
      </c>
      <c r="H30" s="159">
        <v>1.1999999999999999E-3</v>
      </c>
      <c r="I30" s="159">
        <v>1.6000000000000001E-3</v>
      </c>
      <c r="J30" s="159" t="s">
        <v>87</v>
      </c>
      <c r="K30" s="159">
        <v>2.5999999999999999E-3</v>
      </c>
      <c r="L30" s="159">
        <v>3.2000000000000002E-3</v>
      </c>
      <c r="M30" s="159">
        <v>3.5999999999999999E-3</v>
      </c>
      <c r="N30" s="139">
        <f t="array" aca="1" ref="N30:AE30" ca="1">IF(OR(B30="",NOT($J$2)),"",GetStripDefaultProbability(A30,B30,Parameter_Date,CDSRollDate,E30:M30,SpreadCurveMaturities,D30,C30,$J$4,$J$6))</f>
        <v>0</v>
      </c>
      <c r="O30" s="166">
        <f ca="1"/>
        <v>4.6649647376628689E-4</v>
      </c>
      <c r="P30" s="166">
        <f ca="1"/>
        <v>1.4188630915119571E-3</v>
      </c>
      <c r="Q30" s="166">
        <f ca="1"/>
        <v>4.1671125736078007E-3</v>
      </c>
      <c r="R30" s="166">
        <f ca="1"/>
        <v>8.3121043317330168E-3</v>
      </c>
      <c r="S30" s="166">
        <f ca="1"/>
        <v>0</v>
      </c>
      <c r="T30" s="166">
        <f ca="1"/>
        <v>2.2680234123736986E-2</v>
      </c>
      <c r="U30" s="166">
        <f ca="1"/>
        <v>3.8956251472148984E-2</v>
      </c>
      <c r="V30" s="140">
        <f ca="1"/>
        <v>6.2102507758236447E-2</v>
      </c>
      <c r="W30" s="139">
        <f ca="1"/>
        <v>0</v>
      </c>
      <c r="X30" s="166">
        <f ca="1"/>
        <v>5.5976917815403482E-4</v>
      </c>
      <c r="Y30" s="166">
        <f ca="1"/>
        <v>1.5951351085543575E-3</v>
      </c>
      <c r="Z30" s="166">
        <f ca="1"/>
        <v>4.5101090641661568E-3</v>
      </c>
      <c r="AA30" s="166">
        <f ca="1"/>
        <v>8.8204513610048441E-3</v>
      </c>
      <c r="AB30" s="166">
        <f ca="1"/>
        <v>0</v>
      </c>
      <c r="AC30" s="166">
        <f ca="1"/>
        <v>2.3784694700122344E-2</v>
      </c>
      <c r="AD30" s="166">
        <f ca="1"/>
        <v>4.0855573462661443E-2</v>
      </c>
      <c r="AE30" s="140">
        <f ca="1"/>
        <v>6.5106958599421394E-2</v>
      </c>
      <c r="AH30" s="137">
        <v>5.0000000000000001E-4</v>
      </c>
      <c r="AI30" s="137">
        <v>1.4E-3</v>
      </c>
      <c r="AJ30" s="137">
        <v>4.1000000000000003E-3</v>
      </c>
      <c r="AK30" s="137">
        <v>8.3000000000000001E-3</v>
      </c>
      <c r="AL30" s="141"/>
      <c r="AM30" s="137">
        <v>2.2499999999999999E-2</v>
      </c>
      <c r="AN30" s="137">
        <v>3.8800000000000001E-2</v>
      </c>
      <c r="AO30" s="137">
        <v>6.1899999999999997E-2</v>
      </c>
      <c r="AQ30" s="137">
        <v>5.0000000000000001E-4</v>
      </c>
      <c r="AR30" s="137">
        <v>1.6000000000000001E-3</v>
      </c>
      <c r="AS30" s="137">
        <v>4.4999999999999997E-3</v>
      </c>
      <c r="AT30" s="137">
        <v>8.8000000000000005E-3</v>
      </c>
      <c r="AV30" s="137">
        <v>2.3599999999999999E-2</v>
      </c>
      <c r="AW30" s="137">
        <v>4.07E-2</v>
      </c>
      <c r="AX30" s="137">
        <v>6.4899999999999999E-2</v>
      </c>
    </row>
    <row r="31" spans="1:50" s="79" customFormat="1" ht="10.199999999999999" x14ac:dyDescent="0.2">
      <c r="A31" s="97">
        <f t="shared" ca="1" si="3"/>
        <v>20</v>
      </c>
      <c r="B31" s="68" t="s">
        <v>108</v>
      </c>
      <c r="C31" s="98">
        <v>0.4</v>
      </c>
      <c r="D31" s="69" t="s">
        <v>66</v>
      </c>
      <c r="E31" s="138" t="s">
        <v>87</v>
      </c>
      <c r="F31" s="159">
        <v>6.4000000000000005E-4</v>
      </c>
      <c r="G31" s="159">
        <v>1.1800000000000001E-3</v>
      </c>
      <c r="H31" s="159">
        <v>1.66E-3</v>
      </c>
      <c r="I31" s="159">
        <v>2.1099999999999999E-3</v>
      </c>
      <c r="J31" s="159" t="s">
        <v>87</v>
      </c>
      <c r="K31" s="159">
        <v>3.0000000000000001E-3</v>
      </c>
      <c r="L31" s="159">
        <v>3.5999999999999999E-3</v>
      </c>
      <c r="M31" s="159">
        <v>3.8E-3</v>
      </c>
      <c r="N31" s="139">
        <f t="array" aca="1" ref="N31:AE31" ca="1">IF(OR(B31="",NOT($J$2)),"",GetStripDefaultProbability(A31,B31,Parameter_Date,CDSRollDate,E31:M31,SpreadCurveMaturities,D31,C31,$J$4,$J$6))</f>
        <v>0</v>
      </c>
      <c r="O31" s="166">
        <f ca="1"/>
        <v>5.9707656780039198E-4</v>
      </c>
      <c r="P31" s="166">
        <f ca="1"/>
        <v>2.0946396110873566E-3</v>
      </c>
      <c r="Q31" s="166">
        <f ca="1"/>
        <v>5.7503138285475153E-3</v>
      </c>
      <c r="R31" s="166">
        <f ca="1"/>
        <v>1.0927125190069664E-2</v>
      </c>
      <c r="S31" s="166">
        <f ca="1"/>
        <v>0</v>
      </c>
      <c r="T31" s="166">
        <f ca="1"/>
        <v>2.5929292012909944E-2</v>
      </c>
      <c r="U31" s="166">
        <f ca="1"/>
        <v>4.3500781625981588E-2</v>
      </c>
      <c r="V31" s="140">
        <f ca="1"/>
        <v>6.44226816300556E-2</v>
      </c>
      <c r="W31" s="139">
        <f ca="1"/>
        <v>0</v>
      </c>
      <c r="X31" s="166">
        <f ca="1"/>
        <v>6.9033680165653255E-4</v>
      </c>
      <c r="Y31" s="166">
        <f ca="1"/>
        <v>2.2708154165423933E-3</v>
      </c>
      <c r="Z31" s="166">
        <f ca="1"/>
        <v>6.0928035031043715E-3</v>
      </c>
      <c r="AA31" s="166">
        <f ca="1"/>
        <v>1.1463635024640983E-2</v>
      </c>
      <c r="AB31" s="166">
        <f ca="1"/>
        <v>0</v>
      </c>
      <c r="AC31" s="166">
        <f ca="1"/>
        <v>2.7208467769406774E-2</v>
      </c>
      <c r="AD31" s="166">
        <f ca="1"/>
        <v>4.5629949387792523E-2</v>
      </c>
      <c r="AE31" s="140">
        <f ca="1"/>
        <v>6.7523600816867257E-2</v>
      </c>
      <c r="AH31" s="137">
        <v>5.9999999999999995E-4</v>
      </c>
      <c r="AI31" s="137">
        <v>2.0999999999999999E-3</v>
      </c>
      <c r="AJ31" s="137">
        <v>5.7000000000000002E-3</v>
      </c>
      <c r="AK31" s="137">
        <v>1.09E-2</v>
      </c>
      <c r="AL31" s="141"/>
      <c r="AM31" s="137">
        <v>2.58E-2</v>
      </c>
      <c r="AN31" s="137">
        <v>4.3400000000000001E-2</v>
      </c>
      <c r="AO31" s="137">
        <v>6.4399999999999999E-2</v>
      </c>
      <c r="AQ31" s="137">
        <v>6.9999999999999999E-4</v>
      </c>
      <c r="AR31" s="137">
        <v>2.2000000000000001E-3</v>
      </c>
      <c r="AS31" s="137">
        <v>6.0000000000000001E-3</v>
      </c>
      <c r="AT31" s="137">
        <v>1.14E-2</v>
      </c>
      <c r="AV31" s="137">
        <v>2.7099999999999999E-2</v>
      </c>
      <c r="AW31" s="137">
        <v>4.5499999999999999E-2</v>
      </c>
      <c r="AX31" s="137">
        <v>6.7500000000000004E-2</v>
      </c>
    </row>
    <row r="32" spans="1:50" s="79" customFormat="1" ht="10.199999999999999" x14ac:dyDescent="0.2">
      <c r="A32" s="97">
        <f t="shared" ca="1" si="3"/>
        <v>21</v>
      </c>
      <c r="B32" s="68" t="s">
        <v>109</v>
      </c>
      <c r="C32" s="98">
        <v>0.4</v>
      </c>
      <c r="D32" s="69" t="s">
        <v>66</v>
      </c>
      <c r="E32" s="138" t="s">
        <v>87</v>
      </c>
      <c r="F32" s="159">
        <v>1.1000000000000001E-3</v>
      </c>
      <c r="G32" s="159">
        <v>1.6000000000000001E-3</v>
      </c>
      <c r="H32" s="159">
        <v>2.0999999999999999E-3</v>
      </c>
      <c r="I32" s="159">
        <v>3.0000000000000001E-3</v>
      </c>
      <c r="J32" s="159" t="s">
        <v>87</v>
      </c>
      <c r="K32" s="159">
        <v>3.8999999999999998E-3</v>
      </c>
      <c r="L32" s="159">
        <v>4.5999999999999999E-3</v>
      </c>
      <c r="M32" s="159">
        <v>5.7000000000000002E-3</v>
      </c>
      <c r="N32" s="139">
        <f t="array" aca="1" ref="N32:AE32" ca="1">IF(OR(B32="",NOT($J$2)),"",GetStripDefaultProbability(A32,B32,Parameter_Date,CDSRollDate,E32:M32,SpreadCurveMaturities,D32,C32,$J$4,$J$6))</f>
        <v>0</v>
      </c>
      <c r="O32" s="166">
        <f ca="1"/>
        <v>1.0260056262103578E-3</v>
      </c>
      <c r="P32" s="166">
        <f ca="1"/>
        <v>2.833347494116123E-3</v>
      </c>
      <c r="Q32" s="166">
        <f ca="1"/>
        <v>7.2594817428548453E-3</v>
      </c>
      <c r="R32" s="166">
        <f ca="1"/>
        <v>1.5558527733510963E-2</v>
      </c>
      <c r="S32" s="166">
        <f ca="1"/>
        <v>0</v>
      </c>
      <c r="T32" s="166">
        <f ca="1"/>
        <v>3.3424162405977231E-2</v>
      </c>
      <c r="U32" s="166">
        <f ca="1"/>
        <v>5.5137949247042739E-2</v>
      </c>
      <c r="V32" s="140">
        <f ca="1"/>
        <v>9.7809640815705423E-2</v>
      </c>
      <c r="W32" s="139">
        <f ca="1"/>
        <v>0</v>
      </c>
      <c r="X32" s="166">
        <f ca="1"/>
        <v>1.1192243755654419E-3</v>
      </c>
      <c r="Y32" s="166">
        <f ca="1"/>
        <v>3.0093896357615835E-3</v>
      </c>
      <c r="Z32" s="166">
        <f ca="1"/>
        <v>7.619144881620632E-3</v>
      </c>
      <c r="AA32" s="166">
        <f ca="1"/>
        <v>1.6329174123960954E-2</v>
      </c>
      <c r="AB32" s="166">
        <f ca="1"/>
        <v>0</v>
      </c>
      <c r="AC32" s="166">
        <f ca="1"/>
        <v>3.5069519379507308E-2</v>
      </c>
      <c r="AD32" s="166">
        <f ca="1"/>
        <v>5.7830169301553491E-2</v>
      </c>
      <c r="AE32" s="140">
        <f ca="1"/>
        <v>0.10250594625938203</v>
      </c>
      <c r="AH32" s="137">
        <v>1E-3</v>
      </c>
      <c r="AI32" s="137">
        <v>2.8E-3</v>
      </c>
      <c r="AJ32" s="137">
        <v>7.1999999999999998E-3</v>
      </c>
      <c r="AK32" s="137">
        <v>1.55E-2</v>
      </c>
      <c r="AL32" s="141"/>
      <c r="AM32" s="137">
        <v>3.3300000000000003E-2</v>
      </c>
      <c r="AN32" s="137">
        <v>5.4899999999999997E-2</v>
      </c>
      <c r="AO32" s="137">
        <v>9.7500000000000003E-2</v>
      </c>
      <c r="AQ32" s="137">
        <v>1.1000000000000001E-3</v>
      </c>
      <c r="AR32" s="137">
        <v>3.0000000000000001E-3</v>
      </c>
      <c r="AS32" s="137">
        <v>7.6E-3</v>
      </c>
      <c r="AT32" s="137">
        <v>1.6199999999999999E-2</v>
      </c>
      <c r="AV32" s="137">
        <v>3.5000000000000003E-2</v>
      </c>
      <c r="AW32" s="137">
        <v>5.7599999999999998E-2</v>
      </c>
      <c r="AX32" s="137">
        <v>0.1022</v>
      </c>
    </row>
    <row r="33" spans="1:50" s="79" customFormat="1" ht="10.199999999999999" x14ac:dyDescent="0.2">
      <c r="A33" s="97">
        <f t="shared" ca="1" si="3"/>
        <v>22</v>
      </c>
      <c r="B33" s="68" t="s">
        <v>110</v>
      </c>
      <c r="C33" s="98">
        <v>0.4</v>
      </c>
      <c r="D33" s="69" t="s">
        <v>66</v>
      </c>
      <c r="E33" s="138" t="s">
        <v>87</v>
      </c>
      <c r="F33" s="159">
        <v>7.7999999999999999E-4</v>
      </c>
      <c r="G33" s="159">
        <v>1.3699999999999999E-3</v>
      </c>
      <c r="H33" s="159">
        <v>2.3E-3</v>
      </c>
      <c r="I33" s="159">
        <v>2.7000000000000001E-3</v>
      </c>
      <c r="J33" s="159" t="s">
        <v>87</v>
      </c>
      <c r="K33" s="159">
        <v>3.3E-3</v>
      </c>
      <c r="L33" s="159">
        <v>3.7000000000000002E-3</v>
      </c>
      <c r="M33" s="159">
        <v>4.0000000000000001E-3</v>
      </c>
      <c r="N33" s="139">
        <f t="array" aca="1" ref="N33:AE33" ca="1">IF(OR(B33="",NOT($J$2)),"",GetStripDefaultProbability(A33,B33,Parameter_Date,CDSRollDate,E33:M33,SpreadCurveMaturities,D33,C33,$J$4,$J$6))</f>
        <v>0</v>
      </c>
      <c r="O33" s="166">
        <f ca="1"/>
        <v>7.276396410892394E-4</v>
      </c>
      <c r="P33" s="166">
        <f ca="1"/>
        <v>2.430605402677477E-3</v>
      </c>
      <c r="Q33" s="166">
        <f ca="1"/>
        <v>7.9926498435980431E-3</v>
      </c>
      <c r="R33" s="166">
        <f ca="1"/>
        <v>1.393987192138546E-2</v>
      </c>
      <c r="S33" s="166">
        <f ca="1"/>
        <v>0</v>
      </c>
      <c r="T33" s="166">
        <f ca="1"/>
        <v>2.824407310035304E-2</v>
      </c>
      <c r="U33" s="166">
        <f ca="1"/>
        <v>4.4137233670975662E-2</v>
      </c>
      <c r="V33" s="140">
        <f ca="1"/>
        <v>6.7589293967251884E-2</v>
      </c>
      <c r="W33" s="139">
        <f ca="1"/>
        <v>0</v>
      </c>
      <c r="X33" s="166">
        <f ca="1"/>
        <v>8.2088733279883641E-4</v>
      </c>
      <c r="Y33" s="166">
        <f ca="1"/>
        <v>2.6067262506039857E-3</v>
      </c>
      <c r="Z33" s="166">
        <f ca="1"/>
        <v>8.3875674458959715E-3</v>
      </c>
      <c r="AA33" s="166">
        <f ca="1"/>
        <v>1.4629538293743138E-2</v>
      </c>
      <c r="AB33" s="166">
        <f ca="1"/>
        <v>0</v>
      </c>
      <c r="AC33" s="166">
        <f ca="1"/>
        <v>2.9635686342580181E-2</v>
      </c>
      <c r="AD33" s="166">
        <f ca="1"/>
        <v>4.629803361689977E-2</v>
      </c>
      <c r="AE33" s="140">
        <f ca="1"/>
        <v>7.0859239006253683E-2</v>
      </c>
      <c r="AH33" s="137">
        <v>6.9999999999999999E-4</v>
      </c>
      <c r="AI33" s="137">
        <v>2.3999999999999998E-3</v>
      </c>
      <c r="AJ33" s="137">
        <v>7.9000000000000008E-3</v>
      </c>
      <c r="AK33" s="137">
        <v>1.3899999999999999E-2</v>
      </c>
      <c r="AL33" s="141"/>
      <c r="AM33" s="137">
        <v>2.81E-2</v>
      </c>
      <c r="AN33" s="137">
        <v>4.3999999999999997E-2</v>
      </c>
      <c r="AO33" s="137">
        <v>6.7400000000000002E-2</v>
      </c>
      <c r="AQ33" s="137">
        <v>8.0000000000000004E-4</v>
      </c>
      <c r="AR33" s="137">
        <v>2.5999999999999999E-3</v>
      </c>
      <c r="AS33" s="137">
        <v>8.3000000000000001E-3</v>
      </c>
      <c r="AT33" s="137">
        <v>1.46E-2</v>
      </c>
      <c r="AV33" s="137">
        <v>2.9499999999999998E-2</v>
      </c>
      <c r="AW33" s="137">
        <v>4.6199999999999998E-2</v>
      </c>
      <c r="AX33" s="137">
        <v>7.0699999999999999E-2</v>
      </c>
    </row>
    <row r="34" spans="1:50" s="79" customFormat="1" ht="10.199999999999999" x14ac:dyDescent="0.2">
      <c r="A34" s="97">
        <f t="shared" ca="1" si="3"/>
        <v>23</v>
      </c>
      <c r="B34" s="68" t="s">
        <v>111</v>
      </c>
      <c r="C34" s="98">
        <v>0.4</v>
      </c>
      <c r="D34" s="69" t="s">
        <v>66</v>
      </c>
      <c r="E34" s="138" t="s">
        <v>87</v>
      </c>
      <c r="F34" s="159">
        <v>5.0000000000000001E-4</v>
      </c>
      <c r="G34" s="159">
        <v>8.9999999999999998E-4</v>
      </c>
      <c r="H34" s="159">
        <v>1.6000000000000001E-3</v>
      </c>
      <c r="I34" s="159">
        <v>2.3999999999999998E-3</v>
      </c>
      <c r="J34" s="159" t="s">
        <v>87</v>
      </c>
      <c r="K34" s="159">
        <v>3.5999999999999999E-3</v>
      </c>
      <c r="L34" s="159">
        <v>4.5999999999999999E-3</v>
      </c>
      <c r="M34" s="159">
        <v>5.7999999999999996E-3</v>
      </c>
      <c r="N34" s="139">
        <f t="array" aca="1" ref="N34:AE34" ca="1">IF(OR(B34="",NOT($J$2)),"",GetStripDefaultProbability(A34,B34,Parameter_Date,CDSRollDate,E34:M34,SpreadCurveMaturities,D34,C34,$J$4,$J$6))</f>
        <v>0</v>
      </c>
      <c r="O34" s="166">
        <f ca="1"/>
        <v>4.6649647376628689E-4</v>
      </c>
      <c r="P34" s="166">
        <f ca="1"/>
        <v>1.5976766194809588E-3</v>
      </c>
      <c r="Q34" s="166">
        <f ca="1"/>
        <v>5.5713716786333078E-3</v>
      </c>
      <c r="R34" s="166">
        <f ca="1"/>
        <v>1.2513866506963178E-2</v>
      </c>
      <c r="S34" s="166">
        <f ca="1"/>
        <v>0</v>
      </c>
      <c r="T34" s="166">
        <f ca="1"/>
        <v>3.1196044352801544E-2</v>
      </c>
      <c r="U34" s="166">
        <f ca="1"/>
        <v>5.5864394040654686E-2</v>
      </c>
      <c r="V34" s="140">
        <f ca="1"/>
        <v>0.10042038531203379</v>
      </c>
      <c r="W34" s="139">
        <f ca="1"/>
        <v>0</v>
      </c>
      <c r="X34" s="166">
        <f ca="1"/>
        <v>5.5976917815403482E-4</v>
      </c>
      <c r="Y34" s="166">
        <f ca="1"/>
        <v>1.7739267471640341E-3</v>
      </c>
      <c r="Z34" s="166">
        <f ca="1"/>
        <v>5.9140059107738452E-3</v>
      </c>
      <c r="AA34" s="166">
        <f ca="1"/>
        <v>1.3127551350941569E-2</v>
      </c>
      <c r="AB34" s="166">
        <f ca="1"/>
        <v>0</v>
      </c>
      <c r="AC34" s="166">
        <f ca="1"/>
        <v>3.2730978899758068E-2</v>
      </c>
      <c r="AD34" s="166">
        <f ca="1"/>
        <v>5.8591258943126667E-2</v>
      </c>
      <c r="AE34" s="140">
        <f ca="1"/>
        <v>0.10524636250536545</v>
      </c>
      <c r="AH34" s="137">
        <v>5.0000000000000001E-4</v>
      </c>
      <c r="AI34" s="137">
        <v>1.6000000000000001E-3</v>
      </c>
      <c r="AJ34" s="137">
        <v>5.4999999999999997E-3</v>
      </c>
      <c r="AK34" s="137">
        <v>1.24E-2</v>
      </c>
      <c r="AL34" s="141"/>
      <c r="AM34" s="137">
        <v>3.1099999999999999E-2</v>
      </c>
      <c r="AN34" s="137">
        <v>5.5599999999999997E-2</v>
      </c>
      <c r="AO34" s="137">
        <v>0.10009999999999999</v>
      </c>
      <c r="AQ34" s="137">
        <v>5.0000000000000001E-4</v>
      </c>
      <c r="AR34" s="137">
        <v>1.6999999999999999E-3</v>
      </c>
      <c r="AS34" s="137">
        <v>5.8999999999999999E-3</v>
      </c>
      <c r="AT34" s="137">
        <v>1.2999999999999999E-2</v>
      </c>
      <c r="AV34" s="137">
        <v>3.2599999999999997E-2</v>
      </c>
      <c r="AW34" s="137">
        <v>5.8299999999999998E-2</v>
      </c>
      <c r="AX34" s="137">
        <v>0.10489999999999999</v>
      </c>
    </row>
    <row r="35" spans="1:50" s="79" customFormat="1" ht="10.199999999999999" x14ac:dyDescent="0.2">
      <c r="A35" s="97">
        <f t="shared" ca="1" si="3"/>
        <v>24</v>
      </c>
      <c r="B35" s="68" t="s">
        <v>112</v>
      </c>
      <c r="C35" s="98">
        <v>0.4</v>
      </c>
      <c r="D35" s="69" t="s">
        <v>66</v>
      </c>
      <c r="E35" s="138" t="s">
        <v>87</v>
      </c>
      <c r="F35" s="159">
        <v>1.15E-3</v>
      </c>
      <c r="G35" s="159">
        <v>1.81E-3</v>
      </c>
      <c r="H35" s="159">
        <v>2.8E-3</v>
      </c>
      <c r="I35" s="159">
        <v>3.5000000000000001E-3</v>
      </c>
      <c r="J35" s="159" t="s">
        <v>87</v>
      </c>
      <c r="K35" s="159">
        <v>4.5999999999999999E-3</v>
      </c>
      <c r="L35" s="159">
        <v>5.1999999999999998E-3</v>
      </c>
      <c r="M35" s="159">
        <v>5.7000000000000002E-3</v>
      </c>
      <c r="N35" s="139">
        <f t="array" aca="1" ref="N35:AE35" ca="1">IF(OR(B35="",NOT($J$2)),"",GetStripDefaultProbability(A35,B35,Parameter_Date,CDSRollDate,E35:M35,SpreadCurveMaturities,D35,C35,$J$4,$J$6))</f>
        <v>0</v>
      </c>
      <c r="O35" s="166">
        <f ca="1"/>
        <v>1.0726172827926206E-3</v>
      </c>
      <c r="P35" s="166">
        <f ca="1"/>
        <v>3.2070829092069042E-3</v>
      </c>
      <c r="Q35" s="166">
        <f ca="1"/>
        <v>9.7072814109477878E-3</v>
      </c>
      <c r="R35" s="166">
        <f ca="1"/>
        <v>1.8075564769315378E-2</v>
      </c>
      <c r="S35" s="166">
        <f ca="1"/>
        <v>0</v>
      </c>
      <c r="T35" s="166">
        <f ca="1"/>
        <v>3.9389640955596938E-2</v>
      </c>
      <c r="U35" s="166">
        <f ca="1"/>
        <v>6.1798567532111326E-2</v>
      </c>
      <c r="V35" s="140">
        <f ca="1"/>
        <v>9.560386348968708E-2</v>
      </c>
      <c r="W35" s="139">
        <f ca="1"/>
        <v>0</v>
      </c>
      <c r="X35" s="166">
        <f ca="1"/>
        <v>1.1658314747735599E-3</v>
      </c>
      <c r="Y35" s="166">
        <f ca="1"/>
        <v>3.3830741828471123E-3</v>
      </c>
      <c r="Z35" s="166">
        <f ca="1"/>
        <v>1.0189901292786741E-2</v>
      </c>
      <c r="AA35" s="166">
        <f ca="1"/>
        <v>1.8971123986007643E-2</v>
      </c>
      <c r="AB35" s="166">
        <f ca="1"/>
        <v>0</v>
      </c>
      <c r="AC35" s="166">
        <f ca="1"/>
        <v>4.1326481030486639E-2</v>
      </c>
      <c r="AD35" s="166">
        <f ca="1"/>
        <v>6.4804487003515709E-2</v>
      </c>
      <c r="AE35" s="140">
        <f ca="1"/>
        <v>0.10017735251733617</v>
      </c>
      <c r="AH35" s="137">
        <v>1E-3</v>
      </c>
      <c r="AI35" s="137">
        <v>3.2000000000000002E-3</v>
      </c>
      <c r="AJ35" s="137">
        <v>9.5999999999999992E-3</v>
      </c>
      <c r="AK35" s="137">
        <v>1.7999999999999999E-2</v>
      </c>
      <c r="AL35" s="141"/>
      <c r="AM35" s="137">
        <v>3.9199999999999999E-2</v>
      </c>
      <c r="AN35" s="137">
        <v>6.1600000000000002E-2</v>
      </c>
      <c r="AO35" s="137">
        <v>9.5399999999999999E-2</v>
      </c>
      <c r="AQ35" s="137">
        <v>1.1000000000000001E-3</v>
      </c>
      <c r="AR35" s="137">
        <v>3.3E-3</v>
      </c>
      <c r="AS35" s="137">
        <v>1.01E-2</v>
      </c>
      <c r="AT35" s="137">
        <v>1.89E-2</v>
      </c>
      <c r="AV35" s="137">
        <v>4.1099999999999998E-2</v>
      </c>
      <c r="AW35" s="137">
        <v>6.4600000000000005E-2</v>
      </c>
      <c r="AX35" s="137">
        <v>9.9900000000000003E-2</v>
      </c>
    </row>
    <row r="36" spans="1:50" s="79" customFormat="1" ht="10.199999999999999" x14ac:dyDescent="0.2">
      <c r="A36" s="97">
        <f t="shared" ca="1" si="3"/>
        <v>25</v>
      </c>
      <c r="B36" s="68" t="s">
        <v>113</v>
      </c>
      <c r="C36" s="98">
        <v>0.4</v>
      </c>
      <c r="D36" s="69" t="s">
        <v>66</v>
      </c>
      <c r="E36" s="138" t="s">
        <v>87</v>
      </c>
      <c r="F36" s="159">
        <v>5.0000000000000001E-4</v>
      </c>
      <c r="G36" s="159">
        <v>6.9999999999999999E-4</v>
      </c>
      <c r="H36" s="159">
        <v>1.1000000000000001E-3</v>
      </c>
      <c r="I36" s="159">
        <v>1.6000000000000001E-3</v>
      </c>
      <c r="J36" s="159" t="s">
        <v>87</v>
      </c>
      <c r="K36" s="159">
        <v>2.3E-3</v>
      </c>
      <c r="L36" s="159">
        <v>2.8999999999999998E-3</v>
      </c>
      <c r="M36" s="159">
        <v>3.7000000000000002E-3</v>
      </c>
      <c r="N36" s="139">
        <f t="array" aca="1" ref="N36:AE36" ca="1">IF(OR(B36="",NOT($J$2)),"",GetStripDefaultProbability(A36,B36,Parameter_Date,CDSRollDate,E36:M36,SpreadCurveMaturities,D36,C36,$J$4,$J$6))</f>
        <v>0</v>
      </c>
      <c r="O36" s="166">
        <f ca="1"/>
        <v>4.6649647376628689E-4</v>
      </c>
      <c r="P36" s="166">
        <f ca="1"/>
        <v>1.2400051456493699E-3</v>
      </c>
      <c r="Q36" s="166">
        <f ca="1"/>
        <v>3.8238847578477841E-3</v>
      </c>
      <c r="R36" s="166">
        <f ca="1"/>
        <v>8.3380025796327972E-3</v>
      </c>
      <c r="S36" s="166">
        <f ca="1"/>
        <v>0</v>
      </c>
      <c r="T36" s="166">
        <f ca="1"/>
        <v>1.9951953039144321E-2</v>
      </c>
      <c r="U36" s="166">
        <f ca="1"/>
        <v>3.5381892744721366E-2</v>
      </c>
      <c r="V36" s="140">
        <f ca="1"/>
        <v>6.493755799044798E-2</v>
      </c>
      <c r="W36" s="139">
        <f ca="1"/>
        <v>0</v>
      </c>
      <c r="X36" s="166">
        <f ca="1"/>
        <v>5.5976917815403482E-4</v>
      </c>
      <c r="Y36" s="166">
        <f ca="1"/>
        <v>1.4162990558700406E-3</v>
      </c>
      <c r="Z36" s="166">
        <f ca="1"/>
        <v>4.1669967605939551E-3</v>
      </c>
      <c r="AA36" s="166">
        <f ca="1"/>
        <v>8.8464357686430795E-3</v>
      </c>
      <c r="AB36" s="166">
        <f ca="1"/>
        <v>0</v>
      </c>
      <c r="AC36" s="166">
        <f ca="1"/>
        <v>2.0922488878298395E-2</v>
      </c>
      <c r="AD36" s="166">
        <f ca="1"/>
        <v>3.7107050359950655E-2</v>
      </c>
      <c r="AE36" s="140">
        <f ca="1"/>
        <v>6.8082961734783232E-2</v>
      </c>
      <c r="AH36" s="137">
        <v>5.0000000000000001E-4</v>
      </c>
      <c r="AI36" s="137">
        <v>1.1999999999999999E-3</v>
      </c>
      <c r="AJ36" s="137">
        <v>3.8E-3</v>
      </c>
      <c r="AK36" s="137">
        <v>8.3000000000000001E-3</v>
      </c>
      <c r="AL36" s="141"/>
      <c r="AM36" s="137">
        <v>1.9900000000000001E-2</v>
      </c>
      <c r="AN36" s="137">
        <v>3.5200000000000002E-2</v>
      </c>
      <c r="AO36" s="137">
        <v>6.4699999999999994E-2</v>
      </c>
      <c r="AQ36" s="137">
        <v>5.0000000000000001E-4</v>
      </c>
      <c r="AR36" s="137">
        <v>1.4E-3</v>
      </c>
      <c r="AS36" s="137">
        <v>4.1000000000000003E-3</v>
      </c>
      <c r="AT36" s="137">
        <v>8.8000000000000005E-3</v>
      </c>
      <c r="AV36" s="137">
        <v>2.0799999999999999E-2</v>
      </c>
      <c r="AW36" s="137">
        <v>3.6999999999999998E-2</v>
      </c>
      <c r="AX36" s="137">
        <v>6.7799999999999999E-2</v>
      </c>
    </row>
    <row r="37" spans="1:50" s="79" customFormat="1" ht="10.199999999999999" x14ac:dyDescent="0.2">
      <c r="A37" s="97">
        <f t="shared" ca="1" si="3"/>
        <v>26</v>
      </c>
      <c r="B37" s="68" t="s">
        <v>114</v>
      </c>
      <c r="C37" s="98">
        <v>0.4</v>
      </c>
      <c r="D37" s="69" t="s">
        <v>66</v>
      </c>
      <c r="E37" s="138" t="s">
        <v>87</v>
      </c>
      <c r="F37" s="159">
        <v>8.9999999999999998E-4</v>
      </c>
      <c r="G37" s="159">
        <v>2.2000000000000001E-3</v>
      </c>
      <c r="H37" s="159">
        <v>3.3E-3</v>
      </c>
      <c r="I37" s="159">
        <v>4.4999999999999997E-3</v>
      </c>
      <c r="J37" s="159" t="s">
        <v>87</v>
      </c>
      <c r="K37" s="159">
        <v>6.7999999999999996E-3</v>
      </c>
      <c r="L37" s="159">
        <v>8.3999999999999995E-3</v>
      </c>
      <c r="M37" s="159">
        <v>1.01E-2</v>
      </c>
      <c r="N37" s="139">
        <f t="array" aca="1" ref="N37:AE37" ca="1">IF(OR(B37="",NOT($J$2)),"",GetStripDefaultProbability(A37,B37,Parameter_Date,CDSRollDate,E37:M37,SpreadCurveMaturities,D37,C37,$J$4,$J$6))</f>
        <v>0</v>
      </c>
      <c r="O37" s="166">
        <f ca="1"/>
        <v>8.3953730218899736E-4</v>
      </c>
      <c r="P37" s="166">
        <f ca="1"/>
        <v>3.9090269618752282E-3</v>
      </c>
      <c r="Q37" s="166">
        <f ca="1"/>
        <v>1.143455052076281E-2</v>
      </c>
      <c r="R37" s="166">
        <f ca="1"/>
        <v>2.3269030465338347E-2</v>
      </c>
      <c r="S37" s="166">
        <f ca="1"/>
        <v>0</v>
      </c>
      <c r="T37" s="166">
        <f ca="1"/>
        <v>5.8342588810349594E-2</v>
      </c>
      <c r="U37" s="166">
        <f ca="1"/>
        <v>9.9900466795566079E-2</v>
      </c>
      <c r="V37" s="140">
        <f ca="1"/>
        <v>0.16858882038425349</v>
      </c>
      <c r="W37" s="139">
        <f ca="1"/>
        <v>0</v>
      </c>
      <c r="X37" s="166">
        <f ca="1"/>
        <v>9.3277418569359671E-4</v>
      </c>
      <c r="Y37" s="166">
        <f ca="1"/>
        <v>4.1027842369896206E-3</v>
      </c>
      <c r="Z37" s="166">
        <f ca="1"/>
        <v>1.2003118544292146E-2</v>
      </c>
      <c r="AA37" s="166">
        <f ca="1"/>
        <v>2.4421757355227003E-2</v>
      </c>
      <c r="AB37" s="166">
        <f ca="1"/>
        <v>0</v>
      </c>
      <c r="AC37" s="166">
        <f ca="1"/>
        <v>6.1197123967218103E-2</v>
      </c>
      <c r="AD37" s="166">
        <f ca="1"/>
        <v>0.104700535048039</v>
      </c>
      <c r="AE37" s="140">
        <f ca="1"/>
        <v>0.17644366357437591</v>
      </c>
      <c r="AH37" s="137">
        <v>8.0000000000000004E-4</v>
      </c>
      <c r="AI37" s="137">
        <v>3.8999999999999998E-3</v>
      </c>
      <c r="AJ37" s="137">
        <v>1.14E-2</v>
      </c>
      <c r="AK37" s="137">
        <v>2.3099999999999999E-2</v>
      </c>
      <c r="AL37" s="141"/>
      <c r="AM37" s="137">
        <v>5.8000000000000003E-2</v>
      </c>
      <c r="AN37" s="137">
        <v>9.9500000000000005E-2</v>
      </c>
      <c r="AO37" s="137">
        <v>0.16789999999999999</v>
      </c>
      <c r="AQ37" s="137">
        <v>8.9999999999999998E-4</v>
      </c>
      <c r="AR37" s="137">
        <v>4.0000000000000001E-3</v>
      </c>
      <c r="AS37" s="137">
        <v>1.1900000000000001E-2</v>
      </c>
      <c r="AT37" s="137">
        <v>2.4299999999999999E-2</v>
      </c>
      <c r="AV37" s="137">
        <v>6.0900000000000003E-2</v>
      </c>
      <c r="AW37" s="137">
        <v>0.1043</v>
      </c>
      <c r="AX37" s="137">
        <v>0.17580000000000001</v>
      </c>
    </row>
    <row r="38" spans="1:50" s="79" customFormat="1" ht="10.199999999999999" x14ac:dyDescent="0.2">
      <c r="A38" s="97">
        <f t="shared" ca="1" si="3"/>
        <v>27</v>
      </c>
      <c r="B38" s="68" t="s">
        <v>115</v>
      </c>
      <c r="C38" s="98">
        <v>0.4</v>
      </c>
      <c r="D38" s="69" t="s">
        <v>66</v>
      </c>
      <c r="E38" s="138" t="s">
        <v>87</v>
      </c>
      <c r="F38" s="159">
        <v>5.0000000000000001E-4</v>
      </c>
      <c r="G38" s="159">
        <v>5.9999999999999995E-4</v>
      </c>
      <c r="H38" s="159">
        <v>1.1999999999999999E-3</v>
      </c>
      <c r="I38" s="159">
        <v>1.6000000000000001E-3</v>
      </c>
      <c r="J38" s="159" t="s">
        <v>87</v>
      </c>
      <c r="K38" s="159">
        <v>2.3E-3</v>
      </c>
      <c r="L38" s="159">
        <v>2.7000000000000001E-3</v>
      </c>
      <c r="M38" s="159">
        <v>3.3E-3</v>
      </c>
      <c r="N38" s="139">
        <f t="array" aca="1" ref="N38:AE38" ca="1">IF(OR(B38="",NOT($J$2)),"",GetStripDefaultProbability(A38,B38,Parameter_Date,CDSRollDate,E38:M38,SpreadCurveMaturities,D38,C38,$J$4,$J$6))</f>
        <v>0</v>
      </c>
      <c r="O38" s="166">
        <f ca="1"/>
        <v>4.6649647376628689E-4</v>
      </c>
      <c r="P38" s="166">
        <f ca="1"/>
        <v>1.061102768032729E-3</v>
      </c>
      <c r="Q38" s="166">
        <f ca="1"/>
        <v>4.1864094532668705E-3</v>
      </c>
      <c r="R38" s="166">
        <f ca="1"/>
        <v>8.3231742373842676E-3</v>
      </c>
      <c r="S38" s="166">
        <f ca="1"/>
        <v>0</v>
      </c>
      <c r="T38" s="166">
        <f ca="1"/>
        <v>1.9977079775658768E-2</v>
      </c>
      <c r="U38" s="166">
        <f ca="1"/>
        <v>3.271650479946786E-2</v>
      </c>
      <c r="V38" s="140">
        <f ca="1"/>
        <v>5.7632299541862442E-2</v>
      </c>
      <c r="W38" s="139">
        <f ca="1"/>
        <v>0</v>
      </c>
      <c r="X38" s="166">
        <f ca="1"/>
        <v>5.5976917815403482E-4</v>
      </c>
      <c r="Y38" s="166">
        <f ca="1"/>
        <v>1.2374185751623523E-3</v>
      </c>
      <c r="Z38" s="166">
        <f ca="1"/>
        <v>4.5294720761455132E-3</v>
      </c>
      <c r="AA38" s="166">
        <f ca="1"/>
        <v>8.8315618908797466E-3</v>
      </c>
      <c r="AB38" s="166">
        <f ca="1"/>
        <v>0</v>
      </c>
      <c r="AC38" s="166">
        <f ca="1"/>
        <v>2.0946578472599842E-2</v>
      </c>
      <c r="AD38" s="166">
        <f ca="1"/>
        <v>3.4311520731565848E-2</v>
      </c>
      <c r="AE38" s="140">
        <f ca="1"/>
        <v>6.0424818096223243E-2</v>
      </c>
      <c r="AH38" s="137">
        <v>5.0000000000000001E-4</v>
      </c>
      <c r="AI38" s="137">
        <v>1E-3</v>
      </c>
      <c r="AJ38" s="137">
        <v>4.1000000000000003E-3</v>
      </c>
      <c r="AK38" s="137">
        <v>8.3000000000000001E-3</v>
      </c>
      <c r="AL38" s="141"/>
      <c r="AM38" s="137">
        <v>1.9900000000000001E-2</v>
      </c>
      <c r="AN38" s="137">
        <v>3.2599999999999997E-2</v>
      </c>
      <c r="AO38" s="137">
        <v>5.7299999999999997E-2</v>
      </c>
      <c r="AQ38" s="137">
        <v>5.0000000000000001E-4</v>
      </c>
      <c r="AR38" s="137">
        <v>1.1999999999999999E-3</v>
      </c>
      <c r="AS38" s="137">
        <v>4.4999999999999997E-3</v>
      </c>
      <c r="AT38" s="137">
        <v>8.8000000000000005E-3</v>
      </c>
      <c r="AV38" s="137">
        <v>2.0799999999999999E-2</v>
      </c>
      <c r="AW38" s="137">
        <v>3.4200000000000001E-2</v>
      </c>
      <c r="AX38" s="137">
        <v>6.0100000000000001E-2</v>
      </c>
    </row>
    <row r="39" spans="1:50" s="79" customFormat="1" ht="10.199999999999999" x14ac:dyDescent="0.2">
      <c r="A39" s="97">
        <f t="shared" ca="1" si="3"/>
        <v>28</v>
      </c>
      <c r="B39" s="68" t="s">
        <v>116</v>
      </c>
      <c r="C39" s="98">
        <v>0.4</v>
      </c>
      <c r="D39" s="69" t="s">
        <v>66</v>
      </c>
      <c r="E39" s="138" t="s">
        <v>87</v>
      </c>
      <c r="F39" s="159">
        <v>1E-3</v>
      </c>
      <c r="G39" s="159">
        <v>1.2999999999999999E-3</v>
      </c>
      <c r="H39" s="159">
        <v>2.3E-3</v>
      </c>
      <c r="I39" s="159">
        <v>3.3999999999999998E-3</v>
      </c>
      <c r="J39" s="159" t="s">
        <v>87</v>
      </c>
      <c r="K39" s="159">
        <v>5.1000000000000004E-3</v>
      </c>
      <c r="L39" s="159">
        <v>6.4999999999999997E-3</v>
      </c>
      <c r="M39" s="159">
        <v>7.6E-3</v>
      </c>
      <c r="N39" s="139">
        <f t="array" aca="1" ref="N39:AE39" ca="1">IF(OR(B39="",NOT($J$2)),"",GetStripDefaultProbability(A39,B39,Parameter_Date,CDSRollDate,E39:M39,SpreadCurveMaturities,D39,C39,$J$4,$J$6))</f>
        <v>0</v>
      </c>
      <c r="O39" s="166">
        <f ca="1"/>
        <v>9.3277580402983951E-4</v>
      </c>
      <c r="P39" s="166">
        <f ca="1"/>
        <v>2.2999115711370699E-3</v>
      </c>
      <c r="Q39" s="166">
        <f ca="1"/>
        <v>7.9994020222421414E-3</v>
      </c>
      <c r="R39" s="166">
        <f ca="1"/>
        <v>1.7683264412422517E-2</v>
      </c>
      <c r="S39" s="166">
        <f ca="1"/>
        <v>0</v>
      </c>
      <c r="T39" s="166">
        <f ca="1"/>
        <v>4.4009985978712973E-2</v>
      </c>
      <c r="U39" s="166">
        <f ca="1"/>
        <v>7.8269251803164464E-2</v>
      </c>
      <c r="V39" s="140">
        <f ca="1"/>
        <v>0.12842174128374917</v>
      </c>
      <c r="W39" s="139">
        <f ca="1"/>
        <v>0</v>
      </c>
      <c r="X39" s="166">
        <f ca="1"/>
        <v>1.0260036394392769E-3</v>
      </c>
      <c r="Y39" s="166">
        <f ca="1"/>
        <v>2.4760280544255941E-3</v>
      </c>
      <c r="Z39" s="166">
        <f ca="1"/>
        <v>8.3941858455670593E-3</v>
      </c>
      <c r="AA39" s="166">
        <f ca="1"/>
        <v>1.8558467898831754E-2</v>
      </c>
      <c r="AB39" s="166">
        <f ca="1"/>
        <v>0</v>
      </c>
      <c r="AC39" s="166">
        <f ca="1"/>
        <v>4.6166242027479099E-2</v>
      </c>
      <c r="AD39" s="166">
        <f ca="1"/>
        <v>8.206460281574679E-2</v>
      </c>
      <c r="AE39" s="140">
        <f ca="1"/>
        <v>0.13449830282572595</v>
      </c>
      <c r="AH39" s="137">
        <v>8.9999999999999998E-4</v>
      </c>
      <c r="AI39" s="137">
        <v>2.3E-3</v>
      </c>
      <c r="AJ39" s="137">
        <v>7.9000000000000008E-3</v>
      </c>
      <c r="AK39" s="137">
        <v>1.7600000000000001E-2</v>
      </c>
      <c r="AM39" s="137">
        <v>4.3799999999999999E-2</v>
      </c>
      <c r="AN39" s="137">
        <v>7.7899999999999997E-2</v>
      </c>
      <c r="AO39" s="137">
        <v>0.12820000000000001</v>
      </c>
      <c r="AQ39" s="137">
        <v>1E-3</v>
      </c>
      <c r="AR39" s="137">
        <v>2.3999999999999998E-3</v>
      </c>
      <c r="AS39" s="137">
        <v>8.3000000000000001E-3</v>
      </c>
      <c r="AT39" s="137">
        <v>1.84E-2</v>
      </c>
      <c r="AV39" s="137">
        <v>4.5900000000000003E-2</v>
      </c>
      <c r="AW39" s="137">
        <v>8.1699999999999995E-2</v>
      </c>
      <c r="AX39" s="137">
        <v>0.13420000000000001</v>
      </c>
    </row>
    <row r="40" spans="1:50" s="79" customFormat="1" ht="10.199999999999999" x14ac:dyDescent="0.2">
      <c r="A40" s="97">
        <f t="shared" ca="1" si="3"/>
        <v>29</v>
      </c>
      <c r="B40" s="68" t="s">
        <v>117</v>
      </c>
      <c r="C40" s="98">
        <v>0.4</v>
      </c>
      <c r="D40" s="69" t="s">
        <v>66</v>
      </c>
      <c r="E40" s="138" t="s">
        <v>87</v>
      </c>
      <c r="F40" s="159">
        <v>1.91E-3</v>
      </c>
      <c r="G40" s="159">
        <v>2.1800000000000001E-3</v>
      </c>
      <c r="H40" s="159">
        <v>2.9099999999999998E-3</v>
      </c>
      <c r="I40" s="159">
        <v>3.48E-3</v>
      </c>
      <c r="J40" s="159" t="s">
        <v>87</v>
      </c>
      <c r="K40" s="159">
        <v>4.3E-3</v>
      </c>
      <c r="L40" s="159">
        <v>4.7499999999999999E-3</v>
      </c>
      <c r="M40" s="159">
        <v>5.1000000000000004E-3</v>
      </c>
      <c r="N40" s="139">
        <f t="array" aca="1" ref="N40:AE40" ca="1">IF(OR(B40="",NOT($J$2)),"",GetStripDefaultProbability(A40,B40,Parameter_Date,CDSRollDate,E40:M40,SpreadCurveMaturities,D40,C40,$J$4,$J$6))</f>
        <v>0</v>
      </c>
      <c r="O40" s="166">
        <f ca="1"/>
        <v>1.780847446629541E-3</v>
      </c>
      <c r="P40" s="166">
        <f ca="1"/>
        <v>3.8478634782697085E-3</v>
      </c>
      <c r="Q40" s="166">
        <f ca="1"/>
        <v>1.005329858402304E-2</v>
      </c>
      <c r="R40" s="166">
        <f ca="1"/>
        <v>1.7904118574342043E-2</v>
      </c>
      <c r="S40" s="166">
        <f ca="1"/>
        <v>0</v>
      </c>
      <c r="T40" s="166">
        <f ca="1"/>
        <v>3.6653517866299223E-2</v>
      </c>
      <c r="U40" s="166">
        <f ca="1"/>
        <v>5.6243172037278577E-2</v>
      </c>
      <c r="V40" s="140">
        <f ca="1"/>
        <v>8.526102785697709E-2</v>
      </c>
      <c r="W40" s="139">
        <f ca="1"/>
        <v>0</v>
      </c>
      <c r="X40" s="166">
        <f ca="1"/>
        <v>1.8739911530948339E-3</v>
      </c>
      <c r="Y40" s="166">
        <f ca="1"/>
        <v>4.0397700470243825E-3</v>
      </c>
      <c r="Z40" s="166">
        <f ca="1"/>
        <v>1.0553704731397051E-2</v>
      </c>
      <c r="AA40" s="166">
        <f ca="1"/>
        <v>1.8792270706212366E-2</v>
      </c>
      <c r="AB40" s="166">
        <f ca="1"/>
        <v>0</v>
      </c>
      <c r="AC40" s="166">
        <f ca="1"/>
        <v>3.8457340928681694E-2</v>
      </c>
      <c r="AD40" s="166">
        <f ca="1"/>
        <v>5.8984515656660297E-2</v>
      </c>
      <c r="AE40" s="140">
        <f ca="1"/>
        <v>8.9355257437830904E-2</v>
      </c>
      <c r="AH40" s="137">
        <v>1.6999999999999999E-3</v>
      </c>
      <c r="AI40" s="137">
        <v>3.8E-3</v>
      </c>
      <c r="AJ40" s="137">
        <v>0.01</v>
      </c>
      <c r="AK40" s="137">
        <v>1.78E-2</v>
      </c>
      <c r="AM40" s="137">
        <v>3.6499999999999998E-2</v>
      </c>
      <c r="AN40" s="137">
        <v>5.6099999999999997E-2</v>
      </c>
      <c r="AO40" s="137">
        <v>8.5099999999999995E-2</v>
      </c>
      <c r="AQ40" s="137">
        <v>1.8E-3</v>
      </c>
      <c r="AR40" s="137">
        <v>4.0000000000000001E-3</v>
      </c>
      <c r="AS40" s="137">
        <v>1.0500000000000001E-2</v>
      </c>
      <c r="AT40" s="137">
        <v>1.8700000000000001E-2</v>
      </c>
      <c r="AV40" s="137">
        <v>3.8300000000000001E-2</v>
      </c>
      <c r="AW40" s="137">
        <v>5.8799999999999998E-2</v>
      </c>
      <c r="AX40" s="137">
        <v>8.9200000000000002E-2</v>
      </c>
    </row>
    <row r="41" spans="1:50" s="79" customFormat="1" ht="10.199999999999999" x14ac:dyDescent="0.2">
      <c r="A41" s="97">
        <f t="shared" ca="1" si="3"/>
        <v>30</v>
      </c>
      <c r="B41" s="68" t="s">
        <v>118</v>
      </c>
      <c r="C41" s="98">
        <v>0.4</v>
      </c>
      <c r="D41" s="69" t="s">
        <v>66</v>
      </c>
      <c r="E41" s="138" t="s">
        <v>87</v>
      </c>
      <c r="F41" s="159">
        <v>4.0000000000000002E-4</v>
      </c>
      <c r="G41" s="159">
        <v>6.9999999999999999E-4</v>
      </c>
      <c r="H41" s="159">
        <v>1.1999999999999999E-3</v>
      </c>
      <c r="I41" s="159">
        <v>1.9E-3</v>
      </c>
      <c r="J41" s="159" t="s">
        <v>87</v>
      </c>
      <c r="K41" s="159">
        <v>2.8E-3</v>
      </c>
      <c r="L41" s="159">
        <v>3.5999999999999999E-3</v>
      </c>
      <c r="M41" s="159">
        <v>4.4000000000000003E-3</v>
      </c>
      <c r="N41" s="139">
        <f t="array" aca="1" ref="N41:AE41" ca="1">IF(OR(B41="",NOT($J$2)),"",GetStripDefaultProbability(A41,B41,Parameter_Date,CDSRollDate,E41:M41,SpreadCurveMaturities,D41,C41,$J$4,$J$6))</f>
        <v>0</v>
      </c>
      <c r="O41" s="166">
        <f ca="1"/>
        <v>3.7321455535799242E-4</v>
      </c>
      <c r="P41" s="166">
        <f ca="1"/>
        <v>1.2425599531954434E-3</v>
      </c>
      <c r="Q41" s="166">
        <f ca="1"/>
        <v>4.1779983070613369E-3</v>
      </c>
      <c r="R41" s="166">
        <f ca="1"/>
        <v>9.9286164229577256E-3</v>
      </c>
      <c r="S41" s="166">
        <f ca="1"/>
        <v>0</v>
      </c>
      <c r="T41" s="166">
        <f ca="1"/>
        <v>2.431008126826395E-2</v>
      </c>
      <c r="U41" s="166">
        <f ca="1"/>
        <v>4.3916307658782627E-2</v>
      </c>
      <c r="V41" s="140">
        <f ca="1"/>
        <v>7.645855573008753E-2</v>
      </c>
      <c r="W41" s="139">
        <f ca="1"/>
        <v>0</v>
      </c>
      <c r="X41" s="166">
        <f ca="1"/>
        <v>4.6649612398852458E-4</v>
      </c>
      <c r="Y41" s="166">
        <f ca="1"/>
        <v>1.4188629351529203E-3</v>
      </c>
      <c r="Z41" s="166">
        <f ca="1"/>
        <v>4.521030634863421E-3</v>
      </c>
      <c r="AA41" s="166">
        <f ca="1"/>
        <v>1.0436484710048877E-2</v>
      </c>
      <c r="AB41" s="166">
        <f ca="1"/>
        <v>0</v>
      </c>
      <c r="AC41" s="166">
        <f ca="1"/>
        <v>2.5503745212362317E-2</v>
      </c>
      <c r="AD41" s="166">
        <f ca="1"/>
        <v>4.6064298057657105E-2</v>
      </c>
      <c r="AE41" s="140">
        <f ca="1"/>
        <v>8.016022177345139E-2</v>
      </c>
      <c r="AH41" s="137">
        <v>4.0000000000000002E-4</v>
      </c>
      <c r="AI41" s="137">
        <v>1.1999999999999999E-3</v>
      </c>
      <c r="AJ41" s="137">
        <v>4.1000000000000003E-3</v>
      </c>
      <c r="AK41" s="137">
        <v>9.9000000000000008E-3</v>
      </c>
      <c r="AM41" s="137">
        <v>2.4199999999999999E-2</v>
      </c>
      <c r="AN41" s="137">
        <v>4.3700000000000003E-2</v>
      </c>
      <c r="AO41" s="137">
        <v>7.6300000000000007E-2</v>
      </c>
      <c r="AQ41" s="137">
        <v>4.0000000000000002E-4</v>
      </c>
      <c r="AR41" s="137">
        <v>1.4E-3</v>
      </c>
      <c r="AS41" s="137">
        <v>4.4999999999999997E-3</v>
      </c>
      <c r="AT41" s="137">
        <v>1.04E-2</v>
      </c>
      <c r="AV41" s="137">
        <v>2.5399999999999999E-2</v>
      </c>
      <c r="AW41" s="137">
        <v>4.5900000000000003E-2</v>
      </c>
      <c r="AX41" s="137">
        <v>0.08</v>
      </c>
    </row>
    <row r="42" spans="1:50" s="79" customFormat="1" ht="10.199999999999999" x14ac:dyDescent="0.2">
      <c r="A42" s="97">
        <f t="shared" ca="1" si="3"/>
        <v>31</v>
      </c>
      <c r="B42" s="68" t="s">
        <v>119</v>
      </c>
      <c r="C42" s="98">
        <v>0.4</v>
      </c>
      <c r="D42" s="69" t="s">
        <v>66</v>
      </c>
      <c r="E42" s="138" t="s">
        <v>87</v>
      </c>
      <c r="F42" s="159">
        <v>8.9999999999999998E-4</v>
      </c>
      <c r="G42" s="159">
        <v>1.8E-3</v>
      </c>
      <c r="H42" s="159">
        <v>3.5000000000000001E-3</v>
      </c>
      <c r="I42" s="159">
        <v>4.1000000000000003E-3</v>
      </c>
      <c r="J42" s="159" t="s">
        <v>87</v>
      </c>
      <c r="K42" s="159">
        <v>5.8999999999999999E-3</v>
      </c>
      <c r="L42" s="159">
        <v>7.1999999999999998E-3</v>
      </c>
      <c r="M42" s="159">
        <v>8.5000000000000006E-3</v>
      </c>
      <c r="N42" s="139">
        <f t="array" aca="1" ref="N42:AE42" ca="1">IF(OR(B42="",NOT($J$2)),"",GetStripDefaultProbability(A42,B42,Parameter_Date,CDSRollDate,E42:M42,SpreadCurveMaturities,D42,C42,$J$4,$J$6))</f>
        <v>0</v>
      </c>
      <c r="O42" s="166">
        <f ca="1"/>
        <v>8.3953730218899736E-4</v>
      </c>
      <c r="P42" s="166">
        <f ca="1"/>
        <v>3.1954537167323549E-3</v>
      </c>
      <c r="Q42" s="166">
        <f ca="1"/>
        <v>1.2177593814540644E-2</v>
      </c>
      <c r="R42" s="166">
        <f ca="1"/>
        <v>2.1121119812234301E-2</v>
      </c>
      <c r="S42" s="166">
        <f ca="1"/>
        <v>0</v>
      </c>
      <c r="T42" s="166">
        <f ca="1"/>
        <v>5.0677329407548322E-2</v>
      </c>
      <c r="U42" s="166">
        <f ca="1"/>
        <v>8.5791236240056468E-2</v>
      </c>
      <c r="V42" s="140">
        <f ca="1"/>
        <v>0.14281952996625857</v>
      </c>
      <c r="W42" s="139">
        <f ca="1"/>
        <v>0</v>
      </c>
      <c r="X42" s="166">
        <f ca="1"/>
        <v>9.3277418569359671E-4</v>
      </c>
      <c r="Y42" s="166">
        <f ca="1"/>
        <v>3.3714702230741578E-3</v>
      </c>
      <c r="Z42" s="166">
        <f ca="1"/>
        <v>1.278293811717246E-2</v>
      </c>
      <c r="AA42" s="166">
        <f ca="1"/>
        <v>2.2164620569505078E-2</v>
      </c>
      <c r="AB42" s="166">
        <f ca="1"/>
        <v>0</v>
      </c>
      <c r="AC42" s="166">
        <f ca="1"/>
        <v>5.316178199440158E-2</v>
      </c>
      <c r="AD42" s="166">
        <f ca="1"/>
        <v>8.9933782704061049E-2</v>
      </c>
      <c r="AE42" s="140">
        <f ca="1"/>
        <v>0.14954146180345929</v>
      </c>
      <c r="AH42" s="137">
        <v>8.0000000000000004E-4</v>
      </c>
      <c r="AI42" s="137">
        <v>3.2000000000000002E-3</v>
      </c>
      <c r="AJ42" s="137">
        <v>1.21E-2</v>
      </c>
      <c r="AK42" s="137">
        <v>2.1000000000000001E-2</v>
      </c>
      <c r="AM42" s="137">
        <v>5.0299999999999997E-2</v>
      </c>
      <c r="AN42" s="137">
        <v>8.5500000000000007E-2</v>
      </c>
      <c r="AO42" s="137">
        <v>0.1421</v>
      </c>
      <c r="AQ42" s="137">
        <v>8.9999999999999998E-4</v>
      </c>
      <c r="AR42" s="137">
        <v>3.3E-3</v>
      </c>
      <c r="AS42" s="137">
        <v>1.2699999999999999E-2</v>
      </c>
      <c r="AT42" s="137">
        <v>2.2100000000000002E-2</v>
      </c>
      <c r="AV42" s="137">
        <v>5.28E-2</v>
      </c>
      <c r="AW42" s="137">
        <v>8.9599999999999999E-2</v>
      </c>
      <c r="AX42" s="137">
        <v>0.14879999999999999</v>
      </c>
    </row>
    <row r="43" spans="1:50" s="79" customFormat="1" ht="10.199999999999999" x14ac:dyDescent="0.2">
      <c r="A43" s="97">
        <f t="shared" ca="1" si="3"/>
        <v>32</v>
      </c>
      <c r="B43" s="68" t="s">
        <v>120</v>
      </c>
      <c r="C43" s="98">
        <v>0.4</v>
      </c>
      <c r="D43" s="69" t="s">
        <v>66</v>
      </c>
      <c r="E43" s="138" t="s">
        <v>87</v>
      </c>
      <c r="F43" s="159">
        <v>3.3E-4</v>
      </c>
      <c r="G43" s="159">
        <v>9.1E-4</v>
      </c>
      <c r="H43" s="159">
        <v>1.64E-3</v>
      </c>
      <c r="I43" s="159">
        <v>2.1800000000000001E-3</v>
      </c>
      <c r="J43" s="159" t="s">
        <v>87</v>
      </c>
      <c r="K43" s="159">
        <v>3.0000000000000001E-3</v>
      </c>
      <c r="L43" s="159">
        <v>3.4499999999999999E-3</v>
      </c>
      <c r="M43" s="159">
        <v>3.8E-3</v>
      </c>
      <c r="N43" s="139">
        <f t="array" aca="1" ref="N43:AE43" ca="1">IF(OR(B43="",NOT($J$2)),"",GetStripDefaultProbability(A43,B43,Parameter_Date,CDSRollDate,E43:M43,SpreadCurveMaturities,D43,C43,$J$4,$J$6))</f>
        <v>0</v>
      </c>
      <c r="O43" s="166">
        <f ca="1"/>
        <v>3.0791204380475889E-4</v>
      </c>
      <c r="P43" s="166">
        <f ca="1"/>
        <v>1.6197995599304127E-3</v>
      </c>
      <c r="Q43" s="166">
        <f ca="1"/>
        <v>5.7103174978389015E-3</v>
      </c>
      <c r="R43" s="166">
        <f ca="1"/>
        <v>1.1330875149655695E-2</v>
      </c>
      <c r="S43" s="166">
        <f ca="1"/>
        <v>0</v>
      </c>
      <c r="T43" s="166">
        <f ca="1"/>
        <v>2.5923388199318831E-2</v>
      </c>
      <c r="U43" s="166">
        <f ca="1"/>
        <v>4.1529396712437827E-2</v>
      </c>
      <c r="V43" s="140">
        <f ca="1"/>
        <v>6.482165789768346E-2</v>
      </c>
      <c r="W43" s="139">
        <f ca="1"/>
        <v>0</v>
      </c>
      <c r="X43" s="166">
        <f ca="1"/>
        <v>4.0119979617647683E-4</v>
      </c>
      <c r="Y43" s="166">
        <f ca="1"/>
        <v>1.796062858686609E-3</v>
      </c>
      <c r="Z43" s="166">
        <f ca="1"/>
        <v>6.0529201874730543E-3</v>
      </c>
      <c r="AA43" s="166">
        <f ca="1"/>
        <v>1.1886128103962168E-2</v>
      </c>
      <c r="AB43" s="166">
        <f ca="1"/>
        <v>0</v>
      </c>
      <c r="AC43" s="166">
        <f ca="1"/>
        <v>2.7199672826520804E-2</v>
      </c>
      <c r="AD43" s="166">
        <f ca="1"/>
        <v>4.3560758616911222E-2</v>
      </c>
      <c r="AE43" s="140">
        <f ca="1"/>
        <v>6.7964849611492295E-2</v>
      </c>
      <c r="AH43" s="137">
        <v>2.9999999999999997E-4</v>
      </c>
      <c r="AI43" s="137">
        <v>1.6000000000000001E-3</v>
      </c>
      <c r="AJ43" s="137">
        <v>5.7000000000000002E-3</v>
      </c>
      <c r="AK43" s="137">
        <v>1.1299999999999999E-2</v>
      </c>
      <c r="AM43" s="137">
        <v>2.58E-2</v>
      </c>
      <c r="AN43" s="137">
        <v>4.1399999999999999E-2</v>
      </c>
      <c r="AO43" s="137">
        <v>6.4699999999999994E-2</v>
      </c>
      <c r="AQ43" s="137">
        <v>4.0000000000000002E-4</v>
      </c>
      <c r="AR43" s="137">
        <v>1.8E-3</v>
      </c>
      <c r="AS43" s="137">
        <v>6.0000000000000001E-3</v>
      </c>
      <c r="AT43" s="137">
        <v>1.18E-2</v>
      </c>
      <c r="AV43" s="137">
        <v>2.7099999999999999E-2</v>
      </c>
      <c r="AW43" s="137">
        <v>4.3400000000000001E-2</v>
      </c>
      <c r="AX43" s="137">
        <v>6.7799999999999999E-2</v>
      </c>
    </row>
    <row r="44" spans="1:50" s="79" customFormat="1" ht="10.199999999999999" x14ac:dyDescent="0.2">
      <c r="A44" s="97">
        <f t="shared" ca="1" si="3"/>
        <v>33</v>
      </c>
      <c r="B44" s="68" t="s">
        <v>121</v>
      </c>
      <c r="C44" s="98">
        <v>0.4</v>
      </c>
      <c r="D44" s="69" t="s">
        <v>66</v>
      </c>
      <c r="E44" s="138" t="s">
        <v>87</v>
      </c>
      <c r="F44" s="159">
        <v>8.3000000000000001E-4</v>
      </c>
      <c r="G44" s="159">
        <v>1.7600000000000001E-3</v>
      </c>
      <c r="H44" s="159">
        <v>2.8300000000000001E-3</v>
      </c>
      <c r="I44" s="159">
        <v>3.5100000000000001E-3</v>
      </c>
      <c r="J44" s="159" t="s">
        <v>87</v>
      </c>
      <c r="K44" s="159">
        <v>4.7999999999999996E-3</v>
      </c>
      <c r="L44" s="159">
        <v>5.3E-3</v>
      </c>
      <c r="M44" s="159">
        <v>5.7000000000000002E-3</v>
      </c>
      <c r="N44" s="139">
        <f t="array" aca="1" ref="N44:AE44" ca="1">IF(OR(B44="",NOT($J$2)),"",GetStripDefaultProbability(A44,B44,Parameter_Date,CDSRollDate,E44:M44,SpreadCurveMaturities,D44,C44,$J$4,$J$6))</f>
        <v>0</v>
      </c>
      <c r="O44" s="166">
        <f ca="1"/>
        <v>7.7426518583145754E-4</v>
      </c>
      <c r="P44" s="166">
        <f ca="1"/>
        <v>3.1257715709398504E-3</v>
      </c>
      <c r="Q44" s="166">
        <f ca="1"/>
        <v>9.8133292757109913E-3</v>
      </c>
      <c r="R44" s="166">
        <f ca="1"/>
        <v>1.8133342793250184E-2</v>
      </c>
      <c r="S44" s="166">
        <f ca="1"/>
        <v>0</v>
      </c>
      <c r="T44" s="166">
        <f ca="1"/>
        <v>4.1189098904844901E-2</v>
      </c>
      <c r="U44" s="166">
        <f ca="1"/>
        <v>6.2865931753711246E-2</v>
      </c>
      <c r="V44" s="140">
        <f ca="1"/>
        <v>9.5305435287623474E-2</v>
      </c>
      <c r="W44" s="139">
        <f ca="1"/>
        <v>0</v>
      </c>
      <c r="X44" s="166">
        <f ca="1"/>
        <v>8.675083806602979E-4</v>
      </c>
      <c r="Y44" s="166">
        <f ca="1"/>
        <v>3.3018032688907351E-3</v>
      </c>
      <c r="Z44" s="166">
        <f ca="1"/>
        <v>1.0301575055235546E-2</v>
      </c>
      <c r="AA44" s="166">
        <f ca="1"/>
        <v>1.90313109404735E-2</v>
      </c>
      <c r="AB44" s="166">
        <f ca="1"/>
        <v>0</v>
      </c>
      <c r="AC44" s="166">
        <f ca="1"/>
        <v>4.3213379065031643E-2</v>
      </c>
      <c r="AD44" s="166">
        <f ca="1"/>
        <v>6.5921741334835637E-2</v>
      </c>
      <c r="AE44" s="140">
        <f ca="1"/>
        <v>9.9862889788832732E-2</v>
      </c>
      <c r="AH44" s="137">
        <v>8.0000000000000004E-4</v>
      </c>
      <c r="AI44" s="137">
        <v>3.0999999999999999E-3</v>
      </c>
      <c r="AJ44" s="137">
        <v>9.7000000000000003E-3</v>
      </c>
      <c r="AK44" s="137">
        <v>1.7999999999999999E-2</v>
      </c>
      <c r="AM44" s="137">
        <v>4.1000000000000002E-2</v>
      </c>
      <c r="AN44" s="137">
        <v>6.2700000000000006E-2</v>
      </c>
      <c r="AO44" s="137">
        <v>9.5000000000000001E-2</v>
      </c>
      <c r="AQ44" s="137">
        <v>8.0000000000000004E-4</v>
      </c>
      <c r="AR44" s="137">
        <v>3.2000000000000002E-3</v>
      </c>
      <c r="AS44" s="137">
        <v>1.0200000000000001E-2</v>
      </c>
      <c r="AT44" s="137">
        <v>1.89E-2</v>
      </c>
      <c r="AV44" s="137">
        <v>4.2999999999999997E-2</v>
      </c>
      <c r="AW44" s="137">
        <v>6.5799999999999997E-2</v>
      </c>
      <c r="AX44" s="137">
        <v>9.9500000000000005E-2</v>
      </c>
    </row>
    <row r="45" spans="1:50" s="79" customFormat="1" ht="10.199999999999999" x14ac:dyDescent="0.2">
      <c r="A45" s="97">
        <f t="shared" ca="1" si="3"/>
        <v>34</v>
      </c>
      <c r="B45" s="68" t="s">
        <v>122</v>
      </c>
      <c r="C45" s="98">
        <v>0.4</v>
      </c>
      <c r="D45" s="69" t="s">
        <v>66</v>
      </c>
      <c r="E45" s="138" t="s">
        <v>87</v>
      </c>
      <c r="F45" s="159">
        <v>1.1999999999999999E-3</v>
      </c>
      <c r="G45" s="159">
        <v>1.4E-3</v>
      </c>
      <c r="H45" s="159">
        <v>1.8E-3</v>
      </c>
      <c r="I45" s="159">
        <v>2.3E-3</v>
      </c>
      <c r="J45" s="159" t="s">
        <v>87</v>
      </c>
      <c r="K45" s="159">
        <v>2.7000000000000001E-3</v>
      </c>
      <c r="L45" s="159">
        <v>3.3E-3</v>
      </c>
      <c r="M45" s="159">
        <v>4.1000000000000003E-3</v>
      </c>
      <c r="N45" s="139">
        <f t="array" aca="1" ref="N45:AE45" ca="1">IF(OR(B45="",NOT($J$2)),"",GetStripDefaultProbability(A45,B45,Parameter_Date,CDSRollDate,E45:M45,SpreadCurveMaturities,D45,C45,$J$4,$J$6))</f>
        <v>0</v>
      </c>
      <c r="O45" s="166">
        <f ca="1"/>
        <v>1.1192267699196012E-3</v>
      </c>
      <c r="P45" s="166">
        <f ca="1"/>
        <v>2.4734084996593797E-3</v>
      </c>
      <c r="Q45" s="166">
        <f ca="1"/>
        <v>6.2231878190665002E-3</v>
      </c>
      <c r="R45" s="166">
        <f ca="1"/>
        <v>1.1891567498132916E-2</v>
      </c>
      <c r="S45" s="166">
        <f ca="1"/>
        <v>0</v>
      </c>
      <c r="T45" s="166">
        <f ca="1"/>
        <v>2.3059242373608346E-2</v>
      </c>
      <c r="U45" s="166">
        <f ca="1"/>
        <v>3.9788826781602116E-2</v>
      </c>
      <c r="V45" s="140">
        <f ca="1"/>
        <v>7.1010894882188591E-2</v>
      </c>
      <c r="W45" s="139">
        <f ca="1"/>
        <v>0</v>
      </c>
      <c r="X45" s="166">
        <f ca="1"/>
        <v>1.2124363949111983E-3</v>
      </c>
      <c r="Y45" s="166">
        <f ca="1"/>
        <v>2.6494844830977637E-3</v>
      </c>
      <c r="Z45" s="166">
        <f ca="1"/>
        <v>6.5654733006850208E-3</v>
      </c>
      <c r="AA45" s="166">
        <f ca="1"/>
        <v>1.2478400934154643E-2</v>
      </c>
      <c r="AB45" s="166">
        <f ca="1"/>
        <v>0</v>
      </c>
      <c r="AC45" s="166">
        <f ca="1"/>
        <v>2.4196458922096875E-2</v>
      </c>
      <c r="AD45" s="166">
        <f ca="1"/>
        <v>4.1741235951998745E-2</v>
      </c>
      <c r="AE45" s="140">
        <f ca="1"/>
        <v>7.4457779533136925E-2</v>
      </c>
      <c r="AH45" s="137">
        <v>1.1000000000000001E-3</v>
      </c>
      <c r="AI45" s="137">
        <v>2.3999999999999998E-3</v>
      </c>
      <c r="AJ45" s="137">
        <v>6.1999999999999998E-3</v>
      </c>
      <c r="AK45" s="137">
        <v>1.18E-2</v>
      </c>
      <c r="AM45" s="137">
        <v>2.3E-2</v>
      </c>
      <c r="AN45" s="137">
        <v>3.9600000000000003E-2</v>
      </c>
      <c r="AO45" s="137">
        <v>7.0900000000000005E-2</v>
      </c>
      <c r="AQ45" s="137">
        <v>1.1999999999999999E-3</v>
      </c>
      <c r="AR45" s="137">
        <v>2.5999999999999999E-3</v>
      </c>
      <c r="AS45" s="137">
        <v>6.4999999999999997E-3</v>
      </c>
      <c r="AT45" s="137">
        <v>1.24E-2</v>
      </c>
      <c r="AV45" s="137">
        <v>2.41E-2</v>
      </c>
      <c r="AW45" s="137">
        <v>4.1599999999999998E-2</v>
      </c>
      <c r="AX45" s="137">
        <v>7.4300000000000005E-2</v>
      </c>
    </row>
    <row r="46" spans="1:50" s="79" customFormat="1" ht="10.199999999999999" x14ac:dyDescent="0.2">
      <c r="A46" s="97">
        <f t="shared" ca="1" si="3"/>
        <v>35</v>
      </c>
      <c r="B46" s="68" t="s">
        <v>123</v>
      </c>
      <c r="C46" s="98">
        <v>0.4</v>
      </c>
      <c r="D46" s="69" t="s">
        <v>66</v>
      </c>
      <c r="E46" s="138" t="s">
        <v>87</v>
      </c>
      <c r="F46" s="159">
        <v>4.0000000000000002E-4</v>
      </c>
      <c r="G46" s="159">
        <v>8.9999999999999998E-4</v>
      </c>
      <c r="H46" s="159">
        <v>1.4E-3</v>
      </c>
      <c r="I46" s="159">
        <v>1.8E-3</v>
      </c>
      <c r="J46" s="159" t="s">
        <v>87</v>
      </c>
      <c r="K46" s="159">
        <v>2.7000000000000001E-3</v>
      </c>
      <c r="L46" s="159">
        <v>3.3999999999999998E-3</v>
      </c>
      <c r="M46" s="159">
        <v>4.1000000000000003E-3</v>
      </c>
      <c r="N46" s="139">
        <f t="array" aca="1" ref="N46:AE46" ca="1">IF(OR(B46="",NOT($J$2)),"",GetStripDefaultProbability(A46,B46,Parameter_Date,CDSRollDate,E46:M46,SpreadCurveMaturities,D46,C46,$J$4,$J$6))</f>
        <v>0</v>
      </c>
      <c r="O46" s="166">
        <f ca="1"/>
        <v>3.7321455535799242E-4</v>
      </c>
      <c r="P46" s="166">
        <f ca="1"/>
        <v>1.6001863943641004E-3</v>
      </c>
      <c r="Q46" s="166">
        <f ca="1"/>
        <v>4.8623435854825425E-3</v>
      </c>
      <c r="R46" s="166">
        <f ca="1"/>
        <v>9.3409341673347246E-3</v>
      </c>
      <c r="S46" s="166">
        <f ca="1"/>
        <v>0</v>
      </c>
      <c r="T46" s="166">
        <f ca="1"/>
        <v>2.3448138933202745E-2</v>
      </c>
      <c r="U46" s="166">
        <f ca="1"/>
        <v>4.1390417394715939E-2</v>
      </c>
      <c r="V46" s="140">
        <f ca="1"/>
        <v>7.1231799244056204E-2</v>
      </c>
      <c r="W46" s="139">
        <f ca="1"/>
        <v>0</v>
      </c>
      <c r="X46" s="166">
        <f ca="1"/>
        <v>4.6649612398852458E-4</v>
      </c>
      <c r="Y46" s="166">
        <f ca="1"/>
        <v>1.7764454759706672E-3</v>
      </c>
      <c r="Z46" s="166">
        <f ca="1"/>
        <v>5.2051456895787496E-3</v>
      </c>
      <c r="AA46" s="166">
        <f ca="1"/>
        <v>9.8487993794525996E-3</v>
      </c>
      <c r="AB46" s="166">
        <f ca="1"/>
        <v>0</v>
      </c>
      <c r="AC46" s="166">
        <f ca="1"/>
        <v>2.4597140713314647E-2</v>
      </c>
      <c r="AD46" s="166">
        <f ca="1"/>
        <v>4.3413025472020195E-2</v>
      </c>
      <c r="AE46" s="140">
        <f ca="1"/>
        <v>7.4681202367504751E-2</v>
      </c>
      <c r="AH46" s="137">
        <v>4.0000000000000002E-4</v>
      </c>
      <c r="AI46" s="137">
        <v>1.6000000000000001E-3</v>
      </c>
      <c r="AJ46" s="137">
        <v>4.7999999999999996E-3</v>
      </c>
      <c r="AK46" s="137">
        <v>9.2999999999999992E-3</v>
      </c>
      <c r="AM46" s="137">
        <v>2.3300000000000001E-2</v>
      </c>
      <c r="AN46" s="137">
        <v>4.1200000000000001E-2</v>
      </c>
      <c r="AO46" s="137">
        <v>7.0999999999999994E-2</v>
      </c>
      <c r="AQ46" s="137">
        <v>4.0000000000000002E-4</v>
      </c>
      <c r="AR46" s="137">
        <v>1.6999999999999999E-3</v>
      </c>
      <c r="AS46" s="137">
        <v>5.1999999999999998E-3</v>
      </c>
      <c r="AT46" s="137">
        <v>9.7999999999999997E-3</v>
      </c>
      <c r="AV46" s="137">
        <v>2.4500000000000001E-2</v>
      </c>
      <c r="AW46" s="137">
        <v>4.3200000000000002E-2</v>
      </c>
      <c r="AX46" s="137">
        <v>7.4399999999999994E-2</v>
      </c>
    </row>
    <row r="47" spans="1:50" s="79" customFormat="1" ht="10.199999999999999" x14ac:dyDescent="0.2">
      <c r="A47" s="97">
        <f t="shared" ca="1" si="3"/>
        <v>36</v>
      </c>
      <c r="B47" s="68" t="s">
        <v>124</v>
      </c>
      <c r="C47" s="98">
        <v>0.4</v>
      </c>
      <c r="D47" s="69" t="s">
        <v>66</v>
      </c>
      <c r="E47" s="138" t="s">
        <v>87</v>
      </c>
      <c r="F47" s="159">
        <v>1.8500000000000001E-3</v>
      </c>
      <c r="G47" s="159">
        <v>2.0699999999999998E-3</v>
      </c>
      <c r="H47" s="159">
        <v>2.81E-3</v>
      </c>
      <c r="I47" s="159">
        <v>3.2599999999999999E-3</v>
      </c>
      <c r="J47" s="159" t="s">
        <v>87</v>
      </c>
      <c r="K47" s="159">
        <v>4.1000000000000003E-3</v>
      </c>
      <c r="L47" s="159">
        <v>4.5999999999999999E-3</v>
      </c>
      <c r="M47" s="159">
        <v>5.0000000000000001E-3</v>
      </c>
      <c r="N47" s="139">
        <f t="array" aca="1" ref="N47:AE47" ca="1">IF(OR(B47="",NOT($J$2)),"",GetStripDefaultProbability(A47,B47,Parameter_Date,CDSRollDate,E47:M47,SpreadCurveMaturities,D47,C47,$J$4,$J$6))</f>
        <v>0</v>
      </c>
      <c r="O47" s="166">
        <f ca="1"/>
        <v>1.7249527500857731E-3</v>
      </c>
      <c r="P47" s="166">
        <f ca="1"/>
        <v>3.6530620635510935E-3</v>
      </c>
      <c r="Q47" s="166">
        <f ca="1"/>
        <v>9.7125358763987535E-3</v>
      </c>
      <c r="R47" s="166">
        <f ca="1"/>
        <v>1.6757937606140416E-2</v>
      </c>
      <c r="S47" s="166">
        <f ca="1"/>
        <v>0</v>
      </c>
      <c r="T47" s="166">
        <f ca="1"/>
        <v>3.5006360530892011E-2</v>
      </c>
      <c r="U47" s="166">
        <f ca="1"/>
        <v>5.461714496114356E-2</v>
      </c>
      <c r="V47" s="140">
        <f ca="1"/>
        <v>8.3973704593874876E-2</v>
      </c>
      <c r="W47" s="139">
        <f ca="1"/>
        <v>0</v>
      </c>
      <c r="X47" s="166">
        <f ca="1"/>
        <v>1.8181021060176272E-3</v>
      </c>
      <c r="Y47" s="166">
        <f ca="1"/>
        <v>3.8351810580838919E-3</v>
      </c>
      <c r="Z47" s="166">
        <f ca="1"/>
        <v>1.0195991898950374E-2</v>
      </c>
      <c r="AA47" s="166">
        <f ca="1"/>
        <v>1.7589316439558189E-2</v>
      </c>
      <c r="AB47" s="166">
        <f ca="1"/>
        <v>0</v>
      </c>
      <c r="AC47" s="166">
        <f ca="1"/>
        <v>3.6729771617674656E-2</v>
      </c>
      <c r="AD47" s="166">
        <f ca="1"/>
        <v>5.7281553773926408E-2</v>
      </c>
      <c r="AE47" s="140">
        <f ca="1"/>
        <v>8.801115505274637E-2</v>
      </c>
      <c r="AH47" s="137">
        <v>1.6999999999999999E-3</v>
      </c>
      <c r="AI47" s="137">
        <v>3.5999999999999999E-3</v>
      </c>
      <c r="AJ47" s="137">
        <v>9.5999999999999992E-3</v>
      </c>
      <c r="AK47" s="137">
        <v>1.67E-2</v>
      </c>
      <c r="AM47" s="137">
        <v>3.4799999999999998E-2</v>
      </c>
      <c r="AN47" s="137">
        <v>5.45E-2</v>
      </c>
      <c r="AO47" s="137">
        <v>8.3799999999999999E-2</v>
      </c>
      <c r="AQ47" s="137">
        <v>1.8E-3</v>
      </c>
      <c r="AR47" s="137">
        <v>3.8E-3</v>
      </c>
      <c r="AS47" s="137">
        <v>1.01E-2</v>
      </c>
      <c r="AT47" s="137">
        <v>1.7500000000000002E-2</v>
      </c>
      <c r="AV47" s="137">
        <v>3.6600000000000001E-2</v>
      </c>
      <c r="AW47" s="137">
        <v>5.7099999999999998E-2</v>
      </c>
      <c r="AX47" s="137">
        <v>8.7800000000000003E-2</v>
      </c>
    </row>
    <row r="48" spans="1:50" s="79" customFormat="1" ht="10.199999999999999" x14ac:dyDescent="0.2">
      <c r="A48" s="97">
        <f t="shared" ca="1" si="3"/>
        <v>37</v>
      </c>
      <c r="B48" s="68" t="s">
        <v>125</v>
      </c>
      <c r="C48" s="98">
        <v>0.4</v>
      </c>
      <c r="D48" s="69" t="s">
        <v>66</v>
      </c>
      <c r="E48" s="138" t="s">
        <v>87</v>
      </c>
      <c r="F48" s="159">
        <v>5.0000000000000001E-4</v>
      </c>
      <c r="G48" s="159">
        <v>6.9999999999999999E-4</v>
      </c>
      <c r="H48" s="159">
        <v>1.1000000000000001E-3</v>
      </c>
      <c r="I48" s="159">
        <v>1.5E-3</v>
      </c>
      <c r="J48" s="159" t="s">
        <v>87</v>
      </c>
      <c r="K48" s="159">
        <v>2.3999999999999998E-3</v>
      </c>
      <c r="L48" s="159">
        <v>3.0999999999999999E-3</v>
      </c>
      <c r="M48" s="159">
        <v>4.0000000000000001E-3</v>
      </c>
      <c r="N48" s="139">
        <f t="array" aca="1" ref="N48:AE48" ca="1">IF(OR(B48="",NOT($J$2)),"",GetStripDefaultProbability(A48,B48,Parameter_Date,CDSRollDate,E48:M48,SpreadCurveMaturities,D48,C48,$J$4,$J$6))</f>
        <v>0</v>
      </c>
      <c r="O48" s="166">
        <f ca="1"/>
        <v>4.6649647376628689E-4</v>
      </c>
      <c r="P48" s="166">
        <f ca="1"/>
        <v>1.2400051456493699E-3</v>
      </c>
      <c r="Q48" s="166">
        <f ca="1"/>
        <v>3.8238847578477841E-3</v>
      </c>
      <c r="R48" s="166">
        <f ca="1"/>
        <v>7.801643816619408E-3</v>
      </c>
      <c r="S48" s="166">
        <f ca="1"/>
        <v>0</v>
      </c>
      <c r="T48" s="166">
        <f ca="1"/>
        <v>2.0938591274268892E-2</v>
      </c>
      <c r="U48" s="166">
        <f ca="1"/>
        <v>3.7941628893637946E-2</v>
      </c>
      <c r="V48" s="140">
        <f ca="1"/>
        <v>7.0401015142400936E-2</v>
      </c>
      <c r="W48" s="139">
        <f ca="1"/>
        <v>0</v>
      </c>
      <c r="X48" s="166">
        <f ca="1"/>
        <v>5.5976917815403482E-4</v>
      </c>
      <c r="Y48" s="166">
        <f ca="1"/>
        <v>1.4162990558700406E-3</v>
      </c>
      <c r="Z48" s="166">
        <f ca="1"/>
        <v>4.1669967605939551E-3</v>
      </c>
      <c r="AA48" s="166">
        <f ca="1"/>
        <v>8.3102452549459471E-3</v>
      </c>
      <c r="AB48" s="166">
        <f ca="1"/>
        <v>0</v>
      </c>
      <c r="AC48" s="166">
        <f ca="1"/>
        <v>2.1953575732169606E-2</v>
      </c>
      <c r="AD48" s="166">
        <f ca="1"/>
        <v>3.9790893573797947E-2</v>
      </c>
      <c r="AE48" s="140">
        <f ca="1"/>
        <v>7.3805403147575332E-2</v>
      </c>
      <c r="AH48" s="137">
        <v>5.0000000000000001E-4</v>
      </c>
      <c r="AI48" s="137">
        <v>1.1999999999999999E-3</v>
      </c>
      <c r="AJ48" s="137">
        <v>3.8E-3</v>
      </c>
      <c r="AK48" s="137">
        <v>7.7999999999999996E-3</v>
      </c>
      <c r="AM48" s="137">
        <v>2.0799999999999999E-2</v>
      </c>
      <c r="AN48" s="137">
        <v>3.78E-2</v>
      </c>
      <c r="AO48" s="137">
        <v>7.0099999999999996E-2</v>
      </c>
      <c r="AQ48" s="137">
        <v>5.0000000000000001E-4</v>
      </c>
      <c r="AR48" s="137">
        <v>1.4E-3</v>
      </c>
      <c r="AS48" s="137">
        <v>4.1000000000000003E-3</v>
      </c>
      <c r="AT48" s="137">
        <v>8.3000000000000001E-3</v>
      </c>
      <c r="AV48" s="137">
        <v>2.18E-2</v>
      </c>
      <c r="AW48" s="137">
        <v>3.9600000000000003E-2</v>
      </c>
      <c r="AX48" s="137">
        <v>7.3400000000000007E-2</v>
      </c>
    </row>
    <row r="49" spans="1:50" s="79" customFormat="1" ht="10.199999999999999" x14ac:dyDescent="0.2">
      <c r="A49" s="97">
        <f t="shared" ca="1" si="3"/>
        <v>38</v>
      </c>
      <c r="B49" s="68" t="s">
        <v>126</v>
      </c>
      <c r="C49" s="98">
        <v>0.4</v>
      </c>
      <c r="D49" s="69" t="s">
        <v>66</v>
      </c>
      <c r="E49" s="138" t="s">
        <v>87</v>
      </c>
      <c r="F49" s="159">
        <v>1.1000000000000001E-3</v>
      </c>
      <c r="G49" s="159">
        <v>1.6000000000000001E-3</v>
      </c>
      <c r="H49" s="159">
        <v>2E-3</v>
      </c>
      <c r="I49" s="159">
        <v>2.8E-3</v>
      </c>
      <c r="J49" s="159" t="s">
        <v>87</v>
      </c>
      <c r="K49" s="159">
        <v>3.8999999999999998E-3</v>
      </c>
      <c r="L49" s="159">
        <v>4.5999999999999999E-3</v>
      </c>
      <c r="M49" s="159">
        <v>5.5999999999999999E-3</v>
      </c>
      <c r="N49" s="139">
        <f t="array" aca="1" ref="N49:AE49" ca="1">IF(OR(B49="",NOT($J$2)),"",GetStripDefaultProbability(A49,B49,Parameter_Date,CDSRollDate,E49:M49,SpreadCurveMaturities,D49,C49,$J$4,$J$6))</f>
        <v>0</v>
      </c>
      <c r="O49" s="166">
        <f ca="1"/>
        <v>1.0260056262103578E-3</v>
      </c>
      <c r="P49" s="166">
        <f ca="1"/>
        <v>2.833347494116123E-3</v>
      </c>
      <c r="Q49" s="166">
        <f ca="1"/>
        <v>6.9055711920817942E-3</v>
      </c>
      <c r="R49" s="166">
        <f ca="1"/>
        <v>1.4508813446522884E-2</v>
      </c>
      <c r="S49" s="166">
        <f ca="1"/>
        <v>0</v>
      </c>
      <c r="T49" s="166">
        <f ca="1"/>
        <v>3.3558854924817472E-2</v>
      </c>
      <c r="U49" s="166">
        <f ca="1"/>
        <v>5.5216976331811107E-2</v>
      </c>
      <c r="V49" s="140">
        <f ca="1"/>
        <v>9.604958099108607E-2</v>
      </c>
      <c r="W49" s="139">
        <f ca="1"/>
        <v>0</v>
      </c>
      <c r="X49" s="166">
        <f ca="1"/>
        <v>1.1192243755654419E-3</v>
      </c>
      <c r="Y49" s="166">
        <f ca="1"/>
        <v>3.0093896357615835E-3</v>
      </c>
      <c r="Z49" s="166">
        <f ca="1"/>
        <v>7.2476298367007974E-3</v>
      </c>
      <c r="AA49" s="166">
        <f ca="1"/>
        <v>1.5227449397651194E-2</v>
      </c>
      <c r="AB49" s="166">
        <f ca="1"/>
        <v>0</v>
      </c>
      <c r="AC49" s="166">
        <f ca="1"/>
        <v>3.5211757991266635E-2</v>
      </c>
      <c r="AD49" s="166">
        <f ca="1"/>
        <v>5.7913120214737046E-2</v>
      </c>
      <c r="AE49" s="140">
        <f ca="1"/>
        <v>0.10066359662714519</v>
      </c>
      <c r="AH49" s="137">
        <v>1E-3</v>
      </c>
      <c r="AI49" s="137">
        <v>2.8E-3</v>
      </c>
      <c r="AJ49" s="137">
        <v>6.8999999999999999E-3</v>
      </c>
      <c r="AK49" s="137">
        <v>1.44E-2</v>
      </c>
      <c r="AM49" s="137">
        <v>3.3399999999999999E-2</v>
      </c>
      <c r="AN49" s="137">
        <v>5.5E-2</v>
      </c>
      <c r="AO49" s="137">
        <v>9.5699999999999993E-2</v>
      </c>
      <c r="AQ49" s="137">
        <v>1.1000000000000001E-3</v>
      </c>
      <c r="AR49" s="137">
        <v>3.0000000000000001E-3</v>
      </c>
      <c r="AS49" s="137">
        <v>7.1999999999999998E-3</v>
      </c>
      <c r="AT49" s="137">
        <v>1.5100000000000001E-2</v>
      </c>
      <c r="AV49" s="137">
        <v>3.5099999999999999E-2</v>
      </c>
      <c r="AW49" s="137">
        <v>5.7700000000000001E-2</v>
      </c>
      <c r="AX49" s="137">
        <v>0.1003</v>
      </c>
    </row>
    <row r="50" spans="1:50" s="79" customFormat="1" ht="10.199999999999999" x14ac:dyDescent="0.2">
      <c r="A50" s="97">
        <f t="shared" ca="1" si="3"/>
        <v>39</v>
      </c>
      <c r="B50" s="68" t="s">
        <v>127</v>
      </c>
      <c r="C50" s="98">
        <v>0.4</v>
      </c>
      <c r="D50" s="69" t="s">
        <v>66</v>
      </c>
      <c r="E50" s="138" t="s">
        <v>87</v>
      </c>
      <c r="F50" s="159">
        <v>6.9999999999999999E-4</v>
      </c>
      <c r="G50" s="159">
        <v>8.9999999999999998E-4</v>
      </c>
      <c r="H50" s="159">
        <v>1.2999999999999999E-3</v>
      </c>
      <c r="I50" s="159">
        <v>1.8E-3</v>
      </c>
      <c r="J50" s="159" t="s">
        <v>87</v>
      </c>
      <c r="K50" s="159">
        <v>2.8999999999999998E-3</v>
      </c>
      <c r="L50" s="159">
        <v>3.5999999999999999E-3</v>
      </c>
      <c r="M50" s="159">
        <v>4.4000000000000003E-3</v>
      </c>
      <c r="N50" s="139">
        <f t="array" aca="1" ref="N50:AE50" ca="1">IF(OR(B50="",NOT($J$2)),"",GetStripDefaultProbability(A50,B50,Parameter_Date,CDSRollDate,E50:M50,SpreadCurveMaturities,D50,C50,$J$4,$J$6))</f>
        <v>0</v>
      </c>
      <c r="O50" s="166">
        <f ca="1"/>
        <v>6.5303425461338271E-4</v>
      </c>
      <c r="P50" s="166">
        <f ca="1"/>
        <v>1.5925617485786914E-3</v>
      </c>
      <c r="Q50" s="166">
        <f ca="1"/>
        <v>4.5099904893959319E-3</v>
      </c>
      <c r="R50" s="166">
        <f ca="1"/>
        <v>9.3546082903557259E-3</v>
      </c>
      <c r="S50" s="166">
        <f ca="1"/>
        <v>0</v>
      </c>
      <c r="T50" s="166">
        <f ca="1"/>
        <v>2.5262761712908199E-2</v>
      </c>
      <c r="U50" s="166">
        <f ca="1"/>
        <v>4.379415772177353E-2</v>
      </c>
      <c r="V50" s="140">
        <f ca="1"/>
        <v>7.6545646793637401E-2</v>
      </c>
      <c r="W50" s="139">
        <f ca="1"/>
        <v>0</v>
      </c>
      <c r="X50" s="166">
        <f ca="1"/>
        <v>7.4628912209839804E-4</v>
      </c>
      <c r="Y50" s="166">
        <f ca="1"/>
        <v>1.768793463480911E-3</v>
      </c>
      <c r="Z50" s="166">
        <f ca="1"/>
        <v>4.8528661396218808E-3</v>
      </c>
      <c r="AA50" s="166">
        <f ca="1"/>
        <v>9.8625205636241331E-3</v>
      </c>
      <c r="AB50" s="166">
        <f ca="1"/>
        <v>0</v>
      </c>
      <c r="AC50" s="166">
        <f ca="1"/>
        <v>2.6501632580409051E-2</v>
      </c>
      <c r="AD50" s="166">
        <f ca="1"/>
        <v>4.5931068953931065E-2</v>
      </c>
      <c r="AE50" s="140">
        <f ca="1"/>
        <v>8.0248239953382039E-2</v>
      </c>
      <c r="AH50" s="137">
        <v>5.9999999999999995E-4</v>
      </c>
      <c r="AI50" s="137">
        <v>1.6000000000000001E-3</v>
      </c>
      <c r="AJ50" s="137">
        <v>4.4999999999999997E-3</v>
      </c>
      <c r="AK50" s="137">
        <v>9.2999999999999992E-3</v>
      </c>
      <c r="AM50" s="137">
        <v>2.5100000000000001E-2</v>
      </c>
      <c r="AN50" s="137">
        <v>4.36E-2</v>
      </c>
      <c r="AO50" s="137">
        <v>7.6200000000000004E-2</v>
      </c>
      <c r="AQ50" s="137">
        <v>6.9999999999999999E-4</v>
      </c>
      <c r="AR50" s="137">
        <v>1.6999999999999999E-3</v>
      </c>
      <c r="AS50" s="137">
        <v>4.7999999999999996E-3</v>
      </c>
      <c r="AT50" s="137">
        <v>9.7999999999999997E-3</v>
      </c>
      <c r="AV50" s="137">
        <v>2.63E-2</v>
      </c>
      <c r="AW50" s="137">
        <v>4.58E-2</v>
      </c>
      <c r="AX50" s="137">
        <v>7.9899999999999999E-2</v>
      </c>
    </row>
    <row r="51" spans="1:50" s="79" customFormat="1" ht="10.199999999999999" x14ac:dyDescent="0.2">
      <c r="A51" s="97">
        <f t="shared" ca="1" si="3"/>
        <v>40</v>
      </c>
      <c r="B51" s="68" t="s">
        <v>128</v>
      </c>
      <c r="C51" s="98">
        <v>0.4</v>
      </c>
      <c r="D51" s="69" t="s">
        <v>66</v>
      </c>
      <c r="E51" s="138" t="s">
        <v>87</v>
      </c>
      <c r="F51" s="159">
        <v>1.1999999999999999E-3</v>
      </c>
      <c r="G51" s="159">
        <v>2.3999999999999998E-3</v>
      </c>
      <c r="H51" s="159">
        <v>3.8E-3</v>
      </c>
      <c r="I51" s="159">
        <v>5.4000000000000003E-3</v>
      </c>
      <c r="J51" s="159" t="s">
        <v>87</v>
      </c>
      <c r="K51" s="159">
        <v>8.0000000000000002E-3</v>
      </c>
      <c r="L51" s="159">
        <v>9.5999999999999992E-3</v>
      </c>
      <c r="M51" s="159">
        <v>1.12E-2</v>
      </c>
      <c r="N51" s="139">
        <f t="array" aca="1" ref="N51:AE51" ca="1">IF(OR(B51="",NOT($J$2)),"",GetStripDefaultProbability(A51,B51,Parameter_Date,CDSRollDate,E51:M51,SpreadCurveMaturities,D51,C51,$J$4,$J$6))</f>
        <v>0</v>
      </c>
      <c r="O51" s="166">
        <f ca="1"/>
        <v>1.1192267699196012E-3</v>
      </c>
      <c r="P51" s="166">
        <f ca="1"/>
        <v>4.2584599515682608E-3</v>
      </c>
      <c r="Q51" s="166">
        <f ca="1"/>
        <v>1.315283614455276E-2</v>
      </c>
      <c r="R51" s="166">
        <f ca="1"/>
        <v>2.7931581918425263E-2</v>
      </c>
      <c r="S51" s="166">
        <f ca="1"/>
        <v>0</v>
      </c>
      <c r="T51" s="166">
        <f ca="1"/>
        <v>6.8336780813625708E-2</v>
      </c>
      <c r="U51" s="166">
        <f ca="1"/>
        <v>0.11316170515739088</v>
      </c>
      <c r="V51" s="140">
        <f ca="1"/>
        <v>0.18422922740053704</v>
      </c>
      <c r="W51" s="139">
        <f ca="1"/>
        <v>0</v>
      </c>
      <c r="X51" s="166">
        <f ca="1"/>
        <v>1.2124363949111983E-3</v>
      </c>
      <c r="Y51" s="166">
        <f ca="1"/>
        <v>4.4699684171474185E-3</v>
      </c>
      <c r="Z51" s="166">
        <f ca="1"/>
        <v>1.3807980411341347E-2</v>
      </c>
      <c r="AA51" s="166">
        <f ca="1"/>
        <v>2.9313284541476525E-2</v>
      </c>
      <c r="AB51" s="166">
        <f ca="1"/>
        <v>0</v>
      </c>
      <c r="AC51" s="166">
        <f ca="1"/>
        <v>7.1666464750989256E-2</v>
      </c>
      <c r="AD51" s="166">
        <f ca="1"/>
        <v>0.11856332057084296</v>
      </c>
      <c r="AE51" s="140">
        <f ca="1"/>
        <v>0.1927251327734214</v>
      </c>
      <c r="AH51" s="137">
        <v>1.1000000000000001E-3</v>
      </c>
      <c r="AI51" s="137">
        <v>4.1999999999999997E-3</v>
      </c>
      <c r="AJ51" s="137">
        <v>1.3100000000000001E-2</v>
      </c>
      <c r="AK51" s="137">
        <v>2.7799999999999998E-2</v>
      </c>
      <c r="AM51" s="137">
        <v>6.8000000000000005E-2</v>
      </c>
      <c r="AN51" s="137">
        <v>0.11269999999999999</v>
      </c>
      <c r="AO51" s="137">
        <v>0.18360000000000001</v>
      </c>
      <c r="AQ51" s="137">
        <v>1.1999999999999999E-3</v>
      </c>
      <c r="AR51" s="137">
        <v>4.4000000000000003E-3</v>
      </c>
      <c r="AS51" s="137">
        <v>1.37E-2</v>
      </c>
      <c r="AT51" s="137">
        <v>2.9100000000000001E-2</v>
      </c>
      <c r="AV51" s="137">
        <v>7.1300000000000002E-2</v>
      </c>
      <c r="AW51" s="137">
        <v>0.1181</v>
      </c>
      <c r="AX51" s="137">
        <v>0.19209999999999999</v>
      </c>
    </row>
    <row r="52" spans="1:50" s="79" customFormat="1" ht="10.199999999999999" x14ac:dyDescent="0.2">
      <c r="A52" s="97">
        <f t="shared" ca="1" si="3"/>
        <v>41</v>
      </c>
      <c r="B52" s="68" t="s">
        <v>129</v>
      </c>
      <c r="C52" s="98">
        <v>0.4</v>
      </c>
      <c r="D52" s="69" t="s">
        <v>66</v>
      </c>
      <c r="E52" s="138" t="s">
        <v>87</v>
      </c>
      <c r="F52" s="159">
        <v>5.9999999999999995E-4</v>
      </c>
      <c r="G52" s="159">
        <v>6.9999999999999999E-4</v>
      </c>
      <c r="H52" s="159">
        <v>1.1999999999999999E-3</v>
      </c>
      <c r="I52" s="159">
        <v>1.8E-3</v>
      </c>
      <c r="J52" s="159" t="s">
        <v>87</v>
      </c>
      <c r="K52" s="159">
        <v>2.8E-3</v>
      </c>
      <c r="L52" s="159">
        <v>3.5000000000000001E-3</v>
      </c>
      <c r="M52" s="159">
        <v>4.4000000000000003E-3</v>
      </c>
      <c r="N52" s="139">
        <f t="array" aca="1" ref="N52:AE52" ca="1">IF(OR(B52="",NOT($J$2)),"",GetStripDefaultProbability(A52,B52,Parameter_Date,CDSRollDate,E52:M52,SpreadCurveMaturities,D52,C52,$J$4,$J$6))</f>
        <v>0</v>
      </c>
      <c r="O52" s="166">
        <f ca="1"/>
        <v>5.5976970645477131E-4</v>
      </c>
      <c r="P52" s="166">
        <f ca="1"/>
        <v>1.2374185605539267E-3</v>
      </c>
      <c r="Q52" s="166">
        <f ca="1"/>
        <v>4.1762914427907472E-3</v>
      </c>
      <c r="R52" s="166">
        <f ca="1"/>
        <v>9.3893759471376237E-3</v>
      </c>
      <c r="S52" s="166">
        <f ca="1"/>
        <v>0</v>
      </c>
      <c r="T52" s="166">
        <f ca="1"/>
        <v>2.4378511327492691E-2</v>
      </c>
      <c r="U52" s="166">
        <f ca="1"/>
        <v>4.2639878683209176E-2</v>
      </c>
      <c r="V52" s="140">
        <f ca="1"/>
        <v>7.6848690166849143E-2</v>
      </c>
      <c r="W52" s="139">
        <f ca="1"/>
        <v>0</v>
      </c>
      <c r="X52" s="166">
        <f ca="1"/>
        <v>6.5303351059242676E-4</v>
      </c>
      <c r="Y52" s="166">
        <f ca="1"/>
        <v>1.4137032311792863E-3</v>
      </c>
      <c r="Z52" s="166">
        <f ca="1"/>
        <v>4.5193184962779576E-3</v>
      </c>
      <c r="AA52" s="166">
        <f ca="1"/>
        <v>9.8974004124984249E-3</v>
      </c>
      <c r="AB52" s="166">
        <f ca="1"/>
        <v>0</v>
      </c>
      <c r="AC52" s="166">
        <f ca="1"/>
        <v>2.5573164534801851E-2</v>
      </c>
      <c r="AD52" s="166">
        <f ca="1"/>
        <v>4.4720834008730725E-2</v>
      </c>
      <c r="AE52" s="140">
        <f ca="1"/>
        <v>8.0565032111015844E-2</v>
      </c>
      <c r="AH52" s="137">
        <v>5.0000000000000001E-4</v>
      </c>
      <c r="AI52" s="137">
        <v>1.1999999999999999E-3</v>
      </c>
      <c r="AJ52" s="137">
        <v>4.1000000000000003E-3</v>
      </c>
      <c r="AK52" s="137">
        <v>9.2999999999999992E-3</v>
      </c>
      <c r="AM52" s="137">
        <v>2.4299999999999999E-2</v>
      </c>
      <c r="AN52" s="137">
        <v>4.2500000000000003E-2</v>
      </c>
      <c r="AO52" s="137">
        <v>7.6499999999999999E-2</v>
      </c>
      <c r="AQ52" s="137">
        <v>5.9999999999999995E-4</v>
      </c>
      <c r="AR52" s="137">
        <v>1.4E-3</v>
      </c>
      <c r="AS52" s="137">
        <v>4.4999999999999997E-3</v>
      </c>
      <c r="AT52" s="137">
        <v>9.7999999999999997E-3</v>
      </c>
      <c r="AV52" s="137">
        <v>2.5399999999999999E-2</v>
      </c>
      <c r="AW52" s="137">
        <v>4.4499999999999998E-2</v>
      </c>
      <c r="AX52" s="137">
        <v>8.0199999999999994E-2</v>
      </c>
    </row>
    <row r="53" spans="1:50" s="79" customFormat="1" ht="10.199999999999999" x14ac:dyDescent="0.2">
      <c r="A53" s="97">
        <f t="shared" ca="1" si="3"/>
        <v>42</v>
      </c>
      <c r="B53" s="68" t="s">
        <v>130</v>
      </c>
      <c r="C53" s="98">
        <v>0.4</v>
      </c>
      <c r="D53" s="69" t="s">
        <v>66</v>
      </c>
      <c r="E53" s="138" t="s">
        <v>87</v>
      </c>
      <c r="F53" s="159">
        <v>6.9999999999999999E-4</v>
      </c>
      <c r="G53" s="159">
        <v>8.0000000000000004E-4</v>
      </c>
      <c r="H53" s="159">
        <v>1.1000000000000001E-3</v>
      </c>
      <c r="I53" s="159">
        <v>1.6999999999999999E-3</v>
      </c>
      <c r="J53" s="159" t="s">
        <v>87</v>
      </c>
      <c r="K53" s="159">
        <v>2.8E-3</v>
      </c>
      <c r="L53" s="159">
        <v>3.5999999999999999E-3</v>
      </c>
      <c r="M53" s="159">
        <v>4.4999999999999997E-3</v>
      </c>
      <c r="N53" s="139">
        <f t="array" aca="1" ref="N53:AE53" ca="1">IF(OR(B53="",NOT($J$2)),"",GetStripDefaultProbability(A53,B53,Parameter_Date,CDSRollDate,E53:M53,SpreadCurveMaturities,D53,C53,$J$4,$J$6))</f>
        <v>0</v>
      </c>
      <c r="O53" s="166">
        <f ca="1"/>
        <v>6.5303425461338271E-4</v>
      </c>
      <c r="P53" s="166">
        <f ca="1"/>
        <v>1.4137031826377822E-3</v>
      </c>
      <c r="Q53" s="166">
        <f ca="1"/>
        <v>3.8126133230099724E-3</v>
      </c>
      <c r="R53" s="166">
        <f ca="1"/>
        <v>8.8632938175717824E-3</v>
      </c>
      <c r="S53" s="166">
        <f ca="1"/>
        <v>0</v>
      </c>
      <c r="T53" s="166">
        <f ca="1"/>
        <v>2.4414956089767625E-2</v>
      </c>
      <c r="U53" s="166">
        <f ca="1"/>
        <v>4.4001950391458378E-2</v>
      </c>
      <c r="V53" s="140">
        <f ca="1"/>
        <v>7.8591481523971884E-2</v>
      </c>
      <c r="W53" s="139">
        <f ca="1"/>
        <v>0</v>
      </c>
      <c r="X53" s="166">
        <f ca="1"/>
        <v>7.4628912209839804E-4</v>
      </c>
      <c r="Y53" s="166">
        <f ca="1"/>
        <v>1.5899567491424182E-3</v>
      </c>
      <c r="Z53" s="166">
        <f ca="1"/>
        <v>4.1556868130520064E-3</v>
      </c>
      <c r="AA53" s="166">
        <f ca="1"/>
        <v>9.3715262499006746E-3</v>
      </c>
      <c r="AB53" s="166">
        <f ca="1"/>
        <v>0</v>
      </c>
      <c r="AC53" s="166">
        <f ca="1"/>
        <v>2.5610892565624321E-2</v>
      </c>
      <c r="AD53" s="166">
        <f ca="1"/>
        <v>4.6148044734784177E-2</v>
      </c>
      <c r="AE53" s="140">
        <f ca="1"/>
        <v>8.2389337065102541E-2</v>
      </c>
      <c r="AH53" s="137">
        <v>5.9999999999999995E-4</v>
      </c>
      <c r="AI53" s="137">
        <v>1.4E-3</v>
      </c>
      <c r="AJ53" s="137">
        <v>3.8E-3</v>
      </c>
      <c r="AK53" s="137">
        <v>8.8000000000000005E-3</v>
      </c>
      <c r="AM53" s="137">
        <v>2.4299999999999999E-2</v>
      </c>
      <c r="AN53" s="137">
        <v>4.3799999999999999E-2</v>
      </c>
      <c r="AO53" s="137">
        <v>7.8299999999999995E-2</v>
      </c>
      <c r="AQ53" s="137">
        <v>6.9999999999999999E-4</v>
      </c>
      <c r="AR53" s="137">
        <v>1.6000000000000001E-3</v>
      </c>
      <c r="AS53" s="137">
        <v>4.1000000000000003E-3</v>
      </c>
      <c r="AT53" s="137">
        <v>9.2999999999999992E-3</v>
      </c>
      <c r="AV53" s="137">
        <v>2.5499999999999998E-2</v>
      </c>
      <c r="AW53" s="137">
        <v>4.5999999999999999E-2</v>
      </c>
      <c r="AX53" s="137">
        <v>8.2100000000000006E-2</v>
      </c>
    </row>
    <row r="54" spans="1:50" s="79" customFormat="1" ht="10.199999999999999" x14ac:dyDescent="0.2">
      <c r="A54" s="97">
        <f t="shared" ca="1" si="3"/>
        <v>43</v>
      </c>
      <c r="B54" s="68" t="s">
        <v>131</v>
      </c>
      <c r="C54" s="98">
        <v>0.4</v>
      </c>
      <c r="D54" s="69" t="s">
        <v>66</v>
      </c>
      <c r="E54" s="138" t="s">
        <v>87</v>
      </c>
      <c r="F54" s="159">
        <v>4.0000000000000002E-4</v>
      </c>
      <c r="G54" s="159">
        <v>5.9999999999999995E-4</v>
      </c>
      <c r="H54" s="159">
        <v>1E-3</v>
      </c>
      <c r="I54" s="159">
        <v>1.4E-3</v>
      </c>
      <c r="J54" s="159" t="s">
        <v>87</v>
      </c>
      <c r="K54" s="159">
        <v>2.0999999999999999E-3</v>
      </c>
      <c r="L54" s="159">
        <v>2.3999999999999998E-3</v>
      </c>
      <c r="M54" s="159">
        <v>2.8999999999999998E-3</v>
      </c>
      <c r="N54" s="139">
        <f t="array" aca="1" ref="N54:AE54" ca="1">IF(OR(B54="",NOT($J$2)),"",GetStripDefaultProbability(A54,B54,Parameter_Date,CDSRollDate,E54:M54,SpreadCurveMaturities,D54,C54,$J$4,$J$6))</f>
        <v>0</v>
      </c>
      <c r="O54" s="166">
        <f ca="1"/>
        <v>3.7321455535799242E-4</v>
      </c>
      <c r="P54" s="166">
        <f ca="1"/>
        <v>1.0636801068899526E-3</v>
      </c>
      <c r="Q54" s="166">
        <f ca="1"/>
        <v>3.4806546514095649E-3</v>
      </c>
      <c r="R54" s="166">
        <f ca="1"/>
        <v>7.2927816790493427E-3</v>
      </c>
      <c r="S54" s="166">
        <f ca="1"/>
        <v>0</v>
      </c>
      <c r="T54" s="166">
        <f ca="1"/>
        <v>1.8282571856606755E-2</v>
      </c>
      <c r="U54" s="166">
        <f ca="1"/>
        <v>2.907199798038862E-2</v>
      </c>
      <c r="V54" s="140">
        <f ca="1"/>
        <v>5.0669818760405327E-2</v>
      </c>
      <c r="W54" s="139">
        <f ca="1"/>
        <v>0</v>
      </c>
      <c r="X54" s="166">
        <f ca="1"/>
        <v>4.6649612398852458E-4</v>
      </c>
      <c r="Y54" s="166">
        <f ca="1"/>
        <v>1.2400050446508271E-3</v>
      </c>
      <c r="Z54" s="166">
        <f ca="1"/>
        <v>3.8238848061721287E-3</v>
      </c>
      <c r="AA54" s="166">
        <f ca="1"/>
        <v>7.8016438262640264E-3</v>
      </c>
      <c r="AB54" s="166">
        <f ca="1"/>
        <v>0</v>
      </c>
      <c r="AC54" s="166">
        <f ca="1"/>
        <v>1.9163025270983569E-2</v>
      </c>
      <c r="AD54" s="166">
        <f ca="1"/>
        <v>3.0484786249581508E-2</v>
      </c>
      <c r="AE54" s="140">
        <f ca="1"/>
        <v>5.3121334206129189E-2</v>
      </c>
      <c r="AH54" s="137">
        <v>4.0000000000000002E-4</v>
      </c>
      <c r="AI54" s="137">
        <v>1E-3</v>
      </c>
      <c r="AJ54" s="137">
        <v>3.5000000000000001E-3</v>
      </c>
      <c r="AK54" s="137">
        <v>7.1999999999999998E-3</v>
      </c>
      <c r="AM54" s="137">
        <v>1.8200000000000001E-2</v>
      </c>
      <c r="AN54" s="137">
        <v>2.9000000000000001E-2</v>
      </c>
      <c r="AO54" s="137">
        <v>5.04E-2</v>
      </c>
      <c r="AQ54" s="137">
        <v>4.0000000000000002E-4</v>
      </c>
      <c r="AR54" s="137">
        <v>1.1999999999999999E-3</v>
      </c>
      <c r="AS54" s="137">
        <v>3.8E-3</v>
      </c>
      <c r="AT54" s="137">
        <v>7.7000000000000002E-3</v>
      </c>
      <c r="AV54" s="137">
        <v>1.9E-2</v>
      </c>
      <c r="AW54" s="137">
        <v>3.04E-2</v>
      </c>
      <c r="AX54" s="137">
        <v>5.28E-2</v>
      </c>
    </row>
    <row r="55" spans="1:50" s="79" customFormat="1" ht="10.199999999999999" x14ac:dyDescent="0.2">
      <c r="A55" s="97">
        <f t="shared" ca="1" si="3"/>
        <v>44</v>
      </c>
      <c r="B55" s="68" t="s">
        <v>132</v>
      </c>
      <c r="C55" s="98">
        <v>0.4</v>
      </c>
      <c r="D55" s="69" t="s">
        <v>66</v>
      </c>
      <c r="E55" s="138" t="s">
        <v>87</v>
      </c>
      <c r="F55" s="159">
        <v>5.9999999999999995E-4</v>
      </c>
      <c r="G55" s="159">
        <v>1.1000000000000001E-3</v>
      </c>
      <c r="H55" s="159">
        <v>1.8E-3</v>
      </c>
      <c r="I55" s="159">
        <v>2.5000000000000001E-3</v>
      </c>
      <c r="J55" s="159" t="s">
        <v>87</v>
      </c>
      <c r="K55" s="159">
        <v>3.3999999999999998E-3</v>
      </c>
      <c r="L55" s="159">
        <v>4.1999999999999997E-3</v>
      </c>
      <c r="M55" s="159">
        <v>5.0000000000000001E-3</v>
      </c>
      <c r="N55" s="139">
        <f t="array" aca="1" ref="N55:AE55" ca="1">IF(OR(B55="",NOT($J$2)),"",GetStripDefaultProbability(A55,B55,Parameter_Date,CDSRollDate,E55:M55,SpreadCurveMaturities,D55,C55,$J$4,$J$6))</f>
        <v>0</v>
      </c>
      <c r="O55" s="166">
        <f ca="1"/>
        <v>5.5976970645477131E-4</v>
      </c>
      <c r="P55" s="166">
        <f ca="1"/>
        <v>1.9526739714988972E-3</v>
      </c>
      <c r="Q55" s="166">
        <f ca="1"/>
        <v>6.2559647490690873E-3</v>
      </c>
      <c r="R55" s="166">
        <f ca="1"/>
        <v>1.2993935294016823E-2</v>
      </c>
      <c r="S55" s="166">
        <f ca="1"/>
        <v>0</v>
      </c>
      <c r="T55" s="166">
        <f ca="1"/>
        <v>2.9292344871111098E-2</v>
      </c>
      <c r="U55" s="166">
        <f ca="1"/>
        <v>5.0763146122777214E-2</v>
      </c>
      <c r="V55" s="140">
        <f ca="1"/>
        <v>8.5908055777203285E-2</v>
      </c>
      <c r="W55" s="139">
        <f ca="1"/>
        <v>0</v>
      </c>
      <c r="X55" s="166">
        <f ca="1"/>
        <v>6.5303351059242676E-4</v>
      </c>
      <c r="Y55" s="166">
        <f ca="1"/>
        <v>2.1288711160841745E-3</v>
      </c>
      <c r="Z55" s="166">
        <f ca="1"/>
        <v>6.5983659786074123E-3</v>
      </c>
      <c r="AA55" s="166">
        <f ca="1"/>
        <v>1.3633952802499905E-2</v>
      </c>
      <c r="AB55" s="166">
        <f ca="1"/>
        <v>0</v>
      </c>
      <c r="AC55" s="166">
        <f ca="1"/>
        <v>3.0753837966100761E-2</v>
      </c>
      <c r="AD55" s="166">
        <f ca="1"/>
        <v>5.3242061249466843E-2</v>
      </c>
      <c r="AE55" s="140">
        <f ca="1"/>
        <v>9.0047930710563606E-2</v>
      </c>
      <c r="AH55" s="137">
        <v>5.0000000000000001E-4</v>
      </c>
      <c r="AI55" s="137">
        <v>1.9E-3</v>
      </c>
      <c r="AJ55" s="137">
        <v>6.1999999999999998E-3</v>
      </c>
      <c r="AK55" s="137">
        <v>1.29E-2</v>
      </c>
      <c r="AM55" s="137">
        <v>2.92E-2</v>
      </c>
      <c r="AN55" s="137">
        <v>5.0599999999999999E-2</v>
      </c>
      <c r="AO55" s="137">
        <v>8.5699999999999998E-2</v>
      </c>
      <c r="AQ55" s="137">
        <v>5.9999999999999995E-4</v>
      </c>
      <c r="AR55" s="137">
        <v>2.0999999999999999E-3</v>
      </c>
      <c r="AS55" s="137">
        <v>6.4999999999999997E-3</v>
      </c>
      <c r="AT55" s="137">
        <v>1.3599999999999999E-2</v>
      </c>
      <c r="AV55" s="137">
        <v>3.0599999999999999E-2</v>
      </c>
      <c r="AW55" s="137">
        <v>5.2999999999999999E-2</v>
      </c>
      <c r="AX55" s="137">
        <v>8.9800000000000005E-2</v>
      </c>
    </row>
    <row r="56" spans="1:50" s="79" customFormat="1" ht="10.199999999999999" x14ac:dyDescent="0.2">
      <c r="A56" s="97">
        <f t="shared" ca="1" si="3"/>
        <v>45</v>
      </c>
      <c r="B56" s="68" t="s">
        <v>133</v>
      </c>
      <c r="C56" s="98">
        <v>0.4</v>
      </c>
      <c r="D56" s="69" t="s">
        <v>66</v>
      </c>
      <c r="E56" s="138" t="s">
        <v>87</v>
      </c>
      <c r="F56" s="159">
        <v>5.9999999999999995E-4</v>
      </c>
      <c r="G56" s="159">
        <v>1.4E-3</v>
      </c>
      <c r="H56" s="159">
        <v>2.0999999999999999E-3</v>
      </c>
      <c r="I56" s="159">
        <v>2.7000000000000001E-3</v>
      </c>
      <c r="J56" s="159" t="s">
        <v>87</v>
      </c>
      <c r="K56" s="159">
        <v>3.5999999999999999E-3</v>
      </c>
      <c r="L56" s="159">
        <v>4.4000000000000003E-3</v>
      </c>
      <c r="M56" s="159">
        <v>5.1999999999999998E-3</v>
      </c>
      <c r="N56" s="139">
        <f t="array" aca="1" ref="N56:AE56" ca="1">IF(OR(B56="",NOT($J$2)),"",GetStripDefaultProbability(A56,B56,Parameter_Date,CDSRollDate,E56:M56,SpreadCurveMaturities,D56,C56,$J$4,$J$6))</f>
        <v>0</v>
      </c>
      <c r="O56" s="166">
        <f ca="1"/>
        <v>5.5976970645477131E-4</v>
      </c>
      <c r="P56" s="166">
        <f ca="1"/>
        <v>2.4886494206493026E-3</v>
      </c>
      <c r="Q56" s="166">
        <f ca="1"/>
        <v>7.2762032210663685E-3</v>
      </c>
      <c r="R56" s="166">
        <f ca="1"/>
        <v>1.3982681360135696E-2</v>
      </c>
      <c r="S56" s="166">
        <f ca="1"/>
        <v>0</v>
      </c>
      <c r="T56" s="166">
        <f ca="1"/>
        <v>3.0933469727352225E-2</v>
      </c>
      <c r="U56" s="166">
        <f ca="1"/>
        <v>5.3007600333912497E-2</v>
      </c>
      <c r="V56" s="140">
        <f ca="1"/>
        <v>8.9018233239853362E-2</v>
      </c>
      <c r="W56" s="139">
        <f ca="1"/>
        <v>0</v>
      </c>
      <c r="X56" s="166">
        <f ca="1"/>
        <v>6.5303351059242676E-4</v>
      </c>
      <c r="Y56" s="166">
        <f ca="1"/>
        <v>2.6647809603616013E-3</v>
      </c>
      <c r="Z56" s="166">
        <f ca="1"/>
        <v>7.6359875991101056E-3</v>
      </c>
      <c r="AA56" s="166">
        <f ca="1"/>
        <v>1.4674339378177748E-2</v>
      </c>
      <c r="AB56" s="166">
        <f ca="1"/>
        <v>0</v>
      </c>
      <c r="AC56" s="166">
        <f ca="1"/>
        <v>3.245457046880218E-2</v>
      </c>
      <c r="AD56" s="166">
        <f ca="1"/>
        <v>5.5598298710490934E-2</v>
      </c>
      <c r="AE56" s="140">
        <f ca="1"/>
        <v>9.3301809584008799E-2</v>
      </c>
      <c r="AH56" s="137">
        <v>5.0000000000000001E-4</v>
      </c>
      <c r="AI56" s="137">
        <v>2.5000000000000001E-3</v>
      </c>
      <c r="AJ56" s="137">
        <v>7.1999999999999998E-3</v>
      </c>
      <c r="AK56" s="137">
        <v>1.3899999999999999E-2</v>
      </c>
      <c r="AM56" s="137">
        <v>3.0800000000000001E-2</v>
      </c>
      <c r="AN56" s="137">
        <v>5.28E-2</v>
      </c>
      <c r="AO56" s="137">
        <v>8.8800000000000004E-2</v>
      </c>
      <c r="AQ56" s="137">
        <v>5.9999999999999995E-4</v>
      </c>
      <c r="AR56" s="137">
        <v>2.5999999999999999E-3</v>
      </c>
      <c r="AS56" s="137">
        <v>7.6E-3</v>
      </c>
      <c r="AT56" s="137">
        <v>1.46E-2</v>
      </c>
      <c r="AV56" s="137">
        <v>3.2300000000000002E-2</v>
      </c>
      <c r="AW56" s="137">
        <v>5.5399999999999998E-2</v>
      </c>
      <c r="AX56" s="137">
        <v>9.3100000000000002E-2</v>
      </c>
    </row>
    <row r="57" spans="1:50" s="79" customFormat="1" ht="10.199999999999999" x14ac:dyDescent="0.2">
      <c r="A57" s="97">
        <f t="shared" ca="1" si="3"/>
        <v>46</v>
      </c>
      <c r="B57" s="68" t="s">
        <v>134</v>
      </c>
      <c r="C57" s="98">
        <v>0.4</v>
      </c>
      <c r="D57" s="69" t="s">
        <v>66</v>
      </c>
      <c r="E57" s="138" t="s">
        <v>87</v>
      </c>
      <c r="F57" s="159">
        <v>5.0000000000000001E-4</v>
      </c>
      <c r="G57" s="159">
        <v>8.0000000000000004E-4</v>
      </c>
      <c r="H57" s="159">
        <v>1.4E-3</v>
      </c>
      <c r="I57" s="159">
        <v>2.2000000000000001E-3</v>
      </c>
      <c r="J57" s="159" t="s">
        <v>87</v>
      </c>
      <c r="K57" s="159">
        <v>3.5000000000000001E-3</v>
      </c>
      <c r="L57" s="159">
        <v>4.3E-3</v>
      </c>
      <c r="M57" s="159">
        <v>5.3E-3</v>
      </c>
      <c r="N57" s="139">
        <f t="array" aca="1" ref="N57:AE57" ca="1">IF(OR(B57="",NOT($J$2)),"",GetStripDefaultProbability(A57,B57,Parameter_Date,CDSRollDate,E57:M57,SpreadCurveMaturities,D57,C57,$J$4,$J$6))</f>
        <v>0</v>
      </c>
      <c r="O57" s="166">
        <f ca="1"/>
        <v>4.6649647376628689E-4</v>
      </c>
      <c r="P57" s="166">
        <f ca="1"/>
        <v>1.4188630915119571E-3</v>
      </c>
      <c r="Q57" s="166">
        <f ca="1"/>
        <v>4.8747789841385725E-3</v>
      </c>
      <c r="R57" s="166">
        <f ca="1"/>
        <v>1.1488780068565352E-2</v>
      </c>
      <c r="S57" s="166">
        <f ca="1"/>
        <v>0</v>
      </c>
      <c r="T57" s="166">
        <f ca="1"/>
        <v>3.043408390302893E-2</v>
      </c>
      <c r="U57" s="166">
        <f ca="1"/>
        <v>5.215921295119208E-2</v>
      </c>
      <c r="V57" s="140">
        <f ca="1"/>
        <v>9.1743310874153217E-2</v>
      </c>
      <c r="W57" s="139">
        <f ca="1"/>
        <v>0</v>
      </c>
      <c r="X57" s="166">
        <f ca="1"/>
        <v>5.5976917815403482E-4</v>
      </c>
      <c r="Y57" s="166">
        <f ca="1"/>
        <v>1.5951351085543575E-3</v>
      </c>
      <c r="Z57" s="166">
        <f ca="1"/>
        <v>5.2176105665225903E-3</v>
      </c>
      <c r="AA57" s="166">
        <f ca="1"/>
        <v>1.204948749438306E-2</v>
      </c>
      <c r="AB57" s="166">
        <f ca="1"/>
        <v>0</v>
      </c>
      <c r="AC57" s="166">
        <f ca="1"/>
        <v>3.1934383967920921E-2</v>
      </c>
      <c r="AD57" s="166">
        <f ca="1"/>
        <v>5.4703056484493029E-2</v>
      </c>
      <c r="AE57" s="140">
        <f ca="1"/>
        <v>9.6159163469337616E-2</v>
      </c>
      <c r="AH57" s="137">
        <v>5.0000000000000001E-4</v>
      </c>
      <c r="AI57" s="137">
        <v>1.4E-3</v>
      </c>
      <c r="AJ57" s="137">
        <v>4.7999999999999996E-3</v>
      </c>
      <c r="AK57" s="137">
        <v>1.14E-2</v>
      </c>
      <c r="AM57" s="137">
        <v>3.0300000000000001E-2</v>
      </c>
      <c r="AN57" s="137">
        <v>5.1999999999999998E-2</v>
      </c>
      <c r="AO57" s="137">
        <v>9.1399999999999995E-2</v>
      </c>
      <c r="AQ57" s="137">
        <v>5.0000000000000001E-4</v>
      </c>
      <c r="AR57" s="137">
        <v>1.6000000000000001E-3</v>
      </c>
      <c r="AS57" s="137">
        <v>5.1999999999999998E-3</v>
      </c>
      <c r="AT57" s="137">
        <v>1.2E-2</v>
      </c>
      <c r="AV57" s="137">
        <v>3.1800000000000002E-2</v>
      </c>
      <c r="AW57" s="137">
        <v>5.45E-2</v>
      </c>
      <c r="AX57" s="137">
        <v>9.5799999999999996E-2</v>
      </c>
    </row>
    <row r="58" spans="1:50" s="79" customFormat="1" ht="10.199999999999999" x14ac:dyDescent="0.2">
      <c r="A58" s="97">
        <f t="shared" ca="1" si="3"/>
        <v>47</v>
      </c>
      <c r="B58" s="68" t="s">
        <v>135</v>
      </c>
      <c r="C58" s="98">
        <v>0.4</v>
      </c>
      <c r="D58" s="69" t="s">
        <v>66</v>
      </c>
      <c r="E58" s="138" t="s">
        <v>87</v>
      </c>
      <c r="F58" s="159">
        <v>1.1999999999999999E-3</v>
      </c>
      <c r="G58" s="159">
        <v>1.6999999999999999E-3</v>
      </c>
      <c r="H58" s="159">
        <v>2.8E-3</v>
      </c>
      <c r="I58" s="159">
        <v>3.5000000000000001E-3</v>
      </c>
      <c r="J58" s="159" t="s">
        <v>87</v>
      </c>
      <c r="K58" s="159">
        <v>4.4999999999999997E-3</v>
      </c>
      <c r="L58" s="159">
        <v>5.1999999999999998E-3</v>
      </c>
      <c r="M58" s="159">
        <v>6.1999999999999998E-3</v>
      </c>
      <c r="N58" s="139">
        <f t="array" aca="1" ref="N58:AE58" ca="1">IF(OR(B58="",NOT($J$2)),"",GetStripDefaultProbability(A58,B58,Parameter_Date,CDSRollDate,E58:M58,SpreadCurveMaturities,D58,C58,$J$4,$J$6))</f>
        <v>0</v>
      </c>
      <c r="O58" s="166">
        <f ca="1"/>
        <v>1.1192267699196012E-3</v>
      </c>
      <c r="P58" s="166">
        <f ca="1"/>
        <v>3.0093895639824453E-3</v>
      </c>
      <c r="Q58" s="166">
        <f ca="1"/>
        <v>9.7208498453763559E-3</v>
      </c>
      <c r="R58" s="166">
        <f ca="1"/>
        <v>1.8079761988360921E-2</v>
      </c>
      <c r="S58" s="166">
        <f ca="1"/>
        <v>0</v>
      </c>
      <c r="T58" s="166">
        <f ca="1"/>
        <v>3.8506146247352158E-2</v>
      </c>
      <c r="U58" s="166">
        <f ca="1"/>
        <v>6.19388285741862E-2</v>
      </c>
      <c r="V58" s="140">
        <f ca="1"/>
        <v>0.10534502581990013</v>
      </c>
      <c r="W58" s="139">
        <f ca="1"/>
        <v>0</v>
      </c>
      <c r="X58" s="166">
        <f ca="1"/>
        <v>1.2124363949111983E-3</v>
      </c>
      <c r="Y58" s="166">
        <f ca="1"/>
        <v>3.1853998155983998E-3</v>
      </c>
      <c r="Z58" s="166">
        <f ca="1"/>
        <v>1.020325649294429E-2</v>
      </c>
      <c r="AA58" s="166">
        <f ca="1"/>
        <v>1.8975186390024601E-2</v>
      </c>
      <c r="AB58" s="166">
        <f ca="1"/>
        <v>0</v>
      </c>
      <c r="AC58" s="166">
        <f ca="1"/>
        <v>4.0398863886848879E-2</v>
      </c>
      <c r="AD58" s="166">
        <f ca="1"/>
        <v>6.4952991288358297E-2</v>
      </c>
      <c r="AE58" s="140">
        <f ca="1"/>
        <v>0.11038004041540939</v>
      </c>
      <c r="AH58" s="137">
        <v>1.1000000000000001E-3</v>
      </c>
      <c r="AI58" s="137">
        <v>3.0000000000000001E-3</v>
      </c>
      <c r="AJ58" s="137">
        <v>9.5999999999999992E-3</v>
      </c>
      <c r="AK58" s="137">
        <v>1.7999999999999999E-2</v>
      </c>
      <c r="AM58" s="137">
        <v>3.8300000000000001E-2</v>
      </c>
      <c r="AN58" s="137">
        <v>6.1699999999999998E-2</v>
      </c>
      <c r="AO58" s="137">
        <v>0.10489999999999999</v>
      </c>
      <c r="AQ58" s="137">
        <v>1.1999999999999999E-3</v>
      </c>
      <c r="AR58" s="137">
        <v>3.0999999999999999E-3</v>
      </c>
      <c r="AS58" s="137">
        <v>1.01E-2</v>
      </c>
      <c r="AT58" s="137">
        <v>1.89E-2</v>
      </c>
      <c r="AV58" s="137">
        <v>4.02E-2</v>
      </c>
      <c r="AW58" s="137">
        <v>6.4699999999999994E-2</v>
      </c>
      <c r="AX58" s="137">
        <v>0.1099</v>
      </c>
    </row>
    <row r="59" spans="1:50" s="79" customFormat="1" ht="10.199999999999999" x14ac:dyDescent="0.2">
      <c r="A59" s="97">
        <f t="shared" ca="1" si="3"/>
        <v>48</v>
      </c>
      <c r="B59" s="68" t="s">
        <v>136</v>
      </c>
      <c r="C59" s="98">
        <v>0.4</v>
      </c>
      <c r="D59" s="69" t="s">
        <v>66</v>
      </c>
      <c r="E59" s="138" t="s">
        <v>87</v>
      </c>
      <c r="F59" s="159">
        <v>8.0000000000000004E-4</v>
      </c>
      <c r="G59" s="159">
        <v>1.2999999999999999E-3</v>
      </c>
      <c r="H59" s="159">
        <v>2.3E-3</v>
      </c>
      <c r="I59" s="159">
        <v>2.8999999999999998E-3</v>
      </c>
      <c r="J59" s="159" t="s">
        <v>87</v>
      </c>
      <c r="K59" s="159">
        <v>3.8E-3</v>
      </c>
      <c r="L59" s="159">
        <v>4.4999999999999997E-3</v>
      </c>
      <c r="M59" s="159">
        <v>5.4999999999999997E-3</v>
      </c>
      <c r="N59" s="139">
        <f t="array" aca="1" ref="N59:AE59" ca="1">IF(OR(B59="",NOT($J$2)),"",GetStripDefaultProbability(A59,B59,Parameter_Date,CDSRollDate,E59:M59,SpreadCurveMaturities,D59,C59,$J$4,$J$6))</f>
        <v>0</v>
      </c>
      <c r="O59" s="166">
        <f ca="1"/>
        <v>7.4629011945415158E-4</v>
      </c>
      <c r="P59" s="166">
        <f ca="1"/>
        <v>2.3050368375698849E-3</v>
      </c>
      <c r="Q59" s="166">
        <f ca="1"/>
        <v>8.0010783192577817E-3</v>
      </c>
      <c r="R59" s="166">
        <f ca="1"/>
        <v>1.5013541806859765E-2</v>
      </c>
      <c r="S59" s="166">
        <f ca="1"/>
        <v>0</v>
      </c>
      <c r="T59" s="166">
        <f ca="1"/>
        <v>3.2646490913733839E-2</v>
      </c>
      <c r="U59" s="166">
        <f ca="1"/>
        <v>5.3979770559111295E-2</v>
      </c>
      <c r="V59" s="140">
        <f ca="1"/>
        <v>9.4431402158319577E-2</v>
      </c>
      <c r="W59" s="139">
        <f ca="1"/>
        <v>0</v>
      </c>
      <c r="X59" s="166">
        <f ca="1"/>
        <v>8.3953601351138829E-4</v>
      </c>
      <c r="Y59" s="166">
        <f ca="1"/>
        <v>2.4811717931516597E-3</v>
      </c>
      <c r="Z59" s="166">
        <f ca="1"/>
        <v>8.395965087226287E-3</v>
      </c>
      <c r="AA59" s="166">
        <f ca="1"/>
        <v>1.5756365008323558E-2</v>
      </c>
      <c r="AB59" s="166">
        <f ca="1"/>
        <v>0</v>
      </c>
      <c r="AC59" s="166">
        <f ca="1"/>
        <v>3.4253077125951048E-2</v>
      </c>
      <c r="AD59" s="166">
        <f ca="1"/>
        <v>5.6615469264393203E-2</v>
      </c>
      <c r="AE59" s="140">
        <f ca="1"/>
        <v>9.8968388562208909E-2</v>
      </c>
      <c r="AH59" s="137">
        <v>6.9999999999999999E-4</v>
      </c>
      <c r="AI59" s="137">
        <v>2.3E-3</v>
      </c>
      <c r="AJ59" s="137">
        <v>7.9000000000000008E-3</v>
      </c>
      <c r="AK59" s="137">
        <v>1.49E-2</v>
      </c>
      <c r="AM59" s="137">
        <v>3.2500000000000001E-2</v>
      </c>
      <c r="AN59" s="137">
        <v>5.3800000000000001E-2</v>
      </c>
      <c r="AO59" s="137">
        <v>9.4E-2</v>
      </c>
      <c r="AQ59" s="137">
        <v>8.0000000000000004E-4</v>
      </c>
      <c r="AR59" s="137">
        <v>2.3999999999999998E-3</v>
      </c>
      <c r="AS59" s="137">
        <v>8.3000000000000001E-3</v>
      </c>
      <c r="AT59" s="137">
        <v>1.5699999999999999E-2</v>
      </c>
      <c r="AV59" s="137">
        <v>3.4099999999999998E-2</v>
      </c>
      <c r="AW59" s="137">
        <v>5.6399999999999999E-2</v>
      </c>
      <c r="AX59" s="137">
        <v>9.8500000000000004E-2</v>
      </c>
    </row>
    <row r="60" spans="1:50" s="79" customFormat="1" ht="10.199999999999999" x14ac:dyDescent="0.2">
      <c r="A60" s="97">
        <f t="shared" ca="1" si="3"/>
        <v>49</v>
      </c>
      <c r="B60" s="68" t="s">
        <v>137</v>
      </c>
      <c r="C60" s="98">
        <v>0.4</v>
      </c>
      <c r="D60" s="69" t="s">
        <v>66</v>
      </c>
      <c r="E60" s="138" t="s">
        <v>87</v>
      </c>
      <c r="F60" s="159">
        <v>5.9999999999999995E-4</v>
      </c>
      <c r="G60" s="159">
        <v>8.9999999999999998E-4</v>
      </c>
      <c r="H60" s="159">
        <v>1.2999999999999999E-3</v>
      </c>
      <c r="I60" s="159">
        <v>1.6999999999999999E-3</v>
      </c>
      <c r="J60" s="159" t="s">
        <v>87</v>
      </c>
      <c r="K60" s="159">
        <v>2.2000000000000001E-3</v>
      </c>
      <c r="L60" s="159">
        <v>2.5999999999999999E-3</v>
      </c>
      <c r="M60" s="159">
        <v>3.2000000000000002E-3</v>
      </c>
      <c r="N60" s="139">
        <f t="array" aca="1" ref="N60:AE60" ca="1">IF(OR(B60="",NOT($J$2)),"",GetStripDefaultProbability(A60,B60,Parameter_Date,CDSRollDate,E60:M60,SpreadCurveMaturities,D60,C60,$J$4,$J$6))</f>
        <v>0</v>
      </c>
      <c r="O60" s="166">
        <f ca="1"/>
        <v>5.5976970645477131E-4</v>
      </c>
      <c r="P60" s="166">
        <f ca="1"/>
        <v>1.5951350944676257E-3</v>
      </c>
      <c r="Q60" s="166">
        <f ca="1"/>
        <v>4.51010925094808E-3</v>
      </c>
      <c r="R60" s="166">
        <f ca="1"/>
        <v>8.8204512383912581E-3</v>
      </c>
      <c r="S60" s="166">
        <f ca="1"/>
        <v>0</v>
      </c>
      <c r="T60" s="166">
        <f ca="1"/>
        <v>1.8957261717112872E-2</v>
      </c>
      <c r="U60" s="166">
        <f ca="1"/>
        <v>3.1443231117182391E-2</v>
      </c>
      <c r="V60" s="140">
        <f ca="1"/>
        <v>5.5781528127206048E-2</v>
      </c>
      <c r="W60" s="139">
        <f ca="1"/>
        <v>0</v>
      </c>
      <c r="X60" s="166">
        <f ca="1"/>
        <v>6.5303351059242676E-4</v>
      </c>
      <c r="Y60" s="166">
        <f ca="1"/>
        <v>1.7713759943314145E-3</v>
      </c>
      <c r="Z60" s="166">
        <f ca="1"/>
        <v>4.852987496962391E-3</v>
      </c>
      <c r="AA60" s="166">
        <f ca="1"/>
        <v>9.3285378611738246E-3</v>
      </c>
      <c r="AB60" s="166">
        <f ca="1"/>
        <v>0</v>
      </c>
      <c r="AC60" s="166">
        <f ca="1"/>
        <v>1.988228367100664E-2</v>
      </c>
      <c r="AD60" s="166">
        <f ca="1"/>
        <v>3.2979178180249868E-2</v>
      </c>
      <c r="AE60" s="140">
        <f ca="1"/>
        <v>5.8492120669756065E-2</v>
      </c>
      <c r="AH60" s="137">
        <v>5.0000000000000001E-4</v>
      </c>
      <c r="AI60" s="137">
        <v>1.6000000000000001E-3</v>
      </c>
      <c r="AJ60" s="137">
        <v>4.4999999999999997E-3</v>
      </c>
      <c r="AK60" s="137">
        <v>8.8000000000000005E-3</v>
      </c>
      <c r="AM60" s="137">
        <v>1.89E-2</v>
      </c>
      <c r="AN60" s="137">
        <v>3.1300000000000001E-2</v>
      </c>
      <c r="AO60" s="137">
        <v>5.5599999999999997E-2</v>
      </c>
      <c r="AQ60" s="137">
        <v>5.9999999999999995E-4</v>
      </c>
      <c r="AR60" s="137">
        <v>1.6999999999999999E-3</v>
      </c>
      <c r="AS60" s="137">
        <v>4.7999999999999996E-3</v>
      </c>
      <c r="AT60" s="137">
        <v>9.2999999999999992E-3</v>
      </c>
      <c r="AV60" s="137">
        <v>1.9800000000000002E-2</v>
      </c>
      <c r="AW60" s="137">
        <v>3.2899999999999999E-2</v>
      </c>
      <c r="AX60" s="137">
        <v>5.8299999999999998E-2</v>
      </c>
    </row>
    <row r="61" spans="1:50" s="79" customFormat="1" ht="10.199999999999999" x14ac:dyDescent="0.2">
      <c r="A61" s="97">
        <f t="shared" ca="1" si="3"/>
        <v>50</v>
      </c>
      <c r="B61" s="68" t="s">
        <v>138</v>
      </c>
      <c r="C61" s="98">
        <v>0.4</v>
      </c>
      <c r="D61" s="69" t="s">
        <v>66</v>
      </c>
      <c r="E61" s="138" t="s">
        <v>87</v>
      </c>
      <c r="F61" s="159">
        <v>8.0000000000000004E-4</v>
      </c>
      <c r="G61" s="159">
        <v>1.1000000000000001E-3</v>
      </c>
      <c r="H61" s="159">
        <v>1.6000000000000001E-3</v>
      </c>
      <c r="I61" s="159">
        <v>1.8E-3</v>
      </c>
      <c r="J61" s="159" t="s">
        <v>87</v>
      </c>
      <c r="K61" s="159">
        <v>2.3999999999999998E-3</v>
      </c>
      <c r="L61" s="159">
        <v>2.8E-3</v>
      </c>
      <c r="M61" s="159">
        <v>3.5000000000000001E-3</v>
      </c>
      <c r="N61" s="139">
        <f t="array" aca="1" ref="N61:AE61" ca="1">IF(OR(B61="",NOT($J$2)),"",GetStripDefaultProbability(A61,B61,Parameter_Date,CDSRollDate,E61:M61,SpreadCurveMaturities,D61,C61,$J$4,$J$6))</f>
        <v>0</v>
      </c>
      <c r="O61" s="166">
        <f ca="1"/>
        <v>7.4629011945415158E-4</v>
      </c>
      <c r="P61" s="166">
        <f ca="1"/>
        <v>1.9475855649176976E-3</v>
      </c>
      <c r="Q61" s="166">
        <f ca="1"/>
        <v>5.5494189134120964E-3</v>
      </c>
      <c r="R61" s="166">
        <f ca="1"/>
        <v>9.2800985280340198E-3</v>
      </c>
      <c r="S61" s="166">
        <f ca="1"/>
        <v>0</v>
      </c>
      <c r="T61" s="166">
        <f ca="1"/>
        <v>2.0688494361578047E-2</v>
      </c>
      <c r="U61" s="166">
        <f ca="1"/>
        <v>3.3745590117813862E-2</v>
      </c>
      <c r="V61" s="140">
        <f ca="1"/>
        <v>6.1105960923666158E-2</v>
      </c>
      <c r="W61" s="139">
        <f ca="1"/>
        <v>0</v>
      </c>
      <c r="X61" s="166">
        <f ca="1"/>
        <v>8.3953601351138829E-4</v>
      </c>
      <c r="Y61" s="166">
        <f ca="1"/>
        <v>2.1237642424348779E-3</v>
      </c>
      <c r="Z61" s="166">
        <f ca="1"/>
        <v>5.8919787821947178E-3</v>
      </c>
      <c r="AA61" s="166">
        <f ca="1"/>
        <v>9.7877667412129554E-3</v>
      </c>
      <c r="AB61" s="166">
        <f ca="1"/>
        <v>0</v>
      </c>
      <c r="AC61" s="166">
        <f ca="1"/>
        <v>2.1701749486086941E-2</v>
      </c>
      <c r="AD61" s="166">
        <f ca="1"/>
        <v>3.5398084013302578E-2</v>
      </c>
      <c r="AE61" s="140">
        <f ca="1"/>
        <v>6.4074902097814856E-2</v>
      </c>
      <c r="AH61" s="137">
        <v>6.9999999999999999E-4</v>
      </c>
      <c r="AI61" s="137">
        <v>1.9E-3</v>
      </c>
      <c r="AJ61" s="137">
        <v>5.4999999999999997E-3</v>
      </c>
      <c r="AK61" s="137">
        <v>9.1999999999999998E-3</v>
      </c>
      <c r="AM61" s="137">
        <v>2.06E-2</v>
      </c>
      <c r="AN61" s="137">
        <v>3.3700000000000001E-2</v>
      </c>
      <c r="AO61" s="137">
        <v>6.0699999999999997E-2</v>
      </c>
      <c r="AQ61" s="137">
        <v>8.0000000000000004E-4</v>
      </c>
      <c r="AR61" s="137">
        <v>2.0999999999999999E-3</v>
      </c>
      <c r="AS61" s="137">
        <v>5.7999999999999996E-3</v>
      </c>
      <c r="AT61" s="137">
        <v>9.7000000000000003E-3</v>
      </c>
      <c r="AV61" s="137">
        <v>2.1600000000000001E-2</v>
      </c>
      <c r="AW61" s="137">
        <v>3.5299999999999998E-2</v>
      </c>
      <c r="AX61" s="137">
        <v>6.3700000000000007E-2</v>
      </c>
    </row>
    <row r="62" spans="1:50" s="79" customFormat="1" ht="10.199999999999999" x14ac:dyDescent="0.2">
      <c r="A62" s="97">
        <f t="shared" ca="1" si="3"/>
        <v>51</v>
      </c>
      <c r="B62" s="68" t="s">
        <v>139</v>
      </c>
      <c r="C62" s="98">
        <v>0.4</v>
      </c>
      <c r="D62" s="69" t="s">
        <v>66</v>
      </c>
      <c r="E62" s="138" t="s">
        <v>87</v>
      </c>
      <c r="F62" s="159">
        <v>5.0000000000000001E-4</v>
      </c>
      <c r="G62" s="159">
        <v>5.9999999999999995E-4</v>
      </c>
      <c r="H62" s="159">
        <v>1.1999999999999999E-3</v>
      </c>
      <c r="I62" s="159">
        <v>1.6999999999999999E-3</v>
      </c>
      <c r="J62" s="159" t="s">
        <v>87</v>
      </c>
      <c r="K62" s="159">
        <v>2.7000000000000001E-3</v>
      </c>
      <c r="L62" s="159">
        <v>3.3E-3</v>
      </c>
      <c r="M62" s="159">
        <v>4.0000000000000001E-3</v>
      </c>
      <c r="N62" s="139">
        <f t="array" aca="1" ref="N62:AE62" ca="1">IF(OR(B62="",NOT($J$2)),"",GetStripDefaultProbability(A62,B62,Parameter_Date,CDSRollDate,E62:M62,SpreadCurveMaturities,D62,C62,$J$4,$J$6))</f>
        <v>0</v>
      </c>
      <c r="O62" s="166">
        <f ca="1"/>
        <v>4.6649647376628689E-4</v>
      </c>
      <c r="P62" s="166">
        <f ca="1"/>
        <v>1.061102768032729E-3</v>
      </c>
      <c r="Q62" s="166">
        <f ca="1"/>
        <v>4.1864094532668705E-3</v>
      </c>
      <c r="R62" s="166">
        <f ca="1"/>
        <v>8.8604991573427716E-3</v>
      </c>
      <c r="S62" s="166">
        <f ca="1"/>
        <v>0</v>
      </c>
      <c r="T62" s="166">
        <f ca="1"/>
        <v>2.3550410919574771E-2</v>
      </c>
      <c r="U62" s="166">
        <f ca="1"/>
        <v>4.0142764848174584E-2</v>
      </c>
      <c r="V62" s="140">
        <f ca="1"/>
        <v>6.9674951946601893E-2</v>
      </c>
      <c r="W62" s="139">
        <f ca="1"/>
        <v>0</v>
      </c>
      <c r="X62" s="166">
        <f ca="1"/>
        <v>5.5976917815403482E-4</v>
      </c>
      <c r="Y62" s="166">
        <f ca="1"/>
        <v>1.2374185751623523E-3</v>
      </c>
      <c r="Z62" s="166">
        <f ca="1"/>
        <v>4.5294720761455132E-3</v>
      </c>
      <c r="AA62" s="166">
        <f ca="1"/>
        <v>9.3687183652352291E-3</v>
      </c>
      <c r="AB62" s="166">
        <f ca="1"/>
        <v>0</v>
      </c>
      <c r="AC62" s="166">
        <f ca="1"/>
        <v>2.4698803260421176E-2</v>
      </c>
      <c r="AD62" s="166">
        <f ca="1"/>
        <v>4.2122308392442576E-2</v>
      </c>
      <c r="AE62" s="140">
        <f ca="1"/>
        <v>7.3040667659531322E-2</v>
      </c>
      <c r="AH62" s="137">
        <v>5.0000000000000001E-4</v>
      </c>
      <c r="AI62" s="137">
        <v>1E-3</v>
      </c>
      <c r="AJ62" s="137">
        <v>4.1000000000000003E-3</v>
      </c>
      <c r="AK62" s="137">
        <v>8.8000000000000005E-3</v>
      </c>
      <c r="AM62" s="137">
        <v>2.3400000000000001E-2</v>
      </c>
      <c r="AN62" s="137">
        <v>0.04</v>
      </c>
      <c r="AO62" s="137">
        <v>6.93E-2</v>
      </c>
      <c r="AQ62" s="137">
        <v>5.0000000000000001E-4</v>
      </c>
      <c r="AR62" s="137">
        <v>1.1999999999999999E-3</v>
      </c>
      <c r="AS62" s="137">
        <v>4.4999999999999997E-3</v>
      </c>
      <c r="AT62" s="137">
        <v>9.2999999999999992E-3</v>
      </c>
      <c r="AV62" s="137">
        <v>2.4500000000000001E-2</v>
      </c>
      <c r="AW62" s="137">
        <v>4.2000000000000003E-2</v>
      </c>
      <c r="AX62" s="137">
        <v>7.2700000000000001E-2</v>
      </c>
    </row>
    <row r="63" spans="1:50" s="79" customFormat="1" ht="10.199999999999999" x14ac:dyDescent="0.2">
      <c r="A63" s="97">
        <f t="shared" ca="1" si="3"/>
        <v>52</v>
      </c>
      <c r="B63" s="68" t="s">
        <v>140</v>
      </c>
      <c r="C63" s="98">
        <v>0.4</v>
      </c>
      <c r="D63" s="69" t="s">
        <v>66</v>
      </c>
      <c r="E63" s="138" t="s">
        <v>87</v>
      </c>
      <c r="F63" s="159">
        <v>1E-3</v>
      </c>
      <c r="G63" s="159">
        <v>1.1999999999999999E-3</v>
      </c>
      <c r="H63" s="159">
        <v>1.5E-3</v>
      </c>
      <c r="I63" s="159">
        <v>2.2000000000000001E-3</v>
      </c>
      <c r="J63" s="159" t="s">
        <v>87</v>
      </c>
      <c r="K63" s="159">
        <v>3.0000000000000001E-3</v>
      </c>
      <c r="L63" s="159">
        <v>3.5999999999999999E-3</v>
      </c>
      <c r="M63" s="159">
        <v>4.5999999999999999E-3</v>
      </c>
      <c r="N63" s="139">
        <f t="array" aca="1" ref="N63:AE63" ca="1">IF(OR(B63="",NOT($J$2)),"",GetStripDefaultProbability(A63,B63,Parameter_Date,CDSRollDate,E63:M63,SpreadCurveMaturities,D63,C63,$J$4,$J$6))</f>
        <v>0</v>
      </c>
      <c r="O63" s="166">
        <f ca="1"/>
        <v>9.3277580402983951E-4</v>
      </c>
      <c r="P63" s="166">
        <f ca="1"/>
        <v>2.1211631117489249E-3</v>
      </c>
      <c r="Q63" s="166">
        <f ca="1"/>
        <v>5.1848301321916201E-3</v>
      </c>
      <c r="R63" s="166">
        <f ca="1"/>
        <v>1.1430394824635925E-2</v>
      </c>
      <c r="S63" s="166">
        <f ca="1"/>
        <v>0</v>
      </c>
      <c r="T63" s="166">
        <f ca="1"/>
        <v>2.5862585087106926E-2</v>
      </c>
      <c r="U63" s="166">
        <f ca="1"/>
        <v>4.3472484779874865E-2</v>
      </c>
      <c r="V63" s="140">
        <f ca="1"/>
        <v>8.0036973618182738E-2</v>
      </c>
      <c r="W63" s="139">
        <f ca="1"/>
        <v>0</v>
      </c>
      <c r="X63" s="166">
        <f ca="1"/>
        <v>1.0260036394392769E-3</v>
      </c>
      <c r="Y63" s="166">
        <f ca="1"/>
        <v>2.2973014445153428E-3</v>
      </c>
      <c r="Z63" s="166">
        <f ca="1"/>
        <v>5.5274339825238661E-3</v>
      </c>
      <c r="AA63" s="166">
        <f ca="1"/>
        <v>1.1990842758364928E-2</v>
      </c>
      <c r="AB63" s="166">
        <f ca="1"/>
        <v>0</v>
      </c>
      <c r="AC63" s="166">
        <f ca="1"/>
        <v>2.7137795499952544E-2</v>
      </c>
      <c r="AD63" s="166">
        <f ca="1"/>
        <v>4.5602591395243919E-2</v>
      </c>
      <c r="AE63" s="140">
        <f ca="1"/>
        <v>8.3917240496485523E-2</v>
      </c>
      <c r="AH63" s="137">
        <v>8.9999999999999998E-4</v>
      </c>
      <c r="AI63" s="137">
        <v>2.0999999999999999E-3</v>
      </c>
      <c r="AJ63" s="137">
        <v>5.1000000000000004E-3</v>
      </c>
      <c r="AK63" s="137">
        <v>1.14E-2</v>
      </c>
      <c r="AM63" s="137">
        <v>2.58E-2</v>
      </c>
      <c r="AN63" s="137">
        <v>4.3299999999999998E-2</v>
      </c>
      <c r="AO63" s="137">
        <v>7.9699999999999993E-2</v>
      </c>
      <c r="AQ63" s="137">
        <v>1E-3</v>
      </c>
      <c r="AR63" s="137">
        <v>2.3E-3</v>
      </c>
      <c r="AS63" s="137">
        <v>5.4999999999999997E-3</v>
      </c>
      <c r="AT63" s="137">
        <v>1.1900000000000001E-2</v>
      </c>
      <c r="AV63" s="137">
        <v>2.7099999999999999E-2</v>
      </c>
      <c r="AW63" s="137">
        <v>4.5499999999999999E-2</v>
      </c>
      <c r="AX63" s="137">
        <v>8.3599999999999994E-2</v>
      </c>
    </row>
    <row r="64" spans="1:50" s="79" customFormat="1" ht="10.199999999999999" x14ac:dyDescent="0.2">
      <c r="A64" s="97">
        <f t="shared" ca="1" si="3"/>
        <v>53</v>
      </c>
      <c r="B64" s="68" t="s">
        <v>141</v>
      </c>
      <c r="C64" s="98">
        <v>0.4</v>
      </c>
      <c r="D64" s="69" t="s">
        <v>66</v>
      </c>
      <c r="E64" s="138" t="s">
        <v>87</v>
      </c>
      <c r="F64" s="159">
        <v>2.9999999999999997E-4</v>
      </c>
      <c r="G64" s="159">
        <v>5.0000000000000001E-4</v>
      </c>
      <c r="H64" s="159">
        <v>1E-3</v>
      </c>
      <c r="I64" s="159">
        <v>1.5E-3</v>
      </c>
      <c r="J64" s="159" t="s">
        <v>87</v>
      </c>
      <c r="K64" s="159">
        <v>2.3E-3</v>
      </c>
      <c r="L64" s="159">
        <v>2.8999999999999998E-3</v>
      </c>
      <c r="M64" s="159">
        <v>3.3999999999999998E-3</v>
      </c>
      <c r="N64" s="139">
        <f t="array" aca="1" ref="N64:AE64" ca="1">IF(OR(B64="",NOT($J$2)),"",GetStripDefaultProbability(A64,B64,Parameter_Date,CDSRollDate,E64:M64,SpreadCurveMaturities,D64,C64,$J$4,$J$6))</f>
        <v>0</v>
      </c>
      <c r="O64" s="166">
        <f ca="1"/>
        <v>2.799239499720052E-4</v>
      </c>
      <c r="P64" s="166">
        <f ca="1"/>
        <v>8.8732386928147555E-4</v>
      </c>
      <c r="Q64" s="166">
        <f ca="1"/>
        <v>3.4911463339574178E-3</v>
      </c>
      <c r="R64" s="166">
        <f ca="1"/>
        <v>7.8378325345165312E-3</v>
      </c>
      <c r="S64" s="166">
        <f ca="1"/>
        <v>0</v>
      </c>
      <c r="T64" s="166">
        <f ca="1"/>
        <v>2.0051972837468623E-2</v>
      </c>
      <c r="U64" s="166">
        <f ca="1"/>
        <v>3.5451994723426528E-2</v>
      </c>
      <c r="V64" s="140">
        <f ca="1"/>
        <v>5.9110009573476785E-2</v>
      </c>
      <c r="W64" s="139">
        <f ca="1"/>
        <v>0</v>
      </c>
      <c r="X64" s="166">
        <f ca="1"/>
        <v>3.7321434723358582E-4</v>
      </c>
      <c r="Y64" s="166">
        <f ca="1"/>
        <v>1.063680113278509E-3</v>
      </c>
      <c r="Z64" s="166">
        <f ca="1"/>
        <v>3.8344122853838369E-3</v>
      </c>
      <c r="AA64" s="166">
        <f ca="1"/>
        <v>8.3465525417852904E-3</v>
      </c>
      <c r="AB64" s="166">
        <f ca="1"/>
        <v>0</v>
      </c>
      <c r="AC64" s="166">
        <f ca="1"/>
        <v>2.1022428166416418E-2</v>
      </c>
      <c r="AD64" s="166">
        <f ca="1"/>
        <v>3.7177689781416889E-2</v>
      </c>
      <c r="AE64" s="140">
        <f ca="1"/>
        <v>6.1965970804997883E-2</v>
      </c>
      <c r="AH64" s="137">
        <v>2.9999999999999997E-4</v>
      </c>
      <c r="AI64" s="137">
        <v>8.9999999999999998E-4</v>
      </c>
      <c r="AJ64" s="137">
        <v>3.5000000000000001E-3</v>
      </c>
      <c r="AK64" s="137">
        <v>7.7999999999999996E-3</v>
      </c>
      <c r="AM64" s="137">
        <v>0.02</v>
      </c>
      <c r="AN64" s="137">
        <v>3.5299999999999998E-2</v>
      </c>
      <c r="AO64" s="137">
        <v>5.8999999999999997E-2</v>
      </c>
      <c r="AQ64" s="137">
        <v>4.0000000000000002E-4</v>
      </c>
      <c r="AR64" s="137">
        <v>1E-3</v>
      </c>
      <c r="AS64" s="137">
        <v>3.8E-3</v>
      </c>
      <c r="AT64" s="137">
        <v>8.3000000000000001E-3</v>
      </c>
      <c r="AV64" s="137">
        <v>2.0899999999999998E-2</v>
      </c>
      <c r="AW64" s="137">
        <v>3.6999999999999998E-2</v>
      </c>
      <c r="AX64" s="137">
        <v>6.1800000000000001E-2</v>
      </c>
    </row>
    <row r="65" spans="1:50" s="79" customFormat="1" ht="10.199999999999999" x14ac:dyDescent="0.2">
      <c r="A65" s="97">
        <f t="shared" ca="1" si="3"/>
        <v>54</v>
      </c>
      <c r="B65" s="68" t="s">
        <v>142</v>
      </c>
      <c r="C65" s="98">
        <v>0.4</v>
      </c>
      <c r="D65" s="69" t="s">
        <v>66</v>
      </c>
      <c r="E65" s="138" t="s">
        <v>87</v>
      </c>
      <c r="F65" s="159">
        <v>2.9999999999999997E-4</v>
      </c>
      <c r="G65" s="159">
        <v>5.0000000000000001E-4</v>
      </c>
      <c r="H65" s="159">
        <v>1E-3</v>
      </c>
      <c r="I65" s="159">
        <v>1.2999999999999999E-3</v>
      </c>
      <c r="J65" s="159" t="s">
        <v>87</v>
      </c>
      <c r="K65" s="159">
        <v>2E-3</v>
      </c>
      <c r="L65" s="159">
        <v>2.3999999999999998E-3</v>
      </c>
      <c r="M65" s="159">
        <v>2.8999999999999998E-3</v>
      </c>
      <c r="N65" s="139">
        <f t="array" aca="1" ref="N65:AE65" ca="1">IF(OR(B65="",NOT($J$2)),"",GetStripDefaultProbability(A65,B65,Parameter_Date,CDSRollDate,E65:M65,SpreadCurveMaturities,D65,C65,$J$4,$J$6))</f>
        <v>0</v>
      </c>
      <c r="O65" s="166">
        <f ca="1"/>
        <v>2.799239499720052E-4</v>
      </c>
      <c r="P65" s="166">
        <f ca="1"/>
        <v>8.8732386928147555E-4</v>
      </c>
      <c r="Q65" s="166">
        <f ca="1"/>
        <v>3.4911463339574178E-3</v>
      </c>
      <c r="R65" s="166">
        <f ca="1"/>
        <v>6.7635510586364633E-3</v>
      </c>
      <c r="S65" s="166">
        <f ca="1"/>
        <v>0</v>
      </c>
      <c r="T65" s="166">
        <f ca="1"/>
        <v>1.7444686699123246E-2</v>
      </c>
      <c r="U65" s="166">
        <f ca="1"/>
        <v>2.9220112027718792E-2</v>
      </c>
      <c r="V65" s="140">
        <f ca="1"/>
        <v>5.0800125516788142E-2</v>
      </c>
      <c r="W65" s="139">
        <f ca="1"/>
        <v>0</v>
      </c>
      <c r="X65" s="166">
        <f ca="1"/>
        <v>3.7321434723358582E-4</v>
      </c>
      <c r="Y65" s="166">
        <f ca="1"/>
        <v>1.063680113278509E-3</v>
      </c>
      <c r="Z65" s="166">
        <f ca="1"/>
        <v>3.8344122853838369E-3</v>
      </c>
      <c r="AA65" s="166">
        <f ca="1"/>
        <v>7.2726080518116243E-3</v>
      </c>
      <c r="AB65" s="166">
        <f ca="1"/>
        <v>0</v>
      </c>
      <c r="AC65" s="166">
        <f ca="1"/>
        <v>1.8280290144395694E-2</v>
      </c>
      <c r="AD65" s="166">
        <f ca="1"/>
        <v>3.0640474800183171E-2</v>
      </c>
      <c r="AE65" s="140">
        <f ca="1"/>
        <v>5.3252109725475671E-2</v>
      </c>
      <c r="AH65" s="137">
        <v>2.9999999999999997E-4</v>
      </c>
      <c r="AI65" s="137">
        <v>8.9999999999999998E-4</v>
      </c>
      <c r="AJ65" s="137">
        <v>3.5000000000000001E-3</v>
      </c>
      <c r="AK65" s="137">
        <v>6.7000000000000002E-3</v>
      </c>
      <c r="AM65" s="137">
        <v>1.7299999999999999E-2</v>
      </c>
      <c r="AN65" s="137">
        <v>2.9100000000000001E-2</v>
      </c>
      <c r="AO65" s="137">
        <v>5.0500000000000003E-2</v>
      </c>
      <c r="AQ65" s="137">
        <v>4.0000000000000002E-4</v>
      </c>
      <c r="AR65" s="137">
        <v>1E-3</v>
      </c>
      <c r="AS65" s="137">
        <v>3.8E-3</v>
      </c>
      <c r="AT65" s="137">
        <v>7.1999999999999998E-3</v>
      </c>
      <c r="AV65" s="137">
        <v>1.8200000000000001E-2</v>
      </c>
      <c r="AW65" s="137">
        <v>3.0599999999999999E-2</v>
      </c>
      <c r="AX65" s="137">
        <v>5.2999999999999999E-2</v>
      </c>
    </row>
    <row r="66" spans="1:50" s="79" customFormat="1" ht="10.199999999999999" x14ac:dyDescent="0.2">
      <c r="A66" s="97">
        <f t="shared" ca="1" si="3"/>
        <v>55</v>
      </c>
      <c r="B66" s="68" t="s">
        <v>143</v>
      </c>
      <c r="C66" s="98">
        <v>0.4</v>
      </c>
      <c r="D66" s="69" t="s">
        <v>66</v>
      </c>
      <c r="E66" s="138" t="s">
        <v>87</v>
      </c>
      <c r="F66" s="159">
        <v>2.0000000000000001E-4</v>
      </c>
      <c r="G66" s="159">
        <v>5.0000000000000001E-4</v>
      </c>
      <c r="H66" s="159">
        <v>1.1000000000000001E-3</v>
      </c>
      <c r="I66" s="159">
        <v>1.4E-3</v>
      </c>
      <c r="J66" s="159" t="s">
        <v>87</v>
      </c>
      <c r="K66" s="159">
        <v>2.0999999999999999E-3</v>
      </c>
      <c r="L66" s="159">
        <v>2.5000000000000001E-3</v>
      </c>
      <c r="M66" s="159">
        <v>3.0000000000000001E-3</v>
      </c>
      <c r="N66" s="139">
        <f t="array" aca="1" ref="N66:AE66" ca="1">IF(OR(B66="",NOT($J$2)),"",GetStripDefaultProbability(A66,B66,Parameter_Date,CDSRollDate,E66:M66,SpreadCurveMaturities,D66,C66,$J$4,$J$6))</f>
        <v>0</v>
      </c>
      <c r="O66" s="166">
        <f ca="1"/>
        <v>1.8662465644081472E-4</v>
      </c>
      <c r="P66" s="166">
        <f ca="1"/>
        <v>8.8986026515591732E-4</v>
      </c>
      <c r="Q66" s="166">
        <f ca="1"/>
        <v>3.8455747656848116E-3</v>
      </c>
      <c r="R66" s="166">
        <f ca="1"/>
        <v>7.2825791878191604E-3</v>
      </c>
      <c r="S66" s="166">
        <f ca="1"/>
        <v>0</v>
      </c>
      <c r="T66" s="166">
        <f ca="1"/>
        <v>1.828959069460212E-2</v>
      </c>
      <c r="U66" s="166">
        <f ca="1"/>
        <v>3.0382564929736899E-2</v>
      </c>
      <c r="V66" s="140">
        <f ca="1"/>
        <v>5.2430661987049376E-2</v>
      </c>
      <c r="W66" s="139">
        <f ca="1"/>
        <v>0</v>
      </c>
      <c r="X66" s="166">
        <f ca="1"/>
        <v>2.799238471393739E-4</v>
      </c>
      <c r="Y66" s="166">
        <f ca="1"/>
        <v>1.0662256009128512E-3</v>
      </c>
      <c r="Z66" s="166">
        <f ca="1"/>
        <v>4.1887609510370405E-3</v>
      </c>
      <c r="AA66" s="166">
        <f ca="1"/>
        <v>7.7914079886562959E-3</v>
      </c>
      <c r="AB66" s="166">
        <f ca="1"/>
        <v>0</v>
      </c>
      <c r="AC66" s="166">
        <f ca="1"/>
        <v>1.9169825058963808E-2</v>
      </c>
      <c r="AD66" s="166">
        <f ca="1"/>
        <v>3.186133872260366E-2</v>
      </c>
      <c r="AE66" s="140">
        <f ca="1"/>
        <v>5.4964279538275318E-2</v>
      </c>
      <c r="AH66" s="137">
        <v>2.0000000000000001E-4</v>
      </c>
      <c r="AI66" s="137">
        <v>8.9999999999999998E-4</v>
      </c>
      <c r="AJ66" s="137">
        <v>3.8E-3</v>
      </c>
      <c r="AK66" s="137">
        <v>7.1999999999999998E-3</v>
      </c>
      <c r="AM66" s="137">
        <v>1.8200000000000001E-2</v>
      </c>
      <c r="AN66" s="137">
        <v>3.0300000000000001E-2</v>
      </c>
      <c r="AO66" s="137">
        <v>5.2200000000000003E-2</v>
      </c>
      <c r="AQ66" s="137">
        <v>2.9999999999999997E-4</v>
      </c>
      <c r="AR66" s="137">
        <v>1E-3</v>
      </c>
      <c r="AS66" s="137">
        <v>4.1000000000000003E-3</v>
      </c>
      <c r="AT66" s="137">
        <v>7.7000000000000002E-3</v>
      </c>
      <c r="AV66" s="137">
        <v>1.9E-2</v>
      </c>
      <c r="AW66" s="137">
        <v>3.1800000000000002E-2</v>
      </c>
      <c r="AX66" s="137">
        <v>5.4699999999999999E-2</v>
      </c>
    </row>
    <row r="67" spans="1:50" s="79" customFormat="1" ht="10.199999999999999" x14ac:dyDescent="0.2">
      <c r="A67" s="97">
        <f t="shared" ca="1" si="3"/>
        <v>56</v>
      </c>
      <c r="B67" s="68" t="s">
        <v>144</v>
      </c>
      <c r="C67" s="98">
        <v>0.4</v>
      </c>
      <c r="D67" s="69" t="s">
        <v>66</v>
      </c>
      <c r="E67" s="138" t="s">
        <v>87</v>
      </c>
      <c r="F67" s="159">
        <v>8.5999999999999998E-4</v>
      </c>
      <c r="G67" s="159">
        <v>1.2999999999999999E-3</v>
      </c>
      <c r="H67" s="159">
        <v>1.98E-3</v>
      </c>
      <c r="I67" s="159">
        <v>2.4099999999999998E-3</v>
      </c>
      <c r="J67" s="159" t="s">
        <v>87</v>
      </c>
      <c r="K67" s="159">
        <v>3.0999999999999999E-3</v>
      </c>
      <c r="L67" s="159">
        <v>3.5400000000000002E-3</v>
      </c>
      <c r="M67" s="159">
        <v>4.0000000000000001E-3</v>
      </c>
      <c r="N67" s="139">
        <f t="array" aca="1" ref="N67:AE67" ca="1">IF(OR(B67="",NOT($J$2)),"",GetStripDefaultProbability(A67,B67,Parameter_Date,CDSRollDate,E67:M67,SpreadCurveMaturities,D67,C67,$J$4,$J$6))</f>
        <v>0</v>
      </c>
      <c r="O67" s="166">
        <f ca="1"/>
        <v>8.0223947087365577E-4</v>
      </c>
      <c r="P67" s="166">
        <f ca="1"/>
        <v>2.3035129435038382E-3</v>
      </c>
      <c r="Q67" s="166">
        <f ca="1"/>
        <v>6.870368201326027E-3</v>
      </c>
      <c r="R67" s="166">
        <f ca="1"/>
        <v>1.2457716262093688E-2</v>
      </c>
      <c r="S67" s="166">
        <f ca="1"/>
        <v>0</v>
      </c>
      <c r="T67" s="166">
        <f ca="1"/>
        <v>2.6635222929647373E-2</v>
      </c>
      <c r="U67" s="166">
        <f ca="1"/>
        <v>4.2423746185091038E-2</v>
      </c>
      <c r="V67" s="140">
        <f ca="1"/>
        <v>6.8280497525279982E-2</v>
      </c>
      <c r="W67" s="139">
        <f ca="1"/>
        <v>0</v>
      </c>
      <c r="X67" s="166">
        <f ca="1"/>
        <v>8.9547996308436684E-4</v>
      </c>
      <c r="Y67" s="166">
        <f ca="1"/>
        <v>2.4796416311937408E-3</v>
      </c>
      <c r="Z67" s="166">
        <f ca="1"/>
        <v>7.2125479838625051E-3</v>
      </c>
      <c r="AA67" s="166">
        <f ca="1"/>
        <v>1.3073807478269917E-2</v>
      </c>
      <c r="AB67" s="166">
        <f ca="1"/>
        <v>0</v>
      </c>
      <c r="AC67" s="166">
        <f ca="1"/>
        <v>2.7947533426124549E-2</v>
      </c>
      <c r="AD67" s="166">
        <f ca="1"/>
        <v>4.4503034974142319E-2</v>
      </c>
      <c r="AE67" s="140">
        <f ca="1"/>
        <v>7.1587801797533213E-2</v>
      </c>
      <c r="AH67" s="137">
        <v>8.0000000000000004E-4</v>
      </c>
      <c r="AI67" s="137">
        <v>2.3E-3</v>
      </c>
      <c r="AJ67" s="137">
        <v>6.7999999999999996E-3</v>
      </c>
      <c r="AK67" s="137">
        <v>1.24E-2</v>
      </c>
      <c r="AM67" s="137">
        <v>2.6499999999999999E-2</v>
      </c>
      <c r="AN67" s="137">
        <v>4.2299999999999997E-2</v>
      </c>
      <c r="AO67" s="137">
        <v>6.8099999999999994E-2</v>
      </c>
      <c r="AQ67" s="137">
        <v>8.9999999999999998E-4</v>
      </c>
      <c r="AR67" s="137">
        <v>2.3999999999999998E-3</v>
      </c>
      <c r="AS67" s="137">
        <v>7.1000000000000004E-3</v>
      </c>
      <c r="AT67" s="137">
        <v>1.2999999999999999E-2</v>
      </c>
      <c r="AV67" s="137">
        <v>2.7799999999999998E-2</v>
      </c>
      <c r="AW67" s="137">
        <v>4.4400000000000002E-2</v>
      </c>
      <c r="AX67" s="137">
        <v>7.1400000000000005E-2</v>
      </c>
    </row>
    <row r="68" spans="1:50" s="79" customFormat="1" ht="10.199999999999999" x14ac:dyDescent="0.2">
      <c r="A68" s="97">
        <f t="shared" ca="1" si="3"/>
        <v>57</v>
      </c>
      <c r="B68" s="68" t="s">
        <v>145</v>
      </c>
      <c r="C68" s="98">
        <v>0.4</v>
      </c>
      <c r="D68" s="69" t="s">
        <v>66</v>
      </c>
      <c r="E68" s="138" t="s">
        <v>87</v>
      </c>
      <c r="F68" s="159">
        <v>1E-3</v>
      </c>
      <c r="G68" s="159">
        <v>1.8E-3</v>
      </c>
      <c r="H68" s="159">
        <v>2.5000000000000001E-3</v>
      </c>
      <c r="I68" s="159">
        <v>3.7000000000000002E-3</v>
      </c>
      <c r="J68" s="159" t="s">
        <v>87</v>
      </c>
      <c r="K68" s="159">
        <v>5.4999999999999997E-3</v>
      </c>
      <c r="L68" s="159">
        <v>6.8999999999999999E-3</v>
      </c>
      <c r="M68" s="159">
        <v>8.3000000000000001E-3</v>
      </c>
      <c r="N68" s="139">
        <f t="array" aca="1" ref="N68:AE68" ca="1">IF(OR(B68="",NOT($J$2)),"",GetStripDefaultProbability(A68,B68,Parameter_Date,CDSRollDate,E68:M68,SpreadCurveMaturities,D68,C68,$J$4,$J$6))</f>
        <v>0</v>
      </c>
      <c r="O68" s="166">
        <f ca="1"/>
        <v>9.3277580402983951E-4</v>
      </c>
      <c r="P68" s="166">
        <f ca="1"/>
        <v>3.1929881591233888E-3</v>
      </c>
      <c r="Q68" s="166">
        <f ca="1"/>
        <v>8.6437278761193337E-3</v>
      </c>
      <c r="R68" s="166">
        <f ca="1"/>
        <v>1.9196868700384395E-2</v>
      </c>
      <c r="S68" s="166">
        <f ca="1"/>
        <v>0</v>
      </c>
      <c r="T68" s="166">
        <f ca="1"/>
        <v>4.7320517987937905E-2</v>
      </c>
      <c r="U68" s="166">
        <f ca="1"/>
        <v>8.2731942995394214E-2</v>
      </c>
      <c r="V68" s="140">
        <f ca="1"/>
        <v>0.14013560429089678</v>
      </c>
      <c r="W68" s="139">
        <f ca="1"/>
        <v>0</v>
      </c>
      <c r="X68" s="166">
        <f ca="1"/>
        <v>1.0260036394392769E-3</v>
      </c>
      <c r="Y68" s="166">
        <f ca="1"/>
        <v>3.3689954521463061E-3</v>
      </c>
      <c r="Z68" s="166">
        <f ca="1"/>
        <v>9.0738616059494737E-3</v>
      </c>
      <c r="AA68" s="166">
        <f ca="1"/>
        <v>2.0148188338725448E-2</v>
      </c>
      <c r="AB68" s="166">
        <f ca="1"/>
        <v>0</v>
      </c>
      <c r="AC68" s="166">
        <f ca="1"/>
        <v>4.9643422484165645E-2</v>
      </c>
      <c r="AD68" s="166">
        <f ca="1"/>
        <v>8.6736312141587724E-2</v>
      </c>
      <c r="AE68" s="140">
        <f ca="1"/>
        <v>0.14674673249653303</v>
      </c>
      <c r="AH68" s="137">
        <v>8.9999999999999998E-4</v>
      </c>
      <c r="AI68" s="137">
        <v>3.0999999999999999E-3</v>
      </c>
      <c r="AJ68" s="137">
        <v>8.6E-3</v>
      </c>
      <c r="AK68" s="137">
        <v>1.9099999999999999E-2</v>
      </c>
      <c r="AM68" s="137">
        <v>4.7100000000000003E-2</v>
      </c>
      <c r="AN68" s="137">
        <v>8.2400000000000001E-2</v>
      </c>
      <c r="AO68" s="137">
        <v>0.13980000000000001</v>
      </c>
      <c r="AQ68" s="137">
        <v>1E-3</v>
      </c>
      <c r="AR68" s="137">
        <v>3.3E-3</v>
      </c>
      <c r="AS68" s="137">
        <v>8.9999999999999993E-3</v>
      </c>
      <c r="AT68" s="137">
        <v>0.02</v>
      </c>
      <c r="AV68" s="137">
        <v>4.9399999999999999E-2</v>
      </c>
      <c r="AW68" s="137">
        <v>8.6400000000000005E-2</v>
      </c>
      <c r="AX68" s="137">
        <v>0.1464</v>
      </c>
    </row>
    <row r="69" spans="1:50" s="79" customFormat="1" ht="10.199999999999999" x14ac:dyDescent="0.2">
      <c r="A69" s="97">
        <f t="shared" ca="1" si="3"/>
        <v>58</v>
      </c>
      <c r="B69" s="68" t="s">
        <v>146</v>
      </c>
      <c r="C69" s="98">
        <v>0.4</v>
      </c>
      <c r="D69" s="69" t="s">
        <v>66</v>
      </c>
      <c r="E69" s="138" t="s">
        <v>87</v>
      </c>
      <c r="F69" s="159">
        <v>1.6999999999999999E-3</v>
      </c>
      <c r="G69" s="159">
        <v>2.0999999999999999E-3</v>
      </c>
      <c r="H69" s="159">
        <v>2.8999999999999998E-3</v>
      </c>
      <c r="I69" s="159">
        <v>4.4000000000000003E-3</v>
      </c>
      <c r="J69" s="159" t="s">
        <v>87</v>
      </c>
      <c r="K69" s="159">
        <v>6.0000000000000001E-3</v>
      </c>
      <c r="L69" s="159">
        <v>7.4999999999999997E-3</v>
      </c>
      <c r="M69" s="159">
        <v>9.1999999999999998E-3</v>
      </c>
      <c r="N69" s="139">
        <f t="array" aca="1" ref="N69:AE69" ca="1">IF(OR(B69="",NOT($J$2)),"",GetStripDefaultProbability(A69,B69,Parameter_Date,CDSRollDate,E69:M69,SpreadCurveMaturities,D69,C69,$J$4,$J$6))</f>
        <v>0</v>
      </c>
      <c r="O69" s="166">
        <f ca="1"/>
        <v>1.5852023538636129E-3</v>
      </c>
      <c r="P69" s="166">
        <f ca="1"/>
        <v>3.7106230020034214E-3</v>
      </c>
      <c r="Q69" s="166">
        <f ca="1"/>
        <v>1.0027860298334357E-2</v>
      </c>
      <c r="R69" s="166">
        <f ca="1"/>
        <v>2.2814663505493993E-2</v>
      </c>
      <c r="S69" s="166">
        <f ca="1"/>
        <v>0</v>
      </c>
      <c r="T69" s="166">
        <f ca="1"/>
        <v>5.1265152025554372E-2</v>
      </c>
      <c r="U69" s="166">
        <f ca="1"/>
        <v>8.9485584290789455E-2</v>
      </c>
      <c r="V69" s="140">
        <f ca="1"/>
        <v>0.15459091865486785</v>
      </c>
      <c r="W69" s="139">
        <f ca="1"/>
        <v>0</v>
      </c>
      <c r="X69" s="166">
        <f ca="1"/>
        <v>1.6783657687193809E-3</v>
      </c>
      <c r="Y69" s="166">
        <f ca="1"/>
        <v>3.8954250760554476E-3</v>
      </c>
      <c r="Z69" s="166">
        <f ca="1"/>
        <v>1.0527051232471774E-2</v>
      </c>
      <c r="AA69" s="166">
        <f ca="1"/>
        <v>2.3945550875479782E-2</v>
      </c>
      <c r="AB69" s="166">
        <f ca="1"/>
        <v>0</v>
      </c>
      <c r="AC69" s="166">
        <f ca="1"/>
        <v>5.3776382362455855E-2</v>
      </c>
      <c r="AD69" s="166">
        <f ca="1"/>
        <v>9.3804338722531133E-2</v>
      </c>
      <c r="AE69" s="140">
        <f ca="1"/>
        <v>0.16184096827064764</v>
      </c>
      <c r="AH69" s="137">
        <v>1.5E-3</v>
      </c>
      <c r="AI69" s="137">
        <v>3.7000000000000002E-3</v>
      </c>
      <c r="AJ69" s="137">
        <v>9.9000000000000008E-3</v>
      </c>
      <c r="AK69" s="137">
        <v>2.2700000000000001E-2</v>
      </c>
      <c r="AM69" s="137">
        <v>5.11E-2</v>
      </c>
      <c r="AN69" s="137">
        <v>8.9099999999999999E-2</v>
      </c>
      <c r="AO69" s="137">
        <v>0.1542</v>
      </c>
      <c r="AQ69" s="137">
        <v>1.6000000000000001E-3</v>
      </c>
      <c r="AR69" s="137">
        <v>3.8E-3</v>
      </c>
      <c r="AS69" s="137">
        <v>1.04E-2</v>
      </c>
      <c r="AT69" s="137">
        <v>2.3800000000000002E-2</v>
      </c>
      <c r="AV69" s="137">
        <v>5.3600000000000002E-2</v>
      </c>
      <c r="AW69" s="137">
        <v>9.3399999999999997E-2</v>
      </c>
      <c r="AX69" s="137">
        <v>0.1615</v>
      </c>
    </row>
    <row r="70" spans="1:50" s="79" customFormat="1" ht="10.199999999999999" x14ac:dyDescent="0.2">
      <c r="A70" s="97">
        <f t="shared" ca="1" si="3"/>
        <v>59</v>
      </c>
      <c r="B70" s="68" t="s">
        <v>147</v>
      </c>
      <c r="C70" s="98">
        <v>0.4</v>
      </c>
      <c r="D70" s="69" t="s">
        <v>66</v>
      </c>
      <c r="E70" s="138" t="s">
        <v>87</v>
      </c>
      <c r="F70" s="159">
        <v>4.0000000000000002E-4</v>
      </c>
      <c r="G70" s="159">
        <v>8.9999999999999998E-4</v>
      </c>
      <c r="H70" s="159">
        <v>1.5E-3</v>
      </c>
      <c r="I70" s="159">
        <v>2.2000000000000001E-3</v>
      </c>
      <c r="J70" s="159" t="s">
        <v>87</v>
      </c>
      <c r="K70" s="159">
        <v>3.5000000000000001E-3</v>
      </c>
      <c r="L70" s="159">
        <v>4.4999999999999997E-3</v>
      </c>
      <c r="M70" s="159">
        <v>5.5999999999999999E-3</v>
      </c>
      <c r="N70" s="139">
        <f t="array" aca="1" ref="N70:AE70" ca="1">IF(OR(B70="",NOT($J$2)),"",GetStripDefaultProbability(A70,B70,Parameter_Date,CDSRollDate,E70:M70,SpreadCurveMaturities,D70,C70,$J$4,$J$6))</f>
        <v>0</v>
      </c>
      <c r="O70" s="166">
        <f ca="1"/>
        <v>3.7321455535799242E-4</v>
      </c>
      <c r="P70" s="166">
        <f ca="1"/>
        <v>1.6001863943641004E-3</v>
      </c>
      <c r="Q70" s="166">
        <f ca="1"/>
        <v>5.2166613884944146E-3</v>
      </c>
      <c r="R70" s="166">
        <f ca="1"/>
        <v>1.1463752332519395E-2</v>
      </c>
      <c r="S70" s="166">
        <f ca="1"/>
        <v>0</v>
      </c>
      <c r="T70" s="166">
        <f ca="1"/>
        <v>3.042929845288167E-2</v>
      </c>
      <c r="U70" s="166">
        <f ca="1"/>
        <v>5.4763709187575782E-2</v>
      </c>
      <c r="V70" s="140">
        <f ca="1"/>
        <v>9.7022991020083937E-2</v>
      </c>
      <c r="W70" s="139">
        <f ca="1"/>
        <v>0</v>
      </c>
      <c r="X70" s="166">
        <f ca="1"/>
        <v>4.6649612398852458E-4</v>
      </c>
      <c r="Y70" s="166">
        <f ca="1"/>
        <v>1.7764454759706672E-3</v>
      </c>
      <c r="Z70" s="166">
        <f ca="1"/>
        <v>5.5593809284577578E-3</v>
      </c>
      <c r="AA70" s="166">
        <f ca="1"/>
        <v>1.2024346865975311E-2</v>
      </c>
      <c r="AB70" s="166">
        <f ca="1"/>
        <v>0</v>
      </c>
      <c r="AC70" s="166">
        <f ca="1"/>
        <v>3.1929149714534866E-2</v>
      </c>
      <c r="AD70" s="166">
        <f ca="1"/>
        <v>5.7436404996008661E-2</v>
      </c>
      <c r="AE70" s="140">
        <f ca="1"/>
        <v>0.10169278894595346</v>
      </c>
      <c r="AH70" s="137">
        <v>4.0000000000000002E-4</v>
      </c>
      <c r="AI70" s="137">
        <v>1.6000000000000001E-3</v>
      </c>
      <c r="AJ70" s="137">
        <v>5.1999999999999998E-3</v>
      </c>
      <c r="AK70" s="137">
        <v>1.14E-2</v>
      </c>
      <c r="AM70" s="137">
        <v>3.0300000000000001E-2</v>
      </c>
      <c r="AN70" s="137">
        <v>5.45E-2</v>
      </c>
      <c r="AO70" s="137">
        <v>9.6699999999999994E-2</v>
      </c>
      <c r="AQ70" s="137">
        <v>4.0000000000000002E-4</v>
      </c>
      <c r="AR70" s="137">
        <v>1.6999999999999999E-3</v>
      </c>
      <c r="AS70" s="137">
        <v>5.4999999999999997E-3</v>
      </c>
      <c r="AT70" s="137">
        <v>1.1900000000000001E-2</v>
      </c>
      <c r="AV70" s="137">
        <v>3.1800000000000002E-2</v>
      </c>
      <c r="AW70" s="137">
        <v>5.7200000000000001E-2</v>
      </c>
      <c r="AX70" s="137">
        <v>0.1013</v>
      </c>
    </row>
    <row r="71" spans="1:50" s="79" customFormat="1" ht="10.199999999999999" x14ac:dyDescent="0.2">
      <c r="A71" s="97">
        <f t="shared" ca="1" si="3"/>
        <v>60</v>
      </c>
      <c r="B71" s="68" t="s">
        <v>148</v>
      </c>
      <c r="C71" s="98">
        <v>0.4</v>
      </c>
      <c r="D71" s="69" t="s">
        <v>66</v>
      </c>
      <c r="E71" s="138" t="s">
        <v>87</v>
      </c>
      <c r="F71" s="159">
        <v>1.15E-3</v>
      </c>
      <c r="G71" s="159">
        <v>1.4400000000000001E-3</v>
      </c>
      <c r="H71" s="159">
        <v>2.0100000000000001E-3</v>
      </c>
      <c r="I71" s="159">
        <v>2.3600000000000001E-3</v>
      </c>
      <c r="J71" s="159" t="s">
        <v>87</v>
      </c>
      <c r="K71" s="159">
        <v>3.0000000000000001E-3</v>
      </c>
      <c r="L71" s="159">
        <v>3.4299999999999999E-3</v>
      </c>
      <c r="M71" s="159">
        <v>3.8999999999999998E-3</v>
      </c>
      <c r="N71" s="139">
        <f t="array" aca="1" ref="N71:AE71" ca="1">IF(OR(B71="",NOT($J$2)),"",GetStripDefaultProbability(A71,B71,Parameter_Date,CDSRollDate,E71:M71,SpreadCurveMaturities,D71,C71,$J$4,$J$6))</f>
        <v>0</v>
      </c>
      <c r="O71" s="166">
        <f ca="1"/>
        <v>1.0726172827926206E-3</v>
      </c>
      <c r="P71" s="166">
        <f ca="1"/>
        <v>2.5462046956012951E-3</v>
      </c>
      <c r="Q71" s="166">
        <f ca="1"/>
        <v>6.9608819408697453E-3</v>
      </c>
      <c r="R71" s="166">
        <f ca="1"/>
        <v>1.2168680187833569E-2</v>
      </c>
      <c r="S71" s="166">
        <f ca="1"/>
        <v>0</v>
      </c>
      <c r="T71" s="166">
        <f ca="1"/>
        <v>2.5742233227608047E-2</v>
      </c>
      <c r="U71" s="166">
        <f ca="1"/>
        <v>4.1087013011724349E-2</v>
      </c>
      <c r="V71" s="140">
        <f ca="1"/>
        <v>6.6659145052296864E-2</v>
      </c>
      <c r="W71" s="139">
        <f ca="1"/>
        <v>0</v>
      </c>
      <c r="X71" s="166">
        <f ca="1"/>
        <v>1.1658314747735599E-3</v>
      </c>
      <c r="Y71" s="166">
        <f ca="1"/>
        <v>2.7222767336538833E-3</v>
      </c>
      <c r="Z71" s="166">
        <f ca="1"/>
        <v>7.3047481356530719E-3</v>
      </c>
      <c r="AA71" s="166">
        <f ca="1"/>
        <v>1.2771329269736897E-2</v>
      </c>
      <c r="AB71" s="166">
        <f ca="1"/>
        <v>0</v>
      </c>
      <c r="AC71" s="166">
        <f ca="1"/>
        <v>2.7012067279289842E-2</v>
      </c>
      <c r="AD71" s="166">
        <f ca="1"/>
        <v>4.3102551809271583E-2</v>
      </c>
      <c r="AE71" s="140">
        <f ca="1"/>
        <v>6.9891501838560965E-2</v>
      </c>
      <c r="AH71" s="137">
        <v>1E-3</v>
      </c>
      <c r="AI71" s="137">
        <v>2.5000000000000001E-3</v>
      </c>
      <c r="AJ71" s="137">
        <v>6.8999999999999999E-3</v>
      </c>
      <c r="AK71" s="137">
        <v>1.21E-2</v>
      </c>
      <c r="AM71" s="137">
        <v>2.5600000000000001E-2</v>
      </c>
      <c r="AN71" s="137">
        <v>4.1000000000000002E-2</v>
      </c>
      <c r="AO71" s="137">
        <v>6.6400000000000001E-2</v>
      </c>
      <c r="AQ71" s="137">
        <v>1.1000000000000001E-3</v>
      </c>
      <c r="AR71" s="137">
        <v>2.7000000000000001E-3</v>
      </c>
      <c r="AS71" s="137">
        <v>7.1999999999999998E-3</v>
      </c>
      <c r="AT71" s="137">
        <v>1.2699999999999999E-2</v>
      </c>
      <c r="AV71" s="137">
        <v>2.69E-2</v>
      </c>
      <c r="AW71" s="137">
        <v>4.2999999999999997E-2</v>
      </c>
      <c r="AX71" s="137">
        <v>6.9699999999999998E-2</v>
      </c>
    </row>
    <row r="72" spans="1:50" s="79" customFormat="1" ht="10.199999999999999" x14ac:dyDescent="0.2">
      <c r="A72" s="97">
        <f t="shared" ca="1" si="3"/>
        <v>61</v>
      </c>
      <c r="B72" s="68" t="s">
        <v>149</v>
      </c>
      <c r="C72" s="98">
        <v>0.4</v>
      </c>
      <c r="D72" s="69" t="s">
        <v>66</v>
      </c>
      <c r="E72" s="138" t="s">
        <v>87</v>
      </c>
      <c r="F72" s="159">
        <v>6.9999999999999999E-4</v>
      </c>
      <c r="G72" s="159">
        <v>1.1999999999999999E-3</v>
      </c>
      <c r="H72" s="159">
        <v>2.3999999999999998E-3</v>
      </c>
      <c r="I72" s="159">
        <v>3.2000000000000002E-3</v>
      </c>
      <c r="J72" s="159" t="s">
        <v>87</v>
      </c>
      <c r="K72" s="159">
        <v>4.7000000000000002E-3</v>
      </c>
      <c r="L72" s="159">
        <v>5.5999999999999999E-3</v>
      </c>
      <c r="M72" s="159">
        <v>7.1000000000000004E-3</v>
      </c>
      <c r="N72" s="139">
        <f t="array" aca="1" ref="N72:AE72" ca="1">IF(OR(B72="",NOT($J$2)),"",GetStripDefaultProbability(A72,B72,Parameter_Date,CDSRollDate,E72:M72,SpreadCurveMaturities,D72,C72,$J$4,$J$6))</f>
        <v>0</v>
      </c>
      <c r="O72" s="166">
        <f ca="1"/>
        <v>6.5303425461338271E-4</v>
      </c>
      <c r="P72" s="166">
        <f ca="1"/>
        <v>2.1288709574699416E-3</v>
      </c>
      <c r="Q72" s="166">
        <f ca="1"/>
        <v>8.365309433992385E-3</v>
      </c>
      <c r="R72" s="166">
        <f ca="1"/>
        <v>1.6604351537218287E-2</v>
      </c>
      <c r="S72" s="166">
        <f ca="1"/>
        <v>0</v>
      </c>
      <c r="T72" s="166">
        <f ca="1"/>
        <v>4.0567145275458127E-2</v>
      </c>
      <c r="U72" s="166">
        <f ca="1"/>
        <v>6.7137205089601082E-2</v>
      </c>
      <c r="V72" s="140">
        <f ca="1"/>
        <v>0.12184604286460199</v>
      </c>
      <c r="W72" s="139">
        <f ca="1"/>
        <v>0</v>
      </c>
      <c r="X72" s="166">
        <f ca="1"/>
        <v>7.4628912209839804E-4</v>
      </c>
      <c r="Y72" s="166">
        <f ca="1"/>
        <v>2.3050371401358571E-3</v>
      </c>
      <c r="Z72" s="166">
        <f ca="1"/>
        <v>8.7777532137410796E-3</v>
      </c>
      <c r="AA72" s="166">
        <f ca="1"/>
        <v>1.7425635804544037E-2</v>
      </c>
      <c r="AB72" s="166">
        <f ca="1"/>
        <v>0</v>
      </c>
      <c r="AC72" s="166">
        <f ca="1"/>
        <v>4.2560922682339797E-2</v>
      </c>
      <c r="AD72" s="166">
        <f ca="1"/>
        <v>7.0399875857375838E-2</v>
      </c>
      <c r="AE72" s="140">
        <f ca="1"/>
        <v>0.12764551565326643</v>
      </c>
      <c r="AH72" s="137">
        <v>5.9999999999999995E-4</v>
      </c>
      <c r="AI72" s="137">
        <v>2.0999999999999999E-3</v>
      </c>
      <c r="AJ72" s="137">
        <v>8.3000000000000001E-3</v>
      </c>
      <c r="AK72" s="137">
        <v>1.6500000000000001E-2</v>
      </c>
      <c r="AM72" s="137">
        <v>4.0300000000000002E-2</v>
      </c>
      <c r="AN72" s="137">
        <v>6.6900000000000001E-2</v>
      </c>
      <c r="AO72" s="137">
        <v>0.1211</v>
      </c>
      <c r="AQ72" s="137">
        <v>6.9999999999999999E-4</v>
      </c>
      <c r="AR72" s="137">
        <v>2.3E-3</v>
      </c>
      <c r="AS72" s="137">
        <v>8.6999999999999994E-3</v>
      </c>
      <c r="AT72" s="137">
        <v>1.7299999999999999E-2</v>
      </c>
      <c r="AV72" s="137">
        <v>4.2299999999999997E-2</v>
      </c>
      <c r="AW72" s="137">
        <v>7.0199999999999999E-2</v>
      </c>
      <c r="AX72" s="137">
        <v>0.1268</v>
      </c>
    </row>
    <row r="73" spans="1:50" s="79" customFormat="1" ht="10.199999999999999" x14ac:dyDescent="0.2">
      <c r="A73" s="97">
        <f t="shared" ca="1" si="3"/>
        <v>62</v>
      </c>
      <c r="B73" s="68" t="s">
        <v>150</v>
      </c>
      <c r="C73" s="98">
        <v>0.4</v>
      </c>
      <c r="D73" s="69" t="s">
        <v>66</v>
      </c>
      <c r="E73" s="138" t="s">
        <v>87</v>
      </c>
      <c r="F73" s="159">
        <v>4.0000000000000002E-4</v>
      </c>
      <c r="G73" s="159">
        <v>5.9999999999999995E-4</v>
      </c>
      <c r="H73" s="159">
        <v>1.1000000000000001E-3</v>
      </c>
      <c r="I73" s="159">
        <v>1.4E-3</v>
      </c>
      <c r="J73" s="159" t="s">
        <v>87</v>
      </c>
      <c r="K73" s="159">
        <v>2.3999999999999998E-3</v>
      </c>
      <c r="L73" s="159">
        <v>3.2000000000000002E-3</v>
      </c>
      <c r="M73" s="159">
        <v>4.1000000000000003E-3</v>
      </c>
      <c r="N73" s="139">
        <f t="array" aca="1" ref="N73:AE73" ca="1">IF(OR(B73="",NOT($J$2)),"",GetStripDefaultProbability(A73,B73,Parameter_Date,CDSRollDate,E73:M73,SpreadCurveMaturities,D73,C73,$J$4,$J$6))</f>
        <v>0</v>
      </c>
      <c r="O73" s="166">
        <f ca="1"/>
        <v>3.7321455535799242E-4</v>
      </c>
      <c r="P73" s="166">
        <f ca="1"/>
        <v>1.0636801068899526E-3</v>
      </c>
      <c r="Q73" s="166">
        <f ca="1"/>
        <v>3.8344122976305961E-3</v>
      </c>
      <c r="R73" s="166">
        <f ca="1"/>
        <v>7.2726079857546866E-3</v>
      </c>
      <c r="S73" s="166">
        <f ca="1"/>
        <v>0</v>
      </c>
      <c r="T73" s="166">
        <f ca="1"/>
        <v>2.1021749702825776E-2</v>
      </c>
      <c r="U73" s="166">
        <f ca="1"/>
        <v>3.9312840223044154E-2</v>
      </c>
      <c r="V73" s="140">
        <f ca="1"/>
        <v>7.222822461809042E-2</v>
      </c>
      <c r="W73" s="139">
        <f ca="1"/>
        <v>0</v>
      </c>
      <c r="X73" s="166">
        <f ca="1"/>
        <v>4.6649612398852458E-4</v>
      </c>
      <c r="Y73" s="166">
        <f ca="1"/>
        <v>1.2400050446508271E-3</v>
      </c>
      <c r="Z73" s="166">
        <f ca="1"/>
        <v>4.177560000519831E-3</v>
      </c>
      <c r="AA73" s="166">
        <f ca="1"/>
        <v>7.7814040795454176E-3</v>
      </c>
      <c r="AB73" s="166">
        <f ca="1"/>
        <v>0</v>
      </c>
      <c r="AC73" s="166">
        <f ca="1"/>
        <v>2.2037196175737739E-2</v>
      </c>
      <c r="AD73" s="166">
        <f ca="1"/>
        <v>4.1227109707438148E-2</v>
      </c>
      <c r="AE73" s="140">
        <f ca="1"/>
        <v>7.5711718719414289E-2</v>
      </c>
      <c r="AH73" s="137">
        <v>4.0000000000000002E-4</v>
      </c>
      <c r="AI73" s="137">
        <v>1E-3</v>
      </c>
      <c r="AJ73" s="137">
        <v>3.8E-3</v>
      </c>
      <c r="AK73" s="137">
        <v>7.1999999999999998E-3</v>
      </c>
      <c r="AM73" s="137">
        <v>2.0899999999999998E-2</v>
      </c>
      <c r="AN73" s="137">
        <v>3.9100000000000003E-2</v>
      </c>
      <c r="AO73" s="137">
        <v>7.1900000000000006E-2</v>
      </c>
      <c r="AQ73" s="137">
        <v>4.0000000000000002E-4</v>
      </c>
      <c r="AR73" s="137">
        <v>1.1999999999999999E-3</v>
      </c>
      <c r="AS73" s="137">
        <v>4.1000000000000003E-3</v>
      </c>
      <c r="AT73" s="137">
        <v>7.7000000000000002E-3</v>
      </c>
      <c r="AV73" s="137">
        <v>2.1899999999999999E-2</v>
      </c>
      <c r="AW73" s="137">
        <v>4.1000000000000002E-2</v>
      </c>
      <c r="AX73" s="137">
        <v>7.5300000000000006E-2</v>
      </c>
    </row>
    <row r="74" spans="1:50" s="79" customFormat="1" ht="10.199999999999999" x14ac:dyDescent="0.2">
      <c r="A74" s="97">
        <f t="shared" ca="1" si="3"/>
        <v>63</v>
      </c>
      <c r="B74" s="68" t="s">
        <v>151</v>
      </c>
      <c r="C74" s="98">
        <v>0.4</v>
      </c>
      <c r="D74" s="69" t="s">
        <v>66</v>
      </c>
      <c r="E74" s="138" t="s">
        <v>87</v>
      </c>
      <c r="F74" s="159">
        <v>5.9999999999999995E-4</v>
      </c>
      <c r="G74" s="159">
        <v>1.1000000000000001E-3</v>
      </c>
      <c r="H74" s="159">
        <v>2E-3</v>
      </c>
      <c r="I74" s="159">
        <v>2.5999999999999999E-3</v>
      </c>
      <c r="J74" s="159" t="s">
        <v>87</v>
      </c>
      <c r="K74" s="159">
        <v>3.3999999999999998E-3</v>
      </c>
      <c r="L74" s="159">
        <v>4.1000000000000003E-3</v>
      </c>
      <c r="M74" s="159">
        <v>4.8999999999999998E-3</v>
      </c>
      <c r="N74" s="139">
        <f t="array" aca="1" ref="N74:AE74" ca="1">IF(OR(B74="",NOT($J$2)),"",GetStripDefaultProbability(A74,B74,Parameter_Date,CDSRollDate,E74:M74,SpreadCurveMaturities,D74,C74,$J$4,$J$6))</f>
        <v>0</v>
      </c>
      <c r="O74" s="166">
        <f ca="1"/>
        <v>5.5976970645477131E-4</v>
      </c>
      <c r="P74" s="166">
        <f ca="1"/>
        <v>1.9526739714988972E-3</v>
      </c>
      <c r="Q74" s="166">
        <f ca="1"/>
        <v>6.9634177049539003E-3</v>
      </c>
      <c r="R74" s="166">
        <f ca="1"/>
        <v>1.3488502948436953E-2</v>
      </c>
      <c r="S74" s="166">
        <f ca="1"/>
        <v>0</v>
      </c>
      <c r="T74" s="166">
        <f ca="1"/>
        <v>2.9254370779834615E-2</v>
      </c>
      <c r="U74" s="166">
        <f ca="1"/>
        <v>4.9388868497828531E-2</v>
      </c>
      <c r="V74" s="140">
        <f ca="1"/>
        <v>8.4178579424549982E-2</v>
      </c>
      <c r="W74" s="139">
        <f ca="1"/>
        <v>0</v>
      </c>
      <c r="X74" s="166">
        <f ca="1"/>
        <v>6.5303351059242676E-4</v>
      </c>
      <c r="Y74" s="166">
        <f ca="1"/>
        <v>2.1288711160841745E-3</v>
      </c>
      <c r="Z74" s="166">
        <f ca="1"/>
        <v>7.3056539193626646E-3</v>
      </c>
      <c r="AA74" s="166">
        <f ca="1"/>
        <v>1.4155214870346766E-2</v>
      </c>
      <c r="AB74" s="166">
        <f ca="1"/>
        <v>0</v>
      </c>
      <c r="AC74" s="166">
        <f ca="1"/>
        <v>3.069291380952377E-2</v>
      </c>
      <c r="AD74" s="166">
        <f ca="1"/>
        <v>5.1804178007370694E-2</v>
      </c>
      <c r="AE74" s="140">
        <f ca="1"/>
        <v>8.8232115411479461E-2</v>
      </c>
      <c r="AH74" s="137">
        <v>5.0000000000000001E-4</v>
      </c>
      <c r="AI74" s="137">
        <v>1.9E-3</v>
      </c>
      <c r="AJ74" s="137">
        <v>6.8999999999999999E-3</v>
      </c>
      <c r="AK74" s="137">
        <v>1.34E-2</v>
      </c>
      <c r="AM74" s="137">
        <v>2.9100000000000001E-2</v>
      </c>
      <c r="AN74" s="137">
        <v>4.9200000000000001E-2</v>
      </c>
      <c r="AO74" s="137">
        <v>8.3900000000000002E-2</v>
      </c>
      <c r="AQ74" s="137">
        <v>5.9999999999999995E-4</v>
      </c>
      <c r="AR74" s="137">
        <v>2.0999999999999999E-3</v>
      </c>
      <c r="AS74" s="137">
        <v>7.1999999999999998E-3</v>
      </c>
      <c r="AT74" s="137">
        <v>1.41E-2</v>
      </c>
      <c r="AV74" s="137">
        <v>3.0599999999999999E-2</v>
      </c>
      <c r="AW74" s="137">
        <v>5.16E-2</v>
      </c>
      <c r="AX74" s="137">
        <v>8.7999999999999995E-2</v>
      </c>
    </row>
    <row r="75" spans="1:50" s="79" customFormat="1" ht="10.199999999999999" x14ac:dyDescent="0.2">
      <c r="A75" s="97">
        <f t="shared" ca="1" si="3"/>
        <v>64</v>
      </c>
      <c r="B75" s="68" t="s">
        <v>152</v>
      </c>
      <c r="C75" s="98">
        <v>0.4</v>
      </c>
      <c r="D75" s="69" t="s">
        <v>66</v>
      </c>
      <c r="E75" s="138" t="s">
        <v>87</v>
      </c>
      <c r="F75" s="159">
        <v>2.0000000000000001E-4</v>
      </c>
      <c r="G75" s="159">
        <v>2.9999999999999997E-4</v>
      </c>
      <c r="H75" s="159">
        <v>5.9999999999999995E-4</v>
      </c>
      <c r="I75" s="159">
        <v>8.9999999999999998E-4</v>
      </c>
      <c r="J75" s="159" t="s">
        <v>87</v>
      </c>
      <c r="K75" s="159">
        <v>1.2999999999999999E-3</v>
      </c>
      <c r="L75" s="159">
        <v>1.8E-3</v>
      </c>
      <c r="M75" s="159">
        <v>2.5000000000000001E-3</v>
      </c>
      <c r="N75" s="139">
        <f t="array" aca="1" ref="N75:AE75" ca="1">IF(OR(B75="",NOT($J$2)),"",GetStripDefaultProbability(A75,B75,Parameter_Date,CDSRollDate,E75:M75,SpreadCurveMaturities,D75,C75,$J$4,$J$6))</f>
        <v>0</v>
      </c>
      <c r="O75" s="166">
        <f ca="1"/>
        <v>1.8662465644081472E-4</v>
      </c>
      <c r="P75" s="166">
        <f ca="1"/>
        <v>5.3196847125092095E-4</v>
      </c>
      <c r="Q75" s="166">
        <f ca="1"/>
        <v>2.0954718649326409E-3</v>
      </c>
      <c r="R75" s="166">
        <f ca="1"/>
        <v>4.7071202577937399E-3</v>
      </c>
      <c r="S75" s="166">
        <f ca="1"/>
        <v>0</v>
      </c>
      <c r="T75" s="166">
        <f ca="1"/>
        <v>1.1332649504059766E-2</v>
      </c>
      <c r="U75" s="166">
        <f ca="1"/>
        <v>2.2262530075539133E-2</v>
      </c>
      <c r="V75" s="140">
        <f ca="1"/>
        <v>4.4825778242103875E-2</v>
      </c>
      <c r="W75" s="139">
        <f ca="1"/>
        <v>0</v>
      </c>
      <c r="X75" s="166">
        <f ca="1"/>
        <v>2.799238471393739E-4</v>
      </c>
      <c r="Y75" s="166">
        <f ca="1"/>
        <v>7.0837770367115915E-4</v>
      </c>
      <c r="Z75" s="166">
        <f ca="1"/>
        <v>2.4391368410341396E-3</v>
      </c>
      <c r="AA75" s="166">
        <f ca="1"/>
        <v>5.2171629349336834E-3</v>
      </c>
      <c r="AB75" s="166">
        <f ca="1"/>
        <v>0</v>
      </c>
      <c r="AC75" s="166">
        <f ca="1"/>
        <v>1.2172463506858078E-2</v>
      </c>
      <c r="AD75" s="166">
        <f ca="1"/>
        <v>2.3424220183711597E-2</v>
      </c>
      <c r="AE75" s="140">
        <f ca="1"/>
        <v>4.6953316706113801E-2</v>
      </c>
      <c r="AH75" s="137">
        <v>2.0000000000000001E-4</v>
      </c>
      <c r="AI75" s="137">
        <v>5.0000000000000001E-4</v>
      </c>
      <c r="AJ75" s="137">
        <v>2.0999999999999999E-3</v>
      </c>
      <c r="AK75" s="137">
        <v>4.7000000000000002E-3</v>
      </c>
      <c r="AM75" s="137">
        <v>1.1299999999999999E-2</v>
      </c>
      <c r="AN75" s="137">
        <v>2.2100000000000002E-2</v>
      </c>
      <c r="AO75" s="137">
        <v>4.4699999999999997E-2</v>
      </c>
      <c r="AQ75" s="137">
        <v>2.9999999999999997E-4</v>
      </c>
      <c r="AR75" s="137">
        <v>6.9999999999999999E-4</v>
      </c>
      <c r="AS75" s="137">
        <v>2.3999999999999998E-3</v>
      </c>
      <c r="AT75" s="137">
        <v>5.1999999999999998E-3</v>
      </c>
      <c r="AV75" s="137">
        <v>1.21E-2</v>
      </c>
      <c r="AW75" s="137">
        <v>2.3300000000000001E-2</v>
      </c>
      <c r="AX75" s="137">
        <v>4.6800000000000001E-2</v>
      </c>
    </row>
    <row r="76" spans="1:50" s="79" customFormat="1" ht="10.199999999999999" x14ac:dyDescent="0.2">
      <c r="A76" s="97">
        <f t="shared" ca="1" si="3"/>
        <v>65</v>
      </c>
      <c r="B76" s="68" t="s">
        <v>153</v>
      </c>
      <c r="C76" s="98">
        <v>0.4</v>
      </c>
      <c r="D76" s="69" t="s">
        <v>66</v>
      </c>
      <c r="E76" s="138" t="s">
        <v>87</v>
      </c>
      <c r="F76" s="159">
        <v>9.2000000000000003E-4</v>
      </c>
      <c r="G76" s="159">
        <v>1.39E-3</v>
      </c>
      <c r="H76" s="159">
        <v>2.0799999999999998E-3</v>
      </c>
      <c r="I76" s="159">
        <v>2.49E-3</v>
      </c>
      <c r="J76" s="159" t="s">
        <v>87</v>
      </c>
      <c r="K76" s="159">
        <v>3.0000000000000001E-3</v>
      </c>
      <c r="L76" s="159">
        <v>3.3500000000000001E-3</v>
      </c>
      <c r="M76" s="159">
        <v>3.7000000000000002E-3</v>
      </c>
      <c r="N76" s="139">
        <f t="array" aca="1" ref="N76:AE76" ca="1">IF(OR(B76="",NOT($J$2)),"",GetStripDefaultProbability(A76,B76,Parameter_Date,CDSRollDate,E76:M76,SpreadCurveMaturities,D76,C76,$J$4,$J$6))</f>
        <v>0</v>
      </c>
      <c r="O76" s="166">
        <f ca="1"/>
        <v>8.5818569699469549E-4</v>
      </c>
      <c r="P76" s="166">
        <f ca="1"/>
        <v>2.4627964794737833E-3</v>
      </c>
      <c r="Q76" s="166">
        <f ca="1"/>
        <v>7.2134976202172796E-3</v>
      </c>
      <c r="R76" s="166">
        <f ca="1"/>
        <v>1.2858540248708583E-2</v>
      </c>
      <c r="S76" s="166">
        <f ca="1"/>
        <v>0</v>
      </c>
      <c r="T76" s="166">
        <f ca="1"/>
        <v>2.5666102781935818E-2</v>
      </c>
      <c r="U76" s="166">
        <f ca="1"/>
        <v>3.9990991514550656E-2</v>
      </c>
      <c r="V76" s="140">
        <f ca="1"/>
        <v>6.2835392200267015E-2</v>
      </c>
      <c r="W76" s="139">
        <f ca="1"/>
        <v>0</v>
      </c>
      <c r="X76" s="166">
        <f ca="1"/>
        <v>9.5142077389065438E-4</v>
      </c>
      <c r="Y76" s="166">
        <f ca="1"/>
        <v>2.6389004309681496E-3</v>
      </c>
      <c r="Z76" s="166">
        <f ca="1"/>
        <v>7.5697035389320488E-3</v>
      </c>
      <c r="AA76" s="166">
        <f ca="1"/>
        <v>1.3494947539991364E-2</v>
      </c>
      <c r="AB76" s="166">
        <f ca="1"/>
        <v>0</v>
      </c>
      <c r="AC76" s="166">
        <f ca="1"/>
        <v>2.6930579449678138E-2</v>
      </c>
      <c r="AD76" s="166">
        <f ca="1"/>
        <v>4.1952051643128874E-2</v>
      </c>
      <c r="AE76" s="140">
        <f ca="1"/>
        <v>6.5882707406599517E-2</v>
      </c>
      <c r="AH76" s="137">
        <v>8.0000000000000004E-4</v>
      </c>
      <c r="AI76" s="137">
        <v>2.3999999999999998E-3</v>
      </c>
      <c r="AJ76" s="137">
        <v>7.1999999999999998E-3</v>
      </c>
      <c r="AK76" s="137">
        <v>1.2800000000000001E-2</v>
      </c>
      <c r="AM76" s="137">
        <v>2.5600000000000001E-2</v>
      </c>
      <c r="AN76" s="137">
        <v>3.9899999999999998E-2</v>
      </c>
      <c r="AO76" s="137">
        <v>6.2700000000000006E-2</v>
      </c>
      <c r="AQ76" s="137">
        <v>8.9999999999999998E-4</v>
      </c>
      <c r="AR76" s="137">
        <v>2.5999999999999999E-3</v>
      </c>
      <c r="AS76" s="137">
        <v>7.4999999999999997E-3</v>
      </c>
      <c r="AT76" s="137">
        <v>1.34E-2</v>
      </c>
      <c r="AV76" s="137">
        <v>2.6800000000000001E-2</v>
      </c>
      <c r="AW76" s="137">
        <v>4.1799999999999997E-2</v>
      </c>
      <c r="AX76" s="137">
        <v>6.5699999999999995E-2</v>
      </c>
    </row>
    <row r="77" spans="1:50" s="79" customFormat="1" ht="10.199999999999999" x14ac:dyDescent="0.2">
      <c r="A77" s="97">
        <f t="shared" ca="1" si="3"/>
        <v>66</v>
      </c>
      <c r="B77" s="68" t="s">
        <v>154</v>
      </c>
      <c r="C77" s="98">
        <v>0.4</v>
      </c>
      <c r="D77" s="69" t="s">
        <v>66</v>
      </c>
      <c r="E77" s="138" t="s">
        <v>87</v>
      </c>
      <c r="F77" s="159">
        <v>2.3999999999999998E-3</v>
      </c>
      <c r="G77" s="159">
        <v>3.2000000000000002E-3</v>
      </c>
      <c r="H77" s="159">
        <v>4.8999999999999998E-3</v>
      </c>
      <c r="I77" s="159">
        <v>6.7000000000000002E-3</v>
      </c>
      <c r="J77" s="159" t="s">
        <v>87</v>
      </c>
      <c r="K77" s="159">
        <v>1.03E-2</v>
      </c>
      <c r="L77" s="159">
        <v>1.23E-2</v>
      </c>
      <c r="M77" s="159">
        <v>1.4200000000000001E-2</v>
      </c>
      <c r="N77" s="139">
        <f t="array" aca="1" ref="N77:AE77" ca="1">IF(OR(B77="",NOT($J$2)),"",GetStripDefaultProbability(A77,B77,Parameter_Date,CDSRollDate,E77:M77,SpreadCurveMaturities,D77,C77,$J$4,$J$6))</f>
        <v>0</v>
      </c>
      <c r="O77" s="166">
        <f ca="1"/>
        <v>2.237204014953087E-3</v>
      </c>
      <c r="P77" s="166">
        <f ca="1"/>
        <v>5.6542554443445026E-3</v>
      </c>
      <c r="Q77" s="166">
        <f ca="1"/>
        <v>1.6938177844187163E-2</v>
      </c>
      <c r="R77" s="166">
        <f ca="1"/>
        <v>3.4503050222862042E-2</v>
      </c>
      <c r="S77" s="166">
        <f ca="1"/>
        <v>0</v>
      </c>
      <c r="T77" s="166">
        <f ca="1"/>
        <v>8.756664794080582E-2</v>
      </c>
      <c r="U77" s="166">
        <f ca="1"/>
        <v>0.14323766334546639</v>
      </c>
      <c r="V77" s="140">
        <f ca="1"/>
        <v>0.22872480687248153</v>
      </c>
      <c r="W77" s="139">
        <f ca="1"/>
        <v>0</v>
      </c>
      <c r="X77" s="166">
        <f ca="1"/>
        <v>2.3489214696632565E-3</v>
      </c>
      <c r="Y77" s="166">
        <f ca="1"/>
        <v>5.9362042763381195E-3</v>
      </c>
      <c r="Z77" s="166">
        <f ca="1"/>
        <v>1.7779264676924922E-2</v>
      </c>
      <c r="AA77" s="166">
        <f ca="1"/>
        <v>3.6205422803125775E-2</v>
      </c>
      <c r="AB77" s="166">
        <f ca="1"/>
        <v>0</v>
      </c>
      <c r="AC77" s="166">
        <f ca="1"/>
        <v>9.1803381916156002E-2</v>
      </c>
      <c r="AD77" s="166">
        <f ca="1"/>
        <v>0.14998731686398603</v>
      </c>
      <c r="AE77" s="140">
        <f ca="1"/>
        <v>0.23903322901765212</v>
      </c>
      <c r="AH77" s="137">
        <v>2.2000000000000001E-3</v>
      </c>
      <c r="AI77" s="137">
        <v>5.5999999999999999E-3</v>
      </c>
      <c r="AJ77" s="137">
        <v>1.6799999999999999E-2</v>
      </c>
      <c r="AK77" s="137">
        <v>3.4299999999999997E-2</v>
      </c>
      <c r="AM77" s="137">
        <v>8.6999999999999994E-2</v>
      </c>
      <c r="AN77" s="137">
        <v>0.14269999999999999</v>
      </c>
      <c r="AO77" s="137">
        <v>0.22770000000000001</v>
      </c>
      <c r="AQ77" s="137">
        <v>2.3E-3</v>
      </c>
      <c r="AR77" s="137">
        <v>5.7999999999999996E-3</v>
      </c>
      <c r="AS77" s="137">
        <v>1.7600000000000001E-2</v>
      </c>
      <c r="AT77" s="137">
        <v>3.5999999999999997E-2</v>
      </c>
      <c r="AV77" s="137">
        <v>9.1200000000000003E-2</v>
      </c>
      <c r="AW77" s="137">
        <v>0.14940000000000001</v>
      </c>
      <c r="AX77" s="137">
        <v>0.23799999999999999</v>
      </c>
    </row>
    <row r="78" spans="1:50" s="79" customFormat="1" ht="10.199999999999999" x14ac:dyDescent="0.2">
      <c r="A78" s="97">
        <f t="shared" ref="A78:A133" ca="1" si="4">IF(B78="","",A77+1)</f>
        <v>67</v>
      </c>
      <c r="B78" s="68" t="s">
        <v>155</v>
      </c>
      <c r="C78" s="98">
        <v>0.4</v>
      </c>
      <c r="D78" s="69" t="s">
        <v>66</v>
      </c>
      <c r="E78" s="138" t="s">
        <v>87</v>
      </c>
      <c r="F78" s="159">
        <v>5.9999999999999995E-4</v>
      </c>
      <c r="G78" s="159">
        <v>1.1000000000000001E-3</v>
      </c>
      <c r="H78" s="159">
        <v>2.0999999999999999E-3</v>
      </c>
      <c r="I78" s="159">
        <v>2.8E-3</v>
      </c>
      <c r="J78" s="159" t="s">
        <v>87</v>
      </c>
      <c r="K78" s="159">
        <v>4.0000000000000001E-3</v>
      </c>
      <c r="L78" s="159">
        <v>4.7999999999999996E-3</v>
      </c>
      <c r="M78" s="159">
        <v>6.1000000000000004E-3</v>
      </c>
      <c r="N78" s="139">
        <f t="array" aca="1" ref="N78:AE78" ca="1">IF(OR(B78="",NOT($J$2)),"",GetStripDefaultProbability(A78,B78,Parameter_Date,CDSRollDate,E78:M78,SpreadCurveMaturities,D78,C78,$J$4,$J$6))</f>
        <v>0</v>
      </c>
      <c r="O78" s="166">
        <f ca="1"/>
        <v>5.5976970645477131E-4</v>
      </c>
      <c r="P78" s="166">
        <f ca="1"/>
        <v>1.9526739714988972E-3</v>
      </c>
      <c r="Q78" s="166">
        <f ca="1"/>
        <v>7.3168887613148659E-3</v>
      </c>
      <c r="R78" s="166">
        <f ca="1"/>
        <v>1.4537891249842061E-2</v>
      </c>
      <c r="S78" s="166">
        <f ca="1"/>
        <v>0</v>
      </c>
      <c r="T78" s="166">
        <f ca="1"/>
        <v>3.454540625139324E-2</v>
      </c>
      <c r="U78" s="166">
        <f ca="1"/>
        <v>5.7743256667446063E-2</v>
      </c>
      <c r="V78" s="140">
        <f ca="1"/>
        <v>0.10532011271457586</v>
      </c>
      <c r="W78" s="139">
        <f ca="1"/>
        <v>0</v>
      </c>
      <c r="X78" s="166">
        <f ca="1"/>
        <v>6.5303351059242676E-4</v>
      </c>
      <c r="Y78" s="166">
        <f ca="1"/>
        <v>2.1288711160841745E-3</v>
      </c>
      <c r="Z78" s="166">
        <f ca="1"/>
        <v>7.6767074699430893E-3</v>
      </c>
      <c r="AA78" s="166">
        <f ca="1"/>
        <v>1.5256607595670379E-2</v>
      </c>
      <c r="AB78" s="166">
        <f ca="1"/>
        <v>0</v>
      </c>
      <c r="AC78" s="166">
        <f ca="1"/>
        <v>3.6244400780486519E-2</v>
      </c>
      <c r="AD78" s="166">
        <f ca="1"/>
        <v>6.0560153055504329E-2</v>
      </c>
      <c r="AE78" s="140">
        <f ca="1"/>
        <v>0.11036495740263685</v>
      </c>
      <c r="AH78" s="137">
        <v>5.0000000000000001E-4</v>
      </c>
      <c r="AI78" s="137">
        <v>1.9E-3</v>
      </c>
      <c r="AJ78" s="137">
        <v>7.3000000000000001E-3</v>
      </c>
      <c r="AK78" s="137">
        <v>1.4500000000000001E-2</v>
      </c>
      <c r="AM78" s="137">
        <v>3.44E-2</v>
      </c>
      <c r="AN78" s="137">
        <v>5.7500000000000002E-2</v>
      </c>
      <c r="AO78" s="137">
        <v>0.1047</v>
      </c>
      <c r="AQ78" s="137">
        <v>5.9999999999999995E-4</v>
      </c>
      <c r="AR78" s="137">
        <v>2.0999999999999999E-3</v>
      </c>
      <c r="AS78" s="137">
        <v>7.6E-3</v>
      </c>
      <c r="AT78" s="137">
        <v>1.52E-2</v>
      </c>
      <c r="AV78" s="137">
        <v>3.61E-2</v>
      </c>
      <c r="AW78" s="137">
        <v>6.0400000000000002E-2</v>
      </c>
      <c r="AX78" s="137">
        <v>0.10970000000000001</v>
      </c>
    </row>
    <row r="79" spans="1:50" s="79" customFormat="1" ht="10.199999999999999" x14ac:dyDescent="0.2">
      <c r="A79" s="97">
        <f t="shared" ca="1" si="4"/>
        <v>68</v>
      </c>
      <c r="B79" s="68" t="s">
        <v>156</v>
      </c>
      <c r="C79" s="98">
        <v>0.4</v>
      </c>
      <c r="D79" s="69" t="s">
        <v>66</v>
      </c>
      <c r="E79" s="138" t="s">
        <v>87</v>
      </c>
      <c r="F79" s="159">
        <v>1E-3</v>
      </c>
      <c r="G79" s="159">
        <v>1.4E-3</v>
      </c>
      <c r="H79" s="159">
        <v>2.2000000000000001E-3</v>
      </c>
      <c r="I79" s="159">
        <v>3.3E-3</v>
      </c>
      <c r="J79" s="159" t="s">
        <v>87</v>
      </c>
      <c r="K79" s="159">
        <v>5.1000000000000004E-3</v>
      </c>
      <c r="L79" s="159">
        <v>6.3E-3</v>
      </c>
      <c r="M79" s="159">
        <v>7.6E-3</v>
      </c>
      <c r="N79" s="139">
        <f t="array" aca="1" ref="N79:AE79" ca="1">IF(OR(B79="",NOT($J$2)),"",GetStripDefaultProbability(A79,B79,Parameter_Date,CDSRollDate,E79:M79,SpreadCurveMaturities,D79,C79,$J$4,$J$6))</f>
        <v>0</v>
      </c>
      <c r="O79" s="166">
        <f ca="1"/>
        <v>9.3277580402983951E-4</v>
      </c>
      <c r="P79" s="166">
        <f ca="1"/>
        <v>2.4786156317486707E-3</v>
      </c>
      <c r="Q79" s="166">
        <f ca="1"/>
        <v>7.636600745204225E-3</v>
      </c>
      <c r="R79" s="166">
        <f ca="1"/>
        <v>1.7161258524630796E-2</v>
      </c>
      <c r="S79" s="166">
        <f ca="1"/>
        <v>0</v>
      </c>
      <c r="T79" s="166">
        <f ca="1"/>
        <v>4.4068649264047854E-2</v>
      </c>
      <c r="U79" s="166">
        <f ca="1"/>
        <v>7.5713667878817059E-2</v>
      </c>
      <c r="V79" s="140">
        <f ca="1"/>
        <v>0.12908258469694378</v>
      </c>
      <c r="W79" s="139">
        <f ca="1"/>
        <v>0</v>
      </c>
      <c r="X79" s="166">
        <f ca="1"/>
        <v>1.0260036394392769E-3</v>
      </c>
      <c r="Y79" s="166">
        <f ca="1"/>
        <v>2.6547102692734414E-3</v>
      </c>
      <c r="Z79" s="166">
        <f ca="1"/>
        <v>8.0138687322959257E-3</v>
      </c>
      <c r="AA79" s="166">
        <f ca="1"/>
        <v>1.8010653032256907E-2</v>
      </c>
      <c r="AB79" s="166">
        <f ca="1"/>
        <v>0</v>
      </c>
      <c r="AC79" s="166">
        <f ca="1"/>
        <v>4.6232244151275914E-2</v>
      </c>
      <c r="AD79" s="166">
        <f ca="1"/>
        <v>7.938699224332868E-2</v>
      </c>
      <c r="AE79" s="140">
        <f ca="1"/>
        <v>0.13520456047879004</v>
      </c>
      <c r="AH79" s="137">
        <v>8.9999999999999998E-4</v>
      </c>
      <c r="AI79" s="137">
        <v>2.3999999999999998E-3</v>
      </c>
      <c r="AJ79" s="137">
        <v>7.6E-3</v>
      </c>
      <c r="AK79" s="137">
        <v>1.7100000000000001E-2</v>
      </c>
      <c r="AM79" s="137">
        <v>4.3900000000000002E-2</v>
      </c>
      <c r="AN79" s="137">
        <v>7.5399999999999995E-2</v>
      </c>
      <c r="AO79" s="137">
        <v>0.12859999999999999</v>
      </c>
      <c r="AQ79" s="137">
        <v>1E-3</v>
      </c>
      <c r="AR79" s="137">
        <v>2.5999999999999999E-3</v>
      </c>
      <c r="AS79" s="137">
        <v>7.9000000000000008E-3</v>
      </c>
      <c r="AT79" s="137">
        <v>1.7899999999999999E-2</v>
      </c>
      <c r="AV79" s="137">
        <v>4.5999999999999999E-2</v>
      </c>
      <c r="AW79" s="137">
        <v>7.9100000000000004E-2</v>
      </c>
      <c r="AX79" s="137">
        <v>0.13469999999999999</v>
      </c>
    </row>
    <row r="80" spans="1:50" s="79" customFormat="1" ht="10.199999999999999" x14ac:dyDescent="0.2">
      <c r="A80" s="97">
        <f t="shared" ca="1" si="4"/>
        <v>69</v>
      </c>
      <c r="B80" s="68" t="s">
        <v>157</v>
      </c>
      <c r="C80" s="98">
        <v>0.4</v>
      </c>
      <c r="D80" s="69" t="s">
        <v>66</v>
      </c>
      <c r="E80" s="138" t="s">
        <v>87</v>
      </c>
      <c r="F80" s="159">
        <v>5.0000000000000001E-4</v>
      </c>
      <c r="G80" s="159">
        <v>5.0000000000000001E-4</v>
      </c>
      <c r="H80" s="159">
        <v>1E-3</v>
      </c>
      <c r="I80" s="159">
        <v>1.8E-3</v>
      </c>
      <c r="J80" s="159" t="s">
        <v>87</v>
      </c>
      <c r="K80" s="159">
        <v>2.7000000000000001E-3</v>
      </c>
      <c r="L80" s="159">
        <v>3.5000000000000001E-3</v>
      </c>
      <c r="M80" s="159">
        <v>4.4999999999999997E-3</v>
      </c>
      <c r="N80" s="139">
        <f t="array" aca="1" ref="N80:AE80" ca="1">IF(OR(B80="",NOT($J$2)),"",GetStripDefaultProbability(A80,B80,Parameter_Date,CDSRollDate,E80:M80,SpreadCurveMaturities,D80,C80,$J$4,$J$6))</f>
        <v>0</v>
      </c>
      <c r="O80" s="166">
        <f ca="1"/>
        <v>4.6649647376628689E-4</v>
      </c>
      <c r="P80" s="166">
        <f ca="1"/>
        <v>8.8300526925400025E-4</v>
      </c>
      <c r="Q80" s="166">
        <f ca="1"/>
        <v>3.4877550054015494E-3</v>
      </c>
      <c r="R80" s="166">
        <f ca="1"/>
        <v>9.4436061309463026E-3</v>
      </c>
      <c r="S80" s="166">
        <f ca="1"/>
        <v>0</v>
      </c>
      <c r="T80" s="166">
        <f ca="1"/>
        <v>2.3491771873255241E-2</v>
      </c>
      <c r="U80" s="166">
        <f ca="1"/>
        <v>4.2789477990826996E-2</v>
      </c>
      <c r="V80" s="140">
        <f ca="1"/>
        <v>7.8824953367144568E-2</v>
      </c>
      <c r="W80" s="139">
        <f ca="1"/>
        <v>0</v>
      </c>
      <c r="X80" s="166">
        <f ca="1"/>
        <v>5.5976917815403482E-4</v>
      </c>
      <c r="Y80" s="166">
        <f ca="1"/>
        <v>1.0593614472252932E-3</v>
      </c>
      <c r="Z80" s="166">
        <f ca="1"/>
        <v>3.8310151491746103E-3</v>
      </c>
      <c r="AA80" s="166">
        <f ca="1"/>
        <v>9.9518082623849535E-3</v>
      </c>
      <c r="AB80" s="166">
        <f ca="1"/>
        <v>0</v>
      </c>
      <c r="AC80" s="166">
        <f ca="1"/>
        <v>2.4640965944534354E-2</v>
      </c>
      <c r="AD80" s="166">
        <f ca="1"/>
        <v>4.4879551108489735E-2</v>
      </c>
      <c r="AE80" s="140">
        <f ca="1"/>
        <v>8.2638281745671893E-2</v>
      </c>
      <c r="AH80" s="137">
        <v>5.0000000000000001E-4</v>
      </c>
      <c r="AI80" s="137">
        <v>8.9999999999999998E-4</v>
      </c>
      <c r="AJ80" s="137">
        <v>3.5000000000000001E-3</v>
      </c>
      <c r="AK80" s="137">
        <v>9.4000000000000004E-3</v>
      </c>
      <c r="AM80" s="137">
        <v>2.3400000000000001E-2</v>
      </c>
      <c r="AN80" s="137">
        <v>4.2599999999999999E-2</v>
      </c>
      <c r="AO80" s="137">
        <v>7.8600000000000003E-2</v>
      </c>
      <c r="AQ80" s="137">
        <v>5.0000000000000001E-4</v>
      </c>
      <c r="AR80" s="137">
        <v>1E-3</v>
      </c>
      <c r="AS80" s="137">
        <v>3.8E-3</v>
      </c>
      <c r="AT80" s="137">
        <v>9.9000000000000008E-3</v>
      </c>
      <c r="AV80" s="137">
        <v>2.4500000000000001E-2</v>
      </c>
      <c r="AW80" s="137">
        <v>4.4699999999999997E-2</v>
      </c>
      <c r="AX80" s="137">
        <v>8.2400000000000001E-2</v>
      </c>
    </row>
    <row r="81" spans="1:50" s="79" customFormat="1" ht="10.199999999999999" x14ac:dyDescent="0.2">
      <c r="A81" s="97">
        <f t="shared" ca="1" si="4"/>
        <v>70</v>
      </c>
      <c r="B81" s="68" t="s">
        <v>158</v>
      </c>
      <c r="C81" s="98">
        <v>0.4</v>
      </c>
      <c r="D81" s="69" t="s">
        <v>66</v>
      </c>
      <c r="E81" s="138" t="s">
        <v>87</v>
      </c>
      <c r="F81" s="159">
        <v>1E-3</v>
      </c>
      <c r="G81" s="159">
        <v>1E-3</v>
      </c>
      <c r="H81" s="159">
        <v>1.8E-3</v>
      </c>
      <c r="I81" s="159">
        <v>2.8999999999999998E-3</v>
      </c>
      <c r="J81" s="159" t="s">
        <v>87</v>
      </c>
      <c r="K81" s="159">
        <v>4.3E-3</v>
      </c>
      <c r="L81" s="159">
        <v>5.4000000000000003E-3</v>
      </c>
      <c r="M81" s="159">
        <v>6.8999999999999999E-3</v>
      </c>
      <c r="N81" s="139">
        <f t="array" aca="1" ref="N81:AE81" ca="1">IF(OR(B81="",NOT($J$2)),"",GetStripDefaultProbability(A81,B81,Parameter_Date,CDSRollDate,E81:M81,SpreadCurveMaturities,D81,C81,$J$4,$J$6))</f>
        <v>0</v>
      </c>
      <c r="O81" s="166">
        <f ca="1"/>
        <v>9.3277580402983951E-4</v>
      </c>
      <c r="P81" s="166">
        <f ca="1"/>
        <v>1.7644802896065181E-3</v>
      </c>
      <c r="Q81" s="166">
        <f ca="1"/>
        <v>6.2601989599690988E-3</v>
      </c>
      <c r="R81" s="166">
        <f ca="1"/>
        <v>1.5133509547975432E-2</v>
      </c>
      <c r="S81" s="166">
        <f ca="1"/>
        <v>0</v>
      </c>
      <c r="T81" s="166">
        <f ca="1"/>
        <v>3.7190471241974721E-2</v>
      </c>
      <c r="U81" s="166">
        <f ca="1"/>
        <v>6.5237788965589849E-2</v>
      </c>
      <c r="V81" s="140">
        <f ca="1"/>
        <v>0.11883519997959613</v>
      </c>
      <c r="W81" s="139">
        <f ca="1"/>
        <v>0</v>
      </c>
      <c r="X81" s="166">
        <f ca="1"/>
        <v>1.0260036394392769E-3</v>
      </c>
      <c r="Y81" s="166">
        <f ca="1"/>
        <v>1.9406783110066383E-3</v>
      </c>
      <c r="Z81" s="166">
        <f ca="1"/>
        <v>6.6026212471875789E-3</v>
      </c>
      <c r="AA81" s="166">
        <f ca="1"/>
        <v>1.5879895103840247E-2</v>
      </c>
      <c r="AB81" s="166">
        <f ca="1"/>
        <v>0</v>
      </c>
      <c r="AC81" s="166">
        <f ca="1"/>
        <v>3.9017074559579479E-2</v>
      </c>
      <c r="AD81" s="166">
        <f ca="1"/>
        <v>6.8411942101371692E-2</v>
      </c>
      <c r="AE81" s="140">
        <f ca="1"/>
        <v>0.12450102482623293</v>
      </c>
      <c r="AH81" s="137">
        <v>8.9999999999999998E-4</v>
      </c>
      <c r="AI81" s="137">
        <v>1.6999999999999999E-3</v>
      </c>
      <c r="AJ81" s="137">
        <v>6.1999999999999998E-3</v>
      </c>
      <c r="AK81" s="137">
        <v>1.4999999999999999E-2</v>
      </c>
      <c r="AM81" s="137">
        <v>3.6999999999999998E-2</v>
      </c>
      <c r="AN81" s="137">
        <v>6.5000000000000002E-2</v>
      </c>
      <c r="AO81" s="137">
        <v>0.1183</v>
      </c>
      <c r="AQ81" s="137">
        <v>1E-3</v>
      </c>
      <c r="AR81" s="137">
        <v>1.9E-3</v>
      </c>
      <c r="AS81" s="137">
        <v>6.4999999999999997E-3</v>
      </c>
      <c r="AT81" s="137">
        <v>1.5800000000000002E-2</v>
      </c>
      <c r="AV81" s="137">
        <v>3.8800000000000001E-2</v>
      </c>
      <c r="AW81" s="137">
        <v>6.8099999999999994E-2</v>
      </c>
      <c r="AX81" s="137">
        <v>0.124</v>
      </c>
    </row>
    <row r="82" spans="1:50" s="79" customFormat="1" ht="10.199999999999999" x14ac:dyDescent="0.2">
      <c r="A82" s="97">
        <f t="shared" ca="1" si="4"/>
        <v>71</v>
      </c>
      <c r="B82" s="68" t="s">
        <v>159</v>
      </c>
      <c r="C82" s="98">
        <v>0.4</v>
      </c>
      <c r="D82" s="69" t="s">
        <v>66</v>
      </c>
      <c r="E82" s="138" t="s">
        <v>87</v>
      </c>
      <c r="F82" s="159">
        <v>4.0000000000000002E-4</v>
      </c>
      <c r="G82" s="159">
        <v>8.9999999999999998E-4</v>
      </c>
      <c r="H82" s="159">
        <v>1.2999999999999999E-3</v>
      </c>
      <c r="I82" s="159">
        <v>1.8E-3</v>
      </c>
      <c r="J82" s="159" t="s">
        <v>87</v>
      </c>
      <c r="K82" s="159">
        <v>2.8E-3</v>
      </c>
      <c r="L82" s="159">
        <v>3.5000000000000001E-3</v>
      </c>
      <c r="M82" s="159">
        <v>4.3E-3</v>
      </c>
      <c r="N82" s="139">
        <f t="array" aca="1" ref="N82:AE82" ca="1">IF(OR(B82="",NOT($J$2)),"",GetStripDefaultProbability(A82,B82,Parameter_Date,CDSRollDate,E82:M82,SpreadCurveMaturities,D82,C82,$J$4,$J$6))</f>
        <v>0</v>
      </c>
      <c r="O82" s="166">
        <f ca="1"/>
        <v>3.7321455535799242E-4</v>
      </c>
      <c r="P82" s="166">
        <f ca="1"/>
        <v>1.6001863943641004E-3</v>
      </c>
      <c r="Q82" s="166">
        <f ca="1"/>
        <v>4.5078550792482242E-3</v>
      </c>
      <c r="R82" s="166">
        <f ca="1"/>
        <v>9.358751646243002E-3</v>
      </c>
      <c r="S82" s="166">
        <f ca="1"/>
        <v>0</v>
      </c>
      <c r="T82" s="166">
        <f ca="1"/>
        <v>2.4341163916698383E-2</v>
      </c>
      <c r="U82" s="166">
        <f ca="1"/>
        <v>4.2611682383786875E-2</v>
      </c>
      <c r="V82" s="140">
        <f ca="1"/>
        <v>7.4853618256637722E-2</v>
      </c>
      <c r="W82" s="139">
        <f ca="1"/>
        <v>0</v>
      </c>
      <c r="X82" s="166">
        <f ca="1"/>
        <v>4.6649612398852458E-4</v>
      </c>
      <c r="Y82" s="166">
        <f ca="1"/>
        <v>1.7764454759706672E-3</v>
      </c>
      <c r="Z82" s="166">
        <f ca="1"/>
        <v>4.850739774835966E-3</v>
      </c>
      <c r="AA82" s="166">
        <f ca="1"/>
        <v>9.8666832789066072E-3</v>
      </c>
      <c r="AB82" s="166">
        <f ca="1"/>
        <v>0</v>
      </c>
      <c r="AC82" s="166">
        <f ca="1"/>
        <v>2.5536568279358351E-2</v>
      </c>
      <c r="AD82" s="166">
        <f ca="1"/>
        <v>4.4692436556827864E-2</v>
      </c>
      <c r="AE82" s="140">
        <f ca="1"/>
        <v>7.847630717927967E-2</v>
      </c>
      <c r="AH82" s="137">
        <v>4.0000000000000002E-4</v>
      </c>
      <c r="AI82" s="137">
        <v>1.6000000000000001E-3</v>
      </c>
      <c r="AJ82" s="137">
        <v>4.4999999999999997E-3</v>
      </c>
      <c r="AK82" s="137">
        <v>9.2999999999999992E-3</v>
      </c>
      <c r="AM82" s="137">
        <v>2.4199999999999999E-2</v>
      </c>
      <c r="AN82" s="137">
        <v>4.24E-2</v>
      </c>
      <c r="AO82" s="137">
        <v>7.46E-2</v>
      </c>
      <c r="AQ82" s="137">
        <v>4.0000000000000002E-4</v>
      </c>
      <c r="AR82" s="137">
        <v>1.6999999999999999E-3</v>
      </c>
      <c r="AS82" s="137">
        <v>4.7999999999999996E-3</v>
      </c>
      <c r="AT82" s="137">
        <v>9.7999999999999997E-3</v>
      </c>
      <c r="AV82" s="137">
        <v>2.5399999999999999E-2</v>
      </c>
      <c r="AW82" s="137">
        <v>4.4499999999999998E-2</v>
      </c>
      <c r="AX82" s="137">
        <v>7.8200000000000006E-2</v>
      </c>
    </row>
    <row r="83" spans="1:50" s="79" customFormat="1" ht="10.199999999999999" x14ac:dyDescent="0.2">
      <c r="A83" s="97">
        <f t="shared" ca="1" si="4"/>
        <v>72</v>
      </c>
      <c r="B83" s="68" t="s">
        <v>160</v>
      </c>
      <c r="C83" s="98">
        <v>0.4</v>
      </c>
      <c r="D83" s="69" t="s">
        <v>66</v>
      </c>
      <c r="E83" s="138" t="s">
        <v>87</v>
      </c>
      <c r="F83" s="159">
        <v>5.9999999999999995E-4</v>
      </c>
      <c r="G83" s="159">
        <v>1.2999999999999999E-3</v>
      </c>
      <c r="H83" s="159">
        <v>1.9E-3</v>
      </c>
      <c r="I83" s="159">
        <v>2.5000000000000001E-3</v>
      </c>
      <c r="J83" s="159" t="s">
        <v>87</v>
      </c>
      <c r="K83" s="159">
        <v>4.0000000000000001E-3</v>
      </c>
      <c r="L83" s="159">
        <v>5.1000000000000004E-3</v>
      </c>
      <c r="M83" s="159">
        <v>6.1999999999999998E-3</v>
      </c>
      <c r="N83" s="139">
        <f t="array" aca="1" ref="N83:AE83" ca="1">IF(OR(B83="",NOT($J$2)),"",GetStripDefaultProbability(A83,B83,Parameter_Date,CDSRollDate,E83:M83,SpreadCurveMaturities,D83,C83,$J$4,$J$6))</f>
        <v>0</v>
      </c>
      <c r="O83" s="166">
        <f ca="1"/>
        <v>5.5976970645477131E-4</v>
      </c>
      <c r="P83" s="166">
        <f ca="1"/>
        <v>2.3100353020236719E-3</v>
      </c>
      <c r="Q83" s="166">
        <f ca="1"/>
        <v>6.582592439847712E-3</v>
      </c>
      <c r="R83" s="166">
        <f ca="1"/>
        <v>1.2959028287389374E-2</v>
      </c>
      <c r="S83" s="166">
        <f ca="1"/>
        <v>0</v>
      </c>
      <c r="T83" s="166">
        <f ca="1"/>
        <v>3.4712424021265731E-2</v>
      </c>
      <c r="U83" s="166">
        <f ca="1"/>
        <v>6.1788811971043134E-2</v>
      </c>
      <c r="V83" s="140">
        <f ca="1"/>
        <v>0.1065822012896811</v>
      </c>
      <c r="W83" s="139">
        <f ca="1"/>
        <v>0</v>
      </c>
      <c r="X83" s="166">
        <f ca="1"/>
        <v>6.5303351059242676E-4</v>
      </c>
      <c r="Y83" s="166">
        <f ca="1"/>
        <v>2.4861887058292842E-3</v>
      </c>
      <c r="Z83" s="166">
        <f ca="1"/>
        <v>6.9248472854243071E-3</v>
      </c>
      <c r="AA83" s="166">
        <f ca="1"/>
        <v>1.3598746597554223E-2</v>
      </c>
      <c r="AB83" s="166">
        <f ca="1"/>
        <v>0</v>
      </c>
      <c r="AC83" s="166">
        <f ca="1"/>
        <v>3.6421552685929171E-2</v>
      </c>
      <c r="AD83" s="166">
        <f ca="1"/>
        <v>6.480184190302174E-2</v>
      </c>
      <c r="AE83" s="140">
        <f ca="1"/>
        <v>0.11168503686874032</v>
      </c>
      <c r="AH83" s="137">
        <v>5.0000000000000001E-4</v>
      </c>
      <c r="AI83" s="137">
        <v>2.3E-3</v>
      </c>
      <c r="AJ83" s="137">
        <v>6.4999999999999997E-3</v>
      </c>
      <c r="AK83" s="137">
        <v>1.29E-2</v>
      </c>
      <c r="AM83" s="137">
        <v>3.4500000000000003E-2</v>
      </c>
      <c r="AN83" s="137">
        <v>6.1600000000000002E-2</v>
      </c>
      <c r="AO83" s="137">
        <v>0.1062</v>
      </c>
      <c r="AQ83" s="137">
        <v>5.9999999999999995E-4</v>
      </c>
      <c r="AR83" s="137">
        <v>2.3999999999999998E-3</v>
      </c>
      <c r="AS83" s="137">
        <v>6.8999999999999999E-3</v>
      </c>
      <c r="AT83" s="137">
        <v>1.35E-2</v>
      </c>
      <c r="AV83" s="137">
        <v>3.6200000000000003E-2</v>
      </c>
      <c r="AW83" s="137">
        <v>6.4500000000000002E-2</v>
      </c>
      <c r="AX83" s="137">
        <v>0.1113</v>
      </c>
    </row>
    <row r="84" spans="1:50" s="79" customFormat="1" ht="10.199999999999999" x14ac:dyDescent="0.2">
      <c r="A84" s="97">
        <f t="shared" ca="1" si="4"/>
        <v>73</v>
      </c>
      <c r="B84" s="68" t="s">
        <v>161</v>
      </c>
      <c r="C84" s="98">
        <v>0.4</v>
      </c>
      <c r="D84" s="69" t="s">
        <v>66</v>
      </c>
      <c r="E84" s="138" t="s">
        <v>87</v>
      </c>
      <c r="F84" s="159">
        <v>2.9999999999999997E-4</v>
      </c>
      <c r="G84" s="159">
        <v>8.9999999999999998E-4</v>
      </c>
      <c r="H84" s="159">
        <v>1.5E-3</v>
      </c>
      <c r="I84" s="159">
        <v>2.2000000000000001E-3</v>
      </c>
      <c r="J84" s="159" t="s">
        <v>87</v>
      </c>
      <c r="K84" s="159">
        <v>3.0999999999999999E-3</v>
      </c>
      <c r="L84" s="159">
        <v>4.0000000000000001E-3</v>
      </c>
      <c r="M84" s="159">
        <v>5.1000000000000004E-3</v>
      </c>
      <c r="N84" s="139">
        <f t="array" aca="1" ref="N84:AE84" ca="1">IF(OR(B84="",NOT($J$2)),"",GetStripDefaultProbability(A84,B84,Parameter_Date,CDSRollDate,E84:M84,SpreadCurveMaturities,D84,C84,$J$4,$J$6))</f>
        <v>0</v>
      </c>
      <c r="O84" s="166">
        <f ca="1"/>
        <v>2.799239499720052E-4</v>
      </c>
      <c r="P84" s="166">
        <f ca="1"/>
        <v>1.6026642863309348E-3</v>
      </c>
      <c r="Q84" s="166">
        <f ca="1"/>
        <v>5.2149428614746141E-3</v>
      </c>
      <c r="R84" s="166">
        <f ca="1"/>
        <v>1.1464916168148709E-2</v>
      </c>
      <c r="S84" s="166">
        <f ca="1"/>
        <v>0</v>
      </c>
      <c r="T84" s="166">
        <f ca="1"/>
        <v>2.6811436323133209E-2</v>
      </c>
      <c r="U84" s="166">
        <f ca="1"/>
        <v>4.867601746469663E-2</v>
      </c>
      <c r="V84" s="140">
        <f ca="1"/>
        <v>8.8737287404736742E-2</v>
      </c>
      <c r="W84" s="139">
        <f ca="1"/>
        <v>0</v>
      </c>
      <c r="X84" s="166">
        <f ca="1"/>
        <v>3.7321434723358582E-4</v>
      </c>
      <c r="Y84" s="166">
        <f ca="1"/>
        <v>1.7789330236713807E-3</v>
      </c>
      <c r="Z84" s="166">
        <f ca="1"/>
        <v>5.5576658108038579E-3</v>
      </c>
      <c r="AA84" s="166">
        <f ca="1"/>
        <v>1.2025490569462005E-2</v>
      </c>
      <c r="AB84" s="166">
        <f ca="1"/>
        <v>0</v>
      </c>
      <c r="AC84" s="166">
        <f ca="1"/>
        <v>2.813153014100167E-2</v>
      </c>
      <c r="AD84" s="166">
        <f ca="1"/>
        <v>5.1055843881464114E-2</v>
      </c>
      <c r="AE84" s="140">
        <f ca="1"/>
        <v>9.3022245719337704E-2</v>
      </c>
      <c r="AH84" s="137">
        <v>2.9999999999999997E-4</v>
      </c>
      <c r="AI84" s="137">
        <v>1.6000000000000001E-3</v>
      </c>
      <c r="AJ84" s="137">
        <v>5.1999999999999998E-3</v>
      </c>
      <c r="AK84" s="137">
        <v>1.14E-2</v>
      </c>
      <c r="AM84" s="137">
        <v>2.6700000000000002E-2</v>
      </c>
      <c r="AN84" s="137">
        <v>4.8500000000000001E-2</v>
      </c>
      <c r="AO84" s="137">
        <v>8.8499999999999995E-2</v>
      </c>
      <c r="AQ84" s="137">
        <v>4.0000000000000002E-4</v>
      </c>
      <c r="AR84" s="137">
        <v>1.6999999999999999E-3</v>
      </c>
      <c r="AS84" s="137">
        <v>5.4999999999999997E-3</v>
      </c>
      <c r="AT84" s="137">
        <v>1.1900000000000001E-2</v>
      </c>
      <c r="AV84" s="137">
        <v>2.8000000000000001E-2</v>
      </c>
      <c r="AW84" s="137">
        <v>5.0799999999999998E-2</v>
      </c>
      <c r="AX84" s="137">
        <v>9.2700000000000005E-2</v>
      </c>
    </row>
    <row r="85" spans="1:50" s="79" customFormat="1" ht="10.199999999999999" x14ac:dyDescent="0.2">
      <c r="A85" s="97">
        <f t="shared" ca="1" si="4"/>
        <v>74</v>
      </c>
      <c r="B85" s="68" t="s">
        <v>162</v>
      </c>
      <c r="C85" s="98">
        <v>0.4</v>
      </c>
      <c r="D85" s="69" t="s">
        <v>66</v>
      </c>
      <c r="E85" s="138" t="s">
        <v>87</v>
      </c>
      <c r="F85" s="159">
        <v>1E-3</v>
      </c>
      <c r="G85" s="159">
        <v>1.1000000000000001E-3</v>
      </c>
      <c r="H85" s="159">
        <v>1.9E-3</v>
      </c>
      <c r="I85" s="159">
        <v>2.5000000000000001E-3</v>
      </c>
      <c r="J85" s="159" t="s">
        <v>87</v>
      </c>
      <c r="K85" s="159">
        <v>4.0000000000000001E-3</v>
      </c>
      <c r="L85" s="159">
        <v>5.0000000000000001E-3</v>
      </c>
      <c r="M85" s="159">
        <v>5.5999999999999999E-3</v>
      </c>
      <c r="N85" s="139">
        <f t="array" aca="1" ref="N85:AE85" ca="1">IF(OR(B85="",NOT($J$2)),"",GetStripDefaultProbability(A85,B85,Parameter_Date,CDSRollDate,E85:M85,SpreadCurveMaturities,D85,C85,$J$4,$J$6))</f>
        <v>0</v>
      </c>
      <c r="O85" s="166">
        <f ca="1"/>
        <v>9.3277580402983951E-4</v>
      </c>
      <c r="P85" s="166">
        <f ca="1"/>
        <v>1.9423702399052889E-3</v>
      </c>
      <c r="Q85" s="166">
        <f ca="1"/>
        <v>6.6057348802630589E-3</v>
      </c>
      <c r="R85" s="166">
        <f ca="1"/>
        <v>1.2963242145643039E-2</v>
      </c>
      <c r="S85" s="166">
        <f ca="1"/>
        <v>0</v>
      </c>
      <c r="T85" s="166">
        <f ca="1"/>
        <v>3.4753111733382469E-2</v>
      </c>
      <c r="U85" s="166">
        <f ca="1"/>
        <v>6.0505925678421169E-2</v>
      </c>
      <c r="V85" s="140">
        <f ca="1"/>
        <v>9.5276199051414712E-2</v>
      </c>
      <c r="W85" s="139">
        <f ca="1"/>
        <v>0</v>
      </c>
      <c r="X85" s="166">
        <f ca="1"/>
        <v>1.0260036394392769E-3</v>
      </c>
      <c r="Y85" s="166">
        <f ca="1"/>
        <v>2.1185304258649618E-3</v>
      </c>
      <c r="Z85" s="166">
        <f ca="1"/>
        <v>6.9480425417699498E-3</v>
      </c>
      <c r="AA85" s="166">
        <f ca="1"/>
        <v>1.3603591769428824E-2</v>
      </c>
      <c r="AB85" s="166">
        <f ca="1"/>
        <v>0</v>
      </c>
      <c r="AC85" s="166">
        <f ca="1"/>
        <v>3.6462554814053805E-2</v>
      </c>
      <c r="AD85" s="166">
        <f ca="1"/>
        <v>6.3456984193856814E-2</v>
      </c>
      <c r="AE85" s="140">
        <f ca="1"/>
        <v>9.9842378695008116E-2</v>
      </c>
      <c r="AH85" s="137">
        <v>8.9999999999999998E-4</v>
      </c>
      <c r="AI85" s="137">
        <v>1.9E-3</v>
      </c>
      <c r="AJ85" s="137">
        <v>6.4999999999999997E-3</v>
      </c>
      <c r="AK85" s="137">
        <v>1.29E-2</v>
      </c>
      <c r="AM85" s="137">
        <v>3.4500000000000003E-2</v>
      </c>
      <c r="AN85" s="137">
        <v>6.0299999999999999E-2</v>
      </c>
      <c r="AO85" s="137">
        <v>9.5000000000000001E-2</v>
      </c>
      <c r="AQ85" s="137">
        <v>1E-3</v>
      </c>
      <c r="AR85" s="137">
        <v>2.0999999999999999E-3</v>
      </c>
      <c r="AS85" s="137">
        <v>6.8999999999999999E-3</v>
      </c>
      <c r="AT85" s="137">
        <v>1.35E-2</v>
      </c>
      <c r="AV85" s="137">
        <v>3.6200000000000003E-2</v>
      </c>
      <c r="AW85" s="137">
        <v>6.3200000000000006E-2</v>
      </c>
      <c r="AX85" s="137">
        <v>9.9599999999999994E-2</v>
      </c>
    </row>
    <row r="86" spans="1:50" s="79" customFormat="1" ht="10.199999999999999" x14ac:dyDescent="0.2">
      <c r="A86" s="97">
        <f t="shared" ca="1" si="4"/>
        <v>75</v>
      </c>
      <c r="B86" s="68" t="s">
        <v>163</v>
      </c>
      <c r="C86" s="98">
        <v>0.4</v>
      </c>
      <c r="D86" s="69" t="s">
        <v>66</v>
      </c>
      <c r="E86" s="138" t="s">
        <v>87</v>
      </c>
      <c r="F86" s="159">
        <v>1.7600000000000001E-3</v>
      </c>
      <c r="G86" s="159">
        <v>2.0899999999999998E-3</v>
      </c>
      <c r="H86" s="159">
        <v>2.7299999999999998E-3</v>
      </c>
      <c r="I86" s="159">
        <v>3.0999999999999999E-3</v>
      </c>
      <c r="J86" s="159" t="s">
        <v>87</v>
      </c>
      <c r="K86" s="159">
        <v>3.7000000000000002E-3</v>
      </c>
      <c r="L86" s="159">
        <v>4.0499999999999998E-3</v>
      </c>
      <c r="M86" s="159">
        <v>4.4000000000000003E-3</v>
      </c>
      <c r="N86" s="139">
        <f t="array" aca="1" ref="N86:AE86" ca="1">IF(OR(B86="",NOT($J$2)),"",GetStripDefaultProbability(A86,B86,Parameter_Date,CDSRollDate,E86:M86,SpreadCurveMaturities,D86,C86,$J$4,$J$6))</f>
        <v>0</v>
      </c>
      <c r="O86" s="166">
        <f ca="1"/>
        <v>1.6411048533364614E-3</v>
      </c>
      <c r="P86" s="166">
        <f ca="1"/>
        <v>3.6911806879154074E-3</v>
      </c>
      <c r="Q86" s="166">
        <f ca="1"/>
        <v>9.4293981913752267E-3</v>
      </c>
      <c r="R86" s="166">
        <f ca="1"/>
        <v>1.5922258251012122E-2</v>
      </c>
      <c r="S86" s="166">
        <f ca="1"/>
        <v>0</v>
      </c>
      <c r="T86" s="166">
        <f ca="1"/>
        <v>3.1507392051616789E-2</v>
      </c>
      <c r="U86" s="166">
        <f ca="1"/>
        <v>4.7974540636166796E-2</v>
      </c>
      <c r="V86" s="140">
        <f ca="1"/>
        <v>7.3981445978289373E-2</v>
      </c>
      <c r="W86" s="139">
        <f ca="1"/>
        <v>0</v>
      </c>
      <c r="X86" s="166">
        <f ca="1"/>
        <v>1.7342626556779983E-3</v>
      </c>
      <c r="Y86" s="166">
        <f ca="1"/>
        <v>3.8750883881061293E-3</v>
      </c>
      <c r="Z86" s="166">
        <f ca="1"/>
        <v>9.8988538049687991E-3</v>
      </c>
      <c r="AA86" s="166">
        <f ca="1"/>
        <v>1.6712314699511288E-2</v>
      </c>
      <c r="AB86" s="166">
        <f ca="1"/>
        <v>0</v>
      </c>
      <c r="AC86" s="166">
        <f ca="1"/>
        <v>3.3060477396281374E-2</v>
      </c>
      <c r="AD86" s="166">
        <f ca="1"/>
        <v>5.0320386574968401E-2</v>
      </c>
      <c r="AE86" s="140">
        <f ca="1"/>
        <v>7.7553912225637678E-2</v>
      </c>
      <c r="AH86" s="137">
        <v>1.6000000000000001E-3</v>
      </c>
      <c r="AI86" s="137">
        <v>3.5999999999999999E-3</v>
      </c>
      <c r="AJ86" s="137">
        <v>9.4000000000000004E-3</v>
      </c>
      <c r="AK86" s="137">
        <v>1.5800000000000002E-2</v>
      </c>
      <c r="AM86" s="137">
        <v>3.1399999999999997E-2</v>
      </c>
      <c r="AN86" s="137">
        <v>4.7899999999999998E-2</v>
      </c>
      <c r="AO86" s="137">
        <v>7.3800000000000004E-2</v>
      </c>
      <c r="AQ86" s="137">
        <v>1.6999999999999999E-3</v>
      </c>
      <c r="AR86" s="137">
        <v>3.8E-3</v>
      </c>
      <c r="AS86" s="137">
        <v>9.7999999999999997E-3</v>
      </c>
      <c r="AT86" s="137">
        <v>1.66E-2</v>
      </c>
      <c r="AV86" s="137">
        <v>3.2899999999999999E-2</v>
      </c>
      <c r="AW86" s="137">
        <v>5.0200000000000002E-2</v>
      </c>
      <c r="AX86" s="137">
        <v>7.7299999999999994E-2</v>
      </c>
    </row>
    <row r="87" spans="1:50" s="79" customFormat="1" ht="10.199999999999999" x14ac:dyDescent="0.2">
      <c r="A87" s="97">
        <f t="shared" ca="1" si="4"/>
        <v>76</v>
      </c>
      <c r="B87" s="68" t="s">
        <v>164</v>
      </c>
      <c r="C87" s="98">
        <v>0.4</v>
      </c>
      <c r="D87" s="69" t="s">
        <v>66</v>
      </c>
      <c r="E87" s="138" t="s">
        <v>87</v>
      </c>
      <c r="F87" s="159">
        <v>1.16E-3</v>
      </c>
      <c r="G87" s="159">
        <v>1.5100000000000001E-3</v>
      </c>
      <c r="H87" s="159">
        <v>2.0300000000000001E-3</v>
      </c>
      <c r="I87" s="159">
        <v>2.3800000000000002E-3</v>
      </c>
      <c r="J87" s="159" t="s">
        <v>87</v>
      </c>
      <c r="K87" s="159">
        <v>2.8999999999999998E-3</v>
      </c>
      <c r="L87" s="159">
        <v>3.29E-3</v>
      </c>
      <c r="M87" s="159">
        <v>3.7000000000000002E-3</v>
      </c>
      <c r="N87" s="139">
        <f t="array" aca="1" ref="N87:AE87" ca="1">IF(OR(B87="",NOT($J$2)),"",GetStripDefaultProbability(A87,B87,Parameter_Date,CDSRollDate,E87:M87,SpreadCurveMaturities,D87,C87,$J$4,$J$6))</f>
        <v>0</v>
      </c>
      <c r="O87" s="166">
        <f ca="1"/>
        <v>1.081939353757666E-3</v>
      </c>
      <c r="P87" s="166">
        <f ca="1"/>
        <v>2.6710226779264046E-3</v>
      </c>
      <c r="Q87" s="166">
        <f ca="1"/>
        <v>7.0237635751747574E-3</v>
      </c>
      <c r="R87" s="166">
        <f ca="1"/>
        <v>1.2267406995728036E-2</v>
      </c>
      <c r="S87" s="166">
        <f ca="1"/>
        <v>0</v>
      </c>
      <c r="T87" s="166">
        <f ca="1"/>
        <v>2.4814424350092734E-2</v>
      </c>
      <c r="U87" s="166">
        <f ca="1"/>
        <v>3.9348846170236595E-2</v>
      </c>
      <c r="V87" s="140">
        <f ca="1"/>
        <v>6.3088194288431265E-2</v>
      </c>
      <c r="W87" s="139">
        <f ca="1"/>
        <v>0</v>
      </c>
      <c r="X87" s="166">
        <f ca="1"/>
        <v>1.1751526331379436E-3</v>
      </c>
      <c r="Y87" s="166">
        <f ca="1"/>
        <v>2.8470783173459857E-3</v>
      </c>
      <c r="Z87" s="166">
        <f ca="1"/>
        <v>7.3711241579595965E-3</v>
      </c>
      <c r="AA87" s="166">
        <f ca="1"/>
        <v>1.2875070529335453E-2</v>
      </c>
      <c r="AB87" s="166">
        <f ca="1"/>
        <v>0</v>
      </c>
      <c r="AC87" s="166">
        <f ca="1"/>
        <v>2.6038105278826107E-2</v>
      </c>
      <c r="AD87" s="166">
        <f ca="1"/>
        <v>4.1280047494951289E-2</v>
      </c>
      <c r="AE87" s="140">
        <f ca="1"/>
        <v>6.6150373265949636E-2</v>
      </c>
      <c r="AH87" s="137">
        <v>1.1000000000000001E-3</v>
      </c>
      <c r="AI87" s="137">
        <v>2.5999999999999999E-3</v>
      </c>
      <c r="AJ87" s="137">
        <v>7.0000000000000001E-3</v>
      </c>
      <c r="AK87" s="137">
        <v>1.2200000000000001E-2</v>
      </c>
      <c r="AM87" s="137">
        <v>2.47E-2</v>
      </c>
      <c r="AN87" s="137">
        <v>3.9199999999999999E-2</v>
      </c>
      <c r="AO87" s="137">
        <v>6.2899999999999998E-2</v>
      </c>
      <c r="AQ87" s="137">
        <v>1.1000000000000001E-3</v>
      </c>
      <c r="AR87" s="137">
        <v>2.8E-3</v>
      </c>
      <c r="AS87" s="137">
        <v>7.3000000000000001E-3</v>
      </c>
      <c r="AT87" s="137">
        <v>1.2800000000000001E-2</v>
      </c>
      <c r="AV87" s="137">
        <v>2.5899999999999999E-2</v>
      </c>
      <c r="AW87" s="137">
        <v>4.1200000000000001E-2</v>
      </c>
      <c r="AX87" s="137">
        <v>6.6000000000000003E-2</v>
      </c>
    </row>
    <row r="88" spans="1:50" s="79" customFormat="1" ht="10.199999999999999" x14ac:dyDescent="0.2">
      <c r="A88" s="97">
        <f t="shared" ca="1" si="4"/>
        <v>77</v>
      </c>
      <c r="B88" s="68" t="s">
        <v>165</v>
      </c>
      <c r="C88" s="98">
        <v>0.4</v>
      </c>
      <c r="D88" s="69" t="s">
        <v>66</v>
      </c>
      <c r="E88" s="138" t="s">
        <v>87</v>
      </c>
      <c r="F88" s="159">
        <v>6.9999999999999999E-4</v>
      </c>
      <c r="G88" s="159">
        <v>1E-3</v>
      </c>
      <c r="H88" s="159">
        <v>1.6000000000000001E-3</v>
      </c>
      <c r="I88" s="159">
        <v>2.0999999999999999E-3</v>
      </c>
      <c r="J88" s="159" t="s">
        <v>87</v>
      </c>
      <c r="K88" s="159">
        <v>3.3E-3</v>
      </c>
      <c r="L88" s="159">
        <v>4.0000000000000001E-3</v>
      </c>
      <c r="M88" s="159">
        <v>4.7999999999999996E-3</v>
      </c>
      <c r="N88" s="139">
        <f t="array" aca="1" ref="N88:AE88" ca="1">IF(OR(B88="",NOT($J$2)),"",GetStripDefaultProbability(A88,B88,Parameter_Date,CDSRollDate,E88:M88,SpreadCurveMaturities,D88,C88,$J$4,$J$6))</f>
        <v>0</v>
      </c>
      <c r="O88" s="166">
        <f ca="1"/>
        <v>6.5303425461338271E-4</v>
      </c>
      <c r="P88" s="166">
        <f ca="1"/>
        <v>1.7713758905034682E-3</v>
      </c>
      <c r="Q88" s="166">
        <f ca="1"/>
        <v>5.5603240452541947E-3</v>
      </c>
      <c r="R88" s="166">
        <f ca="1"/>
        <v>1.0896714787284378E-2</v>
      </c>
      <c r="S88" s="166">
        <f ca="1"/>
        <v>0</v>
      </c>
      <c r="T88" s="166">
        <f ca="1"/>
        <v>2.8683399119692643E-2</v>
      </c>
      <c r="U88" s="166">
        <f ca="1"/>
        <v>4.8438466500171362E-2</v>
      </c>
      <c r="V88" s="140">
        <f ca="1"/>
        <v>8.2969519862330365E-2</v>
      </c>
      <c r="W88" s="139">
        <f ca="1"/>
        <v>0</v>
      </c>
      <c r="X88" s="166">
        <f ca="1"/>
        <v>7.4628912209839804E-4</v>
      </c>
      <c r="Y88" s="166">
        <f ca="1"/>
        <v>1.9475857577361255E-3</v>
      </c>
      <c r="Z88" s="166">
        <f ca="1"/>
        <v>5.9029196524231775E-3</v>
      </c>
      <c r="AA88" s="166">
        <f ca="1"/>
        <v>1.1430693022308591E-2</v>
      </c>
      <c r="AB88" s="166">
        <f ca="1"/>
        <v>0</v>
      </c>
      <c r="AC88" s="166">
        <f ca="1"/>
        <v>3.0095339595935688E-2</v>
      </c>
      <c r="AD88" s="166">
        <f ca="1"/>
        <v>5.0806821549106096E-2</v>
      </c>
      <c r="AE88" s="140">
        <f ca="1"/>
        <v>8.6977445451208779E-2</v>
      </c>
      <c r="AH88" s="137">
        <v>5.9999999999999995E-4</v>
      </c>
      <c r="AI88" s="137">
        <v>1.6999999999999999E-3</v>
      </c>
      <c r="AJ88" s="137">
        <v>5.4999999999999997E-3</v>
      </c>
      <c r="AK88" s="137">
        <v>1.0800000000000001E-2</v>
      </c>
      <c r="AM88" s="137">
        <v>2.8500000000000001E-2</v>
      </c>
      <c r="AN88" s="137">
        <v>4.8300000000000003E-2</v>
      </c>
      <c r="AO88" s="137">
        <v>8.2600000000000007E-2</v>
      </c>
      <c r="AQ88" s="137">
        <v>6.9999999999999999E-4</v>
      </c>
      <c r="AR88" s="137">
        <v>1.9E-3</v>
      </c>
      <c r="AS88" s="137">
        <v>5.7999999999999996E-3</v>
      </c>
      <c r="AT88" s="137">
        <v>1.14E-2</v>
      </c>
      <c r="AV88" s="137">
        <v>2.9899999999999999E-2</v>
      </c>
      <c r="AW88" s="137">
        <v>5.0599999999999999E-2</v>
      </c>
      <c r="AX88" s="137">
        <v>8.6499999999999994E-2</v>
      </c>
    </row>
    <row r="89" spans="1:50" s="79" customFormat="1" ht="10.199999999999999" x14ac:dyDescent="0.2">
      <c r="A89" s="97">
        <f t="shared" ca="1" si="4"/>
        <v>78</v>
      </c>
      <c r="B89" s="68" t="s">
        <v>166</v>
      </c>
      <c r="C89" s="98">
        <v>0.4</v>
      </c>
      <c r="D89" s="69" t="s">
        <v>66</v>
      </c>
      <c r="E89" s="138" t="s">
        <v>87</v>
      </c>
      <c r="F89" s="159">
        <v>1.6999999999999999E-3</v>
      </c>
      <c r="G89" s="159">
        <v>1.8E-3</v>
      </c>
      <c r="H89" s="159">
        <v>2.7000000000000001E-3</v>
      </c>
      <c r="I89" s="159">
        <v>3.8999999999999998E-3</v>
      </c>
      <c r="J89" s="159" t="s">
        <v>87</v>
      </c>
      <c r="K89" s="159">
        <v>6.0000000000000001E-3</v>
      </c>
      <c r="L89" s="159">
        <v>7.1999999999999998E-3</v>
      </c>
      <c r="M89" s="159">
        <v>8.6999999999999994E-3</v>
      </c>
      <c r="N89" s="139">
        <f t="array" aca="1" ref="N89:AE89" ca="1">IF(OR(B89="",NOT($J$2)),"",GetStripDefaultProbability(A89,B89,Parameter_Date,CDSRollDate,E89:M89,SpreadCurveMaturities,D89,C89,$J$4,$J$6))</f>
        <v>0</v>
      </c>
      <c r="O89" s="166">
        <f ca="1"/>
        <v>1.5852023538636129E-3</v>
      </c>
      <c r="P89" s="166">
        <f ca="1"/>
        <v>3.1748373968381038E-3</v>
      </c>
      <c r="Q89" s="166">
        <f ca="1"/>
        <v>9.3511800951584512E-3</v>
      </c>
      <c r="R89" s="166">
        <f ca="1"/>
        <v>2.0220034476971072E-2</v>
      </c>
      <c r="S89" s="166">
        <f ca="1"/>
        <v>0</v>
      </c>
      <c r="T89" s="166">
        <f ca="1"/>
        <v>5.1670930103236867E-2</v>
      </c>
      <c r="U89" s="166">
        <f ca="1"/>
        <v>8.5861483060849619E-2</v>
      </c>
      <c r="V89" s="140">
        <f ca="1"/>
        <v>0.14663432135477605</v>
      </c>
      <c r="W89" s="139">
        <f ca="1"/>
        <v>0</v>
      </c>
      <c r="X89" s="166">
        <f ca="1"/>
        <v>1.6783657687193809E-3</v>
      </c>
      <c r="Y89" s="166">
        <f ca="1"/>
        <v>3.3507798848170234E-3</v>
      </c>
      <c r="Z89" s="166">
        <f ca="1"/>
        <v>9.8156310480328468E-3</v>
      </c>
      <c r="AA89" s="166">
        <f ca="1"/>
        <v>2.1222458484375095E-2</v>
      </c>
      <c r="AB89" s="166">
        <f ca="1"/>
        <v>0</v>
      </c>
      <c r="AC89" s="166">
        <f ca="1"/>
        <v>5.4203055322544436E-2</v>
      </c>
      <c r="AD89" s="166">
        <f ca="1"/>
        <v>9.0008858899369604E-2</v>
      </c>
      <c r="AE89" s="140">
        <f ca="1"/>
        <v>0.15353159066472344</v>
      </c>
      <c r="AH89" s="137">
        <v>1.5E-3</v>
      </c>
      <c r="AI89" s="137">
        <v>3.0999999999999999E-3</v>
      </c>
      <c r="AJ89" s="137">
        <v>9.2999999999999992E-3</v>
      </c>
      <c r="AK89" s="137">
        <v>2.01E-2</v>
      </c>
      <c r="AM89" s="137">
        <v>5.1400000000000001E-2</v>
      </c>
      <c r="AN89" s="137">
        <v>8.5599999999999996E-2</v>
      </c>
      <c r="AO89" s="137">
        <v>0.1459</v>
      </c>
      <c r="AQ89" s="137">
        <v>1.6000000000000001E-3</v>
      </c>
      <c r="AR89" s="137">
        <v>3.3E-3</v>
      </c>
      <c r="AS89" s="137">
        <v>9.7000000000000003E-3</v>
      </c>
      <c r="AT89" s="137">
        <v>2.1100000000000001E-2</v>
      </c>
      <c r="AV89" s="137">
        <v>5.3900000000000003E-2</v>
      </c>
      <c r="AW89" s="137">
        <v>8.9700000000000002E-2</v>
      </c>
      <c r="AX89" s="137">
        <v>0.15279999999999999</v>
      </c>
    </row>
    <row r="90" spans="1:50" s="79" customFormat="1" ht="10.199999999999999" x14ac:dyDescent="0.2">
      <c r="A90" s="97">
        <f t="shared" ca="1" si="4"/>
        <v>79</v>
      </c>
      <c r="B90" s="68" t="s">
        <v>167</v>
      </c>
      <c r="C90" s="98">
        <v>0.4</v>
      </c>
      <c r="D90" s="69" t="s">
        <v>66</v>
      </c>
      <c r="E90" s="138" t="s">
        <v>87</v>
      </c>
      <c r="F90" s="159">
        <v>4.0000000000000002E-4</v>
      </c>
      <c r="G90" s="159">
        <v>6.9999999999999999E-4</v>
      </c>
      <c r="H90" s="159">
        <v>1.5E-3</v>
      </c>
      <c r="I90" s="159">
        <v>2.2000000000000001E-3</v>
      </c>
      <c r="J90" s="159" t="s">
        <v>87</v>
      </c>
      <c r="K90" s="159">
        <v>3.3999999999999998E-3</v>
      </c>
      <c r="L90" s="159">
        <v>4.1999999999999997E-3</v>
      </c>
      <c r="M90" s="159">
        <v>5.4999999999999997E-3</v>
      </c>
      <c r="N90" s="139">
        <f t="array" aca="1" ref="N90:AE90" ca="1">IF(OR(B90="",NOT($J$2)),"",GetStripDefaultProbability(A90,B90,Parameter_Date,CDSRollDate,E90:M90,SpreadCurveMaturities,D90,C90,$J$4,$J$6))</f>
        <v>0</v>
      </c>
      <c r="O90" s="166">
        <f ca="1"/>
        <v>3.7321455535799242E-4</v>
      </c>
      <c r="P90" s="166">
        <f ca="1"/>
        <v>1.2425599531954434E-3</v>
      </c>
      <c r="Q90" s="166">
        <f ca="1"/>
        <v>5.2389803163537252E-3</v>
      </c>
      <c r="R90" s="166">
        <f ca="1"/>
        <v>1.1477750836495493E-2</v>
      </c>
      <c r="S90" s="166">
        <f ca="1"/>
        <v>0</v>
      </c>
      <c r="T90" s="166">
        <f ca="1"/>
        <v>2.956672085718981E-2</v>
      </c>
      <c r="U90" s="166">
        <f ca="1"/>
        <v>5.095154577863803E-2</v>
      </c>
      <c r="V90" s="140">
        <f ca="1"/>
        <v>9.6015055732199928E-2</v>
      </c>
      <c r="W90" s="139">
        <f ca="1"/>
        <v>0</v>
      </c>
      <c r="X90" s="166">
        <f ca="1"/>
        <v>4.6649612398852458E-4</v>
      </c>
      <c r="Y90" s="166">
        <f ca="1"/>
        <v>1.4188629351529203E-3</v>
      </c>
      <c r="Z90" s="166">
        <f ca="1"/>
        <v>5.5817652046055155E-3</v>
      </c>
      <c r="AA90" s="166">
        <f ca="1"/>
        <v>1.2038524666313055E-2</v>
      </c>
      <c r="AB90" s="166">
        <f ca="1"/>
        <v>0</v>
      </c>
      <c r="AC90" s="166">
        <f ca="1"/>
        <v>3.102084587926135E-2</v>
      </c>
      <c r="AD90" s="166">
        <f ca="1"/>
        <v>5.3437435307163939E-2</v>
      </c>
      <c r="AE90" s="140">
        <f ca="1"/>
        <v>0.10064106794506789</v>
      </c>
      <c r="AH90" s="137">
        <v>4.0000000000000002E-4</v>
      </c>
      <c r="AI90" s="137">
        <v>1.1999999999999999E-3</v>
      </c>
      <c r="AJ90" s="137">
        <v>5.1999999999999998E-3</v>
      </c>
      <c r="AK90" s="137">
        <v>1.14E-2</v>
      </c>
      <c r="AM90" s="137">
        <v>2.9399999999999999E-2</v>
      </c>
      <c r="AN90" s="137">
        <v>5.0799999999999998E-2</v>
      </c>
      <c r="AO90" s="137">
        <v>9.5399999999999999E-2</v>
      </c>
      <c r="AQ90" s="137">
        <v>4.0000000000000002E-4</v>
      </c>
      <c r="AR90" s="137">
        <v>1.4E-3</v>
      </c>
      <c r="AS90" s="137">
        <v>5.4999999999999997E-3</v>
      </c>
      <c r="AT90" s="137">
        <v>1.1900000000000001E-2</v>
      </c>
      <c r="AV90" s="137">
        <v>3.0800000000000001E-2</v>
      </c>
      <c r="AW90" s="137">
        <v>5.3199999999999997E-2</v>
      </c>
      <c r="AX90" s="137">
        <v>0.1</v>
      </c>
    </row>
    <row r="91" spans="1:50" s="79" customFormat="1" ht="10.199999999999999" x14ac:dyDescent="0.2">
      <c r="A91" s="97">
        <f t="shared" ca="1" si="4"/>
        <v>80</v>
      </c>
      <c r="B91" s="68" t="s">
        <v>168</v>
      </c>
      <c r="C91" s="98">
        <v>0.4</v>
      </c>
      <c r="D91" s="69" t="s">
        <v>66</v>
      </c>
      <c r="E91" s="138" t="s">
        <v>87</v>
      </c>
      <c r="F91" s="159">
        <v>1.1000000000000001E-3</v>
      </c>
      <c r="G91" s="159">
        <v>1.1000000000000001E-3</v>
      </c>
      <c r="H91" s="159">
        <v>1.6000000000000001E-3</v>
      </c>
      <c r="I91" s="159">
        <v>2.3E-3</v>
      </c>
      <c r="J91" s="159" t="s">
        <v>87</v>
      </c>
      <c r="K91" s="159">
        <v>3.7000000000000002E-3</v>
      </c>
      <c r="L91" s="159">
        <v>4.3E-3</v>
      </c>
      <c r="M91" s="159">
        <v>5.4000000000000003E-3</v>
      </c>
      <c r="N91" s="139">
        <f t="array" aca="1" ref="N91:AE91" ca="1">IF(OR(B91="",NOT($J$2)),"",GetStripDefaultProbability(A91,B91,Parameter_Date,CDSRollDate,E91:M91,SpreadCurveMaturities,D91,C91,$J$4,$J$6))</f>
        <v>0</v>
      </c>
      <c r="O91" s="166">
        <f ca="1"/>
        <v>1.0260056262103578E-3</v>
      </c>
      <c r="P91" s="166">
        <f ca="1"/>
        <v>1.9406820657922319E-3</v>
      </c>
      <c r="Q91" s="166">
        <f ca="1"/>
        <v>5.5455415524706675E-3</v>
      </c>
      <c r="R91" s="166">
        <f ca="1"/>
        <v>1.1951330457241172E-2</v>
      </c>
      <c r="S91" s="166">
        <f ca="1"/>
        <v>0</v>
      </c>
      <c r="T91" s="166">
        <f ca="1"/>
        <v>3.2161272324830015E-2</v>
      </c>
      <c r="U91" s="166">
        <f ca="1"/>
        <v>5.1813549021028749E-2</v>
      </c>
      <c r="V91" s="140">
        <f ca="1"/>
        <v>9.3591852476286874E-2</v>
      </c>
      <c r="W91" s="139">
        <f ca="1"/>
        <v>0</v>
      </c>
      <c r="X91" s="166">
        <f ca="1"/>
        <v>1.1192243755654419E-3</v>
      </c>
      <c r="Y91" s="166">
        <f ca="1"/>
        <v>2.1168482558593382E-3</v>
      </c>
      <c r="Z91" s="166">
        <f ca="1"/>
        <v>5.88809257347922E-3</v>
      </c>
      <c r="AA91" s="166">
        <f ca="1"/>
        <v>1.2540627124317139E-2</v>
      </c>
      <c r="AB91" s="166">
        <f ca="1"/>
        <v>0</v>
      </c>
      <c r="AC91" s="166">
        <f ca="1"/>
        <v>3.3744921609081602E-2</v>
      </c>
      <c r="AD91" s="166">
        <f ca="1"/>
        <v>5.4342946739795006E-2</v>
      </c>
      <c r="AE91" s="140">
        <f ca="1"/>
        <v>9.8099378207091914E-2</v>
      </c>
      <c r="AH91" s="137">
        <v>1E-3</v>
      </c>
      <c r="AI91" s="137">
        <v>1.9E-3</v>
      </c>
      <c r="AJ91" s="137">
        <v>5.4999999999999997E-3</v>
      </c>
      <c r="AK91" s="137">
        <v>1.1900000000000001E-2</v>
      </c>
      <c r="AM91" s="137">
        <v>3.2000000000000001E-2</v>
      </c>
      <c r="AN91" s="137">
        <v>5.1700000000000003E-2</v>
      </c>
      <c r="AO91" s="137">
        <v>9.2999999999999999E-2</v>
      </c>
      <c r="AQ91" s="137">
        <v>1.1000000000000001E-3</v>
      </c>
      <c r="AR91" s="137">
        <v>2.0999999999999999E-3</v>
      </c>
      <c r="AS91" s="137">
        <v>5.7999999999999996E-3</v>
      </c>
      <c r="AT91" s="137">
        <v>1.24E-2</v>
      </c>
      <c r="AV91" s="137">
        <v>3.3500000000000002E-2</v>
      </c>
      <c r="AW91" s="137">
        <v>5.4199999999999998E-2</v>
      </c>
      <c r="AX91" s="137">
        <v>9.74E-2</v>
      </c>
    </row>
    <row r="92" spans="1:50" s="79" customFormat="1" ht="10.199999999999999" x14ac:dyDescent="0.2">
      <c r="A92" s="97">
        <f t="shared" ca="1" si="4"/>
        <v>81</v>
      </c>
      <c r="B92" s="68" t="s">
        <v>169</v>
      </c>
      <c r="C92" s="98">
        <v>0.4</v>
      </c>
      <c r="D92" s="69" t="s">
        <v>66</v>
      </c>
      <c r="E92" s="138" t="s">
        <v>87</v>
      </c>
      <c r="F92" s="159">
        <v>5.9999999999999995E-4</v>
      </c>
      <c r="G92" s="159">
        <v>6.9999999999999999E-4</v>
      </c>
      <c r="H92" s="159">
        <v>1.1999999999999999E-3</v>
      </c>
      <c r="I92" s="159">
        <v>1.6999999999999999E-3</v>
      </c>
      <c r="J92" s="159" t="s">
        <v>87</v>
      </c>
      <c r="K92" s="159">
        <v>2.7000000000000001E-3</v>
      </c>
      <c r="L92" s="159">
        <v>3.5000000000000001E-3</v>
      </c>
      <c r="M92" s="159">
        <v>4.5999999999999999E-3</v>
      </c>
      <c r="N92" s="139">
        <f t="array" aca="1" ref="N92:AE92" ca="1">IF(OR(B92="",NOT($J$2)),"",GetStripDefaultProbability(A92,B92,Parameter_Date,CDSRollDate,E92:M92,SpreadCurveMaturities,D92,C92,$J$4,$J$6))</f>
        <v>0</v>
      </c>
      <c r="O92" s="166">
        <f ca="1"/>
        <v>5.5976970645477131E-4</v>
      </c>
      <c r="P92" s="166">
        <f ca="1"/>
        <v>1.2374185605539267E-3</v>
      </c>
      <c r="Q92" s="166">
        <f ca="1"/>
        <v>4.1762914427907472E-3</v>
      </c>
      <c r="R92" s="166">
        <f ca="1"/>
        <v>8.8528435856335408E-3</v>
      </c>
      <c r="S92" s="166">
        <f ca="1"/>
        <v>0</v>
      </c>
      <c r="T92" s="166">
        <f ca="1"/>
        <v>2.353909825891265E-2</v>
      </c>
      <c r="U92" s="166">
        <f ca="1"/>
        <v>4.2789851819691416E-2</v>
      </c>
      <c r="V92" s="140">
        <f ca="1"/>
        <v>8.0889733956206578E-2</v>
      </c>
      <c r="W92" s="139">
        <f ca="1"/>
        <v>0</v>
      </c>
      <c r="X92" s="166">
        <f ca="1"/>
        <v>6.5303351059242676E-4</v>
      </c>
      <c r="Y92" s="166">
        <f ca="1"/>
        <v>1.4137032311792863E-3</v>
      </c>
      <c r="Z92" s="166">
        <f ca="1"/>
        <v>4.5193184962779576E-3</v>
      </c>
      <c r="AA92" s="166">
        <f ca="1"/>
        <v>9.3610364319851591E-3</v>
      </c>
      <c r="AB92" s="166">
        <f ca="1"/>
        <v>0</v>
      </c>
      <c r="AC92" s="166">
        <f ca="1"/>
        <v>2.4688041209395384E-2</v>
      </c>
      <c r="AD92" s="166">
        <f ca="1"/>
        <v>4.4877775201231151E-2</v>
      </c>
      <c r="AE92" s="140">
        <f ca="1"/>
        <v>8.479743428910036E-2</v>
      </c>
      <c r="AH92" s="137">
        <v>5.0000000000000001E-4</v>
      </c>
      <c r="AI92" s="137">
        <v>1.1999999999999999E-3</v>
      </c>
      <c r="AJ92" s="137">
        <v>4.1000000000000003E-3</v>
      </c>
      <c r="AK92" s="137">
        <v>8.8000000000000005E-3</v>
      </c>
      <c r="AM92" s="137">
        <v>2.3400000000000001E-2</v>
      </c>
      <c r="AN92" s="137">
        <v>4.2599999999999999E-2</v>
      </c>
      <c r="AO92" s="137">
        <v>8.0500000000000002E-2</v>
      </c>
      <c r="AQ92" s="137">
        <v>5.9999999999999995E-4</v>
      </c>
      <c r="AR92" s="137">
        <v>1.4E-3</v>
      </c>
      <c r="AS92" s="137">
        <v>4.4999999999999997E-3</v>
      </c>
      <c r="AT92" s="137">
        <v>9.2999999999999992E-3</v>
      </c>
      <c r="AV92" s="137">
        <v>2.4500000000000001E-2</v>
      </c>
      <c r="AW92" s="137">
        <v>4.4699999999999997E-2</v>
      </c>
      <c r="AX92" s="137">
        <v>8.4400000000000003E-2</v>
      </c>
    </row>
    <row r="93" spans="1:50" s="79" customFormat="1" ht="10.199999999999999" x14ac:dyDescent="0.2">
      <c r="A93" s="97">
        <f t="shared" ca="1" si="4"/>
        <v>82</v>
      </c>
      <c r="B93" s="68" t="s">
        <v>170</v>
      </c>
      <c r="C93" s="98">
        <v>0.4</v>
      </c>
      <c r="D93" s="69" t="s">
        <v>66</v>
      </c>
      <c r="E93" s="138" t="s">
        <v>87</v>
      </c>
      <c r="F93" s="159">
        <v>8.9999999999999998E-4</v>
      </c>
      <c r="G93" s="159">
        <v>2.3999999999999998E-3</v>
      </c>
      <c r="H93" s="159">
        <v>3.5000000000000001E-3</v>
      </c>
      <c r="I93" s="159">
        <v>4.4999999999999997E-3</v>
      </c>
      <c r="J93" s="159" t="s">
        <v>87</v>
      </c>
      <c r="K93" s="159">
        <v>6.7999999999999996E-3</v>
      </c>
      <c r="L93" s="159">
        <v>8.2000000000000007E-3</v>
      </c>
      <c r="M93" s="159">
        <v>9.9000000000000008E-3</v>
      </c>
      <c r="N93" s="139">
        <f t="array" aca="1" ref="N93:AE93" ca="1">IF(OR(B93="",NOT($J$2)),"",GetStripDefaultProbability(A93,B93,Parameter_Date,CDSRollDate,E93:M93,SpreadCurveMaturities,D93,C93,$J$4,$J$6))</f>
        <v>0</v>
      </c>
      <c r="O93" s="166">
        <f ca="1"/>
        <v>8.3953730218899736E-4</v>
      </c>
      <c r="P93" s="166">
        <f ca="1"/>
        <v>4.265547932707392E-3</v>
      </c>
      <c r="Q93" s="166">
        <f ca="1"/>
        <v>1.2118016103890739E-2</v>
      </c>
      <c r="R93" s="166">
        <f ca="1"/>
        <v>2.3212369122263543E-2</v>
      </c>
      <c r="S93" s="166">
        <f ca="1"/>
        <v>0</v>
      </c>
      <c r="T93" s="166">
        <f ca="1"/>
        <v>5.8308232879642152E-2</v>
      </c>
      <c r="U93" s="166">
        <f ca="1"/>
        <v>9.7283101772144387E-2</v>
      </c>
      <c r="V93" s="140">
        <f ca="1"/>
        <v>0.16546811379836512</v>
      </c>
      <c r="W93" s="139">
        <f ca="1"/>
        <v>0</v>
      </c>
      <c r="X93" s="166">
        <f ca="1"/>
        <v>9.3277418569359671E-4</v>
      </c>
      <c r="Y93" s="166">
        <f ca="1"/>
        <v>4.4770715102925296E-3</v>
      </c>
      <c r="Z93" s="166">
        <f ca="1"/>
        <v>1.2720390566561823E-2</v>
      </c>
      <c r="AA93" s="166">
        <f ca="1"/>
        <v>2.4361849600713859E-2</v>
      </c>
      <c r="AB93" s="166">
        <f ca="1"/>
        <v>0</v>
      </c>
      <c r="AC93" s="166">
        <f ca="1"/>
        <v>6.1162590603542011E-2</v>
      </c>
      <c r="AD93" s="166">
        <f ca="1"/>
        <v>0.10195873654938792</v>
      </c>
      <c r="AE93" s="140">
        <f ca="1"/>
        <v>0.17318839241395656</v>
      </c>
      <c r="AH93" s="137">
        <v>8.0000000000000004E-4</v>
      </c>
      <c r="AI93" s="137">
        <v>4.1999999999999997E-3</v>
      </c>
      <c r="AJ93" s="137">
        <v>1.2E-2</v>
      </c>
      <c r="AK93" s="137">
        <v>2.3099999999999999E-2</v>
      </c>
      <c r="AM93" s="137">
        <v>5.8000000000000003E-2</v>
      </c>
      <c r="AN93" s="137">
        <v>9.69E-2</v>
      </c>
      <c r="AO93" s="137">
        <v>0.16470000000000001</v>
      </c>
      <c r="AQ93" s="137">
        <v>8.9999999999999998E-4</v>
      </c>
      <c r="AR93" s="137">
        <v>4.4000000000000003E-3</v>
      </c>
      <c r="AS93" s="137">
        <v>1.26E-2</v>
      </c>
      <c r="AT93" s="137">
        <v>2.4199999999999999E-2</v>
      </c>
      <c r="AV93" s="137">
        <v>6.08E-2</v>
      </c>
      <c r="AW93" s="137">
        <v>0.1016</v>
      </c>
      <c r="AX93" s="137">
        <v>0.17230000000000001</v>
      </c>
    </row>
    <row r="94" spans="1:50" s="79" customFormat="1" ht="10.199999999999999" x14ac:dyDescent="0.2">
      <c r="A94" s="97">
        <f t="shared" ca="1" si="4"/>
        <v>83</v>
      </c>
      <c r="B94" s="68" t="s">
        <v>171</v>
      </c>
      <c r="C94" s="98">
        <v>0.4</v>
      </c>
      <c r="D94" s="69" t="s">
        <v>66</v>
      </c>
      <c r="E94" s="138" t="s">
        <v>87</v>
      </c>
      <c r="F94" s="159">
        <v>6.9999999999999999E-4</v>
      </c>
      <c r="G94" s="159">
        <v>1E-3</v>
      </c>
      <c r="H94" s="159">
        <v>2E-3</v>
      </c>
      <c r="I94" s="159">
        <v>3.0999999999999999E-3</v>
      </c>
      <c r="J94" s="159" t="s">
        <v>87</v>
      </c>
      <c r="K94" s="159">
        <v>4.7999999999999996E-3</v>
      </c>
      <c r="L94" s="159">
        <v>5.8999999999999999E-3</v>
      </c>
      <c r="M94" s="159">
        <v>7.3000000000000001E-3</v>
      </c>
      <c r="N94" s="139">
        <f t="array" aca="1" ref="N94:AE94" ca="1">IF(OR(B94="",NOT($J$2)),"",GetStripDefaultProbability(A94,B94,Parameter_Date,CDSRollDate,E94:M94,SpreadCurveMaturities,D94,C94,$J$4,$J$6))</f>
        <v>0</v>
      </c>
      <c r="O94" s="166">
        <f ca="1"/>
        <v>6.5303425461338271E-4</v>
      </c>
      <c r="P94" s="166">
        <f ca="1"/>
        <v>1.7713758905034682E-3</v>
      </c>
      <c r="Q94" s="166">
        <f ca="1"/>
        <v>6.9729580439488181E-3</v>
      </c>
      <c r="R94" s="166">
        <f ca="1"/>
        <v>1.6168296659425652E-2</v>
      </c>
      <c r="S94" s="166">
        <f ca="1"/>
        <v>0</v>
      </c>
      <c r="T94" s="166">
        <f ca="1"/>
        <v>4.1556417261986667E-2</v>
      </c>
      <c r="U94" s="166">
        <f ca="1"/>
        <v>7.1037141913704471E-2</v>
      </c>
      <c r="V94" s="140">
        <f ca="1"/>
        <v>0.12480511482445034</v>
      </c>
      <c r="W94" s="139">
        <f ca="1"/>
        <v>0</v>
      </c>
      <c r="X94" s="166">
        <f ca="1"/>
        <v>7.4628912209839804E-4</v>
      </c>
      <c r="Y94" s="166">
        <f ca="1"/>
        <v>1.9475857577361255E-3</v>
      </c>
      <c r="Z94" s="166">
        <f ca="1"/>
        <v>7.3152238346827492E-3</v>
      </c>
      <c r="AA94" s="166">
        <f ca="1"/>
        <v>1.6967570416908107E-2</v>
      </c>
      <c r="AB94" s="166">
        <f ca="1"/>
        <v>0</v>
      </c>
      <c r="AC94" s="166">
        <f ca="1"/>
        <v>4.3590768692542081E-2</v>
      </c>
      <c r="AD94" s="166">
        <f ca="1"/>
        <v>7.4489170948832339E-2</v>
      </c>
      <c r="AE94" s="140">
        <f ca="1"/>
        <v>0.13073472453023216</v>
      </c>
      <c r="AH94" s="137">
        <v>5.9999999999999995E-4</v>
      </c>
      <c r="AI94" s="137">
        <v>1.6999999999999999E-3</v>
      </c>
      <c r="AJ94" s="137">
        <v>6.8999999999999999E-3</v>
      </c>
      <c r="AK94" s="137">
        <v>1.61E-2</v>
      </c>
      <c r="AM94" s="137">
        <v>4.1399999999999999E-2</v>
      </c>
      <c r="AN94" s="137">
        <v>7.0800000000000002E-2</v>
      </c>
      <c r="AO94" s="137">
        <v>0.1242</v>
      </c>
      <c r="AQ94" s="137">
        <v>6.9999999999999999E-4</v>
      </c>
      <c r="AR94" s="137">
        <v>1.9E-3</v>
      </c>
      <c r="AS94" s="137">
        <v>7.1999999999999998E-3</v>
      </c>
      <c r="AT94" s="137">
        <v>1.6899999999999998E-2</v>
      </c>
      <c r="AV94" s="137">
        <v>4.3400000000000001E-2</v>
      </c>
      <c r="AW94" s="137">
        <v>7.4200000000000002E-2</v>
      </c>
      <c r="AX94" s="137">
        <v>0.13020000000000001</v>
      </c>
    </row>
    <row r="95" spans="1:50" s="79" customFormat="1" ht="10.199999999999999" x14ac:dyDescent="0.2">
      <c r="A95" s="97">
        <f t="shared" ca="1" si="4"/>
        <v>84</v>
      </c>
      <c r="B95" s="68" t="s">
        <v>172</v>
      </c>
      <c r="C95" s="98">
        <v>0.4</v>
      </c>
      <c r="D95" s="69" t="s">
        <v>66</v>
      </c>
      <c r="E95" s="138" t="s">
        <v>87</v>
      </c>
      <c r="F95" s="159">
        <v>5.0000000000000001E-4</v>
      </c>
      <c r="G95" s="159">
        <v>5.9999999999999995E-4</v>
      </c>
      <c r="H95" s="159">
        <v>1.4E-3</v>
      </c>
      <c r="I95" s="159">
        <v>1.9E-3</v>
      </c>
      <c r="J95" s="159" t="s">
        <v>87</v>
      </c>
      <c r="K95" s="159">
        <v>3.0000000000000001E-3</v>
      </c>
      <c r="L95" s="159">
        <v>3.8E-3</v>
      </c>
      <c r="M95" s="159">
        <v>5.0000000000000001E-3</v>
      </c>
      <c r="N95" s="139">
        <f t="array" aca="1" ref="N95:AE95" ca="1">IF(OR(B95="",NOT($J$2)),"",GetStripDefaultProbability(A95,B95,Parameter_Date,CDSRollDate,E95:M95,SpreadCurveMaturities,D95,C95,$J$4,$J$6))</f>
        <v>0</v>
      </c>
      <c r="O95" s="166">
        <f ca="1"/>
        <v>4.6649647376628689E-4</v>
      </c>
      <c r="P95" s="166">
        <f ca="1"/>
        <v>1.061102768032729E-3</v>
      </c>
      <c r="Q95" s="166">
        <f ca="1"/>
        <v>4.8924267853244219E-3</v>
      </c>
      <c r="R95" s="166">
        <f ca="1"/>
        <v>9.890426555654197E-3</v>
      </c>
      <c r="S95" s="166">
        <f ca="1"/>
        <v>0</v>
      </c>
      <c r="T95" s="166">
        <f ca="1"/>
        <v>2.6157313426846684E-2</v>
      </c>
      <c r="U95" s="166">
        <f ca="1"/>
        <v>4.6302997534645729E-2</v>
      </c>
      <c r="V95" s="140">
        <f ca="1"/>
        <v>8.7742170793269736E-2</v>
      </c>
      <c r="W95" s="139">
        <f ca="1"/>
        <v>0</v>
      </c>
      <c r="X95" s="166">
        <f ca="1"/>
        <v>5.5976917815403482E-4</v>
      </c>
      <c r="Y95" s="166">
        <f ca="1"/>
        <v>1.2374185751623523E-3</v>
      </c>
      <c r="Z95" s="166">
        <f ca="1"/>
        <v>5.235324651966855E-3</v>
      </c>
      <c r="AA95" s="166">
        <f ca="1"/>
        <v>1.0398178369678601E-2</v>
      </c>
      <c r="AB95" s="166">
        <f ca="1"/>
        <v>0</v>
      </c>
      <c r="AC95" s="166">
        <f ca="1"/>
        <v>2.7440710473573993E-2</v>
      </c>
      <c r="AD95" s="166">
        <f ca="1"/>
        <v>4.8564975643926034E-2</v>
      </c>
      <c r="AE95" s="140">
        <f ca="1"/>
        <v>9.1978581704726059E-2</v>
      </c>
      <c r="AH95" s="137">
        <v>5.0000000000000001E-4</v>
      </c>
      <c r="AI95" s="137">
        <v>1E-3</v>
      </c>
      <c r="AJ95" s="137">
        <v>4.7999999999999996E-3</v>
      </c>
      <c r="AK95" s="137">
        <v>9.7999999999999997E-3</v>
      </c>
      <c r="AM95" s="137">
        <v>2.5999999999999999E-2</v>
      </c>
      <c r="AN95" s="137">
        <v>4.6100000000000002E-2</v>
      </c>
      <c r="AO95" s="137">
        <v>8.72E-2</v>
      </c>
      <c r="AQ95" s="137">
        <v>5.0000000000000001E-4</v>
      </c>
      <c r="AR95" s="137">
        <v>1.1999999999999999E-3</v>
      </c>
      <c r="AS95" s="137">
        <v>5.1999999999999998E-3</v>
      </c>
      <c r="AT95" s="137">
        <v>1.03E-2</v>
      </c>
      <c r="AV95" s="137">
        <v>2.7199999999999998E-2</v>
      </c>
      <c r="AW95" s="137">
        <v>4.8399999999999999E-2</v>
      </c>
      <c r="AX95" s="137">
        <v>9.1399999999999995E-2</v>
      </c>
    </row>
    <row r="96" spans="1:50" s="79" customFormat="1" ht="10.199999999999999" x14ac:dyDescent="0.2">
      <c r="A96" s="97">
        <f t="shared" ca="1" si="4"/>
        <v>85</v>
      </c>
      <c r="B96" s="68" t="s">
        <v>173</v>
      </c>
      <c r="C96" s="98">
        <v>0.4</v>
      </c>
      <c r="D96" s="69" t="s">
        <v>66</v>
      </c>
      <c r="E96" s="138" t="s">
        <v>87</v>
      </c>
      <c r="F96" s="159">
        <v>8.9999999999999998E-4</v>
      </c>
      <c r="G96" s="159">
        <v>8.9999999999999998E-4</v>
      </c>
      <c r="H96" s="159">
        <v>1.8E-3</v>
      </c>
      <c r="I96" s="159">
        <v>2.3E-3</v>
      </c>
      <c r="J96" s="159" t="s">
        <v>87</v>
      </c>
      <c r="K96" s="159">
        <v>3.7000000000000002E-3</v>
      </c>
      <c r="L96" s="159">
        <v>4.3E-3</v>
      </c>
      <c r="M96" s="159">
        <v>5.3E-3</v>
      </c>
      <c r="N96" s="139">
        <f t="array" aca="1" ref="N96:AE96" ca="1">IF(OR(B96="",NOT($J$2)),"",GetStripDefaultProbability(A96,B96,Parameter_Date,CDSRollDate,E96:M96,SpreadCurveMaturities,D96,C96,$J$4,$J$6))</f>
        <v>0</v>
      </c>
      <c r="O96" s="166">
        <f ca="1"/>
        <v>8.3953730218899736E-4</v>
      </c>
      <c r="P96" s="166">
        <f ca="1"/>
        <v>1.588247445804436E-3</v>
      </c>
      <c r="Q96" s="166">
        <f ca="1"/>
        <v>6.2698446254263462E-3</v>
      </c>
      <c r="R96" s="166">
        <f ca="1"/>
        <v>1.1922187447953592E-2</v>
      </c>
      <c r="S96" s="166">
        <f ca="1"/>
        <v>0</v>
      </c>
      <c r="T96" s="166">
        <f ca="1"/>
        <v>3.2206710227097535E-2</v>
      </c>
      <c r="U96" s="166">
        <f ca="1"/>
        <v>5.1801836286372915E-2</v>
      </c>
      <c r="V96" s="140">
        <f ca="1"/>
        <v>9.1740609792459682E-2</v>
      </c>
      <c r="W96" s="139">
        <f ca="1"/>
        <v>0</v>
      </c>
      <c r="X96" s="166">
        <f ca="1"/>
        <v>9.3277418569359671E-4</v>
      </c>
      <c r="Y96" s="166">
        <f ca="1"/>
        <v>1.7644772308684775E-3</v>
      </c>
      <c r="Z96" s="166">
        <f ca="1"/>
        <v>6.6123037090902725E-3</v>
      </c>
      <c r="AA96" s="166">
        <f ca="1"/>
        <v>1.2509546447827646E-2</v>
      </c>
      <c r="AB96" s="166">
        <f ca="1"/>
        <v>0</v>
      </c>
      <c r="AC96" s="166">
        <f ca="1"/>
        <v>3.3790733537459761E-2</v>
      </c>
      <c r="AD96" s="166">
        <f ca="1"/>
        <v>5.4331324244773826E-2</v>
      </c>
      <c r="AE96" s="140">
        <f ca="1"/>
        <v>9.6155582065289069E-2</v>
      </c>
      <c r="AH96" s="137">
        <v>8.0000000000000004E-4</v>
      </c>
      <c r="AI96" s="137">
        <v>1.6000000000000001E-3</v>
      </c>
      <c r="AJ96" s="137">
        <v>6.1999999999999998E-3</v>
      </c>
      <c r="AK96" s="137">
        <v>1.1900000000000001E-2</v>
      </c>
      <c r="AM96" s="137">
        <v>3.2000000000000001E-2</v>
      </c>
      <c r="AN96" s="137">
        <v>5.1700000000000003E-2</v>
      </c>
      <c r="AO96" s="137">
        <v>9.11E-2</v>
      </c>
      <c r="AQ96" s="137">
        <v>8.9999999999999998E-4</v>
      </c>
      <c r="AR96" s="137">
        <v>1.6999999999999999E-3</v>
      </c>
      <c r="AS96" s="137">
        <v>6.4999999999999997E-3</v>
      </c>
      <c r="AT96" s="137">
        <v>1.24E-2</v>
      </c>
      <c r="AV96" s="137">
        <v>3.3500000000000002E-2</v>
      </c>
      <c r="AW96" s="137">
        <v>5.4199999999999998E-2</v>
      </c>
      <c r="AX96" s="137">
        <v>9.5399999999999999E-2</v>
      </c>
    </row>
    <row r="97" spans="1:50" s="79" customFormat="1" ht="10.199999999999999" x14ac:dyDescent="0.2">
      <c r="A97" s="97">
        <f t="shared" ca="1" si="4"/>
        <v>86</v>
      </c>
      <c r="B97" s="68" t="s">
        <v>174</v>
      </c>
      <c r="C97" s="98">
        <v>0.4</v>
      </c>
      <c r="D97" s="69" t="s">
        <v>66</v>
      </c>
      <c r="E97" s="138" t="s">
        <v>87</v>
      </c>
      <c r="F97" s="159">
        <v>6.9999999999999999E-4</v>
      </c>
      <c r="G97" s="159">
        <v>1.6999999999999999E-3</v>
      </c>
      <c r="H97" s="159">
        <v>2.7000000000000001E-3</v>
      </c>
      <c r="I97" s="159">
        <v>3.5000000000000001E-3</v>
      </c>
      <c r="J97" s="159" t="s">
        <v>87</v>
      </c>
      <c r="K97" s="159">
        <v>4.7999999999999996E-3</v>
      </c>
      <c r="L97" s="159">
        <v>5.7000000000000002E-3</v>
      </c>
      <c r="M97" s="159">
        <v>6.7999999999999996E-3</v>
      </c>
      <c r="N97" s="139">
        <f t="array" aca="1" ref="N97:AE97" ca="1">IF(OR(B97="",NOT($J$2)),"",GetStripDefaultProbability(A97,B97,Parameter_Date,CDSRollDate,E97:M97,SpreadCurveMaturities,D97,C97,$J$4,$J$6))</f>
        <v>0</v>
      </c>
      <c r="O97" s="166">
        <f ca="1"/>
        <v>6.5303425461338271E-4</v>
      </c>
      <c r="P97" s="166">
        <f ca="1"/>
        <v>3.0218321619095434E-3</v>
      </c>
      <c r="Q97" s="166">
        <f ca="1"/>
        <v>9.3578369268496608E-3</v>
      </c>
      <c r="R97" s="166">
        <f ca="1"/>
        <v>1.8112555391411655E-2</v>
      </c>
      <c r="S97" s="166">
        <f ca="1"/>
        <v>0</v>
      </c>
      <c r="T97" s="166">
        <f ca="1"/>
        <v>4.1186038273170467E-2</v>
      </c>
      <c r="U97" s="166">
        <f ca="1"/>
        <v>6.8111740367675422E-2</v>
      </c>
      <c r="V97" s="140">
        <f ca="1"/>
        <v>0.11537264480182396</v>
      </c>
      <c r="W97" s="139">
        <f ca="1"/>
        <v>0</v>
      </c>
      <c r="X97" s="166">
        <f ca="1"/>
        <v>7.4628912209839804E-4</v>
      </c>
      <c r="Y97" s="166">
        <f ca="1"/>
        <v>3.1978892002644255E-3</v>
      </c>
      <c r="Z97" s="166">
        <f ca="1"/>
        <v>9.823344561675551E-3</v>
      </c>
      <c r="AA97" s="166">
        <f ca="1"/>
        <v>1.9009496199861586E-2</v>
      </c>
      <c r="AB97" s="166">
        <f ca="1"/>
        <v>0</v>
      </c>
      <c r="AC97" s="166">
        <f ca="1"/>
        <v>4.3210444735749753E-2</v>
      </c>
      <c r="AD97" s="166">
        <f ca="1"/>
        <v>7.1420798858859769E-2</v>
      </c>
      <c r="AE97" s="140">
        <f ca="1"/>
        <v>0.12086675200023345</v>
      </c>
      <c r="AH97" s="137">
        <v>5.9999999999999995E-4</v>
      </c>
      <c r="AI97" s="137">
        <v>3.0000000000000001E-3</v>
      </c>
      <c r="AJ97" s="137">
        <v>9.2999999999999992E-3</v>
      </c>
      <c r="AK97" s="137">
        <v>1.7999999999999999E-2</v>
      </c>
      <c r="AM97" s="137">
        <v>4.1000000000000002E-2</v>
      </c>
      <c r="AN97" s="137">
        <v>6.7900000000000002E-2</v>
      </c>
      <c r="AO97" s="137">
        <v>0.1149</v>
      </c>
      <c r="AQ97" s="137">
        <v>6.9999999999999999E-4</v>
      </c>
      <c r="AR97" s="137">
        <v>3.0999999999999999E-3</v>
      </c>
      <c r="AS97" s="137">
        <v>9.7000000000000003E-3</v>
      </c>
      <c r="AT97" s="137">
        <v>1.89E-2</v>
      </c>
      <c r="AV97" s="137">
        <v>4.2999999999999997E-2</v>
      </c>
      <c r="AW97" s="137">
        <v>7.1199999999999999E-2</v>
      </c>
      <c r="AX97" s="137">
        <v>0.12039999999999999</v>
      </c>
    </row>
    <row r="98" spans="1:50" s="79" customFormat="1" ht="10.199999999999999" x14ac:dyDescent="0.2">
      <c r="A98" s="97">
        <f t="shared" ca="1" si="4"/>
        <v>87</v>
      </c>
      <c r="B98" s="68" t="s">
        <v>175</v>
      </c>
      <c r="C98" s="98">
        <v>0.4</v>
      </c>
      <c r="D98" s="69" t="s">
        <v>66</v>
      </c>
      <c r="E98" s="138" t="s">
        <v>87</v>
      </c>
      <c r="F98" s="159">
        <v>2.9999999999999997E-4</v>
      </c>
      <c r="G98" s="159">
        <v>5.0000000000000001E-4</v>
      </c>
      <c r="H98" s="159">
        <v>8.9999999999999998E-4</v>
      </c>
      <c r="I98" s="159">
        <v>1.2999999999999999E-3</v>
      </c>
      <c r="J98" s="159" t="s">
        <v>87</v>
      </c>
      <c r="K98" s="159">
        <v>2.0999999999999999E-3</v>
      </c>
      <c r="L98" s="159">
        <v>2.7000000000000001E-3</v>
      </c>
      <c r="M98" s="159">
        <v>3.3999999999999998E-3</v>
      </c>
      <c r="N98" s="139">
        <f t="array" aca="1" ref="N98:AE98" ca="1">IF(OR(B98="",NOT($J$2)),"",GetStripDefaultProbability(A98,B98,Parameter_Date,CDSRollDate,E98:M98,SpreadCurveMaturities,D98,C98,$J$4,$J$6))</f>
        <v>0</v>
      </c>
      <c r="O98" s="166">
        <f ca="1"/>
        <v>2.799239499720052E-4</v>
      </c>
      <c r="P98" s="166">
        <f ca="1"/>
        <v>8.8732386928147555E-4</v>
      </c>
      <c r="Q98" s="166">
        <f ca="1"/>
        <v>3.1373061207745634E-3</v>
      </c>
      <c r="R98" s="166">
        <f ca="1"/>
        <v>6.7836586396220477E-3</v>
      </c>
      <c r="S98" s="166">
        <f ca="1"/>
        <v>0</v>
      </c>
      <c r="T98" s="166">
        <f ca="1"/>
        <v>1.8359058957548413E-2</v>
      </c>
      <c r="U98" s="166">
        <f ca="1"/>
        <v>3.3114510506161987E-2</v>
      </c>
      <c r="V98" s="140">
        <f ca="1"/>
        <v>5.9865582392083838E-2</v>
      </c>
      <c r="W98" s="139">
        <f ca="1"/>
        <v>0</v>
      </c>
      <c r="X98" s="166">
        <f ca="1"/>
        <v>3.7321434723358582E-4</v>
      </c>
      <c r="Y98" s="166">
        <f ca="1"/>
        <v>1.063680113278509E-3</v>
      </c>
      <c r="Z98" s="166">
        <f ca="1"/>
        <v>3.4806545543656364E-3</v>
      </c>
      <c r="AA98" s="166">
        <f ca="1"/>
        <v>7.2927816517173172E-3</v>
      </c>
      <c r="AB98" s="166">
        <f ca="1"/>
        <v>0</v>
      </c>
      <c r="AC98" s="166">
        <f ca="1"/>
        <v>1.9239709913976277E-2</v>
      </c>
      <c r="AD98" s="166">
        <f ca="1"/>
        <v>3.4723513265621953E-2</v>
      </c>
      <c r="AE98" s="140">
        <f ca="1"/>
        <v>6.2757507147817915E-2</v>
      </c>
      <c r="AH98" s="137">
        <v>2.9999999999999997E-4</v>
      </c>
      <c r="AI98" s="137">
        <v>8.9999999999999998E-4</v>
      </c>
      <c r="AJ98" s="137">
        <v>3.0999999999999999E-3</v>
      </c>
      <c r="AK98" s="137">
        <v>6.7000000000000002E-3</v>
      </c>
      <c r="AM98" s="137">
        <v>1.83E-2</v>
      </c>
      <c r="AN98" s="137">
        <v>3.3000000000000002E-2</v>
      </c>
      <c r="AO98" s="137">
        <v>5.96E-2</v>
      </c>
      <c r="AQ98" s="137">
        <v>4.0000000000000002E-4</v>
      </c>
      <c r="AR98" s="137">
        <v>1E-3</v>
      </c>
      <c r="AS98" s="137">
        <v>3.3999999999999998E-3</v>
      </c>
      <c r="AT98" s="137">
        <v>7.1999999999999998E-3</v>
      </c>
      <c r="AV98" s="137">
        <v>1.9099999999999999E-2</v>
      </c>
      <c r="AW98" s="137">
        <v>3.4599999999999999E-2</v>
      </c>
      <c r="AX98" s="137">
        <v>6.25E-2</v>
      </c>
    </row>
    <row r="99" spans="1:50" s="79" customFormat="1" ht="10.199999999999999" x14ac:dyDescent="0.2">
      <c r="A99" s="97">
        <f t="shared" ca="1" si="4"/>
        <v>88</v>
      </c>
      <c r="B99" s="68" t="s">
        <v>176</v>
      </c>
      <c r="C99" s="98">
        <v>0.4</v>
      </c>
      <c r="D99" s="69" t="s">
        <v>66</v>
      </c>
      <c r="E99" s="138" t="s">
        <v>87</v>
      </c>
      <c r="F99" s="159">
        <v>1.65E-3</v>
      </c>
      <c r="G99" s="159">
        <v>2.5300000000000001E-3</v>
      </c>
      <c r="H99" s="159">
        <v>3.2299999999999998E-3</v>
      </c>
      <c r="I99" s="159">
        <v>3.5400000000000002E-3</v>
      </c>
      <c r="J99" s="159" t="s">
        <v>87</v>
      </c>
      <c r="K99" s="159">
        <v>4.1999999999999997E-3</v>
      </c>
      <c r="L99" s="159">
        <v>4.5999999999999999E-3</v>
      </c>
      <c r="M99" s="159">
        <v>5.0000000000000001E-3</v>
      </c>
      <c r="N99" s="139">
        <f t="array" aca="1" ref="N99:AE99" ca="1">IF(OR(B99="",NOT($J$2)),"",GetStripDefaultProbability(A99,B99,Parameter_Date,CDSRollDate,E99:M99,SpreadCurveMaturities,D99,C99,$J$4,$J$6))</f>
        <v>0</v>
      </c>
      <c r="O99" s="166">
        <f ca="1"/>
        <v>1.5386145530722484E-3</v>
      </c>
      <c r="P99" s="166">
        <f ca="1"/>
        <v>4.4791524403730021E-3</v>
      </c>
      <c r="Q99" s="166">
        <f ca="1"/>
        <v>1.1131617463381427E-2</v>
      </c>
      <c r="R99" s="166">
        <f ca="1"/>
        <v>1.8140470494580452E-2</v>
      </c>
      <c r="S99" s="166">
        <f ca="1"/>
        <v>0</v>
      </c>
      <c r="T99" s="166">
        <f ca="1"/>
        <v>3.5665273849605383E-2</v>
      </c>
      <c r="U99" s="166">
        <f ca="1"/>
        <v>5.4303944726282749E-2</v>
      </c>
      <c r="V99" s="140">
        <f ca="1"/>
        <v>8.366895023621701E-2</v>
      </c>
      <c r="W99" s="139">
        <f ca="1"/>
        <v>0</v>
      </c>
      <c r="X99" s="166">
        <f ca="1"/>
        <v>1.6317826338753116E-3</v>
      </c>
      <c r="Y99" s="166">
        <f ca="1"/>
        <v>4.7021891908205493E-3</v>
      </c>
      <c r="Z99" s="166">
        <f ca="1"/>
        <v>1.168538612488812E-2</v>
      </c>
      <c r="AA99" s="166">
        <f ca="1"/>
        <v>1.90396183726802E-2</v>
      </c>
      <c r="AB99" s="166">
        <f ca="1"/>
        <v>0</v>
      </c>
      <c r="AC99" s="166">
        <f ca="1"/>
        <v>3.7420063319124619E-2</v>
      </c>
      <c r="AD99" s="166">
        <f ca="1"/>
        <v>5.6950874260833007E-2</v>
      </c>
      <c r="AE99" s="140">
        <f ca="1"/>
        <v>8.7689849187104985E-2</v>
      </c>
      <c r="AH99" s="137">
        <v>1.5E-3</v>
      </c>
      <c r="AI99" s="137">
        <v>4.4000000000000003E-3</v>
      </c>
      <c r="AJ99" s="137">
        <v>1.11E-2</v>
      </c>
      <c r="AK99" s="137">
        <v>1.8100000000000002E-2</v>
      </c>
      <c r="AM99" s="137">
        <v>3.5499999999999997E-2</v>
      </c>
      <c r="AN99" s="137">
        <v>5.4199999999999998E-2</v>
      </c>
      <c r="AO99" s="137">
        <v>8.3500000000000005E-2</v>
      </c>
      <c r="AQ99" s="137">
        <v>1.6000000000000001E-3</v>
      </c>
      <c r="AR99" s="137">
        <v>4.5999999999999999E-3</v>
      </c>
      <c r="AS99" s="137">
        <v>1.1599999999999999E-2</v>
      </c>
      <c r="AT99" s="137">
        <v>1.89E-2</v>
      </c>
      <c r="AV99" s="137">
        <v>3.73E-2</v>
      </c>
      <c r="AW99" s="137">
        <v>5.6800000000000003E-2</v>
      </c>
      <c r="AX99" s="137">
        <v>8.7499999999999994E-2</v>
      </c>
    </row>
    <row r="100" spans="1:50" s="79" customFormat="1" ht="10.199999999999999" x14ac:dyDescent="0.2">
      <c r="A100" s="97">
        <f t="shared" ca="1" si="4"/>
        <v>89</v>
      </c>
      <c r="B100" s="68" t="s">
        <v>177</v>
      </c>
      <c r="C100" s="98">
        <v>0.4</v>
      </c>
      <c r="D100" s="69" t="s">
        <v>66</v>
      </c>
      <c r="E100" s="138" t="s">
        <v>87</v>
      </c>
      <c r="F100" s="159">
        <v>4.0000000000000002E-4</v>
      </c>
      <c r="G100" s="159">
        <v>6.9999999999999999E-4</v>
      </c>
      <c r="H100" s="159">
        <v>1.1999999999999999E-3</v>
      </c>
      <c r="I100" s="159">
        <v>1.4E-3</v>
      </c>
      <c r="J100" s="159" t="s">
        <v>87</v>
      </c>
      <c r="K100" s="159">
        <v>2.0999999999999999E-3</v>
      </c>
      <c r="L100" s="159">
        <v>2.5000000000000001E-3</v>
      </c>
      <c r="M100" s="159">
        <v>3.0000000000000001E-3</v>
      </c>
      <c r="N100" s="139">
        <f t="array" aca="1" ref="N100:AE100" ca="1">IF(OR(B100="",NOT($J$2)),"",GetStripDefaultProbability(A100,B100,Parameter_Date,CDSRollDate,E100:M100,SpreadCurveMaturities,D100,C100,$J$4,$J$6))</f>
        <v>0</v>
      </c>
      <c r="O100" s="166">
        <f ca="1"/>
        <v>3.7321455535799242E-4</v>
      </c>
      <c r="P100" s="166">
        <f ca="1"/>
        <v>1.2425599531954434E-3</v>
      </c>
      <c r="Q100" s="166">
        <f ca="1"/>
        <v>4.1779983070613369E-3</v>
      </c>
      <c r="R100" s="166">
        <f ca="1"/>
        <v>7.2468222515013059E-3</v>
      </c>
      <c r="S100" s="166">
        <f ca="1"/>
        <v>0</v>
      </c>
      <c r="T100" s="166">
        <f ca="1"/>
        <v>1.8278819292447235E-2</v>
      </c>
      <c r="U100" s="166">
        <f ca="1"/>
        <v>3.0367590439499215E-2</v>
      </c>
      <c r="V100" s="140">
        <f ca="1"/>
        <v>5.2411629817508354E-2</v>
      </c>
      <c r="W100" s="139">
        <f ca="1"/>
        <v>0</v>
      </c>
      <c r="X100" s="166">
        <f ca="1"/>
        <v>4.6649612398852458E-4</v>
      </c>
      <c r="Y100" s="166">
        <f ca="1"/>
        <v>1.4188629351529203E-3</v>
      </c>
      <c r="Z100" s="166">
        <f ca="1"/>
        <v>4.521030634863421E-3</v>
      </c>
      <c r="AA100" s="166">
        <f ca="1"/>
        <v>7.7555323108035035E-3</v>
      </c>
      <c r="AB100" s="166">
        <f ca="1"/>
        <v>0</v>
      </c>
      <c r="AC100" s="166">
        <f ca="1"/>
        <v>1.9159215552181585E-2</v>
      </c>
      <c r="AD100" s="166">
        <f ca="1"/>
        <v>3.1845164920662694E-2</v>
      </c>
      <c r="AE100" s="140">
        <f ca="1"/>
        <v>5.4945389897303243E-2</v>
      </c>
      <c r="AH100" s="137">
        <v>4.0000000000000002E-4</v>
      </c>
      <c r="AI100" s="137">
        <v>1.1999999999999999E-3</v>
      </c>
      <c r="AJ100" s="137">
        <v>4.1000000000000003E-3</v>
      </c>
      <c r="AK100" s="137">
        <v>7.1999999999999998E-3</v>
      </c>
      <c r="AM100" s="137">
        <v>1.8200000000000001E-2</v>
      </c>
      <c r="AN100" s="137">
        <v>3.0300000000000001E-2</v>
      </c>
      <c r="AO100" s="137">
        <v>5.21E-2</v>
      </c>
      <c r="AQ100" s="137">
        <v>4.0000000000000002E-4</v>
      </c>
      <c r="AR100" s="137">
        <v>1.4E-3</v>
      </c>
      <c r="AS100" s="137">
        <v>4.4999999999999997E-3</v>
      </c>
      <c r="AT100" s="137">
        <v>7.7000000000000002E-3</v>
      </c>
      <c r="AV100" s="137">
        <v>1.9E-2</v>
      </c>
      <c r="AW100" s="137">
        <v>3.1699999999999999E-2</v>
      </c>
      <c r="AX100" s="137">
        <v>5.4600000000000003E-2</v>
      </c>
    </row>
    <row r="101" spans="1:50" s="79" customFormat="1" ht="10.199999999999999" x14ac:dyDescent="0.2">
      <c r="A101" s="97">
        <f t="shared" ca="1" si="4"/>
        <v>90</v>
      </c>
      <c r="B101" s="68" t="s">
        <v>178</v>
      </c>
      <c r="C101" s="98">
        <v>0.4</v>
      </c>
      <c r="D101" s="69" t="s">
        <v>66</v>
      </c>
      <c r="E101" s="138" t="s">
        <v>87</v>
      </c>
      <c r="F101" s="159">
        <v>5.9999999999999995E-4</v>
      </c>
      <c r="G101" s="159">
        <v>1.5E-3</v>
      </c>
      <c r="H101" s="159">
        <v>2.3E-3</v>
      </c>
      <c r="I101" s="159">
        <v>3.3999999999999998E-3</v>
      </c>
      <c r="J101" s="159" t="s">
        <v>87</v>
      </c>
      <c r="K101" s="159">
        <v>5.3E-3</v>
      </c>
      <c r="L101" s="159">
        <v>6.6E-3</v>
      </c>
      <c r="M101" s="159">
        <v>8.2000000000000007E-3</v>
      </c>
      <c r="N101" s="139">
        <f t="array" aca="1" ref="N101:AE101" ca="1">IF(OR(B101="",NOT($J$2)),"",GetStripDefaultProbability(A101,B101,Parameter_Date,CDSRollDate,E101:M101,SpreadCurveMaturities,D101,C101,$J$4,$J$6))</f>
        <v>0</v>
      </c>
      <c r="O101" s="166">
        <f ca="1"/>
        <v>5.5976970645477131E-4</v>
      </c>
      <c r="P101" s="166">
        <f ca="1"/>
        <v>2.6672191941589096E-3</v>
      </c>
      <c r="Q101" s="166">
        <f ca="1"/>
        <v>7.9691940435626663E-3</v>
      </c>
      <c r="R101" s="166">
        <f ca="1"/>
        <v>1.7669275376423488E-2</v>
      </c>
      <c r="S101" s="166">
        <f ca="1"/>
        <v>0</v>
      </c>
      <c r="T101" s="166">
        <f ca="1"/>
        <v>4.5779009880812627E-2</v>
      </c>
      <c r="U101" s="166">
        <f ca="1"/>
        <v>7.9299171569654714E-2</v>
      </c>
      <c r="V101" s="140">
        <f ca="1"/>
        <v>0.13950977064773185</v>
      </c>
      <c r="W101" s="139">
        <f ca="1"/>
        <v>0</v>
      </c>
      <c r="X101" s="166">
        <f ca="1"/>
        <v>6.5303351059242676E-4</v>
      </c>
      <c r="Y101" s="166">
        <f ca="1"/>
        <v>2.8433288728778594E-3</v>
      </c>
      <c r="Z101" s="166">
        <f ca="1"/>
        <v>8.364245324963604E-3</v>
      </c>
      <c r="AA101" s="166">
        <f ca="1"/>
        <v>1.8543610858600124E-2</v>
      </c>
      <c r="AB101" s="166">
        <f ca="1"/>
        <v>0</v>
      </c>
      <c r="AC101" s="166">
        <f ca="1"/>
        <v>4.8026571532169715E-2</v>
      </c>
      <c r="AD101" s="166">
        <f ca="1"/>
        <v>8.3141894242426129E-2</v>
      </c>
      <c r="AE101" s="140">
        <f ca="1"/>
        <v>0.14610341098576163</v>
      </c>
      <c r="AH101" s="137">
        <v>5.0000000000000001E-4</v>
      </c>
      <c r="AI101" s="137">
        <v>2.5999999999999999E-3</v>
      </c>
      <c r="AJ101" s="137">
        <v>7.9000000000000008E-3</v>
      </c>
      <c r="AK101" s="137">
        <v>1.7600000000000001E-2</v>
      </c>
      <c r="AM101" s="137">
        <v>4.5600000000000002E-2</v>
      </c>
      <c r="AN101" s="137">
        <v>7.9000000000000001E-2</v>
      </c>
      <c r="AO101" s="137">
        <v>0.1389</v>
      </c>
      <c r="AQ101" s="137">
        <v>5.9999999999999995E-4</v>
      </c>
      <c r="AR101" s="137">
        <v>2.8E-3</v>
      </c>
      <c r="AS101" s="137">
        <v>8.3000000000000001E-3</v>
      </c>
      <c r="AT101" s="137">
        <v>1.84E-2</v>
      </c>
      <c r="AV101" s="137">
        <v>4.7800000000000002E-2</v>
      </c>
      <c r="AW101" s="137">
        <v>8.2799999999999999E-2</v>
      </c>
      <c r="AX101" s="137">
        <v>0.14549999999999999</v>
      </c>
    </row>
    <row r="102" spans="1:50" s="79" customFormat="1" ht="10.199999999999999" x14ac:dyDescent="0.2">
      <c r="A102" s="97">
        <f t="shared" ca="1" si="4"/>
        <v>91</v>
      </c>
      <c r="B102" s="68" t="s">
        <v>179</v>
      </c>
      <c r="C102" s="98">
        <v>0.4</v>
      </c>
      <c r="D102" s="69" t="s">
        <v>66</v>
      </c>
      <c r="E102" s="138" t="s">
        <v>87</v>
      </c>
      <c r="F102" s="159">
        <v>4.0000000000000002E-4</v>
      </c>
      <c r="G102" s="159">
        <v>5.0000000000000001E-4</v>
      </c>
      <c r="H102" s="159">
        <v>8.9999999999999998E-4</v>
      </c>
      <c r="I102" s="159">
        <v>1.1999999999999999E-3</v>
      </c>
      <c r="J102" s="159" t="s">
        <v>87</v>
      </c>
      <c r="K102" s="159">
        <v>2E-3</v>
      </c>
      <c r="L102" s="159">
        <v>2.5000000000000001E-3</v>
      </c>
      <c r="M102" s="159">
        <v>3.3E-3</v>
      </c>
      <c r="N102" s="139">
        <f t="array" aca="1" ref="N102:AE102" ca="1">IF(OR(B102="",NOT($J$2)),"",GetStripDefaultProbability(A102,B102,Parameter_Date,CDSRollDate,E102:M102,SpreadCurveMaturities,D102,C102,$J$4,$J$6))</f>
        <v>0</v>
      </c>
      <c r="O102" s="166">
        <f ca="1"/>
        <v>3.7321455535799242E-4</v>
      </c>
      <c r="P102" s="166">
        <f ca="1"/>
        <v>8.8475582500824324E-4</v>
      </c>
      <c r="Q102" s="166">
        <f ca="1"/>
        <v>3.1363682502777435E-3</v>
      </c>
      <c r="R102" s="166">
        <f ca="1"/>
        <v>6.2442873334576099E-3</v>
      </c>
      <c r="S102" s="166">
        <f ca="1"/>
        <v>0</v>
      </c>
      <c r="T102" s="166">
        <f ca="1"/>
        <v>1.7506818955867032E-2</v>
      </c>
      <c r="U102" s="166">
        <f ca="1"/>
        <v>3.0591330417250151E-2</v>
      </c>
      <c r="V102" s="140">
        <f ca="1"/>
        <v>5.855746559380004E-2</v>
      </c>
      <c r="W102" s="139">
        <f ca="1"/>
        <v>0</v>
      </c>
      <c r="X102" s="166">
        <f ca="1"/>
        <v>4.6649612398852458E-4</v>
      </c>
      <c r="Y102" s="166">
        <f ca="1"/>
        <v>1.0611027225110314E-3</v>
      </c>
      <c r="Z102" s="166">
        <f ca="1"/>
        <v>3.4797141240604512E-3</v>
      </c>
      <c r="AA102" s="166">
        <f ca="1"/>
        <v>6.7535727919266764E-3</v>
      </c>
      <c r="AB102" s="166">
        <f ca="1"/>
        <v>0</v>
      </c>
      <c r="AC102" s="166">
        <f ca="1"/>
        <v>1.8342610572747775E-2</v>
      </c>
      <c r="AD102" s="166">
        <f ca="1"/>
        <v>3.2077712682797577E-2</v>
      </c>
      <c r="AE102" s="140">
        <f ca="1"/>
        <v>6.1382007341147293E-2</v>
      </c>
      <c r="AH102" s="137">
        <v>4.0000000000000002E-4</v>
      </c>
      <c r="AI102" s="137">
        <v>8.9999999999999998E-4</v>
      </c>
      <c r="AJ102" s="137">
        <v>3.0999999999999999E-3</v>
      </c>
      <c r="AK102" s="137">
        <v>6.1999999999999998E-3</v>
      </c>
      <c r="AM102" s="137">
        <v>1.7399999999999999E-2</v>
      </c>
      <c r="AN102" s="137">
        <v>3.0499999999999999E-2</v>
      </c>
      <c r="AO102" s="137">
        <v>5.8200000000000002E-2</v>
      </c>
      <c r="AQ102" s="137">
        <v>4.0000000000000002E-4</v>
      </c>
      <c r="AR102" s="137">
        <v>1E-3</v>
      </c>
      <c r="AS102" s="137">
        <v>3.3999999999999998E-3</v>
      </c>
      <c r="AT102" s="137">
        <v>6.7000000000000002E-3</v>
      </c>
      <c r="AV102" s="137">
        <v>1.8200000000000001E-2</v>
      </c>
      <c r="AW102" s="137">
        <v>3.2000000000000001E-2</v>
      </c>
      <c r="AX102" s="137">
        <v>6.0999999999999999E-2</v>
      </c>
    </row>
    <row r="103" spans="1:50" s="79" customFormat="1" ht="10.199999999999999" x14ac:dyDescent="0.2">
      <c r="A103" s="97">
        <f t="shared" ca="1" si="4"/>
        <v>92</v>
      </c>
      <c r="B103" s="68" t="s">
        <v>180</v>
      </c>
      <c r="C103" s="98">
        <v>0.4</v>
      </c>
      <c r="D103" s="69" t="s">
        <v>66</v>
      </c>
      <c r="E103" s="138" t="s">
        <v>87</v>
      </c>
      <c r="F103" s="159">
        <v>5.0000000000000001E-4</v>
      </c>
      <c r="G103" s="159">
        <v>5.0000000000000001E-4</v>
      </c>
      <c r="H103" s="159">
        <v>8.9999999999999998E-4</v>
      </c>
      <c r="I103" s="159">
        <v>1.2999999999999999E-3</v>
      </c>
      <c r="J103" s="159" t="s">
        <v>87</v>
      </c>
      <c r="K103" s="159">
        <v>2E-3</v>
      </c>
      <c r="L103" s="159">
        <v>2.5000000000000001E-3</v>
      </c>
      <c r="M103" s="159">
        <v>2.8E-3</v>
      </c>
      <c r="N103" s="139">
        <f t="array" aca="1" ref="N103:AE103" ca="1">IF(OR(B103="",NOT($J$2)),"",GetStripDefaultProbability(A103,B103,Parameter_Date,CDSRollDate,E103:M103,SpreadCurveMaturities,D103,C103,$J$4,$J$6))</f>
        <v>0</v>
      </c>
      <c r="O103" s="166">
        <f ca="1"/>
        <v>4.6649647376628689E-4</v>
      </c>
      <c r="P103" s="166">
        <f ca="1"/>
        <v>8.8300526925400025E-4</v>
      </c>
      <c r="Q103" s="166">
        <f ca="1"/>
        <v>3.1345627800242193E-3</v>
      </c>
      <c r="R103" s="166">
        <f ca="1"/>
        <v>6.7793217936158445E-3</v>
      </c>
      <c r="S103" s="166">
        <f ca="1"/>
        <v>0</v>
      </c>
      <c r="T103" s="166">
        <f ca="1"/>
        <v>1.7449578283111222E-2</v>
      </c>
      <c r="U103" s="166">
        <f ca="1"/>
        <v>3.0574884978886718E-2</v>
      </c>
      <c r="V103" s="140">
        <f ca="1"/>
        <v>4.8505759786794611E-2</v>
      </c>
      <c r="W103" s="139">
        <f ca="1"/>
        <v>0</v>
      </c>
      <c r="X103" s="166">
        <f ca="1"/>
        <v>5.5976917815403482E-4</v>
      </c>
      <c r="Y103" s="166">
        <f ca="1"/>
        <v>1.0593614472252932E-3</v>
      </c>
      <c r="Z103" s="166">
        <f ca="1"/>
        <v>3.4779052390162546E-3</v>
      </c>
      <c r="AA103" s="166">
        <f ca="1"/>
        <v>7.2884323993210876E-3</v>
      </c>
      <c r="AB103" s="166">
        <f ca="1"/>
        <v>0</v>
      </c>
      <c r="AC103" s="166">
        <f ca="1"/>
        <v>1.8285166970675504E-2</v>
      </c>
      <c r="AD103" s="166">
        <f ca="1"/>
        <v>3.2059687969985817E-2</v>
      </c>
      <c r="AE103" s="140">
        <f ca="1"/>
        <v>5.0841800628230849E-2</v>
      </c>
      <c r="AH103" s="137">
        <v>5.0000000000000001E-4</v>
      </c>
      <c r="AI103" s="137">
        <v>8.9999999999999998E-4</v>
      </c>
      <c r="AJ103" s="137">
        <v>3.0999999999999999E-3</v>
      </c>
      <c r="AK103" s="137">
        <v>6.7000000000000002E-3</v>
      </c>
      <c r="AM103" s="137">
        <v>1.7399999999999999E-2</v>
      </c>
      <c r="AN103" s="137">
        <v>3.0499999999999999E-2</v>
      </c>
      <c r="AO103" s="137">
        <v>4.8399999999999999E-2</v>
      </c>
      <c r="AQ103" s="137">
        <v>5.0000000000000001E-4</v>
      </c>
      <c r="AR103" s="137">
        <v>1E-3</v>
      </c>
      <c r="AS103" s="137">
        <v>3.3999999999999998E-3</v>
      </c>
      <c r="AT103" s="137">
        <v>7.1999999999999998E-3</v>
      </c>
      <c r="AV103" s="137">
        <v>1.8200000000000001E-2</v>
      </c>
      <c r="AW103" s="137">
        <v>3.1899999999999998E-2</v>
      </c>
      <c r="AX103" s="137">
        <v>5.0799999999999998E-2</v>
      </c>
    </row>
    <row r="104" spans="1:50" s="79" customFormat="1" ht="10.199999999999999" x14ac:dyDescent="0.2">
      <c r="A104" s="97">
        <f t="shared" ca="1" si="4"/>
        <v>93</v>
      </c>
      <c r="B104" s="68" t="s">
        <v>181</v>
      </c>
      <c r="C104" s="98">
        <v>0.4</v>
      </c>
      <c r="D104" s="69" t="s">
        <v>66</v>
      </c>
      <c r="E104" s="138" t="s">
        <v>87</v>
      </c>
      <c r="F104" s="159">
        <v>2.9999999999999997E-4</v>
      </c>
      <c r="G104" s="159">
        <v>1.1000000000000001E-3</v>
      </c>
      <c r="H104" s="159">
        <v>1.5E-3</v>
      </c>
      <c r="I104" s="159">
        <v>2E-3</v>
      </c>
      <c r="J104" s="159" t="s">
        <v>87</v>
      </c>
      <c r="K104" s="159">
        <v>2.8999999999999998E-3</v>
      </c>
      <c r="L104" s="159">
        <v>3.5999999999999999E-3</v>
      </c>
      <c r="M104" s="159">
        <v>4.4999999999999997E-3</v>
      </c>
      <c r="N104" s="139">
        <f t="array" aca="1" ref="N104:AE104" ca="1">IF(OR(B104="",NOT($J$2)),"",GetStripDefaultProbability(A104,B104,Parameter_Date,CDSRollDate,E104:M104,SpreadCurveMaturities,D104,C104,$J$4,$J$6))</f>
        <v>0</v>
      </c>
      <c r="O104" s="166">
        <f ca="1"/>
        <v>2.799239499720052E-4</v>
      </c>
      <c r="P104" s="166">
        <f ca="1"/>
        <v>1.960068131992676E-3</v>
      </c>
      <c r="Q104" s="166">
        <f ca="1"/>
        <v>5.1839182147306317E-3</v>
      </c>
      <c r="R104" s="166">
        <f ca="1"/>
        <v>1.0376520782202969E-2</v>
      </c>
      <c r="S104" s="166">
        <f ca="1"/>
        <v>0</v>
      </c>
      <c r="T104" s="166">
        <f ca="1"/>
        <v>2.5100441786952477E-2</v>
      </c>
      <c r="U104" s="166">
        <f ca="1"/>
        <v>4.3695667584012776E-2</v>
      </c>
      <c r="V104" s="140">
        <f ca="1"/>
        <v>7.8285059708490756E-2</v>
      </c>
      <c r="W104" s="139">
        <f ca="1"/>
        <v>0</v>
      </c>
      <c r="X104" s="166">
        <f ca="1"/>
        <v>3.7321434723358582E-4</v>
      </c>
      <c r="Y104" s="166">
        <f ca="1"/>
        <v>2.1362931388367867E-3</v>
      </c>
      <c r="Z104" s="166">
        <f ca="1"/>
        <v>5.5265791853017499E-3</v>
      </c>
      <c r="AA104" s="166">
        <f ca="1"/>
        <v>1.0883953839232907E-2</v>
      </c>
      <c r="AB104" s="166">
        <f ca="1"/>
        <v>0</v>
      </c>
      <c r="AC104" s="166">
        <f ca="1"/>
        <v>2.6338404690699591E-2</v>
      </c>
      <c r="AD104" s="166">
        <f ca="1"/>
        <v>4.5835691760957809E-2</v>
      </c>
      <c r="AE104" s="140">
        <f ca="1"/>
        <v>8.2082560586553277E-2</v>
      </c>
      <c r="AH104" s="137">
        <v>2.9999999999999997E-4</v>
      </c>
      <c r="AI104" s="137">
        <v>1.9E-3</v>
      </c>
      <c r="AJ104" s="137">
        <v>5.1999999999999998E-3</v>
      </c>
      <c r="AK104" s="137">
        <v>1.03E-2</v>
      </c>
      <c r="AM104" s="137">
        <v>2.5000000000000001E-2</v>
      </c>
      <c r="AN104" s="137">
        <v>4.3499999999999997E-2</v>
      </c>
      <c r="AO104" s="137">
        <v>7.8E-2</v>
      </c>
      <c r="AQ104" s="137">
        <v>4.0000000000000002E-4</v>
      </c>
      <c r="AR104" s="137">
        <v>2.0999999999999999E-3</v>
      </c>
      <c r="AS104" s="137">
        <v>5.4999999999999997E-3</v>
      </c>
      <c r="AT104" s="137">
        <v>1.0800000000000001E-2</v>
      </c>
      <c r="AV104" s="137">
        <v>2.6200000000000001E-2</v>
      </c>
      <c r="AW104" s="137">
        <v>4.5699999999999998E-2</v>
      </c>
      <c r="AX104" s="137">
        <v>8.1799999999999998E-2</v>
      </c>
    </row>
    <row r="105" spans="1:50" s="79" customFormat="1" ht="10.199999999999999" x14ac:dyDescent="0.2">
      <c r="A105" s="97">
        <f t="shared" ca="1" si="4"/>
        <v>94</v>
      </c>
      <c r="B105" s="68" t="s">
        <v>182</v>
      </c>
      <c r="C105" s="98">
        <v>0.4</v>
      </c>
      <c r="D105" s="69" t="s">
        <v>66</v>
      </c>
      <c r="E105" s="138" t="s">
        <v>87</v>
      </c>
      <c r="F105" s="159">
        <v>2.9999999999999997E-4</v>
      </c>
      <c r="G105" s="159">
        <v>5.0000000000000001E-4</v>
      </c>
      <c r="H105" s="159">
        <v>8.9999999999999998E-4</v>
      </c>
      <c r="I105" s="159">
        <v>1.2999999999999999E-3</v>
      </c>
      <c r="J105" s="159" t="s">
        <v>87</v>
      </c>
      <c r="K105" s="159">
        <v>2.0999999999999999E-3</v>
      </c>
      <c r="L105" s="159">
        <v>2.7000000000000001E-3</v>
      </c>
      <c r="M105" s="159">
        <v>3.3999999999999998E-3</v>
      </c>
      <c r="N105" s="139">
        <f t="array" aca="1" ref="N105:AE105" ca="1">IF(OR(B105="",NOT($J$2)),"",GetStripDefaultProbability(A105,B105,Parameter_Date,CDSRollDate,E105:M105,SpreadCurveMaturities,D105,C105,$J$4,$J$6))</f>
        <v>0</v>
      </c>
      <c r="O105" s="166">
        <f ca="1"/>
        <v>2.799239499720052E-4</v>
      </c>
      <c r="P105" s="166">
        <f ca="1"/>
        <v>8.8732386928147555E-4</v>
      </c>
      <c r="Q105" s="166">
        <f ca="1"/>
        <v>3.1373061207745634E-3</v>
      </c>
      <c r="R105" s="166">
        <f ca="1"/>
        <v>6.7836586396220477E-3</v>
      </c>
      <c r="S105" s="166">
        <f ca="1"/>
        <v>0</v>
      </c>
      <c r="T105" s="166">
        <f ca="1"/>
        <v>1.8359058957548413E-2</v>
      </c>
      <c r="U105" s="166">
        <f ca="1"/>
        <v>3.3114510506161987E-2</v>
      </c>
      <c r="V105" s="140">
        <f ca="1"/>
        <v>5.9865582392083838E-2</v>
      </c>
      <c r="W105" s="139">
        <f ca="1"/>
        <v>0</v>
      </c>
      <c r="X105" s="166">
        <f ca="1"/>
        <v>3.7321434723358582E-4</v>
      </c>
      <c r="Y105" s="166">
        <f ca="1"/>
        <v>1.063680113278509E-3</v>
      </c>
      <c r="Z105" s="166">
        <f ca="1"/>
        <v>3.4806545543656364E-3</v>
      </c>
      <c r="AA105" s="166">
        <f ca="1"/>
        <v>7.2927816517173172E-3</v>
      </c>
      <c r="AB105" s="166">
        <f ca="1"/>
        <v>0</v>
      </c>
      <c r="AC105" s="166">
        <f ca="1"/>
        <v>1.9239709913976277E-2</v>
      </c>
      <c r="AD105" s="166">
        <f ca="1"/>
        <v>3.4723513265621953E-2</v>
      </c>
      <c r="AE105" s="140">
        <f ca="1"/>
        <v>6.2757507147817915E-2</v>
      </c>
      <c r="AH105" s="137">
        <v>2.9999999999999997E-4</v>
      </c>
      <c r="AI105" s="137">
        <v>8.9999999999999998E-4</v>
      </c>
      <c r="AJ105" s="137">
        <v>3.0999999999999999E-3</v>
      </c>
      <c r="AK105" s="137">
        <v>6.7000000000000002E-3</v>
      </c>
      <c r="AM105" s="137">
        <v>1.83E-2</v>
      </c>
      <c r="AN105" s="137">
        <v>3.3000000000000002E-2</v>
      </c>
      <c r="AO105" s="137">
        <v>5.96E-2</v>
      </c>
      <c r="AQ105" s="137">
        <v>4.0000000000000002E-4</v>
      </c>
      <c r="AR105" s="137">
        <v>1E-3</v>
      </c>
      <c r="AS105" s="137">
        <v>3.3999999999999998E-3</v>
      </c>
      <c r="AT105" s="137">
        <v>7.1999999999999998E-3</v>
      </c>
      <c r="AV105" s="137">
        <v>1.9099999999999999E-2</v>
      </c>
      <c r="AW105" s="137">
        <v>3.4599999999999999E-2</v>
      </c>
      <c r="AX105" s="137">
        <v>6.25E-2</v>
      </c>
    </row>
    <row r="106" spans="1:50" s="79" customFormat="1" ht="10.199999999999999" x14ac:dyDescent="0.2">
      <c r="A106" s="97">
        <f t="shared" ca="1" si="4"/>
        <v>95</v>
      </c>
      <c r="B106" s="68" t="s">
        <v>183</v>
      </c>
      <c r="C106" s="98">
        <v>0.4</v>
      </c>
      <c r="D106" s="69" t="s">
        <v>66</v>
      </c>
      <c r="E106" s="138" t="s">
        <v>87</v>
      </c>
      <c r="F106" s="159">
        <v>8.9999999999999998E-4</v>
      </c>
      <c r="G106" s="159">
        <v>8.9999999999999998E-4</v>
      </c>
      <c r="H106" s="159">
        <v>1.8E-3</v>
      </c>
      <c r="I106" s="159">
        <v>2.5999999999999999E-3</v>
      </c>
      <c r="J106" s="159" t="s">
        <v>87</v>
      </c>
      <c r="K106" s="159">
        <v>4.3E-3</v>
      </c>
      <c r="L106" s="159">
        <v>5.4000000000000003E-3</v>
      </c>
      <c r="M106" s="159">
        <v>6.4000000000000003E-3</v>
      </c>
      <c r="N106" s="139">
        <f t="array" aca="1" ref="N106:AE106" ca="1">IF(OR(B106="",NOT($J$2)),"",GetStripDefaultProbability(A106,B106,Parameter_Date,CDSRollDate,E106:M106,SpreadCurveMaturities,D106,C106,$J$4,$J$6))</f>
        <v>0</v>
      </c>
      <c r="O106" s="166">
        <f ca="1"/>
        <v>8.3953730218899736E-4</v>
      </c>
      <c r="P106" s="166">
        <f ca="1"/>
        <v>1.588247445804436E-3</v>
      </c>
      <c r="Q106" s="166">
        <f ca="1"/>
        <v>6.2698446254263462E-3</v>
      </c>
      <c r="R106" s="166">
        <f ca="1"/>
        <v>1.3533666954876789E-2</v>
      </c>
      <c r="S106" s="166">
        <f ca="1"/>
        <v>0</v>
      </c>
      <c r="T106" s="166">
        <f ca="1"/>
        <v>3.7401582106561193E-2</v>
      </c>
      <c r="U106" s="166">
        <f ca="1"/>
        <v>6.5367741830729797E-2</v>
      </c>
      <c r="V106" s="140">
        <f ca="1"/>
        <v>0.10952516997178152</v>
      </c>
      <c r="W106" s="139">
        <f ca="1"/>
        <v>0</v>
      </c>
      <c r="X106" s="166">
        <f ca="1"/>
        <v>9.3277418569359671E-4</v>
      </c>
      <c r="Y106" s="166">
        <f ca="1"/>
        <v>1.7644772308684775E-3</v>
      </c>
      <c r="Z106" s="166">
        <f ca="1"/>
        <v>6.6123037090902725E-3</v>
      </c>
      <c r="AA106" s="166">
        <f ca="1"/>
        <v>1.4200814627163494E-2</v>
      </c>
      <c r="AB106" s="166">
        <f ca="1"/>
        <v>0</v>
      </c>
      <c r="AC106" s="166">
        <f ca="1"/>
        <v>3.9241652157596674E-2</v>
      </c>
      <c r="AD106" s="166">
        <f ca="1"/>
        <v>6.8549408454702587E-2</v>
      </c>
      <c r="AE106" s="140">
        <f ca="1"/>
        <v>0.11475366934894726</v>
      </c>
      <c r="AH106" s="137">
        <v>8.0000000000000004E-4</v>
      </c>
      <c r="AI106" s="137">
        <v>1.6000000000000001E-3</v>
      </c>
      <c r="AJ106" s="137">
        <v>6.1999999999999998E-3</v>
      </c>
      <c r="AK106" s="137">
        <v>1.35E-2</v>
      </c>
      <c r="AM106" s="137">
        <v>3.7199999999999997E-2</v>
      </c>
      <c r="AN106" s="137">
        <v>6.5100000000000005E-2</v>
      </c>
      <c r="AO106" s="137">
        <v>0.1091</v>
      </c>
      <c r="AQ106" s="137">
        <v>8.9999999999999998E-4</v>
      </c>
      <c r="AR106" s="137">
        <v>1.6999999999999999E-3</v>
      </c>
      <c r="AS106" s="137">
        <v>6.4999999999999997E-3</v>
      </c>
      <c r="AT106" s="137">
        <v>1.41E-2</v>
      </c>
      <c r="AV106" s="137">
        <v>3.9E-2</v>
      </c>
      <c r="AW106" s="137">
        <v>6.83E-2</v>
      </c>
      <c r="AX106" s="137">
        <v>0.1143</v>
      </c>
    </row>
    <row r="107" spans="1:50" s="79" customFormat="1" ht="10.199999999999999" x14ac:dyDescent="0.2">
      <c r="A107" s="97">
        <f t="shared" ca="1" si="4"/>
        <v>96</v>
      </c>
      <c r="B107" s="68" t="s">
        <v>184</v>
      </c>
      <c r="C107" s="98">
        <v>0.4</v>
      </c>
      <c r="D107" s="69" t="s">
        <v>66</v>
      </c>
      <c r="E107" s="138" t="s">
        <v>87</v>
      </c>
      <c r="F107" s="159">
        <v>2.9999999999999997E-4</v>
      </c>
      <c r="G107" s="159">
        <v>5.0000000000000001E-4</v>
      </c>
      <c r="H107" s="159">
        <v>1.1999999999999999E-3</v>
      </c>
      <c r="I107" s="159">
        <v>1.6000000000000001E-3</v>
      </c>
      <c r="J107" s="159" t="s">
        <v>87</v>
      </c>
      <c r="K107" s="159">
        <v>2.5999999999999999E-3</v>
      </c>
      <c r="L107" s="159">
        <v>3.3999999999999998E-3</v>
      </c>
      <c r="M107" s="159">
        <v>4.4000000000000003E-3</v>
      </c>
      <c r="N107" s="139">
        <f t="array" aca="1" ref="N107:AE107" ca="1">IF(OR(B107="",NOT($J$2)),"",GetStripDefaultProbability(A107,B107,Parameter_Date,CDSRollDate,E107:M107,SpreadCurveMaturities,D107,C107,$J$4,$J$6))</f>
        <v>0</v>
      </c>
      <c r="O107" s="166">
        <f ca="1"/>
        <v>2.799239499720052E-4</v>
      </c>
      <c r="P107" s="166">
        <f ca="1"/>
        <v>8.8732386928147555E-4</v>
      </c>
      <c r="Q107" s="166">
        <f ca="1"/>
        <v>4.1983170124065827E-3</v>
      </c>
      <c r="R107" s="166">
        <f ca="1"/>
        <v>8.3329928661153296E-3</v>
      </c>
      <c r="S107" s="166">
        <f ca="1"/>
        <v>0</v>
      </c>
      <c r="T107" s="166">
        <f ca="1"/>
        <v>2.2728352376691907E-2</v>
      </c>
      <c r="U107" s="166">
        <f ca="1"/>
        <v>4.1647065822423057E-2</v>
      </c>
      <c r="V107" s="140">
        <f ca="1"/>
        <v>7.7403271134928842E-2</v>
      </c>
      <c r="W107" s="139">
        <f ca="1"/>
        <v>0</v>
      </c>
      <c r="X107" s="166">
        <f ca="1"/>
        <v>3.7321434723358582E-4</v>
      </c>
      <c r="Y107" s="166">
        <f ca="1"/>
        <v>1.063680113278509E-3</v>
      </c>
      <c r="Z107" s="166">
        <f ca="1"/>
        <v>4.5414180785732228E-3</v>
      </c>
      <c r="AA107" s="166">
        <f ca="1"/>
        <v>8.8414131221985492E-3</v>
      </c>
      <c r="AB107" s="166">
        <f ca="1"/>
        <v>0</v>
      </c>
      <c r="AC107" s="166">
        <f ca="1"/>
        <v>2.3833243750674082E-2</v>
      </c>
      <c r="AD107" s="166">
        <f ca="1"/>
        <v>4.3677686967833473E-2</v>
      </c>
      <c r="AE107" s="140">
        <f ca="1"/>
        <v>8.1139396436379352E-2</v>
      </c>
      <c r="AH107" s="137">
        <v>2.9999999999999997E-4</v>
      </c>
      <c r="AI107" s="137">
        <v>8.9999999999999998E-4</v>
      </c>
      <c r="AJ107" s="137">
        <v>4.1999999999999997E-3</v>
      </c>
      <c r="AK107" s="137">
        <v>8.3000000000000001E-3</v>
      </c>
      <c r="AM107" s="137">
        <v>2.2599999999999999E-2</v>
      </c>
      <c r="AN107" s="137">
        <v>4.1500000000000002E-2</v>
      </c>
      <c r="AO107" s="137">
        <v>7.6999999999999999E-2</v>
      </c>
      <c r="AQ107" s="137">
        <v>4.0000000000000002E-4</v>
      </c>
      <c r="AR107" s="137">
        <v>1E-3</v>
      </c>
      <c r="AS107" s="137">
        <v>4.4999999999999997E-3</v>
      </c>
      <c r="AT107" s="137">
        <v>8.8000000000000005E-3</v>
      </c>
      <c r="AV107" s="137">
        <v>2.3699999999999999E-2</v>
      </c>
      <c r="AW107" s="137">
        <v>4.3499999999999997E-2</v>
      </c>
      <c r="AX107" s="137">
        <v>8.0699999999999994E-2</v>
      </c>
    </row>
    <row r="108" spans="1:50" s="79" customFormat="1" ht="10.199999999999999" x14ac:dyDescent="0.2">
      <c r="A108" s="97">
        <f t="shared" ca="1" si="4"/>
        <v>97</v>
      </c>
      <c r="B108" s="68" t="s">
        <v>185</v>
      </c>
      <c r="C108" s="98">
        <v>0.4</v>
      </c>
      <c r="D108" s="69" t="s">
        <v>66</v>
      </c>
      <c r="E108" s="138" t="s">
        <v>87</v>
      </c>
      <c r="F108" s="159">
        <v>6.9999999999999999E-4</v>
      </c>
      <c r="G108" s="159">
        <v>1.1000000000000001E-3</v>
      </c>
      <c r="H108" s="159">
        <v>2E-3</v>
      </c>
      <c r="I108" s="159">
        <v>2.8999999999999998E-3</v>
      </c>
      <c r="J108" s="159" t="s">
        <v>87</v>
      </c>
      <c r="K108" s="159">
        <v>4.8999999999999998E-3</v>
      </c>
      <c r="L108" s="159">
        <v>6.0000000000000001E-3</v>
      </c>
      <c r="M108" s="159">
        <v>7.1999999999999998E-3</v>
      </c>
      <c r="N108" s="139">
        <f t="array" aca="1" ref="N108:AE108" ca="1">IF(OR(B108="",NOT($J$2)),"",GetStripDefaultProbability(A108,B108,Parameter_Date,CDSRollDate,E108:M108,SpreadCurveMaturities,D108,C108,$J$4,$J$6))</f>
        <v>0</v>
      </c>
      <c r="O108" s="166">
        <f ca="1"/>
        <v>6.5303425461338271E-4</v>
      </c>
      <c r="P108" s="166">
        <f ca="1"/>
        <v>1.95014562209328E-3</v>
      </c>
      <c r="Q108" s="166">
        <f ca="1"/>
        <v>6.9633237554064253E-3</v>
      </c>
      <c r="R108" s="166">
        <f ca="1"/>
        <v>1.5091957235073838E-2</v>
      </c>
      <c r="S108" s="166">
        <f ca="1"/>
        <v>0</v>
      </c>
      <c r="T108" s="166">
        <f ca="1"/>
        <v>4.2592620142336113E-2</v>
      </c>
      <c r="U108" s="166">
        <f ca="1"/>
        <v>7.2278724535527084E-2</v>
      </c>
      <c r="V108" s="140">
        <f ca="1"/>
        <v>0.12278545406635499</v>
      </c>
      <c r="W108" s="139">
        <f ca="1"/>
        <v>0</v>
      </c>
      <c r="X108" s="166">
        <f ca="1"/>
        <v>7.4628912209839804E-4</v>
      </c>
      <c r="Y108" s="166">
        <f ca="1"/>
        <v>2.1263336451882164E-3</v>
      </c>
      <c r="Z108" s="166">
        <f ca="1"/>
        <v>7.305556910669031E-3</v>
      </c>
      <c r="AA108" s="166">
        <f ca="1"/>
        <v>1.5838103435756312E-2</v>
      </c>
      <c r="AB108" s="166">
        <f ca="1"/>
        <v>0</v>
      </c>
      <c r="AC108" s="166">
        <f ca="1"/>
        <v>4.4685368688827887E-2</v>
      </c>
      <c r="AD108" s="166">
        <f ca="1"/>
        <v>7.5788963858580694E-2</v>
      </c>
      <c r="AE108" s="140">
        <f ca="1"/>
        <v>0.12861731391234332</v>
      </c>
      <c r="AH108" s="137">
        <v>5.9999999999999995E-4</v>
      </c>
      <c r="AI108" s="137">
        <v>1.9E-3</v>
      </c>
      <c r="AJ108" s="137">
        <v>6.8999999999999999E-3</v>
      </c>
      <c r="AK108" s="137">
        <v>1.4999999999999999E-2</v>
      </c>
      <c r="AM108" s="137">
        <v>4.2299999999999997E-2</v>
      </c>
      <c r="AN108" s="137">
        <v>7.1999999999999995E-2</v>
      </c>
      <c r="AO108" s="137">
        <v>0.1222</v>
      </c>
      <c r="AQ108" s="137">
        <v>6.9999999999999999E-4</v>
      </c>
      <c r="AR108" s="137">
        <v>2.0999999999999999E-3</v>
      </c>
      <c r="AS108" s="137">
        <v>7.1999999999999998E-3</v>
      </c>
      <c r="AT108" s="137">
        <v>1.5699999999999999E-2</v>
      </c>
      <c r="AV108" s="137">
        <v>4.4400000000000002E-2</v>
      </c>
      <c r="AW108" s="137">
        <v>7.5499999999999998E-2</v>
      </c>
      <c r="AX108" s="137">
        <v>0.128</v>
      </c>
    </row>
    <row r="109" spans="1:50" s="79" customFormat="1" ht="10.199999999999999" x14ac:dyDescent="0.2">
      <c r="A109" s="97">
        <f t="shared" ca="1" si="4"/>
        <v>98</v>
      </c>
      <c r="B109" s="68" t="s">
        <v>186</v>
      </c>
      <c r="C109" s="98">
        <v>0.4</v>
      </c>
      <c r="D109" s="69" t="s">
        <v>66</v>
      </c>
      <c r="E109" s="138" t="s">
        <v>87</v>
      </c>
      <c r="F109" s="159">
        <v>4.0000000000000002E-4</v>
      </c>
      <c r="G109" s="159">
        <v>8.9999999999999998E-4</v>
      </c>
      <c r="H109" s="159">
        <v>1.4E-3</v>
      </c>
      <c r="I109" s="159">
        <v>1.6999999999999999E-3</v>
      </c>
      <c r="J109" s="159" t="s">
        <v>87</v>
      </c>
      <c r="K109" s="159">
        <v>2.5000000000000001E-3</v>
      </c>
      <c r="L109" s="159">
        <v>2.8999999999999998E-3</v>
      </c>
      <c r="M109" s="159">
        <v>3.3999999999999998E-3</v>
      </c>
      <c r="N109" s="139">
        <f t="array" aca="1" ref="N109:AE109" ca="1">IF(OR(B109="",NOT($J$2)),"",GetStripDefaultProbability(A109,B109,Parameter_Date,CDSRollDate,E109:M109,SpreadCurveMaturities,D109,C109,$J$4,$J$6))</f>
        <v>0</v>
      </c>
      <c r="O109" s="166">
        <f ca="1"/>
        <v>3.7321455535799242E-4</v>
      </c>
      <c r="P109" s="166">
        <f ca="1"/>
        <v>1.6001863943641004E-3</v>
      </c>
      <c r="Q109" s="166">
        <f ca="1"/>
        <v>4.8623435854825425E-3</v>
      </c>
      <c r="R109" s="166">
        <f ca="1"/>
        <v>8.8050911969214107E-3</v>
      </c>
      <c r="S109" s="166">
        <f ca="1"/>
        <v>0</v>
      </c>
      <c r="T109" s="166">
        <f ca="1"/>
        <v>2.1694935871600096E-2</v>
      </c>
      <c r="U109" s="166">
        <f ca="1"/>
        <v>3.5055076349096326E-2</v>
      </c>
      <c r="V109" s="140">
        <f ca="1"/>
        <v>5.8916734754932198E-2</v>
      </c>
      <c r="W109" s="139">
        <f ca="1"/>
        <v>0</v>
      </c>
      <c r="X109" s="166">
        <f ca="1"/>
        <v>4.6649612398852458E-4</v>
      </c>
      <c r="Y109" s="166">
        <f ca="1"/>
        <v>1.7764454759706672E-3</v>
      </c>
      <c r="Z109" s="166">
        <f ca="1"/>
        <v>5.2051456895787496E-3</v>
      </c>
      <c r="AA109" s="166">
        <f ca="1"/>
        <v>9.3131244942004088E-3</v>
      </c>
      <c r="AB109" s="166">
        <f ca="1"/>
        <v>0</v>
      </c>
      <c r="AC109" s="166">
        <f ca="1"/>
        <v>2.2753908737287443E-2</v>
      </c>
      <c r="AD109" s="166">
        <f ca="1"/>
        <v>3.6767497334388444E-2</v>
      </c>
      <c r="AE109" s="140">
        <f ca="1"/>
        <v>6.1774120153705092E-2</v>
      </c>
      <c r="AH109" s="137">
        <v>4.0000000000000002E-4</v>
      </c>
      <c r="AI109" s="137">
        <v>1.6000000000000001E-3</v>
      </c>
      <c r="AJ109" s="137">
        <v>4.7999999999999996E-3</v>
      </c>
      <c r="AK109" s="137">
        <v>8.8000000000000005E-3</v>
      </c>
      <c r="AM109" s="137">
        <v>2.1600000000000001E-2</v>
      </c>
      <c r="AN109" s="137">
        <v>3.5000000000000003E-2</v>
      </c>
      <c r="AO109" s="137">
        <v>5.8599999999999999E-2</v>
      </c>
      <c r="AQ109" s="137">
        <v>4.0000000000000002E-4</v>
      </c>
      <c r="AR109" s="137">
        <v>1.6999999999999999E-3</v>
      </c>
      <c r="AS109" s="137">
        <v>5.1999999999999998E-3</v>
      </c>
      <c r="AT109" s="137">
        <v>9.2999999999999992E-3</v>
      </c>
      <c r="AV109" s="137">
        <v>2.2599999999999999E-2</v>
      </c>
      <c r="AW109" s="137">
        <v>3.6700000000000003E-2</v>
      </c>
      <c r="AX109" s="137">
        <v>6.1499999999999999E-2</v>
      </c>
    </row>
    <row r="110" spans="1:50" s="79" customFormat="1" ht="10.199999999999999" x14ac:dyDescent="0.2">
      <c r="A110" s="97">
        <f t="shared" ca="1" si="4"/>
        <v>99</v>
      </c>
      <c r="B110" s="68" t="s">
        <v>187</v>
      </c>
      <c r="C110" s="98">
        <v>0.4</v>
      </c>
      <c r="D110" s="69" t="s">
        <v>66</v>
      </c>
      <c r="E110" s="138" t="s">
        <v>87</v>
      </c>
      <c r="F110" s="159">
        <v>8.0000000000000004E-4</v>
      </c>
      <c r="G110" s="159">
        <v>8.0000000000000004E-4</v>
      </c>
      <c r="H110" s="159">
        <v>1.6999999999999999E-3</v>
      </c>
      <c r="I110" s="159">
        <v>2.3E-3</v>
      </c>
      <c r="J110" s="159" t="s">
        <v>87</v>
      </c>
      <c r="K110" s="159">
        <v>4.1999999999999997E-3</v>
      </c>
      <c r="L110" s="159">
        <v>5.3E-3</v>
      </c>
      <c r="M110" s="159">
        <v>6.4999999999999997E-3</v>
      </c>
      <c r="N110" s="139">
        <f t="array" aca="1" ref="N110:AE110" ca="1">IF(OR(B110="",NOT($J$2)),"",GetStripDefaultProbability(A110,B110,Parameter_Date,CDSRollDate,E110:M110,SpreadCurveMaturities,D110,C110,$J$4,$J$6))</f>
        <v>0</v>
      </c>
      <c r="O110" s="166">
        <f ca="1"/>
        <v>7.4629011945415158E-4</v>
      </c>
      <c r="P110" s="166">
        <f ca="1"/>
        <v>1.4119835281075632E-3</v>
      </c>
      <c r="Q110" s="166">
        <f ca="1"/>
        <v>5.9272686683314868E-3</v>
      </c>
      <c r="R110" s="166">
        <f ca="1"/>
        <v>1.1952882885851279E-2</v>
      </c>
      <c r="S110" s="166">
        <f ca="1"/>
        <v>0</v>
      </c>
      <c r="T110" s="166">
        <f ca="1"/>
        <v>3.6741280515312669E-2</v>
      </c>
      <c r="U110" s="166">
        <f ca="1"/>
        <v>6.4317361347851376E-2</v>
      </c>
      <c r="V110" s="140">
        <f ca="1"/>
        <v>0.11209024315811678</v>
      </c>
      <c r="W110" s="139">
        <f ca="1"/>
        <v>0</v>
      </c>
      <c r="X110" s="166">
        <f ca="1"/>
        <v>8.3953601351138829E-4</v>
      </c>
      <c r="Y110" s="166">
        <f ca="1"/>
        <v>1.5882450099349299E-3</v>
      </c>
      <c r="Z110" s="166">
        <f ca="1"/>
        <v>6.2698452249126957E-3</v>
      </c>
      <c r="AA110" s="166">
        <f ca="1"/>
        <v>1.254030437662168E-2</v>
      </c>
      <c r="AB110" s="166">
        <f ca="1"/>
        <v>0</v>
      </c>
      <c r="AC110" s="166">
        <f ca="1"/>
        <v>3.8547779454252251E-2</v>
      </c>
      <c r="AD110" s="166">
        <f ca="1"/>
        <v>6.7449355057839111E-2</v>
      </c>
      <c r="AE110" s="140">
        <f ca="1"/>
        <v>0.1174464743698701</v>
      </c>
      <c r="AH110" s="137">
        <v>6.9999999999999999E-4</v>
      </c>
      <c r="AI110" s="137">
        <v>1.4E-3</v>
      </c>
      <c r="AJ110" s="137">
        <v>5.8999999999999999E-3</v>
      </c>
      <c r="AK110" s="137">
        <v>1.1900000000000001E-2</v>
      </c>
      <c r="AM110" s="137">
        <v>3.6400000000000002E-2</v>
      </c>
      <c r="AN110" s="137">
        <v>6.4100000000000004E-2</v>
      </c>
      <c r="AO110" s="137">
        <v>0.1114</v>
      </c>
      <c r="AQ110" s="137">
        <v>8.0000000000000004E-4</v>
      </c>
      <c r="AR110" s="137">
        <v>1.6000000000000001E-3</v>
      </c>
      <c r="AS110" s="137">
        <v>6.1999999999999998E-3</v>
      </c>
      <c r="AT110" s="137">
        <v>1.2500000000000001E-2</v>
      </c>
      <c r="AV110" s="137">
        <v>3.8199999999999998E-2</v>
      </c>
      <c r="AW110" s="137">
        <v>6.7199999999999996E-2</v>
      </c>
      <c r="AX110" s="137">
        <v>0.1167</v>
      </c>
    </row>
    <row r="111" spans="1:50" s="79" customFormat="1" ht="10.199999999999999" x14ac:dyDescent="0.2">
      <c r="A111" s="97">
        <f t="shared" ca="1" si="4"/>
        <v>100</v>
      </c>
      <c r="B111" s="68" t="s">
        <v>188</v>
      </c>
      <c r="C111" s="98">
        <v>0.4</v>
      </c>
      <c r="D111" s="69" t="s">
        <v>66</v>
      </c>
      <c r="E111" s="138" t="s">
        <v>87</v>
      </c>
      <c r="F111" s="159">
        <v>1.6000000000000001E-3</v>
      </c>
      <c r="G111" s="159">
        <v>1.9E-3</v>
      </c>
      <c r="H111" s="159">
        <v>2.3999999999999998E-3</v>
      </c>
      <c r="I111" s="159">
        <v>2.7000000000000001E-3</v>
      </c>
      <c r="J111" s="159" t="s">
        <v>87</v>
      </c>
      <c r="K111" s="159">
        <v>3.3E-3</v>
      </c>
      <c r="L111" s="159">
        <v>3.65E-3</v>
      </c>
      <c r="M111" s="159">
        <v>4.1000000000000003E-3</v>
      </c>
      <c r="N111" s="139">
        <f t="array" aca="1" ref="N111:AE111" ca="1">IF(OR(B111="",NOT($J$2)),"",GetStripDefaultProbability(A111,B111,Parameter_Date,CDSRollDate,E111:M111,SpreadCurveMaturities,D111,C111,$J$4,$J$6))</f>
        <v>0</v>
      </c>
      <c r="O111" s="166">
        <f ca="1"/>
        <v>1.492024584305196E-3</v>
      </c>
      <c r="P111" s="166">
        <f ca="1"/>
        <v>3.3561427594633875E-3</v>
      </c>
      <c r="Q111" s="166">
        <f ca="1"/>
        <v>8.2865958109339388E-3</v>
      </c>
      <c r="R111" s="166">
        <f ca="1"/>
        <v>1.3869225469720692E-2</v>
      </c>
      <c r="S111" s="166">
        <f ca="1"/>
        <v>0</v>
      </c>
      <c r="T111" s="166">
        <f ca="1"/>
        <v>2.8178468444745808E-2</v>
      </c>
      <c r="U111" s="166">
        <f ca="1"/>
        <v>4.3402767204793857E-2</v>
      </c>
      <c r="V111" s="140">
        <f ca="1"/>
        <v>6.9626612686252254E-2</v>
      </c>
      <c r="W111" s="139">
        <f ca="1"/>
        <v>0</v>
      </c>
      <c r="X111" s="166">
        <f ca="1"/>
        <v>1.5851973209364267E-3</v>
      </c>
      <c r="Y111" s="166">
        <f ca="1"/>
        <v>3.5320722451185338E-3</v>
      </c>
      <c r="Z111" s="166">
        <f ca="1"/>
        <v>8.6987782571987804E-3</v>
      </c>
      <c r="AA111" s="166">
        <f ca="1"/>
        <v>1.4557529435636041E-2</v>
      </c>
      <c r="AB111" s="166">
        <f ca="1"/>
        <v>0</v>
      </c>
      <c r="AC111" s="166">
        <f ca="1"/>
        <v>2.9569202445120402E-2</v>
      </c>
      <c r="AD111" s="166">
        <f ca="1"/>
        <v>4.5529539404459585E-2</v>
      </c>
      <c r="AE111" s="140">
        <f ca="1"/>
        <v>7.3000164023024117E-2</v>
      </c>
      <c r="AH111" s="137">
        <v>1.5E-3</v>
      </c>
      <c r="AI111" s="137">
        <v>3.3E-3</v>
      </c>
      <c r="AJ111" s="137">
        <v>8.2000000000000007E-3</v>
      </c>
      <c r="AK111" s="137">
        <v>1.38E-2</v>
      </c>
      <c r="AM111" s="137">
        <v>2.81E-2</v>
      </c>
      <c r="AN111" s="137">
        <v>4.3299999999999998E-2</v>
      </c>
      <c r="AO111" s="137">
        <v>6.9400000000000003E-2</v>
      </c>
      <c r="AQ111" s="137">
        <v>1.5E-3</v>
      </c>
      <c r="AR111" s="137">
        <v>3.5000000000000001E-3</v>
      </c>
      <c r="AS111" s="137">
        <v>8.6E-3</v>
      </c>
      <c r="AT111" s="137">
        <v>1.4500000000000001E-2</v>
      </c>
      <c r="AV111" s="137">
        <v>2.9399999999999999E-2</v>
      </c>
      <c r="AW111" s="137">
        <v>4.5400000000000003E-2</v>
      </c>
      <c r="AX111" s="137">
        <v>7.2700000000000001E-2</v>
      </c>
    </row>
    <row r="112" spans="1:50" s="79" customFormat="1" ht="10.199999999999999" x14ac:dyDescent="0.2">
      <c r="A112" s="97">
        <f t="shared" ca="1" si="4"/>
        <v>101</v>
      </c>
      <c r="B112" s="68" t="s">
        <v>189</v>
      </c>
      <c r="C112" s="98">
        <v>0.4</v>
      </c>
      <c r="D112" s="69" t="s">
        <v>66</v>
      </c>
      <c r="E112" s="138" t="s">
        <v>87</v>
      </c>
      <c r="F112" s="159">
        <v>6.9999999999999999E-4</v>
      </c>
      <c r="G112" s="159">
        <v>1.4E-3</v>
      </c>
      <c r="H112" s="159">
        <v>2.5000000000000001E-3</v>
      </c>
      <c r="I112" s="159">
        <v>3.5999999999999999E-3</v>
      </c>
      <c r="J112" s="159" t="s">
        <v>87</v>
      </c>
      <c r="K112" s="159">
        <v>5.5999999999999999E-3</v>
      </c>
      <c r="L112" s="159">
        <v>7.0000000000000001E-3</v>
      </c>
      <c r="M112" s="159">
        <v>8.6E-3</v>
      </c>
      <c r="N112" s="139">
        <f t="array" aca="1" ref="N112:AE112" ca="1">IF(OR(B112="",NOT($J$2)),"",GetStripDefaultProbability(A112,B112,Parameter_Date,CDSRollDate,E112:M112,SpreadCurveMaturities,D112,C112,$J$4,$J$6))</f>
        <v>0</v>
      </c>
      <c r="O112" s="166">
        <f ca="1"/>
        <v>6.5303425461338271E-4</v>
      </c>
      <c r="P112" s="166">
        <f ca="1"/>
        <v>2.486188492216157E-3</v>
      </c>
      <c r="Q112" s="166">
        <f ca="1"/>
        <v>8.6950774564915623E-3</v>
      </c>
      <c r="R112" s="166">
        <f ca="1"/>
        <v>1.8708902867138777E-2</v>
      </c>
      <c r="S112" s="166">
        <f ca="1"/>
        <v>0</v>
      </c>
      <c r="T112" s="166">
        <f ca="1"/>
        <v>4.8353331137086841E-2</v>
      </c>
      <c r="U112" s="166">
        <f ca="1"/>
        <v>8.3985731094197047E-2</v>
      </c>
      <c r="V112" s="140">
        <f ca="1"/>
        <v>0.14572895332303981</v>
      </c>
      <c r="W112" s="139">
        <f ca="1"/>
        <v>0</v>
      </c>
      <c r="X112" s="166">
        <f ca="1"/>
        <v>7.4628912209839804E-4</v>
      </c>
      <c r="Y112" s="166">
        <f ca="1"/>
        <v>2.6623110057711896E-3</v>
      </c>
      <c r="Z112" s="166">
        <f ca="1"/>
        <v>9.1251804290459759E-3</v>
      </c>
      <c r="AA112" s="166">
        <f ca="1"/>
        <v>1.9634542024607349E-2</v>
      </c>
      <c r="AB112" s="166">
        <f ca="1"/>
        <v>0</v>
      </c>
      <c r="AC112" s="166">
        <f ca="1"/>
        <v>5.0723241258168739E-2</v>
      </c>
      <c r="AD112" s="166">
        <f ca="1"/>
        <v>8.8048421709463365E-2</v>
      </c>
      <c r="AE112" s="140">
        <f ca="1"/>
        <v>0.15259367308130167</v>
      </c>
      <c r="AH112" s="137">
        <v>5.9999999999999995E-4</v>
      </c>
      <c r="AI112" s="137">
        <v>2.5000000000000001E-3</v>
      </c>
      <c r="AJ112" s="137">
        <v>8.6E-3</v>
      </c>
      <c r="AK112" s="137">
        <v>1.8599999999999998E-2</v>
      </c>
      <c r="AM112" s="137">
        <v>4.8099999999999997E-2</v>
      </c>
      <c r="AN112" s="137">
        <v>8.3699999999999997E-2</v>
      </c>
      <c r="AO112" s="137">
        <v>0.14510000000000001</v>
      </c>
      <c r="AQ112" s="137">
        <v>6.9999999999999999E-4</v>
      </c>
      <c r="AR112" s="137">
        <v>2.5999999999999999E-3</v>
      </c>
      <c r="AS112" s="137">
        <v>8.9999999999999993E-3</v>
      </c>
      <c r="AT112" s="137">
        <v>1.95E-2</v>
      </c>
      <c r="AV112" s="137">
        <v>5.04E-2</v>
      </c>
      <c r="AW112" s="137">
        <v>8.77E-2</v>
      </c>
      <c r="AX112" s="137">
        <v>0.15190000000000001</v>
      </c>
    </row>
    <row r="113" spans="1:50" s="79" customFormat="1" ht="10.199999999999999" x14ac:dyDescent="0.2">
      <c r="A113" s="97">
        <f t="shared" ca="1" si="4"/>
        <v>102</v>
      </c>
      <c r="B113" s="68" t="s">
        <v>190</v>
      </c>
      <c r="C113" s="98">
        <v>0.4</v>
      </c>
      <c r="D113" s="69" t="s">
        <v>66</v>
      </c>
      <c r="E113" s="138" t="s">
        <v>87</v>
      </c>
      <c r="F113" s="159">
        <v>1.1999999999999999E-3</v>
      </c>
      <c r="G113" s="159">
        <v>1.6999999999999999E-3</v>
      </c>
      <c r="H113" s="159">
        <v>3.0999999999999999E-3</v>
      </c>
      <c r="I113" s="159">
        <v>4.1000000000000003E-3</v>
      </c>
      <c r="J113" s="159" t="s">
        <v>87</v>
      </c>
      <c r="K113" s="159">
        <v>5.1000000000000004E-3</v>
      </c>
      <c r="L113" s="159">
        <v>6.1000000000000004E-3</v>
      </c>
      <c r="M113" s="159">
        <v>7.7000000000000002E-3</v>
      </c>
      <c r="N113" s="139">
        <f t="array" aca="1" ref="N113:AE113" ca="1">IF(OR(B113="",NOT($J$2)),"",GetStripDefaultProbability(A113,B113,Parameter_Date,CDSRollDate,E113:M113,SpreadCurveMaturities,D113,C113,$J$4,$J$6))</f>
        <v>0</v>
      </c>
      <c r="O113" s="166">
        <f ca="1"/>
        <v>1.1192267699196012E-3</v>
      </c>
      <c r="P113" s="166">
        <f ca="1"/>
        <v>3.0093895639824453E-3</v>
      </c>
      <c r="Q113" s="166">
        <f ca="1"/>
        <v>1.0778250876117723E-2</v>
      </c>
      <c r="R113" s="166">
        <f ca="1"/>
        <v>2.1215707232806857E-2</v>
      </c>
      <c r="S113" s="166">
        <f ca="1"/>
        <v>0</v>
      </c>
      <c r="T113" s="166">
        <f ca="1"/>
        <v>4.349129802996432E-2</v>
      </c>
      <c r="U113" s="166">
        <f ca="1"/>
        <v>7.2623585531648938E-2</v>
      </c>
      <c r="V113" s="140">
        <f ca="1"/>
        <v>0.13090792036843579</v>
      </c>
      <c r="W113" s="139">
        <f ca="1"/>
        <v>0</v>
      </c>
      <c r="X113" s="166">
        <f ca="1"/>
        <v>1.2124363949111983E-3</v>
      </c>
      <c r="Y113" s="166">
        <f ca="1"/>
        <v>3.1853998155983998E-3</v>
      </c>
      <c r="Z113" s="166">
        <f ca="1"/>
        <v>1.1313014896380924E-2</v>
      </c>
      <c r="AA113" s="166">
        <f ca="1"/>
        <v>2.2265810006215192E-2</v>
      </c>
      <c r="AB113" s="166">
        <f ca="1"/>
        <v>0</v>
      </c>
      <c r="AC113" s="166">
        <f ca="1"/>
        <v>4.5624044473286052E-2</v>
      </c>
      <c r="AD113" s="166">
        <f ca="1"/>
        <v>7.6143462380405258E-2</v>
      </c>
      <c r="AE113" s="140">
        <f ca="1"/>
        <v>0.13711191471830131</v>
      </c>
      <c r="AH113" s="137">
        <v>1.1000000000000001E-3</v>
      </c>
      <c r="AI113" s="137">
        <v>3.0000000000000001E-3</v>
      </c>
      <c r="AJ113" s="137">
        <v>1.0699999999999999E-2</v>
      </c>
      <c r="AK113" s="137">
        <v>2.1100000000000001E-2</v>
      </c>
      <c r="AM113" s="137">
        <v>4.3299999999999998E-2</v>
      </c>
      <c r="AN113" s="137">
        <v>7.2300000000000003E-2</v>
      </c>
      <c r="AO113" s="137">
        <v>0.1303</v>
      </c>
      <c r="AQ113" s="137">
        <v>1.1999999999999999E-3</v>
      </c>
      <c r="AR113" s="137">
        <v>3.0999999999999999E-3</v>
      </c>
      <c r="AS113" s="137">
        <v>1.12E-2</v>
      </c>
      <c r="AT113" s="137">
        <v>2.2100000000000002E-2</v>
      </c>
      <c r="AV113" s="137">
        <v>4.5499999999999999E-2</v>
      </c>
      <c r="AW113" s="137">
        <v>7.5800000000000006E-2</v>
      </c>
      <c r="AX113" s="137">
        <v>0.13650000000000001</v>
      </c>
    </row>
    <row r="114" spans="1:50" s="79" customFormat="1" ht="10.199999999999999" x14ac:dyDescent="0.2">
      <c r="A114" s="97">
        <f t="shared" ca="1" si="4"/>
        <v>103</v>
      </c>
      <c r="B114" s="68" t="s">
        <v>191</v>
      </c>
      <c r="C114" s="98">
        <v>0.4</v>
      </c>
      <c r="D114" s="69" t="s">
        <v>66</v>
      </c>
      <c r="E114" s="138" t="s">
        <v>87</v>
      </c>
      <c r="F114" s="159">
        <v>1.8E-3</v>
      </c>
      <c r="G114" s="159">
        <v>2.0999999999999999E-3</v>
      </c>
      <c r="H114" s="159">
        <v>2.3E-3</v>
      </c>
      <c r="I114" s="159">
        <v>2.7000000000000001E-3</v>
      </c>
      <c r="J114" s="159" t="s">
        <v>87</v>
      </c>
      <c r="K114" s="159">
        <v>3.8E-3</v>
      </c>
      <c r="L114" s="159">
        <v>4.5999999999999999E-3</v>
      </c>
      <c r="M114" s="159">
        <v>5.7000000000000002E-3</v>
      </c>
      <c r="N114" s="139">
        <f t="array" aca="1" ref="N114:AE114" ca="1">IF(OR(B114="",NOT($J$2)),"",GetStripDefaultProbability(A114,B114,Parameter_Date,CDSRollDate,E114:M114,SpreadCurveMaturities,D114,C114,$J$4,$J$6))</f>
        <v>0</v>
      </c>
      <c r="O114" s="166">
        <f ca="1"/>
        <v>1.6783714522135007E-3</v>
      </c>
      <c r="P114" s="166">
        <f ca="1"/>
        <v>3.707971190879622E-3</v>
      </c>
      <c r="Q114" s="166">
        <f ca="1"/>
        <v>7.9106602484559918E-3</v>
      </c>
      <c r="R114" s="166">
        <f ca="1"/>
        <v>1.3870349227362411E-2</v>
      </c>
      <c r="S114" s="166">
        <f ca="1"/>
        <v>0</v>
      </c>
      <c r="T114" s="166">
        <f ca="1"/>
        <v>3.2664005408278518E-2</v>
      </c>
      <c r="U114" s="166">
        <f ca="1"/>
        <v>5.5269305648340317E-2</v>
      </c>
      <c r="V114" s="140">
        <f ca="1"/>
        <v>9.809571832468611E-2</v>
      </c>
      <c r="W114" s="139">
        <f ca="1"/>
        <v>0</v>
      </c>
      <c r="X114" s="166">
        <f ca="1"/>
        <v>1.7715255047110468E-3</v>
      </c>
      <c r="Y114" s="166">
        <f ca="1"/>
        <v>3.8927649138748022E-3</v>
      </c>
      <c r="Z114" s="166">
        <f ca="1"/>
        <v>8.3046404005003849E-3</v>
      </c>
      <c r="AA114" s="166">
        <f ca="1"/>
        <v>1.4559294038236081E-2</v>
      </c>
      <c r="AB114" s="166">
        <f ca="1"/>
        <v>0</v>
      </c>
      <c r="AC114" s="166">
        <f ca="1"/>
        <v>3.4276086708179943E-2</v>
      </c>
      <c r="AD114" s="166">
        <f ca="1"/>
        <v>5.797072517625157E-2</v>
      </c>
      <c r="AE114" s="140">
        <f ca="1"/>
        <v>0.10281186543115595</v>
      </c>
      <c r="AH114" s="137">
        <v>1.6000000000000001E-3</v>
      </c>
      <c r="AI114" s="137">
        <v>3.7000000000000002E-3</v>
      </c>
      <c r="AJ114" s="137">
        <v>7.9000000000000008E-3</v>
      </c>
      <c r="AK114" s="137">
        <v>1.38E-2</v>
      </c>
      <c r="AM114" s="137">
        <v>3.2500000000000001E-2</v>
      </c>
      <c r="AN114" s="137">
        <v>5.5100000000000003E-2</v>
      </c>
      <c r="AO114" s="137">
        <v>9.7600000000000006E-2</v>
      </c>
      <c r="AQ114" s="137">
        <v>1.6999999999999999E-3</v>
      </c>
      <c r="AR114" s="137">
        <v>3.8E-3</v>
      </c>
      <c r="AS114" s="137">
        <v>8.2000000000000007E-3</v>
      </c>
      <c r="AT114" s="137">
        <v>1.4500000000000001E-2</v>
      </c>
      <c r="AV114" s="137">
        <v>3.4099999999999998E-2</v>
      </c>
      <c r="AW114" s="137">
        <v>5.7799999999999997E-2</v>
      </c>
      <c r="AX114" s="137">
        <v>0.1023</v>
      </c>
    </row>
    <row r="115" spans="1:50" s="79" customFormat="1" ht="10.199999999999999" x14ac:dyDescent="0.2">
      <c r="A115" s="97">
        <f t="shared" ca="1" si="4"/>
        <v>104</v>
      </c>
      <c r="B115" s="68" t="s">
        <v>192</v>
      </c>
      <c r="C115" s="98">
        <v>0.4</v>
      </c>
      <c r="D115" s="69" t="s">
        <v>66</v>
      </c>
      <c r="E115" s="138" t="s">
        <v>87</v>
      </c>
      <c r="F115" s="159">
        <v>5.9999999999999995E-4</v>
      </c>
      <c r="G115" s="159">
        <v>8.0000000000000004E-4</v>
      </c>
      <c r="H115" s="159">
        <v>1.4E-3</v>
      </c>
      <c r="I115" s="159">
        <v>1.9E-3</v>
      </c>
      <c r="J115" s="159" t="s">
        <v>87</v>
      </c>
      <c r="K115" s="159">
        <v>3.0000000000000001E-3</v>
      </c>
      <c r="L115" s="159">
        <v>3.7000000000000002E-3</v>
      </c>
      <c r="M115" s="159">
        <v>4.8999999999999998E-3</v>
      </c>
      <c r="N115" s="139">
        <f t="array" aca="1" ref="N115:AE115" ca="1">IF(OR(B115="",NOT($J$2)),"",GetStripDefaultProbability(A115,B115,Parameter_Date,CDSRollDate,E115:M115,SpreadCurveMaturities,D115,C115,$J$4,$J$6))</f>
        <v>0</v>
      </c>
      <c r="O115" s="166">
        <f ca="1"/>
        <v>5.5976970645477131E-4</v>
      </c>
      <c r="P115" s="166">
        <f ca="1"/>
        <v>1.4162990414336996E-3</v>
      </c>
      <c r="Q115" s="166">
        <f ca="1"/>
        <v>4.8740123543113967E-3</v>
      </c>
      <c r="R115" s="166">
        <f ca="1"/>
        <v>9.8792187393249575E-3</v>
      </c>
      <c r="S115" s="166">
        <f ca="1"/>
        <v>0</v>
      </c>
      <c r="T115" s="166">
        <f ca="1"/>
        <v>2.6119378612369903E-2</v>
      </c>
      <c r="U115" s="166">
        <f ca="1"/>
        <v>4.4966759216590213E-2</v>
      </c>
      <c r="V115" s="140">
        <f ca="1"/>
        <v>8.6021037431907477E-2</v>
      </c>
      <c r="W115" s="139">
        <f ca="1"/>
        <v>0</v>
      </c>
      <c r="X115" s="166">
        <f ca="1"/>
        <v>6.5303351059242676E-4</v>
      </c>
      <c r="Y115" s="166">
        <f ca="1"/>
        <v>1.5925618248591178E-3</v>
      </c>
      <c r="Z115" s="166">
        <f ca="1"/>
        <v>5.2168411654801572E-3</v>
      </c>
      <c r="AA115" s="166">
        <f ca="1"/>
        <v>1.038692293383503E-2</v>
      </c>
      <c r="AB115" s="166">
        <f ca="1"/>
        <v>0</v>
      </c>
      <c r="AC115" s="166">
        <f ca="1"/>
        <v>2.7401087838202054E-2</v>
      </c>
      <c r="AD115" s="166">
        <f ca="1"/>
        <v>4.7164377314236505E-2</v>
      </c>
      <c r="AE115" s="140">
        <f ca="1"/>
        <v>9.0179125078071465E-2</v>
      </c>
      <c r="AH115" s="137">
        <v>5.0000000000000001E-4</v>
      </c>
      <c r="AI115" s="137">
        <v>1.4E-3</v>
      </c>
      <c r="AJ115" s="137">
        <v>4.7999999999999996E-3</v>
      </c>
      <c r="AK115" s="137">
        <v>9.7999999999999997E-3</v>
      </c>
      <c r="AM115" s="137">
        <v>2.5999999999999999E-2</v>
      </c>
      <c r="AN115" s="137">
        <v>4.48E-2</v>
      </c>
      <c r="AO115" s="137">
        <v>8.5400000000000004E-2</v>
      </c>
      <c r="AQ115" s="137">
        <v>5.9999999999999995E-4</v>
      </c>
      <c r="AR115" s="137">
        <v>1.6000000000000001E-3</v>
      </c>
      <c r="AS115" s="137">
        <v>5.1999999999999998E-3</v>
      </c>
      <c r="AT115" s="137">
        <v>1.03E-2</v>
      </c>
      <c r="AV115" s="137">
        <v>2.7199999999999998E-2</v>
      </c>
      <c r="AW115" s="137">
        <v>4.7E-2</v>
      </c>
      <c r="AX115" s="137">
        <v>8.9599999999999999E-2</v>
      </c>
    </row>
    <row r="116" spans="1:50" s="79" customFormat="1" ht="10.199999999999999" x14ac:dyDescent="0.2">
      <c r="A116" s="97">
        <f t="shared" ca="1" si="4"/>
        <v>105</v>
      </c>
      <c r="B116" s="68" t="s">
        <v>193</v>
      </c>
      <c r="C116" s="98">
        <v>0.4</v>
      </c>
      <c r="D116" s="69" t="s">
        <v>66</v>
      </c>
      <c r="E116" s="138" t="s">
        <v>87</v>
      </c>
      <c r="F116" s="159">
        <v>8.9999999999999998E-4</v>
      </c>
      <c r="G116" s="159">
        <v>1E-3</v>
      </c>
      <c r="H116" s="159">
        <v>1.8E-3</v>
      </c>
      <c r="I116" s="159">
        <v>2.0999999999999999E-3</v>
      </c>
      <c r="J116" s="159" t="s">
        <v>87</v>
      </c>
      <c r="K116" s="159">
        <v>3.3E-3</v>
      </c>
      <c r="L116" s="159">
        <v>4.1000000000000003E-3</v>
      </c>
      <c r="M116" s="159">
        <v>5.1999999999999998E-3</v>
      </c>
      <c r="N116" s="139">
        <f t="array" aca="1" ref="N116:AE116" ca="1">IF(OR(B116="",NOT($J$2)),"",GetStripDefaultProbability(A116,B116,Parameter_Date,CDSRollDate,E116:M116,SpreadCurveMaturities,D116,C116,$J$4,$J$6))</f>
        <v>0</v>
      </c>
      <c r="O116" s="166">
        <f ca="1"/>
        <v>8.3953730218899736E-4</v>
      </c>
      <c r="P116" s="166">
        <f ca="1"/>
        <v>1.7661789614714651E-3</v>
      </c>
      <c r="Q116" s="166">
        <f ca="1"/>
        <v>6.2633092925949985E-3</v>
      </c>
      <c r="R116" s="166">
        <f ca="1"/>
        <v>1.0845144783097505E-2</v>
      </c>
      <c r="S116" s="166">
        <f ca="1"/>
        <v>0</v>
      </c>
      <c r="T116" s="166">
        <f ca="1"/>
        <v>2.8704251639123157E-2</v>
      </c>
      <c r="U116" s="166">
        <f ca="1"/>
        <v>4.9718482763389416E-2</v>
      </c>
      <c r="V116" s="140">
        <f ca="1"/>
        <v>9.0582312288632005E-2</v>
      </c>
      <c r="W116" s="139">
        <f ca="1"/>
        <v>0</v>
      </c>
      <c r="X116" s="166">
        <f ca="1"/>
        <v>9.3277418569359671E-4</v>
      </c>
      <c r="Y116" s="166">
        <f ca="1"/>
        <v>1.9423702579741686E-3</v>
      </c>
      <c r="Z116" s="166">
        <f ca="1"/>
        <v>6.605735083058506E-3</v>
      </c>
      <c r="AA116" s="166">
        <f ca="1"/>
        <v>1.1379070208205055E-2</v>
      </c>
      <c r="AB116" s="166">
        <f ca="1"/>
        <v>0</v>
      </c>
      <c r="AC116" s="166">
        <f ca="1"/>
        <v>3.0117522368924621E-2</v>
      </c>
      <c r="AD116" s="166">
        <f ca="1"/>
        <v>5.2150728386462952E-2</v>
      </c>
      <c r="AE116" s="140">
        <f ca="1"/>
        <v>9.494998666800103E-2</v>
      </c>
      <c r="AH116" s="137">
        <v>8.0000000000000004E-4</v>
      </c>
      <c r="AI116" s="137">
        <v>1.6999999999999999E-3</v>
      </c>
      <c r="AJ116" s="137">
        <v>6.1999999999999998E-3</v>
      </c>
      <c r="AK116" s="137">
        <v>1.0800000000000001E-2</v>
      </c>
      <c r="AM116" s="137">
        <v>2.8500000000000001E-2</v>
      </c>
      <c r="AN116" s="137">
        <v>4.9500000000000002E-2</v>
      </c>
      <c r="AO116" s="137">
        <v>0.09</v>
      </c>
      <c r="AQ116" s="137">
        <v>8.9999999999999998E-4</v>
      </c>
      <c r="AR116" s="137">
        <v>1.9E-3</v>
      </c>
      <c r="AS116" s="137">
        <v>6.4999999999999997E-3</v>
      </c>
      <c r="AT116" s="137">
        <v>1.1299999999999999E-2</v>
      </c>
      <c r="AV116" s="137">
        <v>2.9899999999999999E-2</v>
      </c>
      <c r="AW116" s="137">
        <v>5.1900000000000002E-2</v>
      </c>
      <c r="AX116" s="137">
        <v>9.4299999999999995E-2</v>
      </c>
    </row>
    <row r="117" spans="1:50" s="79" customFormat="1" ht="10.199999999999999" x14ac:dyDescent="0.2">
      <c r="A117" s="97">
        <f t="shared" ca="1" si="4"/>
        <v>106</v>
      </c>
      <c r="B117" s="68" t="s">
        <v>194</v>
      </c>
      <c r="C117" s="98">
        <v>0.4</v>
      </c>
      <c r="D117" s="69" t="s">
        <v>66</v>
      </c>
      <c r="E117" s="138" t="s">
        <v>87</v>
      </c>
      <c r="F117" s="159">
        <v>5.0000000000000001E-4</v>
      </c>
      <c r="G117" s="159">
        <v>6.9999999999999999E-4</v>
      </c>
      <c r="H117" s="159">
        <v>1.1999999999999999E-3</v>
      </c>
      <c r="I117" s="159">
        <v>1.8E-3</v>
      </c>
      <c r="J117" s="159" t="s">
        <v>87</v>
      </c>
      <c r="K117" s="159">
        <v>2.8999999999999998E-3</v>
      </c>
      <c r="L117" s="159">
        <v>3.5000000000000001E-3</v>
      </c>
      <c r="M117" s="159">
        <v>4.7000000000000002E-3</v>
      </c>
      <c r="N117" s="139">
        <f t="array" aca="1" ref="N117:AE117" ca="1">IF(OR(B117="",NOT($J$2)),"",GetStripDefaultProbability(A117,B117,Parameter_Date,CDSRollDate,E117:M117,SpreadCurveMaturities,D117,C117,$J$4,$J$6))</f>
        <v>0</v>
      </c>
      <c r="O117" s="166">
        <f ca="1"/>
        <v>4.6649647376628689E-4</v>
      </c>
      <c r="P117" s="166">
        <f ca="1"/>
        <v>1.2400051456493699E-3</v>
      </c>
      <c r="Q117" s="166">
        <f ca="1"/>
        <v>4.1775599856220813E-3</v>
      </c>
      <c r="R117" s="166">
        <f ca="1"/>
        <v>9.3912790353052333E-3</v>
      </c>
      <c r="S117" s="166">
        <f ca="1"/>
        <v>0</v>
      </c>
      <c r="T117" s="166">
        <f ca="1"/>
        <v>2.5285862357966704E-2</v>
      </c>
      <c r="U117" s="166">
        <f ca="1"/>
        <v>4.2512438938648867E-2</v>
      </c>
      <c r="V117" s="140">
        <f ca="1"/>
        <v>8.2749322409482629E-2</v>
      </c>
      <c r="W117" s="139">
        <f ca="1"/>
        <v>0</v>
      </c>
      <c r="X117" s="166">
        <f ca="1"/>
        <v>5.5976917815403482E-4</v>
      </c>
      <c r="Y117" s="166">
        <f ca="1"/>
        <v>1.4162990558700406E-3</v>
      </c>
      <c r="Z117" s="166">
        <f ca="1"/>
        <v>4.5205894809116076E-3</v>
      </c>
      <c r="AA117" s="166">
        <f ca="1"/>
        <v>9.8993094900973189E-3</v>
      </c>
      <c r="AB117" s="166">
        <f ca="1"/>
        <v>0</v>
      </c>
      <c r="AC117" s="166">
        <f ca="1"/>
        <v>2.6525412459425413E-2</v>
      </c>
      <c r="AD117" s="166">
        <f ca="1"/>
        <v>4.4584624594819711E-2</v>
      </c>
      <c r="AE117" s="140">
        <f ca="1"/>
        <v>8.6752100187762138E-2</v>
      </c>
      <c r="AH117" s="137">
        <v>5.0000000000000001E-4</v>
      </c>
      <c r="AI117" s="137">
        <v>1.1999999999999999E-3</v>
      </c>
      <c r="AJ117" s="137">
        <v>4.1000000000000003E-3</v>
      </c>
      <c r="AK117" s="137">
        <v>9.2999999999999992E-3</v>
      </c>
      <c r="AM117" s="137">
        <v>2.5100000000000001E-2</v>
      </c>
      <c r="AN117" s="137">
        <v>4.24E-2</v>
      </c>
      <c r="AO117" s="137">
        <v>8.2199999999999995E-2</v>
      </c>
      <c r="AQ117" s="137">
        <v>5.0000000000000001E-4</v>
      </c>
      <c r="AR117" s="137">
        <v>1.4E-3</v>
      </c>
      <c r="AS117" s="137">
        <v>4.4999999999999997E-3</v>
      </c>
      <c r="AT117" s="137">
        <v>9.7999999999999997E-3</v>
      </c>
      <c r="AV117" s="137">
        <v>2.64E-2</v>
      </c>
      <c r="AW117" s="137">
        <v>4.4499999999999998E-2</v>
      </c>
      <c r="AX117" s="137">
        <v>8.6099999999999996E-2</v>
      </c>
    </row>
    <row r="118" spans="1:50" s="79" customFormat="1" ht="10.199999999999999" x14ac:dyDescent="0.2">
      <c r="A118" s="97">
        <f t="shared" ca="1" si="4"/>
        <v>107</v>
      </c>
      <c r="B118" s="68" t="s">
        <v>195</v>
      </c>
      <c r="C118" s="98">
        <v>0.4</v>
      </c>
      <c r="D118" s="69" t="s">
        <v>66</v>
      </c>
      <c r="E118" s="138" t="s">
        <v>87</v>
      </c>
      <c r="F118" s="159">
        <v>2.0000000000000001E-4</v>
      </c>
      <c r="G118" s="159">
        <v>5.0000000000000001E-4</v>
      </c>
      <c r="H118" s="159">
        <v>1E-3</v>
      </c>
      <c r="I118" s="159">
        <v>1.5E-3</v>
      </c>
      <c r="J118" s="159" t="s">
        <v>87</v>
      </c>
      <c r="K118" s="159">
        <v>2.3E-3</v>
      </c>
      <c r="L118" s="159">
        <v>2.8E-3</v>
      </c>
      <c r="M118" s="159">
        <v>3.5000000000000001E-3</v>
      </c>
      <c r="N118" s="139">
        <f t="array" aca="1" ref="N118:AE118" ca="1">IF(OR(B118="",NOT($J$2)),"",GetStripDefaultProbability(A118,B118,Parameter_Date,CDSRollDate,E118:M118,SpreadCurveMaturities,D118,C118,$J$4,$J$6))</f>
        <v>0</v>
      </c>
      <c r="O118" s="166">
        <f ca="1"/>
        <v>1.8662465644081472E-4</v>
      </c>
      <c r="P118" s="166">
        <f ca="1"/>
        <v>8.8986026515591732E-4</v>
      </c>
      <c r="Q118" s="166">
        <f ca="1"/>
        <v>3.4915789628920946E-3</v>
      </c>
      <c r="R118" s="166">
        <f ca="1"/>
        <v>7.8397793287419137E-3</v>
      </c>
      <c r="S118" s="166">
        <f ca="1"/>
        <v>0</v>
      </c>
      <c r="T118" s="166">
        <f ca="1"/>
        <v>2.0048914886768965E-2</v>
      </c>
      <c r="U118" s="166">
        <f ca="1"/>
        <v>3.4128421381135809E-2</v>
      </c>
      <c r="V118" s="140">
        <f ca="1"/>
        <v>6.1364610038396883E-2</v>
      </c>
      <c r="W118" s="139">
        <f ca="1"/>
        <v>0</v>
      </c>
      <c r="X118" s="166">
        <f ca="1"/>
        <v>2.799238471393739E-4</v>
      </c>
      <c r="Y118" s="166">
        <f ca="1"/>
        <v>1.0662256009128512E-3</v>
      </c>
      <c r="Z118" s="166">
        <f ca="1"/>
        <v>3.8348476619068927E-3</v>
      </c>
      <c r="AA118" s="166">
        <f ca="1"/>
        <v>8.3485054714147466E-3</v>
      </c>
      <c r="AB118" s="166">
        <f ca="1"/>
        <v>0</v>
      </c>
      <c r="AC118" s="166">
        <f ca="1"/>
        <v>2.1019495265815591E-2</v>
      </c>
      <c r="AD118" s="166">
        <f ca="1"/>
        <v>3.5789001969650402E-2</v>
      </c>
      <c r="AE118" s="140">
        <f ca="1"/>
        <v>6.4335420179046476E-2</v>
      </c>
      <c r="AH118" s="137">
        <v>2.0000000000000001E-4</v>
      </c>
      <c r="AI118" s="137">
        <v>8.9999999999999998E-4</v>
      </c>
      <c r="AJ118" s="137">
        <v>3.5000000000000001E-3</v>
      </c>
      <c r="AK118" s="137">
        <v>7.7999999999999996E-3</v>
      </c>
      <c r="AM118" s="137">
        <v>0.02</v>
      </c>
      <c r="AN118" s="137">
        <v>3.4000000000000002E-2</v>
      </c>
      <c r="AO118" s="137">
        <v>6.1100000000000002E-2</v>
      </c>
      <c r="AQ118" s="137">
        <v>2.9999999999999997E-4</v>
      </c>
      <c r="AR118" s="137">
        <v>1E-3</v>
      </c>
      <c r="AS118" s="137">
        <v>3.8E-3</v>
      </c>
      <c r="AT118" s="137">
        <v>8.3000000000000001E-3</v>
      </c>
      <c r="AV118" s="137">
        <v>2.0899999999999998E-2</v>
      </c>
      <c r="AW118" s="137">
        <v>3.5700000000000003E-2</v>
      </c>
      <c r="AX118" s="137">
        <v>6.4000000000000001E-2</v>
      </c>
    </row>
    <row r="119" spans="1:50" s="79" customFormat="1" ht="10.199999999999999" x14ac:dyDescent="0.2">
      <c r="A119" s="97">
        <f t="shared" ca="1" si="4"/>
        <v>108</v>
      </c>
      <c r="B119" s="68" t="s">
        <v>196</v>
      </c>
      <c r="C119" s="98">
        <v>0.4</v>
      </c>
      <c r="D119" s="69" t="s">
        <v>66</v>
      </c>
      <c r="E119" s="138" t="s">
        <v>87</v>
      </c>
      <c r="F119" s="159">
        <v>5.9999999999999995E-4</v>
      </c>
      <c r="G119" s="159">
        <v>8.9999999999999998E-4</v>
      </c>
      <c r="H119" s="159">
        <v>1.6999999999999999E-3</v>
      </c>
      <c r="I119" s="159">
        <v>2.3999999999999998E-3</v>
      </c>
      <c r="J119" s="159" t="s">
        <v>87</v>
      </c>
      <c r="K119" s="159">
        <v>3.8E-3</v>
      </c>
      <c r="L119" s="159">
        <v>4.8999999999999998E-3</v>
      </c>
      <c r="M119" s="159">
        <v>6.4000000000000003E-3</v>
      </c>
      <c r="N119" s="139">
        <f t="array" aca="1" ref="N119:AE119" ca="1">IF(OR(B119="",NOT($J$2)),"",GetStripDefaultProbability(A119,B119,Parameter_Date,CDSRollDate,E119:M119,SpreadCurveMaturities,D119,C119,$J$4,$J$6))</f>
        <v>0</v>
      </c>
      <c r="O119" s="166">
        <f ca="1"/>
        <v>5.5976970645477131E-4</v>
      </c>
      <c r="P119" s="166">
        <f ca="1"/>
        <v>1.5951350944676257E-3</v>
      </c>
      <c r="Q119" s="166">
        <f ca="1"/>
        <v>5.9244319322950822E-3</v>
      </c>
      <c r="R119" s="166">
        <f ca="1"/>
        <v>1.2491823121578371E-2</v>
      </c>
      <c r="S119" s="166">
        <f ca="1"/>
        <v>0</v>
      </c>
      <c r="T119" s="166">
        <f ca="1"/>
        <v>3.3028412608255509E-2</v>
      </c>
      <c r="U119" s="166">
        <f ca="1"/>
        <v>5.9526282322268975E-2</v>
      </c>
      <c r="V119" s="140">
        <f ca="1"/>
        <v>0.11123559560682827</v>
      </c>
      <c r="W119" s="139">
        <f ca="1"/>
        <v>0</v>
      </c>
      <c r="X119" s="166">
        <f ca="1"/>
        <v>6.5303351059242676E-4</v>
      </c>
      <c r="Y119" s="166">
        <f ca="1"/>
        <v>1.7713759943314145E-3</v>
      </c>
      <c r="Z119" s="166">
        <f ca="1"/>
        <v>6.2669806483188761E-3</v>
      </c>
      <c r="AA119" s="166">
        <f ca="1"/>
        <v>1.3105613981032382E-2</v>
      </c>
      <c r="AB119" s="166">
        <f ca="1"/>
        <v>0</v>
      </c>
      <c r="AC119" s="166">
        <f ca="1"/>
        <v>3.4653065537002314E-2</v>
      </c>
      <c r="AD119" s="166">
        <f ca="1"/>
        <v>6.2428781964149471E-2</v>
      </c>
      <c r="AE119" s="140">
        <f ca="1"/>
        <v>0.11656445149654437</v>
      </c>
      <c r="AH119" s="137">
        <v>5.0000000000000001E-4</v>
      </c>
      <c r="AI119" s="137">
        <v>1.6000000000000001E-3</v>
      </c>
      <c r="AJ119" s="137">
        <v>5.8999999999999999E-3</v>
      </c>
      <c r="AK119" s="137">
        <v>1.24E-2</v>
      </c>
      <c r="AM119" s="137">
        <v>3.2800000000000003E-2</v>
      </c>
      <c r="AN119" s="137">
        <v>5.9299999999999999E-2</v>
      </c>
      <c r="AO119" s="137">
        <v>0.1106</v>
      </c>
      <c r="AQ119" s="137">
        <v>5.9999999999999995E-4</v>
      </c>
      <c r="AR119" s="137">
        <v>1.6999999999999999E-3</v>
      </c>
      <c r="AS119" s="137">
        <v>6.1999999999999998E-3</v>
      </c>
      <c r="AT119" s="137">
        <v>1.2999999999999999E-2</v>
      </c>
      <c r="AV119" s="137">
        <v>3.44E-2</v>
      </c>
      <c r="AW119" s="137">
        <v>6.2199999999999998E-2</v>
      </c>
      <c r="AX119" s="137">
        <v>0.1159</v>
      </c>
    </row>
    <row r="120" spans="1:50" s="79" customFormat="1" ht="10.199999999999999" x14ac:dyDescent="0.2">
      <c r="A120" s="97">
        <f t="shared" ca="1" si="4"/>
        <v>109</v>
      </c>
      <c r="B120" s="68" t="s">
        <v>197</v>
      </c>
      <c r="C120" s="98">
        <v>0.4</v>
      </c>
      <c r="D120" s="69" t="s">
        <v>66</v>
      </c>
      <c r="E120" s="138" t="s">
        <v>87</v>
      </c>
      <c r="F120" s="159">
        <v>1.14E-3</v>
      </c>
      <c r="G120" s="159">
        <v>1.64E-3</v>
      </c>
      <c r="H120" s="159">
        <v>2.3600000000000001E-3</v>
      </c>
      <c r="I120" s="159">
        <v>2.9199999999999999E-3</v>
      </c>
      <c r="J120" s="159" t="s">
        <v>87</v>
      </c>
      <c r="K120" s="159">
        <v>4.0000000000000001E-3</v>
      </c>
      <c r="L120" s="159">
        <v>4.4000000000000003E-3</v>
      </c>
      <c r="M120" s="159">
        <v>4.7000000000000002E-3</v>
      </c>
      <c r="N120" s="139">
        <f t="array" aca="1" ref="N120:AE120" ca="1">IF(OR(B120="",NOT($J$2)),"",GetStripDefaultProbability(A120,B120,Parameter_Date,CDSRollDate,E120:M120,SpreadCurveMaturities,D120,C120,$J$4,$J$6))</f>
        <v>0</v>
      </c>
      <c r="O120" s="166">
        <f ca="1"/>
        <v>1.0632951250357792E-3</v>
      </c>
      <c r="P120" s="166">
        <f ca="1"/>
        <v>2.903768105196658E-3</v>
      </c>
      <c r="Q120" s="166">
        <f ca="1"/>
        <v>8.1742170865659602E-3</v>
      </c>
      <c r="R120" s="166">
        <f ca="1"/>
        <v>1.5080295178073855E-2</v>
      </c>
      <c r="S120" s="166">
        <f ca="1"/>
        <v>0</v>
      </c>
      <c r="T120" s="166">
        <f ca="1"/>
        <v>3.4392896196423051E-2</v>
      </c>
      <c r="U120" s="166">
        <f ca="1"/>
        <v>5.237601696480243E-2</v>
      </c>
      <c r="V120" s="140">
        <f ca="1"/>
        <v>7.9022352174072719E-2</v>
      </c>
      <c r="W120" s="139">
        <f ca="1"/>
        <v>0</v>
      </c>
      <c r="X120" s="166">
        <f ca="1"/>
        <v>1.1565102292662166E-3</v>
      </c>
      <c r="Y120" s="166">
        <f ca="1"/>
        <v>3.0797965777037417E-3</v>
      </c>
      <c r="Z120" s="166">
        <f ca="1"/>
        <v>8.5795623498153839E-3</v>
      </c>
      <c r="AA120" s="166">
        <f ca="1"/>
        <v>1.5827519794912148E-2</v>
      </c>
      <c r="AB120" s="166">
        <f ca="1"/>
        <v>0</v>
      </c>
      <c r="AC120" s="166">
        <f ca="1"/>
        <v>3.608653862287714E-2</v>
      </c>
      <c r="AD120" s="166">
        <f ca="1"/>
        <v>5.4933072094896951E-2</v>
      </c>
      <c r="AE120" s="140">
        <f ca="1"/>
        <v>8.2827674295906317E-2</v>
      </c>
      <c r="AH120" s="137">
        <v>1E-3</v>
      </c>
      <c r="AI120" s="137">
        <v>2.8999999999999998E-3</v>
      </c>
      <c r="AJ120" s="137">
        <v>8.0999999999999996E-3</v>
      </c>
      <c r="AK120" s="137">
        <v>1.4999999999999999E-2</v>
      </c>
      <c r="AM120" s="137">
        <v>3.4200000000000001E-2</v>
      </c>
      <c r="AN120" s="137">
        <v>5.2299999999999999E-2</v>
      </c>
      <c r="AO120" s="137">
        <v>7.8799999999999995E-2</v>
      </c>
      <c r="AQ120" s="137">
        <v>1.1000000000000001E-3</v>
      </c>
      <c r="AR120" s="137">
        <v>3.0000000000000001E-3</v>
      </c>
      <c r="AS120" s="137">
        <v>8.5000000000000006E-3</v>
      </c>
      <c r="AT120" s="137">
        <v>1.5699999999999999E-2</v>
      </c>
      <c r="AV120" s="137">
        <v>3.5900000000000001E-2</v>
      </c>
      <c r="AW120" s="137">
        <v>5.4800000000000001E-2</v>
      </c>
      <c r="AX120" s="137">
        <v>8.2600000000000007E-2</v>
      </c>
    </row>
    <row r="121" spans="1:50" s="79" customFormat="1" ht="10.199999999999999" x14ac:dyDescent="0.2">
      <c r="A121" s="97">
        <f t="shared" ca="1" si="4"/>
        <v>110</v>
      </c>
      <c r="B121" s="68" t="s">
        <v>198</v>
      </c>
      <c r="C121" s="98">
        <v>0.4</v>
      </c>
      <c r="D121" s="69" t="s">
        <v>66</v>
      </c>
      <c r="E121" s="138" t="s">
        <v>87</v>
      </c>
      <c r="F121" s="159">
        <v>1.15E-3</v>
      </c>
      <c r="G121" s="159">
        <v>1.81E-3</v>
      </c>
      <c r="H121" s="159">
        <v>2.8E-3</v>
      </c>
      <c r="I121" s="159">
        <v>3.5000000000000001E-3</v>
      </c>
      <c r="J121" s="159" t="s">
        <v>87</v>
      </c>
      <c r="K121" s="159">
        <v>4.5999999999999999E-3</v>
      </c>
      <c r="L121" s="159">
        <v>5.1999999999999998E-3</v>
      </c>
      <c r="M121" s="159">
        <v>5.7000000000000002E-3</v>
      </c>
      <c r="N121" s="139">
        <f t="array" aca="1" ref="N121:AE121" ca="1">IF(OR(B121="",NOT($J$2)),"",GetStripDefaultProbability(A121,B121,Parameter_Date,CDSRollDate,E121:M121,SpreadCurveMaturities,D121,C121,$J$4,$J$6))</f>
        <v>0</v>
      </c>
      <c r="O121" s="166">
        <f ca="1"/>
        <v>1.0726172827926206E-3</v>
      </c>
      <c r="P121" s="166">
        <f ca="1"/>
        <v>3.2070829092069042E-3</v>
      </c>
      <c r="Q121" s="166">
        <f ca="1"/>
        <v>9.7072814109477878E-3</v>
      </c>
      <c r="R121" s="166">
        <f ca="1"/>
        <v>1.8075564769315378E-2</v>
      </c>
      <c r="S121" s="166">
        <f ca="1"/>
        <v>0</v>
      </c>
      <c r="T121" s="166">
        <f ca="1"/>
        <v>3.9389640955596938E-2</v>
      </c>
      <c r="U121" s="166">
        <f ca="1"/>
        <v>6.1798567532111326E-2</v>
      </c>
      <c r="V121" s="140">
        <f ca="1"/>
        <v>9.560386348968708E-2</v>
      </c>
      <c r="W121" s="139">
        <f ca="1"/>
        <v>0</v>
      </c>
      <c r="X121" s="166">
        <f ca="1"/>
        <v>1.1658314747735599E-3</v>
      </c>
      <c r="Y121" s="166">
        <f ca="1"/>
        <v>3.3830741828471123E-3</v>
      </c>
      <c r="Z121" s="166">
        <f ca="1"/>
        <v>1.0189901292786741E-2</v>
      </c>
      <c r="AA121" s="166">
        <f ca="1"/>
        <v>1.8971123986007643E-2</v>
      </c>
      <c r="AB121" s="166">
        <f ca="1"/>
        <v>0</v>
      </c>
      <c r="AC121" s="166">
        <f ca="1"/>
        <v>4.1326481030486639E-2</v>
      </c>
      <c r="AD121" s="166">
        <f ca="1"/>
        <v>6.4804487003515709E-2</v>
      </c>
      <c r="AE121" s="140">
        <f ca="1"/>
        <v>0.10017735251733617</v>
      </c>
      <c r="AH121" s="137">
        <v>1E-3</v>
      </c>
      <c r="AI121" s="137">
        <v>3.2000000000000002E-3</v>
      </c>
      <c r="AJ121" s="137">
        <v>9.5999999999999992E-3</v>
      </c>
      <c r="AK121" s="137">
        <v>1.7999999999999999E-2</v>
      </c>
      <c r="AM121" s="137">
        <v>3.9199999999999999E-2</v>
      </c>
      <c r="AN121" s="137">
        <v>6.1600000000000002E-2</v>
      </c>
      <c r="AO121" s="137">
        <v>9.5399999999999999E-2</v>
      </c>
      <c r="AQ121" s="137">
        <v>1.1000000000000001E-3</v>
      </c>
      <c r="AR121" s="137">
        <v>3.3E-3</v>
      </c>
      <c r="AS121" s="137">
        <v>1.01E-2</v>
      </c>
      <c r="AT121" s="137">
        <v>1.89E-2</v>
      </c>
      <c r="AV121" s="137">
        <v>4.1099999999999998E-2</v>
      </c>
      <c r="AW121" s="137">
        <v>6.4600000000000005E-2</v>
      </c>
      <c r="AX121" s="137">
        <v>9.9900000000000003E-2</v>
      </c>
    </row>
    <row r="122" spans="1:50" s="79" customFormat="1" ht="10.199999999999999" x14ac:dyDescent="0.2">
      <c r="A122" s="97">
        <f t="shared" ca="1" si="4"/>
        <v>111</v>
      </c>
      <c r="B122" s="68" t="s">
        <v>199</v>
      </c>
      <c r="C122" s="98">
        <v>0.4</v>
      </c>
      <c r="D122" s="69" t="s">
        <v>66</v>
      </c>
      <c r="E122" s="138" t="s">
        <v>87</v>
      </c>
      <c r="F122" s="159">
        <v>2.9999999999999997E-4</v>
      </c>
      <c r="G122" s="159">
        <v>2.9999999999999997E-4</v>
      </c>
      <c r="H122" s="159">
        <v>6.9999999999999999E-4</v>
      </c>
      <c r="I122" s="159">
        <v>1E-3</v>
      </c>
      <c r="J122" s="159" t="s">
        <v>87</v>
      </c>
      <c r="K122" s="159">
        <v>1.6999999999999999E-3</v>
      </c>
      <c r="L122" s="159">
        <v>2.2000000000000001E-3</v>
      </c>
      <c r="M122" s="159">
        <v>2.8E-3</v>
      </c>
      <c r="N122" s="139">
        <f t="array" aca="1" ref="N122:AE122" ca="1">IF(OR(B122="",NOT($J$2)),"",GetStripDefaultProbability(A122,B122,Parameter_Date,CDSRollDate,E122:M122,SpreadCurveMaturities,D122,C122,$J$4,$J$6))</f>
        <v>0</v>
      </c>
      <c r="O122" s="166">
        <f ca="1"/>
        <v>2.799239499720052E-4</v>
      </c>
      <c r="P122" s="166">
        <f ca="1"/>
        <v>5.301976128375685E-4</v>
      </c>
      <c r="Q122" s="166">
        <f ca="1"/>
        <v>2.4475234879695051E-3</v>
      </c>
      <c r="R122" s="166">
        <f ca="1"/>
        <v>5.2223995823634795E-3</v>
      </c>
      <c r="S122" s="166">
        <f ca="1"/>
        <v>0</v>
      </c>
      <c r="T122" s="166">
        <f ca="1"/>
        <v>1.4921344246961898E-2</v>
      </c>
      <c r="U122" s="166">
        <f ca="1"/>
        <v>2.7076107088324197E-2</v>
      </c>
      <c r="V122" s="140">
        <f ca="1"/>
        <v>4.9623372979574309E-2</v>
      </c>
      <c r="W122" s="139">
        <f ca="1"/>
        <v>0</v>
      </c>
      <c r="X122" s="166">
        <f ca="1"/>
        <v>3.7321434723358582E-4</v>
      </c>
      <c r="Y122" s="166">
        <f ca="1"/>
        <v>7.0661660005710836E-4</v>
      </c>
      <c r="Z122" s="166">
        <f ca="1"/>
        <v>2.7911025999166617E-3</v>
      </c>
      <c r="AA122" s="166">
        <f ca="1"/>
        <v>5.7322009698964616E-3</v>
      </c>
      <c r="AB122" s="166">
        <f ca="1"/>
        <v>0</v>
      </c>
      <c r="AC122" s="166">
        <f ca="1"/>
        <v>1.575904423134955E-2</v>
      </c>
      <c r="AD122" s="166">
        <f ca="1"/>
        <v>2.8366269561856283E-2</v>
      </c>
      <c r="AE122" s="140">
        <f ca="1"/>
        <v>5.2008975559855952E-2</v>
      </c>
      <c r="AH122" s="137">
        <v>2.9999999999999997E-4</v>
      </c>
      <c r="AI122" s="137">
        <v>5.0000000000000001E-4</v>
      </c>
      <c r="AJ122" s="137">
        <v>2.3999999999999998E-3</v>
      </c>
      <c r="AK122" s="137">
        <v>5.1999999999999998E-3</v>
      </c>
      <c r="AM122" s="137">
        <v>1.4800000000000001E-2</v>
      </c>
      <c r="AN122" s="137">
        <v>2.7E-2</v>
      </c>
      <c r="AO122" s="137">
        <v>4.9399999999999999E-2</v>
      </c>
      <c r="AQ122" s="137">
        <v>4.0000000000000002E-4</v>
      </c>
      <c r="AR122" s="137">
        <v>6.9999999999999999E-4</v>
      </c>
      <c r="AS122" s="137">
        <v>2.8E-3</v>
      </c>
      <c r="AT122" s="137">
        <v>5.7000000000000002E-3</v>
      </c>
      <c r="AV122" s="137">
        <v>1.5599999999999999E-2</v>
      </c>
      <c r="AW122" s="137">
        <v>2.8299999999999999E-2</v>
      </c>
      <c r="AX122" s="137">
        <v>5.1799999999999999E-2</v>
      </c>
    </row>
    <row r="123" spans="1:50" s="79" customFormat="1" ht="10.199999999999999" x14ac:dyDescent="0.2">
      <c r="A123" s="97">
        <f t="shared" ca="1" si="4"/>
        <v>112</v>
      </c>
      <c r="B123" s="68" t="s">
        <v>200</v>
      </c>
      <c r="C123" s="98">
        <v>0.4</v>
      </c>
      <c r="D123" s="69" t="s">
        <v>66</v>
      </c>
      <c r="E123" s="138" t="s">
        <v>87</v>
      </c>
      <c r="F123" s="159">
        <v>6.9999999999999999E-4</v>
      </c>
      <c r="G123" s="159">
        <v>1.1999999999999999E-3</v>
      </c>
      <c r="H123" s="159">
        <v>1.9E-3</v>
      </c>
      <c r="I123" s="159">
        <v>2.5999999999999999E-3</v>
      </c>
      <c r="J123" s="159" t="s">
        <v>87</v>
      </c>
      <c r="K123" s="159">
        <v>3.8E-3</v>
      </c>
      <c r="L123" s="159">
        <v>4.5999999999999999E-3</v>
      </c>
      <c r="M123" s="159">
        <v>5.4999999999999997E-3</v>
      </c>
      <c r="N123" s="139">
        <f t="array" aca="1" ref="N123:AE123" ca="1">IF(OR(B123="",NOT($J$2)),"",GetStripDefaultProbability(A123,B123,Parameter_Date,CDSRollDate,E123:M123,SpreadCurveMaturities,D123,C123,$J$4,$J$6))</f>
        <v>0</v>
      </c>
      <c r="O123" s="166">
        <f ca="1"/>
        <v>6.5303425461338271E-4</v>
      </c>
      <c r="P123" s="166">
        <f ca="1"/>
        <v>2.1288709574699416E-3</v>
      </c>
      <c r="Q123" s="166">
        <f ca="1"/>
        <v>6.5983660797264143E-3</v>
      </c>
      <c r="R123" s="166">
        <f ca="1"/>
        <v>1.350030798656543E-2</v>
      </c>
      <c r="S123" s="166">
        <f ca="1"/>
        <v>0</v>
      </c>
      <c r="T123" s="166">
        <f ca="1"/>
        <v>3.2846474662415526E-2</v>
      </c>
      <c r="U123" s="166">
        <f ca="1"/>
        <v>5.5470587697431184E-2</v>
      </c>
      <c r="V123" s="140">
        <f ca="1"/>
        <v>9.4377714104272536E-2</v>
      </c>
      <c r="W123" s="139">
        <f ca="1"/>
        <v>0</v>
      </c>
      <c r="X123" s="166">
        <f ca="1"/>
        <v>7.4628912209839804E-4</v>
      </c>
      <c r="Y123" s="166">
        <f ca="1"/>
        <v>2.3050371401358571E-3</v>
      </c>
      <c r="Z123" s="166">
        <f ca="1"/>
        <v>6.9406488672421052E-3</v>
      </c>
      <c r="AA123" s="166">
        <f ca="1"/>
        <v>1.4166741807574379E-2</v>
      </c>
      <c r="AB123" s="166">
        <f ca="1"/>
        <v>0</v>
      </c>
      <c r="AC123" s="166">
        <f ca="1"/>
        <v>3.4461459092122171E-2</v>
      </c>
      <c r="AD123" s="166">
        <f ca="1"/>
        <v>5.8178939440177047E-2</v>
      </c>
      <c r="AE123" s="140">
        <f ca="1"/>
        <v>9.8911448282963166E-2</v>
      </c>
      <c r="AH123" s="137">
        <v>5.9999999999999995E-4</v>
      </c>
      <c r="AI123" s="137">
        <v>2.0999999999999999E-3</v>
      </c>
      <c r="AJ123" s="137">
        <v>6.4999999999999997E-3</v>
      </c>
      <c r="AK123" s="137">
        <v>1.34E-2</v>
      </c>
      <c r="AM123" s="137">
        <v>3.27E-2</v>
      </c>
      <c r="AN123" s="137">
        <v>5.5300000000000002E-2</v>
      </c>
      <c r="AO123" s="137">
        <v>9.4E-2</v>
      </c>
      <c r="AQ123" s="137">
        <v>6.9999999999999999E-4</v>
      </c>
      <c r="AR123" s="137">
        <v>2.3E-3</v>
      </c>
      <c r="AS123" s="137">
        <v>6.8999999999999999E-3</v>
      </c>
      <c r="AT123" s="137">
        <v>1.41E-2</v>
      </c>
      <c r="AV123" s="137">
        <v>3.4299999999999997E-2</v>
      </c>
      <c r="AW123" s="137">
        <v>5.8000000000000003E-2</v>
      </c>
      <c r="AX123" s="137">
        <v>9.8500000000000004E-2</v>
      </c>
    </row>
    <row r="124" spans="1:50" s="79" customFormat="1" ht="10.199999999999999" x14ac:dyDescent="0.2">
      <c r="A124" s="97">
        <f t="shared" ca="1" si="4"/>
        <v>113</v>
      </c>
      <c r="B124" s="68" t="s">
        <v>201</v>
      </c>
      <c r="C124" s="98">
        <v>0.4</v>
      </c>
      <c r="D124" s="69" t="s">
        <v>66</v>
      </c>
      <c r="E124" s="138" t="s">
        <v>87</v>
      </c>
      <c r="F124" s="159">
        <v>5.9999999999999995E-4</v>
      </c>
      <c r="G124" s="159">
        <v>8.0000000000000004E-4</v>
      </c>
      <c r="H124" s="159">
        <v>1.4E-3</v>
      </c>
      <c r="I124" s="159">
        <v>2E-3</v>
      </c>
      <c r="J124" s="159" t="s">
        <v>87</v>
      </c>
      <c r="K124" s="159">
        <v>3.0999999999999999E-3</v>
      </c>
      <c r="L124" s="159">
        <v>3.8999999999999998E-3</v>
      </c>
      <c r="M124" s="159">
        <v>4.7000000000000002E-3</v>
      </c>
      <c r="N124" s="139">
        <f t="array" aca="1" ref="N124:AE124" ca="1">IF(OR(B124="",NOT($J$2)),"",GetStripDefaultProbability(A124,B124,Parameter_Date,CDSRollDate,E124:M124,SpreadCurveMaturities,D124,C124,$J$4,$J$6))</f>
        <v>0</v>
      </c>
      <c r="O124" s="166">
        <f ca="1"/>
        <v>5.5976970645477131E-4</v>
      </c>
      <c r="P124" s="166">
        <f ca="1"/>
        <v>1.4162990414336996E-3</v>
      </c>
      <c r="Q124" s="166">
        <f ca="1"/>
        <v>4.8740123543113967E-3</v>
      </c>
      <c r="R124" s="166">
        <f ca="1"/>
        <v>1.0415583588906929E-2</v>
      </c>
      <c r="S124" s="166">
        <f ca="1"/>
        <v>0</v>
      </c>
      <c r="T124" s="166">
        <f ca="1"/>
        <v>2.6963356021660778E-2</v>
      </c>
      <c r="U124" s="166">
        <f ca="1"/>
        <v>4.7442932307037999E-2</v>
      </c>
      <c r="V124" s="140">
        <f ca="1"/>
        <v>8.1405916064778427E-2</v>
      </c>
      <c r="W124" s="139">
        <f ca="1"/>
        <v>0</v>
      </c>
      <c r="X124" s="166">
        <f ca="1"/>
        <v>6.5303351059242676E-4</v>
      </c>
      <c r="Y124" s="166">
        <f ca="1"/>
        <v>1.5925618248591178E-3</v>
      </c>
      <c r="Z124" s="166">
        <f ca="1"/>
        <v>5.2168411654801572E-3</v>
      </c>
      <c r="AA124" s="166">
        <f ca="1"/>
        <v>1.0923119584853924E-2</v>
      </c>
      <c r="AB124" s="166">
        <f ca="1"/>
        <v>0</v>
      </c>
      <c r="AC124" s="166">
        <f ca="1"/>
        <v>2.8291002370043783E-2</v>
      </c>
      <c r="AD124" s="166">
        <f ca="1"/>
        <v>4.9760157959700346E-2</v>
      </c>
      <c r="AE124" s="140">
        <f ca="1"/>
        <v>8.5342044112555082E-2</v>
      </c>
      <c r="AH124" s="137">
        <v>5.0000000000000001E-4</v>
      </c>
      <c r="AI124" s="137">
        <v>1.4E-3</v>
      </c>
      <c r="AJ124" s="137">
        <v>4.7999999999999996E-3</v>
      </c>
      <c r="AK124" s="137">
        <v>1.04E-2</v>
      </c>
      <c r="AM124" s="137">
        <v>2.6800000000000001E-2</v>
      </c>
      <c r="AN124" s="137">
        <v>4.7300000000000002E-2</v>
      </c>
      <c r="AO124" s="137">
        <v>8.1100000000000005E-2</v>
      </c>
      <c r="AQ124" s="137">
        <v>5.9999999999999995E-4</v>
      </c>
      <c r="AR124" s="137">
        <v>1.6000000000000001E-3</v>
      </c>
      <c r="AS124" s="137">
        <v>5.1999999999999998E-3</v>
      </c>
      <c r="AT124" s="137">
        <v>1.0800000000000001E-2</v>
      </c>
      <c r="AV124" s="137">
        <v>2.81E-2</v>
      </c>
      <c r="AW124" s="137">
        <v>4.9599999999999998E-2</v>
      </c>
      <c r="AX124" s="137">
        <v>8.5000000000000006E-2</v>
      </c>
    </row>
    <row r="125" spans="1:50" s="79" customFormat="1" ht="10.199999999999999" x14ac:dyDescent="0.2">
      <c r="A125" s="97">
        <f t="shared" ca="1" si="4"/>
        <v>114</v>
      </c>
      <c r="B125" s="68" t="s">
        <v>202</v>
      </c>
      <c r="C125" s="98">
        <v>0.4</v>
      </c>
      <c r="D125" s="69" t="s">
        <v>66</v>
      </c>
      <c r="E125" s="138" t="s">
        <v>87</v>
      </c>
      <c r="F125" s="159">
        <v>2.0999999999999999E-3</v>
      </c>
      <c r="G125" s="159">
        <v>2.0999999999999999E-3</v>
      </c>
      <c r="H125" s="159">
        <v>3.8E-3</v>
      </c>
      <c r="I125" s="159">
        <v>7.1000000000000004E-3</v>
      </c>
      <c r="J125" s="159" t="s">
        <v>87</v>
      </c>
      <c r="K125" s="159">
        <v>9.5999999999999992E-3</v>
      </c>
      <c r="L125" s="159">
        <v>1.15E-2</v>
      </c>
      <c r="M125" s="159">
        <v>1.32E-2</v>
      </c>
      <c r="N125" s="139">
        <f t="array" aca="1" ref="N125:AE125" ca="1">IF(OR(B125="",NOT($J$2)),"",GetStripDefaultProbability(A125,B125,Parameter_Date,CDSRollDate,E125:M125,SpreadCurveMaturities,D125,C125,$J$4,$J$6))</f>
        <v>0</v>
      </c>
      <c r="O125" s="166">
        <f ca="1"/>
        <v>1.9578267321976872E-3</v>
      </c>
      <c r="P125" s="166">
        <f ca="1"/>
        <v>3.7009924782434034E-3</v>
      </c>
      <c r="Q125" s="166">
        <f ca="1"/>
        <v>1.3175119360951393E-2</v>
      </c>
      <c r="R125" s="166">
        <f ca="1"/>
        <v>3.6956347312015692E-2</v>
      </c>
      <c r="S125" s="166">
        <f ca="1"/>
        <v>0</v>
      </c>
      <c r="T125" s="166">
        <f ca="1"/>
        <v>8.1207974305320896E-2</v>
      </c>
      <c r="U125" s="166">
        <f ca="1"/>
        <v>0.13434371507117226</v>
      </c>
      <c r="V125" s="140">
        <f ca="1"/>
        <v>0.21276696781794957</v>
      </c>
      <c r="W125" s="139">
        <f ca="1"/>
        <v>0</v>
      </c>
      <c r="X125" s="166">
        <f ca="1"/>
        <v>2.0556089014671652E-3</v>
      </c>
      <c r="Y125" s="166">
        <f ca="1"/>
        <v>3.8856286083874814E-3</v>
      </c>
      <c r="Z125" s="166">
        <f ca="1"/>
        <v>1.3849387138459401E-2</v>
      </c>
      <c r="AA125" s="166">
        <f ca="1"/>
        <v>3.8781584152792314E-2</v>
      </c>
      <c r="AB125" s="166">
        <f ca="1"/>
        <v>0</v>
      </c>
      <c r="AC125" s="166">
        <f ca="1"/>
        <v>8.5138535025507056E-2</v>
      </c>
      <c r="AD125" s="166">
        <f ca="1"/>
        <v>0.14069674091007622</v>
      </c>
      <c r="AE125" s="140">
        <f ca="1"/>
        <v>0.22241275433313967</v>
      </c>
      <c r="AH125" s="137">
        <v>1.9E-3</v>
      </c>
      <c r="AI125" s="137">
        <v>3.7000000000000002E-3</v>
      </c>
      <c r="AJ125" s="137">
        <v>1.3100000000000001E-2</v>
      </c>
      <c r="AK125" s="137">
        <v>3.6700000000000003E-2</v>
      </c>
      <c r="AM125" s="137">
        <v>8.1100000000000005E-2</v>
      </c>
      <c r="AN125" s="137">
        <v>0.1338</v>
      </c>
      <c r="AO125" s="137">
        <v>0.21279999999999999</v>
      </c>
      <c r="AQ125" s="137">
        <v>2E-3</v>
      </c>
      <c r="AR125" s="137">
        <v>3.8E-3</v>
      </c>
      <c r="AS125" s="137">
        <v>1.37E-2</v>
      </c>
      <c r="AT125" s="137">
        <v>3.85E-2</v>
      </c>
      <c r="AV125" s="137">
        <v>8.5000000000000006E-2</v>
      </c>
      <c r="AW125" s="137">
        <v>0.1401</v>
      </c>
      <c r="AX125" s="137">
        <v>0.22239999999999999</v>
      </c>
    </row>
    <row r="126" spans="1:50" s="79" customFormat="1" ht="10.199999999999999" x14ac:dyDescent="0.2">
      <c r="A126" s="97">
        <f t="shared" ca="1" si="4"/>
        <v>115</v>
      </c>
      <c r="B126" s="68" t="s">
        <v>203</v>
      </c>
      <c r="C126" s="98">
        <v>0.4</v>
      </c>
      <c r="D126" s="69" t="s">
        <v>66</v>
      </c>
      <c r="E126" s="138" t="s">
        <v>87</v>
      </c>
      <c r="F126" s="159">
        <v>1.4E-3</v>
      </c>
      <c r="G126" s="159">
        <v>1.6999999999999999E-3</v>
      </c>
      <c r="H126" s="159">
        <v>3.2000000000000002E-3</v>
      </c>
      <c r="I126" s="159">
        <v>4.4000000000000003E-3</v>
      </c>
      <c r="J126" s="159" t="s">
        <v>87</v>
      </c>
      <c r="K126" s="159">
        <v>6.4000000000000003E-3</v>
      </c>
      <c r="L126" s="159">
        <v>8.0000000000000002E-3</v>
      </c>
      <c r="M126" s="159">
        <v>9.2999999999999992E-3</v>
      </c>
      <c r="N126" s="139">
        <f t="array" aca="1" ref="N126:AE126" ca="1">IF(OR(B126="",NOT($J$2)),"",GetStripDefaultProbability(A126,B126,Parameter_Date,CDSRollDate,E126:M126,SpreadCurveMaturities,D126,C126,$J$4,$J$6))</f>
        <v>0</v>
      </c>
      <c r="O126" s="166">
        <f ca="1"/>
        <v>1.3056430267678332E-3</v>
      </c>
      <c r="P126" s="166">
        <f ca="1"/>
        <v>3.0041897917075788E-3</v>
      </c>
      <c r="Q126" s="166">
        <f ca="1"/>
        <v>1.1125444003481144E-2</v>
      </c>
      <c r="R126" s="166">
        <f ca="1"/>
        <v>2.2787156124746133E-2</v>
      </c>
      <c r="S126" s="166">
        <f ca="1"/>
        <v>0</v>
      </c>
      <c r="T126" s="166">
        <f ca="1"/>
        <v>5.4923900476110621E-2</v>
      </c>
      <c r="U126" s="166">
        <f ca="1"/>
        <v>9.538388060929659E-2</v>
      </c>
      <c r="V126" s="140">
        <f ca="1"/>
        <v>0.15506129850085215</v>
      </c>
      <c r="W126" s="139">
        <f ca="1"/>
        <v>0</v>
      </c>
      <c r="X126" s="166">
        <f ca="1"/>
        <v>1.3988342865285386E-3</v>
      </c>
      <c r="Y126" s="166">
        <f ca="1"/>
        <v>3.1801818858132602E-3</v>
      </c>
      <c r="Z126" s="166">
        <f ca="1"/>
        <v>1.1677232871188381E-2</v>
      </c>
      <c r="AA126" s="166">
        <f ca="1"/>
        <v>2.3915069423990909E-2</v>
      </c>
      <c r="AB126" s="166">
        <f ca="1"/>
        <v>0</v>
      </c>
      <c r="AC126" s="166">
        <f ca="1"/>
        <v>5.761136357940766E-2</v>
      </c>
      <c r="AD126" s="166">
        <f ca="1"/>
        <v>9.9976471285537549E-2</v>
      </c>
      <c r="AE126" s="140">
        <f ca="1"/>
        <v>0.16231028223614763</v>
      </c>
      <c r="AH126" s="137">
        <v>1.2999999999999999E-3</v>
      </c>
      <c r="AI126" s="137">
        <v>3.0000000000000001E-3</v>
      </c>
      <c r="AJ126" s="137">
        <v>1.0999999999999999E-2</v>
      </c>
      <c r="AK126" s="137">
        <v>2.2700000000000001E-2</v>
      </c>
      <c r="AM126" s="137">
        <v>5.4600000000000003E-2</v>
      </c>
      <c r="AN126" s="137">
        <v>9.5000000000000001E-2</v>
      </c>
      <c r="AO126" s="137">
        <v>0.15459999999999999</v>
      </c>
      <c r="AQ126" s="137">
        <v>1.4E-3</v>
      </c>
      <c r="AR126" s="137">
        <v>3.0999999999999999E-3</v>
      </c>
      <c r="AS126" s="137">
        <v>1.1599999999999999E-2</v>
      </c>
      <c r="AT126" s="137">
        <v>2.3800000000000002E-2</v>
      </c>
      <c r="AV126" s="137">
        <v>5.7299999999999997E-2</v>
      </c>
      <c r="AW126" s="137">
        <v>9.9500000000000005E-2</v>
      </c>
      <c r="AX126" s="137">
        <v>0.16189999999999999</v>
      </c>
    </row>
    <row r="127" spans="1:50" s="79" customFormat="1" ht="10.199999999999999" x14ac:dyDescent="0.2">
      <c r="A127" s="97">
        <f t="shared" ca="1" si="4"/>
        <v>116</v>
      </c>
      <c r="B127" s="68" t="s">
        <v>204</v>
      </c>
      <c r="C127" s="98">
        <v>0.4</v>
      </c>
      <c r="D127" s="69" t="s">
        <v>66</v>
      </c>
      <c r="E127" s="138" t="s">
        <v>87</v>
      </c>
      <c r="F127" s="159">
        <v>2.9999999999999997E-4</v>
      </c>
      <c r="G127" s="159">
        <v>5.9999999999999995E-4</v>
      </c>
      <c r="H127" s="159">
        <v>1.1000000000000001E-3</v>
      </c>
      <c r="I127" s="159">
        <v>1.4E-3</v>
      </c>
      <c r="J127" s="159" t="s">
        <v>87</v>
      </c>
      <c r="K127" s="159">
        <v>2.2000000000000001E-3</v>
      </c>
      <c r="L127" s="159">
        <v>2.5999999999999999E-3</v>
      </c>
      <c r="M127" s="159">
        <v>3.0999999999999999E-3</v>
      </c>
      <c r="N127" s="139">
        <f t="array" aca="1" ref="N127:AE127" ca="1">IF(OR(B127="",NOT($J$2)),"",GetStripDefaultProbability(A127,B127,Parameter_Date,CDSRollDate,E127:M127,SpreadCurveMaturities,D127,C127,$J$4,$J$6))</f>
        <v>0</v>
      </c>
      <c r="O127" s="166">
        <f ca="1"/>
        <v>2.799239499720052E-4</v>
      </c>
      <c r="P127" s="166">
        <f ca="1"/>
        <v>1.0662255982871738E-3</v>
      </c>
      <c r="Q127" s="166">
        <f ca="1"/>
        <v>3.8348478058790603E-3</v>
      </c>
      <c r="R127" s="166">
        <f ca="1"/>
        <v>7.2750941457885299E-3</v>
      </c>
      <c r="S127" s="166">
        <f ca="1"/>
        <v>0</v>
      </c>
      <c r="T127" s="166">
        <f ca="1"/>
        <v>1.9190196816929905E-2</v>
      </c>
      <c r="U127" s="166">
        <f ca="1"/>
        <v>3.1604080619008879E-2</v>
      </c>
      <c r="V127" s="140">
        <f ca="1"/>
        <v>5.4110526527292535E-2</v>
      </c>
      <c r="W127" s="139">
        <f ca="1"/>
        <v>0</v>
      </c>
      <c r="X127" s="166">
        <f ca="1"/>
        <v>3.7321434723358582E-4</v>
      </c>
      <c r="Y127" s="166">
        <f ca="1"/>
        <v>1.2425599600046633E-3</v>
      </c>
      <c r="Z127" s="166">
        <f ca="1"/>
        <v>4.1779983096331685E-3</v>
      </c>
      <c r="AA127" s="166">
        <f ca="1"/>
        <v>7.7838963165204333E-3</v>
      </c>
      <c r="AB127" s="166">
        <f ca="1"/>
        <v>0</v>
      </c>
      <c r="AC127" s="166">
        <f ca="1"/>
        <v>2.011526452364254E-2</v>
      </c>
      <c r="AD127" s="166">
        <f ca="1"/>
        <v>3.3140794757933634E-2</v>
      </c>
      <c r="AE127" s="140">
        <f ca="1"/>
        <v>5.6725809875421751E-2</v>
      </c>
      <c r="AH127" s="137">
        <v>2.9999999999999997E-4</v>
      </c>
      <c r="AI127" s="137">
        <v>1.1000000000000001E-3</v>
      </c>
      <c r="AJ127" s="137">
        <v>3.8E-3</v>
      </c>
      <c r="AK127" s="137">
        <v>7.1999999999999998E-3</v>
      </c>
      <c r="AM127" s="137">
        <v>1.9099999999999999E-2</v>
      </c>
      <c r="AN127" s="137">
        <v>3.15E-2</v>
      </c>
      <c r="AO127" s="137">
        <v>5.3800000000000001E-2</v>
      </c>
      <c r="AQ127" s="137">
        <v>4.0000000000000002E-4</v>
      </c>
      <c r="AR127" s="137">
        <v>1.1999999999999999E-3</v>
      </c>
      <c r="AS127" s="137">
        <v>4.1000000000000003E-3</v>
      </c>
      <c r="AT127" s="137">
        <v>7.7000000000000002E-3</v>
      </c>
      <c r="AV127" s="137">
        <v>0.02</v>
      </c>
      <c r="AW127" s="137">
        <v>3.3000000000000002E-2</v>
      </c>
      <c r="AX127" s="137">
        <v>5.6399999999999999E-2</v>
      </c>
    </row>
    <row r="128" spans="1:50" s="79" customFormat="1" ht="10.199999999999999" x14ac:dyDescent="0.2">
      <c r="A128" s="97">
        <f t="shared" ca="1" si="4"/>
        <v>117</v>
      </c>
      <c r="B128" s="68" t="s">
        <v>205</v>
      </c>
      <c r="C128" s="98">
        <v>0.4</v>
      </c>
      <c r="D128" s="69" t="s">
        <v>66</v>
      </c>
      <c r="E128" s="138" t="s">
        <v>87</v>
      </c>
      <c r="F128" s="159">
        <v>5.0000000000000001E-4</v>
      </c>
      <c r="G128" s="159">
        <v>1.1000000000000001E-3</v>
      </c>
      <c r="H128" s="159">
        <v>1.9E-3</v>
      </c>
      <c r="I128" s="159">
        <v>2.5000000000000001E-3</v>
      </c>
      <c r="J128" s="159" t="s">
        <v>87</v>
      </c>
      <c r="K128" s="159">
        <v>3.8E-3</v>
      </c>
      <c r="L128" s="159">
        <v>4.5999999999999999E-3</v>
      </c>
      <c r="M128" s="159">
        <v>5.5999999999999999E-3</v>
      </c>
      <c r="N128" s="139">
        <f t="array" aca="1" ref="N128:AE128" ca="1">IF(OR(B128="",NOT($J$2)),"",GetStripDefaultProbability(A128,B128,Parameter_Date,CDSRollDate,E128:M128,SpreadCurveMaturities,D128,C128,$J$4,$J$6))</f>
        <v>0</v>
      </c>
      <c r="O128" s="166">
        <f ca="1"/>
        <v>4.6649647376628689E-4</v>
      </c>
      <c r="P128" s="166">
        <f ca="1"/>
        <v>1.9551704759117605E-3</v>
      </c>
      <c r="Q128" s="166">
        <f ca="1"/>
        <v>6.608717007366538E-3</v>
      </c>
      <c r="R128" s="166">
        <f ca="1"/>
        <v>1.2976319051965834E-2</v>
      </c>
      <c r="S128" s="166">
        <f ca="1"/>
        <v>0</v>
      </c>
      <c r="T128" s="166">
        <f ca="1"/>
        <v>3.2935618274687606E-2</v>
      </c>
      <c r="U128" s="166">
        <f ca="1"/>
        <v>5.5519149960031378E-2</v>
      </c>
      <c r="V128" s="140">
        <f ca="1"/>
        <v>9.6454524626701788E-2</v>
      </c>
      <c r="W128" s="139">
        <f ca="1"/>
        <v>0</v>
      </c>
      <c r="X128" s="166">
        <f ca="1"/>
        <v>5.5976917815403482E-4</v>
      </c>
      <c r="Y128" s="166">
        <f ca="1"/>
        <v>2.1313768365959218E-3</v>
      </c>
      <c r="Z128" s="166">
        <f ca="1"/>
        <v>6.9510388765359199E-3</v>
      </c>
      <c r="AA128" s="166">
        <f ca="1"/>
        <v>1.3616366165773663E-2</v>
      </c>
      <c r="AB128" s="166">
        <f ca="1"/>
        <v>0</v>
      </c>
      <c r="AC128" s="166">
        <f ca="1"/>
        <v>3.4556563377512561E-2</v>
      </c>
      <c r="AD128" s="166">
        <f ca="1"/>
        <v>5.8229332031025871E-2</v>
      </c>
      <c r="AE128" s="140">
        <f ca="1"/>
        <v>0.10108719353638929</v>
      </c>
      <c r="AH128" s="137">
        <v>5.0000000000000001E-4</v>
      </c>
      <c r="AI128" s="137">
        <v>1.9E-3</v>
      </c>
      <c r="AJ128" s="137">
        <v>6.6E-3</v>
      </c>
      <c r="AK128" s="137">
        <v>1.29E-2</v>
      </c>
      <c r="AM128" s="137">
        <v>3.27E-2</v>
      </c>
      <c r="AN128" s="137">
        <v>5.5300000000000002E-2</v>
      </c>
      <c r="AO128" s="137">
        <v>9.6000000000000002E-2</v>
      </c>
      <c r="AQ128" s="137">
        <v>5.0000000000000001E-4</v>
      </c>
      <c r="AR128" s="137">
        <v>2.0999999999999999E-3</v>
      </c>
      <c r="AS128" s="137">
        <v>6.8999999999999999E-3</v>
      </c>
      <c r="AT128" s="137">
        <v>1.35E-2</v>
      </c>
      <c r="AV128" s="137">
        <v>3.44E-2</v>
      </c>
      <c r="AW128" s="137">
        <v>5.8000000000000003E-2</v>
      </c>
      <c r="AX128" s="137">
        <v>0.10059999999999999</v>
      </c>
    </row>
    <row r="129" spans="1:50" s="79" customFormat="1" ht="10.199999999999999" x14ac:dyDescent="0.2">
      <c r="A129" s="97">
        <f t="shared" ca="1" si="4"/>
        <v>118</v>
      </c>
      <c r="B129" s="68" t="s">
        <v>206</v>
      </c>
      <c r="C129" s="98">
        <v>0.4</v>
      </c>
      <c r="D129" s="69" t="s">
        <v>66</v>
      </c>
      <c r="E129" s="138" t="s">
        <v>87</v>
      </c>
      <c r="F129" s="159">
        <v>1E-3</v>
      </c>
      <c r="G129" s="159">
        <v>1.6000000000000001E-3</v>
      </c>
      <c r="H129" s="159">
        <v>2.3999999999999998E-3</v>
      </c>
      <c r="I129" s="159">
        <v>3.0999999999999999E-3</v>
      </c>
      <c r="J129" s="159" t="s">
        <v>87</v>
      </c>
      <c r="K129" s="159">
        <v>5.1999999999999998E-3</v>
      </c>
      <c r="L129" s="159">
        <v>6.3E-3</v>
      </c>
      <c r="M129" s="159">
        <v>7.1999999999999998E-3</v>
      </c>
      <c r="N129" s="139">
        <f t="array" aca="1" ref="N129:AE129" ca="1">IF(OR(B129="",NOT($J$2)),"",GetStripDefaultProbability(A129,B129,Parameter_Date,CDSRollDate,E129:M129,SpreadCurveMaturities,D129,C129,$J$4,$J$6))</f>
        <v>0</v>
      </c>
      <c r="O129" s="166">
        <f ca="1"/>
        <v>9.3277580402983951E-4</v>
      </c>
      <c r="P129" s="166">
        <f ca="1"/>
        <v>2.8358906113331583E-3</v>
      </c>
      <c r="Q129" s="166">
        <f ca="1"/>
        <v>8.3191472808175071E-3</v>
      </c>
      <c r="R129" s="166">
        <f ca="1"/>
        <v>1.6039422187661634E-2</v>
      </c>
      <c r="S129" s="166">
        <f ca="1"/>
        <v>0</v>
      </c>
      <c r="T129" s="166">
        <f ca="1"/>
        <v>4.5074993854387291E-2</v>
      </c>
      <c r="U129" s="166">
        <f ca="1"/>
        <v>7.5610024264092357E-2</v>
      </c>
      <c r="V129" s="140">
        <f ca="1"/>
        <v>0.1216269197834815</v>
      </c>
      <c r="W129" s="139">
        <f ca="1"/>
        <v>0</v>
      </c>
      <c r="X129" s="166">
        <f ca="1"/>
        <v>1.0260036394392769E-3</v>
      </c>
      <c r="Y129" s="166">
        <f ca="1"/>
        <v>3.0119415690046392E-3</v>
      </c>
      <c r="Z129" s="166">
        <f ca="1"/>
        <v>8.7315874842717189E-3</v>
      </c>
      <c r="AA129" s="166">
        <f ca="1"/>
        <v>1.68338796439228E-2</v>
      </c>
      <c r="AB129" s="166">
        <f ca="1"/>
        <v>0</v>
      </c>
      <c r="AC129" s="166">
        <f ca="1"/>
        <v>4.7290279557331338E-2</v>
      </c>
      <c r="AD129" s="166">
        <f ca="1"/>
        <v>7.9278121318219319E-2</v>
      </c>
      <c r="AE129" s="140">
        <f ca="1"/>
        <v>0.12739798553263815</v>
      </c>
      <c r="AH129" s="137">
        <v>8.9999999999999998E-4</v>
      </c>
      <c r="AI129" s="137">
        <v>2.8E-3</v>
      </c>
      <c r="AJ129" s="137">
        <v>8.3000000000000001E-3</v>
      </c>
      <c r="AK129" s="137">
        <v>1.5900000000000001E-2</v>
      </c>
      <c r="AM129" s="137">
        <v>4.48E-2</v>
      </c>
      <c r="AN129" s="137">
        <v>7.5399999999999995E-2</v>
      </c>
      <c r="AO129" s="137">
        <v>0.1211</v>
      </c>
      <c r="AQ129" s="137">
        <v>1E-3</v>
      </c>
      <c r="AR129" s="137">
        <v>3.0000000000000001E-3</v>
      </c>
      <c r="AS129" s="137">
        <v>8.6999999999999994E-3</v>
      </c>
      <c r="AT129" s="137">
        <v>1.67E-2</v>
      </c>
      <c r="AV129" s="137">
        <v>4.7E-2</v>
      </c>
      <c r="AW129" s="137">
        <v>7.9000000000000001E-2</v>
      </c>
      <c r="AX129" s="137">
        <v>0.1268</v>
      </c>
    </row>
    <row r="130" spans="1:50" s="79" customFormat="1" ht="10.199999999999999" x14ac:dyDescent="0.2">
      <c r="A130" s="97">
        <f t="shared" ca="1" si="4"/>
        <v>119</v>
      </c>
      <c r="B130" s="68" t="s">
        <v>207</v>
      </c>
      <c r="C130" s="98">
        <v>0.4</v>
      </c>
      <c r="D130" s="69" t="s">
        <v>66</v>
      </c>
      <c r="E130" s="138" t="s">
        <v>87</v>
      </c>
      <c r="F130" s="159">
        <v>6.9999999999999999E-4</v>
      </c>
      <c r="G130" s="159">
        <v>1E-3</v>
      </c>
      <c r="H130" s="159">
        <v>1.6999999999999999E-3</v>
      </c>
      <c r="I130" s="159">
        <v>2.3999999999999998E-3</v>
      </c>
      <c r="J130" s="159" t="s">
        <v>87</v>
      </c>
      <c r="K130" s="159">
        <v>3.8E-3</v>
      </c>
      <c r="L130" s="159">
        <v>4.7999999999999996E-3</v>
      </c>
      <c r="M130" s="159">
        <v>6.0000000000000001E-3</v>
      </c>
      <c r="N130" s="139">
        <f t="array" aca="1" ref="N130:AE130" ca="1">IF(OR(B130="",NOT($J$2)),"",GetStripDefaultProbability(A130,B130,Parameter_Date,CDSRollDate,E130:M130,SpreadCurveMaturities,D130,C130,$J$4,$J$6))</f>
        <v>0</v>
      </c>
      <c r="O130" s="166">
        <f ca="1"/>
        <v>6.5303425461338271E-4</v>
      </c>
      <c r="P130" s="166">
        <f ca="1"/>
        <v>1.7713758905034682E-3</v>
      </c>
      <c r="Q130" s="166">
        <f ca="1"/>
        <v>5.9137372990719639E-3</v>
      </c>
      <c r="R130" s="166">
        <f ca="1"/>
        <v>1.2479133155766764E-2</v>
      </c>
      <c r="S130" s="166">
        <f ca="1"/>
        <v>0</v>
      </c>
      <c r="T130" s="166">
        <f ca="1"/>
        <v>3.301535808460665E-2</v>
      </c>
      <c r="U130" s="166">
        <f ca="1"/>
        <v>5.8202822805804244E-2</v>
      </c>
      <c r="V130" s="140">
        <f ca="1"/>
        <v>0.10371810799755821</v>
      </c>
      <c r="W130" s="139">
        <f ca="1"/>
        <v>0</v>
      </c>
      <c r="X130" s="166">
        <f ca="1"/>
        <v>7.4628912209839804E-4</v>
      </c>
      <c r="Y130" s="166">
        <f ca="1"/>
        <v>1.9475857577361255E-3</v>
      </c>
      <c r="Z130" s="166">
        <f ca="1"/>
        <v>6.2562504124813456E-3</v>
      </c>
      <c r="AA130" s="166">
        <f ca="1"/>
        <v>1.3097236768303766E-2</v>
      </c>
      <c r="AB130" s="166">
        <f ca="1"/>
        <v>0</v>
      </c>
      <c r="AC130" s="166">
        <f ca="1"/>
        <v>3.4639323918173703E-2</v>
      </c>
      <c r="AD130" s="166">
        <f ca="1"/>
        <v>6.1040922332917691E-2</v>
      </c>
      <c r="AE130" s="140">
        <f ca="1"/>
        <v>0.10871639331268246</v>
      </c>
      <c r="AH130" s="137">
        <v>5.9999999999999995E-4</v>
      </c>
      <c r="AI130" s="137">
        <v>1.6999999999999999E-3</v>
      </c>
      <c r="AJ130" s="137">
        <v>5.8999999999999999E-3</v>
      </c>
      <c r="AK130" s="137">
        <v>1.24E-2</v>
      </c>
      <c r="AM130" s="137">
        <v>3.2800000000000003E-2</v>
      </c>
      <c r="AN130" s="137">
        <v>5.8000000000000003E-2</v>
      </c>
      <c r="AO130" s="137">
        <v>0.1032</v>
      </c>
      <c r="AQ130" s="137">
        <v>6.9999999999999999E-4</v>
      </c>
      <c r="AR130" s="137">
        <v>1.9E-3</v>
      </c>
      <c r="AS130" s="137">
        <v>6.1999999999999998E-3</v>
      </c>
      <c r="AT130" s="137">
        <v>1.2999999999999999E-2</v>
      </c>
      <c r="AV130" s="137">
        <v>3.44E-2</v>
      </c>
      <c r="AW130" s="137">
        <v>6.08E-2</v>
      </c>
      <c r="AX130" s="137">
        <v>0.1082</v>
      </c>
    </row>
    <row r="131" spans="1:50" s="79" customFormat="1" ht="10.199999999999999" x14ac:dyDescent="0.2">
      <c r="A131" s="97">
        <f t="shared" ca="1" si="4"/>
        <v>120</v>
      </c>
      <c r="B131" s="68" t="s">
        <v>208</v>
      </c>
      <c r="C131" s="98">
        <v>0.4</v>
      </c>
      <c r="D131" s="69" t="s">
        <v>66</v>
      </c>
      <c r="E131" s="138" t="s">
        <v>87</v>
      </c>
      <c r="F131" s="159">
        <v>1.1000000000000001E-3</v>
      </c>
      <c r="G131" s="159">
        <v>1.5E-3</v>
      </c>
      <c r="H131" s="159">
        <v>1.9E-3</v>
      </c>
      <c r="I131" s="159">
        <v>2.5999999999999999E-3</v>
      </c>
      <c r="J131" s="159" t="s">
        <v>87</v>
      </c>
      <c r="K131" s="159">
        <v>3.8E-3</v>
      </c>
      <c r="L131" s="159">
        <v>4.7000000000000002E-3</v>
      </c>
      <c r="M131" s="159">
        <v>5.7000000000000002E-3</v>
      </c>
      <c r="N131" s="139">
        <f t="array" aca="1" ref="N131:AE131" ca="1">IF(OR(B131="",NOT($J$2)),"",GetStripDefaultProbability(A131,B131,Parameter_Date,CDSRollDate,E131:M131,SpreadCurveMaturities,D131,C131,$J$4,$J$6))</f>
        <v>0</v>
      </c>
      <c r="O131" s="166">
        <f ca="1"/>
        <v>1.0260056262103578E-3</v>
      </c>
      <c r="P131" s="166">
        <f ca="1"/>
        <v>2.6547097706491884E-3</v>
      </c>
      <c r="Q131" s="166">
        <f ca="1"/>
        <v>6.5649159246180533E-3</v>
      </c>
      <c r="R131" s="166">
        <f ca="1"/>
        <v>1.3469131959827574E-2</v>
      </c>
      <c r="S131" s="166">
        <f ca="1"/>
        <v>0</v>
      </c>
      <c r="T131" s="166">
        <f ca="1"/>
        <v>3.2806095858881168E-2</v>
      </c>
      <c r="U131" s="166">
        <f ca="1"/>
        <v>5.6750327852953086E-2</v>
      </c>
      <c r="V131" s="140">
        <f ca="1"/>
        <v>9.7911367783518166E-2</v>
      </c>
      <c r="W131" s="139">
        <f ca="1"/>
        <v>0</v>
      </c>
      <c r="X131" s="166">
        <f ca="1"/>
        <v>1.1192243755654419E-3</v>
      </c>
      <c r="Y131" s="166">
        <f ca="1"/>
        <v>2.8307736625038382E-3</v>
      </c>
      <c r="Z131" s="166">
        <f ca="1"/>
        <v>6.9070898430703132E-3</v>
      </c>
      <c r="AA131" s="166">
        <f ca="1"/>
        <v>1.4135172699284992E-2</v>
      </c>
      <c r="AB131" s="166">
        <f ca="1"/>
        <v>0</v>
      </c>
      <c r="AC131" s="166">
        <f ca="1"/>
        <v>3.4422467973212356E-2</v>
      </c>
      <c r="AD131" s="166">
        <f ca="1"/>
        <v>5.9522082916314889E-2</v>
      </c>
      <c r="AE131" s="140">
        <f ca="1"/>
        <v>0.10261327052775848</v>
      </c>
      <c r="AH131" s="137">
        <v>1E-3</v>
      </c>
      <c r="AI131" s="137">
        <v>2.5999999999999999E-3</v>
      </c>
      <c r="AJ131" s="137">
        <v>6.4999999999999997E-3</v>
      </c>
      <c r="AK131" s="137">
        <v>1.34E-2</v>
      </c>
      <c r="AM131" s="137">
        <v>3.27E-2</v>
      </c>
      <c r="AN131" s="137">
        <v>5.6500000000000002E-2</v>
      </c>
      <c r="AO131" s="137">
        <v>9.7600000000000006E-2</v>
      </c>
      <c r="AQ131" s="137">
        <v>1.1000000000000001E-3</v>
      </c>
      <c r="AR131" s="137">
        <v>2.8E-3</v>
      </c>
      <c r="AS131" s="137">
        <v>6.8999999999999999E-3</v>
      </c>
      <c r="AT131" s="137">
        <v>1.41E-2</v>
      </c>
      <c r="AV131" s="137">
        <v>3.4299999999999997E-2</v>
      </c>
      <c r="AW131" s="137">
        <v>5.9299999999999999E-2</v>
      </c>
      <c r="AX131" s="137">
        <v>0.1023</v>
      </c>
    </row>
    <row r="132" spans="1:50" s="79" customFormat="1" ht="10.199999999999999" x14ac:dyDescent="0.2">
      <c r="A132" s="97">
        <f t="shared" ca="1" si="4"/>
        <v>121</v>
      </c>
      <c r="B132" s="68" t="s">
        <v>209</v>
      </c>
      <c r="C132" s="98">
        <v>0.4</v>
      </c>
      <c r="D132" s="69" t="s">
        <v>66</v>
      </c>
      <c r="E132" s="138" t="s">
        <v>87</v>
      </c>
      <c r="F132" s="159">
        <v>8.0000000000000004E-4</v>
      </c>
      <c r="G132" s="159">
        <v>1E-3</v>
      </c>
      <c r="H132" s="159">
        <v>1.9E-3</v>
      </c>
      <c r="I132" s="159">
        <v>2.3999999999999998E-3</v>
      </c>
      <c r="J132" s="159" t="s">
        <v>87</v>
      </c>
      <c r="K132" s="159">
        <v>3.8E-3</v>
      </c>
      <c r="L132" s="159">
        <v>4.4999999999999997E-3</v>
      </c>
      <c r="M132" s="159">
        <v>5.4000000000000003E-3</v>
      </c>
      <c r="N132" s="139">
        <f t="array" aca="1" ref="N132:AE132" ca="1">IF(OR(B132="",NOT($J$2)),"",GetStripDefaultProbability(A132,B132,Parameter_Date,CDSRollDate,E132:M132,SpreadCurveMaturities,D132,C132,$J$4,$J$6))</f>
        <v>0</v>
      </c>
      <c r="O132" s="166">
        <f ca="1"/>
        <v>7.4629011945415158E-4</v>
      </c>
      <c r="P132" s="166">
        <f ca="1"/>
        <v>1.7687933255768895E-3</v>
      </c>
      <c r="Q132" s="166">
        <f ca="1"/>
        <v>6.6183083015604049E-3</v>
      </c>
      <c r="R132" s="166">
        <f ca="1"/>
        <v>1.2436402059207041E-2</v>
      </c>
      <c r="S132" s="166">
        <f ca="1"/>
        <v>0</v>
      </c>
      <c r="T132" s="166">
        <f ca="1"/>
        <v>3.3029251215951572E-2</v>
      </c>
      <c r="U132" s="166">
        <f ca="1"/>
        <v>5.4246384156943828E-2</v>
      </c>
      <c r="V132" s="140">
        <f ca="1"/>
        <v>9.2994056045948126E-2</v>
      </c>
      <c r="W132" s="139">
        <f ca="1"/>
        <v>0</v>
      </c>
      <c r="X132" s="166">
        <f ca="1"/>
        <v>8.3953601351138829E-4</v>
      </c>
      <c r="Y132" s="166">
        <f ca="1"/>
        <v>1.9449938698653524E-3</v>
      </c>
      <c r="Z132" s="166">
        <f ca="1"/>
        <v>6.9606538565135656E-3</v>
      </c>
      <c r="AA132" s="166">
        <f ca="1"/>
        <v>1.3050246505898588E-2</v>
      </c>
      <c r="AB132" s="166">
        <f ca="1"/>
        <v>0</v>
      </c>
      <c r="AC132" s="166">
        <f ca="1"/>
        <v>3.4653804148664591E-2</v>
      </c>
      <c r="AD132" s="166">
        <f ca="1"/>
        <v>5.6894776675929237E-2</v>
      </c>
      <c r="AE132" s="140">
        <f ca="1"/>
        <v>9.7463188176629245E-2</v>
      </c>
      <c r="AH132" s="137">
        <v>6.9999999999999999E-4</v>
      </c>
      <c r="AI132" s="137">
        <v>1.6999999999999999E-3</v>
      </c>
      <c r="AJ132" s="137">
        <v>6.6E-3</v>
      </c>
      <c r="AK132" s="137">
        <v>1.24E-2</v>
      </c>
      <c r="AM132" s="137">
        <v>3.2800000000000003E-2</v>
      </c>
      <c r="AN132" s="137">
        <v>5.4100000000000002E-2</v>
      </c>
      <c r="AO132" s="137">
        <v>9.2399999999999996E-2</v>
      </c>
      <c r="AQ132" s="137">
        <v>8.0000000000000004E-4</v>
      </c>
      <c r="AR132" s="137">
        <v>1.9E-3</v>
      </c>
      <c r="AS132" s="137">
        <v>6.8999999999999999E-3</v>
      </c>
      <c r="AT132" s="137">
        <v>1.2999999999999999E-2</v>
      </c>
      <c r="AV132" s="137">
        <v>3.44E-2</v>
      </c>
      <c r="AW132" s="137">
        <v>5.67E-2</v>
      </c>
      <c r="AX132" s="137">
        <v>9.69E-2</v>
      </c>
    </row>
    <row r="133" spans="1:50" s="79" customFormat="1" ht="10.199999999999999" x14ac:dyDescent="0.2">
      <c r="A133" s="97">
        <f t="shared" ca="1" si="4"/>
        <v>122</v>
      </c>
      <c r="B133" s="68" t="s">
        <v>210</v>
      </c>
      <c r="C133" s="98">
        <v>0.4</v>
      </c>
      <c r="D133" s="69" t="s">
        <v>66</v>
      </c>
      <c r="E133" s="138" t="s">
        <v>87</v>
      </c>
      <c r="F133" s="159">
        <v>6.9999999999999999E-4</v>
      </c>
      <c r="G133" s="159">
        <v>8.0000000000000004E-4</v>
      </c>
      <c r="H133" s="159">
        <v>1.2999999999999999E-3</v>
      </c>
      <c r="I133" s="159">
        <v>1.6999999999999999E-3</v>
      </c>
      <c r="J133" s="159" t="s">
        <v>87</v>
      </c>
      <c r="K133" s="159">
        <v>2.7000000000000001E-3</v>
      </c>
      <c r="L133" s="159">
        <v>3.0999999999999999E-3</v>
      </c>
      <c r="M133" s="159">
        <v>3.8999999999999998E-3</v>
      </c>
      <c r="N133" s="139">
        <f t="array" aca="1" ref="N133:AE133" ca="1">IF(OR(B133="",NOT($J$2)),"",GetStripDefaultProbability(A133,B133,Parameter_Date,CDSRollDate,E133:M133,SpreadCurveMaturities,D133,C133,$J$4,$J$6))</f>
        <v>0</v>
      </c>
      <c r="O133" s="166">
        <f ca="1"/>
        <v>6.5303425461338271E-4</v>
      </c>
      <c r="P133" s="166">
        <f ca="1"/>
        <v>1.4137031826377822E-3</v>
      </c>
      <c r="Q133" s="166">
        <f ca="1"/>
        <v>4.5193184083056614E-3</v>
      </c>
      <c r="R133" s="166">
        <f ca="1"/>
        <v>8.8243145243280807E-3</v>
      </c>
      <c r="S133" s="166">
        <f ca="1"/>
        <v>0</v>
      </c>
      <c r="T133" s="166">
        <f ca="1"/>
        <v>2.3520155490511674E-2</v>
      </c>
      <c r="U133" s="166">
        <f ca="1"/>
        <v>3.7485520531811756E-2</v>
      </c>
      <c r="V133" s="140">
        <f ca="1"/>
        <v>6.8247051069150189E-2</v>
      </c>
      <c r="W133" s="139">
        <f ca="1"/>
        <v>0</v>
      </c>
      <c r="X133" s="166">
        <f ca="1"/>
        <v>7.4628912209839804E-4</v>
      </c>
      <c r="Y133" s="166">
        <f ca="1"/>
        <v>1.5899567491424182E-3</v>
      </c>
      <c r="Z133" s="166">
        <f ca="1"/>
        <v>4.8622271011221629E-3</v>
      </c>
      <c r="AA133" s="166">
        <f ca="1"/>
        <v>9.332415422130258E-3</v>
      </c>
      <c r="AB133" s="166">
        <f ca="1"/>
        <v>0</v>
      </c>
      <c r="AC133" s="166">
        <f ca="1"/>
        <v>2.4668010114859529E-2</v>
      </c>
      <c r="AD133" s="166">
        <f ca="1"/>
        <v>3.9315170129361143E-2</v>
      </c>
      <c r="AE133" s="140">
        <f ca="1"/>
        <v>7.1552529096707174E-2</v>
      </c>
      <c r="AH133" s="137">
        <v>5.9999999999999995E-4</v>
      </c>
      <c r="AI133" s="137">
        <v>1.4E-3</v>
      </c>
      <c r="AJ133" s="137">
        <v>4.4999999999999997E-3</v>
      </c>
      <c r="AK133" s="137">
        <v>8.8000000000000005E-3</v>
      </c>
      <c r="AM133" s="137">
        <v>2.3400000000000001E-2</v>
      </c>
      <c r="AN133" s="137">
        <v>3.7400000000000003E-2</v>
      </c>
      <c r="AO133" s="137">
        <v>6.7699999999999996E-2</v>
      </c>
      <c r="AQ133" s="137">
        <v>6.9999999999999999E-4</v>
      </c>
      <c r="AR133" s="137">
        <v>1.6000000000000001E-3</v>
      </c>
      <c r="AS133" s="137">
        <v>4.7999999999999996E-3</v>
      </c>
      <c r="AT133" s="137">
        <v>9.2999999999999992E-3</v>
      </c>
      <c r="AV133" s="137">
        <v>2.4500000000000001E-2</v>
      </c>
      <c r="AW133" s="137">
        <v>3.9199999999999999E-2</v>
      </c>
      <c r="AX133" s="137">
        <v>7.0999999999999994E-2</v>
      </c>
    </row>
    <row r="134" spans="1:50" s="79" customFormat="1" ht="10.199999999999999" x14ac:dyDescent="0.2">
      <c r="A134" s="97">
        <f ca="1">IF(B134="","",A133+1)</f>
        <v>123</v>
      </c>
      <c r="B134" s="68" t="s">
        <v>211</v>
      </c>
      <c r="C134" s="98">
        <v>0.4</v>
      </c>
      <c r="D134" s="69" t="s">
        <v>66</v>
      </c>
      <c r="E134" s="138" t="s">
        <v>87</v>
      </c>
      <c r="F134" s="159">
        <v>2.9999999999999997E-4</v>
      </c>
      <c r="G134" s="159">
        <v>5.9999999999999995E-4</v>
      </c>
      <c r="H134" s="159">
        <v>1.2999999999999999E-3</v>
      </c>
      <c r="I134" s="159">
        <v>1.8E-3</v>
      </c>
      <c r="J134" s="159" t="s">
        <v>87</v>
      </c>
      <c r="K134" s="159">
        <v>2.8999999999999998E-3</v>
      </c>
      <c r="L134" s="159">
        <v>3.5000000000000001E-3</v>
      </c>
      <c r="M134" s="159">
        <v>4.4999999999999997E-3</v>
      </c>
      <c r="N134" s="139">
        <f t="array" aca="1" ref="N134:AE134" ca="1">IF(OR(B134="",NOT($J$2)),"",GetStripDefaultProbability(A134,B134,Parameter_Date,CDSRollDate,E134:M134,SpreadCurveMaturities,D134,C134,$J$4,$J$6))</f>
        <v>0</v>
      </c>
      <c r="O134" s="166">
        <f ca="1"/>
        <v>2.799239499720052E-4</v>
      </c>
      <c r="P134" s="166">
        <f ca="1"/>
        <v>1.0662255982871738E-3</v>
      </c>
      <c r="Q134" s="166">
        <f ca="1"/>
        <v>4.542504169966044E-3</v>
      </c>
      <c r="R134" s="166">
        <f ca="1"/>
        <v>9.3814323057227478E-3</v>
      </c>
      <c r="S134" s="166">
        <f ca="1"/>
        <v>0</v>
      </c>
      <c r="T134" s="166">
        <f ca="1"/>
        <v>2.5299854110376052E-2</v>
      </c>
      <c r="U134" s="166">
        <f ca="1"/>
        <v>4.2520184968317332E-2</v>
      </c>
      <c r="V134" s="140">
        <f ca="1"/>
        <v>7.8858433924237303E-2</v>
      </c>
      <c r="W134" s="139">
        <f ca="1"/>
        <v>0</v>
      </c>
      <c r="X134" s="166">
        <f ca="1"/>
        <v>3.7321434723358582E-4</v>
      </c>
      <c r="Y134" s="166">
        <f ca="1"/>
        <v>1.2425599600046633E-3</v>
      </c>
      <c r="Z134" s="166">
        <f ca="1"/>
        <v>4.8854896642612777E-3</v>
      </c>
      <c r="AA134" s="166">
        <f ca="1"/>
        <v>9.8894293815382506E-3</v>
      </c>
      <c r="AB134" s="166">
        <f ca="1"/>
        <v>0</v>
      </c>
      <c r="AC134" s="166">
        <f ca="1"/>
        <v>2.6536929819360844E-2</v>
      </c>
      <c r="AD134" s="166">
        <f ca="1"/>
        <v>4.4595682931805603E-2</v>
      </c>
      <c r="AE134" s="140">
        <f ca="1"/>
        <v>8.2671318584336184E-2</v>
      </c>
      <c r="AH134" s="137">
        <v>2.9999999999999997E-4</v>
      </c>
      <c r="AI134" s="137">
        <v>1.1000000000000001E-3</v>
      </c>
      <c r="AJ134" s="137">
        <v>4.4999999999999997E-3</v>
      </c>
      <c r="AK134" s="137">
        <v>9.2999999999999992E-3</v>
      </c>
      <c r="AM134" s="137">
        <v>2.5100000000000001E-2</v>
      </c>
      <c r="AN134" s="137">
        <v>4.24E-2</v>
      </c>
      <c r="AO134" s="137">
        <v>7.8299999999999995E-2</v>
      </c>
      <c r="AQ134" s="137">
        <v>4.0000000000000002E-4</v>
      </c>
      <c r="AR134" s="137">
        <v>1.1999999999999999E-3</v>
      </c>
      <c r="AS134" s="137">
        <v>4.7999999999999996E-3</v>
      </c>
      <c r="AT134" s="137">
        <v>9.7999999999999997E-3</v>
      </c>
      <c r="AV134" s="137">
        <v>2.64E-2</v>
      </c>
      <c r="AW134" s="137">
        <v>4.4400000000000002E-2</v>
      </c>
      <c r="AX134" s="137">
        <v>8.2100000000000006E-2</v>
      </c>
    </row>
    <row r="135" spans="1:50" s="79" customFormat="1" ht="10.199999999999999" x14ac:dyDescent="0.2">
      <c r="A135" s="97">
        <f ca="1">IF(B135="","",A134+1)</f>
        <v>124</v>
      </c>
      <c r="B135" s="68" t="s">
        <v>212</v>
      </c>
      <c r="C135" s="98">
        <v>0.4</v>
      </c>
      <c r="D135" s="69" t="s">
        <v>66</v>
      </c>
      <c r="E135" s="138" t="s">
        <v>87</v>
      </c>
      <c r="F135" s="159">
        <v>5.9999999999999995E-4</v>
      </c>
      <c r="G135" s="159">
        <v>8.9999999999999998E-4</v>
      </c>
      <c r="H135" s="159">
        <v>1.8E-3</v>
      </c>
      <c r="I135" s="159">
        <v>2.5000000000000001E-3</v>
      </c>
      <c r="J135" s="159" t="s">
        <v>87</v>
      </c>
      <c r="K135" s="159">
        <v>3.8999999999999998E-3</v>
      </c>
      <c r="L135" s="159">
        <v>4.7999999999999996E-3</v>
      </c>
      <c r="M135" s="159">
        <v>6.3E-3</v>
      </c>
      <c r="N135" s="139">
        <f t="array" aca="1" ref="N135:AE135" ca="1">IF(OR(B135="",NOT($J$2)),"",GetStripDefaultProbability(A135,B135,Parameter_Date,CDSRollDate,E135:M135,SpreadCurveMaturities,D135,C135,$J$4,$J$6))</f>
        <v>0</v>
      </c>
      <c r="O135" s="166">
        <f ca="1"/>
        <v>5.5976970645477131E-4</v>
      </c>
      <c r="P135" s="166">
        <f ca="1"/>
        <v>1.5951350944676257E-3</v>
      </c>
      <c r="Q135" s="166">
        <f ca="1"/>
        <v>6.2775877793168622E-3</v>
      </c>
      <c r="R135" s="166">
        <f ca="1"/>
        <v>1.3006202943713463E-2</v>
      </c>
      <c r="S135" s="166">
        <f ca="1"/>
        <v>0</v>
      </c>
      <c r="T135" s="166">
        <f ca="1"/>
        <v>3.3863160194048669E-2</v>
      </c>
      <c r="U135" s="166">
        <f ca="1"/>
        <v>5.8051136328367892E-2</v>
      </c>
      <c r="V135" s="140">
        <f ca="1"/>
        <v>0.10950274130915139</v>
      </c>
      <c r="W135" s="139">
        <f ca="1"/>
        <v>0</v>
      </c>
      <c r="X135" s="166">
        <f ca="1"/>
        <v>6.5303351059242676E-4</v>
      </c>
      <c r="Y135" s="166">
        <f ca="1"/>
        <v>1.7713759943314145E-3</v>
      </c>
      <c r="Z135" s="166">
        <f ca="1"/>
        <v>6.620054178803958E-3</v>
      </c>
      <c r="AA135" s="166">
        <f ca="1"/>
        <v>1.364661066740569E-2</v>
      </c>
      <c r="AB135" s="166">
        <f ca="1"/>
        <v>0</v>
      </c>
      <c r="AC135" s="166">
        <f ca="1"/>
        <v>3.5529075440063673E-2</v>
      </c>
      <c r="AD135" s="166">
        <f ca="1"/>
        <v>6.0882036310460186E-2</v>
      </c>
      <c r="AE135" s="140">
        <f ca="1"/>
        <v>0.11474947774912969</v>
      </c>
      <c r="AH135" s="137">
        <v>5.0000000000000001E-4</v>
      </c>
      <c r="AI135" s="137">
        <v>1.6000000000000001E-3</v>
      </c>
      <c r="AJ135" s="137">
        <v>6.1999999999999998E-3</v>
      </c>
      <c r="AK135" s="137">
        <v>1.29E-2</v>
      </c>
      <c r="AM135" s="137">
        <v>3.3700000000000001E-2</v>
      </c>
      <c r="AN135" s="137">
        <v>5.7799999999999997E-2</v>
      </c>
      <c r="AO135" s="137">
        <v>0.10879999999999999</v>
      </c>
      <c r="AQ135" s="137">
        <v>5.9999999999999995E-4</v>
      </c>
      <c r="AR135" s="137">
        <v>1.6999999999999999E-3</v>
      </c>
      <c r="AS135" s="137">
        <v>6.6E-3</v>
      </c>
      <c r="AT135" s="137">
        <v>1.3599999999999999E-2</v>
      </c>
      <c r="AV135" s="137">
        <v>3.5299999999999998E-2</v>
      </c>
      <c r="AW135" s="137">
        <v>6.0600000000000001E-2</v>
      </c>
      <c r="AX135" s="137">
        <v>0.114</v>
      </c>
    </row>
    <row r="136" spans="1:50" s="79" customFormat="1" ht="10.199999999999999" x14ac:dyDescent="0.2">
      <c r="A136" s="97">
        <f ca="1">IF(B136="","",A135+1)</f>
        <v>125</v>
      </c>
      <c r="B136" s="68" t="s">
        <v>213</v>
      </c>
      <c r="C136" s="98">
        <v>0.4</v>
      </c>
      <c r="D136" s="69" t="s">
        <v>66</v>
      </c>
      <c r="E136" s="138" t="s">
        <v>87</v>
      </c>
      <c r="F136" s="159">
        <v>1.1800000000000001E-3</v>
      </c>
      <c r="G136" s="159">
        <v>1.5299999999999999E-3</v>
      </c>
      <c r="H136" s="159">
        <v>2.0699999999999998E-3</v>
      </c>
      <c r="I136" s="159">
        <v>2.49E-3</v>
      </c>
      <c r="J136" s="159" t="s">
        <v>87</v>
      </c>
      <c r="K136" s="159">
        <v>3.2000000000000002E-3</v>
      </c>
      <c r="L136" s="159">
        <v>3.62E-3</v>
      </c>
      <c r="M136" s="159">
        <v>4.0000000000000001E-3</v>
      </c>
      <c r="N136" s="139">
        <f t="array" aca="1" ref="N136:AE136" ca="1">IF(OR(B136="",NOT($J$2)),"",GetStripDefaultProbability(A136,B136,Parameter_Date,CDSRollDate,E136:M136,SpreadCurveMaturities,D136,C136,$J$4,$J$6))</f>
        <v>0</v>
      </c>
      <c r="O136" s="166">
        <f ca="1"/>
        <v>1.1005832353835343E-3</v>
      </c>
      <c r="P136" s="166">
        <f ca="1"/>
        <v>2.7062362980966315E-3</v>
      </c>
      <c r="Q136" s="166">
        <f ca="1"/>
        <v>7.1628538872950953E-3</v>
      </c>
      <c r="R136" s="166">
        <f ca="1"/>
        <v>1.2846229789190144E-2</v>
      </c>
      <c r="S136" s="166">
        <f ca="1"/>
        <v>0</v>
      </c>
      <c r="T136" s="166">
        <f ca="1"/>
        <v>2.7457536690628004E-2</v>
      </c>
      <c r="U136" s="166">
        <f ca="1"/>
        <v>4.3292409296323497E-2</v>
      </c>
      <c r="V136" s="140">
        <f ca="1"/>
        <v>6.7946768770232424E-2</v>
      </c>
      <c r="W136" s="139">
        <f ca="1"/>
        <v>0</v>
      </c>
      <c r="X136" s="166">
        <f ca="1"/>
        <v>1.1937946883282535E-3</v>
      </c>
      <c r="Y136" s="166">
        <f ca="1"/>
        <v>2.8822856275551034E-3</v>
      </c>
      <c r="Z136" s="166">
        <f ca="1"/>
        <v>7.5172381253356679E-3</v>
      </c>
      <c r="AA136" s="166">
        <f ca="1"/>
        <v>1.3482645674187443E-2</v>
      </c>
      <c r="AB136" s="166">
        <f ca="1"/>
        <v>0</v>
      </c>
      <c r="AC136" s="166">
        <f ca="1"/>
        <v>2.8811086378770057E-2</v>
      </c>
      <c r="AD136" s="166">
        <f ca="1"/>
        <v>4.5414346354467172E-2</v>
      </c>
      <c r="AE136" s="140">
        <f ca="1"/>
        <v>7.1237609624192233E-2</v>
      </c>
      <c r="AH136" s="137">
        <v>1.1000000000000001E-3</v>
      </c>
      <c r="AI136" s="137">
        <v>2.7000000000000001E-3</v>
      </c>
      <c r="AJ136" s="137">
        <v>7.1000000000000004E-3</v>
      </c>
      <c r="AK136" s="137">
        <v>1.2800000000000001E-2</v>
      </c>
      <c r="AM136" s="137">
        <v>2.7300000000000001E-2</v>
      </c>
      <c r="AN136" s="137">
        <v>4.3200000000000002E-2</v>
      </c>
      <c r="AO136" s="137">
        <v>6.7799999999999999E-2</v>
      </c>
      <c r="AQ136" s="137">
        <v>1.1999999999999999E-3</v>
      </c>
      <c r="AR136" s="137">
        <v>2.8E-3</v>
      </c>
      <c r="AS136" s="137">
        <v>7.4999999999999997E-3</v>
      </c>
      <c r="AT136" s="137">
        <v>1.34E-2</v>
      </c>
      <c r="AV136" s="137">
        <v>2.87E-2</v>
      </c>
      <c r="AW136" s="137">
        <v>4.53E-2</v>
      </c>
      <c r="AX136" s="137">
        <v>7.0999999999999994E-2</v>
      </c>
    </row>
    <row r="137" spans="1:50" s="79" customFormat="1" ht="10.199999999999999" x14ac:dyDescent="0.2">
      <c r="A137" s="97">
        <f ca="1">IF(B137="","",A136+1)</f>
        <v>126</v>
      </c>
      <c r="B137" s="68" t="s">
        <v>214</v>
      </c>
      <c r="C137" s="98">
        <v>0.4</v>
      </c>
      <c r="D137" s="69" t="s">
        <v>67</v>
      </c>
      <c r="E137" s="138" t="s">
        <v>87</v>
      </c>
      <c r="F137" s="159" t="s">
        <v>87</v>
      </c>
      <c r="G137" s="159">
        <v>7.1500000000000003E-4</v>
      </c>
      <c r="H137" s="159" t="s">
        <v>87</v>
      </c>
      <c r="I137" s="159">
        <v>1.815E-3</v>
      </c>
      <c r="J137" s="159" t="s">
        <v>87</v>
      </c>
      <c r="K137" s="159">
        <v>2.7499999999999998E-3</v>
      </c>
      <c r="L137" s="159">
        <v>3.0799999999999998E-3</v>
      </c>
      <c r="M137" s="159">
        <v>3.63E-3</v>
      </c>
      <c r="N137" s="139">
        <f t="array" aca="1" ref="N137:AE137" ca="1">IF(OR(B137="",NOT($J$2)),"",GetStripDefaultProbability(A137,B137,Parameter_Date,CDSRollDate,E137:M137,SpreadCurveMaturities,D137,C137,$J$4,$J$6))</f>
        <v>0</v>
      </c>
      <c r="O137" s="166">
        <f ca="1"/>
        <v>0</v>
      </c>
      <c r="P137" s="166">
        <f ca="1"/>
        <v>1.2612681894565991E-3</v>
      </c>
      <c r="Q137" s="166">
        <f ca="1"/>
        <v>0</v>
      </c>
      <c r="R137" s="166">
        <f ca="1"/>
        <v>9.4580380976799772E-3</v>
      </c>
      <c r="S137" s="166">
        <f ca="1"/>
        <v>0</v>
      </c>
      <c r="T137" s="166">
        <f ca="1"/>
        <v>2.3951179589335458E-2</v>
      </c>
      <c r="U137" s="166">
        <f ca="1"/>
        <v>3.7232249088328562E-2</v>
      </c>
      <c r="V137" s="140">
        <f ca="1"/>
        <v>6.3198922335934937E-2</v>
      </c>
      <c r="W137" s="139">
        <f ca="1"/>
        <v>0</v>
      </c>
      <c r="X137" s="166">
        <f ca="1"/>
        <v>0</v>
      </c>
      <c r="Y137" s="166">
        <f ca="1"/>
        <v>1.427710774178137E-3</v>
      </c>
      <c r="Z137" s="166">
        <f ca="1"/>
        <v>0</v>
      </c>
      <c r="AA137" s="166">
        <f ca="1"/>
        <v>9.9669296624894654E-3</v>
      </c>
      <c r="AB137" s="166">
        <f ca="1"/>
        <v>0</v>
      </c>
      <c r="AC137" s="166">
        <f ca="1"/>
        <v>2.5126317297840428E-2</v>
      </c>
      <c r="AD137" s="166">
        <f ca="1"/>
        <v>3.9047769230958984E-2</v>
      </c>
      <c r="AE137" s="140">
        <f ca="1"/>
        <v>6.6267121209425239E-2</v>
      </c>
      <c r="AI137" s="137">
        <v>1.1999999999999999E-3</v>
      </c>
      <c r="AK137" s="137">
        <v>9.4000000000000004E-3</v>
      </c>
      <c r="AM137" s="137">
        <v>2.3800000000000002E-2</v>
      </c>
      <c r="AN137" s="137">
        <v>3.7100000000000001E-2</v>
      </c>
      <c r="AO137" s="137">
        <v>6.2799999999999995E-2</v>
      </c>
      <c r="AR137" s="137">
        <v>1.4E-3</v>
      </c>
      <c r="AT137" s="137">
        <v>9.7999999999999997E-3</v>
      </c>
      <c r="AV137" s="137">
        <v>2.4899999999999999E-2</v>
      </c>
      <c r="AW137" s="137">
        <v>3.8899999999999997E-2</v>
      </c>
      <c r="AX137" s="137">
        <v>6.5799999999999997E-2</v>
      </c>
    </row>
    <row r="138" spans="1:50" s="79" customFormat="1" ht="10.199999999999999" x14ac:dyDescent="0.2">
      <c r="A138" s="97">
        <f ca="1">IF(B138="","",A137+1)</f>
        <v>127</v>
      </c>
      <c r="B138" s="68" t="s">
        <v>215</v>
      </c>
      <c r="C138" s="98">
        <v>0.4</v>
      </c>
      <c r="D138" s="69" t="s">
        <v>67</v>
      </c>
      <c r="E138" s="138" t="s">
        <v>87</v>
      </c>
      <c r="F138" s="159" t="s">
        <v>87</v>
      </c>
      <c r="G138" s="159">
        <v>1.4220000000000001E-3</v>
      </c>
      <c r="H138" s="159" t="s">
        <v>87</v>
      </c>
      <c r="I138" s="159">
        <v>2.6410000000000001E-3</v>
      </c>
      <c r="J138" s="159" t="s">
        <v>87</v>
      </c>
      <c r="K138" s="159">
        <v>3.8600000000000001E-3</v>
      </c>
      <c r="L138" s="159">
        <v>4.7739999999999996E-3</v>
      </c>
      <c r="M138" s="159">
        <v>5.6880000000000003E-3</v>
      </c>
      <c r="N138" s="139">
        <f t="array" aca="1" ref="N138:AE138" ca="1">IF(OR(B138="",NOT($J$2)),"",GetStripDefaultProbability(A138,B138,Parameter_Date,CDSRollDate,E138:M138,SpreadCurveMaturities,D138,C138,$J$4,$J$6))</f>
        <v>0</v>
      </c>
      <c r="O138" s="166">
        <f ca="1"/>
        <v>0</v>
      </c>
      <c r="P138" s="166">
        <f ca="1"/>
        <v>2.5068718825357328E-3</v>
      </c>
      <c r="Q138" s="166">
        <f ca="1"/>
        <v>0</v>
      </c>
      <c r="R138" s="166">
        <f ca="1"/>
        <v>1.3687169660761112E-2</v>
      </c>
      <c r="S138" s="166">
        <f ca="1"/>
        <v>0</v>
      </c>
      <c r="T138" s="166">
        <f ca="1"/>
        <v>3.3391804960534066E-2</v>
      </c>
      <c r="U138" s="166">
        <f ca="1"/>
        <v>5.7843345054687689E-2</v>
      </c>
      <c r="V138" s="140">
        <f ca="1"/>
        <v>9.8075556297785749E-2</v>
      </c>
      <c r="W138" s="139">
        <f ca="1"/>
        <v>0</v>
      </c>
      <c r="X138" s="166">
        <f ca="1"/>
        <v>0</v>
      </c>
      <c r="Y138" s="166">
        <f ca="1"/>
        <v>2.6731068839384031E-3</v>
      </c>
      <c r="Z138" s="166">
        <f ca="1"/>
        <v>0</v>
      </c>
      <c r="AA138" s="166">
        <f ca="1"/>
        <v>1.4362974189313538E-2</v>
      </c>
      <c r="AB138" s="166">
        <f ca="1"/>
        <v>0</v>
      </c>
      <c r="AC138" s="166">
        <f ca="1"/>
        <v>3.5038119417466151E-2</v>
      </c>
      <c r="AD138" s="166">
        <f ca="1"/>
        <v>6.0666124691538648E-2</v>
      </c>
      <c r="AE138" s="140">
        <f ca="1"/>
        <v>0.10278724020739183</v>
      </c>
      <c r="AI138" s="137">
        <v>2.5000000000000001E-3</v>
      </c>
      <c r="AK138" s="137">
        <v>1.35E-2</v>
      </c>
      <c r="AM138" s="137">
        <v>3.3099999999999997E-2</v>
      </c>
      <c r="AN138" s="137">
        <v>5.7500000000000002E-2</v>
      </c>
      <c r="AO138" s="137">
        <v>9.7699999999999995E-2</v>
      </c>
      <c r="AR138" s="137">
        <v>2.5999999999999999E-3</v>
      </c>
      <c r="AT138" s="137">
        <v>1.4200000000000001E-2</v>
      </c>
      <c r="AV138" s="137">
        <v>3.4799999999999998E-2</v>
      </c>
      <c r="AW138" s="137">
        <v>6.0299999999999999E-2</v>
      </c>
      <c r="AX138" s="137">
        <v>0.1024</v>
      </c>
    </row>
    <row r="139" spans="1:50" s="79" customFormat="1" ht="10.199999999999999" x14ac:dyDescent="0.2">
      <c r="A139" s="97">
        <f t="shared" ref="A139:A202" ca="1" si="5">IF(B139="","",A138+1)</f>
        <v>128</v>
      </c>
      <c r="B139" s="68" t="s">
        <v>216</v>
      </c>
      <c r="C139" s="98">
        <v>0.4</v>
      </c>
      <c r="D139" s="69" t="s">
        <v>67</v>
      </c>
      <c r="E139" s="138" t="s">
        <v>87</v>
      </c>
      <c r="F139" s="159">
        <v>1.34E-3</v>
      </c>
      <c r="G139" s="159">
        <v>2.0799999999999998E-3</v>
      </c>
      <c r="H139" s="159">
        <v>3.0500000000000002E-3</v>
      </c>
      <c r="I139" s="159">
        <v>3.5400000000000002E-3</v>
      </c>
      <c r="J139" s="159" t="s">
        <v>87</v>
      </c>
      <c r="K139" s="159">
        <v>4.2700000000000004E-3</v>
      </c>
      <c r="L139" s="159">
        <v>4.64E-3</v>
      </c>
      <c r="M139" s="159">
        <v>5.0099999999999997E-3</v>
      </c>
      <c r="N139" s="139">
        <f t="array" aca="1" ref="N139:AE139" ca="1">IF(OR(B139="",NOT($J$2)),"",GetStripDefaultProbability(A139,B139,Parameter_Date,CDSRollDate,E139:M139,SpreadCurveMaturities,D139,C139,$J$4,$J$6))</f>
        <v>0</v>
      </c>
      <c r="O139" s="166">
        <f ca="1"/>
        <v>1.2497407547387152E-3</v>
      </c>
      <c r="P139" s="166">
        <f ca="1"/>
        <v>3.6842256404092666E-3</v>
      </c>
      <c r="Q139" s="166">
        <f ca="1"/>
        <v>1.0556384934248375E-2</v>
      </c>
      <c r="R139" s="166">
        <f ca="1"/>
        <v>1.8214152738074363E-2</v>
      </c>
      <c r="S139" s="166">
        <f ca="1"/>
        <v>0</v>
      </c>
      <c r="T139" s="166">
        <f ca="1"/>
        <v>3.6384837785438884E-2</v>
      </c>
      <c r="U139" s="166">
        <f ca="1"/>
        <v>5.4891213830426611E-2</v>
      </c>
      <c r="V139" s="140">
        <f ca="1"/>
        <v>8.4029909860796836E-2</v>
      </c>
      <c r="W139" s="139">
        <f ca="1"/>
        <v>0</v>
      </c>
      <c r="X139" s="166">
        <f ca="1"/>
        <v>1.342938959872364E-3</v>
      </c>
      <c r="Y139" s="166">
        <f ca="1"/>
        <v>3.8672802431688469E-3</v>
      </c>
      <c r="Z139" s="166">
        <f ca="1"/>
        <v>1.1082315763044637E-2</v>
      </c>
      <c r="AA139" s="166">
        <f ca="1"/>
        <v>1.9116760410253231E-2</v>
      </c>
      <c r="AB139" s="166">
        <f ca="1"/>
        <v>0</v>
      </c>
      <c r="AC139" s="166">
        <f ca="1"/>
        <v>3.8174976534078087E-2</v>
      </c>
      <c r="AD139" s="166">
        <f ca="1"/>
        <v>5.7565947777471815E-2</v>
      </c>
      <c r="AE139" s="140">
        <f ca="1"/>
        <v>8.8095096033088294E-2</v>
      </c>
      <c r="AH139" s="137">
        <v>1.1999999999999999E-3</v>
      </c>
      <c r="AI139" s="137">
        <v>3.5999999999999999E-3</v>
      </c>
      <c r="AJ139" s="137">
        <v>1.0500000000000001E-2</v>
      </c>
      <c r="AK139" s="137">
        <v>1.8100000000000002E-2</v>
      </c>
      <c r="AM139" s="137">
        <v>3.6200000000000003E-2</v>
      </c>
      <c r="AN139" s="137">
        <v>5.4800000000000001E-2</v>
      </c>
      <c r="AO139" s="137">
        <v>8.3799999999999999E-2</v>
      </c>
      <c r="AQ139" s="137">
        <v>1.2999999999999999E-3</v>
      </c>
      <c r="AR139" s="137">
        <v>3.8E-3</v>
      </c>
      <c r="AS139" s="137">
        <v>1.0999999999999999E-2</v>
      </c>
      <c r="AT139" s="137">
        <v>1.9E-2</v>
      </c>
      <c r="AV139" s="137">
        <v>3.7999999999999999E-2</v>
      </c>
      <c r="AW139" s="137">
        <v>5.74E-2</v>
      </c>
      <c r="AX139" s="137">
        <v>8.7800000000000003E-2</v>
      </c>
    </row>
    <row r="140" spans="1:50" s="79" customFormat="1" ht="10.199999999999999" x14ac:dyDescent="0.2">
      <c r="A140" s="97">
        <f t="shared" ca="1" si="5"/>
        <v>129</v>
      </c>
      <c r="B140" s="68" t="s">
        <v>217</v>
      </c>
      <c r="C140" s="98">
        <v>0.4</v>
      </c>
      <c r="D140" s="69" t="s">
        <v>67</v>
      </c>
      <c r="E140" s="138" t="s">
        <v>87</v>
      </c>
      <c r="F140" s="159" t="s">
        <v>87</v>
      </c>
      <c r="G140" s="159">
        <v>7.7700000000000002E-4</v>
      </c>
      <c r="H140" s="159" t="s">
        <v>87</v>
      </c>
      <c r="I140" s="159">
        <v>1.4959999999999999E-3</v>
      </c>
      <c r="J140" s="159" t="s">
        <v>87</v>
      </c>
      <c r="K140" s="159">
        <v>2.1710000000000002E-3</v>
      </c>
      <c r="L140" s="159">
        <v>2.5089999999999999E-3</v>
      </c>
      <c r="M140" s="159">
        <v>3.4740000000000001E-3</v>
      </c>
      <c r="N140" s="139">
        <f t="array" aca="1" ref="N140:AE140" ca="1">IF(OR(B140="",NOT($J$2)),"",GetStripDefaultProbability(A140,B140,Parameter_Date,CDSRollDate,E140:M140,SpreadCurveMaturities,D140,C140,$J$4,$J$6))</f>
        <v>0</v>
      </c>
      <c r="O140" s="166">
        <f ca="1"/>
        <v>0</v>
      </c>
      <c r="P140" s="166">
        <f ca="1"/>
        <v>1.3705624702581298E-3</v>
      </c>
      <c r="Q140" s="166">
        <f ca="1"/>
        <v>0</v>
      </c>
      <c r="R140" s="166">
        <f ca="1"/>
        <v>7.7689046402714679E-3</v>
      </c>
      <c r="S140" s="166">
        <f ca="1"/>
        <v>0</v>
      </c>
      <c r="T140" s="166">
        <f ca="1"/>
        <v>1.8875785466160866E-2</v>
      </c>
      <c r="U140" s="166">
        <f ca="1"/>
        <v>3.0462550292625901E-2</v>
      </c>
      <c r="V140" s="140">
        <f ca="1"/>
        <v>6.2239354373922917E-2</v>
      </c>
      <c r="W140" s="139">
        <f ca="1"/>
        <v>0</v>
      </c>
      <c r="X140" s="166">
        <f ca="1"/>
        <v>0</v>
      </c>
      <c r="Y140" s="166">
        <f ca="1"/>
        <v>1.5369868407477671E-3</v>
      </c>
      <c r="Z140" s="166">
        <f ca="1"/>
        <v>0</v>
      </c>
      <c r="AA140" s="166">
        <f ca="1"/>
        <v>8.2784260025076106E-3</v>
      </c>
      <c r="AB140" s="166">
        <f ca="1"/>
        <v>0</v>
      </c>
      <c r="AC140" s="166">
        <f ca="1"/>
        <v>1.9788711746525078E-2</v>
      </c>
      <c r="AD140" s="166">
        <f ca="1"/>
        <v>3.194596153584961E-2</v>
      </c>
      <c r="AE140" s="140">
        <f ca="1"/>
        <v>6.5255718176105093E-2</v>
      </c>
      <c r="AI140" s="137">
        <v>1.4E-3</v>
      </c>
      <c r="AK140" s="137">
        <v>7.7000000000000002E-3</v>
      </c>
      <c r="AM140" s="137">
        <v>1.8700000000000001E-2</v>
      </c>
      <c r="AN140" s="137">
        <v>3.0300000000000001E-2</v>
      </c>
      <c r="AO140" s="137">
        <v>6.1699999999999998E-2</v>
      </c>
      <c r="AR140" s="137">
        <v>1.5E-3</v>
      </c>
      <c r="AT140" s="137">
        <v>8.2000000000000007E-3</v>
      </c>
      <c r="AV140" s="137">
        <v>1.9699999999999999E-2</v>
      </c>
      <c r="AW140" s="137">
        <v>3.1800000000000002E-2</v>
      </c>
      <c r="AX140" s="137">
        <v>6.4600000000000005E-2</v>
      </c>
    </row>
    <row r="141" spans="1:50" s="79" customFormat="1" ht="10.199999999999999" x14ac:dyDescent="0.2">
      <c r="A141" s="97">
        <f t="shared" ca="1" si="5"/>
        <v>130</v>
      </c>
      <c r="B141" s="68" t="s">
        <v>218</v>
      </c>
      <c r="C141" s="98">
        <v>0.4</v>
      </c>
      <c r="D141" s="69" t="s">
        <v>67</v>
      </c>
      <c r="E141" s="138" t="s">
        <v>87</v>
      </c>
      <c r="F141" s="159" t="s">
        <v>87</v>
      </c>
      <c r="G141" s="159">
        <v>9.4300000000000004E-4</v>
      </c>
      <c r="H141" s="159" t="s">
        <v>87</v>
      </c>
      <c r="I141" s="159">
        <v>2.702E-3</v>
      </c>
      <c r="J141" s="159" t="s">
        <v>87</v>
      </c>
      <c r="K141" s="159">
        <v>3.908E-3</v>
      </c>
      <c r="L141" s="159">
        <v>4.6319999999999998E-3</v>
      </c>
      <c r="M141" s="159">
        <v>5.6940000000000003E-3</v>
      </c>
      <c r="N141" s="139">
        <f t="array" aca="1" ref="N141:AE141" ca="1">IF(OR(B141="",NOT($J$2)),"",GetStripDefaultProbability(A141,B141,Parameter_Date,CDSRollDate,E141:M141,SpreadCurveMaturities,D141,C141,$J$4,$J$6))</f>
        <v>0</v>
      </c>
      <c r="O141" s="166">
        <f ca="1"/>
        <v>0</v>
      </c>
      <c r="P141" s="166">
        <f ca="1"/>
        <v>1.663130665910062E-3</v>
      </c>
      <c r="Q141" s="166">
        <f ca="1"/>
        <v>0</v>
      </c>
      <c r="R141" s="166">
        <f ca="1"/>
        <v>1.4108745010326662E-2</v>
      </c>
      <c r="S141" s="166">
        <f ca="1"/>
        <v>0</v>
      </c>
      <c r="T141" s="166">
        <f ca="1"/>
        <v>3.3842166135790053E-2</v>
      </c>
      <c r="U141" s="166">
        <f ca="1"/>
        <v>5.5952408974037748E-2</v>
      </c>
      <c r="V141" s="140">
        <f ca="1"/>
        <v>9.862725795572036E-2</v>
      </c>
      <c r="W141" s="139">
        <f ca="1"/>
        <v>0</v>
      </c>
      <c r="X141" s="166">
        <f ca="1"/>
        <v>0</v>
      </c>
      <c r="Y141" s="166">
        <f ca="1"/>
        <v>1.82950627909928E-3</v>
      </c>
      <c r="Z141" s="166">
        <f ca="1"/>
        <v>0</v>
      </c>
      <c r="AA141" s="166">
        <f ca="1"/>
        <v>1.4800886910025679E-2</v>
      </c>
      <c r="AB141" s="166">
        <f ca="1"/>
        <v>0</v>
      </c>
      <c r="AC141" s="166">
        <f ca="1"/>
        <v>3.5507397000038909E-2</v>
      </c>
      <c r="AD141" s="166">
        <f ca="1"/>
        <v>5.8679859647150501E-2</v>
      </c>
      <c r="AE141" s="140">
        <f ca="1"/>
        <v>0.10336422736768214</v>
      </c>
      <c r="AI141" s="137">
        <v>1.6000000000000001E-3</v>
      </c>
      <c r="AK141" s="137">
        <v>1.3899999999999999E-2</v>
      </c>
      <c r="AM141" s="137">
        <v>3.3599999999999998E-2</v>
      </c>
      <c r="AN141" s="137">
        <v>5.57E-2</v>
      </c>
      <c r="AO141" s="137">
        <v>9.8100000000000007E-2</v>
      </c>
      <c r="AR141" s="137">
        <v>1.8E-3</v>
      </c>
      <c r="AT141" s="137">
        <v>1.46E-2</v>
      </c>
      <c r="AV141" s="137">
        <v>3.5299999999999998E-2</v>
      </c>
      <c r="AW141" s="137">
        <v>5.8400000000000001E-2</v>
      </c>
      <c r="AX141" s="137">
        <v>0.1028</v>
      </c>
    </row>
    <row r="142" spans="1:50" s="79" customFormat="1" ht="10.199999999999999" x14ac:dyDescent="0.2">
      <c r="A142" s="97">
        <f t="shared" ca="1" si="5"/>
        <v>131</v>
      </c>
      <c r="B142" s="68" t="s">
        <v>219</v>
      </c>
      <c r="C142" s="98">
        <v>0.4</v>
      </c>
      <c r="D142" s="69" t="s">
        <v>67</v>
      </c>
      <c r="E142" s="138" t="s">
        <v>87</v>
      </c>
      <c r="F142" s="159" t="s">
        <v>87</v>
      </c>
      <c r="G142" s="159">
        <v>1.206E-3</v>
      </c>
      <c r="H142" s="159" t="s">
        <v>87</v>
      </c>
      <c r="I142" s="159">
        <v>1.9189999999999999E-3</v>
      </c>
      <c r="J142" s="159" t="s">
        <v>87</v>
      </c>
      <c r="K142" s="159">
        <v>2.4130000000000002E-3</v>
      </c>
      <c r="L142" s="159">
        <v>2.6809999999999998E-3</v>
      </c>
      <c r="M142" s="159">
        <v>3.2169999999999998E-3</v>
      </c>
      <c r="N142" s="139">
        <f t="array" aca="1" ref="N142:AE142" ca="1">IF(OR(B142="",NOT($J$2)),"",GetStripDefaultProbability(A142,B142,Parameter_Date,CDSRollDate,E142:M142,SpreadCurveMaturities,D142,C142,$J$4,$J$6))</f>
        <v>0</v>
      </c>
      <c r="O142" s="166">
        <f ca="1"/>
        <v>0</v>
      </c>
      <c r="P142" s="166">
        <f ca="1"/>
        <v>2.1264832855441007E-3</v>
      </c>
      <c r="Q142" s="166">
        <f ca="1"/>
        <v>0</v>
      </c>
      <c r="R142" s="166">
        <f ca="1"/>
        <v>9.9170010818642185E-3</v>
      </c>
      <c r="S142" s="166">
        <f ca="1"/>
        <v>0</v>
      </c>
      <c r="T142" s="166">
        <f ca="1"/>
        <v>2.0737061570141546E-2</v>
      </c>
      <c r="U142" s="166">
        <f ca="1"/>
        <v>3.2195435593082578E-2</v>
      </c>
      <c r="V142" s="140">
        <f ca="1"/>
        <v>5.5972924434011806E-2</v>
      </c>
      <c r="W142" s="139">
        <f ca="1"/>
        <v>0</v>
      </c>
      <c r="X142" s="166">
        <f ca="1"/>
        <v>0</v>
      </c>
      <c r="Y142" s="166">
        <f ca="1"/>
        <v>2.2927816797388978E-3</v>
      </c>
      <c r="Z142" s="166">
        <f ca="1"/>
        <v>0</v>
      </c>
      <c r="AA142" s="166">
        <f ca="1"/>
        <v>1.0425433537874396E-2</v>
      </c>
      <c r="AB142" s="166">
        <f ca="1"/>
        <v>0</v>
      </c>
      <c r="AC142" s="166">
        <f ca="1"/>
        <v>2.1758833802591693E-2</v>
      </c>
      <c r="AD142" s="166">
        <f ca="1"/>
        <v>3.3774315205192584E-2</v>
      </c>
      <c r="AE142" s="140">
        <f ca="1"/>
        <v>5.8699759191313317E-2</v>
      </c>
      <c r="AI142" s="137">
        <v>2.0999999999999999E-3</v>
      </c>
      <c r="AK142" s="137">
        <v>9.7999999999999997E-3</v>
      </c>
      <c r="AM142" s="137">
        <v>2.06E-2</v>
      </c>
      <c r="AN142" s="137">
        <v>3.2099999999999997E-2</v>
      </c>
      <c r="AO142" s="137">
        <v>5.57E-2</v>
      </c>
      <c r="AR142" s="137">
        <v>2.3E-3</v>
      </c>
      <c r="AT142" s="137">
        <v>1.03E-2</v>
      </c>
      <c r="AV142" s="137">
        <v>2.1600000000000001E-2</v>
      </c>
      <c r="AW142" s="137">
        <v>3.3599999999999998E-2</v>
      </c>
      <c r="AX142" s="137">
        <v>5.8400000000000001E-2</v>
      </c>
    </row>
    <row r="143" spans="1:50" s="79" customFormat="1" ht="10.199999999999999" x14ac:dyDescent="0.2">
      <c r="A143" s="97">
        <f t="shared" ca="1" si="5"/>
        <v>132</v>
      </c>
      <c r="B143" s="68" t="s">
        <v>220</v>
      </c>
      <c r="C143" s="98">
        <v>0.4</v>
      </c>
      <c r="D143" s="69" t="s">
        <v>67</v>
      </c>
      <c r="E143" s="138" t="s">
        <v>87</v>
      </c>
      <c r="F143" s="159" t="s">
        <v>87</v>
      </c>
      <c r="G143" s="159">
        <v>1.178E-3</v>
      </c>
      <c r="H143" s="159" t="s">
        <v>87</v>
      </c>
      <c r="I143" s="159">
        <v>2.3010000000000001E-3</v>
      </c>
      <c r="J143" s="159" t="s">
        <v>87</v>
      </c>
      <c r="K143" s="159">
        <v>3.3779999999999999E-3</v>
      </c>
      <c r="L143" s="159">
        <v>4.3559999999999996E-3</v>
      </c>
      <c r="M143" s="159">
        <v>5.3350000000000003E-3</v>
      </c>
      <c r="N143" s="139">
        <f t="array" aca="1" ref="N143:AE143" ca="1">IF(OR(B143="",NOT($J$2)),"",GetStripDefaultProbability(A143,B143,Parameter_Date,CDSRollDate,E143:M143,SpreadCurveMaturities,D143,C143,$J$4,$J$6))</f>
        <v>0</v>
      </c>
      <c r="O143" s="166">
        <f ca="1"/>
        <v>0</v>
      </c>
      <c r="P143" s="166">
        <f ca="1"/>
        <v>2.0771631184574035E-3</v>
      </c>
      <c r="Q143" s="166">
        <f ca="1"/>
        <v>0</v>
      </c>
      <c r="R143" s="166">
        <f ca="1"/>
        <v>1.1928149727095883E-2</v>
      </c>
      <c r="S143" s="166">
        <f ca="1"/>
        <v>0</v>
      </c>
      <c r="T143" s="166">
        <f ca="1"/>
        <v>2.9282822073046333E-2</v>
      </c>
      <c r="U143" s="166">
        <f ca="1"/>
        <v>5.3151250697880847E-2</v>
      </c>
      <c r="V143" s="140">
        <f ca="1"/>
        <v>9.2829785569298107E-2</v>
      </c>
      <c r="W143" s="139">
        <f ca="1"/>
        <v>0</v>
      </c>
      <c r="X143" s="166">
        <f ca="1"/>
        <v>0</v>
      </c>
      <c r="Y143" s="166">
        <f ca="1"/>
        <v>2.2434697319880792E-3</v>
      </c>
      <c r="Z143" s="166">
        <f ca="1"/>
        <v>0</v>
      </c>
      <c r="AA143" s="166">
        <f ca="1"/>
        <v>1.2514687197400343E-2</v>
      </c>
      <c r="AB143" s="166">
        <f ca="1"/>
        <v>0</v>
      </c>
      <c r="AC143" s="166">
        <f ca="1"/>
        <v>3.0727668698466104E-2</v>
      </c>
      <c r="AD143" s="166">
        <f ca="1"/>
        <v>5.5749946780459414E-2</v>
      </c>
      <c r="AE143" s="140">
        <f ca="1"/>
        <v>9.7303586629657546E-2</v>
      </c>
      <c r="AI143" s="137">
        <v>2.0999999999999999E-3</v>
      </c>
      <c r="AK143" s="137">
        <v>1.18E-2</v>
      </c>
      <c r="AM143" s="137">
        <v>2.9100000000000001E-2</v>
      </c>
      <c r="AN143" s="137">
        <v>5.28E-2</v>
      </c>
      <c r="AO143" s="137">
        <v>9.2499999999999999E-2</v>
      </c>
      <c r="AR143" s="137">
        <v>2.2000000000000001E-3</v>
      </c>
      <c r="AT143" s="137">
        <v>1.24E-2</v>
      </c>
      <c r="AV143" s="137">
        <v>3.0499999999999999E-2</v>
      </c>
      <c r="AW143" s="137">
        <v>5.5399999999999998E-2</v>
      </c>
      <c r="AX143" s="137">
        <v>9.69E-2</v>
      </c>
    </row>
    <row r="144" spans="1:50" s="79" customFormat="1" ht="10.199999999999999" x14ac:dyDescent="0.2">
      <c r="A144" s="97">
        <f t="shared" ca="1" si="5"/>
        <v>133</v>
      </c>
      <c r="B144" s="68" t="s">
        <v>221</v>
      </c>
      <c r="C144" s="98">
        <v>0.4</v>
      </c>
      <c r="D144" s="69" t="s">
        <v>67</v>
      </c>
      <c r="E144" s="138" t="s">
        <v>87</v>
      </c>
      <c r="F144" s="159" t="s">
        <v>87</v>
      </c>
      <c r="G144" s="159">
        <v>1.1900000000000001E-3</v>
      </c>
      <c r="H144" s="159" t="s">
        <v>87</v>
      </c>
      <c r="I144" s="159">
        <v>2.4269999999999999E-3</v>
      </c>
      <c r="J144" s="159" t="s">
        <v>87</v>
      </c>
      <c r="K144" s="159">
        <v>3.522E-3</v>
      </c>
      <c r="L144" s="159">
        <v>3.6649999999999999E-3</v>
      </c>
      <c r="M144" s="159">
        <v>3.8549999999999999E-3</v>
      </c>
      <c r="N144" s="139">
        <f t="array" aca="1" ref="N144:AE144" ca="1">IF(OR(B144="",NOT($J$2)),"",GetStripDefaultProbability(A144,B144,Parameter_Date,CDSRollDate,E144:M144,SpreadCurveMaturities,D144,C144,$J$4,$J$6))</f>
        <v>0</v>
      </c>
      <c r="O144" s="166">
        <f ca="1"/>
        <v>0</v>
      </c>
      <c r="P144" s="166">
        <f ca="1"/>
        <v>2.0983006290175021E-3</v>
      </c>
      <c r="Q144" s="166">
        <f ca="1"/>
        <v>0</v>
      </c>
      <c r="R144" s="166">
        <f ca="1"/>
        <v>1.2607515076414111E-2</v>
      </c>
      <c r="S144" s="166">
        <f ca="1"/>
        <v>0</v>
      </c>
      <c r="T144" s="166">
        <f ca="1"/>
        <v>3.0494720923414653E-2</v>
      </c>
      <c r="U144" s="166">
        <f ca="1"/>
        <v>4.366516740056281E-2</v>
      </c>
      <c r="V144" s="140">
        <f ca="1"/>
        <v>6.5159938670369733E-2</v>
      </c>
      <c r="W144" s="139">
        <f ca="1"/>
        <v>0</v>
      </c>
      <c r="X144" s="166">
        <f ca="1"/>
        <v>0</v>
      </c>
      <c r="Y144" s="166">
        <f ca="1"/>
        <v>2.2646037199506308E-3</v>
      </c>
      <c r="Z144" s="166">
        <f ca="1"/>
        <v>0</v>
      </c>
      <c r="AA144" s="166">
        <f ca="1"/>
        <v>1.3227621701171643E-2</v>
      </c>
      <c r="AB144" s="166">
        <f ca="1"/>
        <v>0</v>
      </c>
      <c r="AC144" s="166">
        <f ca="1"/>
        <v>3.1999041838801867E-2</v>
      </c>
      <c r="AD144" s="166">
        <f ca="1"/>
        <v>4.5798942267498699E-2</v>
      </c>
      <c r="AE144" s="140">
        <f ca="1"/>
        <v>6.8318717915600624E-2</v>
      </c>
      <c r="AI144" s="137">
        <v>2.0999999999999999E-3</v>
      </c>
      <c r="AK144" s="137">
        <v>1.2500000000000001E-2</v>
      </c>
      <c r="AM144" s="137">
        <v>3.0300000000000001E-2</v>
      </c>
      <c r="AN144" s="137">
        <v>4.3499999999999997E-2</v>
      </c>
      <c r="AO144" s="137">
        <v>6.4799999999999996E-2</v>
      </c>
      <c r="AR144" s="137">
        <v>2.2000000000000001E-3</v>
      </c>
      <c r="AT144" s="137">
        <v>1.3100000000000001E-2</v>
      </c>
      <c r="AV144" s="137">
        <v>3.1800000000000002E-2</v>
      </c>
      <c r="AW144" s="137">
        <v>4.5699999999999998E-2</v>
      </c>
      <c r="AX144" s="137">
        <v>6.7900000000000002E-2</v>
      </c>
    </row>
    <row r="145" spans="1:50" s="79" customFormat="1" ht="10.199999999999999" x14ac:dyDescent="0.2">
      <c r="A145" s="97">
        <f t="shared" ca="1" si="5"/>
        <v>134</v>
      </c>
      <c r="B145" s="68" t="s">
        <v>222</v>
      </c>
      <c r="C145" s="98">
        <v>0.4</v>
      </c>
      <c r="D145" s="69" t="s">
        <v>67</v>
      </c>
      <c r="E145" s="138" t="s">
        <v>87</v>
      </c>
      <c r="F145" s="159" t="s">
        <v>87</v>
      </c>
      <c r="G145" s="159">
        <v>1.103E-3</v>
      </c>
      <c r="H145" s="159" t="s">
        <v>87</v>
      </c>
      <c r="I145" s="159">
        <v>1.805E-3</v>
      </c>
      <c r="J145" s="159" t="s">
        <v>87</v>
      </c>
      <c r="K145" s="159">
        <v>2.5569999999999998E-3</v>
      </c>
      <c r="L145" s="159">
        <v>3.46E-3</v>
      </c>
      <c r="M145" s="159">
        <v>4.2620000000000002E-3</v>
      </c>
      <c r="N145" s="139">
        <f t="array" aca="1" ref="N145:AE145" ca="1">IF(OR(B145="",NOT($J$2)),"",GetStripDefaultProbability(A145,B145,Parameter_Date,CDSRollDate,E145:M145,SpreadCurveMaturities,D145,C145,$J$4,$J$6))</f>
        <v>0</v>
      </c>
      <c r="O145" s="166">
        <f ca="1"/>
        <v>0</v>
      </c>
      <c r="P145" s="166">
        <f ca="1"/>
        <v>1.9450436136972948E-3</v>
      </c>
      <c r="Q145" s="166">
        <f ca="1"/>
        <v>0</v>
      </c>
      <c r="R145" s="166">
        <f ca="1"/>
        <v>9.3362260014713261E-3</v>
      </c>
      <c r="S145" s="166">
        <f ca="1"/>
        <v>0</v>
      </c>
      <c r="T145" s="166">
        <f ca="1"/>
        <v>2.2154507652489386E-2</v>
      </c>
      <c r="U145" s="166">
        <f ca="1"/>
        <v>4.2525462427653316E-2</v>
      </c>
      <c r="V145" s="140">
        <f ca="1"/>
        <v>7.4775052455896995E-2</v>
      </c>
      <c r="W145" s="139">
        <f ca="1"/>
        <v>0</v>
      </c>
      <c r="X145" s="166">
        <f ca="1"/>
        <v>0</v>
      </c>
      <c r="Y145" s="166">
        <f ca="1"/>
        <v>2.1113722453204309E-3</v>
      </c>
      <c r="Z145" s="166">
        <f ca="1"/>
        <v>0</v>
      </c>
      <c r="AA145" s="166">
        <f ca="1"/>
        <v>9.8449452641544699E-3</v>
      </c>
      <c r="AB145" s="166">
        <f ca="1"/>
        <v>0</v>
      </c>
      <c r="AC145" s="166">
        <f ca="1"/>
        <v>2.3241426023913436E-2</v>
      </c>
      <c r="AD145" s="166">
        <f ca="1"/>
        <v>4.4607380032169797E-2</v>
      </c>
      <c r="AE145" s="140">
        <f ca="1"/>
        <v>7.8395768714727643E-2</v>
      </c>
      <c r="AI145" s="137">
        <v>1.9E-3</v>
      </c>
      <c r="AK145" s="137">
        <v>9.1999999999999998E-3</v>
      </c>
      <c r="AM145" s="137">
        <v>2.1999999999999999E-2</v>
      </c>
      <c r="AN145" s="137">
        <v>4.2299999999999997E-2</v>
      </c>
      <c r="AO145" s="137">
        <v>7.46E-2</v>
      </c>
      <c r="AR145" s="137">
        <v>2.0999999999999999E-3</v>
      </c>
      <c r="AT145" s="137">
        <v>9.7000000000000003E-3</v>
      </c>
      <c r="AV145" s="137">
        <v>2.3099999999999999E-2</v>
      </c>
      <c r="AW145" s="137">
        <v>4.4299999999999999E-2</v>
      </c>
      <c r="AX145" s="137">
        <v>7.8200000000000006E-2</v>
      </c>
    </row>
    <row r="146" spans="1:50" s="79" customFormat="1" ht="10.199999999999999" x14ac:dyDescent="0.2">
      <c r="A146" s="97">
        <f t="shared" ca="1" si="5"/>
        <v>135</v>
      </c>
      <c r="B146" s="68" t="s">
        <v>223</v>
      </c>
      <c r="C146" s="98">
        <v>0.4</v>
      </c>
      <c r="D146" s="69" t="s">
        <v>67</v>
      </c>
      <c r="E146" s="138" t="s">
        <v>87</v>
      </c>
      <c r="F146" s="159" t="s">
        <v>87</v>
      </c>
      <c r="G146" s="159">
        <v>1.1720000000000001E-3</v>
      </c>
      <c r="H146" s="159" t="s">
        <v>87</v>
      </c>
      <c r="I146" s="159">
        <v>3.0980000000000001E-3</v>
      </c>
      <c r="J146" s="159" t="s">
        <v>87</v>
      </c>
      <c r="K146" s="159">
        <v>3.908E-3</v>
      </c>
      <c r="L146" s="159">
        <v>4.8139999999999997E-3</v>
      </c>
      <c r="M146" s="159">
        <v>6.1479999999999998E-3</v>
      </c>
      <c r="N146" s="139">
        <f t="array" aca="1" ref="N146:AE146" ca="1">IF(OR(B146="",NOT($J$2)),"",GetStripDefaultProbability(A146,B146,Parameter_Date,CDSRollDate,E146:M146,SpreadCurveMaturities,D146,C146,$J$4,$J$6))</f>
        <v>0</v>
      </c>
      <c r="O146" s="166">
        <f ca="1"/>
        <v>0</v>
      </c>
      <c r="P146" s="166">
        <f ca="1"/>
        <v>2.0665941966084844E-3</v>
      </c>
      <c r="Q146" s="166">
        <f ca="1"/>
        <v>0</v>
      </c>
      <c r="R146" s="166">
        <f ca="1"/>
        <v>1.6146505705273095E-2</v>
      </c>
      <c r="S146" s="166">
        <f ca="1"/>
        <v>0</v>
      </c>
      <c r="T146" s="166">
        <f ca="1"/>
        <v>3.3518142226680037E-2</v>
      </c>
      <c r="U146" s="166">
        <f ca="1"/>
        <v>5.8153024764168837E-2</v>
      </c>
      <c r="V146" s="140">
        <f ca="1"/>
        <v>0.10664615386903786</v>
      </c>
      <c r="W146" s="139">
        <f ca="1"/>
        <v>0</v>
      </c>
      <c r="X146" s="166">
        <f ca="1"/>
        <v>0</v>
      </c>
      <c r="Y146" s="166">
        <f ca="1"/>
        <v>2.2329025714868944E-3</v>
      </c>
      <c r="Z146" s="166">
        <f ca="1"/>
        <v>0</v>
      </c>
      <c r="AA146" s="166">
        <f ca="1"/>
        <v>1.6941693943246183E-2</v>
      </c>
      <c r="AB146" s="166">
        <f ca="1"/>
        <v>0</v>
      </c>
      <c r="AC146" s="166">
        <f ca="1"/>
        <v>3.5166759692665472E-2</v>
      </c>
      <c r="AD146" s="166">
        <f ca="1"/>
        <v>6.0987103975732149E-2</v>
      </c>
      <c r="AE146" s="140">
        <f ca="1"/>
        <v>0.11175931944713191</v>
      </c>
      <c r="AI146" s="137">
        <v>2E-3</v>
      </c>
      <c r="AK146" s="137">
        <v>1.5900000000000001E-2</v>
      </c>
      <c r="AM146" s="137">
        <v>3.3300000000000003E-2</v>
      </c>
      <c r="AN146" s="137">
        <v>5.7799999999999997E-2</v>
      </c>
      <c r="AO146" s="137">
        <v>0.1062</v>
      </c>
      <c r="AR146" s="137">
        <v>2.2000000000000001E-3</v>
      </c>
      <c r="AT146" s="137">
        <v>1.67E-2</v>
      </c>
      <c r="AV146" s="137">
        <v>3.5000000000000003E-2</v>
      </c>
      <c r="AW146" s="137">
        <v>6.0600000000000001E-2</v>
      </c>
      <c r="AX146" s="137">
        <v>0.1113</v>
      </c>
    </row>
    <row r="147" spans="1:50" s="79" customFormat="1" ht="10.199999999999999" x14ac:dyDescent="0.2">
      <c r="A147" s="97">
        <f t="shared" ca="1" si="5"/>
        <v>136</v>
      </c>
      <c r="B147" s="68" t="s">
        <v>224</v>
      </c>
      <c r="C147" s="98">
        <v>0.4</v>
      </c>
      <c r="D147" s="69" t="s">
        <v>67</v>
      </c>
      <c r="E147" s="138" t="s">
        <v>87</v>
      </c>
      <c r="F147" s="159" t="s">
        <v>87</v>
      </c>
      <c r="G147" s="159">
        <v>1.0380000000000001E-3</v>
      </c>
      <c r="H147" s="159" t="s">
        <v>87</v>
      </c>
      <c r="I147" s="159">
        <v>2.8470000000000001E-3</v>
      </c>
      <c r="J147" s="159" t="s">
        <v>87</v>
      </c>
      <c r="K147" s="159">
        <v>4.3429999999999996E-3</v>
      </c>
      <c r="L147" s="159">
        <v>5.4520000000000002E-3</v>
      </c>
      <c r="M147" s="159">
        <v>7.1890000000000001E-3</v>
      </c>
      <c r="N147" s="139">
        <f t="array" aca="1" ref="N147:AE147" ca="1">IF(OR(B147="",NOT($J$2)),"",GetStripDefaultProbability(A147,B147,Parameter_Date,CDSRollDate,E147:M147,SpreadCurveMaturities,D147,C147,$J$4,$J$6))</f>
        <v>0</v>
      </c>
      <c r="O147" s="166">
        <f ca="1"/>
        <v>0</v>
      </c>
      <c r="P147" s="166">
        <f ca="1"/>
        <v>1.830526005779598E-3</v>
      </c>
      <c r="Q147" s="166">
        <f ca="1"/>
        <v>0</v>
      </c>
      <c r="R147" s="166">
        <f ca="1"/>
        <v>1.485292362035695E-2</v>
      </c>
      <c r="S147" s="166">
        <f ca="1"/>
        <v>0</v>
      </c>
      <c r="T147" s="166">
        <f ca="1"/>
        <v>3.7678447786711478E-2</v>
      </c>
      <c r="U147" s="166">
        <f ca="1"/>
        <v>6.6150846608787339E-2</v>
      </c>
      <c r="V147" s="140">
        <f ca="1"/>
        <v>0.12536877874902408</v>
      </c>
      <c r="W147" s="139">
        <f ca="1"/>
        <v>0</v>
      </c>
      <c r="X147" s="166">
        <f ca="1"/>
        <v>0</v>
      </c>
      <c r="Y147" s="166">
        <f ca="1"/>
        <v>1.9968737220774635E-3</v>
      </c>
      <c r="Z147" s="166">
        <f ca="1"/>
        <v>0</v>
      </c>
      <c r="AA147" s="166">
        <f ca="1"/>
        <v>1.5582817626648149E-2</v>
      </c>
      <c r="AB147" s="166">
        <f ca="1"/>
        <v>0</v>
      </c>
      <c r="AC147" s="166">
        <f ca="1"/>
        <v>3.9531708450165182E-2</v>
      </c>
      <c r="AD147" s="166">
        <f ca="1"/>
        <v>6.9368803102718868E-2</v>
      </c>
      <c r="AE147" s="140">
        <f ca="1"/>
        <v>0.13134520651737491</v>
      </c>
      <c r="AI147" s="137">
        <v>1.8E-3</v>
      </c>
      <c r="AK147" s="137">
        <v>1.46E-2</v>
      </c>
      <c r="AM147" s="137">
        <v>3.7400000000000003E-2</v>
      </c>
      <c r="AN147" s="137">
        <v>6.5799999999999997E-2</v>
      </c>
      <c r="AO147" s="137">
        <v>0.1245</v>
      </c>
      <c r="AR147" s="137">
        <v>2E-3</v>
      </c>
      <c r="AT147" s="137">
        <v>1.54E-2</v>
      </c>
      <c r="AV147" s="137">
        <v>3.9199999999999999E-2</v>
      </c>
      <c r="AW147" s="137">
        <v>6.8900000000000003E-2</v>
      </c>
      <c r="AX147" s="137">
        <v>0.13039999999999999</v>
      </c>
    </row>
    <row r="148" spans="1:50" s="79" customFormat="1" ht="10.199999999999999" x14ac:dyDescent="0.2">
      <c r="A148" s="97">
        <f t="shared" ca="1" si="5"/>
        <v>137</v>
      </c>
      <c r="B148" s="68" t="s">
        <v>225</v>
      </c>
      <c r="C148" s="98">
        <v>0.4</v>
      </c>
      <c r="D148" s="69" t="s">
        <v>67</v>
      </c>
      <c r="E148" s="138" t="s">
        <v>87</v>
      </c>
      <c r="F148" s="159" t="s">
        <v>87</v>
      </c>
      <c r="G148" s="159">
        <v>9.5500000000000001E-4</v>
      </c>
      <c r="H148" s="159" t="s">
        <v>87</v>
      </c>
      <c r="I148" s="159">
        <v>1.8079999999999999E-3</v>
      </c>
      <c r="J148" s="159" t="s">
        <v>87</v>
      </c>
      <c r="K148" s="159">
        <v>3.4740000000000001E-3</v>
      </c>
      <c r="L148" s="159">
        <v>4.7109999999999999E-3</v>
      </c>
      <c r="M148" s="159">
        <v>6.3769999999999999E-3</v>
      </c>
      <c r="N148" s="139">
        <f t="array" aca="1" ref="N148:AE148" ca="1">IF(OR(B148="",NOT($J$2)),"",GetStripDefaultProbability(A148,B148,Parameter_Date,CDSRollDate,E148:M148,SpreadCurveMaturities,D148,C148,$J$4,$J$6))</f>
        <v>0</v>
      </c>
      <c r="O148" s="166">
        <f ca="1"/>
        <v>0</v>
      </c>
      <c r="P148" s="166">
        <f ca="1"/>
        <v>1.6842768773231986E-3</v>
      </c>
      <c r="Q148" s="166">
        <f ca="1"/>
        <v>0</v>
      </c>
      <c r="R148" s="166">
        <f ca="1"/>
        <v>9.3789109981663454E-3</v>
      </c>
      <c r="S148" s="166">
        <f ca="1"/>
        <v>0</v>
      </c>
      <c r="T148" s="166">
        <f ca="1"/>
        <v>3.0537442698881812E-2</v>
      </c>
      <c r="U148" s="166">
        <f ca="1"/>
        <v>5.8023111994328747E-2</v>
      </c>
      <c r="V148" s="140">
        <f ca="1"/>
        <v>0.11300413491969297</v>
      </c>
      <c r="W148" s="139">
        <f ca="1"/>
        <v>0</v>
      </c>
      <c r="X148" s="166">
        <f ca="1"/>
        <v>0</v>
      </c>
      <c r="Y148" s="166">
        <f ca="1"/>
        <v>1.8506489664648074E-3</v>
      </c>
      <c r="Z148" s="166">
        <f ca="1"/>
        <v>0</v>
      </c>
      <c r="AA148" s="166">
        <f ca="1"/>
        <v>9.8876976243221781E-3</v>
      </c>
      <c r="AB148" s="166">
        <f ca="1"/>
        <v>0</v>
      </c>
      <c r="AC148" s="166">
        <f ca="1"/>
        <v>3.2034033016277719E-2</v>
      </c>
      <c r="AD148" s="166">
        <f ca="1"/>
        <v>6.0853861828311651E-2</v>
      </c>
      <c r="AE148" s="140">
        <f ca="1"/>
        <v>0.11842367914300511</v>
      </c>
      <c r="AI148" s="137">
        <v>1.6999999999999999E-3</v>
      </c>
      <c r="AK148" s="137">
        <v>9.2999999999999992E-3</v>
      </c>
      <c r="AM148" s="137">
        <v>3.0200000000000001E-2</v>
      </c>
      <c r="AN148" s="137">
        <v>5.7700000000000001E-2</v>
      </c>
      <c r="AO148" s="137">
        <v>0.11210000000000001</v>
      </c>
      <c r="AR148" s="137">
        <v>1.8E-3</v>
      </c>
      <c r="AT148" s="137">
        <v>9.7999999999999997E-3</v>
      </c>
      <c r="AV148" s="137">
        <v>3.1699999999999999E-2</v>
      </c>
      <c r="AW148" s="137">
        <v>6.0499999999999998E-2</v>
      </c>
      <c r="AX148" s="137">
        <v>0.11749999999999999</v>
      </c>
    </row>
    <row r="149" spans="1:50" s="79" customFormat="1" ht="10.199999999999999" x14ac:dyDescent="0.2">
      <c r="A149" s="97">
        <f t="shared" ca="1" si="5"/>
        <v>138</v>
      </c>
      <c r="B149" s="68" t="s">
        <v>226</v>
      </c>
      <c r="C149" s="98">
        <v>0.4</v>
      </c>
      <c r="D149" s="69" t="s">
        <v>67</v>
      </c>
      <c r="E149" s="138" t="s">
        <v>87</v>
      </c>
      <c r="F149" s="159" t="s">
        <v>87</v>
      </c>
      <c r="G149" s="159">
        <v>6.3100000000000005E-4</v>
      </c>
      <c r="H149" s="159" t="s">
        <v>87</v>
      </c>
      <c r="I149" s="159">
        <v>1.8730000000000001E-3</v>
      </c>
      <c r="J149" s="159" t="s">
        <v>87</v>
      </c>
      <c r="K149" s="159">
        <v>3.4259999999999998E-3</v>
      </c>
      <c r="L149" s="159">
        <v>4.339E-3</v>
      </c>
      <c r="M149" s="159">
        <v>5.8009999999999997E-3</v>
      </c>
      <c r="N149" s="139">
        <f t="array" aca="1" ref="N149:AE149" ca="1">IF(OR(B149="",NOT($J$2)),"",GetStripDefaultProbability(A149,B149,Parameter_Date,CDSRollDate,E149:M149,SpreadCurveMaturities,D149,C149,$J$4,$J$6))</f>
        <v>0</v>
      </c>
      <c r="O149" s="166">
        <f ca="1"/>
        <v>0</v>
      </c>
      <c r="P149" s="166">
        <f ca="1"/>
        <v>1.1131731295057623E-3</v>
      </c>
      <c r="Q149" s="166">
        <f ca="1"/>
        <v>0</v>
      </c>
      <c r="R149" s="166">
        <f ca="1"/>
        <v>9.7982855525113877E-3</v>
      </c>
      <c r="S149" s="166">
        <f ca="1"/>
        <v>0</v>
      </c>
      <c r="T149" s="166">
        <f ca="1"/>
        <v>3.010256787700194E-2</v>
      </c>
      <c r="U149" s="166">
        <f ca="1"/>
        <v>5.3157610034128222E-2</v>
      </c>
      <c r="V149" s="140">
        <f ca="1"/>
        <v>0.10269861359353427</v>
      </c>
      <c r="W149" s="139">
        <f ca="1"/>
        <v>0</v>
      </c>
      <c r="X149" s="166">
        <f ca="1"/>
        <v>0</v>
      </c>
      <c r="Y149" s="166">
        <f ca="1"/>
        <v>1.2796403946595536E-3</v>
      </c>
      <c r="Z149" s="166">
        <f ca="1"/>
        <v>0</v>
      </c>
      <c r="AA149" s="166">
        <f ca="1"/>
        <v>1.0307284970128339E-2</v>
      </c>
      <c r="AB149" s="166">
        <f ca="1"/>
        <v>0</v>
      </c>
      <c r="AC149" s="166">
        <f ca="1"/>
        <v>3.1580888995747181E-2</v>
      </c>
      <c r="AD149" s="166">
        <f ca="1"/>
        <v>5.5749638199392049E-2</v>
      </c>
      <c r="AE149" s="140">
        <f ca="1"/>
        <v>0.10764020934742857</v>
      </c>
      <c r="AI149" s="137">
        <v>1.1000000000000001E-3</v>
      </c>
      <c r="AK149" s="137">
        <v>9.7000000000000003E-3</v>
      </c>
      <c r="AM149" s="137">
        <v>2.98E-2</v>
      </c>
      <c r="AN149" s="137">
        <v>5.2900000000000003E-2</v>
      </c>
      <c r="AO149" s="137">
        <v>0.1018</v>
      </c>
      <c r="AR149" s="137">
        <v>1.2999999999999999E-3</v>
      </c>
      <c r="AT149" s="137">
        <v>1.0200000000000001E-2</v>
      </c>
      <c r="AV149" s="137">
        <v>3.1300000000000001E-2</v>
      </c>
      <c r="AW149" s="137">
        <v>5.5399999999999998E-2</v>
      </c>
      <c r="AX149" s="137">
        <v>0.1067</v>
      </c>
    </row>
    <row r="150" spans="1:50" s="79" customFormat="1" ht="10.199999999999999" x14ac:dyDescent="0.2">
      <c r="A150" s="97">
        <f t="shared" ca="1" si="5"/>
        <v>139</v>
      </c>
      <c r="B150" s="68" t="s">
        <v>227</v>
      </c>
      <c r="C150" s="98">
        <v>0.4</v>
      </c>
      <c r="D150" s="69" t="s">
        <v>67</v>
      </c>
      <c r="E150" s="138" t="s">
        <v>87</v>
      </c>
      <c r="F150" s="159" t="s">
        <v>87</v>
      </c>
      <c r="G150" s="159">
        <v>3.28E-4</v>
      </c>
      <c r="H150" s="159" t="s">
        <v>87</v>
      </c>
      <c r="I150" s="159">
        <v>9.8400000000000007E-4</v>
      </c>
      <c r="J150" s="159" t="s">
        <v>87</v>
      </c>
      <c r="K150" s="159">
        <v>1.6410000000000001E-3</v>
      </c>
      <c r="L150" s="159">
        <v>2.2030000000000001E-3</v>
      </c>
      <c r="M150" s="159">
        <v>2.9529999999999999E-3</v>
      </c>
      <c r="N150" s="139">
        <f t="array" aca="1" ref="N150:AE150" ca="1">IF(OR(B150="",NOT($J$2)),"",GetStripDefaultProbability(A150,B150,Parameter_Date,CDSRollDate,E150:M150,SpreadCurveMaturities,D150,C150,$J$4,$J$6))</f>
        <v>0</v>
      </c>
      <c r="O150" s="166">
        <f ca="1"/>
        <v>0</v>
      </c>
      <c r="P150" s="166">
        <f ca="1"/>
        <v>5.7879195131904648E-4</v>
      </c>
      <c r="Q150" s="166">
        <f ca="1"/>
        <v>0</v>
      </c>
      <c r="R150" s="166">
        <f ca="1"/>
        <v>5.1499969291921577E-3</v>
      </c>
      <c r="S150" s="166">
        <f ca="1"/>
        <v>0</v>
      </c>
      <c r="T150" s="166">
        <f ca="1"/>
        <v>1.4423504957146949E-2</v>
      </c>
      <c r="U150" s="166">
        <f ca="1"/>
        <v>2.7346277203588953E-2</v>
      </c>
      <c r="V150" s="140">
        <f ca="1"/>
        <v>5.3159492655477703E-2</v>
      </c>
      <c r="W150" s="139">
        <f ca="1"/>
        <v>0</v>
      </c>
      <c r="X150" s="166">
        <f ca="1"/>
        <v>0</v>
      </c>
      <c r="Y150" s="166">
        <f ca="1"/>
        <v>7.4534827258310177E-4</v>
      </c>
      <c r="Z150" s="166">
        <f ca="1"/>
        <v>0</v>
      </c>
      <c r="AA150" s="166">
        <f ca="1"/>
        <v>5.6608042554693316E-3</v>
      </c>
      <c r="AB150" s="166">
        <f ca="1"/>
        <v>0</v>
      </c>
      <c r="AC150" s="166">
        <f ca="1"/>
        <v>1.5261643046832862E-2</v>
      </c>
      <c r="AD150" s="166">
        <f ca="1"/>
        <v>2.8640483180946918E-2</v>
      </c>
      <c r="AE150" s="140">
        <f ca="1"/>
        <v>5.5713433595348305E-2</v>
      </c>
      <c r="AI150" s="137">
        <v>5.9999999999999995E-4</v>
      </c>
      <c r="AK150" s="137">
        <v>5.1000000000000004E-3</v>
      </c>
      <c r="AM150" s="137">
        <v>1.43E-2</v>
      </c>
      <c r="AN150" s="137">
        <v>2.7199999999999998E-2</v>
      </c>
      <c r="AO150" s="137">
        <v>5.2900000000000003E-2</v>
      </c>
      <c r="AR150" s="137">
        <v>6.9999999999999999E-4</v>
      </c>
      <c r="AT150" s="137">
        <v>5.5999999999999999E-3</v>
      </c>
      <c r="AV150" s="137">
        <v>1.5100000000000001E-2</v>
      </c>
      <c r="AW150" s="137">
        <v>2.8500000000000001E-2</v>
      </c>
      <c r="AX150" s="137">
        <v>5.5399999999999998E-2</v>
      </c>
    </row>
    <row r="151" spans="1:50" s="79" customFormat="1" ht="10.199999999999999" x14ac:dyDescent="0.2">
      <c r="A151" s="97">
        <f t="shared" ca="1" si="5"/>
        <v>140</v>
      </c>
      <c r="B151" s="68" t="s">
        <v>228</v>
      </c>
      <c r="C151" s="98">
        <v>0.4</v>
      </c>
      <c r="D151" s="69" t="s">
        <v>67</v>
      </c>
      <c r="E151" s="138" t="s">
        <v>87</v>
      </c>
      <c r="F151" s="159" t="s">
        <v>87</v>
      </c>
      <c r="G151" s="159">
        <v>3.0200000000000001E-3</v>
      </c>
      <c r="H151" s="159" t="s">
        <v>87</v>
      </c>
      <c r="I151" s="159">
        <v>9.3609999999999995E-3</v>
      </c>
      <c r="J151" s="159" t="s">
        <v>87</v>
      </c>
      <c r="K151" s="159">
        <v>1.5102000000000001E-2</v>
      </c>
      <c r="L151" s="159">
        <v>1.737E-2</v>
      </c>
      <c r="M151" s="159">
        <v>1.9540999999999999E-2</v>
      </c>
      <c r="N151" s="139">
        <f t="array" aca="1" ref="N151:AE151" ca="1">IF(OR(B151="",NOT($J$2)),"",GetStripDefaultProbability(A151,B151,Parameter_Date,CDSRollDate,E151:M151,SpreadCurveMaturities,D151,C151,$J$4,$J$6))</f>
        <v>0</v>
      </c>
      <c r="O151" s="166">
        <f ca="1"/>
        <v>0</v>
      </c>
      <c r="P151" s="166">
        <f ca="1"/>
        <v>5.3165807102705243E-3</v>
      </c>
      <c r="Q151" s="166">
        <f ca="1"/>
        <v>0</v>
      </c>
      <c r="R151" s="166">
        <f ca="1"/>
        <v>4.8398138597051665E-2</v>
      </c>
      <c r="S151" s="166">
        <f ca="1"/>
        <v>0</v>
      </c>
      <c r="T151" s="166">
        <f ca="1"/>
        <v>0.12750990904814086</v>
      </c>
      <c r="U151" s="166">
        <f ca="1"/>
        <v>0.19793636458827479</v>
      </c>
      <c r="V151" s="140">
        <f ca="1"/>
        <v>0.30347280898613249</v>
      </c>
      <c r="W151" s="139">
        <f ca="1"/>
        <v>0</v>
      </c>
      <c r="X151" s="166">
        <f ca="1"/>
        <v>0</v>
      </c>
      <c r="Y151" s="166">
        <f ca="1"/>
        <v>5.5668778737451019E-3</v>
      </c>
      <c r="Z151" s="166">
        <f ca="1"/>
        <v>0</v>
      </c>
      <c r="AA151" s="166">
        <f ca="1"/>
        <v>5.0781069753509156E-2</v>
      </c>
      <c r="AB151" s="166">
        <f ca="1"/>
        <v>0</v>
      </c>
      <c r="AC151" s="166">
        <f ca="1"/>
        <v>0.13359845959860839</v>
      </c>
      <c r="AD151" s="166">
        <f ca="1"/>
        <v>0.20702758324302617</v>
      </c>
      <c r="AE151" s="140">
        <f ca="1"/>
        <v>0.31657197082166033</v>
      </c>
      <c r="AI151" s="137">
        <v>5.1999999999999998E-3</v>
      </c>
      <c r="AK151" s="137">
        <v>4.7600000000000003E-2</v>
      </c>
      <c r="AM151" s="137">
        <v>0.12620000000000001</v>
      </c>
      <c r="AN151" s="137">
        <v>0.19689999999999999</v>
      </c>
      <c r="AO151" s="137">
        <v>0.30149999999999999</v>
      </c>
      <c r="AR151" s="137">
        <v>5.4999999999999997E-3</v>
      </c>
      <c r="AT151" s="137">
        <v>4.99E-2</v>
      </c>
      <c r="AV151" s="137">
        <v>0.13220000000000001</v>
      </c>
      <c r="AW151" s="137">
        <v>0.2059</v>
      </c>
      <c r="AX151" s="137">
        <v>0.3145</v>
      </c>
    </row>
    <row r="152" spans="1:50" s="79" customFormat="1" ht="10.199999999999999" x14ac:dyDescent="0.2">
      <c r="A152" s="97">
        <f t="shared" ca="1" si="5"/>
        <v>141</v>
      </c>
      <c r="B152" s="68" t="s">
        <v>229</v>
      </c>
      <c r="C152" s="98">
        <v>0.4</v>
      </c>
      <c r="D152" s="69" t="s">
        <v>67</v>
      </c>
      <c r="E152" s="138" t="s">
        <v>87</v>
      </c>
      <c r="F152" s="159" t="s">
        <v>87</v>
      </c>
      <c r="G152" s="159">
        <v>5.31E-4</v>
      </c>
      <c r="H152" s="159" t="s">
        <v>87</v>
      </c>
      <c r="I152" s="159">
        <v>6.7599999999999995E-4</v>
      </c>
      <c r="J152" s="159" t="s">
        <v>87</v>
      </c>
      <c r="K152" s="159">
        <v>1.158E-3</v>
      </c>
      <c r="L152" s="159">
        <v>1.4959999999999999E-3</v>
      </c>
      <c r="M152" s="159">
        <v>1.9780000000000002E-3</v>
      </c>
      <c r="N152" s="139">
        <f t="array" aca="1" ref="N152:AE152" ca="1">IF(OR(B152="",NOT($J$2)),"",GetStripDefaultProbability(A152,B152,Parameter_Date,CDSRollDate,E152:M152,SpreadCurveMaturities,D152,C152,$J$4,$J$6))</f>
        <v>0</v>
      </c>
      <c r="O152" s="166">
        <f ca="1"/>
        <v>0</v>
      </c>
      <c r="P152" s="166">
        <f ca="1"/>
        <v>9.3684106812486068E-4</v>
      </c>
      <c r="Q152" s="166">
        <f ca="1"/>
        <v>0</v>
      </c>
      <c r="R152" s="166">
        <f ca="1"/>
        <v>3.4837662564850547E-3</v>
      </c>
      <c r="S152" s="166">
        <f ca="1"/>
        <v>0</v>
      </c>
      <c r="T152" s="166">
        <f ca="1"/>
        <v>1.016946876824576E-2</v>
      </c>
      <c r="U152" s="166">
        <f ca="1"/>
        <v>1.849571522662341E-2</v>
      </c>
      <c r="V152" s="140">
        <f ca="1"/>
        <v>3.57209704982554E-2</v>
      </c>
      <c r="W152" s="139">
        <f ca="1"/>
        <v>0</v>
      </c>
      <c r="X152" s="166">
        <f ca="1"/>
        <v>0</v>
      </c>
      <c r="Y152" s="166">
        <f ca="1"/>
        <v>1.1033377195059924E-3</v>
      </c>
      <c r="Z152" s="166">
        <f ca="1"/>
        <v>0</v>
      </c>
      <c r="AA152" s="166">
        <f ca="1"/>
        <v>3.9951124407648919E-3</v>
      </c>
      <c r="AB152" s="166">
        <f ca="1"/>
        <v>0</v>
      </c>
      <c r="AC152" s="166">
        <f ca="1"/>
        <v>1.1010723073652917E-2</v>
      </c>
      <c r="AD152" s="166">
        <f ca="1"/>
        <v>1.9661380847891263E-2</v>
      </c>
      <c r="AE152" s="140">
        <f ca="1"/>
        <v>3.7357221318360168E-2</v>
      </c>
      <c r="AI152" s="137">
        <v>8.9999999999999998E-4</v>
      </c>
      <c r="AK152" s="137">
        <v>3.5000000000000001E-3</v>
      </c>
      <c r="AM152" s="137">
        <v>1.01E-2</v>
      </c>
      <c r="AN152" s="137">
        <v>1.84E-2</v>
      </c>
      <c r="AO152" s="137">
        <v>3.5499999999999997E-2</v>
      </c>
      <c r="AR152" s="137">
        <v>1.1000000000000001E-3</v>
      </c>
      <c r="AT152" s="137">
        <v>4.0000000000000001E-3</v>
      </c>
      <c r="AV152" s="137">
        <v>1.09E-2</v>
      </c>
      <c r="AW152" s="137">
        <v>1.9599999999999999E-2</v>
      </c>
      <c r="AX152" s="137">
        <v>3.7100000000000001E-2</v>
      </c>
    </row>
    <row r="153" spans="1:50" s="79" customFormat="1" ht="10.199999999999999" x14ac:dyDescent="0.2">
      <c r="A153" s="97">
        <f t="shared" ca="1" si="5"/>
        <v>142</v>
      </c>
      <c r="B153" s="68" t="s">
        <v>230</v>
      </c>
      <c r="C153" s="98">
        <v>0.4</v>
      </c>
      <c r="D153" s="69" t="s">
        <v>67</v>
      </c>
      <c r="E153" s="138" t="s">
        <v>87</v>
      </c>
      <c r="F153" s="159" t="s">
        <v>87</v>
      </c>
      <c r="G153" s="159">
        <v>4.7899999999999999E-4</v>
      </c>
      <c r="H153" s="159" t="s">
        <v>87</v>
      </c>
      <c r="I153" s="159">
        <v>1.245E-3</v>
      </c>
      <c r="J153" s="159" t="s">
        <v>87</v>
      </c>
      <c r="K153" s="159">
        <v>2.075E-3</v>
      </c>
      <c r="L153" s="159">
        <v>2.581E-3</v>
      </c>
      <c r="M153" s="159">
        <v>3.0869999999999999E-3</v>
      </c>
      <c r="N153" s="139">
        <f t="array" aca="1" ref="N153:AE153" ca="1">IF(OR(B153="",NOT($J$2)),"",GetStripDefaultProbability(A153,B153,Parameter_Date,CDSRollDate,E153:M153,SpreadCurveMaturities,D153,C153,$J$4,$J$6))</f>
        <v>0</v>
      </c>
      <c r="O153" s="166">
        <f ca="1"/>
        <v>0</v>
      </c>
      <c r="P153" s="166">
        <f ca="1"/>
        <v>8.4513618602499729E-4</v>
      </c>
      <c r="Q153" s="166">
        <f ca="1"/>
        <v>0</v>
      </c>
      <c r="R153" s="166">
        <f ca="1"/>
        <v>6.49982281370165E-3</v>
      </c>
      <c r="S153" s="166">
        <f ca="1"/>
        <v>0</v>
      </c>
      <c r="T153" s="166">
        <f ca="1"/>
        <v>1.8208992157921156E-2</v>
      </c>
      <c r="U153" s="166">
        <f ca="1"/>
        <v>3.1722600554932145E-2</v>
      </c>
      <c r="V153" s="140">
        <f ca="1"/>
        <v>5.4378851079402213E-2</v>
      </c>
      <c r="W153" s="139">
        <f ca="1"/>
        <v>0</v>
      </c>
      <c r="X153" s="166">
        <f ca="1"/>
        <v>0</v>
      </c>
      <c r="Y153" s="166">
        <f ca="1"/>
        <v>1.0116481202604444E-3</v>
      </c>
      <c r="Z153" s="166">
        <f ca="1"/>
        <v>0</v>
      </c>
      <c r="AA153" s="166">
        <f ca="1"/>
        <v>7.0100128649882576E-3</v>
      </c>
      <c r="AB153" s="166">
        <f ca="1"/>
        <v>0</v>
      </c>
      <c r="AC153" s="166">
        <f ca="1"/>
        <v>1.907894544033506E-2</v>
      </c>
      <c r="AD153" s="166">
        <f ca="1"/>
        <v>3.3261846431202224E-2</v>
      </c>
      <c r="AE153" s="140">
        <f ca="1"/>
        <v>5.7003138951590926E-2</v>
      </c>
      <c r="AI153" s="137">
        <v>8.0000000000000004E-4</v>
      </c>
      <c r="AK153" s="137">
        <v>6.4000000000000003E-3</v>
      </c>
      <c r="AM153" s="137">
        <v>1.8100000000000002E-2</v>
      </c>
      <c r="AN153" s="137">
        <v>3.1600000000000003E-2</v>
      </c>
      <c r="AO153" s="137">
        <v>5.4100000000000002E-2</v>
      </c>
      <c r="AR153" s="137">
        <v>1E-3</v>
      </c>
      <c r="AT153" s="137">
        <v>6.8999999999999999E-3</v>
      </c>
      <c r="AV153" s="137">
        <v>1.89E-2</v>
      </c>
      <c r="AW153" s="137">
        <v>3.3099999999999997E-2</v>
      </c>
      <c r="AX153" s="137">
        <v>5.67E-2</v>
      </c>
    </row>
    <row r="154" spans="1:50" s="79" customFormat="1" ht="10.199999999999999" x14ac:dyDescent="0.2">
      <c r="A154" s="97">
        <f t="shared" ca="1" si="5"/>
        <v>143</v>
      </c>
      <c r="B154" s="68" t="s">
        <v>231</v>
      </c>
      <c r="C154" s="98">
        <v>0.4</v>
      </c>
      <c r="D154" s="69" t="s">
        <v>67</v>
      </c>
      <c r="E154" s="138" t="s">
        <v>87</v>
      </c>
      <c r="F154" s="159" t="s">
        <v>87</v>
      </c>
      <c r="G154" s="159">
        <v>9.1699999999999995E-4</v>
      </c>
      <c r="H154" s="159" t="s">
        <v>87</v>
      </c>
      <c r="I154" s="159">
        <v>1.689E-3</v>
      </c>
      <c r="J154" s="159" t="s">
        <v>87</v>
      </c>
      <c r="K154" s="159">
        <v>2.4610000000000001E-3</v>
      </c>
      <c r="L154" s="159">
        <v>3.4450000000000001E-3</v>
      </c>
      <c r="M154" s="159">
        <v>4.6750000000000003E-3</v>
      </c>
      <c r="N154" s="139">
        <f t="array" aca="1" ref="N154:AE154" ca="1">IF(OR(B154="",NOT($J$2)),"",GetStripDefaultProbability(A154,B154,Parameter_Date,CDSRollDate,E154:M154,SpreadCurveMaturities,D154,C154,$J$4,$J$6))</f>
        <v>0</v>
      </c>
      <c r="O154" s="166">
        <f ca="1"/>
        <v>0</v>
      </c>
      <c r="P154" s="166">
        <f ca="1"/>
        <v>1.6173123498463005E-3</v>
      </c>
      <c r="Q154" s="166">
        <f ca="1"/>
        <v>0</v>
      </c>
      <c r="R154" s="166">
        <f ca="1"/>
        <v>8.7597277665423245E-3</v>
      </c>
      <c r="S154" s="166">
        <f ca="1"/>
        <v>0</v>
      </c>
      <c r="T154" s="166">
        <f ca="1"/>
        <v>2.1379542866820977E-2</v>
      </c>
      <c r="U154" s="166">
        <f ca="1"/>
        <v>4.2537392676279762E-2</v>
      </c>
      <c r="V154" s="140">
        <f ca="1"/>
        <v>8.3312541015276964E-2</v>
      </c>
      <c r="W154" s="139">
        <f ca="1"/>
        <v>0</v>
      </c>
      <c r="X154" s="166">
        <f ca="1"/>
        <v>0</v>
      </c>
      <c r="Y154" s="166">
        <f ca="1"/>
        <v>1.7836955988180803E-3</v>
      </c>
      <c r="Z154" s="166">
        <f ca="1"/>
        <v>0</v>
      </c>
      <c r="AA154" s="166">
        <f ca="1"/>
        <v>9.2687796056687421E-3</v>
      </c>
      <c r="AB154" s="166">
        <f ca="1"/>
        <v>0</v>
      </c>
      <c r="AC154" s="166">
        <f ca="1"/>
        <v>2.2423480604103152E-2</v>
      </c>
      <c r="AD154" s="166">
        <f ca="1"/>
        <v>4.4616115881458307E-2</v>
      </c>
      <c r="AE154" s="140">
        <f ca="1"/>
        <v>8.7339878816398264E-2</v>
      </c>
      <c r="AI154" s="137">
        <v>1.6000000000000001E-3</v>
      </c>
      <c r="AK154" s="137">
        <v>8.6999999999999994E-3</v>
      </c>
      <c r="AM154" s="137">
        <v>2.12E-2</v>
      </c>
      <c r="AN154" s="137">
        <v>4.2200000000000001E-2</v>
      </c>
      <c r="AO154" s="137">
        <v>8.2900000000000001E-2</v>
      </c>
      <c r="AR154" s="137">
        <v>1.8E-3</v>
      </c>
      <c r="AT154" s="137">
        <v>9.1999999999999998E-3</v>
      </c>
      <c r="AV154" s="137">
        <v>2.23E-2</v>
      </c>
      <c r="AW154" s="137">
        <v>4.4299999999999999E-2</v>
      </c>
      <c r="AX154" s="137">
        <v>8.6900000000000005E-2</v>
      </c>
    </row>
    <row r="155" spans="1:50" s="79" customFormat="1" ht="10.199999999999999" x14ac:dyDescent="0.2">
      <c r="A155" s="97">
        <f t="shared" ca="1" si="5"/>
        <v>144</v>
      </c>
      <c r="B155" s="68" t="s">
        <v>232</v>
      </c>
      <c r="C155" s="98">
        <v>0.4</v>
      </c>
      <c r="D155" s="69" t="s">
        <v>67</v>
      </c>
      <c r="E155" s="138" t="s">
        <v>87</v>
      </c>
      <c r="F155" s="159" t="s">
        <v>87</v>
      </c>
      <c r="G155" s="159">
        <v>4.0900000000000002E-4</v>
      </c>
      <c r="H155" s="159" t="s">
        <v>87</v>
      </c>
      <c r="I155" s="159">
        <v>1.271E-3</v>
      </c>
      <c r="J155" s="159" t="s">
        <v>87</v>
      </c>
      <c r="K155" s="159">
        <v>1.882E-3</v>
      </c>
      <c r="L155" s="159">
        <v>2.6949999999999999E-3</v>
      </c>
      <c r="M155" s="159">
        <v>3.3059999999999999E-3</v>
      </c>
      <c r="N155" s="139">
        <f t="array" aca="1" ref="N155:AE155" ca="1">IF(OR(B155="",NOT($J$2)),"",GetStripDefaultProbability(A155,B155,Parameter_Date,CDSRollDate,E155:M155,SpreadCurveMaturities,D155,C155,$J$4,$J$6))</f>
        <v>0</v>
      </c>
      <c r="O155" s="166">
        <f ca="1"/>
        <v>0</v>
      </c>
      <c r="P155" s="166">
        <f ca="1"/>
        <v>7.2167411107271207E-4</v>
      </c>
      <c r="Q155" s="166">
        <f ca="1"/>
        <v>0</v>
      </c>
      <c r="R155" s="166">
        <f ca="1"/>
        <v>6.6492581284091079E-3</v>
      </c>
      <c r="S155" s="166">
        <f ca="1"/>
        <v>0</v>
      </c>
      <c r="T155" s="166">
        <f ca="1"/>
        <v>1.6418555913384147E-2</v>
      </c>
      <c r="U155" s="166">
        <f ca="1"/>
        <v>3.3526892195031799E-2</v>
      </c>
      <c r="V155" s="140">
        <f ca="1"/>
        <v>5.8474453650735447E-2</v>
      </c>
      <c r="W155" s="139">
        <f ca="1"/>
        <v>0</v>
      </c>
      <c r="X155" s="166">
        <f ca="1"/>
        <v>0</v>
      </c>
      <c r="Y155" s="166">
        <f ca="1"/>
        <v>8.8820662060995481E-4</v>
      </c>
      <c r="Z155" s="166">
        <f ca="1"/>
        <v>0</v>
      </c>
      <c r="AA155" s="166">
        <f ca="1"/>
        <v>7.1594290987624376E-3</v>
      </c>
      <c r="AB155" s="166">
        <f ca="1"/>
        <v>0</v>
      </c>
      <c r="AC155" s="166">
        <f ca="1"/>
        <v>1.7254788432575108E-2</v>
      </c>
      <c r="AD155" s="166">
        <f ca="1"/>
        <v>3.5146642146224316E-2</v>
      </c>
      <c r="AE155" s="140">
        <f ca="1"/>
        <v>6.1294008555834334E-2</v>
      </c>
      <c r="AI155" s="137">
        <v>6.9999999999999999E-4</v>
      </c>
      <c r="AK155" s="137">
        <v>6.6E-3</v>
      </c>
      <c r="AM155" s="137">
        <v>1.6299999999999999E-2</v>
      </c>
      <c r="AN155" s="137">
        <v>3.3300000000000003E-2</v>
      </c>
      <c r="AO155" s="137">
        <v>5.8400000000000001E-2</v>
      </c>
      <c r="AR155" s="137">
        <v>8.9999999999999998E-4</v>
      </c>
      <c r="AT155" s="137">
        <v>7.1000000000000004E-3</v>
      </c>
      <c r="AV155" s="137">
        <v>1.7100000000000001E-2</v>
      </c>
      <c r="AW155" s="137">
        <v>3.49E-2</v>
      </c>
      <c r="AX155" s="137">
        <v>6.1199999999999997E-2</v>
      </c>
    </row>
    <row r="156" spans="1:50" s="79" customFormat="1" ht="10.199999999999999" x14ac:dyDescent="0.2">
      <c r="A156" s="97">
        <f t="shared" ca="1" si="5"/>
        <v>145</v>
      </c>
      <c r="B156" s="68" t="s">
        <v>233</v>
      </c>
      <c r="C156" s="98">
        <v>0.4</v>
      </c>
      <c r="D156" s="69" t="s">
        <v>67</v>
      </c>
      <c r="E156" s="138" t="s">
        <v>87</v>
      </c>
      <c r="F156" s="159" t="s">
        <v>87</v>
      </c>
      <c r="G156" s="159">
        <v>4.516E-3</v>
      </c>
      <c r="H156" s="159" t="s">
        <v>87</v>
      </c>
      <c r="I156" s="159">
        <v>5.5579999999999996E-3</v>
      </c>
      <c r="J156" s="159" t="s">
        <v>87</v>
      </c>
      <c r="K156" s="159">
        <v>6.9480000000000002E-3</v>
      </c>
      <c r="L156" s="159">
        <v>6.9480000000000002E-3</v>
      </c>
      <c r="M156" s="159">
        <v>6.9480000000000002E-3</v>
      </c>
      <c r="N156" s="139">
        <f t="array" aca="1" ref="N156:AE156" ca="1">IF(OR(B156="",NOT($J$2)),"",GetStripDefaultProbability(A156,B156,Parameter_Date,CDSRollDate,E156:M156,SpreadCurveMaturities,D156,C156,$J$4,$J$6))</f>
        <v>0</v>
      </c>
      <c r="O156" s="166">
        <f ca="1"/>
        <v>0</v>
      </c>
      <c r="P156" s="166">
        <f ca="1"/>
        <v>7.9398417113613062E-3</v>
      </c>
      <c r="Q156" s="166">
        <f ca="1"/>
        <v>0</v>
      </c>
      <c r="R156" s="166">
        <f ca="1"/>
        <v>2.8281711819828081E-2</v>
      </c>
      <c r="S156" s="166">
        <f ca="1"/>
        <v>0</v>
      </c>
      <c r="T156" s="166">
        <f ca="1"/>
        <v>5.8640336455169972E-2</v>
      </c>
      <c r="U156" s="166">
        <f ca="1"/>
        <v>8.0095061031817627E-2</v>
      </c>
      <c r="V156" s="140">
        <f ca="1"/>
        <v>0.11220684607217146</v>
      </c>
      <c r="W156" s="139">
        <f ca="1"/>
        <v>0</v>
      </c>
      <c r="X156" s="166">
        <f ca="1"/>
        <v>0</v>
      </c>
      <c r="Y156" s="166">
        <f ca="1"/>
        <v>8.334875293973032E-3</v>
      </c>
      <c r="Z156" s="166">
        <f ca="1"/>
        <v>0</v>
      </c>
      <c r="AA156" s="166">
        <f ca="1"/>
        <v>2.9676110458619953E-2</v>
      </c>
      <c r="AB156" s="166">
        <f ca="1"/>
        <v>0</v>
      </c>
      <c r="AC156" s="166">
        <f ca="1"/>
        <v>6.1497005445572128E-2</v>
      </c>
      <c r="AD156" s="166">
        <f ca="1"/>
        <v>8.3940577492887081E-2</v>
      </c>
      <c r="AE156" s="140">
        <f ca="1"/>
        <v>0.117492955282545</v>
      </c>
      <c r="AI156" s="137">
        <v>7.7999999999999996E-3</v>
      </c>
      <c r="AK156" s="137">
        <v>2.81E-2</v>
      </c>
      <c r="AM156" s="137">
        <v>5.8299999999999998E-2</v>
      </c>
      <c r="AN156" s="137">
        <v>0.08</v>
      </c>
      <c r="AO156" s="137">
        <v>0.1116</v>
      </c>
      <c r="AR156" s="137">
        <v>8.2000000000000007E-3</v>
      </c>
      <c r="AT156" s="137">
        <v>2.9499999999999998E-2</v>
      </c>
      <c r="AV156" s="137">
        <v>6.1100000000000002E-2</v>
      </c>
      <c r="AW156" s="137">
        <v>8.3799999999999999E-2</v>
      </c>
      <c r="AX156" s="137">
        <v>0.1169</v>
      </c>
    </row>
    <row r="157" spans="1:50" s="79" customFormat="1" ht="10.199999999999999" x14ac:dyDescent="0.2">
      <c r="A157" s="97">
        <f t="shared" ca="1" si="5"/>
        <v>146</v>
      </c>
      <c r="B157" s="68" t="s">
        <v>234</v>
      </c>
      <c r="C157" s="98">
        <v>0.4</v>
      </c>
      <c r="D157" s="69" t="s">
        <v>67</v>
      </c>
      <c r="E157" s="138" t="s">
        <v>87</v>
      </c>
      <c r="F157" s="159" t="s">
        <v>87</v>
      </c>
      <c r="G157" s="159">
        <v>6.8499999999999995E-4</v>
      </c>
      <c r="H157" s="159" t="s">
        <v>87</v>
      </c>
      <c r="I157" s="159">
        <v>1.8890000000000001E-3</v>
      </c>
      <c r="J157" s="159" t="s">
        <v>87</v>
      </c>
      <c r="K157" s="159">
        <v>2.6540000000000001E-3</v>
      </c>
      <c r="L157" s="159">
        <v>3.5980000000000001E-3</v>
      </c>
      <c r="M157" s="159">
        <v>4.5880000000000001E-3</v>
      </c>
      <c r="N157" s="139">
        <f t="array" aca="1" ref="N157:AE157" ca="1">IF(OR(B157="",NOT($J$2)),"",GetStripDefaultProbability(A157,B157,Parameter_Date,CDSRollDate,E157:M157,SpreadCurveMaturities,D157,C157,$J$4,$J$6))</f>
        <v>0</v>
      </c>
      <c r="O157" s="166">
        <f ca="1"/>
        <v>0</v>
      </c>
      <c r="P157" s="166">
        <f ca="1"/>
        <v>1.208379598348408E-3</v>
      </c>
      <c r="Q157" s="166">
        <f ca="1"/>
        <v>0</v>
      </c>
      <c r="R157" s="166">
        <f ca="1"/>
        <v>9.8718117026653784E-3</v>
      </c>
      <c r="S157" s="166">
        <f ca="1"/>
        <v>0</v>
      </c>
      <c r="T157" s="166">
        <f ca="1"/>
        <v>2.3027461808867833E-2</v>
      </c>
      <c r="U157" s="166">
        <f ca="1"/>
        <v>4.4293306862908333E-2</v>
      </c>
      <c r="V157" s="140">
        <f ca="1"/>
        <v>8.0826953030364024E-2</v>
      </c>
      <c r="W157" s="139">
        <f ca="1"/>
        <v>0</v>
      </c>
      <c r="X157" s="166">
        <f ca="1"/>
        <v>0</v>
      </c>
      <c r="Y157" s="166">
        <f ca="1"/>
        <v>1.3748309970960104E-3</v>
      </c>
      <c r="Z157" s="166">
        <f ca="1"/>
        <v>0</v>
      </c>
      <c r="AA157" s="166">
        <f ca="1"/>
        <v>1.0380745542012959E-2</v>
      </c>
      <c r="AB157" s="166">
        <f ca="1"/>
        <v>0</v>
      </c>
      <c r="AC157" s="166">
        <f ca="1"/>
        <v>2.4157977036292411E-2</v>
      </c>
      <c r="AD157" s="166">
        <f ca="1"/>
        <v>4.6459087505073438E-2</v>
      </c>
      <c r="AE157" s="140">
        <f ca="1"/>
        <v>8.4739804079385306E-2</v>
      </c>
      <c r="AI157" s="137">
        <v>1.1999999999999999E-3</v>
      </c>
      <c r="AK157" s="137">
        <v>9.7000000000000003E-3</v>
      </c>
      <c r="AM157" s="137">
        <v>2.29E-2</v>
      </c>
      <c r="AN157" s="137">
        <v>4.3999999999999997E-2</v>
      </c>
      <c r="AO157" s="137">
        <v>8.0600000000000005E-2</v>
      </c>
      <c r="AR157" s="137">
        <v>1.4E-3</v>
      </c>
      <c r="AT157" s="137">
        <v>1.0200000000000001E-2</v>
      </c>
      <c r="AV157" s="137">
        <v>2.4E-2</v>
      </c>
      <c r="AW157" s="137">
        <v>4.6100000000000002E-2</v>
      </c>
      <c r="AX157" s="137">
        <v>8.4500000000000006E-2</v>
      </c>
    </row>
    <row r="158" spans="1:50" s="79" customFormat="1" ht="10.199999999999999" x14ac:dyDescent="0.2">
      <c r="A158" s="97">
        <f t="shared" ca="1" si="5"/>
        <v>147</v>
      </c>
      <c r="B158" s="68" t="s">
        <v>235</v>
      </c>
      <c r="C158" s="98">
        <v>0.4</v>
      </c>
      <c r="D158" s="69" t="s">
        <v>67</v>
      </c>
      <c r="E158" s="138" t="s">
        <v>87</v>
      </c>
      <c r="F158" s="159" t="s">
        <v>87</v>
      </c>
      <c r="G158" s="159">
        <v>9.0200000000000002E-4</v>
      </c>
      <c r="H158" s="159" t="s">
        <v>87</v>
      </c>
      <c r="I158" s="159">
        <v>2.1849999999999999E-3</v>
      </c>
      <c r="J158" s="159" t="s">
        <v>87</v>
      </c>
      <c r="K158" s="159">
        <v>3.4259999999999998E-3</v>
      </c>
      <c r="L158" s="159">
        <v>4.3189999999999999E-3</v>
      </c>
      <c r="M158" s="159">
        <v>5.1630000000000001E-3</v>
      </c>
      <c r="N158" s="139">
        <f t="array" aca="1" ref="N158:AE158" ca="1">IF(OR(B158="",NOT($J$2)),"",GetStripDefaultProbability(A158,B158,Parameter_Date,CDSRollDate,E158:M158,SpreadCurveMaturities,D158,C158,$J$4,$J$6))</f>
        <v>0</v>
      </c>
      <c r="O158" s="166">
        <f ca="1"/>
        <v>0</v>
      </c>
      <c r="P158" s="166">
        <f ca="1"/>
        <v>1.5908777568365284E-3</v>
      </c>
      <c r="Q158" s="166">
        <f ca="1"/>
        <v>0</v>
      </c>
      <c r="R158" s="166">
        <f ca="1"/>
        <v>1.1390383462513975E-2</v>
      </c>
      <c r="S158" s="166">
        <f ca="1"/>
        <v>0</v>
      </c>
      <c r="T158" s="166">
        <f ca="1"/>
        <v>2.983484546957671E-2</v>
      </c>
      <c r="U158" s="166">
        <f ca="1"/>
        <v>5.2696542245967204E-2</v>
      </c>
      <c r="V158" s="140">
        <f ca="1"/>
        <v>8.9621389594644496E-2</v>
      </c>
      <c r="W158" s="139">
        <f ca="1"/>
        <v>0</v>
      </c>
      <c r="X158" s="166">
        <f ca="1"/>
        <v>0</v>
      </c>
      <c r="Y158" s="166">
        <f ca="1"/>
        <v>1.7572654111831509E-3</v>
      </c>
      <c r="Z158" s="166">
        <f ca="1"/>
        <v>0</v>
      </c>
      <c r="AA158" s="166">
        <f ca="1"/>
        <v>1.1947410764940658E-2</v>
      </c>
      <c r="AB158" s="166">
        <f ca="1"/>
        <v>0</v>
      </c>
      <c r="AC158" s="166">
        <f ca="1"/>
        <v>3.1306522958638894E-2</v>
      </c>
      <c r="AD158" s="166">
        <f ca="1"/>
        <v>5.5269079083173023E-2</v>
      </c>
      <c r="AE158" s="140">
        <f ca="1"/>
        <v>9.3945591994860411E-2</v>
      </c>
      <c r="AI158" s="137">
        <v>1.6000000000000001E-3</v>
      </c>
      <c r="AK158" s="137">
        <v>1.12E-2</v>
      </c>
      <c r="AM158" s="137">
        <v>2.9600000000000001E-2</v>
      </c>
      <c r="AN158" s="137">
        <v>5.2400000000000002E-2</v>
      </c>
      <c r="AO158" s="137">
        <v>8.9300000000000004E-2</v>
      </c>
      <c r="AR158" s="137">
        <v>1.6999999999999999E-3</v>
      </c>
      <c r="AT158" s="137">
        <v>1.18E-2</v>
      </c>
      <c r="AV158" s="137">
        <v>3.1099999999999999E-2</v>
      </c>
      <c r="AW158" s="137">
        <v>5.5E-2</v>
      </c>
      <c r="AX158" s="137">
        <v>9.3600000000000003E-2</v>
      </c>
    </row>
    <row r="159" spans="1:50" s="79" customFormat="1" ht="10.199999999999999" x14ac:dyDescent="0.2">
      <c r="A159" s="97">
        <f t="shared" ca="1" si="5"/>
        <v>148</v>
      </c>
      <c r="B159" s="68" t="s">
        <v>236</v>
      </c>
      <c r="C159" s="98">
        <v>0.4</v>
      </c>
      <c r="D159" s="69" t="s">
        <v>67</v>
      </c>
      <c r="E159" s="138" t="s">
        <v>87</v>
      </c>
      <c r="F159" s="159" t="s">
        <v>87</v>
      </c>
      <c r="G159" s="159">
        <v>6.29E-4</v>
      </c>
      <c r="H159" s="159" t="s">
        <v>87</v>
      </c>
      <c r="I159" s="159">
        <v>1.8E-3</v>
      </c>
      <c r="J159" s="159" t="s">
        <v>87</v>
      </c>
      <c r="K159" s="159">
        <v>2.6059999999999998E-3</v>
      </c>
      <c r="L159" s="159">
        <v>3.2690000000000002E-3</v>
      </c>
      <c r="M159" s="159">
        <v>3.885E-3</v>
      </c>
      <c r="N159" s="139">
        <f t="array" aca="1" ref="N159:AE159" ca="1">IF(OR(B159="",NOT($J$2)),"",GetStripDefaultProbability(A159,B159,Parameter_Date,CDSRollDate,E159:M159,SpreadCurveMaturities,D159,C159,$J$4,$J$6))</f>
        <v>0</v>
      </c>
      <c r="O159" s="166">
        <f ca="1"/>
        <v>0</v>
      </c>
      <c r="P159" s="166">
        <f ca="1"/>
        <v>1.1096467910054475E-3</v>
      </c>
      <c r="Q159" s="166">
        <f ca="1"/>
        <v>0</v>
      </c>
      <c r="R159" s="166">
        <f ca="1"/>
        <v>9.4129472337910469E-3</v>
      </c>
      <c r="S159" s="166">
        <f ca="1"/>
        <v>0</v>
      </c>
      <c r="T159" s="166">
        <f ca="1"/>
        <v>2.2641554376607198E-2</v>
      </c>
      <c r="U159" s="166">
        <f ca="1"/>
        <v>3.9989534409844874E-2</v>
      </c>
      <c r="V159" s="140">
        <f ca="1"/>
        <v>6.778231260930867E-2</v>
      </c>
      <c r="W159" s="139">
        <f ca="1"/>
        <v>0</v>
      </c>
      <c r="X159" s="166">
        <f ca="1"/>
        <v>0</v>
      </c>
      <c r="Y159" s="166">
        <f ca="1"/>
        <v>1.2761146438358129E-3</v>
      </c>
      <c r="Z159" s="166">
        <f ca="1"/>
        <v>0</v>
      </c>
      <c r="AA159" s="166">
        <f ca="1"/>
        <v>9.9220883233571699E-3</v>
      </c>
      <c r="AB159" s="166">
        <f ca="1"/>
        <v>0</v>
      </c>
      <c r="AC159" s="166">
        <f ca="1"/>
        <v>2.3751906921992028E-2</v>
      </c>
      <c r="AD159" s="166">
        <f ca="1"/>
        <v>4.1943256241984694E-2</v>
      </c>
      <c r="AE159" s="140">
        <f ca="1"/>
        <v>7.1067724891036743E-2</v>
      </c>
      <c r="AI159" s="137">
        <v>1.1000000000000001E-3</v>
      </c>
      <c r="AK159" s="137">
        <v>9.2999999999999992E-3</v>
      </c>
      <c r="AM159" s="137">
        <v>2.2499999999999999E-2</v>
      </c>
      <c r="AN159" s="137">
        <v>3.9800000000000002E-2</v>
      </c>
      <c r="AO159" s="137">
        <v>6.7599999999999993E-2</v>
      </c>
      <c r="AR159" s="137">
        <v>1.2999999999999999E-3</v>
      </c>
      <c r="AT159" s="137">
        <v>9.7999999999999997E-3</v>
      </c>
      <c r="AV159" s="137">
        <v>2.3599999999999999E-2</v>
      </c>
      <c r="AW159" s="137">
        <v>4.1700000000000001E-2</v>
      </c>
      <c r="AX159" s="137">
        <v>7.0900000000000005E-2</v>
      </c>
    </row>
    <row r="160" spans="1:50" s="79" customFormat="1" ht="10.199999999999999" x14ac:dyDescent="0.2">
      <c r="A160" s="97">
        <f t="shared" ca="1" si="5"/>
        <v>149</v>
      </c>
      <c r="B160" s="68" t="s">
        <v>237</v>
      </c>
      <c r="C160" s="98">
        <v>0.4</v>
      </c>
      <c r="D160" s="69" t="s">
        <v>67</v>
      </c>
      <c r="E160" s="138" t="s">
        <v>87</v>
      </c>
      <c r="F160" s="159" t="s">
        <v>87</v>
      </c>
      <c r="G160" s="159">
        <v>1.238E-3</v>
      </c>
      <c r="H160" s="159" t="s">
        <v>87</v>
      </c>
      <c r="I160" s="159">
        <v>4.0530000000000002E-3</v>
      </c>
      <c r="J160" s="159" t="s">
        <v>87</v>
      </c>
      <c r="K160" s="159">
        <v>5.6940000000000003E-3</v>
      </c>
      <c r="L160" s="159">
        <v>7.4310000000000001E-3</v>
      </c>
      <c r="M160" s="159">
        <v>9.3609999999999995E-3</v>
      </c>
      <c r="N160" s="139">
        <f t="array" aca="1" ref="N160:AE160" ca="1">IF(OR(B160="",NOT($J$2)),"",GetStripDefaultProbability(A160,B160,Parameter_Date,CDSRollDate,E160:M160,SpreadCurveMaturities,D160,C160,$J$4,$J$6))</f>
        <v>0</v>
      </c>
      <c r="O160" s="166">
        <f ca="1"/>
        <v>0</v>
      </c>
      <c r="P160" s="166">
        <f ca="1"/>
        <v>2.182846229887736E-3</v>
      </c>
      <c r="Q160" s="166">
        <f ca="1"/>
        <v>0</v>
      </c>
      <c r="R160" s="166">
        <f ca="1"/>
        <v>2.1153691195358371E-2</v>
      </c>
      <c r="S160" s="166">
        <f ca="1"/>
        <v>0</v>
      </c>
      <c r="T160" s="166">
        <f ca="1"/>
        <v>4.8964046901622704E-2</v>
      </c>
      <c r="U160" s="166">
        <f ca="1"/>
        <v>8.9692855104701597E-2</v>
      </c>
      <c r="V160" s="140">
        <f ca="1"/>
        <v>0.1595551432521819</v>
      </c>
      <c r="W160" s="139">
        <f ca="1"/>
        <v>0</v>
      </c>
      <c r="X160" s="166">
        <f ca="1"/>
        <v>0</v>
      </c>
      <c r="Y160" s="166">
        <f ca="1"/>
        <v>2.3491352310432978E-3</v>
      </c>
      <c r="Z160" s="166">
        <f ca="1"/>
        <v>0</v>
      </c>
      <c r="AA160" s="166">
        <f ca="1"/>
        <v>2.2196939001084437E-2</v>
      </c>
      <c r="AB160" s="166">
        <f ca="1"/>
        <v>0</v>
      </c>
      <c r="AC160" s="166">
        <f ca="1"/>
        <v>5.1362704518375213E-2</v>
      </c>
      <c r="AD160" s="166">
        <f ca="1"/>
        <v>9.4023061029800403E-2</v>
      </c>
      <c r="AE160" s="140">
        <f ca="1"/>
        <v>0.16704333562873319</v>
      </c>
      <c r="AI160" s="137">
        <v>2.2000000000000001E-3</v>
      </c>
      <c r="AK160" s="137">
        <v>2.0799999999999999E-2</v>
      </c>
      <c r="AM160" s="137">
        <v>4.8599999999999997E-2</v>
      </c>
      <c r="AN160" s="137">
        <v>8.8999999999999996E-2</v>
      </c>
      <c r="AO160" s="137">
        <v>0.159</v>
      </c>
      <c r="AR160" s="137">
        <v>2.3E-3</v>
      </c>
      <c r="AT160" s="137">
        <v>2.1899999999999999E-2</v>
      </c>
      <c r="AV160" s="137">
        <v>5.0999999999999997E-2</v>
      </c>
      <c r="AW160" s="137">
        <v>9.3299999999999994E-2</v>
      </c>
      <c r="AX160" s="137">
        <v>0.16639999999999999</v>
      </c>
    </row>
    <row r="161" spans="1:50" s="79" customFormat="1" ht="10.199999999999999" x14ac:dyDescent="0.2">
      <c r="A161" s="97">
        <f t="shared" ca="1" si="5"/>
        <v>150</v>
      </c>
      <c r="B161" s="68" t="s">
        <v>238</v>
      </c>
      <c r="C161" s="98">
        <v>0.4</v>
      </c>
      <c r="D161" s="69" t="s">
        <v>67</v>
      </c>
      <c r="E161" s="138" t="s">
        <v>87</v>
      </c>
      <c r="F161" s="159" t="s">
        <v>87</v>
      </c>
      <c r="G161" s="159">
        <v>3.4431999999999997E-2</v>
      </c>
      <c r="H161" s="159" t="s">
        <v>87</v>
      </c>
      <c r="I161" s="159">
        <v>3.3938000000000003E-2</v>
      </c>
      <c r="J161" s="159" t="s">
        <v>87</v>
      </c>
      <c r="K161" s="159">
        <v>3.006E-2</v>
      </c>
      <c r="L161" s="159">
        <v>2.8119999999999999E-2</v>
      </c>
      <c r="M161" s="159">
        <v>2.7151000000000002E-2</v>
      </c>
      <c r="N161" s="139">
        <f t="array" aca="1" ref="N161:AE161" ca="1">IF(OR(B161="",NOT($J$2)),"",GetStripDefaultProbability(A161,B161,Parameter_Date,CDSRollDate,E161:M161,SpreadCurveMaturities,D161,C161,$J$4,$J$6))</f>
        <v>0</v>
      </c>
      <c r="O161" s="166">
        <f ca="1"/>
        <v>0</v>
      </c>
      <c r="P161" s="166">
        <f ca="1"/>
        <v>5.8965088937883103E-2</v>
      </c>
      <c r="Q161" s="166">
        <f ca="1"/>
        <v>0</v>
      </c>
      <c r="R161" s="166">
        <f ca="1"/>
        <v>0.15933230356385109</v>
      </c>
      <c r="S161" s="166">
        <f ca="1"/>
        <v>0</v>
      </c>
      <c r="T161" s="166">
        <f ca="1"/>
        <v>0.21976228839446188</v>
      </c>
      <c r="U161" s="166">
        <f ca="1"/>
        <v>0.27416925840720285</v>
      </c>
      <c r="V161" s="140">
        <f ca="1"/>
        <v>0.35462700691916726</v>
      </c>
      <c r="W161" s="139">
        <f ca="1"/>
        <v>0</v>
      </c>
      <c r="X161" s="166">
        <f ca="1"/>
        <v>0</v>
      </c>
      <c r="Y161" s="166">
        <f ca="1"/>
        <v>6.1820252786673913E-2</v>
      </c>
      <c r="Z161" s="166">
        <f ca="1"/>
        <v>0</v>
      </c>
      <c r="AA161" s="166">
        <f ca="1"/>
        <v>0.16658979626332149</v>
      </c>
      <c r="AB161" s="166">
        <f ca="1"/>
        <v>0</v>
      </c>
      <c r="AC161" s="166">
        <f ca="1"/>
        <v>0.22922443413228644</v>
      </c>
      <c r="AD161" s="166">
        <f ca="1"/>
        <v>0.28544688332372492</v>
      </c>
      <c r="AE161" s="140">
        <f ca="1"/>
        <v>0.36822898623045952</v>
      </c>
      <c r="AI161" s="137">
        <v>5.8200000000000002E-2</v>
      </c>
      <c r="AK161" s="137">
        <v>0.15870000000000001</v>
      </c>
      <c r="AM161" s="137">
        <v>0.22009999999999999</v>
      </c>
      <c r="AN161" s="137">
        <v>0.27400000000000002</v>
      </c>
      <c r="AO161" s="137">
        <v>0.35510000000000003</v>
      </c>
      <c r="AR161" s="137">
        <v>6.0999999999999999E-2</v>
      </c>
      <c r="AT161" s="137">
        <v>0.16600000000000001</v>
      </c>
      <c r="AV161" s="137">
        <v>0.2296</v>
      </c>
      <c r="AW161" s="137">
        <v>0.2853</v>
      </c>
      <c r="AX161" s="137">
        <v>0.36870000000000003</v>
      </c>
    </row>
    <row r="162" spans="1:50" s="79" customFormat="1" ht="10.199999999999999" x14ac:dyDescent="0.2">
      <c r="A162" s="97">
        <f t="shared" ca="1" si="5"/>
        <v>151</v>
      </c>
      <c r="B162" s="68" t="s">
        <v>239</v>
      </c>
      <c r="C162" s="98">
        <v>0.4</v>
      </c>
      <c r="D162" s="69" t="s">
        <v>67</v>
      </c>
      <c r="E162" s="138" t="s">
        <v>87</v>
      </c>
      <c r="F162" s="159" t="s">
        <v>87</v>
      </c>
      <c r="G162" s="159">
        <v>1.083E-3</v>
      </c>
      <c r="H162" s="159" t="s">
        <v>87</v>
      </c>
      <c r="I162" s="159">
        <v>3.0460000000000001E-3</v>
      </c>
      <c r="J162" s="159" t="s">
        <v>87</v>
      </c>
      <c r="K162" s="159">
        <v>4.8729999999999997E-3</v>
      </c>
      <c r="L162" s="159">
        <v>6.4980000000000003E-3</v>
      </c>
      <c r="M162" s="159">
        <v>8.6300000000000005E-3</v>
      </c>
      <c r="N162" s="139">
        <f t="array" aca="1" ref="N162:AE162" ca="1">IF(OR(B162="",NOT($J$2)),"",GetStripDefaultProbability(A162,B162,Parameter_Date,CDSRollDate,E162:M162,SpreadCurveMaturities,D162,C162,$J$4,$J$6))</f>
        <v>0</v>
      </c>
      <c r="O162" s="166">
        <f ca="1"/>
        <v>0</v>
      </c>
      <c r="P162" s="166">
        <f ca="1"/>
        <v>1.9098088150590886E-3</v>
      </c>
      <c r="Q162" s="166">
        <f ca="1"/>
        <v>0</v>
      </c>
      <c r="R162" s="166">
        <f ca="1"/>
        <v>1.5891571435616036E-2</v>
      </c>
      <c r="S162" s="166">
        <f ca="1"/>
        <v>0</v>
      </c>
      <c r="T162" s="166">
        <f ca="1"/>
        <v>4.2319395516958291E-2</v>
      </c>
      <c r="U162" s="166">
        <f ca="1"/>
        <v>7.9128783563113925E-2</v>
      </c>
      <c r="V162" s="140">
        <f ca="1"/>
        <v>0.14982041300259386</v>
      </c>
      <c r="W162" s="139">
        <f ca="1"/>
        <v>0</v>
      </c>
      <c r="X162" s="166">
        <f ca="1"/>
        <v>0</v>
      </c>
      <c r="Y162" s="166">
        <f ca="1"/>
        <v>2.0761433186420319E-3</v>
      </c>
      <c r="Z162" s="166">
        <f ca="1"/>
        <v>0</v>
      </c>
      <c r="AA162" s="166">
        <f ca="1"/>
        <v>1.6673301820645303E-2</v>
      </c>
      <c r="AB162" s="166">
        <f ca="1"/>
        <v>0</v>
      </c>
      <c r="AC162" s="166">
        <f ca="1"/>
        <v>4.440091700119686E-2</v>
      </c>
      <c r="AD162" s="166">
        <f ca="1"/>
        <v>8.2967320458968485E-2</v>
      </c>
      <c r="AE162" s="140">
        <f ca="1"/>
        <v>0.15691076765052869</v>
      </c>
      <c r="AI162" s="137">
        <v>1.9E-3</v>
      </c>
      <c r="AK162" s="137">
        <v>1.5699999999999999E-2</v>
      </c>
      <c r="AM162" s="137">
        <v>4.2000000000000003E-2</v>
      </c>
      <c r="AN162" s="137">
        <v>7.8600000000000003E-2</v>
      </c>
      <c r="AO162" s="137">
        <v>0.1489</v>
      </c>
      <c r="AR162" s="137">
        <v>2.0999999999999999E-3</v>
      </c>
      <c r="AT162" s="137">
        <v>1.6400000000000001E-2</v>
      </c>
      <c r="AV162" s="137">
        <v>4.3999999999999997E-2</v>
      </c>
      <c r="AW162" s="137">
        <v>8.2400000000000001E-2</v>
      </c>
      <c r="AX162" s="137">
        <v>0.15590000000000001</v>
      </c>
    </row>
    <row r="163" spans="1:50" s="79" customFormat="1" ht="10.199999999999999" x14ac:dyDescent="0.2">
      <c r="A163" s="97">
        <f t="shared" ca="1" si="5"/>
        <v>152</v>
      </c>
      <c r="B163" s="68" t="s">
        <v>240</v>
      </c>
      <c r="C163" s="98">
        <v>0.4</v>
      </c>
      <c r="D163" s="69" t="s">
        <v>67</v>
      </c>
      <c r="E163" s="138" t="s">
        <v>87</v>
      </c>
      <c r="F163" s="159" t="s">
        <v>87</v>
      </c>
      <c r="G163" s="159">
        <v>1.0970000000000001E-3</v>
      </c>
      <c r="H163" s="159" t="s">
        <v>87</v>
      </c>
      <c r="I163" s="159">
        <v>1.645E-3</v>
      </c>
      <c r="J163" s="159" t="s">
        <v>87</v>
      </c>
      <c r="K163" s="159">
        <v>2.4130000000000002E-3</v>
      </c>
      <c r="L163" s="159">
        <v>2.6689999999999999E-3</v>
      </c>
      <c r="M163" s="159">
        <v>3.2850000000000002E-3</v>
      </c>
      <c r="N163" s="139">
        <f t="array" aca="1" ref="N163:AE163" ca="1">IF(OR(B163="",NOT($J$2)),"",GetStripDefaultProbability(A163,B163,Parameter_Date,CDSRollDate,E163:M163,SpreadCurveMaturities,D163,C163,$J$4,$J$6))</f>
        <v>0</v>
      </c>
      <c r="O163" s="166">
        <f ca="1"/>
        <v>0</v>
      </c>
      <c r="P163" s="166">
        <f ca="1"/>
        <v>1.934473303671691E-3</v>
      </c>
      <c r="Q163" s="166">
        <f ca="1"/>
        <v>0</v>
      </c>
      <c r="R163" s="166">
        <f ca="1"/>
        <v>8.4949064776480565E-3</v>
      </c>
      <c r="S163" s="166">
        <f ca="1"/>
        <v>0</v>
      </c>
      <c r="T163" s="166">
        <f ca="1"/>
        <v>2.0952246823390586E-2</v>
      </c>
      <c r="U163" s="166">
        <f ca="1"/>
        <v>3.2170334273406653E-2</v>
      </c>
      <c r="V163" s="140">
        <f ca="1"/>
        <v>5.7690327650960382E-2</v>
      </c>
      <c r="W163" s="139">
        <f ca="1"/>
        <v>0</v>
      </c>
      <c r="X163" s="166">
        <f ca="1"/>
        <v>0</v>
      </c>
      <c r="Y163" s="166">
        <f ca="1"/>
        <v>2.1008036968738208E-3</v>
      </c>
      <c r="Z163" s="166">
        <f ca="1"/>
        <v>0</v>
      </c>
      <c r="AA163" s="166">
        <f ca="1"/>
        <v>9.0039598839357637E-3</v>
      </c>
      <c r="AB163" s="166">
        <f ca="1"/>
        <v>0</v>
      </c>
      <c r="AC163" s="166">
        <f ca="1"/>
        <v>2.197414219641225E-2</v>
      </c>
      <c r="AD163" s="166">
        <f ca="1"/>
        <v>3.3741751743656345E-2</v>
      </c>
      <c r="AE163" s="140">
        <f ca="1"/>
        <v>6.049032294425416E-2</v>
      </c>
      <c r="AI163" s="137">
        <v>1.9E-3</v>
      </c>
      <c r="AK163" s="137">
        <v>8.3999999999999995E-3</v>
      </c>
      <c r="AM163" s="137">
        <v>2.0799999999999999E-2</v>
      </c>
      <c r="AN163" s="137">
        <v>3.2099999999999997E-2</v>
      </c>
      <c r="AO163" s="137">
        <v>5.7200000000000001E-2</v>
      </c>
      <c r="AR163" s="137">
        <v>2.0999999999999999E-3</v>
      </c>
      <c r="AT163" s="137">
        <v>8.8999999999999999E-3</v>
      </c>
      <c r="AV163" s="137">
        <v>2.18E-2</v>
      </c>
      <c r="AW163" s="137">
        <v>3.3599999999999998E-2</v>
      </c>
      <c r="AX163" s="137">
        <v>0.06</v>
      </c>
    </row>
    <row r="164" spans="1:50" s="79" customFormat="1" ht="10.199999999999999" x14ac:dyDescent="0.2">
      <c r="A164" s="97">
        <f t="shared" ca="1" si="5"/>
        <v>153</v>
      </c>
      <c r="B164" s="68" t="s">
        <v>241</v>
      </c>
      <c r="C164" s="98">
        <v>0.4</v>
      </c>
      <c r="D164" s="69" t="s">
        <v>67</v>
      </c>
      <c r="E164" s="138" t="s">
        <v>87</v>
      </c>
      <c r="F164" s="159" t="s">
        <v>87</v>
      </c>
      <c r="G164" s="159">
        <v>1.505E-3</v>
      </c>
      <c r="H164" s="159" t="s">
        <v>87</v>
      </c>
      <c r="I164" s="159">
        <v>2.6090000000000002E-3</v>
      </c>
      <c r="J164" s="159" t="s">
        <v>87</v>
      </c>
      <c r="K164" s="159">
        <v>3.764E-3</v>
      </c>
      <c r="L164" s="159">
        <v>4.8170000000000001E-3</v>
      </c>
      <c r="M164" s="159">
        <v>5.8209999999999998E-3</v>
      </c>
      <c r="N164" s="139">
        <f t="array" aca="1" ref="N164:AE164" ca="1">IF(OR(B164="",NOT($J$2)),"",GetStripDefaultProbability(A164,B164,Parameter_Date,CDSRollDate,E164:M164,SpreadCurveMaturities,D164,C164,$J$4,$J$6))</f>
        <v>0</v>
      </c>
      <c r="O164" s="166">
        <f ca="1"/>
        <v>0</v>
      </c>
      <c r="P164" s="166">
        <f ca="1"/>
        <v>2.6530014691230619E-3</v>
      </c>
      <c r="Q164" s="166">
        <f ca="1"/>
        <v>0</v>
      </c>
      <c r="R164" s="166">
        <f ca="1"/>
        <v>1.3484495103865957E-2</v>
      </c>
      <c r="S164" s="166">
        <f ca="1"/>
        <v>0</v>
      </c>
      <c r="T164" s="166">
        <f ca="1"/>
        <v>3.2536217676199408E-2</v>
      </c>
      <c r="U164" s="166">
        <f ca="1"/>
        <v>5.85504825399632E-2</v>
      </c>
      <c r="V164" s="140">
        <f ca="1"/>
        <v>0.10063413765426099</v>
      </c>
      <c r="W164" s="139">
        <f ca="1"/>
        <v>0</v>
      </c>
      <c r="X164" s="166">
        <f ca="1"/>
        <v>0</v>
      </c>
      <c r="Y164" s="166">
        <f ca="1"/>
        <v>2.819212117604275E-3</v>
      </c>
      <c r="Z164" s="166">
        <f ca="1"/>
        <v>0</v>
      </c>
      <c r="AA164" s="166">
        <f ca="1"/>
        <v>1.4150770972122362E-2</v>
      </c>
      <c r="AB164" s="166">
        <f ca="1"/>
        <v>0</v>
      </c>
      <c r="AC164" s="166">
        <f ca="1"/>
        <v>3.4140900875862412E-2</v>
      </c>
      <c r="AD164" s="166">
        <f ca="1"/>
        <v>6.1410016309410786E-2</v>
      </c>
      <c r="AE164" s="140">
        <f ca="1"/>
        <v>0.10546608992558182</v>
      </c>
      <c r="AI164" s="137">
        <v>2.5999999999999999E-3</v>
      </c>
      <c r="AK164" s="137">
        <v>1.34E-2</v>
      </c>
      <c r="AM164" s="137">
        <v>3.2300000000000002E-2</v>
      </c>
      <c r="AN164" s="137">
        <v>5.8200000000000002E-2</v>
      </c>
      <c r="AO164" s="137">
        <v>0.1003</v>
      </c>
      <c r="AR164" s="137">
        <v>2.8E-3</v>
      </c>
      <c r="AT164" s="137">
        <v>1.4E-2</v>
      </c>
      <c r="AV164" s="137">
        <v>3.39E-2</v>
      </c>
      <c r="AW164" s="137">
        <v>6.0999999999999999E-2</v>
      </c>
      <c r="AX164" s="137">
        <v>0.1051</v>
      </c>
    </row>
    <row r="165" spans="1:50" s="79" customFormat="1" ht="10.199999999999999" x14ac:dyDescent="0.2">
      <c r="A165" s="97">
        <f t="shared" ca="1" si="5"/>
        <v>154</v>
      </c>
      <c r="B165" s="68" t="s">
        <v>242</v>
      </c>
      <c r="C165" s="98">
        <v>0.4</v>
      </c>
      <c r="D165" s="69" t="s">
        <v>67</v>
      </c>
      <c r="E165" s="138" t="s">
        <v>87</v>
      </c>
      <c r="F165" s="159" t="s">
        <v>87</v>
      </c>
      <c r="G165" s="159">
        <v>5.31E-4</v>
      </c>
      <c r="H165" s="159" t="s">
        <v>87</v>
      </c>
      <c r="I165" s="159">
        <v>1.4480000000000001E-3</v>
      </c>
      <c r="J165" s="159" t="s">
        <v>87</v>
      </c>
      <c r="K165" s="159">
        <v>2.1229999999999999E-3</v>
      </c>
      <c r="L165" s="159">
        <v>2.7989999999999998E-3</v>
      </c>
      <c r="M165" s="159">
        <v>3.9569999999999996E-3</v>
      </c>
      <c r="N165" s="139">
        <f t="array" aca="1" ref="N165:AE165" ca="1">IF(OR(B165="",NOT($J$2)),"",GetStripDefaultProbability(A165,B165,Parameter_Date,CDSRollDate,E165:M165,SpreadCurveMaturities,D165,C165,$J$4,$J$6))</f>
        <v>0</v>
      </c>
      <c r="O165" s="166">
        <f ca="1"/>
        <v>0</v>
      </c>
      <c r="P165" s="166">
        <f ca="1"/>
        <v>9.3684106812486068E-4</v>
      </c>
      <c r="Q165" s="166">
        <f ca="1"/>
        <v>0</v>
      </c>
      <c r="R165" s="166">
        <f ca="1"/>
        <v>7.5600410618023028E-3</v>
      </c>
      <c r="S165" s="166">
        <f ca="1"/>
        <v>0</v>
      </c>
      <c r="T165" s="166">
        <f ca="1"/>
        <v>1.849070729908453E-2</v>
      </c>
      <c r="U165" s="166">
        <f ca="1"/>
        <v>3.4495397558852448E-2</v>
      </c>
      <c r="V165" s="140">
        <f ca="1"/>
        <v>7.1183830775084056E-2</v>
      </c>
      <c r="W165" s="139">
        <f ca="1"/>
        <v>0</v>
      </c>
      <c r="X165" s="166">
        <f ca="1"/>
        <v>0</v>
      </c>
      <c r="Y165" s="166">
        <f ca="1"/>
        <v>1.1033377195059924E-3</v>
      </c>
      <c r="Z165" s="166">
        <f ca="1"/>
        <v>0</v>
      </c>
      <c r="AA165" s="166">
        <f ca="1"/>
        <v>8.0697848049252618E-3</v>
      </c>
      <c r="AB165" s="166">
        <f ca="1"/>
        <v>0</v>
      </c>
      <c r="AC165" s="166">
        <f ca="1"/>
        <v>1.9382017804412732E-2</v>
      </c>
      <c r="AD165" s="166">
        <f ca="1"/>
        <v>3.6172618243598853E-2</v>
      </c>
      <c r="AE165" s="140">
        <f ca="1"/>
        <v>7.4625664793280588E-2</v>
      </c>
      <c r="AI165" s="137">
        <v>8.9999999999999998E-4</v>
      </c>
      <c r="AK165" s="137">
        <v>7.4999999999999997E-3</v>
      </c>
      <c r="AM165" s="137">
        <v>1.84E-2</v>
      </c>
      <c r="AN165" s="137">
        <v>3.4299999999999997E-2</v>
      </c>
      <c r="AO165" s="137">
        <v>7.0699999999999999E-2</v>
      </c>
      <c r="AR165" s="137">
        <v>1.1000000000000001E-3</v>
      </c>
      <c r="AT165" s="137">
        <v>8.0000000000000002E-3</v>
      </c>
      <c r="AV165" s="137">
        <v>1.9199999999999998E-2</v>
      </c>
      <c r="AW165" s="137">
        <v>3.5900000000000001E-2</v>
      </c>
      <c r="AX165" s="137">
        <v>7.4099999999999999E-2</v>
      </c>
    </row>
    <row r="166" spans="1:50" s="79" customFormat="1" ht="10.199999999999999" x14ac:dyDescent="0.2">
      <c r="A166" s="97">
        <f t="shared" ca="1" si="5"/>
        <v>155</v>
      </c>
      <c r="B166" s="68" t="s">
        <v>243</v>
      </c>
      <c r="C166" s="98">
        <v>0.4</v>
      </c>
      <c r="D166" s="69" t="s">
        <v>67</v>
      </c>
      <c r="E166" s="138" t="s">
        <v>87</v>
      </c>
      <c r="F166" s="159" t="s">
        <v>87</v>
      </c>
      <c r="G166" s="159">
        <v>3.0165999999999998E-2</v>
      </c>
      <c r="H166" s="159" t="s">
        <v>87</v>
      </c>
      <c r="I166" s="159">
        <v>2.1916999999999999E-2</v>
      </c>
      <c r="J166" s="159" t="s">
        <v>87</v>
      </c>
      <c r="K166" s="159">
        <v>1.8335000000000001E-2</v>
      </c>
      <c r="L166" s="159">
        <v>1.6732E-2</v>
      </c>
      <c r="M166" s="159">
        <v>1.5789999999999998E-2</v>
      </c>
      <c r="N166" s="139">
        <f t="array" aca="1" ref="N166:AE166" ca="1">IF(OR(B166="",NOT($J$2)),"",GetStripDefaultProbability(A166,B166,Parameter_Date,CDSRollDate,E166:M166,SpreadCurveMaturities,D166,C166,$J$4,$J$6))</f>
        <v>0</v>
      </c>
      <c r="O166" s="166">
        <f ca="1"/>
        <v>0</v>
      </c>
      <c r="P166" s="166">
        <f ca="1"/>
        <v>5.1852676163256617E-2</v>
      </c>
      <c r="Q166" s="166">
        <f ca="1"/>
        <v>0</v>
      </c>
      <c r="R166" s="166">
        <f ca="1"/>
        <v>0.10352415863656383</v>
      </c>
      <c r="S166" s="166">
        <f ca="1"/>
        <v>0</v>
      </c>
      <c r="T166" s="166">
        <f ca="1"/>
        <v>0.13871147601794476</v>
      </c>
      <c r="U166" s="166">
        <f ca="1"/>
        <v>0.17098523212849404</v>
      </c>
      <c r="V166" s="140">
        <f ca="1"/>
        <v>0.2226853358231381</v>
      </c>
      <c r="W166" s="139">
        <f ca="1"/>
        <v>0</v>
      </c>
      <c r="X166" s="166">
        <f ca="1"/>
        <v>0</v>
      </c>
      <c r="Y166" s="166">
        <f ca="1"/>
        <v>5.4373489146492648E-2</v>
      </c>
      <c r="Z166" s="166">
        <f ca="1"/>
        <v>0</v>
      </c>
      <c r="AA166" s="166">
        <f ca="1"/>
        <v>0.10834386177716493</v>
      </c>
      <c r="AB166" s="166">
        <f ca="1"/>
        <v>0</v>
      </c>
      <c r="AC166" s="166">
        <f ca="1"/>
        <v>0.14500246343000489</v>
      </c>
      <c r="AD166" s="166">
        <f ca="1"/>
        <v>0.17854347089463185</v>
      </c>
      <c r="AE166" s="140">
        <f ca="1"/>
        <v>0.23219435885242434</v>
      </c>
      <c r="AI166" s="137">
        <v>5.1200000000000002E-2</v>
      </c>
      <c r="AK166" s="137">
        <v>0.1041</v>
      </c>
      <c r="AM166" s="137">
        <v>0.1389</v>
      </c>
      <c r="AN166" s="137">
        <v>0.17150000000000001</v>
      </c>
      <c r="AO166" s="137">
        <v>0.22239999999999999</v>
      </c>
      <c r="AR166" s="137">
        <v>5.3699999999999998E-2</v>
      </c>
      <c r="AT166" s="137">
        <v>0.1089</v>
      </c>
      <c r="AV166" s="137">
        <v>0.14510000000000001</v>
      </c>
      <c r="AW166" s="137">
        <v>0.17899999999999999</v>
      </c>
      <c r="AX166" s="137">
        <v>0.2319</v>
      </c>
    </row>
    <row r="167" spans="1:50" s="79" customFormat="1" ht="10.199999999999999" x14ac:dyDescent="0.2">
      <c r="A167" s="97">
        <f t="shared" ca="1" si="5"/>
        <v>156</v>
      </c>
      <c r="B167" s="68" t="s">
        <v>244</v>
      </c>
      <c r="C167" s="98">
        <v>0.4</v>
      </c>
      <c r="D167" s="69" t="s">
        <v>67</v>
      </c>
      <c r="E167" s="138" t="s">
        <v>87</v>
      </c>
      <c r="F167" s="159" t="s">
        <v>87</v>
      </c>
      <c r="G167" s="159">
        <v>8.2399999999999997E-4</v>
      </c>
      <c r="H167" s="159" t="s">
        <v>87</v>
      </c>
      <c r="I167" s="159">
        <v>2.5300000000000001E-3</v>
      </c>
      <c r="J167" s="159" t="s">
        <v>87</v>
      </c>
      <c r="K167" s="159">
        <v>3.522E-3</v>
      </c>
      <c r="L167" s="159">
        <v>4.5840000000000004E-3</v>
      </c>
      <c r="M167" s="159">
        <v>5.9350000000000002E-3</v>
      </c>
      <c r="N167" s="139">
        <f t="array" aca="1" ref="N167:AE167" ca="1">IF(OR(B167="",NOT($J$2)),"",GetStripDefaultProbability(A167,B167,Parameter_Date,CDSRollDate,E167:M167,SpreadCurveMaturities,D167,C167,$J$4,$J$6))</f>
        <v>0</v>
      </c>
      <c r="O167" s="166">
        <f ca="1"/>
        <v>0</v>
      </c>
      <c r="P167" s="166">
        <f ca="1"/>
        <v>1.4534066770205412E-3</v>
      </c>
      <c r="Q167" s="166">
        <f ca="1"/>
        <v>0</v>
      </c>
      <c r="R167" s="166">
        <f ca="1"/>
        <v>1.3226722495820353E-2</v>
      </c>
      <c r="S167" s="166">
        <f ca="1"/>
        <v>0</v>
      </c>
      <c r="T167" s="166">
        <f ca="1"/>
        <v>3.0468149101265607E-2</v>
      </c>
      <c r="U167" s="166">
        <f ca="1"/>
        <v>5.5959087109801686E-2</v>
      </c>
      <c r="V167" s="140">
        <f ca="1"/>
        <v>0.10383063039781903</v>
      </c>
      <c r="W167" s="139">
        <f ca="1"/>
        <v>0</v>
      </c>
      <c r="X167" s="166">
        <f ca="1"/>
        <v>0</v>
      </c>
      <c r="Y167" s="166">
        <f ca="1"/>
        <v>1.6198172413184331E-3</v>
      </c>
      <c r="Z167" s="166">
        <f ca="1"/>
        <v>0</v>
      </c>
      <c r="AA167" s="166">
        <f ca="1"/>
        <v>1.3874040196497961E-2</v>
      </c>
      <c r="AB167" s="166">
        <f ca="1"/>
        <v>0</v>
      </c>
      <c r="AC167" s="166">
        <f ca="1"/>
        <v>3.1967717653864414E-2</v>
      </c>
      <c r="AD167" s="166">
        <f ca="1"/>
        <v>5.8689092839285251E-2</v>
      </c>
      <c r="AE167" s="140">
        <f ca="1"/>
        <v>0.10882125028767642</v>
      </c>
      <c r="AI167" s="137">
        <v>1.4E-3</v>
      </c>
      <c r="AK167" s="137">
        <v>1.2999999999999999E-2</v>
      </c>
      <c r="AM167" s="137">
        <v>3.0300000000000001E-2</v>
      </c>
      <c r="AN167" s="137">
        <v>5.5599999999999997E-2</v>
      </c>
      <c r="AO167" s="137">
        <v>0.10340000000000001</v>
      </c>
      <c r="AR167" s="137">
        <v>1.6000000000000001E-3</v>
      </c>
      <c r="AT167" s="137">
        <v>1.37E-2</v>
      </c>
      <c r="AV167" s="137">
        <v>3.1800000000000002E-2</v>
      </c>
      <c r="AW167" s="137">
        <v>5.8299999999999998E-2</v>
      </c>
      <c r="AX167" s="137">
        <v>0.10829999999999999</v>
      </c>
    </row>
    <row r="168" spans="1:50" s="79" customFormat="1" ht="10.199999999999999" x14ac:dyDescent="0.2">
      <c r="A168" s="97">
        <f t="shared" ca="1" si="5"/>
        <v>157</v>
      </c>
      <c r="B168" s="68" t="s">
        <v>245</v>
      </c>
      <c r="C168" s="98">
        <v>0.4</v>
      </c>
      <c r="D168" s="69" t="s">
        <v>67</v>
      </c>
      <c r="E168" s="138" t="s">
        <v>87</v>
      </c>
      <c r="F168" s="159" t="s">
        <v>87</v>
      </c>
      <c r="G168" s="159">
        <v>6.8499999999999995E-4</v>
      </c>
      <c r="H168" s="159" t="s">
        <v>87</v>
      </c>
      <c r="I168" s="159">
        <v>2.2669999999999999E-3</v>
      </c>
      <c r="J168" s="159" t="s">
        <v>87</v>
      </c>
      <c r="K168" s="159">
        <v>3.4259999999999998E-3</v>
      </c>
      <c r="L168" s="159">
        <v>4.8869999999999999E-3</v>
      </c>
      <c r="M168" s="159">
        <v>6.398E-3</v>
      </c>
      <c r="N168" s="139">
        <f t="array" aca="1" ref="N168:AE168" ca="1">IF(OR(B168="",NOT($J$2)),"",GetStripDefaultProbability(A168,B168,Parameter_Date,CDSRollDate,E168:M168,SpreadCurveMaturities,D168,C168,$J$4,$J$6))</f>
        <v>0</v>
      </c>
      <c r="O168" s="166">
        <f ca="1"/>
        <v>0</v>
      </c>
      <c r="P168" s="166">
        <f ca="1"/>
        <v>1.208379598348408E-3</v>
      </c>
      <c r="Q168" s="166">
        <f ca="1"/>
        <v>0</v>
      </c>
      <c r="R168" s="166">
        <f ca="1"/>
        <v>1.1867920026879641E-2</v>
      </c>
      <c r="S168" s="166">
        <f ca="1"/>
        <v>0</v>
      </c>
      <c r="T168" s="166">
        <f ca="1"/>
        <v>2.980392334628057E-2</v>
      </c>
      <c r="U168" s="166">
        <f ca="1"/>
        <v>6.0281240030843009E-2</v>
      </c>
      <c r="V168" s="140">
        <f ca="1"/>
        <v>0.11233833584343644</v>
      </c>
      <c r="W168" s="139">
        <f ca="1"/>
        <v>0</v>
      </c>
      <c r="X168" s="166">
        <f ca="1"/>
        <v>0</v>
      </c>
      <c r="Y168" s="166">
        <f ca="1"/>
        <v>1.3748309970960104E-3</v>
      </c>
      <c r="Z168" s="166">
        <f ca="1"/>
        <v>0</v>
      </c>
      <c r="AA168" s="166">
        <f ca="1"/>
        <v>1.244656564563118E-2</v>
      </c>
      <c r="AB168" s="166">
        <f ca="1"/>
        <v>0</v>
      </c>
      <c r="AC168" s="166">
        <f ca="1"/>
        <v>3.1271203727990526E-2</v>
      </c>
      <c r="AD168" s="166">
        <f ca="1"/>
        <v>6.3222369806764322E-2</v>
      </c>
      <c r="AE168" s="140">
        <f ca="1"/>
        <v>0.11772744881335806</v>
      </c>
      <c r="AI168" s="137">
        <v>1.1999999999999999E-3</v>
      </c>
      <c r="AK168" s="137">
        <v>1.17E-2</v>
      </c>
      <c r="AM168" s="137">
        <v>2.9600000000000001E-2</v>
      </c>
      <c r="AN168" s="137">
        <v>5.9799999999999999E-2</v>
      </c>
      <c r="AO168" s="137">
        <v>0.112</v>
      </c>
      <c r="AR168" s="137">
        <v>1.4E-3</v>
      </c>
      <c r="AT168" s="137">
        <v>1.23E-2</v>
      </c>
      <c r="AV168" s="137">
        <v>3.1E-2</v>
      </c>
      <c r="AW168" s="137">
        <v>6.2700000000000006E-2</v>
      </c>
      <c r="AX168" s="137">
        <v>0.1173</v>
      </c>
    </row>
    <row r="169" spans="1:50" s="79" customFormat="1" ht="10.199999999999999" x14ac:dyDescent="0.2">
      <c r="A169" s="97">
        <f t="shared" ca="1" si="5"/>
        <v>158</v>
      </c>
      <c r="B169" s="68" t="s">
        <v>246</v>
      </c>
      <c r="C169" s="98">
        <v>0.4</v>
      </c>
      <c r="D169" s="69" t="s">
        <v>67</v>
      </c>
      <c r="E169" s="138" t="s">
        <v>87</v>
      </c>
      <c r="F169" s="159" t="s">
        <v>87</v>
      </c>
      <c r="G169" s="159">
        <v>4.5399999999999998E-4</v>
      </c>
      <c r="H169" s="159" t="s">
        <v>87</v>
      </c>
      <c r="I169" s="159">
        <v>1.5560000000000001E-3</v>
      </c>
      <c r="J169" s="159" t="s">
        <v>87</v>
      </c>
      <c r="K169" s="159">
        <v>2.2680000000000001E-3</v>
      </c>
      <c r="L169" s="159">
        <v>2.9789999999999999E-3</v>
      </c>
      <c r="M169" s="159">
        <v>3.6459999999999999E-3</v>
      </c>
      <c r="N169" s="139">
        <f t="array" aca="1" ref="N169:AE169" ca="1">IF(OR(B169="",NOT($J$2)),"",GetStripDefaultProbability(A169,B169,Parameter_Date,CDSRollDate,E169:M169,SpreadCurveMaturities,D169,C169,$J$4,$J$6))</f>
        <v>0</v>
      </c>
      <c r="O169" s="166">
        <f ca="1"/>
        <v>0</v>
      </c>
      <c r="P169" s="166">
        <f ca="1"/>
        <v>8.0104432618277599E-4</v>
      </c>
      <c r="Q169" s="166">
        <f ca="1"/>
        <v>0</v>
      </c>
      <c r="R169" s="166">
        <f ca="1"/>
        <v>8.1416487411757332E-3</v>
      </c>
      <c r="S169" s="166">
        <f ca="1"/>
        <v>0</v>
      </c>
      <c r="T169" s="166">
        <f ca="1"/>
        <v>1.9743189445416975E-2</v>
      </c>
      <c r="U169" s="166">
        <f ca="1"/>
        <v>3.6683445499164913E-2</v>
      </c>
      <c r="V169" s="140">
        <f ca="1"/>
        <v>6.4161021970501886E-2</v>
      </c>
      <c r="W169" s="139">
        <f ca="1"/>
        <v>0</v>
      </c>
      <c r="X169" s="166">
        <f ca="1"/>
        <v>0</v>
      </c>
      <c r="Y169" s="166">
        <f ca="1"/>
        <v>9.6756360848093692E-4</v>
      </c>
      <c r="Z169" s="166">
        <f ca="1"/>
        <v>0</v>
      </c>
      <c r="AA169" s="166">
        <f ca="1"/>
        <v>8.6512064932491306E-3</v>
      </c>
      <c r="AB169" s="166">
        <f ca="1"/>
        <v>0</v>
      </c>
      <c r="AC169" s="166">
        <f ca="1"/>
        <v>2.0700409042869183E-2</v>
      </c>
      <c r="AD169" s="166">
        <f ca="1"/>
        <v>3.8469261425818635E-2</v>
      </c>
      <c r="AE169" s="140">
        <f ca="1"/>
        <v>6.7265368744562015E-2</v>
      </c>
      <c r="AI169" s="137">
        <v>8.0000000000000004E-4</v>
      </c>
      <c r="AK169" s="137">
        <v>8.0000000000000002E-3</v>
      </c>
      <c r="AM169" s="137">
        <v>1.9599999999999999E-2</v>
      </c>
      <c r="AN169" s="137">
        <v>3.6400000000000002E-2</v>
      </c>
      <c r="AO169" s="137">
        <v>6.4000000000000001E-2</v>
      </c>
      <c r="AR169" s="137">
        <v>1E-3</v>
      </c>
      <c r="AT169" s="137">
        <v>8.5000000000000006E-3</v>
      </c>
      <c r="AV169" s="137">
        <v>2.06E-2</v>
      </c>
      <c r="AW169" s="137">
        <v>3.8199999999999998E-2</v>
      </c>
      <c r="AX169" s="137">
        <v>6.7100000000000007E-2</v>
      </c>
    </row>
    <row r="170" spans="1:50" s="79" customFormat="1" ht="10.199999999999999" x14ac:dyDescent="0.2">
      <c r="A170" s="97">
        <f t="shared" ca="1" si="5"/>
        <v>159</v>
      </c>
      <c r="B170" s="68" t="s">
        <v>247</v>
      </c>
      <c r="C170" s="98">
        <v>0.4</v>
      </c>
      <c r="D170" s="69" t="s">
        <v>67</v>
      </c>
      <c r="E170" s="138" t="s">
        <v>87</v>
      </c>
      <c r="F170" s="159" t="s">
        <v>87</v>
      </c>
      <c r="G170" s="159">
        <v>7.3800000000000005E-4</v>
      </c>
      <c r="H170" s="159" t="s">
        <v>87</v>
      </c>
      <c r="I170" s="159">
        <v>2.0179999999999998E-3</v>
      </c>
      <c r="J170" s="159" t="s">
        <v>87</v>
      </c>
      <c r="K170" s="159">
        <v>2.4610000000000001E-3</v>
      </c>
      <c r="L170" s="159">
        <v>2.8050000000000002E-3</v>
      </c>
      <c r="M170" s="159">
        <v>3.5929999999999998E-3</v>
      </c>
      <c r="N170" s="139">
        <f t="array" aca="1" ref="N170:AE170" ca="1">IF(OR(B170="",NOT($J$2)),"",GetStripDefaultProbability(A170,B170,Parameter_Date,CDSRollDate,E170:M170,SpreadCurveMaturities,D170,C170,$J$4,$J$6))</f>
        <v>0</v>
      </c>
      <c r="O170" s="166">
        <f ca="1"/>
        <v>0</v>
      </c>
      <c r="P170" s="166">
        <f ca="1"/>
        <v>1.3018142269859423E-3</v>
      </c>
      <c r="Q170" s="166">
        <f ca="1"/>
        <v>0</v>
      </c>
      <c r="R170" s="166">
        <f ca="1"/>
        <v>1.0542376711906387E-2</v>
      </c>
      <c r="S170" s="166">
        <f ca="1"/>
        <v>0</v>
      </c>
      <c r="T170" s="166">
        <f ca="1"/>
        <v>2.1162044604371766E-2</v>
      </c>
      <c r="U170" s="166">
        <f ca="1"/>
        <v>3.3844223264108075E-2</v>
      </c>
      <c r="V170" s="140">
        <f ca="1"/>
        <v>6.3126338606714016E-2</v>
      </c>
      <c r="W170" s="139">
        <f ca="1"/>
        <v>0</v>
      </c>
      <c r="X170" s="166">
        <f ca="1"/>
        <v>0</v>
      </c>
      <c r="Y170" s="166">
        <f ca="1"/>
        <v>1.4682500545684096E-3</v>
      </c>
      <c r="Z170" s="166">
        <f ca="1"/>
        <v>0</v>
      </c>
      <c r="AA170" s="166">
        <f ca="1"/>
        <v>1.1055779705687052E-2</v>
      </c>
      <c r="AB170" s="166">
        <f ca="1"/>
        <v>0</v>
      </c>
      <c r="AC170" s="166">
        <f ca="1"/>
        <v>2.2204359620763725E-2</v>
      </c>
      <c r="AD170" s="166">
        <f ca="1"/>
        <v>3.5501303773025961E-2</v>
      </c>
      <c r="AE170" s="140">
        <f ca="1"/>
        <v>6.6208718185059801E-2</v>
      </c>
      <c r="AI170" s="137">
        <v>1.2999999999999999E-3</v>
      </c>
      <c r="AK170" s="137">
        <v>1.04E-2</v>
      </c>
      <c r="AM170" s="137">
        <v>2.1100000000000001E-2</v>
      </c>
      <c r="AN170" s="137">
        <v>3.3700000000000001E-2</v>
      </c>
      <c r="AO170" s="137">
        <v>6.2799999999999995E-2</v>
      </c>
      <c r="AR170" s="137">
        <v>1.5E-3</v>
      </c>
      <c r="AT170" s="137">
        <v>1.09E-2</v>
      </c>
      <c r="AV170" s="137">
        <v>2.2100000000000002E-2</v>
      </c>
      <c r="AW170" s="137">
        <v>3.5299999999999998E-2</v>
      </c>
      <c r="AX170" s="137">
        <v>6.5799999999999997E-2</v>
      </c>
    </row>
    <row r="171" spans="1:50" s="79" customFormat="1" ht="10.199999999999999" x14ac:dyDescent="0.2">
      <c r="A171" s="97">
        <f t="shared" ca="1" si="5"/>
        <v>160</v>
      </c>
      <c r="B171" s="68" t="s">
        <v>248</v>
      </c>
      <c r="C171" s="98">
        <v>0.4</v>
      </c>
      <c r="D171" s="69" t="s">
        <v>67</v>
      </c>
      <c r="E171" s="138" t="s">
        <v>87</v>
      </c>
      <c r="F171" s="159" t="s">
        <v>87</v>
      </c>
      <c r="G171" s="159">
        <v>9.7499999999999996E-4</v>
      </c>
      <c r="H171" s="159" t="s">
        <v>87</v>
      </c>
      <c r="I171" s="159">
        <v>3.0920000000000001E-3</v>
      </c>
      <c r="J171" s="159" t="s">
        <v>87</v>
      </c>
      <c r="K171" s="159">
        <v>4.8729999999999997E-3</v>
      </c>
      <c r="L171" s="159">
        <v>6.0260000000000001E-3</v>
      </c>
      <c r="M171" s="159">
        <v>7.0740000000000004E-3</v>
      </c>
      <c r="N171" s="139">
        <f t="array" aca="1" ref="N171:AE171" ca="1">IF(OR(B171="",NOT($J$2)),"",GetStripDefaultProbability(A171,B171,Parameter_Date,CDSRollDate,E171:M171,SpreadCurveMaturities,D171,C171,$J$4,$J$6))</f>
        <v>0</v>
      </c>
      <c r="O171" s="166">
        <f ca="1"/>
        <v>0</v>
      </c>
      <c r="P171" s="166">
        <f ca="1"/>
        <v>1.7195195753378911E-3</v>
      </c>
      <c r="Q171" s="166">
        <f ca="1"/>
        <v>0</v>
      </c>
      <c r="R171" s="166">
        <f ca="1"/>
        <v>1.615666058757792E-2</v>
      </c>
      <c r="S171" s="166">
        <f ca="1"/>
        <v>0</v>
      </c>
      <c r="T171" s="166">
        <f ca="1"/>
        <v>4.2311602608272159E-2</v>
      </c>
      <c r="U171" s="166">
        <f ca="1"/>
        <v>7.2892440615645038E-2</v>
      </c>
      <c r="V171" s="140">
        <f ca="1"/>
        <v>0.12079176110143308</v>
      </c>
      <c r="W171" s="139">
        <f ca="1"/>
        <v>0</v>
      </c>
      <c r="X171" s="166">
        <f ca="1"/>
        <v>0</v>
      </c>
      <c r="Y171" s="166">
        <f ca="1"/>
        <v>1.8858857911606686E-3</v>
      </c>
      <c r="Z171" s="166">
        <f ca="1"/>
        <v>0</v>
      </c>
      <c r="AA171" s="166">
        <f ca="1"/>
        <v>1.6950484076820427E-2</v>
      </c>
      <c r="AB171" s="166">
        <f ca="1"/>
        <v>0</v>
      </c>
      <c r="AC171" s="166">
        <f ca="1"/>
        <v>4.4390173986392334E-2</v>
      </c>
      <c r="AD171" s="166">
        <f ca="1"/>
        <v>7.6427585849436763E-2</v>
      </c>
      <c r="AE171" s="140">
        <f ca="1"/>
        <v>0.12653821730645121</v>
      </c>
      <c r="AI171" s="137">
        <v>1.6999999999999999E-3</v>
      </c>
      <c r="AK171" s="137">
        <v>1.5900000000000001E-2</v>
      </c>
      <c r="AM171" s="137">
        <v>4.2000000000000003E-2</v>
      </c>
      <c r="AN171" s="137">
        <v>7.2499999999999995E-2</v>
      </c>
      <c r="AO171" s="137">
        <v>0.1203</v>
      </c>
      <c r="AR171" s="137">
        <v>1.9E-3</v>
      </c>
      <c r="AT171" s="137">
        <v>1.67E-2</v>
      </c>
      <c r="AV171" s="137">
        <v>4.3999999999999997E-2</v>
      </c>
      <c r="AW171" s="137">
        <v>7.5999999999999998E-2</v>
      </c>
      <c r="AX171" s="137">
        <v>0.126</v>
      </c>
    </row>
    <row r="172" spans="1:50" s="79" customFormat="1" ht="10.199999999999999" x14ac:dyDescent="0.2">
      <c r="A172" s="97">
        <f t="shared" ca="1" si="5"/>
        <v>161</v>
      </c>
      <c r="B172" s="68" t="s">
        <v>249</v>
      </c>
      <c r="C172" s="98">
        <v>0.4</v>
      </c>
      <c r="D172" s="69" t="s">
        <v>67</v>
      </c>
      <c r="E172" s="138" t="s">
        <v>87</v>
      </c>
      <c r="F172" s="159" t="s">
        <v>87</v>
      </c>
      <c r="G172" s="159">
        <v>8.5298437190000007E-2</v>
      </c>
      <c r="H172" s="159" t="s">
        <v>87</v>
      </c>
      <c r="I172" s="159">
        <v>5.2450613260000001E-2</v>
      </c>
      <c r="J172" s="159" t="s">
        <v>87</v>
      </c>
      <c r="K172" s="159">
        <v>3.9500213579999999E-2</v>
      </c>
      <c r="L172" s="159">
        <v>3.2934272280000003E-2</v>
      </c>
      <c r="M172" s="159">
        <v>2.9231474059999998E-2</v>
      </c>
      <c r="N172" s="139">
        <f t="array" aca="1" ref="N172:AE172" ca="1">IF(OR(B172="",NOT($J$2)),"",GetStripDefaultProbability(A172,B172,Parameter_Date,CDSRollDate,E172:M172,SpreadCurveMaturities,D172,C172,$J$4,$J$6))</f>
        <v>0</v>
      </c>
      <c r="O172" s="166">
        <f ca="1"/>
        <v>0</v>
      </c>
      <c r="P172" s="166">
        <f ca="1"/>
        <v>0.13976842551315916</v>
      </c>
      <c r="Q172" s="166">
        <f ca="1"/>
        <v>0</v>
      </c>
      <c r="R172" s="166">
        <f ca="1"/>
        <v>0.2205589212587219</v>
      </c>
      <c r="S172" s="166">
        <f ca="1"/>
        <v>0</v>
      </c>
      <c r="T172" s="166">
        <f ca="1"/>
        <v>0.2596823656448658</v>
      </c>
      <c r="U172" s="166">
        <f ca="1"/>
        <v>0.28471018483060329</v>
      </c>
      <c r="V172" s="140">
        <f ca="1"/>
        <v>0.34349418423469802</v>
      </c>
      <c r="W172" s="139">
        <f ca="1"/>
        <v>0</v>
      </c>
      <c r="X172" s="166">
        <f ca="1"/>
        <v>0</v>
      </c>
      <c r="Y172" s="166">
        <f ca="1"/>
        <v>0.14621937909182092</v>
      </c>
      <c r="Z172" s="166">
        <f ca="1"/>
        <v>0</v>
      </c>
      <c r="AA172" s="166">
        <f ca="1"/>
        <v>0.22966386293177399</v>
      </c>
      <c r="AB172" s="166">
        <f ca="1"/>
        <v>0</v>
      </c>
      <c r="AC172" s="166">
        <f ca="1"/>
        <v>0.26994034101408115</v>
      </c>
      <c r="AD172" s="166">
        <f ca="1"/>
        <v>0.29553020784803141</v>
      </c>
      <c r="AE172" s="140">
        <f ca="1"/>
        <v>0.35596954482788967</v>
      </c>
      <c r="AI172" s="137">
        <v>0.1381</v>
      </c>
      <c r="AK172" s="137">
        <v>0.22520000000000001</v>
      </c>
      <c r="AM172" s="137">
        <v>0.26179999999999998</v>
      </c>
      <c r="AN172" s="137">
        <v>0.2878</v>
      </c>
      <c r="AO172" s="137">
        <v>0.34339999999999998</v>
      </c>
      <c r="AR172" s="137">
        <v>0.14449999999999999</v>
      </c>
      <c r="AT172" s="137">
        <v>0.2346</v>
      </c>
      <c r="AV172" s="137">
        <v>0.27229999999999999</v>
      </c>
      <c r="AW172" s="137">
        <v>0.29870000000000002</v>
      </c>
      <c r="AX172" s="137">
        <v>0.35580000000000001</v>
      </c>
    </row>
    <row r="173" spans="1:50" s="79" customFormat="1" ht="10.199999999999999" x14ac:dyDescent="0.2">
      <c r="A173" s="97">
        <f t="shared" ca="1" si="5"/>
        <v>162</v>
      </c>
      <c r="B173" s="68" t="s">
        <v>250</v>
      </c>
      <c r="C173" s="98">
        <v>0.4</v>
      </c>
      <c r="D173" s="69" t="s">
        <v>67</v>
      </c>
      <c r="E173" s="138" t="s">
        <v>87</v>
      </c>
      <c r="F173" s="159" t="s">
        <v>87</v>
      </c>
      <c r="G173" s="159">
        <v>9.8200000000000002E-4</v>
      </c>
      <c r="H173" s="159" t="s">
        <v>87</v>
      </c>
      <c r="I173" s="159">
        <v>3.1849999999999999E-3</v>
      </c>
      <c r="J173" s="159" t="s">
        <v>87</v>
      </c>
      <c r="K173" s="159">
        <v>4.5840000000000004E-3</v>
      </c>
      <c r="L173" s="159">
        <v>5.8869999999999999E-3</v>
      </c>
      <c r="M173" s="159">
        <v>7.3340000000000002E-3</v>
      </c>
      <c r="N173" s="139">
        <f t="array" aca="1" ref="N173:AE173" ca="1">IF(OR(B173="",NOT($J$2)),"",GetStripDefaultProbability(A173,B173,Parameter_Date,CDSRollDate,E173:M173,SpreadCurveMaturities,D173,C173,$J$4,$J$6))</f>
        <v>0</v>
      </c>
      <c r="O173" s="166">
        <f ca="1"/>
        <v>0</v>
      </c>
      <c r="P173" s="166">
        <f ca="1"/>
        <v>1.73185422804778E-3</v>
      </c>
      <c r="Q173" s="166">
        <f ca="1"/>
        <v>0</v>
      </c>
      <c r="R173" s="166">
        <f ca="1"/>
        <v>1.6644830750451756E-2</v>
      </c>
      <c r="S173" s="166">
        <f ca="1"/>
        <v>0</v>
      </c>
      <c r="T173" s="166">
        <f ca="1"/>
        <v>3.9616597484989247E-2</v>
      </c>
      <c r="U173" s="166">
        <f ca="1"/>
        <v>7.1426914134698483E-2</v>
      </c>
      <c r="V173" s="140">
        <f ca="1"/>
        <v>0.12634863775151506</v>
      </c>
      <c r="W173" s="139">
        <f ca="1"/>
        <v>0</v>
      </c>
      <c r="X173" s="166">
        <f ca="1"/>
        <v>0</v>
      </c>
      <c r="Y173" s="166">
        <f ca="1"/>
        <v>1.8982183882574333E-3</v>
      </c>
      <c r="Z173" s="166">
        <f ca="1"/>
        <v>0</v>
      </c>
      <c r="AA173" s="166">
        <f ca="1"/>
        <v>1.7462871367678656E-2</v>
      </c>
      <c r="AB173" s="166">
        <f ca="1"/>
        <v>0</v>
      </c>
      <c r="AC173" s="166">
        <f ca="1"/>
        <v>4.1562750751681143E-2</v>
      </c>
      <c r="AD173" s="166">
        <f ca="1"/>
        <v>7.4894905411341473E-2</v>
      </c>
      <c r="AE173" s="140">
        <f ca="1"/>
        <v>0.13235790189310803</v>
      </c>
      <c r="AI173" s="137">
        <v>1.6999999999999999E-3</v>
      </c>
      <c r="AK173" s="137">
        <v>1.6400000000000001E-2</v>
      </c>
      <c r="AM173" s="137">
        <v>3.9300000000000002E-2</v>
      </c>
      <c r="AN173" s="137">
        <v>7.0900000000000005E-2</v>
      </c>
      <c r="AO173" s="137">
        <v>0.12590000000000001</v>
      </c>
      <c r="AR173" s="137">
        <v>1.9E-3</v>
      </c>
      <c r="AT173" s="137">
        <v>1.72E-2</v>
      </c>
      <c r="AV173" s="137">
        <v>4.1300000000000003E-2</v>
      </c>
      <c r="AW173" s="137">
        <v>7.4399999999999994E-2</v>
      </c>
      <c r="AX173" s="137">
        <v>0.1318</v>
      </c>
    </row>
    <row r="174" spans="1:50" s="79" customFormat="1" ht="10.199999999999999" x14ac:dyDescent="0.2">
      <c r="A174" s="97">
        <f t="shared" ca="1" si="5"/>
        <v>163</v>
      </c>
      <c r="B174" s="68" t="s">
        <v>251</v>
      </c>
      <c r="C174" s="98">
        <v>0.4</v>
      </c>
      <c r="D174" s="69" t="s">
        <v>67</v>
      </c>
      <c r="E174" s="138" t="s">
        <v>87</v>
      </c>
      <c r="F174" s="159" t="s">
        <v>87</v>
      </c>
      <c r="G174" s="159">
        <v>1.206E-3</v>
      </c>
      <c r="H174" s="159" t="s">
        <v>87</v>
      </c>
      <c r="I174" s="159">
        <v>2.8470000000000001E-3</v>
      </c>
      <c r="J174" s="159" t="s">
        <v>87</v>
      </c>
      <c r="K174" s="159">
        <v>4.6800000000000001E-3</v>
      </c>
      <c r="L174" s="159">
        <v>6.2880000000000002E-3</v>
      </c>
      <c r="M174" s="159">
        <v>7.5170000000000002E-3</v>
      </c>
      <c r="N174" s="139">
        <f t="array" aca="1" ref="N174:AE174" ca="1">IF(OR(B174="",NOT($J$2)),"",GetStripDefaultProbability(A174,B174,Parameter_Date,CDSRollDate,E174:M174,SpreadCurveMaturities,D174,C174,$J$4,$J$6))</f>
        <v>0</v>
      </c>
      <c r="O174" s="166">
        <f ca="1"/>
        <v>0</v>
      </c>
      <c r="P174" s="166">
        <f ca="1"/>
        <v>2.1264832855441007E-3</v>
      </c>
      <c r="Q174" s="166">
        <f ca="1"/>
        <v>0</v>
      </c>
      <c r="R174" s="166">
        <f ca="1"/>
        <v>1.4817606326362309E-2</v>
      </c>
      <c r="S174" s="166">
        <f ca="1"/>
        <v>0</v>
      </c>
      <c r="T174" s="166">
        <f ca="1"/>
        <v>4.0718822164189428E-2</v>
      </c>
      <c r="U174" s="166">
        <f ca="1"/>
        <v>7.6705558688664577E-2</v>
      </c>
      <c r="V174" s="140">
        <f ca="1"/>
        <v>0.12891507528969592</v>
      </c>
      <c r="W174" s="139">
        <f ca="1"/>
        <v>0</v>
      </c>
      <c r="X174" s="166">
        <f ca="1"/>
        <v>0</v>
      </c>
      <c r="Y174" s="166">
        <f ca="1"/>
        <v>2.2927816797388978E-3</v>
      </c>
      <c r="Z174" s="166">
        <f ca="1"/>
        <v>0</v>
      </c>
      <c r="AA174" s="166">
        <f ca="1"/>
        <v>1.5547344997819845E-2</v>
      </c>
      <c r="AB174" s="166">
        <f ca="1"/>
        <v>0</v>
      </c>
      <c r="AC174" s="166">
        <f ca="1"/>
        <v>4.2722509750142024E-2</v>
      </c>
      <c r="AD174" s="166">
        <f ca="1"/>
        <v>8.043043225021218E-2</v>
      </c>
      <c r="AE174" s="140">
        <f ca="1"/>
        <v>0.13503500373590238</v>
      </c>
      <c r="AI174" s="137">
        <v>2.0999999999999999E-3</v>
      </c>
      <c r="AK174" s="137">
        <v>1.46E-2</v>
      </c>
      <c r="AM174" s="137">
        <v>4.0399999999999998E-2</v>
      </c>
      <c r="AN174" s="137">
        <v>7.6200000000000004E-2</v>
      </c>
      <c r="AO174" s="137">
        <v>0.1285</v>
      </c>
      <c r="AR174" s="137">
        <v>2.3E-3</v>
      </c>
      <c r="AT174" s="137">
        <v>1.5299999999999999E-2</v>
      </c>
      <c r="AV174" s="137">
        <v>4.2299999999999997E-2</v>
      </c>
      <c r="AW174" s="137">
        <v>7.9899999999999999E-2</v>
      </c>
      <c r="AX174" s="137">
        <v>0.1346</v>
      </c>
    </row>
    <row r="175" spans="1:50" s="79" customFormat="1" ht="10.199999999999999" x14ac:dyDescent="0.2">
      <c r="A175" s="97">
        <f t="shared" ca="1" si="5"/>
        <v>164</v>
      </c>
      <c r="B175" s="68" t="s">
        <v>252</v>
      </c>
      <c r="C175" s="98">
        <v>0.4</v>
      </c>
      <c r="D175" s="69" t="s">
        <v>67</v>
      </c>
      <c r="E175" s="138" t="s">
        <v>87</v>
      </c>
      <c r="F175" s="159" t="s">
        <v>87</v>
      </c>
      <c r="G175" s="159">
        <v>5.0299999999999997E-4</v>
      </c>
      <c r="H175" s="159" t="s">
        <v>87</v>
      </c>
      <c r="I175" s="159">
        <v>2.1450000000000002E-3</v>
      </c>
      <c r="J175" s="159" t="s">
        <v>87</v>
      </c>
      <c r="K175" s="159">
        <v>2.9429999999999999E-3</v>
      </c>
      <c r="L175" s="159">
        <v>3.8409999999999998E-3</v>
      </c>
      <c r="M175" s="159">
        <v>4.9890000000000004E-3</v>
      </c>
      <c r="N175" s="139">
        <f t="array" aca="1" ref="N175:AE175" ca="1">IF(OR(B175="",NOT($J$2)),"",GetStripDefaultProbability(A175,B175,Parameter_Date,CDSRollDate,E175:M175,SpreadCurveMaturities,D175,C175,$J$4,$J$6))</f>
        <v>0</v>
      </c>
      <c r="O175" s="166">
        <f ca="1"/>
        <v>0</v>
      </c>
      <c r="P175" s="166">
        <f ca="1"/>
        <v>8.8746255445681932E-4</v>
      </c>
      <c r="Q175" s="166">
        <f ca="1"/>
        <v>0</v>
      </c>
      <c r="R175" s="166">
        <f ca="1"/>
        <v>1.1261305558822543E-2</v>
      </c>
      <c r="S175" s="166">
        <f ca="1"/>
        <v>0</v>
      </c>
      <c r="T175" s="166">
        <f ca="1"/>
        <v>2.550396978028302E-2</v>
      </c>
      <c r="U175" s="166">
        <f ca="1"/>
        <v>4.7074462955893792E-2</v>
      </c>
      <c r="V175" s="140">
        <f ca="1"/>
        <v>8.7820925343458645E-2</v>
      </c>
      <c r="W175" s="139">
        <f ca="1"/>
        <v>0</v>
      </c>
      <c r="X175" s="166">
        <f ca="1"/>
        <v>0</v>
      </c>
      <c r="Y175" s="166">
        <f ca="1"/>
        <v>1.0539674348974959E-3</v>
      </c>
      <c r="Z175" s="166">
        <f ca="1"/>
        <v>0</v>
      </c>
      <c r="AA175" s="166">
        <f ca="1"/>
        <v>1.1808138012462388E-2</v>
      </c>
      <c r="AB175" s="166">
        <f ca="1"/>
        <v>0</v>
      </c>
      <c r="AC175" s="166">
        <f ca="1"/>
        <v>2.6758948726691822E-2</v>
      </c>
      <c r="AD175" s="166">
        <f ca="1"/>
        <v>4.9374295486622644E-2</v>
      </c>
      <c r="AE175" s="140">
        <f ca="1"/>
        <v>9.2068107785628017E-2</v>
      </c>
      <c r="AI175" s="137">
        <v>8.9999999999999998E-4</v>
      </c>
      <c r="AK175" s="137">
        <v>1.11E-2</v>
      </c>
      <c r="AM175" s="137">
        <v>2.5399999999999999E-2</v>
      </c>
      <c r="AN175" s="137">
        <v>4.6699999999999998E-2</v>
      </c>
      <c r="AO175" s="137">
        <v>8.7499999999999994E-2</v>
      </c>
      <c r="AR175" s="137">
        <v>1E-3</v>
      </c>
      <c r="AT175" s="137">
        <v>1.1599999999999999E-2</v>
      </c>
      <c r="AV175" s="137">
        <v>2.6599999999999999E-2</v>
      </c>
      <c r="AW175" s="137">
        <v>4.9000000000000002E-2</v>
      </c>
      <c r="AX175" s="137">
        <v>9.1700000000000004E-2</v>
      </c>
    </row>
    <row r="176" spans="1:50" s="79" customFormat="1" ht="10.199999999999999" x14ac:dyDescent="0.2">
      <c r="A176" s="97">
        <f t="shared" ca="1" si="5"/>
        <v>165</v>
      </c>
      <c r="B176" s="68" t="s">
        <v>253</v>
      </c>
      <c r="C176" s="98">
        <v>0.4</v>
      </c>
      <c r="D176" s="69" t="s">
        <v>67</v>
      </c>
      <c r="E176" s="138" t="s">
        <v>87</v>
      </c>
      <c r="F176" s="159" t="s">
        <v>87</v>
      </c>
      <c r="G176" s="159">
        <v>1.5280000000000001E-3</v>
      </c>
      <c r="H176" s="159" t="s">
        <v>87</v>
      </c>
      <c r="I176" s="159">
        <v>2.96E-3</v>
      </c>
      <c r="J176" s="159" t="s">
        <v>87</v>
      </c>
      <c r="K176" s="159">
        <v>4.5840000000000004E-3</v>
      </c>
      <c r="L176" s="159">
        <v>5.6340000000000001E-3</v>
      </c>
      <c r="M176" s="159">
        <v>7.4009999999999996E-3</v>
      </c>
      <c r="N176" s="139">
        <f t="array" aca="1" ref="N176:AE176" ca="1">IF(OR(B176="",NOT($J$2)),"",GetStripDefaultProbability(A176,B176,Parameter_Date,CDSRollDate,E176:M176,SpreadCurveMaturities,D176,C176,$J$4,$J$6))</f>
        <v>0</v>
      </c>
      <c r="O176" s="166">
        <f ca="1"/>
        <v>0</v>
      </c>
      <c r="P176" s="166">
        <f ca="1"/>
        <v>2.693491453031438E-3</v>
      </c>
      <c r="Q176" s="166">
        <f ca="1"/>
        <v>0</v>
      </c>
      <c r="R176" s="166">
        <f ca="1"/>
        <v>1.5344822911315226E-2</v>
      </c>
      <c r="S176" s="166">
        <f ca="1"/>
        <v>0</v>
      </c>
      <c r="T176" s="166">
        <f ca="1"/>
        <v>3.9722773447641968E-2</v>
      </c>
      <c r="U176" s="166">
        <f ca="1"/>
        <v>6.8048414995455553E-2</v>
      </c>
      <c r="V176" s="140">
        <f ca="1"/>
        <v>0.12878217277514226</v>
      </c>
      <c r="W176" s="139">
        <f ca="1"/>
        <v>0</v>
      </c>
      <c r="X176" s="166">
        <f ca="1"/>
        <v>0</v>
      </c>
      <c r="Y176" s="166">
        <f ca="1"/>
        <v>2.8596953537578518E-3</v>
      </c>
      <c r="Z176" s="166">
        <f ca="1"/>
        <v>0</v>
      </c>
      <c r="AA176" s="166">
        <f ca="1"/>
        <v>1.6103712104238332E-2</v>
      </c>
      <c r="AB176" s="166">
        <f ca="1"/>
        <v>0</v>
      </c>
      <c r="AC176" s="166">
        <f ca="1"/>
        <v>4.1678304065908778E-2</v>
      </c>
      <c r="AD176" s="166">
        <f ca="1"/>
        <v>7.1356446672399598E-2</v>
      </c>
      <c r="AE176" s="140">
        <f ca="1"/>
        <v>0.13491773059254741</v>
      </c>
      <c r="AI176" s="137">
        <v>2.7000000000000001E-3</v>
      </c>
      <c r="AK176" s="137">
        <v>1.52E-2</v>
      </c>
      <c r="AM176" s="137">
        <v>3.9399999999999998E-2</v>
      </c>
      <c r="AN176" s="137">
        <v>6.7699999999999996E-2</v>
      </c>
      <c r="AO176" s="137">
        <v>0.12770000000000001</v>
      </c>
      <c r="AR176" s="137">
        <v>2.8E-3</v>
      </c>
      <c r="AT176" s="137">
        <v>1.5900000000000001E-2</v>
      </c>
      <c r="AV176" s="137">
        <v>4.1300000000000003E-2</v>
      </c>
      <c r="AW176" s="137">
        <v>7.0999999999999994E-2</v>
      </c>
      <c r="AX176" s="137">
        <v>0.1338</v>
      </c>
    </row>
    <row r="177" spans="1:50" s="79" customFormat="1" ht="10.199999999999999" x14ac:dyDescent="0.2">
      <c r="A177" s="97">
        <f t="shared" ca="1" si="5"/>
        <v>166</v>
      </c>
      <c r="B177" s="68" t="s">
        <v>254</v>
      </c>
      <c r="C177" s="98">
        <v>0.4</v>
      </c>
      <c r="D177" s="69" t="s">
        <v>67</v>
      </c>
      <c r="E177" s="138" t="s">
        <v>87</v>
      </c>
      <c r="F177" s="159" t="s">
        <v>87</v>
      </c>
      <c r="G177" s="159">
        <v>5.3899999999999998E-4</v>
      </c>
      <c r="H177" s="159" t="s">
        <v>87</v>
      </c>
      <c r="I177" s="159">
        <v>1.8E-3</v>
      </c>
      <c r="J177" s="159" t="s">
        <v>87</v>
      </c>
      <c r="K177" s="159">
        <v>2.6059999999999998E-3</v>
      </c>
      <c r="L177" s="159">
        <v>3.2690000000000002E-3</v>
      </c>
      <c r="M177" s="159">
        <v>3.885E-3</v>
      </c>
      <c r="N177" s="139">
        <f t="array" aca="1" ref="N177:AE177" ca="1">IF(OR(B177="",NOT($J$2)),"",GetStripDefaultProbability(A177,B177,Parameter_Date,CDSRollDate,E177:M177,SpreadCurveMaturities,D177,C177,$J$4,$J$6))</f>
        <v>0</v>
      </c>
      <c r="O177" s="166">
        <f ca="1"/>
        <v>0</v>
      </c>
      <c r="P177" s="166">
        <f ca="1"/>
        <v>9.5094876995360789E-4</v>
      </c>
      <c r="Q177" s="166">
        <f ca="1"/>
        <v>0</v>
      </c>
      <c r="R177" s="166">
        <f ca="1"/>
        <v>9.4312478161966418E-3</v>
      </c>
      <c r="S177" s="166">
        <f ca="1"/>
        <v>0</v>
      </c>
      <c r="T177" s="166">
        <f ca="1"/>
        <v>2.2669081495139354E-2</v>
      </c>
      <c r="U177" s="166">
        <f ca="1"/>
        <v>4.0000412030133825E-2</v>
      </c>
      <c r="V177" s="140">
        <f ca="1"/>
        <v>6.7786256324876448E-2</v>
      </c>
      <c r="W177" s="139">
        <f ca="1"/>
        <v>0</v>
      </c>
      <c r="X177" s="166">
        <f ca="1"/>
        <v>0</v>
      </c>
      <c r="Y177" s="166">
        <f ca="1"/>
        <v>1.1174430702367566E-3</v>
      </c>
      <c r="Z177" s="166">
        <f ca="1"/>
        <v>0</v>
      </c>
      <c r="AA177" s="166">
        <f ca="1"/>
        <v>9.9404469630941517E-3</v>
      </c>
      <c r="AB177" s="166">
        <f ca="1"/>
        <v>0</v>
      </c>
      <c r="AC177" s="166">
        <f ca="1"/>
        <v>2.3778207446119914E-2</v>
      </c>
      <c r="AD177" s="166">
        <f ca="1"/>
        <v>4.1954517643191358E-2</v>
      </c>
      <c r="AE177" s="140">
        <f ca="1"/>
        <v>7.1071682357016996E-2</v>
      </c>
      <c r="AI177" s="137">
        <v>8.9999999999999998E-4</v>
      </c>
      <c r="AK177" s="137">
        <v>9.2999999999999992E-3</v>
      </c>
      <c r="AM177" s="137">
        <v>2.2499999999999999E-2</v>
      </c>
      <c r="AN177" s="137">
        <v>3.9800000000000002E-2</v>
      </c>
      <c r="AO177" s="137">
        <v>6.7599999999999993E-2</v>
      </c>
      <c r="AR177" s="137">
        <v>1.1000000000000001E-3</v>
      </c>
      <c r="AT177" s="137">
        <v>9.7999999999999997E-3</v>
      </c>
      <c r="AV177" s="137">
        <v>2.3599999999999999E-2</v>
      </c>
      <c r="AW177" s="137">
        <v>4.1700000000000001E-2</v>
      </c>
      <c r="AX177" s="137">
        <v>7.0900000000000005E-2</v>
      </c>
    </row>
    <row r="178" spans="1:50" s="79" customFormat="1" ht="10.199999999999999" x14ac:dyDescent="0.2">
      <c r="A178" s="97">
        <f t="shared" ca="1" si="5"/>
        <v>167</v>
      </c>
      <c r="B178" s="68" t="s">
        <v>255</v>
      </c>
      <c r="C178" s="98">
        <v>0.4</v>
      </c>
      <c r="D178" s="69" t="s">
        <v>67</v>
      </c>
      <c r="E178" s="138" t="s">
        <v>87</v>
      </c>
      <c r="F178" s="159" t="s">
        <v>87</v>
      </c>
      <c r="G178" s="159">
        <v>6.2E-4</v>
      </c>
      <c r="H178" s="159" t="s">
        <v>87</v>
      </c>
      <c r="I178" s="159">
        <v>1.565E-3</v>
      </c>
      <c r="J178" s="159" t="s">
        <v>87</v>
      </c>
      <c r="K178" s="159">
        <v>2.1710000000000002E-3</v>
      </c>
      <c r="L178" s="159">
        <v>2.8279999999999998E-3</v>
      </c>
      <c r="M178" s="159">
        <v>3.6359999999999999E-3</v>
      </c>
      <c r="N178" s="139">
        <f t="array" aca="1" ref="N178:AE178" ca="1">IF(OR(B178="",NOT($J$2)),"",GetStripDefaultProbability(A178,B178,Parameter_Date,CDSRollDate,E178:M178,SpreadCurveMaturities,D178,C178,$J$4,$J$6))</f>
        <v>0</v>
      </c>
      <c r="O178" s="166">
        <f ca="1"/>
        <v>0</v>
      </c>
      <c r="P178" s="166">
        <f ca="1"/>
        <v>1.093778114929278E-3</v>
      </c>
      <c r="Q178" s="166">
        <f ca="1"/>
        <v>0</v>
      </c>
      <c r="R178" s="166">
        <f ca="1"/>
        <v>8.1601934478101601E-3</v>
      </c>
      <c r="S178" s="166">
        <f ca="1"/>
        <v>0</v>
      </c>
      <c r="T178" s="166">
        <f ca="1"/>
        <v>1.8832975400850049E-2</v>
      </c>
      <c r="U178" s="166">
        <f ca="1"/>
        <v>3.4746507103018631E-2</v>
      </c>
      <c r="V178" s="140">
        <f ca="1"/>
        <v>6.4440058049742177E-2</v>
      </c>
      <c r="W178" s="139">
        <f ca="1"/>
        <v>0</v>
      </c>
      <c r="X178" s="166">
        <f ca="1"/>
        <v>0</v>
      </c>
      <c r="Y178" s="166">
        <f ca="1"/>
        <v>1.2602486123300949E-3</v>
      </c>
      <c r="Z178" s="166">
        <f ca="1"/>
        <v>0</v>
      </c>
      <c r="AA178" s="166">
        <f ca="1"/>
        <v>8.6696498021502366E-3</v>
      </c>
      <c r="AB178" s="166">
        <f ca="1"/>
        <v>0</v>
      </c>
      <c r="AC178" s="166">
        <f ca="1"/>
        <v>1.9745879517608533E-2</v>
      </c>
      <c r="AD178" s="166">
        <f ca="1"/>
        <v>3.6439003020302563E-2</v>
      </c>
      <c r="AE178" s="140">
        <f ca="1"/>
        <v>6.756137666453621E-2</v>
      </c>
      <c r="AI178" s="137">
        <v>1.1000000000000001E-3</v>
      </c>
      <c r="AK178" s="137">
        <v>8.0999999999999996E-3</v>
      </c>
      <c r="AM178" s="137">
        <v>1.8700000000000001E-2</v>
      </c>
      <c r="AN178" s="137">
        <v>3.4500000000000003E-2</v>
      </c>
      <c r="AO178" s="137">
        <v>6.4199999999999993E-2</v>
      </c>
      <c r="AR178" s="137">
        <v>1.1999999999999999E-3</v>
      </c>
      <c r="AT178" s="137">
        <v>8.6E-3</v>
      </c>
      <c r="AV178" s="137">
        <v>1.9599999999999999E-2</v>
      </c>
      <c r="AW178" s="137">
        <v>3.6200000000000003E-2</v>
      </c>
      <c r="AX178" s="137">
        <v>6.7299999999999999E-2</v>
      </c>
    </row>
    <row r="179" spans="1:50" s="79" customFormat="1" ht="10.199999999999999" x14ac:dyDescent="0.2">
      <c r="A179" s="97">
        <f t="shared" ca="1" si="5"/>
        <v>168</v>
      </c>
      <c r="B179" s="68" t="s">
        <v>256</v>
      </c>
      <c r="C179" s="98">
        <v>0.4</v>
      </c>
      <c r="D179" s="69" t="s">
        <v>67</v>
      </c>
      <c r="E179" s="138" t="s">
        <v>87</v>
      </c>
      <c r="F179" s="159" t="s">
        <v>87</v>
      </c>
      <c r="G179" s="159">
        <v>1.0510000000000001E-3</v>
      </c>
      <c r="H179" s="159" t="s">
        <v>87</v>
      </c>
      <c r="I179" s="159">
        <v>2.1979999999999999E-3</v>
      </c>
      <c r="J179" s="159" t="s">
        <v>87</v>
      </c>
      <c r="K179" s="159">
        <v>3.2330000000000002E-3</v>
      </c>
      <c r="L179" s="159">
        <v>4.267E-3</v>
      </c>
      <c r="M179" s="159">
        <v>5.1720000000000004E-3</v>
      </c>
      <c r="N179" s="139">
        <f t="array" aca="1" ref="N179:AE179" ca="1">IF(OR(B179="",NOT($J$2)),"",GetStripDefaultProbability(A179,B179,Parameter_Date,CDSRollDate,E179:M179,SpreadCurveMaturities,D179,C179,$J$4,$J$6))</f>
        <v>0</v>
      </c>
      <c r="O179" s="166">
        <f ca="1"/>
        <v>0</v>
      </c>
      <c r="P179" s="166">
        <f ca="1"/>
        <v>1.8534305702412324E-3</v>
      </c>
      <c r="Q179" s="166">
        <f ca="1"/>
        <v>0</v>
      </c>
      <c r="R179" s="166">
        <f ca="1"/>
        <v>1.1410194028802834E-2</v>
      </c>
      <c r="S179" s="166">
        <f ca="1"/>
        <v>0</v>
      </c>
      <c r="T179" s="166">
        <f ca="1"/>
        <v>2.8048267059726628E-2</v>
      </c>
      <c r="U179" s="166">
        <f ca="1"/>
        <v>5.223205497612704E-2</v>
      </c>
      <c r="V179" s="140">
        <f ca="1"/>
        <v>8.9982479016330941E-2</v>
      </c>
      <c r="W179" s="139">
        <f ca="1"/>
        <v>0</v>
      </c>
      <c r="X179" s="166">
        <f ca="1"/>
        <v>0</v>
      </c>
      <c r="Y179" s="166">
        <f ca="1"/>
        <v>2.0197744694558928E-3</v>
      </c>
      <c r="Z179" s="166">
        <f ca="1"/>
        <v>0</v>
      </c>
      <c r="AA179" s="166">
        <f ca="1"/>
        <v>1.1988639832312575E-2</v>
      </c>
      <c r="AB179" s="166">
        <f ca="1"/>
        <v>0</v>
      </c>
      <c r="AC179" s="166">
        <f ca="1"/>
        <v>2.9429613810777799E-2</v>
      </c>
      <c r="AD179" s="166">
        <f ca="1"/>
        <v>5.4785162140950638E-2</v>
      </c>
      <c r="AE179" s="140">
        <f ca="1"/>
        <v>9.4319174327835875E-2</v>
      </c>
      <c r="AI179" s="137">
        <v>1.8E-3</v>
      </c>
      <c r="AK179" s="137">
        <v>1.1299999999999999E-2</v>
      </c>
      <c r="AM179" s="137">
        <v>2.7799999999999998E-2</v>
      </c>
      <c r="AN179" s="137">
        <v>5.1900000000000002E-2</v>
      </c>
      <c r="AO179" s="137">
        <v>8.9700000000000002E-2</v>
      </c>
      <c r="AR179" s="137">
        <v>2E-3</v>
      </c>
      <c r="AT179" s="137">
        <v>1.18E-2</v>
      </c>
      <c r="AV179" s="137">
        <v>2.92E-2</v>
      </c>
      <c r="AW179" s="137">
        <v>5.4399999999999997E-2</v>
      </c>
      <c r="AX179" s="137">
        <v>9.4E-2</v>
      </c>
    </row>
    <row r="180" spans="1:50" s="79" customFormat="1" ht="10.199999999999999" x14ac:dyDescent="0.2">
      <c r="A180" s="97">
        <f t="shared" ca="1" si="5"/>
        <v>169</v>
      </c>
      <c r="B180" s="68" t="s">
        <v>257</v>
      </c>
      <c r="C180" s="98">
        <v>0.4</v>
      </c>
      <c r="D180" s="69" t="s">
        <v>67</v>
      </c>
      <c r="E180" s="138" t="s">
        <v>87</v>
      </c>
      <c r="F180" s="159" t="s">
        <v>87</v>
      </c>
      <c r="G180" s="159">
        <v>3.6499999999999998E-4</v>
      </c>
      <c r="H180" s="159" t="s">
        <v>87</v>
      </c>
      <c r="I180" s="159">
        <v>2.3809999999999999E-3</v>
      </c>
      <c r="J180" s="159" t="s">
        <v>87</v>
      </c>
      <c r="K180" s="159">
        <v>3.0400000000000002E-3</v>
      </c>
      <c r="L180" s="159">
        <v>3.901E-3</v>
      </c>
      <c r="M180" s="159">
        <v>4.914E-3</v>
      </c>
      <c r="N180" s="139">
        <f t="array" aca="1" ref="N180:AE180" ca="1">IF(OR(B180="",NOT($J$2)),"",GetStripDefaultProbability(A180,B180,Parameter_Date,CDSRollDate,E180:M180,SpreadCurveMaturities,D180,C180,$J$4,$J$6))</f>
        <v>0</v>
      </c>
      <c r="O180" s="166">
        <f ca="1"/>
        <v>0</v>
      </c>
      <c r="P180" s="166">
        <f ca="1"/>
        <v>6.4406162687091761E-4</v>
      </c>
      <c r="Q180" s="166">
        <f ca="1"/>
        <v>0</v>
      </c>
      <c r="R180" s="166">
        <f ca="1"/>
        <v>1.2535891052833481E-2</v>
      </c>
      <c r="S180" s="166">
        <f ca="1"/>
        <v>0</v>
      </c>
      <c r="T180" s="166">
        <f ca="1"/>
        <v>2.6232710175041585E-2</v>
      </c>
      <c r="U180" s="166">
        <f ca="1"/>
        <v>4.7666889320062578E-2</v>
      </c>
      <c r="V180" s="140">
        <f ca="1"/>
        <v>8.5860017181807691E-2</v>
      </c>
      <c r="W180" s="139">
        <f ca="1"/>
        <v>0</v>
      </c>
      <c r="X180" s="166">
        <f ca="1"/>
        <v>0</v>
      </c>
      <c r="Y180" s="166">
        <f ca="1"/>
        <v>8.1060707075764071E-4</v>
      </c>
      <c r="Z180" s="166">
        <f ca="1"/>
        <v>0</v>
      </c>
      <c r="AA180" s="166">
        <f ca="1"/>
        <v>1.3144610586423688E-2</v>
      </c>
      <c r="AB180" s="166">
        <f ca="1"/>
        <v>0</v>
      </c>
      <c r="AC180" s="166">
        <f ca="1"/>
        <v>2.752206380620581E-2</v>
      </c>
      <c r="AD180" s="166">
        <f ca="1"/>
        <v>4.9993028260030936E-2</v>
      </c>
      <c r="AE180" s="140">
        <f ca="1"/>
        <v>9.000975570631875E-2</v>
      </c>
      <c r="AI180" s="137">
        <v>5.9999999999999995E-4</v>
      </c>
      <c r="AK180" s="137">
        <v>1.23E-2</v>
      </c>
      <c r="AM180" s="137">
        <v>2.6100000000000002E-2</v>
      </c>
      <c r="AN180" s="137">
        <v>4.7300000000000002E-2</v>
      </c>
      <c r="AO180" s="137">
        <v>8.5699999999999998E-2</v>
      </c>
      <c r="AR180" s="137">
        <v>8.0000000000000004E-4</v>
      </c>
      <c r="AT180" s="137">
        <v>1.29E-2</v>
      </c>
      <c r="AV180" s="137">
        <v>2.7400000000000001E-2</v>
      </c>
      <c r="AW180" s="137">
        <v>4.9599999999999998E-2</v>
      </c>
      <c r="AX180" s="137">
        <v>8.9800000000000005E-2</v>
      </c>
    </row>
    <row r="181" spans="1:50" s="79" customFormat="1" ht="10.199999999999999" x14ac:dyDescent="0.2">
      <c r="A181" s="97">
        <f t="shared" ca="1" si="5"/>
        <v>170</v>
      </c>
      <c r="B181" s="68" t="s">
        <v>258</v>
      </c>
      <c r="C181" s="98">
        <v>0.4</v>
      </c>
      <c r="D181" s="69" t="s">
        <v>67</v>
      </c>
      <c r="E181" s="138" t="s">
        <v>87</v>
      </c>
      <c r="F181" s="159" t="s">
        <v>87</v>
      </c>
      <c r="G181" s="159">
        <v>1.371E-3</v>
      </c>
      <c r="H181" s="159" t="s">
        <v>87</v>
      </c>
      <c r="I181" s="159">
        <v>1.9380000000000001E-3</v>
      </c>
      <c r="J181" s="159" t="s">
        <v>87</v>
      </c>
      <c r="K181" s="159">
        <v>3.3289999999999999E-3</v>
      </c>
      <c r="L181" s="159">
        <v>4.4219999999999997E-3</v>
      </c>
      <c r="M181" s="159">
        <v>5.3169999999999997E-3</v>
      </c>
      <c r="N181" s="139">
        <f t="array" aca="1" ref="N181:AE181" ca="1">IF(OR(B181="",NOT($J$2)),"",GetStripDefaultProbability(A181,B181,Parameter_Date,CDSRollDate,E181:M181,SpreadCurveMaturities,D181,C181,$J$4,$J$6))</f>
        <v>0</v>
      </c>
      <c r="O181" s="166">
        <f ca="1"/>
        <v>0</v>
      </c>
      <c r="P181" s="166">
        <f ca="1"/>
        <v>2.417070880986194E-3</v>
      </c>
      <c r="Q181" s="166">
        <f ca="1"/>
        <v>0</v>
      </c>
      <c r="R181" s="166">
        <f ca="1"/>
        <v>9.9862153462630943E-3</v>
      </c>
      <c r="S181" s="166">
        <f ca="1"/>
        <v>0</v>
      </c>
      <c r="T181" s="166">
        <f ca="1"/>
        <v>2.9064355127981889E-2</v>
      </c>
      <c r="U181" s="166">
        <f ca="1"/>
        <v>5.4227306947325804E-2</v>
      </c>
      <c r="V181" s="140">
        <f ca="1"/>
        <v>9.2617151343104775E-2</v>
      </c>
      <c r="W181" s="139">
        <f ca="1"/>
        <v>0</v>
      </c>
      <c r="X181" s="166">
        <f ca="1"/>
        <v>0</v>
      </c>
      <c r="Y181" s="166">
        <f ca="1"/>
        <v>2.583320847954762E-3</v>
      </c>
      <c r="Z181" s="166">
        <f ca="1"/>
        <v>0</v>
      </c>
      <c r="AA181" s="166">
        <f ca="1"/>
        <v>1.0494526603914034E-2</v>
      </c>
      <c r="AB181" s="166">
        <f ca="1"/>
        <v>0</v>
      </c>
      <c r="AC181" s="166">
        <f ca="1"/>
        <v>3.0518623262691946E-2</v>
      </c>
      <c r="AD181" s="166">
        <f ca="1"/>
        <v>5.6876829721057676E-2</v>
      </c>
      <c r="AE181" s="140">
        <f ca="1"/>
        <v>9.7076588291545085E-2</v>
      </c>
      <c r="AI181" s="137">
        <v>2.3999999999999998E-3</v>
      </c>
      <c r="AK181" s="137">
        <v>9.9000000000000008E-3</v>
      </c>
      <c r="AM181" s="137">
        <v>2.8799999999999999E-2</v>
      </c>
      <c r="AN181" s="137">
        <v>5.3900000000000003E-2</v>
      </c>
      <c r="AO181" s="137">
        <v>9.2200000000000004E-2</v>
      </c>
      <c r="AR181" s="137">
        <v>2.5999999999999999E-3</v>
      </c>
      <c r="AT181" s="137">
        <v>1.04E-2</v>
      </c>
      <c r="AV181" s="137">
        <v>3.0200000000000001E-2</v>
      </c>
      <c r="AW181" s="137">
        <v>5.6599999999999998E-2</v>
      </c>
      <c r="AX181" s="137">
        <v>9.6699999999999994E-2</v>
      </c>
    </row>
    <row r="182" spans="1:50" s="79" customFormat="1" ht="10.199999999999999" x14ac:dyDescent="0.2">
      <c r="A182" s="97">
        <f t="shared" ca="1" si="5"/>
        <v>171</v>
      </c>
      <c r="B182" s="68" t="s">
        <v>259</v>
      </c>
      <c r="C182" s="98">
        <v>0.4</v>
      </c>
      <c r="D182" s="69" t="s">
        <v>67</v>
      </c>
      <c r="E182" s="138" t="s">
        <v>87</v>
      </c>
      <c r="F182" s="159" t="s">
        <v>87</v>
      </c>
      <c r="G182" s="159">
        <v>4.4099999999999999E-4</v>
      </c>
      <c r="H182" s="159" t="s">
        <v>87</v>
      </c>
      <c r="I182" s="159">
        <v>1.4480000000000001E-3</v>
      </c>
      <c r="J182" s="159" t="s">
        <v>87</v>
      </c>
      <c r="K182" s="159">
        <v>2.0270000000000002E-3</v>
      </c>
      <c r="L182" s="159">
        <v>2.7499999999999998E-3</v>
      </c>
      <c r="M182" s="159">
        <v>3.6189999999999998E-3</v>
      </c>
      <c r="N182" s="139">
        <f t="array" aca="1" ref="N182:AE182" ca="1">IF(OR(B182="",NOT($J$2)),"",GetStripDefaultProbability(A182,B182,Parameter_Date,CDSRollDate,E182:M182,SpreadCurveMaturities,D182,C182,$J$4,$J$6))</f>
        <v>0</v>
      </c>
      <c r="O182" s="166">
        <f ca="1"/>
        <v>0</v>
      </c>
      <c r="P182" s="166">
        <f ca="1"/>
        <v>7.7811579577946599E-4</v>
      </c>
      <c r="Q182" s="166">
        <f ca="1"/>
        <v>0</v>
      </c>
      <c r="R182" s="166">
        <f ca="1"/>
        <v>7.5757387606583126E-3</v>
      </c>
      <c r="S182" s="166">
        <f ca="1"/>
        <v>0</v>
      </c>
      <c r="T182" s="166">
        <f ca="1"/>
        <v>1.7610449588552735E-2</v>
      </c>
      <c r="U182" s="166">
        <f ca="1"/>
        <v>3.3992704309785959E-2</v>
      </c>
      <c r="V182" s="140">
        <f ca="1"/>
        <v>6.4480887662462627E-2</v>
      </c>
      <c r="W182" s="139">
        <f ca="1"/>
        <v>0</v>
      </c>
      <c r="X182" s="166">
        <f ca="1"/>
        <v>0</v>
      </c>
      <c r="Y182" s="166">
        <f ca="1"/>
        <v>9.4463889915497035E-4</v>
      </c>
      <c r="Z182" s="166">
        <f ca="1"/>
        <v>0</v>
      </c>
      <c r="AA182" s="166">
        <f ca="1"/>
        <v>8.0855268371118338E-3</v>
      </c>
      <c r="AB182" s="166">
        <f ca="1"/>
        <v>0</v>
      </c>
      <c r="AC182" s="166">
        <f ca="1"/>
        <v>1.8457977309544016E-2</v>
      </c>
      <c r="AD182" s="166">
        <f ca="1"/>
        <v>3.5646173615332843E-2</v>
      </c>
      <c r="AE182" s="140">
        <f ca="1"/>
        <v>6.7599754755912622E-2</v>
      </c>
      <c r="AI182" s="137">
        <v>8.0000000000000004E-4</v>
      </c>
      <c r="AK182" s="137">
        <v>7.4999999999999997E-3</v>
      </c>
      <c r="AM182" s="137">
        <v>1.7500000000000002E-2</v>
      </c>
      <c r="AN182" s="137">
        <v>3.3700000000000001E-2</v>
      </c>
      <c r="AO182" s="137">
        <v>6.4299999999999996E-2</v>
      </c>
      <c r="AR182" s="137">
        <v>8.9999999999999998E-4</v>
      </c>
      <c r="AT182" s="137">
        <v>8.0000000000000002E-3</v>
      </c>
      <c r="AV182" s="137">
        <v>1.83E-2</v>
      </c>
      <c r="AW182" s="137">
        <v>3.5400000000000001E-2</v>
      </c>
      <c r="AX182" s="137">
        <v>6.7400000000000002E-2</v>
      </c>
    </row>
    <row r="183" spans="1:50" s="79" customFormat="1" ht="10.199999999999999" x14ac:dyDescent="0.2">
      <c r="A183" s="97">
        <f t="shared" ca="1" si="5"/>
        <v>172</v>
      </c>
      <c r="B183" s="68" t="s">
        <v>260</v>
      </c>
      <c r="C183" s="98">
        <v>0.4</v>
      </c>
      <c r="D183" s="69" t="s">
        <v>67</v>
      </c>
      <c r="E183" s="138" t="s">
        <v>87</v>
      </c>
      <c r="F183" s="159" t="s">
        <v>87</v>
      </c>
      <c r="G183" s="159">
        <v>7.6599999999999997E-4</v>
      </c>
      <c r="H183" s="159" t="s">
        <v>87</v>
      </c>
      <c r="I183" s="159">
        <v>2.5040000000000001E-3</v>
      </c>
      <c r="J183" s="159" t="s">
        <v>87</v>
      </c>
      <c r="K183" s="159">
        <v>3.2330000000000002E-3</v>
      </c>
      <c r="L183" s="159">
        <v>4.2339999999999999E-3</v>
      </c>
      <c r="M183" s="159">
        <v>5.1450000000000003E-3</v>
      </c>
      <c r="N183" s="139">
        <f t="array" aca="1" ref="N183:AE183" ca="1">IF(OR(B183="",NOT($J$2)),"",GetStripDefaultProbability(A183,B183,Parameter_Date,CDSRollDate,E183:M183,SpreadCurveMaturities,D183,C183,$J$4,$J$6))</f>
        <v>0</v>
      </c>
      <c r="O183" s="166">
        <f ca="1"/>
        <v>0</v>
      </c>
      <c r="P183" s="166">
        <f ca="1"/>
        <v>1.3511724156507476E-3</v>
      </c>
      <c r="Q183" s="166">
        <f ca="1"/>
        <v>0</v>
      </c>
      <c r="R183" s="166">
        <f ca="1"/>
        <v>1.3101660321970243E-2</v>
      </c>
      <c r="S183" s="166">
        <f ca="1"/>
        <v>0</v>
      </c>
      <c r="T183" s="166">
        <f ca="1"/>
        <v>2.7858391987850895E-2</v>
      </c>
      <c r="U183" s="166">
        <f ca="1"/>
        <v>5.1715989972820342E-2</v>
      </c>
      <c r="V183" s="140">
        <f ca="1"/>
        <v>8.9233911718204495E-2</v>
      </c>
      <c r="W183" s="139">
        <f ca="1"/>
        <v>0</v>
      </c>
      <c r="X183" s="166">
        <f ca="1"/>
        <v>0</v>
      </c>
      <c r="Y183" s="166">
        <f ca="1"/>
        <v>1.5176000175608495E-3</v>
      </c>
      <c r="Z183" s="166">
        <f ca="1"/>
        <v>0</v>
      </c>
      <c r="AA183" s="166">
        <f ca="1"/>
        <v>1.3742230193386828E-2</v>
      </c>
      <c r="AB183" s="166">
        <f ca="1"/>
        <v>0</v>
      </c>
      <c r="AC183" s="166">
        <f ca="1"/>
        <v>2.9229359267585409E-2</v>
      </c>
      <c r="AD183" s="166">
        <f ca="1"/>
        <v>5.4241361706649394E-2</v>
      </c>
      <c r="AE183" s="140">
        <f ca="1"/>
        <v>9.3537026138179047E-2</v>
      </c>
      <c r="AI183" s="137">
        <v>1.2999999999999999E-3</v>
      </c>
      <c r="AK183" s="137">
        <v>1.29E-2</v>
      </c>
      <c r="AM183" s="137">
        <v>2.7699999999999999E-2</v>
      </c>
      <c r="AN183" s="137">
        <v>5.1299999999999998E-2</v>
      </c>
      <c r="AO183" s="137">
        <v>8.9200000000000002E-2</v>
      </c>
      <c r="AR183" s="137">
        <v>1.5E-3</v>
      </c>
      <c r="AT183" s="137">
        <v>1.35E-2</v>
      </c>
      <c r="AV183" s="137">
        <v>2.9100000000000001E-2</v>
      </c>
      <c r="AW183" s="137">
        <v>5.3800000000000001E-2</v>
      </c>
      <c r="AX183" s="137">
        <v>9.3399999999999997E-2</v>
      </c>
    </row>
    <row r="184" spans="1:50" s="79" customFormat="1" ht="10.199999999999999" x14ac:dyDescent="0.2">
      <c r="A184" s="97">
        <f t="shared" ca="1" si="5"/>
        <v>173</v>
      </c>
      <c r="B184" s="68" t="s">
        <v>261</v>
      </c>
      <c r="C184" s="98">
        <v>0.4</v>
      </c>
      <c r="D184" s="69" t="s">
        <v>67</v>
      </c>
      <c r="E184" s="138" t="s">
        <v>87</v>
      </c>
      <c r="F184" s="159" t="s">
        <v>87</v>
      </c>
      <c r="G184" s="159">
        <v>1.694E-3</v>
      </c>
      <c r="H184" s="159" t="s">
        <v>87</v>
      </c>
      <c r="I184" s="159">
        <v>4.3359999999999996E-3</v>
      </c>
      <c r="J184" s="159" t="s">
        <v>87</v>
      </c>
      <c r="K184" s="159">
        <v>7.3819999999999997E-3</v>
      </c>
      <c r="L184" s="159">
        <v>9.6019999999999994E-3</v>
      </c>
      <c r="M184" s="159">
        <v>1.2803E-2</v>
      </c>
      <c r="N184" s="139">
        <f t="array" aca="1" ref="N184:AE184" ca="1">IF(OR(B184="",NOT($J$2)),"",GetStripDefaultProbability(A184,B184,Parameter_Date,CDSRollDate,E184:M184,SpreadCurveMaturities,D184,C184,$J$4,$J$6))</f>
        <v>0</v>
      </c>
      <c r="O184" s="166">
        <f ca="1"/>
        <v>0</v>
      </c>
      <c r="P184" s="166">
        <f ca="1"/>
        <v>2.9856751746529797E-3</v>
      </c>
      <c r="Q184" s="166">
        <f ca="1"/>
        <v>0</v>
      </c>
      <c r="R184" s="166">
        <f ca="1"/>
        <v>2.2539040411934774E-2</v>
      </c>
      <c r="S184" s="166">
        <f ca="1"/>
        <v>0</v>
      </c>
      <c r="T184" s="166">
        <f ca="1"/>
        <v>6.3886831508889741E-2</v>
      </c>
      <c r="U184" s="166">
        <f ca="1"/>
        <v>0.11524075990980687</v>
      </c>
      <c r="V184" s="140">
        <f ca="1"/>
        <v>0.21720687056038568</v>
      </c>
      <c r="W184" s="139">
        <f ca="1"/>
        <v>0</v>
      </c>
      <c r="X184" s="166">
        <f ca="1"/>
        <v>0</v>
      </c>
      <c r="Y184" s="166">
        <f ca="1"/>
        <v>3.1518303821533866E-3</v>
      </c>
      <c r="Z184" s="166">
        <f ca="1"/>
        <v>0</v>
      </c>
      <c r="AA184" s="166">
        <f ca="1"/>
        <v>2.3654943598645506E-2</v>
      </c>
      <c r="AB184" s="166">
        <f ca="1"/>
        <v>0</v>
      </c>
      <c r="AC184" s="166">
        <f ca="1"/>
        <v>6.7010761981134315E-2</v>
      </c>
      <c r="AD184" s="166">
        <f ca="1"/>
        <v>0.12076179302004941</v>
      </c>
      <c r="AE184" s="140">
        <f ca="1"/>
        <v>0.22721131959258789</v>
      </c>
      <c r="AI184" s="137">
        <v>2.8999999999999998E-3</v>
      </c>
      <c r="AK184" s="137">
        <v>2.2200000000000001E-2</v>
      </c>
      <c r="AM184" s="137">
        <v>6.3299999999999995E-2</v>
      </c>
      <c r="AN184" s="137">
        <v>0.1145</v>
      </c>
      <c r="AO184" s="137">
        <v>0.21540000000000001</v>
      </c>
      <c r="AR184" s="137">
        <v>3.0999999999999999E-3</v>
      </c>
      <c r="AT184" s="137">
        <v>2.3300000000000001E-2</v>
      </c>
      <c r="AV184" s="137">
        <v>6.6400000000000001E-2</v>
      </c>
      <c r="AW184" s="137">
        <v>0.12</v>
      </c>
      <c r="AX184" s="137">
        <v>0.2253</v>
      </c>
    </row>
    <row r="185" spans="1:50" s="79" customFormat="1" ht="10.199999999999999" x14ac:dyDescent="0.2">
      <c r="A185" s="97">
        <f t="shared" ca="1" si="5"/>
        <v>174</v>
      </c>
      <c r="B185" s="68" t="s">
        <v>262</v>
      </c>
      <c r="C185" s="98">
        <v>0.4</v>
      </c>
      <c r="D185" s="69" t="s">
        <v>67</v>
      </c>
      <c r="E185" s="138" t="s">
        <v>87</v>
      </c>
      <c r="F185" s="159">
        <v>5.5999999999999995E-4</v>
      </c>
      <c r="G185" s="159">
        <v>6.9999999999999999E-4</v>
      </c>
      <c r="H185" s="159">
        <v>1.1199999999999999E-3</v>
      </c>
      <c r="I185" s="159">
        <v>1.5399999999999999E-3</v>
      </c>
      <c r="J185" s="159" t="s">
        <v>87</v>
      </c>
      <c r="K185" s="159">
        <v>2.3700000000000001E-3</v>
      </c>
      <c r="L185" s="159">
        <v>2.65E-3</v>
      </c>
      <c r="M185" s="159">
        <v>3.0699999999999998E-3</v>
      </c>
      <c r="N185" s="139">
        <f t="array" aca="1" ref="N185:AE185" ca="1">IF(OR(B185="",NOT($J$2)),"",GetStripDefaultProbability(A185,B185,Parameter_Date,CDSRollDate,E185:M185,SpreadCurveMaturities,D185,C185,$J$4,$J$6))</f>
        <v>0</v>
      </c>
      <c r="O185" s="166">
        <f ca="1"/>
        <v>5.224693876556552E-4</v>
      </c>
      <c r="P185" s="166">
        <f ca="1"/>
        <v>1.2384657046682346E-3</v>
      </c>
      <c r="Q185" s="166">
        <f ca="1"/>
        <v>3.8940581929445273E-3</v>
      </c>
      <c r="R185" s="166">
        <f ca="1"/>
        <v>8.0125814850267041E-3</v>
      </c>
      <c r="S185" s="166">
        <f ca="1"/>
        <v>0</v>
      </c>
      <c r="T185" s="166">
        <f ca="1"/>
        <v>2.0681437768885202E-2</v>
      </c>
      <c r="U185" s="166">
        <f ca="1"/>
        <v>3.208332419145421E-2</v>
      </c>
      <c r="V185" s="140">
        <f ca="1"/>
        <v>5.3506528364301253E-2</v>
      </c>
      <c r="W185" s="139">
        <f ca="1"/>
        <v>0</v>
      </c>
      <c r="X185" s="166">
        <f ca="1"/>
        <v>6.1573817274318543E-4</v>
      </c>
      <c r="Y185" s="166">
        <f ca="1"/>
        <v>1.4147563738193814E-3</v>
      </c>
      <c r="Z185" s="166">
        <f ca="1"/>
        <v>4.2371462903264545E-3</v>
      </c>
      <c r="AA185" s="166">
        <f ca="1"/>
        <v>8.5210116665580538E-3</v>
      </c>
      <c r="AB185" s="166">
        <f ca="1"/>
        <v>0</v>
      </c>
      <c r="AC185" s="166">
        <f ca="1"/>
        <v>2.1683674871679104E-2</v>
      </c>
      <c r="AD185" s="166">
        <f ca="1"/>
        <v>3.3644546284223531E-2</v>
      </c>
      <c r="AE185" s="140">
        <f ca="1"/>
        <v>5.6097067108111687E-2</v>
      </c>
      <c r="AH185" s="137">
        <v>5.0000000000000001E-4</v>
      </c>
      <c r="AI185" s="137">
        <v>1.1999999999999999E-3</v>
      </c>
      <c r="AJ185" s="137">
        <v>3.8999999999999998E-3</v>
      </c>
      <c r="AK185" s="137">
        <v>8.0000000000000002E-3</v>
      </c>
      <c r="AM185" s="137">
        <v>2.06E-2</v>
      </c>
      <c r="AN185" s="137">
        <v>3.2000000000000001E-2</v>
      </c>
      <c r="AO185" s="137">
        <v>5.3199999999999997E-2</v>
      </c>
      <c r="AQ185" s="137">
        <v>5.9999999999999995E-4</v>
      </c>
      <c r="AR185" s="137">
        <v>1.4E-3</v>
      </c>
      <c r="AS185" s="137">
        <v>4.1999999999999997E-3</v>
      </c>
      <c r="AT185" s="137">
        <v>8.5000000000000006E-3</v>
      </c>
      <c r="AV185" s="137">
        <v>2.1600000000000001E-2</v>
      </c>
      <c r="AW185" s="137">
        <v>3.3599999999999998E-2</v>
      </c>
      <c r="AX185" s="137">
        <v>5.5800000000000002E-2</v>
      </c>
    </row>
    <row r="186" spans="1:50" s="79" customFormat="1" ht="10.199999999999999" x14ac:dyDescent="0.2">
      <c r="A186" s="97">
        <f t="shared" ca="1" si="5"/>
        <v>175</v>
      </c>
      <c r="B186" s="68" t="s">
        <v>263</v>
      </c>
      <c r="C186" s="98">
        <v>0.4</v>
      </c>
      <c r="D186" s="69" t="s">
        <v>67</v>
      </c>
      <c r="E186" s="138" t="s">
        <v>87</v>
      </c>
      <c r="F186" s="159" t="s">
        <v>87</v>
      </c>
      <c r="G186" s="159">
        <v>3.5379999999999999E-3</v>
      </c>
      <c r="H186" s="159" t="s">
        <v>87</v>
      </c>
      <c r="I186" s="159">
        <v>6.4209999999999996E-3</v>
      </c>
      <c r="J186" s="159" t="s">
        <v>87</v>
      </c>
      <c r="K186" s="159">
        <v>1.0614999999999999E-2</v>
      </c>
      <c r="L186" s="159">
        <v>1.2324E-2</v>
      </c>
      <c r="M186" s="159">
        <v>1.4395E-2</v>
      </c>
      <c r="N186" s="139">
        <f t="array" aca="1" ref="N186:AE186" ca="1">IF(OR(B186="",NOT($J$2)),"",GetStripDefaultProbability(A186,B186,Parameter_Date,CDSRollDate,E186:M186,SpreadCurveMaturities,D186,C186,$J$4,$J$6))</f>
        <v>0</v>
      </c>
      <c r="O186" s="166">
        <f ca="1"/>
        <v>0</v>
      </c>
      <c r="P186" s="166">
        <f ca="1"/>
        <v>6.2256785415787386E-3</v>
      </c>
      <c r="Q186" s="166">
        <f ca="1"/>
        <v>0</v>
      </c>
      <c r="R186" s="166">
        <f ca="1"/>
        <v>3.3016444258680555E-2</v>
      </c>
      <c r="S186" s="166">
        <f ca="1"/>
        <v>0</v>
      </c>
      <c r="T186" s="166">
        <f ca="1"/>
        <v>9.0701906502913654E-2</v>
      </c>
      <c r="U186" s="166">
        <f ca="1"/>
        <v>0.14361277751608881</v>
      </c>
      <c r="V186" s="140">
        <f ca="1"/>
        <v>0.23378877210391169</v>
      </c>
      <c r="W186" s="139">
        <f ca="1"/>
        <v>0</v>
      </c>
      <c r="X186" s="166">
        <f ca="1"/>
        <v>0</v>
      </c>
      <c r="Y186" s="166">
        <f ca="1"/>
        <v>6.5357652656882204E-3</v>
      </c>
      <c r="Z186" s="166">
        <f ca="1"/>
        <v>0</v>
      </c>
      <c r="AA186" s="166">
        <f ca="1"/>
        <v>3.4645631427635437E-2</v>
      </c>
      <c r="AB186" s="166">
        <f ca="1"/>
        <v>0</v>
      </c>
      <c r="AC186" s="166">
        <f ca="1"/>
        <v>9.5111406857937841E-2</v>
      </c>
      <c r="AD186" s="166">
        <f ca="1"/>
        <v>0.1503707302477949</v>
      </c>
      <c r="AE186" s="140">
        <f ca="1"/>
        <v>0.24432235329873875</v>
      </c>
      <c r="AI186" s="137">
        <v>6.1000000000000004E-3</v>
      </c>
      <c r="AK186" s="137">
        <v>3.2599999999999997E-2</v>
      </c>
      <c r="AM186" s="137">
        <v>8.9800000000000005E-2</v>
      </c>
      <c r="AN186" s="137">
        <v>0.14299999999999999</v>
      </c>
      <c r="AO186" s="137">
        <v>0.2319</v>
      </c>
      <c r="AR186" s="137">
        <v>6.4000000000000003E-3</v>
      </c>
      <c r="AT186" s="137">
        <v>3.4200000000000001E-2</v>
      </c>
      <c r="AV186" s="137">
        <v>9.4100000000000003E-2</v>
      </c>
      <c r="AW186" s="137">
        <v>0.1497</v>
      </c>
      <c r="AX186" s="137">
        <v>0.24229999999999999</v>
      </c>
    </row>
    <row r="187" spans="1:50" s="79" customFormat="1" ht="10.199999999999999" x14ac:dyDescent="0.2">
      <c r="A187" s="97">
        <f t="shared" ca="1" si="5"/>
        <v>176</v>
      </c>
      <c r="B187" s="68" t="s">
        <v>264</v>
      </c>
      <c r="C187" s="98">
        <v>0.4</v>
      </c>
      <c r="D187" s="69" t="s">
        <v>67</v>
      </c>
      <c r="E187" s="138" t="s">
        <v>87</v>
      </c>
      <c r="F187" s="159" t="s">
        <v>87</v>
      </c>
      <c r="G187" s="159">
        <v>1.0579999999999999E-3</v>
      </c>
      <c r="H187" s="159" t="s">
        <v>87</v>
      </c>
      <c r="I187" s="159">
        <v>1.954E-3</v>
      </c>
      <c r="J187" s="159" t="s">
        <v>87</v>
      </c>
      <c r="K187" s="159">
        <v>2.6059999999999998E-3</v>
      </c>
      <c r="L187" s="159">
        <v>2.7680000000000001E-3</v>
      </c>
      <c r="M187" s="159">
        <v>3.1749999999999999E-3</v>
      </c>
      <c r="N187" s="139">
        <f t="array" aca="1" ref="N187:AE187" ca="1">IF(OR(B187="",NOT($J$2)),"",GetStripDefaultProbability(A187,B187,Parameter_Date,CDSRollDate,E187:M187,SpreadCurveMaturities,D187,C187,$J$4,$J$6))</f>
        <v>0</v>
      </c>
      <c r="O187" s="166">
        <f ca="1"/>
        <v>0</v>
      </c>
      <c r="P187" s="166">
        <f ca="1"/>
        <v>1.8657635812646678E-3</v>
      </c>
      <c r="Q187" s="166">
        <f ca="1"/>
        <v>0</v>
      </c>
      <c r="R187" s="166">
        <f ca="1"/>
        <v>1.0127927538079118E-2</v>
      </c>
      <c r="S187" s="166">
        <f ca="1"/>
        <v>0</v>
      </c>
      <c r="T187" s="166">
        <f ca="1"/>
        <v>2.2492406395095088E-2</v>
      </c>
      <c r="U187" s="166">
        <f ca="1"/>
        <v>3.3116816952600492E-2</v>
      </c>
      <c r="V187" s="140">
        <f ca="1"/>
        <v>5.4807681661037555E-2</v>
      </c>
      <c r="W187" s="139">
        <f ca="1"/>
        <v>0</v>
      </c>
      <c r="X187" s="166">
        <f ca="1"/>
        <v>0</v>
      </c>
      <c r="Y187" s="166">
        <f ca="1"/>
        <v>2.032105425139874E-3</v>
      </c>
      <c r="Z187" s="166">
        <f ca="1"/>
        <v>0</v>
      </c>
      <c r="AA187" s="166">
        <f ca="1"/>
        <v>1.0636361161682206E-2</v>
      </c>
      <c r="AB187" s="166">
        <f ca="1"/>
        <v>0</v>
      </c>
      <c r="AC187" s="166">
        <f ca="1"/>
        <v>2.3601809861837464E-2</v>
      </c>
      <c r="AD187" s="166">
        <f ca="1"/>
        <v>3.4737826283851359E-2</v>
      </c>
      <c r="AE187" s="140">
        <f ca="1"/>
        <v>5.7480487316323159E-2</v>
      </c>
      <c r="AI187" s="137">
        <v>1.8E-3</v>
      </c>
      <c r="AK187" s="137">
        <v>0.01</v>
      </c>
      <c r="AM187" s="137">
        <v>2.24E-2</v>
      </c>
      <c r="AN187" s="137">
        <v>3.3000000000000002E-2</v>
      </c>
      <c r="AO187" s="137">
        <v>5.45E-2</v>
      </c>
      <c r="AR187" s="137">
        <v>2E-3</v>
      </c>
      <c r="AT187" s="137">
        <v>1.0500000000000001E-2</v>
      </c>
      <c r="AV187" s="137">
        <v>2.35E-2</v>
      </c>
      <c r="AW187" s="137">
        <v>3.4599999999999999E-2</v>
      </c>
      <c r="AX187" s="137">
        <v>5.7099999999999998E-2</v>
      </c>
    </row>
    <row r="188" spans="1:50" s="79" customFormat="1" ht="10.199999999999999" x14ac:dyDescent="0.2">
      <c r="A188" s="97">
        <f t="shared" ca="1" si="5"/>
        <v>177</v>
      </c>
      <c r="B188" s="68" t="s">
        <v>265</v>
      </c>
      <c r="C188" s="98">
        <v>0.4</v>
      </c>
      <c r="D188" s="69" t="s">
        <v>67</v>
      </c>
      <c r="E188" s="138" t="s">
        <v>87</v>
      </c>
      <c r="F188" s="159" t="s">
        <v>87</v>
      </c>
      <c r="G188" s="159">
        <v>1.206E-3</v>
      </c>
      <c r="H188" s="159" t="s">
        <v>87</v>
      </c>
      <c r="I188" s="159">
        <v>3.0339999999999998E-3</v>
      </c>
      <c r="J188" s="159" t="s">
        <v>87</v>
      </c>
      <c r="K188" s="159">
        <v>4.8250000000000003E-3</v>
      </c>
      <c r="L188" s="159">
        <v>5.8199999999999997E-3</v>
      </c>
      <c r="M188" s="159">
        <v>6.8149999999999999E-3</v>
      </c>
      <c r="N188" s="139">
        <f t="array" aca="1" ref="N188:AE188" ca="1">IF(OR(B188="",NOT($J$2)),"",GetStripDefaultProbability(A188,B188,Parameter_Date,CDSRollDate,E188:M188,SpreadCurveMaturities,D188,C188,$J$4,$J$6))</f>
        <v>0</v>
      </c>
      <c r="O188" s="166">
        <f ca="1"/>
        <v>0</v>
      </c>
      <c r="P188" s="166">
        <f ca="1"/>
        <v>2.1264832855441007E-3</v>
      </c>
      <c r="Q188" s="166">
        <f ca="1"/>
        <v>0</v>
      </c>
      <c r="R188" s="166">
        <f ca="1"/>
        <v>1.5802372392735853E-2</v>
      </c>
      <c r="S188" s="166">
        <f ca="1"/>
        <v>0</v>
      </c>
      <c r="T188" s="166">
        <f ca="1"/>
        <v>4.1884020893174334E-2</v>
      </c>
      <c r="U188" s="166">
        <f ca="1"/>
        <v>7.0197631949479145E-2</v>
      </c>
      <c r="V188" s="140">
        <f ca="1"/>
        <v>0.11645119687129868</v>
      </c>
      <c r="W188" s="139">
        <f ca="1"/>
        <v>0</v>
      </c>
      <c r="X188" s="166">
        <f ca="1"/>
        <v>0</v>
      </c>
      <c r="Y188" s="166">
        <f ca="1"/>
        <v>2.2927816797388978E-3</v>
      </c>
      <c r="Z188" s="166">
        <f ca="1"/>
        <v>0</v>
      </c>
      <c r="AA188" s="166">
        <f ca="1"/>
        <v>1.658085462327008E-2</v>
      </c>
      <c r="AB188" s="166">
        <f ca="1"/>
        <v>0</v>
      </c>
      <c r="AC188" s="166">
        <f ca="1"/>
        <v>4.3944354413948172E-2</v>
      </c>
      <c r="AD188" s="166">
        <f ca="1"/>
        <v>7.362552633894115E-2</v>
      </c>
      <c r="AE188" s="140">
        <f ca="1"/>
        <v>0.12199252661682758</v>
      </c>
      <c r="AI188" s="137">
        <v>2.0999999999999999E-3</v>
      </c>
      <c r="AK188" s="137">
        <v>1.5599999999999999E-2</v>
      </c>
      <c r="AM188" s="137">
        <v>4.1500000000000002E-2</v>
      </c>
      <c r="AN188" s="137">
        <v>6.9900000000000004E-2</v>
      </c>
      <c r="AO188" s="137">
        <v>0.1159</v>
      </c>
      <c r="AR188" s="137">
        <v>2.3E-3</v>
      </c>
      <c r="AT188" s="137">
        <v>1.6400000000000001E-2</v>
      </c>
      <c r="AV188" s="137">
        <v>4.36E-2</v>
      </c>
      <c r="AW188" s="137">
        <v>7.3200000000000001E-2</v>
      </c>
      <c r="AX188" s="137">
        <v>0.12139999999999999</v>
      </c>
    </row>
    <row r="189" spans="1:50" s="79" customFormat="1" ht="10.199999999999999" x14ac:dyDescent="0.2">
      <c r="A189" s="97">
        <f t="shared" ca="1" si="5"/>
        <v>178</v>
      </c>
      <c r="B189" s="68" t="s">
        <v>266</v>
      </c>
      <c r="C189" s="98">
        <v>0.4</v>
      </c>
      <c r="D189" s="69" t="s">
        <v>67</v>
      </c>
      <c r="E189" s="138" t="s">
        <v>87</v>
      </c>
      <c r="F189" s="159" t="s">
        <v>87</v>
      </c>
      <c r="G189" s="159">
        <v>2.6489999999999999E-3</v>
      </c>
      <c r="H189" s="159" t="s">
        <v>87</v>
      </c>
      <c r="I189" s="159">
        <v>4.8570000000000002E-3</v>
      </c>
      <c r="J189" s="159" t="s">
        <v>87</v>
      </c>
      <c r="K189" s="159">
        <v>7.2859999999999999E-3</v>
      </c>
      <c r="L189" s="159">
        <v>8.4169999999999991E-3</v>
      </c>
      <c r="M189" s="159">
        <v>9.5029999999999993E-3</v>
      </c>
      <c r="N189" s="139">
        <f t="array" aca="1" ref="N189:AE189" ca="1">IF(OR(B189="",NOT($J$2)),"",GetStripDefaultProbability(A189,B189,Parameter_Date,CDSRollDate,E189:M189,SpreadCurveMaturities,D189,C189,$J$4,$J$6))</f>
        <v>0</v>
      </c>
      <c r="O189" s="166">
        <f ca="1"/>
        <v>0</v>
      </c>
      <c r="P189" s="166">
        <f ca="1"/>
        <v>4.6649639564133594E-3</v>
      </c>
      <c r="Q189" s="166">
        <f ca="1"/>
        <v>0</v>
      </c>
      <c r="R189" s="166">
        <f ca="1"/>
        <v>2.5056688991441756E-2</v>
      </c>
      <c r="S189" s="166">
        <f ca="1"/>
        <v>0</v>
      </c>
      <c r="T189" s="166">
        <f ca="1"/>
        <v>6.247300304578518E-2</v>
      </c>
      <c r="U189" s="166">
        <f ca="1"/>
        <v>9.9494323825132236E-2</v>
      </c>
      <c r="V189" s="140">
        <f ca="1"/>
        <v>0.15764349023377322</v>
      </c>
      <c r="W189" s="139">
        <f ca="1"/>
        <v>0</v>
      </c>
      <c r="X189" s="166">
        <f ca="1"/>
        <v>0</v>
      </c>
      <c r="Y189" s="166">
        <f ca="1"/>
        <v>4.8846599157758019E-3</v>
      </c>
      <c r="Z189" s="166">
        <f ca="1"/>
        <v>0</v>
      </c>
      <c r="AA189" s="166">
        <f ca="1"/>
        <v>2.6298791374760322E-2</v>
      </c>
      <c r="AB189" s="166">
        <f ca="1"/>
        <v>0</v>
      </c>
      <c r="AC189" s="166">
        <f ca="1"/>
        <v>6.5524148219931799E-2</v>
      </c>
      <c r="AD189" s="166">
        <f ca="1"/>
        <v>0.10426770028622923</v>
      </c>
      <c r="AE189" s="140">
        <f ca="1"/>
        <v>0.16498853678444336</v>
      </c>
      <c r="AI189" s="137">
        <v>4.5999999999999999E-3</v>
      </c>
      <c r="AK189" s="137">
        <v>2.4799999999999999E-2</v>
      </c>
      <c r="AM189" s="137">
        <v>6.2E-2</v>
      </c>
      <c r="AN189" s="137">
        <v>9.9099999999999994E-2</v>
      </c>
      <c r="AO189" s="137">
        <v>0.15679999999999999</v>
      </c>
      <c r="AR189" s="137">
        <v>4.7999999999999996E-3</v>
      </c>
      <c r="AT189" s="137">
        <v>2.5999999999999999E-2</v>
      </c>
      <c r="AV189" s="137">
        <v>6.5000000000000002E-2</v>
      </c>
      <c r="AW189" s="137">
        <v>0.1038</v>
      </c>
      <c r="AX189" s="137">
        <v>0.1641</v>
      </c>
    </row>
    <row r="190" spans="1:50" s="79" customFormat="1" ht="10.199999999999999" x14ac:dyDescent="0.2">
      <c r="A190" s="97">
        <f t="shared" ca="1" si="5"/>
        <v>179</v>
      </c>
      <c r="B190" s="68" t="s">
        <v>267</v>
      </c>
      <c r="C190" s="98">
        <v>0.4</v>
      </c>
      <c r="D190" s="69" t="s">
        <v>67</v>
      </c>
      <c r="E190" s="138" t="s">
        <v>87</v>
      </c>
      <c r="F190" s="159" t="s">
        <v>87</v>
      </c>
      <c r="G190" s="159">
        <v>1.451E-3</v>
      </c>
      <c r="H190" s="159" t="s">
        <v>87</v>
      </c>
      <c r="I190" s="159">
        <v>4.3909999999999999E-3</v>
      </c>
      <c r="J190" s="159" t="s">
        <v>87</v>
      </c>
      <c r="K190" s="159">
        <v>6.803E-3</v>
      </c>
      <c r="L190" s="159">
        <v>8.1539999999999998E-3</v>
      </c>
      <c r="M190" s="159">
        <v>9.9399999999999992E-3</v>
      </c>
      <c r="N190" s="139">
        <f t="array" aca="1" ref="N190:AE190" ca="1">IF(OR(B190="",NOT($J$2)),"",GetStripDefaultProbability(A190,B190,Parameter_Date,CDSRollDate,E190:M190,SpreadCurveMaturities,D190,C190,$J$4,$J$6))</f>
        <v>0</v>
      </c>
      <c r="O190" s="166">
        <f ca="1"/>
        <v>0</v>
      </c>
      <c r="P190" s="166">
        <f ca="1"/>
        <v>2.557931621356424E-3</v>
      </c>
      <c r="Q190" s="166">
        <f ca="1"/>
        <v>0</v>
      </c>
      <c r="R190" s="166">
        <f ca="1"/>
        <v>2.2881052266132795E-2</v>
      </c>
      <c r="S190" s="166">
        <f ca="1"/>
        <v>0</v>
      </c>
      <c r="T190" s="166">
        <f ca="1"/>
        <v>5.8667512252354559E-2</v>
      </c>
      <c r="U190" s="166">
        <f ca="1"/>
        <v>9.728163320305927E-2</v>
      </c>
      <c r="V190" s="140">
        <f ca="1"/>
        <v>0.16767359274725224</v>
      </c>
      <c r="W190" s="139">
        <f ca="1"/>
        <v>0</v>
      </c>
      <c r="X190" s="166">
        <f ca="1"/>
        <v>0</v>
      </c>
      <c r="Y190" s="166">
        <f ca="1"/>
        <v>2.7241581134751502E-3</v>
      </c>
      <c r="Z190" s="166">
        <f ca="1"/>
        <v>0</v>
      </c>
      <c r="AA190" s="166">
        <f ca="1"/>
        <v>2.4011527685760203E-2</v>
      </c>
      <c r="AB190" s="166">
        <f ca="1"/>
        <v>0</v>
      </c>
      <c r="AC190" s="166">
        <f ca="1"/>
        <v>6.1536529698996367E-2</v>
      </c>
      <c r="AD190" s="166">
        <f ca="1"/>
        <v>0.10195600116547476</v>
      </c>
      <c r="AE190" s="140">
        <f ca="1"/>
        <v>0.17549795602207352</v>
      </c>
      <c r="AI190" s="137">
        <v>2.5000000000000001E-3</v>
      </c>
      <c r="AK190" s="137">
        <v>2.2499999999999999E-2</v>
      </c>
      <c r="AM190" s="137">
        <v>5.8200000000000002E-2</v>
      </c>
      <c r="AN190" s="137">
        <v>9.6699999999999994E-2</v>
      </c>
      <c r="AO190" s="137">
        <v>0.1666</v>
      </c>
      <c r="AR190" s="137">
        <v>2.7000000000000001E-3</v>
      </c>
      <c r="AT190" s="137">
        <v>2.3699999999999999E-2</v>
      </c>
      <c r="AV190" s="137">
        <v>6.0999999999999999E-2</v>
      </c>
      <c r="AW190" s="137">
        <v>0.1014</v>
      </c>
      <c r="AX190" s="137">
        <v>0.1744</v>
      </c>
    </row>
    <row r="191" spans="1:50" s="79" customFormat="1" ht="10.199999999999999" x14ac:dyDescent="0.2">
      <c r="A191" s="97">
        <f t="shared" ca="1" si="5"/>
        <v>180</v>
      </c>
      <c r="B191" s="68" t="s">
        <v>268</v>
      </c>
      <c r="C191" s="98">
        <v>0.4</v>
      </c>
      <c r="D191" s="69" t="s">
        <v>67</v>
      </c>
      <c r="E191" s="138" t="s">
        <v>87</v>
      </c>
      <c r="F191" s="159" t="s">
        <v>87</v>
      </c>
      <c r="G191" s="159">
        <v>1.689E-3</v>
      </c>
      <c r="H191" s="159" t="s">
        <v>87</v>
      </c>
      <c r="I191" s="159">
        <v>2.6540000000000001E-3</v>
      </c>
      <c r="J191" s="159" t="s">
        <v>87</v>
      </c>
      <c r="K191" s="159">
        <v>3.2810000000000001E-3</v>
      </c>
      <c r="L191" s="159">
        <v>3.3289999999999999E-3</v>
      </c>
      <c r="M191" s="159">
        <v>3.4740000000000001E-3</v>
      </c>
      <c r="N191" s="139">
        <f t="array" aca="1" ref="N191:AE191" ca="1">IF(OR(B191="",NOT($J$2)),"",GetStripDefaultProbability(A191,B191,Parameter_Date,CDSRollDate,E191:M191,SpreadCurveMaturities,D191,C191,$J$4,$J$6))</f>
        <v>0</v>
      </c>
      <c r="O191" s="166">
        <f ca="1"/>
        <v>0</v>
      </c>
      <c r="P191" s="166">
        <f ca="1"/>
        <v>2.9768757001609192E-3</v>
      </c>
      <c r="Q191" s="166">
        <f ca="1"/>
        <v>0</v>
      </c>
      <c r="R191" s="166">
        <f ca="1"/>
        <v>1.3687106384713155E-2</v>
      </c>
      <c r="S191" s="166">
        <f ca="1"/>
        <v>0</v>
      </c>
      <c r="T191" s="166">
        <f ca="1"/>
        <v>2.8069094382810467E-2</v>
      </c>
      <c r="U191" s="166">
        <f ca="1"/>
        <v>3.9304242601148509E-2</v>
      </c>
      <c r="V191" s="140">
        <f ca="1"/>
        <v>5.8304443733726896E-2</v>
      </c>
      <c r="W191" s="139">
        <f ca="1"/>
        <v>0</v>
      </c>
      <c r="X191" s="166">
        <f ca="1"/>
        <v>0</v>
      </c>
      <c r="Y191" s="166">
        <f ca="1"/>
        <v>3.1430323741244992E-3</v>
      </c>
      <c r="Z191" s="166">
        <f ca="1"/>
        <v>0</v>
      </c>
      <c r="AA191" s="166">
        <f ca="1"/>
        <v>1.4365042214481982E-2</v>
      </c>
      <c r="AB191" s="166">
        <f ca="1"/>
        <v>0</v>
      </c>
      <c r="AC191" s="166">
        <f ca="1"/>
        <v>2.9454466223556186E-2</v>
      </c>
      <c r="AD191" s="166">
        <f ca="1"/>
        <v>4.1230161259687037E-2</v>
      </c>
      <c r="AE191" s="140">
        <f ca="1"/>
        <v>6.1137576491423595E-2</v>
      </c>
      <c r="AI191" s="137">
        <v>2.8999999999999998E-3</v>
      </c>
      <c r="AK191" s="137">
        <v>1.3599999999999999E-2</v>
      </c>
      <c r="AM191" s="137">
        <v>2.7900000000000001E-2</v>
      </c>
      <c r="AN191" s="137">
        <v>3.9199999999999999E-2</v>
      </c>
      <c r="AO191" s="137">
        <v>5.8000000000000003E-2</v>
      </c>
      <c r="AR191" s="137">
        <v>3.0999999999999999E-3</v>
      </c>
      <c r="AT191" s="137">
        <v>1.4200000000000001E-2</v>
      </c>
      <c r="AV191" s="137">
        <v>2.93E-2</v>
      </c>
      <c r="AW191" s="137">
        <v>4.1099999999999998E-2</v>
      </c>
      <c r="AX191" s="137">
        <v>6.0900000000000003E-2</v>
      </c>
    </row>
    <row r="192" spans="1:50" s="79" customFormat="1" ht="10.199999999999999" x14ac:dyDescent="0.2">
      <c r="A192" s="97">
        <f t="shared" ca="1" si="5"/>
        <v>181</v>
      </c>
      <c r="B192" s="68" t="s">
        <v>269</v>
      </c>
      <c r="C192" s="98">
        <v>0.4</v>
      </c>
      <c r="D192" s="69" t="s">
        <v>67</v>
      </c>
      <c r="E192" s="138" t="s">
        <v>87</v>
      </c>
      <c r="F192" s="159" t="s">
        <v>87</v>
      </c>
      <c r="G192" s="159">
        <v>5.1599999999999997E-4</v>
      </c>
      <c r="H192" s="159" t="s">
        <v>87</v>
      </c>
      <c r="I192" s="159">
        <v>1.9E-3</v>
      </c>
      <c r="J192" s="159" t="s">
        <v>87</v>
      </c>
      <c r="K192" s="159">
        <v>2.7499999999999998E-3</v>
      </c>
      <c r="L192" s="159">
        <v>3.5500000000000002E-3</v>
      </c>
      <c r="M192" s="159">
        <v>4.5999999999999999E-3</v>
      </c>
      <c r="N192" s="139">
        <f t="array" aca="1" ref="N192:AE192" ca="1">IF(OR(B192="",NOT($J$2)),"",GetStripDefaultProbability(A192,B192,Parameter_Date,CDSRollDate,E192:M192,SpreadCurveMaturities,D192,C192,$J$4,$J$6))</f>
        <v>0</v>
      </c>
      <c r="O192" s="166">
        <f ca="1"/>
        <v>0</v>
      </c>
      <c r="P192" s="166">
        <f ca="1"/>
        <v>9.1038859420722318E-4</v>
      </c>
      <c r="Q192" s="166">
        <f ca="1"/>
        <v>0</v>
      </c>
      <c r="R192" s="166">
        <f ca="1"/>
        <v>9.9644032240954195E-3</v>
      </c>
      <c r="S192" s="166">
        <f ca="1"/>
        <v>0</v>
      </c>
      <c r="T192" s="166">
        <f ca="1"/>
        <v>2.3916708186966451E-2</v>
      </c>
      <c r="U192" s="166">
        <f ca="1"/>
        <v>4.3546429522087982E-2</v>
      </c>
      <c r="V192" s="140">
        <f ca="1"/>
        <v>8.121549740978562E-2</v>
      </c>
      <c r="W192" s="139">
        <f ca="1"/>
        <v>0</v>
      </c>
      <c r="X192" s="166">
        <f ca="1"/>
        <v>0</v>
      </c>
      <c r="Y192" s="166">
        <f ca="1"/>
        <v>1.0768896539856687E-3</v>
      </c>
      <c r="Z192" s="166">
        <f ca="1"/>
        <v>0</v>
      </c>
      <c r="AA192" s="166">
        <f ca="1"/>
        <v>1.0473424867719627E-2</v>
      </c>
      <c r="AB192" s="166">
        <f ca="1"/>
        <v>0</v>
      </c>
      <c r="AC192" s="166">
        <f ca="1"/>
        <v>2.5090626600691168E-2</v>
      </c>
      <c r="AD192" s="166">
        <f ca="1"/>
        <v>4.5673650110569453E-2</v>
      </c>
      <c r="AE192" s="140">
        <f ca="1"/>
        <v>8.5148197698235895E-2</v>
      </c>
      <c r="AI192" s="137">
        <v>8.9999999999999998E-4</v>
      </c>
      <c r="AK192" s="137">
        <v>9.7999999999999997E-3</v>
      </c>
      <c r="AM192" s="137">
        <v>2.3800000000000002E-2</v>
      </c>
      <c r="AN192" s="137">
        <v>4.3299999999999998E-2</v>
      </c>
      <c r="AO192" s="137">
        <v>8.09E-2</v>
      </c>
      <c r="AR192" s="137">
        <v>1.1000000000000001E-3</v>
      </c>
      <c r="AT192" s="137">
        <v>1.03E-2</v>
      </c>
      <c r="AV192" s="137">
        <v>2.4899999999999999E-2</v>
      </c>
      <c r="AW192" s="137">
        <v>4.5400000000000003E-2</v>
      </c>
      <c r="AX192" s="137">
        <v>8.4699999999999998E-2</v>
      </c>
    </row>
    <row r="193" spans="1:50" s="79" customFormat="1" ht="10.199999999999999" x14ac:dyDescent="0.2">
      <c r="A193" s="97">
        <f t="shared" ca="1" si="5"/>
        <v>182</v>
      </c>
      <c r="B193" s="68" t="s">
        <v>270</v>
      </c>
      <c r="C193" s="98">
        <v>0.4</v>
      </c>
      <c r="D193" s="69" t="s">
        <v>67</v>
      </c>
      <c r="E193" s="138" t="s">
        <v>87</v>
      </c>
      <c r="F193" s="159" t="s">
        <v>87</v>
      </c>
      <c r="G193" s="159">
        <v>4.7899999999999999E-4</v>
      </c>
      <c r="H193" s="159" t="s">
        <v>87</v>
      </c>
      <c r="I193" s="159">
        <v>1.351E-3</v>
      </c>
      <c r="J193" s="159" t="s">
        <v>87</v>
      </c>
      <c r="K193" s="159">
        <v>2.075E-3</v>
      </c>
      <c r="L193" s="159">
        <v>2.895E-3</v>
      </c>
      <c r="M193" s="159">
        <v>3.9569999999999996E-3</v>
      </c>
      <c r="N193" s="139">
        <f t="array" aca="1" ref="N193:AE193" ca="1">IF(OR(B193="",NOT($J$2)),"",GetStripDefaultProbability(A193,B193,Parameter_Date,CDSRollDate,E193:M193,SpreadCurveMaturities,D193,C193,$J$4,$J$6))</f>
        <v>0</v>
      </c>
      <c r="O193" s="166">
        <f ca="1"/>
        <v>0</v>
      </c>
      <c r="P193" s="166">
        <f ca="1"/>
        <v>8.4513618602499729E-4</v>
      </c>
      <c r="Q193" s="166">
        <f ca="1"/>
        <v>0</v>
      </c>
      <c r="R193" s="166">
        <f ca="1"/>
        <v>7.0583917617523806E-3</v>
      </c>
      <c r="S193" s="166">
        <f ca="1"/>
        <v>0</v>
      </c>
      <c r="T193" s="166">
        <f ca="1"/>
        <v>1.8128859717036705E-2</v>
      </c>
      <c r="U193" s="166">
        <f ca="1"/>
        <v>3.5902030333087587E-2</v>
      </c>
      <c r="V193" s="140">
        <f ca="1"/>
        <v>7.0977647303177793E-2</v>
      </c>
      <c r="W193" s="139">
        <f ca="1"/>
        <v>0</v>
      </c>
      <c r="X193" s="166">
        <f ca="1"/>
        <v>0</v>
      </c>
      <c r="Y193" s="166">
        <f ca="1"/>
        <v>1.0116481202604444E-3</v>
      </c>
      <c r="Z193" s="166">
        <f ca="1"/>
        <v>0</v>
      </c>
      <c r="AA193" s="166">
        <f ca="1"/>
        <v>7.5683620986867206E-3</v>
      </c>
      <c r="AB193" s="166">
        <f ca="1"/>
        <v>0</v>
      </c>
      <c r="AC193" s="166">
        <f ca="1"/>
        <v>1.8998545816229617E-2</v>
      </c>
      <c r="AD193" s="166">
        <f ca="1"/>
        <v>3.7645559303554177E-2</v>
      </c>
      <c r="AE193" s="140">
        <f ca="1"/>
        <v>7.4404982412073051E-2</v>
      </c>
      <c r="AI193" s="137">
        <v>8.0000000000000004E-4</v>
      </c>
      <c r="AK193" s="137">
        <v>7.0000000000000001E-3</v>
      </c>
      <c r="AM193" s="137">
        <v>1.7999999999999999E-2</v>
      </c>
      <c r="AN193" s="137">
        <v>3.5700000000000003E-2</v>
      </c>
      <c r="AO193" s="137">
        <v>7.0599999999999996E-2</v>
      </c>
      <c r="AR193" s="137">
        <v>1E-3</v>
      </c>
      <c r="AT193" s="137">
        <v>7.4999999999999997E-3</v>
      </c>
      <c r="AV193" s="137">
        <v>1.8800000000000001E-2</v>
      </c>
      <c r="AW193" s="137">
        <v>3.7400000000000003E-2</v>
      </c>
      <c r="AX193" s="137">
        <v>7.3999999999999996E-2</v>
      </c>
    </row>
    <row r="194" spans="1:50" s="79" customFormat="1" ht="10.199999999999999" x14ac:dyDescent="0.2">
      <c r="A194" s="97">
        <f t="shared" ca="1" si="5"/>
        <v>183</v>
      </c>
      <c r="B194" s="68" t="s">
        <v>271</v>
      </c>
      <c r="C194" s="98">
        <v>0.4</v>
      </c>
      <c r="D194" s="69" t="s">
        <v>67</v>
      </c>
      <c r="E194" s="138" t="s">
        <v>87</v>
      </c>
      <c r="F194" s="159" t="s">
        <v>87</v>
      </c>
      <c r="G194" s="159">
        <v>4.7899999999999999E-4</v>
      </c>
      <c r="H194" s="159" t="s">
        <v>87</v>
      </c>
      <c r="I194" s="159">
        <v>1.433E-3</v>
      </c>
      <c r="J194" s="159" t="s">
        <v>87</v>
      </c>
      <c r="K194" s="159">
        <v>2.075E-3</v>
      </c>
      <c r="L194" s="159">
        <v>2.7659999999999998E-3</v>
      </c>
      <c r="M194" s="159">
        <v>3.5569999999999998E-3</v>
      </c>
      <c r="N194" s="139">
        <f t="array" aca="1" ref="N194:AE194" ca="1">IF(OR(B194="",NOT($J$2)),"",GetStripDefaultProbability(A194,B194,Parameter_Date,CDSRollDate,E194:M194,SpreadCurveMaturities,D194,C194,$J$4,$J$6))</f>
        <v>0</v>
      </c>
      <c r="O194" s="166">
        <f ca="1"/>
        <v>0</v>
      </c>
      <c r="P194" s="166">
        <f ca="1"/>
        <v>8.4513618602499729E-4</v>
      </c>
      <c r="Q194" s="166">
        <f ca="1"/>
        <v>0</v>
      </c>
      <c r="R194" s="166">
        <f ca="1"/>
        <v>7.4901812881509322E-3</v>
      </c>
      <c r="S194" s="166">
        <f ca="1"/>
        <v>0</v>
      </c>
      <c r="T194" s="166">
        <f ca="1"/>
        <v>1.8063673057700624E-2</v>
      </c>
      <c r="U194" s="166">
        <f ca="1"/>
        <v>3.412617508489868E-2</v>
      </c>
      <c r="V194" s="140">
        <f ca="1"/>
        <v>6.3180710009314134E-2</v>
      </c>
      <c r="W194" s="139">
        <f ca="1"/>
        <v>0</v>
      </c>
      <c r="X194" s="166">
        <f ca="1"/>
        <v>0</v>
      </c>
      <c r="Y194" s="166">
        <f ca="1"/>
        <v>1.0116481202604444E-3</v>
      </c>
      <c r="Z194" s="166">
        <f ca="1"/>
        <v>0</v>
      </c>
      <c r="AA194" s="166">
        <f ca="1"/>
        <v>7.9999817562919073E-3</v>
      </c>
      <c r="AB194" s="166">
        <f ca="1"/>
        <v>0</v>
      </c>
      <c r="AC194" s="166">
        <f ca="1"/>
        <v>1.8933154042312883E-2</v>
      </c>
      <c r="AD194" s="166">
        <f ca="1"/>
        <v>3.5784195056487111E-2</v>
      </c>
      <c r="AE194" s="140">
        <f ca="1"/>
        <v>6.6235962335073451E-2</v>
      </c>
      <c r="AI194" s="137">
        <v>8.0000000000000004E-4</v>
      </c>
      <c r="AK194" s="137">
        <v>7.4000000000000003E-3</v>
      </c>
      <c r="AM194" s="137">
        <v>1.7999999999999999E-2</v>
      </c>
      <c r="AN194" s="137">
        <v>3.39E-2</v>
      </c>
      <c r="AO194" s="137">
        <v>6.2899999999999998E-2</v>
      </c>
      <c r="AR194" s="137">
        <v>1E-3</v>
      </c>
      <c r="AT194" s="137">
        <v>7.9000000000000008E-3</v>
      </c>
      <c r="AV194" s="137">
        <v>1.8800000000000001E-2</v>
      </c>
      <c r="AW194" s="137">
        <v>3.56E-2</v>
      </c>
      <c r="AX194" s="137">
        <v>6.6000000000000003E-2</v>
      </c>
    </row>
    <row r="195" spans="1:50" s="79" customFormat="1" ht="10.199999999999999" x14ac:dyDescent="0.2">
      <c r="A195" s="97">
        <f t="shared" ca="1" si="5"/>
        <v>184</v>
      </c>
      <c r="B195" s="68" t="s">
        <v>272</v>
      </c>
      <c r="C195" s="98">
        <v>0.4</v>
      </c>
      <c r="D195" s="69" t="s">
        <v>67</v>
      </c>
      <c r="E195" s="138" t="s">
        <v>87</v>
      </c>
      <c r="F195" s="159" t="s">
        <v>87</v>
      </c>
      <c r="G195" s="159">
        <v>8.5499999999999997E-4</v>
      </c>
      <c r="H195" s="159" t="s">
        <v>87</v>
      </c>
      <c r="I195" s="159">
        <v>1.8420000000000001E-3</v>
      </c>
      <c r="J195" s="159" t="s">
        <v>87</v>
      </c>
      <c r="K195" s="159">
        <v>2.895E-3</v>
      </c>
      <c r="L195" s="159">
        <v>3.1580000000000002E-3</v>
      </c>
      <c r="M195" s="159">
        <v>3.79E-3</v>
      </c>
      <c r="N195" s="139">
        <f t="array" aca="1" ref="N195:AE195" ca="1">IF(OR(B195="",NOT($J$2)),"",GetStripDefaultProbability(A195,B195,Parameter_Date,CDSRollDate,E195:M195,SpreadCurveMaturities,D195,C195,$J$4,$J$6))</f>
        <v>0</v>
      </c>
      <c r="O195" s="166">
        <f ca="1"/>
        <v>0</v>
      </c>
      <c r="P195" s="166">
        <f ca="1"/>
        <v>1.5080448679525293E-3</v>
      </c>
      <c r="Q195" s="166">
        <f ca="1"/>
        <v>0</v>
      </c>
      <c r="R195" s="166">
        <f ca="1"/>
        <v>9.5754548358443214E-3</v>
      </c>
      <c r="S195" s="166">
        <f ca="1"/>
        <v>0</v>
      </c>
      <c r="T195" s="166">
        <f ca="1"/>
        <v>2.5247906722684399E-2</v>
      </c>
      <c r="U195" s="166">
        <f ca="1"/>
        <v>3.8051534890401029E-2</v>
      </c>
      <c r="V195" s="140">
        <f ca="1"/>
        <v>6.6148558265534896E-2</v>
      </c>
      <c r="W195" s="139">
        <f ca="1"/>
        <v>0</v>
      </c>
      <c r="X195" s="166">
        <f ca="1"/>
        <v>0</v>
      </c>
      <c r="Y195" s="166">
        <f ca="1"/>
        <v>1.6744463266473719E-3</v>
      </c>
      <c r="Z195" s="166">
        <f ca="1"/>
        <v>0</v>
      </c>
      <c r="AA195" s="166">
        <f ca="1"/>
        <v>1.0084220889991946E-2</v>
      </c>
      <c r="AB195" s="166">
        <f ca="1"/>
        <v>0</v>
      </c>
      <c r="AC195" s="166">
        <f ca="1"/>
        <v>2.648774281682087E-2</v>
      </c>
      <c r="AD195" s="166">
        <f ca="1"/>
        <v>3.9910250852497442E-2</v>
      </c>
      <c r="AE195" s="140">
        <f ca="1"/>
        <v>6.9359041934155319E-2</v>
      </c>
      <c r="AI195" s="137">
        <v>1.5E-3</v>
      </c>
      <c r="AK195" s="137">
        <v>9.4999999999999998E-3</v>
      </c>
      <c r="AM195" s="137">
        <v>2.5000000000000001E-2</v>
      </c>
      <c r="AN195" s="137">
        <v>3.7900000000000003E-2</v>
      </c>
      <c r="AO195" s="137">
        <v>6.5600000000000006E-2</v>
      </c>
      <c r="AR195" s="137">
        <v>1.6999999999999999E-3</v>
      </c>
      <c r="AT195" s="137">
        <v>0.01</v>
      </c>
      <c r="AV195" s="137">
        <v>2.63E-2</v>
      </c>
      <c r="AW195" s="137">
        <v>3.9800000000000002E-2</v>
      </c>
      <c r="AX195" s="137">
        <v>6.88E-2</v>
      </c>
    </row>
    <row r="196" spans="1:50" s="79" customFormat="1" ht="10.199999999999999" x14ac:dyDescent="0.2">
      <c r="A196" s="97">
        <f t="shared" ca="1" si="5"/>
        <v>185</v>
      </c>
      <c r="B196" s="68" t="s">
        <v>273</v>
      </c>
      <c r="C196" s="98">
        <v>0.4</v>
      </c>
      <c r="D196" s="69" t="s">
        <v>67</v>
      </c>
      <c r="E196" s="138" t="s">
        <v>87</v>
      </c>
      <c r="F196" s="159" t="s">
        <v>87</v>
      </c>
      <c r="G196" s="159">
        <v>4.15E-4</v>
      </c>
      <c r="H196" s="159" t="s">
        <v>87</v>
      </c>
      <c r="I196" s="159">
        <v>1.5920000000000001E-3</v>
      </c>
      <c r="J196" s="159" t="s">
        <v>87</v>
      </c>
      <c r="K196" s="159">
        <v>2.075E-3</v>
      </c>
      <c r="L196" s="159">
        <v>2.7499999999999998E-3</v>
      </c>
      <c r="M196" s="159">
        <v>3.522E-3</v>
      </c>
      <c r="N196" s="139">
        <f t="array" aca="1" ref="N196:AE196" ca="1">IF(OR(B196="",NOT($J$2)),"",GetStripDefaultProbability(A196,B196,Parameter_Date,CDSRollDate,E196:M196,SpreadCurveMaturities,D196,C196,$J$4,$J$6))</f>
        <v>0</v>
      </c>
      <c r="O196" s="166">
        <f ca="1"/>
        <v>0</v>
      </c>
      <c r="P196" s="166">
        <f ca="1"/>
        <v>7.3225716802483021E-4</v>
      </c>
      <c r="Q196" s="166">
        <f ca="1"/>
        <v>0</v>
      </c>
      <c r="R196" s="166">
        <f ca="1"/>
        <v>8.3566777465752251E-3</v>
      </c>
      <c r="S196" s="166">
        <f ca="1"/>
        <v>0</v>
      </c>
      <c r="T196" s="166">
        <f ca="1"/>
        <v>1.7967430755988278E-2</v>
      </c>
      <c r="U196" s="166">
        <f ca="1"/>
        <v>3.3867699306079579E-2</v>
      </c>
      <c r="V196" s="140">
        <f ca="1"/>
        <v>6.2353363672858264E-2</v>
      </c>
      <c r="W196" s="139">
        <f ca="1"/>
        <v>0</v>
      </c>
      <c r="X196" s="166">
        <f ca="1"/>
        <v>0</v>
      </c>
      <c r="Y196" s="166">
        <f ca="1"/>
        <v>8.9878791390107793E-4</v>
      </c>
      <c r="Z196" s="166">
        <f ca="1"/>
        <v>0</v>
      </c>
      <c r="AA196" s="166">
        <f ca="1"/>
        <v>8.8663571853819789E-3</v>
      </c>
      <c r="AB196" s="166">
        <f ca="1"/>
        <v>0</v>
      </c>
      <c r="AC196" s="166">
        <f ca="1"/>
        <v>1.8836722380057624E-2</v>
      </c>
      <c r="AD196" s="166">
        <f ca="1"/>
        <v>3.5517439649132454E-2</v>
      </c>
      <c r="AE196" s="140">
        <f ca="1"/>
        <v>6.5375630284477015E-2</v>
      </c>
      <c r="AI196" s="137">
        <v>6.9999999999999999E-4</v>
      </c>
      <c r="AK196" s="137">
        <v>8.2000000000000007E-3</v>
      </c>
      <c r="AM196" s="137">
        <v>1.7899999999999999E-2</v>
      </c>
      <c r="AN196" s="137">
        <v>3.3599999999999998E-2</v>
      </c>
      <c r="AO196" s="137">
        <v>6.2199999999999998E-2</v>
      </c>
      <c r="AR196" s="137">
        <v>8.9999999999999998E-4</v>
      </c>
      <c r="AT196" s="137">
        <v>8.6999999999999994E-3</v>
      </c>
      <c r="AV196" s="137">
        <v>1.8700000000000001E-2</v>
      </c>
      <c r="AW196" s="137">
        <v>3.5299999999999998E-2</v>
      </c>
      <c r="AX196" s="137">
        <v>6.5199999999999994E-2</v>
      </c>
    </row>
    <row r="197" spans="1:50" s="79" customFormat="1" ht="10.199999999999999" x14ac:dyDescent="0.2">
      <c r="A197" s="97">
        <f t="shared" ca="1" si="5"/>
        <v>186</v>
      </c>
      <c r="B197" s="68" t="s">
        <v>274</v>
      </c>
      <c r="C197" s="98">
        <v>0.4</v>
      </c>
      <c r="D197" s="69" t="s">
        <v>67</v>
      </c>
      <c r="E197" s="138" t="s">
        <v>87</v>
      </c>
      <c r="F197" s="159" t="s">
        <v>87</v>
      </c>
      <c r="G197" s="159">
        <v>2.2030000000000001E-3</v>
      </c>
      <c r="H197" s="159" t="s">
        <v>87</v>
      </c>
      <c r="I197" s="159">
        <v>3.8249999999999998E-3</v>
      </c>
      <c r="J197" s="159" t="s">
        <v>87</v>
      </c>
      <c r="K197" s="159">
        <v>5.2589999999999998E-3</v>
      </c>
      <c r="L197" s="159">
        <v>6.0720000000000001E-3</v>
      </c>
      <c r="M197" s="159">
        <v>7.2199999999999999E-3</v>
      </c>
      <c r="N197" s="139">
        <f t="array" aca="1" ref="N197:AE197" ca="1">IF(OR(B197="",NOT($J$2)),"",GetStripDefaultProbability(A197,B197,Parameter_Date,CDSRollDate,E197:M197,SpreadCurveMaturities,D197,C197,$J$4,$J$6))</f>
        <v>0</v>
      </c>
      <c r="O197" s="166">
        <f ca="1"/>
        <v>0</v>
      </c>
      <c r="P197" s="166">
        <f ca="1"/>
        <v>3.8810589095683579E-3</v>
      </c>
      <c r="Q197" s="166">
        <f ca="1"/>
        <v>0</v>
      </c>
      <c r="R197" s="166">
        <f ca="1"/>
        <v>1.9746988506529228E-2</v>
      </c>
      <c r="S197" s="166">
        <f ca="1"/>
        <v>0</v>
      </c>
      <c r="T197" s="166">
        <f ca="1"/>
        <v>4.5079269013900469E-2</v>
      </c>
      <c r="U197" s="166">
        <f ca="1"/>
        <v>7.2341736114362121E-2</v>
      </c>
      <c r="V197" s="140">
        <f ca="1"/>
        <v>0.12264978911724855</v>
      </c>
      <c r="W197" s="139">
        <f ca="1"/>
        <v>0</v>
      </c>
      <c r="X197" s="166">
        <f ca="1"/>
        <v>0</v>
      </c>
      <c r="Y197" s="166">
        <f ca="1"/>
        <v>4.0639129601696133E-3</v>
      </c>
      <c r="Z197" s="166">
        <f ca="1"/>
        <v>0</v>
      </c>
      <c r="AA197" s="166">
        <f ca="1"/>
        <v>2.0727819544911097E-2</v>
      </c>
      <c r="AB197" s="166">
        <f ca="1"/>
        <v>0</v>
      </c>
      <c r="AC197" s="166">
        <f ca="1"/>
        <v>4.7292572278169187E-2</v>
      </c>
      <c r="AD197" s="166">
        <f ca="1"/>
        <v>7.5851563236497888E-2</v>
      </c>
      <c r="AE197" s="140">
        <f ca="1"/>
        <v>0.12847252870118198</v>
      </c>
      <c r="AI197" s="137">
        <v>3.8E-3</v>
      </c>
      <c r="AK197" s="137">
        <v>1.95E-2</v>
      </c>
      <c r="AM197" s="137">
        <v>4.48E-2</v>
      </c>
      <c r="AN197" s="137">
        <v>7.1999999999999995E-2</v>
      </c>
      <c r="AO197" s="137">
        <v>0.12189999999999999</v>
      </c>
      <c r="AR197" s="137">
        <v>4.0000000000000001E-3</v>
      </c>
      <c r="AT197" s="137">
        <v>2.0500000000000001E-2</v>
      </c>
      <c r="AV197" s="137">
        <v>4.7E-2</v>
      </c>
      <c r="AW197" s="137">
        <v>7.5499999999999998E-2</v>
      </c>
      <c r="AX197" s="137">
        <v>0.12770000000000001</v>
      </c>
    </row>
    <row r="198" spans="1:50" s="79" customFormat="1" ht="10.199999999999999" x14ac:dyDescent="0.2">
      <c r="A198" s="97">
        <f t="shared" ca="1" si="5"/>
        <v>187</v>
      </c>
      <c r="B198" s="68" t="s">
        <v>275</v>
      </c>
      <c r="C198" s="98">
        <v>0.4</v>
      </c>
      <c r="D198" s="69" t="s">
        <v>67</v>
      </c>
      <c r="E198" s="138" t="s">
        <v>87</v>
      </c>
      <c r="F198" s="159" t="s">
        <v>87</v>
      </c>
      <c r="G198" s="159">
        <v>4.8999999999999998E-4</v>
      </c>
      <c r="H198" s="159" t="s">
        <v>87</v>
      </c>
      <c r="I198" s="159">
        <v>1.544E-3</v>
      </c>
      <c r="J198" s="159" t="s">
        <v>87</v>
      </c>
      <c r="K198" s="159">
        <v>2.1229999999999999E-3</v>
      </c>
      <c r="L198" s="159">
        <v>2.7989999999999998E-3</v>
      </c>
      <c r="M198" s="159">
        <v>3.6670000000000001E-3</v>
      </c>
      <c r="N198" s="139">
        <f t="array" aca="1" ref="N198:AE198" ca="1">IF(OR(B198="",NOT($J$2)),"",GetStripDefaultProbability(A198,B198,Parameter_Date,CDSRollDate,E198:M198,SpreadCurveMaturities,D198,C198,$J$4,$J$6))</f>
        <v>0</v>
      </c>
      <c r="O198" s="166">
        <f ca="1"/>
        <v>0</v>
      </c>
      <c r="P198" s="166">
        <f ca="1"/>
        <v>8.6453599250746471E-4</v>
      </c>
      <c r="Q198" s="166">
        <f ca="1"/>
        <v>0</v>
      </c>
      <c r="R198" s="166">
        <f ca="1"/>
        <v>8.0723489778933288E-3</v>
      </c>
      <c r="S198" s="166">
        <f ca="1"/>
        <v>0</v>
      </c>
      <c r="T198" s="166">
        <f ca="1"/>
        <v>1.8435799375609685E-2</v>
      </c>
      <c r="U198" s="166">
        <f ca="1"/>
        <v>3.4470045461120757E-2</v>
      </c>
      <c r="V198" s="140">
        <f ca="1"/>
        <v>6.5190985023902193E-2</v>
      </c>
      <c r="W198" s="139">
        <f ca="1"/>
        <v>0</v>
      </c>
      <c r="X198" s="166">
        <f ca="1"/>
        <v>0</v>
      </c>
      <c r="Y198" s="166">
        <f ca="1"/>
        <v>1.0310446937398243E-3</v>
      </c>
      <c r="Z198" s="166">
        <f ca="1"/>
        <v>0</v>
      </c>
      <c r="AA198" s="166">
        <f ca="1"/>
        <v>8.5819137965302827E-3</v>
      </c>
      <c r="AB198" s="166">
        <f ca="1"/>
        <v>0</v>
      </c>
      <c r="AC198" s="166">
        <f ca="1"/>
        <v>1.9326951074580379E-2</v>
      </c>
      <c r="AD198" s="166">
        <f ca="1"/>
        <v>3.6148811923571667E-2</v>
      </c>
      <c r="AE198" s="140">
        <f ca="1"/>
        <v>6.8347850084075956E-2</v>
      </c>
      <c r="AI198" s="137">
        <v>8.9999999999999998E-4</v>
      </c>
      <c r="AK198" s="137">
        <v>8.0000000000000002E-3</v>
      </c>
      <c r="AM198" s="137">
        <v>1.83E-2</v>
      </c>
      <c r="AN198" s="137">
        <v>3.4200000000000001E-2</v>
      </c>
      <c r="AO198" s="137">
        <v>6.4899999999999999E-2</v>
      </c>
      <c r="AR198" s="137">
        <v>1E-3</v>
      </c>
      <c r="AT198" s="137">
        <v>8.5000000000000006E-3</v>
      </c>
      <c r="AV198" s="137">
        <v>1.9199999999999998E-2</v>
      </c>
      <c r="AW198" s="137">
        <v>3.5900000000000001E-2</v>
      </c>
      <c r="AX198" s="137">
        <v>6.8099999999999994E-2</v>
      </c>
    </row>
    <row r="199" spans="1:50" s="79" customFormat="1" ht="10.199999999999999" x14ac:dyDescent="0.2">
      <c r="A199" s="97">
        <f t="shared" ca="1" si="5"/>
        <v>188</v>
      </c>
      <c r="B199" s="68" t="s">
        <v>276</v>
      </c>
      <c r="C199" s="98">
        <v>0.4</v>
      </c>
      <c r="D199" s="69" t="s">
        <v>67</v>
      </c>
      <c r="E199" s="138" t="s">
        <v>87</v>
      </c>
      <c r="F199" s="159" t="s">
        <v>87</v>
      </c>
      <c r="G199" s="159">
        <v>8.1499999999999997E-4</v>
      </c>
      <c r="H199" s="159" t="s">
        <v>87</v>
      </c>
      <c r="I199" s="159">
        <v>1.572E-3</v>
      </c>
      <c r="J199" s="159" t="s">
        <v>87</v>
      </c>
      <c r="K199" s="159">
        <v>1.9780000000000002E-3</v>
      </c>
      <c r="L199" s="159">
        <v>2.5869999999999999E-3</v>
      </c>
      <c r="M199" s="159">
        <v>3.297E-3</v>
      </c>
      <c r="N199" s="139">
        <f t="array" aca="1" ref="N199:AE199" ca="1">IF(OR(B199="",NOT($J$2)),"",GetStripDefaultProbability(A199,B199,Parameter_Date,CDSRollDate,E199:M199,SpreadCurveMaturities,D199,C199,$J$4,$J$6))</f>
        <v>0</v>
      </c>
      <c r="O199" s="166">
        <f ca="1"/>
        <v>0</v>
      </c>
      <c r="P199" s="166">
        <f ca="1"/>
        <v>1.4375434207237747E-3</v>
      </c>
      <c r="Q199" s="166">
        <f ca="1"/>
        <v>0</v>
      </c>
      <c r="R199" s="166">
        <f ca="1"/>
        <v>8.1622839336793485E-3</v>
      </c>
      <c r="S199" s="166">
        <f ca="1"/>
        <v>0</v>
      </c>
      <c r="T199" s="166">
        <f ca="1"/>
        <v>1.703764156732912E-2</v>
      </c>
      <c r="U199" s="166">
        <f ca="1"/>
        <v>3.1736737740159726E-2</v>
      </c>
      <c r="V199" s="140">
        <f ca="1"/>
        <v>5.831279560634095E-2</v>
      </c>
      <c r="W199" s="139">
        <f ca="1"/>
        <v>0</v>
      </c>
      <c r="X199" s="166">
        <f ca="1"/>
        <v>0</v>
      </c>
      <c r="Y199" s="166">
        <f ca="1"/>
        <v>1.6039566286889517E-3</v>
      </c>
      <c r="Z199" s="166">
        <f ca="1"/>
        <v>0</v>
      </c>
      <c r="AA199" s="166">
        <f ca="1"/>
        <v>8.6716283147079132E-3</v>
      </c>
      <c r="AB199" s="166">
        <f ca="1"/>
        <v>0</v>
      </c>
      <c r="AC199" s="166">
        <f ca="1"/>
        <v>1.7872652480669715E-2</v>
      </c>
      <c r="AD199" s="166">
        <f ca="1"/>
        <v>3.3283771507950033E-2</v>
      </c>
      <c r="AE199" s="140">
        <f ca="1"/>
        <v>6.1140888014144634E-2</v>
      </c>
      <c r="AI199" s="137">
        <v>1.4E-3</v>
      </c>
      <c r="AK199" s="137">
        <v>8.0999999999999996E-3</v>
      </c>
      <c r="AM199" s="137">
        <v>1.7000000000000001E-2</v>
      </c>
      <c r="AN199" s="137">
        <v>3.15E-2</v>
      </c>
      <c r="AO199" s="137">
        <v>5.8099999999999999E-2</v>
      </c>
      <c r="AR199" s="137">
        <v>1.6000000000000001E-3</v>
      </c>
      <c r="AT199" s="137">
        <v>8.6E-3</v>
      </c>
      <c r="AV199" s="137">
        <v>1.78E-2</v>
      </c>
      <c r="AW199" s="137">
        <v>3.3099999999999997E-2</v>
      </c>
      <c r="AX199" s="137">
        <v>6.0999999999999999E-2</v>
      </c>
    </row>
    <row r="200" spans="1:50" s="79" customFormat="1" ht="10.199999999999999" x14ac:dyDescent="0.2">
      <c r="A200" s="97">
        <f t="shared" ca="1" si="5"/>
        <v>189</v>
      </c>
      <c r="B200" s="68" t="s">
        <v>277</v>
      </c>
      <c r="C200" s="98">
        <v>0.4</v>
      </c>
      <c r="D200" s="69" t="s">
        <v>67</v>
      </c>
      <c r="E200" s="138" t="s">
        <v>87</v>
      </c>
      <c r="F200" s="159" t="s">
        <v>87</v>
      </c>
      <c r="G200" s="159">
        <v>4.9200000000000003E-4</v>
      </c>
      <c r="H200" s="159" t="s">
        <v>87</v>
      </c>
      <c r="I200" s="159">
        <v>1.6999999999999999E-3</v>
      </c>
      <c r="J200" s="159" t="s">
        <v>87</v>
      </c>
      <c r="K200" s="159">
        <v>2.4610000000000001E-3</v>
      </c>
      <c r="L200" s="159">
        <v>3.042E-3</v>
      </c>
      <c r="M200" s="159">
        <v>3.7580000000000001E-3</v>
      </c>
      <c r="N200" s="139">
        <f t="array" aca="1" ref="N200:AE200" ca="1">IF(OR(B200="",NOT($J$2)),"",GetStripDefaultProbability(A200,B200,Parameter_Date,CDSRollDate,E200:M200,SpreadCurveMaturities,D200,C200,$J$4,$J$6))</f>
        <v>0</v>
      </c>
      <c r="O200" s="166">
        <f ca="1"/>
        <v>0</v>
      </c>
      <c r="P200" s="166">
        <f ca="1"/>
        <v>8.6806318984100628E-4</v>
      </c>
      <c r="Q200" s="166">
        <f ca="1"/>
        <v>0</v>
      </c>
      <c r="R200" s="166">
        <f ca="1"/>
        <v>8.9121828839595629E-3</v>
      </c>
      <c r="S200" s="166">
        <f ca="1"/>
        <v>0</v>
      </c>
      <c r="T200" s="166">
        <f ca="1"/>
        <v>2.1419029336823714E-2</v>
      </c>
      <c r="U200" s="166">
        <f ca="1"/>
        <v>3.7204089308254362E-2</v>
      </c>
      <c r="V200" s="140">
        <f ca="1"/>
        <v>6.6040799503742864E-2</v>
      </c>
      <c r="W200" s="139">
        <f ca="1"/>
        <v>0</v>
      </c>
      <c r="X200" s="166">
        <f ca="1"/>
        <v>0</v>
      </c>
      <c r="Y200" s="166">
        <f ca="1"/>
        <v>1.0345713032536841E-3</v>
      </c>
      <c r="Z200" s="166">
        <f ca="1"/>
        <v>0</v>
      </c>
      <c r="AA200" s="166">
        <f ca="1"/>
        <v>9.4216047463531183E-3</v>
      </c>
      <c r="AB200" s="166">
        <f ca="1"/>
        <v>0</v>
      </c>
      <c r="AC200" s="166">
        <f ca="1"/>
        <v>2.2462863885186368E-2</v>
      </c>
      <c r="AD200" s="166">
        <f ca="1"/>
        <v>3.9018900074884955E-2</v>
      </c>
      <c r="AE200" s="140">
        <f ca="1"/>
        <v>6.9241943562312946E-2</v>
      </c>
      <c r="AI200" s="137">
        <v>8.9999999999999998E-4</v>
      </c>
      <c r="AK200" s="137">
        <v>8.8000000000000005E-3</v>
      </c>
      <c r="AM200" s="137">
        <v>2.1299999999999999E-2</v>
      </c>
      <c r="AN200" s="137">
        <v>3.6999999999999998E-2</v>
      </c>
      <c r="AO200" s="137">
        <v>6.5799999999999997E-2</v>
      </c>
      <c r="AR200" s="137">
        <v>1E-3</v>
      </c>
      <c r="AT200" s="137">
        <v>9.2999999999999992E-3</v>
      </c>
      <c r="AV200" s="137">
        <v>2.23E-2</v>
      </c>
      <c r="AW200" s="137">
        <v>3.8800000000000001E-2</v>
      </c>
      <c r="AX200" s="137">
        <v>6.9000000000000006E-2</v>
      </c>
    </row>
    <row r="201" spans="1:50" s="79" customFormat="1" ht="10.199999999999999" x14ac:dyDescent="0.2">
      <c r="A201" s="97">
        <f t="shared" ca="1" si="5"/>
        <v>190</v>
      </c>
      <c r="B201" s="68" t="s">
        <v>278</v>
      </c>
      <c r="C201" s="98">
        <v>0.4</v>
      </c>
      <c r="D201" s="69" t="s">
        <v>67</v>
      </c>
      <c r="E201" s="138" t="s">
        <v>87</v>
      </c>
      <c r="F201" s="159" t="s">
        <v>87</v>
      </c>
      <c r="G201" s="159">
        <v>2.6540000000000001E-3</v>
      </c>
      <c r="H201" s="159" t="s">
        <v>87</v>
      </c>
      <c r="I201" s="159">
        <v>6.8830000000000002E-3</v>
      </c>
      <c r="J201" s="159" t="s">
        <v>87</v>
      </c>
      <c r="K201" s="159">
        <v>1.0614999999999999E-2</v>
      </c>
      <c r="L201" s="159">
        <v>1.2263E-2</v>
      </c>
      <c r="M201" s="159">
        <v>1.5025999999999999E-2</v>
      </c>
      <c r="N201" s="139">
        <f t="array" aca="1" ref="N201:AE201" ca="1">IF(OR(B201="",NOT($J$2)),"",GetStripDefaultProbability(A201,B201,Parameter_Date,CDSRollDate,E201:M201,SpreadCurveMaturities,D201,C201,$J$4,$J$6))</f>
        <v>0</v>
      </c>
      <c r="O201" s="166">
        <f ca="1"/>
        <v>0</v>
      </c>
      <c r="P201" s="166">
        <f ca="1"/>
        <v>4.6737486639177872E-3</v>
      </c>
      <c r="Q201" s="166">
        <f ca="1"/>
        <v>0</v>
      </c>
      <c r="R201" s="166">
        <f ca="1"/>
        <v>3.5629240651938843E-2</v>
      </c>
      <c r="S201" s="166">
        <f ca="1"/>
        <v>0</v>
      </c>
      <c r="T201" s="166">
        <f ca="1"/>
        <v>9.0439718263779723E-2</v>
      </c>
      <c r="U201" s="166">
        <f ca="1"/>
        <v>0.14279439019729923</v>
      </c>
      <c r="V201" s="140">
        <f ca="1"/>
        <v>0.24526349504900358</v>
      </c>
      <c r="W201" s="139">
        <f ca="1"/>
        <v>0</v>
      </c>
      <c r="X201" s="166">
        <f ca="1"/>
        <v>0</v>
      </c>
      <c r="Y201" s="166">
        <f ca="1"/>
        <v>4.8938573119232665E-3</v>
      </c>
      <c r="Z201" s="166">
        <f ca="1"/>
        <v>0</v>
      </c>
      <c r="AA201" s="166">
        <f ca="1"/>
        <v>3.7390233112038929E-2</v>
      </c>
      <c r="AB201" s="166">
        <f ca="1"/>
        <v>0</v>
      </c>
      <c r="AC201" s="166">
        <f ca="1"/>
        <v>9.4813873799178938E-2</v>
      </c>
      <c r="AD201" s="166">
        <f ca="1"/>
        <v>0.14951907062205683</v>
      </c>
      <c r="AE201" s="140">
        <f ca="1"/>
        <v>0.25629927691240206</v>
      </c>
      <c r="AI201" s="137">
        <v>4.5999999999999999E-3</v>
      </c>
      <c r="AK201" s="137">
        <v>3.5099999999999999E-2</v>
      </c>
      <c r="AM201" s="137">
        <v>8.9599999999999999E-2</v>
      </c>
      <c r="AN201" s="137">
        <v>0.1421</v>
      </c>
      <c r="AO201" s="137">
        <v>0.2432</v>
      </c>
      <c r="AR201" s="137">
        <v>4.7999999999999996E-3</v>
      </c>
      <c r="AT201" s="137">
        <v>3.6799999999999999E-2</v>
      </c>
      <c r="AV201" s="137">
        <v>9.4E-2</v>
      </c>
      <c r="AW201" s="137">
        <v>0.1487</v>
      </c>
      <c r="AX201" s="137">
        <v>0.25409999999999999</v>
      </c>
    </row>
    <row r="202" spans="1:50" s="79" customFormat="1" ht="10.199999999999999" x14ac:dyDescent="0.2">
      <c r="A202" s="97">
        <f t="shared" ca="1" si="5"/>
        <v>191</v>
      </c>
      <c r="B202" s="68" t="s">
        <v>279</v>
      </c>
      <c r="C202" s="98">
        <v>0.4</v>
      </c>
      <c r="D202" s="69" t="s">
        <v>67</v>
      </c>
      <c r="E202" s="138" t="s">
        <v>87</v>
      </c>
      <c r="F202" s="159" t="s">
        <v>87</v>
      </c>
      <c r="G202" s="159">
        <v>1.689E-3</v>
      </c>
      <c r="H202" s="159" t="s">
        <v>87</v>
      </c>
      <c r="I202" s="159">
        <v>3.1359999999999999E-3</v>
      </c>
      <c r="J202" s="159" t="s">
        <v>87</v>
      </c>
      <c r="K202" s="159">
        <v>4.1009999999999996E-3</v>
      </c>
      <c r="L202" s="159">
        <v>4.4869999999999997E-3</v>
      </c>
      <c r="M202" s="159">
        <v>4.777E-3</v>
      </c>
      <c r="N202" s="139">
        <f t="array" aca="1" ref="N202:AE202" ca="1">IF(OR(B202="",NOT($J$2)),"",GetStripDefaultProbability(A202,B202,Parameter_Date,CDSRollDate,E202:M202,SpreadCurveMaturities,D202,C202,$J$4,$J$6))</f>
        <v>0</v>
      </c>
      <c r="O202" s="166">
        <f ca="1"/>
        <v>0</v>
      </c>
      <c r="P202" s="166">
        <f ca="1"/>
        <v>2.9768757001609192E-3</v>
      </c>
      <c r="Q202" s="166">
        <f ca="1"/>
        <v>0</v>
      </c>
      <c r="R202" s="166">
        <f ca="1"/>
        <v>1.6236906508123705E-2</v>
      </c>
      <c r="S202" s="166">
        <f ca="1"/>
        <v>0</v>
      </c>
      <c r="T202" s="166">
        <f ca="1"/>
        <v>3.5183794453543138E-2</v>
      </c>
      <c r="U202" s="166">
        <f ca="1"/>
        <v>5.3410913716286368E-2</v>
      </c>
      <c r="V202" s="140">
        <f ca="1"/>
        <v>8.0246498291723478E-2</v>
      </c>
      <c r="W202" s="139">
        <f ca="1"/>
        <v>0</v>
      </c>
      <c r="X202" s="166">
        <f ca="1"/>
        <v>0</v>
      </c>
      <c r="Y202" s="166">
        <f ca="1"/>
        <v>3.1430323741244992E-3</v>
      </c>
      <c r="Z202" s="166">
        <f ca="1"/>
        <v>0</v>
      </c>
      <c r="AA202" s="166">
        <f ca="1"/>
        <v>1.7041464452463462E-2</v>
      </c>
      <c r="AB202" s="166">
        <f ca="1"/>
        <v>0</v>
      </c>
      <c r="AC202" s="166">
        <f ca="1"/>
        <v>3.6916515124288507E-2</v>
      </c>
      <c r="AD202" s="166">
        <f ca="1"/>
        <v>5.6017016946690368E-2</v>
      </c>
      <c r="AE202" s="140">
        <f ca="1"/>
        <v>8.4109230368231258E-2</v>
      </c>
      <c r="AI202" s="137">
        <v>2.8999999999999998E-3</v>
      </c>
      <c r="AK202" s="137">
        <v>1.61E-2</v>
      </c>
      <c r="AM202" s="137">
        <v>3.5000000000000003E-2</v>
      </c>
      <c r="AN202" s="137">
        <v>5.3199999999999997E-2</v>
      </c>
      <c r="AO202" s="137">
        <v>0.08</v>
      </c>
      <c r="AR202" s="137">
        <v>3.0999999999999999E-3</v>
      </c>
      <c r="AT202" s="137">
        <v>1.6799999999999999E-2</v>
      </c>
      <c r="AV202" s="137">
        <v>3.6700000000000003E-2</v>
      </c>
      <c r="AW202" s="137">
        <v>5.5800000000000002E-2</v>
      </c>
      <c r="AX202" s="137">
        <v>8.3900000000000002E-2</v>
      </c>
    </row>
    <row r="203" spans="1:50" s="79" customFormat="1" ht="10.199999999999999" x14ac:dyDescent="0.2">
      <c r="A203" s="97">
        <f t="shared" ref="A203:A266" ca="1" si="6">IF(B203="","",A202+1)</f>
        <v>192</v>
      </c>
      <c r="B203" s="68" t="s">
        <v>280</v>
      </c>
      <c r="C203" s="98">
        <v>0.4</v>
      </c>
      <c r="D203" s="69" t="s">
        <v>67</v>
      </c>
      <c r="E203" s="138" t="s">
        <v>87</v>
      </c>
      <c r="F203" s="159" t="s">
        <v>87</v>
      </c>
      <c r="G203" s="159">
        <v>1.4519999999999999E-3</v>
      </c>
      <c r="H203" s="159" t="s">
        <v>87</v>
      </c>
      <c r="I203" s="159">
        <v>1.9059999999999999E-3</v>
      </c>
      <c r="J203" s="159" t="s">
        <v>87</v>
      </c>
      <c r="K203" s="159">
        <v>3.8119999999999999E-3</v>
      </c>
      <c r="L203" s="159">
        <v>5.2639999999999996E-3</v>
      </c>
      <c r="M203" s="159">
        <v>6.489E-3</v>
      </c>
      <c r="N203" s="139">
        <f t="array" aca="1" ref="N203:AE203" ca="1">IF(OR(B203="",NOT($J$2)),"",GetStripDefaultProbability(A203,B203,Parameter_Date,CDSRollDate,E203:M203,SpreadCurveMaturities,D203,C203,$J$4,$J$6))</f>
        <v>0</v>
      </c>
      <c r="O203" s="166">
        <f ca="1"/>
        <v>0</v>
      </c>
      <c r="P203" s="166">
        <f ca="1"/>
        <v>2.5596922557746815E-3</v>
      </c>
      <c r="Q203" s="166">
        <f ca="1"/>
        <v>0</v>
      </c>
      <c r="R203" s="166">
        <f ca="1"/>
        <v>9.80240058373405E-3</v>
      </c>
      <c r="S203" s="166">
        <f ca="1"/>
        <v>0</v>
      </c>
      <c r="T203" s="166">
        <f ca="1"/>
        <v>3.3506058045195464E-2</v>
      </c>
      <c r="U203" s="166">
        <f ca="1"/>
        <v>6.4761745434159135E-2</v>
      </c>
      <c r="V203" s="140">
        <f ca="1"/>
        <v>0.11317976110635253</v>
      </c>
      <c r="W203" s="139">
        <f ca="1"/>
        <v>0</v>
      </c>
      <c r="X203" s="166">
        <f ca="1"/>
        <v>0</v>
      </c>
      <c r="Y203" s="166">
        <f ca="1"/>
        <v>2.7259184544774495E-3</v>
      </c>
      <c r="Z203" s="166">
        <f ca="1"/>
        <v>0</v>
      </c>
      <c r="AA203" s="166">
        <f ca="1"/>
        <v>1.0310738235765005E-2</v>
      </c>
      <c r="AB203" s="166">
        <f ca="1"/>
        <v>0</v>
      </c>
      <c r="AC203" s="166">
        <f ca="1"/>
        <v>3.5157434347622529E-2</v>
      </c>
      <c r="AD203" s="166">
        <f ca="1"/>
        <v>6.7922711415050796E-2</v>
      </c>
      <c r="AE203" s="140">
        <f ca="1"/>
        <v>0.11859576261011884</v>
      </c>
      <c r="AI203" s="137">
        <v>2.5000000000000001E-3</v>
      </c>
      <c r="AK203" s="137">
        <v>9.7000000000000003E-3</v>
      </c>
      <c r="AM203" s="137">
        <v>3.3099999999999997E-2</v>
      </c>
      <c r="AN203" s="137">
        <v>6.4399999999999999E-2</v>
      </c>
      <c r="AO203" s="137">
        <v>0.11260000000000001</v>
      </c>
      <c r="AR203" s="137">
        <v>2.7000000000000001E-3</v>
      </c>
      <c r="AT203" s="137">
        <v>1.0200000000000001E-2</v>
      </c>
      <c r="AV203" s="137">
        <v>3.4799999999999998E-2</v>
      </c>
      <c r="AW203" s="137">
        <v>6.7500000000000004E-2</v>
      </c>
      <c r="AX203" s="137">
        <v>0.11799999999999999</v>
      </c>
    </row>
    <row r="204" spans="1:50" s="79" customFormat="1" ht="10.199999999999999" x14ac:dyDescent="0.2">
      <c r="A204" s="97">
        <f t="shared" ca="1" si="6"/>
        <v>193</v>
      </c>
      <c r="B204" s="68" t="s">
        <v>281</v>
      </c>
      <c r="C204" s="98">
        <v>0.4</v>
      </c>
      <c r="D204" s="69" t="s">
        <v>67</v>
      </c>
      <c r="E204" s="138" t="s">
        <v>87</v>
      </c>
      <c r="F204" s="159" t="s">
        <v>87</v>
      </c>
      <c r="G204" s="159">
        <v>4.7377000000000002E-2</v>
      </c>
      <c r="H204" s="159" t="s">
        <v>87</v>
      </c>
      <c r="I204" s="159">
        <v>4.0816999999999999E-2</v>
      </c>
      <c r="J204" s="159" t="s">
        <v>87</v>
      </c>
      <c r="K204" s="159">
        <v>3.4257999999999997E-2</v>
      </c>
      <c r="L204" s="159">
        <v>3.0977999999999999E-2</v>
      </c>
      <c r="M204" s="159">
        <v>2.7698E-2</v>
      </c>
      <c r="N204" s="139">
        <f t="array" aca="1" ref="N204:AE204" ca="1">IF(OR(B204="",NOT($J$2)),"",GetStripDefaultProbability(A204,B204,Parameter_Date,CDSRollDate,E204:M204,SpreadCurveMaturities,D204,C204,$J$4,$J$6))</f>
        <v>0</v>
      </c>
      <c r="O204" s="166">
        <f ca="1"/>
        <v>0</v>
      </c>
      <c r="P204" s="166">
        <f ca="1"/>
        <v>8.0222271140291679E-2</v>
      </c>
      <c r="Q204" s="166">
        <f ca="1"/>
        <v>0</v>
      </c>
      <c r="R204" s="166">
        <f ca="1"/>
        <v>0.18589715212570868</v>
      </c>
      <c r="S204" s="166">
        <f ca="1"/>
        <v>0</v>
      </c>
      <c r="T204" s="166">
        <f ca="1"/>
        <v>0.24190531974743701</v>
      </c>
      <c r="U204" s="166">
        <f ca="1"/>
        <v>0.29011627606084256</v>
      </c>
      <c r="V204" s="140">
        <f ca="1"/>
        <v>0.3428468913542968</v>
      </c>
      <c r="W204" s="139">
        <f ca="1"/>
        <v>0</v>
      </c>
      <c r="X204" s="166">
        <f ca="1"/>
        <v>0</v>
      </c>
      <c r="Y204" s="166">
        <f ca="1"/>
        <v>8.4059865212735674E-2</v>
      </c>
      <c r="Z204" s="166">
        <f ca="1"/>
        <v>0</v>
      </c>
      <c r="AA204" s="166">
        <f ca="1"/>
        <v>0.19413347682706383</v>
      </c>
      <c r="AB204" s="166">
        <f ca="1"/>
        <v>0</v>
      </c>
      <c r="AC204" s="166">
        <f ca="1"/>
        <v>0.25200926240396249</v>
      </c>
      <c r="AD204" s="166">
        <f ca="1"/>
        <v>0.30167622456849141</v>
      </c>
      <c r="AE204" s="140">
        <f ca="1"/>
        <v>0.35563945958474752</v>
      </c>
      <c r="AI204" s="137">
        <v>7.9200000000000007E-2</v>
      </c>
      <c r="AK204" s="137">
        <v>0.18609999999999999</v>
      </c>
      <c r="AM204" s="137">
        <v>0.2427</v>
      </c>
      <c r="AN204" s="137">
        <v>0.29060000000000002</v>
      </c>
      <c r="AO204" s="137">
        <v>0.34429999999999999</v>
      </c>
      <c r="AR204" s="137">
        <v>8.3000000000000004E-2</v>
      </c>
      <c r="AT204" s="137">
        <v>0.19439999999999999</v>
      </c>
      <c r="AV204" s="137">
        <v>0.25290000000000001</v>
      </c>
      <c r="AW204" s="137">
        <v>0.30220000000000002</v>
      </c>
      <c r="AX204" s="137">
        <v>0.35720000000000002</v>
      </c>
    </row>
    <row r="205" spans="1:50" s="79" customFormat="1" ht="10.199999999999999" x14ac:dyDescent="0.2">
      <c r="A205" s="97">
        <f t="shared" ca="1" si="6"/>
        <v>194</v>
      </c>
      <c r="B205" s="68" t="s">
        <v>282</v>
      </c>
      <c r="C205" s="98">
        <v>0.4</v>
      </c>
      <c r="D205" s="69" t="s">
        <v>67</v>
      </c>
      <c r="E205" s="138" t="s">
        <v>87</v>
      </c>
      <c r="F205" s="159" t="s">
        <v>87</v>
      </c>
      <c r="G205" s="159">
        <v>2.8180000000000002E-3</v>
      </c>
      <c r="H205" s="159" t="s">
        <v>87</v>
      </c>
      <c r="I205" s="159">
        <v>5.391E-3</v>
      </c>
      <c r="J205" s="159" t="s">
        <v>87</v>
      </c>
      <c r="K205" s="159">
        <v>8.8500000000000002E-3</v>
      </c>
      <c r="L205" s="159">
        <v>1.0579E-2</v>
      </c>
      <c r="M205" s="159">
        <v>1.2817E-2</v>
      </c>
      <c r="N205" s="139">
        <f t="array" aca="1" ref="N205:AE205" ca="1">IF(OR(B205="",NOT($J$2)),"",GetStripDefaultProbability(A205,B205,Parameter_Date,CDSRollDate,E205:M205,SpreadCurveMaturities,D205,C205,$J$4,$J$6))</f>
        <v>0</v>
      </c>
      <c r="O205" s="166">
        <f ca="1"/>
        <v>0</v>
      </c>
      <c r="P205" s="166">
        <f ca="1"/>
        <v>4.9618444950211282E-3</v>
      </c>
      <c r="Q205" s="166">
        <f ca="1"/>
        <v>0</v>
      </c>
      <c r="R205" s="166">
        <f ca="1"/>
        <v>2.7810432893727199E-2</v>
      </c>
      <c r="S205" s="166">
        <f ca="1"/>
        <v>0</v>
      </c>
      <c r="T205" s="166">
        <f ca="1"/>
        <v>7.6005191845572306E-2</v>
      </c>
      <c r="U205" s="166">
        <f ca="1"/>
        <v>0.1247806246959523</v>
      </c>
      <c r="V205" s="140">
        <f ca="1"/>
        <v>0.21228360025635462</v>
      </c>
      <c r="W205" s="139">
        <f ca="1"/>
        <v>0</v>
      </c>
      <c r="X205" s="166">
        <f ca="1"/>
        <v>0</v>
      </c>
      <c r="Y205" s="166">
        <f ca="1"/>
        <v>5.1954851874949082E-3</v>
      </c>
      <c r="Z205" s="166">
        <f ca="1"/>
        <v>0</v>
      </c>
      <c r="AA205" s="166">
        <f ca="1"/>
        <v>2.9187723015881128E-2</v>
      </c>
      <c r="AB205" s="166">
        <f ca="1"/>
        <v>0</v>
      </c>
      <c r="AC205" s="166">
        <f ca="1"/>
        <v>7.9704335893877154E-2</v>
      </c>
      <c r="AD205" s="166">
        <f ca="1"/>
        <v>0.13071522027038007</v>
      </c>
      <c r="AE205" s="140">
        <f ca="1"/>
        <v>0.22198935203894465</v>
      </c>
      <c r="AI205" s="137">
        <v>4.8999999999999998E-3</v>
      </c>
      <c r="AK205" s="137">
        <v>2.75E-2</v>
      </c>
      <c r="AM205" s="137">
        <v>7.5300000000000006E-2</v>
      </c>
      <c r="AN205" s="137">
        <v>0.1242</v>
      </c>
      <c r="AO205" s="137">
        <v>0.21060000000000001</v>
      </c>
      <c r="AR205" s="137">
        <v>5.1000000000000004E-3</v>
      </c>
      <c r="AT205" s="137">
        <v>2.8799999999999999E-2</v>
      </c>
      <c r="AV205" s="137">
        <v>7.8899999999999998E-2</v>
      </c>
      <c r="AW205" s="137">
        <v>0.13009999999999999</v>
      </c>
      <c r="AX205" s="137">
        <v>0.22020000000000001</v>
      </c>
    </row>
    <row r="206" spans="1:50" s="79" customFormat="1" ht="10.199999999999999" x14ac:dyDescent="0.2">
      <c r="A206" s="97">
        <f t="shared" ca="1" si="6"/>
        <v>195</v>
      </c>
      <c r="B206" s="68" t="s">
        <v>283</v>
      </c>
      <c r="C206" s="98">
        <v>0.4</v>
      </c>
      <c r="D206" s="69" t="s">
        <v>67</v>
      </c>
      <c r="E206" s="138" t="s">
        <v>87</v>
      </c>
      <c r="F206" s="159" t="s">
        <v>87</v>
      </c>
      <c r="G206" s="159">
        <v>6.6639999999999998E-3</v>
      </c>
      <c r="H206" s="159" t="s">
        <v>87</v>
      </c>
      <c r="I206" s="159">
        <v>1.1985000000000001E-2</v>
      </c>
      <c r="J206" s="159" t="s">
        <v>87</v>
      </c>
      <c r="K206" s="159">
        <v>1.7659999999999999E-2</v>
      </c>
      <c r="L206" s="159">
        <v>1.9762999999999999E-2</v>
      </c>
      <c r="M206" s="159">
        <v>2.2307E-2</v>
      </c>
      <c r="N206" s="139">
        <f t="array" aca="1" ref="N206:AE206" ca="1">IF(OR(B206="",NOT($J$2)),"",GetStripDefaultProbability(A206,B206,Parameter_Date,CDSRollDate,E206:M206,SpreadCurveMaturities,D206,C206,$J$4,$J$6))</f>
        <v>0</v>
      </c>
      <c r="O206" s="166">
        <f ca="1"/>
        <v>0</v>
      </c>
      <c r="P206" s="166">
        <f ca="1"/>
        <v>1.1694435948380155E-2</v>
      </c>
      <c r="Q206" s="166">
        <f ca="1"/>
        <v>0</v>
      </c>
      <c r="R206" s="166">
        <f ca="1"/>
        <v>6.094667446761326E-2</v>
      </c>
      <c r="S206" s="166">
        <f ca="1"/>
        <v>0</v>
      </c>
      <c r="T206" s="166">
        <f ca="1"/>
        <v>0.14645892124886506</v>
      </c>
      <c r="U206" s="166">
        <f ca="1"/>
        <v>0.22026233101097681</v>
      </c>
      <c r="V206" s="140">
        <f ca="1"/>
        <v>0.33843144605275743</v>
      </c>
      <c r="W206" s="139">
        <f ca="1"/>
        <v>0</v>
      </c>
      <c r="X206" s="166">
        <f ca="1"/>
        <v>0</v>
      </c>
      <c r="Y206" s="166">
        <f ca="1"/>
        <v>1.2274857433310471E-2</v>
      </c>
      <c r="Z206" s="166">
        <f ca="1"/>
        <v>0</v>
      </c>
      <c r="AA206" s="166">
        <f ca="1"/>
        <v>6.3919376244328419E-2</v>
      </c>
      <c r="AB206" s="166">
        <f ca="1"/>
        <v>0</v>
      </c>
      <c r="AC206" s="166">
        <f ca="1"/>
        <v>0.15336474041484272</v>
      </c>
      <c r="AD206" s="166">
        <f ca="1"/>
        <v>0.23020636516177151</v>
      </c>
      <c r="AE206" s="140">
        <f ca="1"/>
        <v>0.35269269472067455</v>
      </c>
      <c r="AI206" s="137">
        <v>1.15E-2</v>
      </c>
      <c r="AK206" s="137">
        <v>6.0199999999999997E-2</v>
      </c>
      <c r="AM206" s="137">
        <v>0.14510000000000001</v>
      </c>
      <c r="AN206" s="137">
        <v>0.21929999999999999</v>
      </c>
      <c r="AO206" s="137">
        <v>0.33589999999999998</v>
      </c>
      <c r="AR206" s="137">
        <v>1.21E-2</v>
      </c>
      <c r="AT206" s="137">
        <v>6.3100000000000003E-2</v>
      </c>
      <c r="AV206" s="137">
        <v>0.15190000000000001</v>
      </c>
      <c r="AW206" s="137">
        <v>0.22919999999999999</v>
      </c>
      <c r="AX206" s="137">
        <v>0.35</v>
      </c>
    </row>
    <row r="207" spans="1:50" s="79" customFormat="1" ht="10.199999999999999" x14ac:dyDescent="0.2">
      <c r="A207" s="97">
        <f t="shared" ca="1" si="6"/>
        <v>196</v>
      </c>
      <c r="B207" s="68" t="s">
        <v>284</v>
      </c>
      <c r="C207" s="98">
        <v>0.4</v>
      </c>
      <c r="D207" s="69" t="s">
        <v>67</v>
      </c>
      <c r="E207" s="138" t="s">
        <v>87</v>
      </c>
      <c r="F207" s="159" t="s">
        <v>87</v>
      </c>
      <c r="G207" s="159">
        <v>4.7100000000000001E-4</v>
      </c>
      <c r="H207" s="159" t="s">
        <v>87</v>
      </c>
      <c r="I207" s="159">
        <v>1.882E-3</v>
      </c>
      <c r="J207" s="159" t="s">
        <v>87</v>
      </c>
      <c r="K207" s="159">
        <v>2.5569999999999998E-3</v>
      </c>
      <c r="L207" s="159">
        <v>3.4259999999999998E-3</v>
      </c>
      <c r="M207" s="159">
        <v>4.3909999999999999E-3</v>
      </c>
      <c r="N207" s="139">
        <f t="array" aca="1" ref="N207:AE207" ca="1">IF(OR(B207="",NOT($J$2)),"",GetStripDefaultProbability(A207,B207,Parameter_Date,CDSRollDate,E207:M207,SpreadCurveMaturities,D207,C207,$J$4,$J$6))</f>
        <v>0</v>
      </c>
      <c r="O207" s="166">
        <f ca="1"/>
        <v>0</v>
      </c>
      <c r="P207" s="166">
        <f ca="1"/>
        <v>8.3102700100812221E-4</v>
      </c>
      <c r="Q207" s="166">
        <f ca="1"/>
        <v>0</v>
      </c>
      <c r="R207" s="166">
        <f ca="1"/>
        <v>9.8784632031434505E-3</v>
      </c>
      <c r="S207" s="166">
        <f ca="1"/>
        <v>0</v>
      </c>
      <c r="T207" s="166">
        <f ca="1"/>
        <v>2.2168695365227142E-2</v>
      </c>
      <c r="U207" s="166">
        <f ca="1"/>
        <v>4.2164263177609129E-2</v>
      </c>
      <c r="V207" s="140">
        <f ca="1"/>
        <v>7.743693011729369E-2</v>
      </c>
      <c r="W207" s="139">
        <f ca="1"/>
        <v>0</v>
      </c>
      <c r="X207" s="166">
        <f ca="1"/>
        <v>0</v>
      </c>
      <c r="Y207" s="166">
        <f ca="1"/>
        <v>9.9754128658857688E-4</v>
      </c>
      <c r="Z207" s="166">
        <f ca="1"/>
        <v>0</v>
      </c>
      <c r="AA207" s="166">
        <f ca="1"/>
        <v>1.0387548484703246E-2</v>
      </c>
      <c r="AB207" s="166">
        <f ca="1"/>
        <v>0</v>
      </c>
      <c r="AC207" s="166">
        <f ca="1"/>
        <v>2.3255500904737381E-2</v>
      </c>
      <c r="AD207" s="166">
        <f ca="1"/>
        <v>4.4224406861675725E-2</v>
      </c>
      <c r="AE207" s="140">
        <f ca="1"/>
        <v>8.1189527711060805E-2</v>
      </c>
      <c r="AI207" s="137">
        <v>8.0000000000000004E-4</v>
      </c>
      <c r="AK207" s="137">
        <v>9.7000000000000003E-3</v>
      </c>
      <c r="AM207" s="137">
        <v>2.1999999999999999E-2</v>
      </c>
      <c r="AN207" s="137">
        <v>4.1799999999999997E-2</v>
      </c>
      <c r="AO207" s="137">
        <v>7.7200000000000005E-2</v>
      </c>
      <c r="AR207" s="137">
        <v>1E-3</v>
      </c>
      <c r="AT207" s="137">
        <v>1.0200000000000001E-2</v>
      </c>
      <c r="AV207" s="137">
        <v>2.3099999999999999E-2</v>
      </c>
      <c r="AW207" s="137">
        <v>4.3900000000000002E-2</v>
      </c>
      <c r="AX207" s="137">
        <v>8.1000000000000003E-2</v>
      </c>
    </row>
    <row r="208" spans="1:50" s="79" customFormat="1" ht="10.199999999999999" x14ac:dyDescent="0.2">
      <c r="A208" s="97">
        <f t="shared" ca="1" si="6"/>
        <v>197</v>
      </c>
      <c r="B208" s="68" t="s">
        <v>285</v>
      </c>
      <c r="C208" s="98">
        <v>0.4</v>
      </c>
      <c r="D208" s="69" t="s">
        <v>67</v>
      </c>
      <c r="E208" s="138" t="s">
        <v>87</v>
      </c>
      <c r="F208" s="159" t="s">
        <v>87</v>
      </c>
      <c r="G208" s="159">
        <v>1.122E-3</v>
      </c>
      <c r="H208" s="159" t="s">
        <v>87</v>
      </c>
      <c r="I208" s="159">
        <v>1.936E-3</v>
      </c>
      <c r="J208" s="159" t="s">
        <v>87</v>
      </c>
      <c r="K208" s="159">
        <v>2.9919999999999999E-3</v>
      </c>
      <c r="L208" s="159">
        <v>3.9589999999999998E-3</v>
      </c>
      <c r="M208" s="159">
        <v>5.1029999999999999E-3</v>
      </c>
      <c r="N208" s="139">
        <f t="array" aca="1" ref="N208:AE208" ca="1">IF(OR(B208="",NOT($J$2)),"",GetStripDefaultProbability(A208,B208,Parameter_Date,CDSRollDate,E208:M208,SpreadCurveMaturities,D208,C208,$J$4,$J$6))</f>
        <v>0</v>
      </c>
      <c r="O208" s="166">
        <f ca="1"/>
        <v>0</v>
      </c>
      <c r="P208" s="166">
        <f ca="1"/>
        <v>1.9785155293668977E-3</v>
      </c>
      <c r="Q208" s="166">
        <f ca="1"/>
        <v>0</v>
      </c>
      <c r="R208" s="166">
        <f ca="1"/>
        <v>1.0021761054482936E-2</v>
      </c>
      <c r="S208" s="166">
        <f ca="1"/>
        <v>0</v>
      </c>
      <c r="T208" s="166">
        <f ca="1"/>
        <v>2.6036147514615804E-2</v>
      </c>
      <c r="U208" s="166">
        <f ca="1"/>
        <v>4.8555117623423238E-2</v>
      </c>
      <c r="V208" s="140">
        <f ca="1"/>
        <v>8.9914517554110507E-2</v>
      </c>
      <c r="W208" s="139">
        <f ca="1"/>
        <v>0</v>
      </c>
      <c r="X208" s="166">
        <f ca="1"/>
        <v>0</v>
      </c>
      <c r="Y208" s="166">
        <f ca="1"/>
        <v>2.1448385828206629E-3</v>
      </c>
      <c r="Z208" s="166">
        <f ca="1"/>
        <v>0</v>
      </c>
      <c r="AA208" s="166">
        <f ca="1"/>
        <v>1.0530199676230922E-2</v>
      </c>
      <c r="AB208" s="166">
        <f ca="1"/>
        <v>0</v>
      </c>
      <c r="AC208" s="166">
        <f ca="1"/>
        <v>2.7318576509050563E-2</v>
      </c>
      <c r="AD208" s="166">
        <f ca="1"/>
        <v>5.0931017807288814E-2</v>
      </c>
      <c r="AE208" s="140">
        <f ca="1"/>
        <v>9.425890696793926E-2</v>
      </c>
      <c r="AI208" s="137">
        <v>2E-3</v>
      </c>
      <c r="AK208" s="137">
        <v>9.9000000000000008E-3</v>
      </c>
      <c r="AM208" s="137">
        <v>2.58E-2</v>
      </c>
      <c r="AN208" s="137">
        <v>4.8300000000000003E-2</v>
      </c>
      <c r="AO208" s="137">
        <v>8.9399999999999993E-2</v>
      </c>
      <c r="AR208" s="137">
        <v>2.0999999999999999E-3</v>
      </c>
      <c r="AT208" s="137">
        <v>1.04E-2</v>
      </c>
      <c r="AV208" s="137">
        <v>2.7099999999999999E-2</v>
      </c>
      <c r="AW208" s="137">
        <v>5.0599999999999999E-2</v>
      </c>
      <c r="AX208" s="137">
        <v>9.3799999999999994E-2</v>
      </c>
    </row>
    <row r="209" spans="1:50" s="79" customFormat="1" ht="10.199999999999999" x14ac:dyDescent="0.2">
      <c r="A209" s="97">
        <f t="shared" ca="1" si="6"/>
        <v>198</v>
      </c>
      <c r="B209" s="68" t="s">
        <v>286</v>
      </c>
      <c r="C209" s="98">
        <v>0.4</v>
      </c>
      <c r="D209" s="69" t="s">
        <v>67</v>
      </c>
      <c r="E209" s="138" t="s">
        <v>87</v>
      </c>
      <c r="F209" s="159" t="s">
        <v>87</v>
      </c>
      <c r="G209" s="159">
        <v>3.9202000000000001E-2</v>
      </c>
      <c r="H209" s="159" t="s">
        <v>87</v>
      </c>
      <c r="I209" s="159">
        <v>3.9371999999999997E-2</v>
      </c>
      <c r="J209" s="159" t="s">
        <v>87</v>
      </c>
      <c r="K209" s="159">
        <v>3.4451000000000002E-2</v>
      </c>
      <c r="L209" s="159">
        <v>3.1989999999999998E-2</v>
      </c>
      <c r="M209" s="159">
        <v>3.0020999999999999E-2</v>
      </c>
      <c r="N209" s="139">
        <f t="array" aca="1" ref="N209:AE209" ca="1">IF(OR(B209="",NOT($J$2)),"",GetStripDefaultProbability(A209,B209,Parameter_Date,CDSRollDate,E209:M209,SpreadCurveMaturities,D209,C209,$J$4,$J$6))</f>
        <v>0</v>
      </c>
      <c r="O209" s="166">
        <f ca="1"/>
        <v>0</v>
      </c>
      <c r="P209" s="166">
        <f ca="1"/>
        <v>6.6854582420428299E-2</v>
      </c>
      <c r="Q209" s="166">
        <f ca="1"/>
        <v>0</v>
      </c>
      <c r="R209" s="166">
        <f ca="1"/>
        <v>0.1826588733188943</v>
      </c>
      <c r="S209" s="166">
        <f ca="1"/>
        <v>0</v>
      </c>
      <c r="T209" s="166">
        <f ca="1"/>
        <v>0.2465094205906907</v>
      </c>
      <c r="U209" s="166">
        <f ca="1"/>
        <v>0.30376224280324804</v>
      </c>
      <c r="V209" s="140">
        <f ca="1"/>
        <v>0.3768406931249928</v>
      </c>
      <c r="W209" s="139">
        <f ca="1"/>
        <v>0</v>
      </c>
      <c r="X209" s="166">
        <f ca="1"/>
        <v>0</v>
      </c>
      <c r="Y209" s="166">
        <f ca="1"/>
        <v>7.0077333399916508E-2</v>
      </c>
      <c r="Z209" s="166">
        <f ca="1"/>
        <v>0</v>
      </c>
      <c r="AA209" s="166">
        <f ca="1"/>
        <v>0.19086255557276666</v>
      </c>
      <c r="AB209" s="166">
        <f ca="1"/>
        <v>0</v>
      </c>
      <c r="AC209" s="166">
        <f ca="1"/>
        <v>0.2568750370855577</v>
      </c>
      <c r="AD209" s="166">
        <f ca="1"/>
        <v>0.31589839778336759</v>
      </c>
      <c r="AE209" s="140">
        <f ca="1"/>
        <v>0.39076925815812624</v>
      </c>
      <c r="AI209" s="137">
        <v>6.6000000000000003E-2</v>
      </c>
      <c r="AK209" s="137">
        <v>0.18190000000000001</v>
      </c>
      <c r="AM209" s="137">
        <v>0.24709999999999999</v>
      </c>
      <c r="AN209" s="137">
        <v>0.30349999999999999</v>
      </c>
      <c r="AO209" s="137">
        <v>0.37819999999999998</v>
      </c>
      <c r="AR209" s="137">
        <v>6.9199999999999998E-2</v>
      </c>
      <c r="AT209" s="137">
        <v>0.19009999999999999</v>
      </c>
      <c r="AV209" s="137">
        <v>0.2576</v>
      </c>
      <c r="AW209" s="137">
        <v>0.31569999999999998</v>
      </c>
      <c r="AX209" s="137">
        <v>0.39219999999999999</v>
      </c>
    </row>
    <row r="210" spans="1:50" s="79" customFormat="1" ht="10.199999999999999" x14ac:dyDescent="0.2">
      <c r="A210" s="97">
        <f t="shared" ca="1" si="6"/>
        <v>199</v>
      </c>
      <c r="B210" s="68" t="s">
        <v>287</v>
      </c>
      <c r="C210" s="98">
        <v>0.4</v>
      </c>
      <c r="D210" s="69" t="s">
        <v>67</v>
      </c>
      <c r="E210" s="138" t="s">
        <v>87</v>
      </c>
      <c r="F210" s="159" t="s">
        <v>87</v>
      </c>
      <c r="G210" s="159">
        <v>4.2750000000000002E-3</v>
      </c>
      <c r="H210" s="159" t="s">
        <v>87</v>
      </c>
      <c r="I210" s="159">
        <v>7.5789999999999998E-3</v>
      </c>
      <c r="J210" s="159" t="s">
        <v>87</v>
      </c>
      <c r="K210" s="159">
        <v>1.1918E-2</v>
      </c>
      <c r="L210" s="159">
        <v>1.4062E-2</v>
      </c>
      <c r="M210" s="159">
        <v>1.6954E-2</v>
      </c>
      <c r="N210" s="139">
        <f t="array" aca="1" ref="N210:AE210" ca="1">IF(OR(B210="",NOT($J$2)),"",GetStripDefaultProbability(A210,B210,Parameter_Date,CDSRollDate,E210:M210,SpreadCurveMaturities,D210,C210,$J$4,$J$6))</f>
        <v>0</v>
      </c>
      <c r="O210" s="166">
        <f ca="1"/>
        <v>0</v>
      </c>
      <c r="P210" s="166">
        <f ca="1"/>
        <v>7.5177072807636192E-3</v>
      </c>
      <c r="Q210" s="166">
        <f ca="1"/>
        <v>0</v>
      </c>
      <c r="R210" s="166">
        <f ca="1"/>
        <v>3.8859284030146712E-2</v>
      </c>
      <c r="S210" s="166">
        <f ca="1"/>
        <v>0</v>
      </c>
      <c r="T210" s="166">
        <f ca="1"/>
        <v>0.10109208984940754</v>
      </c>
      <c r="U210" s="166">
        <f ca="1"/>
        <v>0.1627123493367405</v>
      </c>
      <c r="V210" s="140">
        <f ca="1"/>
        <v>0.27262618122277549</v>
      </c>
      <c r="W210" s="139">
        <f ca="1"/>
        <v>0</v>
      </c>
      <c r="X210" s="166">
        <f ca="1"/>
        <v>0</v>
      </c>
      <c r="Y210" s="166">
        <f ca="1"/>
        <v>7.8918393133506903E-3</v>
      </c>
      <c r="Z210" s="166">
        <f ca="1"/>
        <v>0</v>
      </c>
      <c r="AA210" s="166">
        <f ca="1"/>
        <v>4.0771940866839218E-2</v>
      </c>
      <c r="AB210" s="166">
        <f ca="1"/>
        <v>0</v>
      </c>
      <c r="AC210" s="166">
        <f ca="1"/>
        <v>0.10595835884217841</v>
      </c>
      <c r="AD210" s="166">
        <f ca="1"/>
        <v>0.17030940085849078</v>
      </c>
      <c r="AE210" s="140">
        <f ca="1"/>
        <v>0.28470899788762916</v>
      </c>
      <c r="AI210" s="137">
        <v>7.4000000000000003E-3</v>
      </c>
      <c r="AK210" s="137">
        <v>3.8399999999999997E-2</v>
      </c>
      <c r="AM210" s="137">
        <v>0.10009999999999999</v>
      </c>
      <c r="AN210" s="137">
        <v>0.16189999999999999</v>
      </c>
      <c r="AO210" s="137">
        <v>0.27039999999999997</v>
      </c>
      <c r="AR210" s="137">
        <v>7.7999999999999996E-3</v>
      </c>
      <c r="AT210" s="137">
        <v>4.0300000000000002E-2</v>
      </c>
      <c r="AV210" s="137">
        <v>0.10489999999999999</v>
      </c>
      <c r="AW210" s="137">
        <v>0.1694</v>
      </c>
      <c r="AX210" s="137">
        <v>0.2823</v>
      </c>
    </row>
    <row r="211" spans="1:50" s="79" customFormat="1" ht="10.199999999999999" x14ac:dyDescent="0.2">
      <c r="A211" s="97">
        <f t="shared" ca="1" si="6"/>
        <v>200</v>
      </c>
      <c r="B211" s="68" t="s">
        <v>288</v>
      </c>
      <c r="C211" s="98">
        <v>0.4</v>
      </c>
      <c r="D211" s="69" t="s">
        <v>67</v>
      </c>
      <c r="E211" s="138" t="s">
        <v>87</v>
      </c>
      <c r="F211" s="159" t="s">
        <v>87</v>
      </c>
      <c r="G211" s="159">
        <v>3.6250000000000002E-3</v>
      </c>
      <c r="H211" s="159" t="s">
        <v>87</v>
      </c>
      <c r="I211" s="159">
        <v>7.8189999999999996E-3</v>
      </c>
      <c r="J211" s="159" t="s">
        <v>87</v>
      </c>
      <c r="K211" s="159">
        <v>1.2063000000000001E-2</v>
      </c>
      <c r="L211" s="159">
        <v>1.3636000000000001E-2</v>
      </c>
      <c r="M211" s="159">
        <v>1.5828999999999999E-2</v>
      </c>
      <c r="N211" s="139">
        <f t="array" aca="1" ref="N211:AE211" ca="1">IF(OR(B211="",NOT($J$2)),"",GetStripDefaultProbability(A211,B211,Parameter_Date,CDSRollDate,E211:M211,SpreadCurveMaturities,D211,C211,$J$4,$J$6))</f>
        <v>0</v>
      </c>
      <c r="O211" s="166">
        <f ca="1"/>
        <v>0</v>
      </c>
      <c r="P211" s="166">
        <f ca="1"/>
        <v>6.3782841513512212E-3</v>
      </c>
      <c r="Q211" s="166">
        <f ca="1"/>
        <v>0</v>
      </c>
      <c r="R211" s="166">
        <f ca="1"/>
        <v>4.0261089514206039E-2</v>
      </c>
      <c r="S211" s="166">
        <f ca="1"/>
        <v>0</v>
      </c>
      <c r="T211" s="166">
        <f ca="1"/>
        <v>0.10225112058194807</v>
      </c>
      <c r="U211" s="166">
        <f ca="1"/>
        <v>0.15710799272751097</v>
      </c>
      <c r="V211" s="140">
        <f ca="1"/>
        <v>0.2533953664093973</v>
      </c>
      <c r="W211" s="139">
        <f ca="1"/>
        <v>0</v>
      </c>
      <c r="X211" s="166">
        <f ca="1"/>
        <v>0</v>
      </c>
      <c r="Y211" s="166">
        <f ca="1"/>
        <v>6.6959410840220501E-3</v>
      </c>
      <c r="Z211" s="166">
        <f ca="1"/>
        <v>0</v>
      </c>
      <c r="AA211" s="166">
        <f ca="1"/>
        <v>4.2243928748625703E-2</v>
      </c>
      <c r="AB211" s="166">
        <f ca="1"/>
        <v>0</v>
      </c>
      <c r="AC211" s="166">
        <f ca="1"/>
        <v>0.10717107859334962</v>
      </c>
      <c r="AD211" s="166">
        <f ca="1"/>
        <v>0.16444370767318695</v>
      </c>
      <c r="AE211" s="140">
        <f ca="1"/>
        <v>0.26467258005377703</v>
      </c>
      <c r="AI211" s="137">
        <v>6.3E-3</v>
      </c>
      <c r="AK211" s="137">
        <v>3.9699999999999999E-2</v>
      </c>
      <c r="AM211" s="137">
        <v>0.1013</v>
      </c>
      <c r="AN211" s="137">
        <v>0.15640000000000001</v>
      </c>
      <c r="AO211" s="137">
        <v>0.25140000000000001</v>
      </c>
      <c r="AR211" s="137">
        <v>6.6E-3</v>
      </c>
      <c r="AT211" s="137">
        <v>4.1700000000000001E-2</v>
      </c>
      <c r="AV211" s="137">
        <v>0.1062</v>
      </c>
      <c r="AW211" s="137">
        <v>0.16370000000000001</v>
      </c>
      <c r="AX211" s="137">
        <v>0.2626</v>
      </c>
    </row>
    <row r="212" spans="1:50" s="79" customFormat="1" ht="10.199999999999999" x14ac:dyDescent="0.2">
      <c r="A212" s="97">
        <f t="shared" ca="1" si="6"/>
        <v>201</v>
      </c>
      <c r="B212" s="68" t="s">
        <v>289</v>
      </c>
      <c r="C212" s="98">
        <v>0.4</v>
      </c>
      <c r="D212" s="69" t="s">
        <v>67</v>
      </c>
      <c r="E212" s="138" t="s">
        <v>87</v>
      </c>
      <c r="F212" s="159" t="s">
        <v>87</v>
      </c>
      <c r="G212" s="159">
        <v>6.7599999999999995E-4</v>
      </c>
      <c r="H212" s="159" t="s">
        <v>87</v>
      </c>
      <c r="I212" s="159">
        <v>1.158E-3</v>
      </c>
      <c r="J212" s="159" t="s">
        <v>87</v>
      </c>
      <c r="K212" s="159">
        <v>1.9300000000000001E-3</v>
      </c>
      <c r="L212" s="159">
        <v>2.4610000000000001E-3</v>
      </c>
      <c r="M212" s="159">
        <v>3.571E-3</v>
      </c>
      <c r="N212" s="139">
        <f t="array" aca="1" ref="N212:AE212" ca="1">IF(OR(B212="",NOT($J$2)),"",GetStripDefaultProbability(A212,B212,Parameter_Date,CDSRollDate,E212:M212,SpreadCurveMaturities,D212,C212,$J$4,$J$6))</f>
        <v>0</v>
      </c>
      <c r="O212" s="166">
        <f ca="1"/>
        <v>0</v>
      </c>
      <c r="P212" s="166">
        <f ca="1"/>
        <v>1.1925124789798902E-3</v>
      </c>
      <c r="Q212" s="166">
        <f ca="1"/>
        <v>0</v>
      </c>
      <c r="R212" s="166">
        <f ca="1"/>
        <v>6.0049952099184845E-3</v>
      </c>
      <c r="S212" s="166">
        <f ca="1"/>
        <v>0</v>
      </c>
      <c r="T212" s="166">
        <f ca="1"/>
        <v>1.6917038617712099E-2</v>
      </c>
      <c r="U212" s="166">
        <f ca="1"/>
        <v>3.0292343375496689E-2</v>
      </c>
      <c r="V212" s="140">
        <f ca="1"/>
        <v>6.4740589000500837E-2</v>
      </c>
      <c r="W212" s="139">
        <f ca="1"/>
        <v>0</v>
      </c>
      <c r="X212" s="166">
        <f ca="1"/>
        <v>0</v>
      </c>
      <c r="Y212" s="166">
        <f ca="1"/>
        <v>1.3589665219959635E-3</v>
      </c>
      <c r="Z212" s="166">
        <f ca="1"/>
        <v>0</v>
      </c>
      <c r="AA212" s="166">
        <f ca="1"/>
        <v>6.5152675004935823E-3</v>
      </c>
      <c r="AB212" s="166">
        <f ca="1"/>
        <v>0</v>
      </c>
      <c r="AC212" s="166">
        <f ca="1"/>
        <v>1.7753515642965456E-2</v>
      </c>
      <c r="AD212" s="166">
        <f ca="1"/>
        <v>3.175827054886915E-2</v>
      </c>
      <c r="AE212" s="140">
        <f ca="1"/>
        <v>6.7863102950717069E-2</v>
      </c>
      <c r="AI212" s="137">
        <v>1.1999999999999999E-3</v>
      </c>
      <c r="AK212" s="137">
        <v>5.8999999999999999E-3</v>
      </c>
      <c r="AM212" s="137">
        <v>1.6799999999999999E-2</v>
      </c>
      <c r="AN212" s="137">
        <v>3.0099999999999998E-2</v>
      </c>
      <c r="AO212" s="137">
        <v>6.4100000000000004E-2</v>
      </c>
      <c r="AR212" s="137">
        <v>1.2999999999999999E-3</v>
      </c>
      <c r="AT212" s="137">
        <v>6.4000000000000003E-3</v>
      </c>
      <c r="AV212" s="137">
        <v>1.7600000000000001E-2</v>
      </c>
      <c r="AW212" s="137">
        <v>3.1600000000000003E-2</v>
      </c>
      <c r="AX212" s="137">
        <v>6.7199999999999996E-2</v>
      </c>
    </row>
    <row r="213" spans="1:50" s="79" customFormat="1" ht="10.199999999999999" x14ac:dyDescent="0.2">
      <c r="A213" s="97">
        <f t="shared" ca="1" si="6"/>
        <v>202</v>
      </c>
      <c r="B213" s="68" t="s">
        <v>290</v>
      </c>
      <c r="C213" s="98">
        <v>0.4</v>
      </c>
      <c r="D213" s="69" t="s">
        <v>67</v>
      </c>
      <c r="E213" s="138" t="s">
        <v>87</v>
      </c>
      <c r="F213" s="159" t="s">
        <v>87</v>
      </c>
      <c r="G213" s="159">
        <v>5.1699999999999999E-4</v>
      </c>
      <c r="H213" s="159" t="s">
        <v>87</v>
      </c>
      <c r="I213" s="159">
        <v>1.0820000000000001E-3</v>
      </c>
      <c r="J213" s="159" t="s">
        <v>87</v>
      </c>
      <c r="K213" s="159">
        <v>1.882E-3</v>
      </c>
      <c r="L213" s="159">
        <v>2.1879999999999998E-3</v>
      </c>
      <c r="M213" s="159">
        <v>2.7569999999999999E-3</v>
      </c>
      <c r="N213" s="139">
        <f t="array" aca="1" ref="N213:AE213" ca="1">IF(OR(B213="",NOT($J$2)),"",GetStripDefaultProbability(A213,B213,Parameter_Date,CDSRollDate,E213:M213,SpreadCurveMaturities,D213,C213,$J$4,$J$6))</f>
        <v>0</v>
      </c>
      <c r="O213" s="166">
        <f ca="1"/>
        <v>0</v>
      </c>
      <c r="P213" s="166">
        <f ca="1"/>
        <v>9.1215211408490759E-4</v>
      </c>
      <c r="Q213" s="166">
        <f ca="1"/>
        <v>0</v>
      </c>
      <c r="R213" s="166">
        <f ca="1"/>
        <v>5.633076247437363E-3</v>
      </c>
      <c r="S213" s="166">
        <f ca="1"/>
        <v>0</v>
      </c>
      <c r="T213" s="166">
        <f ca="1"/>
        <v>1.6548646994393734E-2</v>
      </c>
      <c r="U213" s="166">
        <f ca="1"/>
        <v>2.6746464733062525E-2</v>
      </c>
      <c r="V213" s="140">
        <f ca="1"/>
        <v>4.9074488000093619E-2</v>
      </c>
      <c r="W213" s="139">
        <f ca="1"/>
        <v>0</v>
      </c>
      <c r="X213" s="166">
        <f ca="1"/>
        <v>0</v>
      </c>
      <c r="Y213" s="166">
        <f ca="1"/>
        <v>1.0786528799665573E-3</v>
      </c>
      <c r="Z213" s="166">
        <f ca="1"/>
        <v>0</v>
      </c>
      <c r="AA213" s="166">
        <f ca="1"/>
        <v>6.1435852661078094E-3</v>
      </c>
      <c r="AB213" s="166">
        <f ca="1"/>
        <v>0</v>
      </c>
      <c r="AC213" s="166">
        <f ca="1"/>
        <v>1.7385513809221709E-2</v>
      </c>
      <c r="AD213" s="166">
        <f ca="1"/>
        <v>2.8029688891371474E-2</v>
      </c>
      <c r="AE213" s="140">
        <f ca="1"/>
        <v>5.1434696943946867E-2</v>
      </c>
      <c r="AI213" s="137">
        <v>8.9999999999999998E-4</v>
      </c>
      <c r="AK213" s="137">
        <v>5.5999999999999999E-3</v>
      </c>
      <c r="AM213" s="137">
        <v>1.6400000000000001E-2</v>
      </c>
      <c r="AN213" s="137">
        <v>2.6599999999999999E-2</v>
      </c>
      <c r="AO213" s="137">
        <v>4.87E-2</v>
      </c>
      <c r="AR213" s="137">
        <v>1.1000000000000001E-3</v>
      </c>
      <c r="AT213" s="137">
        <v>6.1000000000000004E-3</v>
      </c>
      <c r="AV213" s="137">
        <v>1.72E-2</v>
      </c>
      <c r="AW213" s="137">
        <v>2.7900000000000001E-2</v>
      </c>
      <c r="AX213" s="137">
        <v>5.0999999999999997E-2</v>
      </c>
    </row>
    <row r="214" spans="1:50" s="79" customFormat="1" ht="10.199999999999999" x14ac:dyDescent="0.2">
      <c r="A214" s="97">
        <f t="shared" ca="1" si="6"/>
        <v>203</v>
      </c>
      <c r="B214" s="68" t="s">
        <v>291</v>
      </c>
      <c r="C214" s="98">
        <v>0.4</v>
      </c>
      <c r="D214" s="69" t="s">
        <v>67</v>
      </c>
      <c r="E214" s="138" t="s">
        <v>87</v>
      </c>
      <c r="F214" s="159" t="s">
        <v>87</v>
      </c>
      <c r="G214" s="159">
        <v>5.7200000000000003E-4</v>
      </c>
      <c r="H214" s="159" t="s">
        <v>87</v>
      </c>
      <c r="I214" s="159">
        <v>2.3140000000000001E-3</v>
      </c>
      <c r="J214" s="159" t="s">
        <v>87</v>
      </c>
      <c r="K214" s="159">
        <v>4.1009999999999996E-3</v>
      </c>
      <c r="L214" s="159">
        <v>5.7629999999999999E-3</v>
      </c>
      <c r="M214" s="159">
        <v>6.9569999999999996E-3</v>
      </c>
      <c r="N214" s="139">
        <f t="array" aca="1" ref="N214:AE214" ca="1">IF(OR(B214="",NOT($J$2)),"",GetStripDefaultProbability(A214,B214,Parameter_Date,CDSRollDate,E214:M214,SpreadCurveMaturities,D214,C214,$J$4,$J$6))</f>
        <v>0</v>
      </c>
      <c r="O214" s="166">
        <f ca="1"/>
        <v>0</v>
      </c>
      <c r="P214" s="166">
        <f ca="1"/>
        <v>1.0091409498625969E-3</v>
      </c>
      <c r="Q214" s="166">
        <f ca="1"/>
        <v>0</v>
      </c>
      <c r="R214" s="166">
        <f ca="1"/>
        <v>1.2139353098888694E-2</v>
      </c>
      <c r="S214" s="166">
        <f ca="1"/>
        <v>0</v>
      </c>
      <c r="T214" s="166">
        <f ca="1"/>
        <v>3.5930029496570204E-2</v>
      </c>
      <c r="U214" s="166">
        <f ca="1"/>
        <v>7.0970511089199939E-2</v>
      </c>
      <c r="V214" s="140">
        <f ca="1"/>
        <v>0.12032721990666739</v>
      </c>
      <c r="W214" s="139">
        <f ca="1"/>
        <v>0</v>
      </c>
      <c r="X214" s="166">
        <f ca="1"/>
        <v>0</v>
      </c>
      <c r="Y214" s="166">
        <f ca="1"/>
        <v>1.1756255522581416E-3</v>
      </c>
      <c r="Z214" s="166">
        <f ca="1"/>
        <v>0</v>
      </c>
      <c r="AA214" s="166">
        <f ca="1"/>
        <v>1.2730382562456177E-2</v>
      </c>
      <c r="AB214" s="166">
        <f ca="1"/>
        <v>0</v>
      </c>
      <c r="AC214" s="166">
        <f ca="1"/>
        <v>3.7699863119931343E-2</v>
      </c>
      <c r="AD214" s="166">
        <f ca="1"/>
        <v>7.4423280952759741E-2</v>
      </c>
      <c r="AE214" s="140">
        <f ca="1"/>
        <v>0.1260654955258691</v>
      </c>
      <c r="AI214" s="137">
        <v>1E-3</v>
      </c>
      <c r="AK214" s="137">
        <v>1.2E-2</v>
      </c>
      <c r="AM214" s="137">
        <v>3.56E-2</v>
      </c>
      <c r="AN214" s="137">
        <v>7.0499999999999993E-2</v>
      </c>
      <c r="AO214" s="137">
        <v>0.12</v>
      </c>
      <c r="AR214" s="137">
        <v>1.1999999999999999E-3</v>
      </c>
      <c r="AT214" s="137">
        <v>1.2500000000000001E-2</v>
      </c>
      <c r="AV214" s="137">
        <v>3.73E-2</v>
      </c>
      <c r="AW214" s="137">
        <v>7.3899999999999993E-2</v>
      </c>
      <c r="AX214" s="137">
        <v>0.1258</v>
      </c>
    </row>
    <row r="215" spans="1:50" s="79" customFormat="1" ht="10.199999999999999" x14ac:dyDescent="0.2">
      <c r="A215" s="97">
        <f t="shared" ca="1" si="6"/>
        <v>204</v>
      </c>
      <c r="B215" s="68" t="s">
        <v>292</v>
      </c>
      <c r="C215" s="98">
        <v>0.4</v>
      </c>
      <c r="D215" s="69" t="s">
        <v>67</v>
      </c>
      <c r="E215" s="138" t="s">
        <v>87</v>
      </c>
      <c r="F215" s="159" t="s">
        <v>87</v>
      </c>
      <c r="G215" s="159">
        <v>1.358E-3</v>
      </c>
      <c r="H215" s="159" t="s">
        <v>87</v>
      </c>
      <c r="I215" s="159">
        <v>2.5469999999999998E-3</v>
      </c>
      <c r="J215" s="159" t="s">
        <v>87</v>
      </c>
      <c r="K215" s="159">
        <v>4.5840000000000004E-3</v>
      </c>
      <c r="L215" s="159">
        <v>5.7549999999999997E-3</v>
      </c>
      <c r="M215" s="159">
        <v>8.0470000000000003E-3</v>
      </c>
      <c r="N215" s="139">
        <f t="array" aca="1" ref="N215:AE215" ca="1">IF(OR(B215="",NOT($J$2)),"",GetStripDefaultProbability(A215,B215,Parameter_Date,CDSRollDate,E215:M215,SpreadCurveMaturities,D215,C215,$J$4,$J$6))</f>
        <v>0</v>
      </c>
      <c r="O215" s="166">
        <f ca="1"/>
        <v>0</v>
      </c>
      <c r="P215" s="166">
        <f ca="1"/>
        <v>2.394179147136688E-3</v>
      </c>
      <c r="Q215" s="166">
        <f ca="1"/>
        <v>0</v>
      </c>
      <c r="R215" s="166">
        <f ca="1"/>
        <v>1.3205191749203649E-2</v>
      </c>
      <c r="S215" s="166">
        <f ca="1"/>
        <v>0</v>
      </c>
      <c r="T215" s="166">
        <f ca="1"/>
        <v>4.0046188905989322E-2</v>
      </c>
      <c r="U215" s="166">
        <f ca="1"/>
        <v>6.989845872149969E-2</v>
      </c>
      <c r="V215" s="140">
        <f ca="1"/>
        <v>0.14157509720596473</v>
      </c>
      <c r="W215" s="139">
        <f ca="1"/>
        <v>0</v>
      </c>
      <c r="X215" s="166">
        <f ca="1"/>
        <v>0</v>
      </c>
      <c r="Y215" s="166">
        <f ca="1"/>
        <v>2.5604329290928041E-3</v>
      </c>
      <c r="Z215" s="166">
        <f ca="1"/>
        <v>0</v>
      </c>
      <c r="AA215" s="166">
        <f ca="1"/>
        <v>1.3856510996283711E-2</v>
      </c>
      <c r="AB215" s="166">
        <f ca="1"/>
        <v>0</v>
      </c>
      <c r="AC215" s="166">
        <f ca="1"/>
        <v>4.2016327058744252E-2</v>
      </c>
      <c r="AD215" s="166">
        <f ca="1"/>
        <v>7.3298935916374264E-2</v>
      </c>
      <c r="AE215" s="140">
        <f ca="1"/>
        <v>0.14831104007128382</v>
      </c>
      <c r="AI215" s="137">
        <v>2.3999999999999998E-3</v>
      </c>
      <c r="AK215" s="137">
        <v>1.3100000000000001E-2</v>
      </c>
      <c r="AM215" s="137">
        <v>3.9699999999999999E-2</v>
      </c>
      <c r="AN215" s="137">
        <v>6.9599999999999995E-2</v>
      </c>
      <c r="AO215" s="137">
        <v>0.1401</v>
      </c>
      <c r="AR215" s="137">
        <v>2.5000000000000001E-3</v>
      </c>
      <c r="AT215" s="137">
        <v>1.37E-2</v>
      </c>
      <c r="AV215" s="137">
        <v>4.1599999999999998E-2</v>
      </c>
      <c r="AW215" s="137">
        <v>7.2900000000000006E-2</v>
      </c>
      <c r="AX215" s="137">
        <v>0.1467</v>
      </c>
    </row>
    <row r="216" spans="1:50" s="79" customFormat="1" ht="10.199999999999999" x14ac:dyDescent="0.2">
      <c r="A216" s="97">
        <f t="shared" ca="1" si="6"/>
        <v>205</v>
      </c>
      <c r="B216" s="68" t="s">
        <v>293</v>
      </c>
      <c r="C216" s="98">
        <v>0.4</v>
      </c>
      <c r="D216" s="69" t="s">
        <v>67</v>
      </c>
      <c r="E216" s="138" t="s">
        <v>87</v>
      </c>
      <c r="F216" s="159" t="s">
        <v>87</v>
      </c>
      <c r="G216" s="159">
        <v>2.9978999999999999E-2</v>
      </c>
      <c r="H216" s="159" t="s">
        <v>87</v>
      </c>
      <c r="I216" s="159">
        <v>2.785E-2</v>
      </c>
      <c r="J216" s="159" t="s">
        <v>87</v>
      </c>
      <c r="K216" s="159">
        <v>2.5090000000000001E-2</v>
      </c>
      <c r="L216" s="159">
        <v>2.1465999999999999E-2</v>
      </c>
      <c r="M216" s="159">
        <v>1.8398999999999999E-2</v>
      </c>
      <c r="N216" s="139">
        <f t="array" aca="1" ref="N216:AE216" ca="1">IF(OR(B216="",NOT($J$2)),"",GetStripDefaultProbability(A216,B216,Parameter_Date,CDSRollDate,E216:M216,SpreadCurveMaturities,D216,C216,$J$4,$J$6))</f>
        <v>0</v>
      </c>
      <c r="O216" s="166">
        <f ca="1"/>
        <v>0</v>
      </c>
      <c r="P216" s="166">
        <f ca="1"/>
        <v>5.1539675976937094E-2</v>
      </c>
      <c r="Q216" s="166">
        <f ca="1"/>
        <v>0</v>
      </c>
      <c r="R216" s="166">
        <f ca="1"/>
        <v>0.13215960808800664</v>
      </c>
      <c r="S216" s="166">
        <f ca="1"/>
        <v>0</v>
      </c>
      <c r="T216" s="166">
        <f ca="1"/>
        <v>0.18783495383716176</v>
      </c>
      <c r="U216" s="166">
        <f ca="1"/>
        <v>0.21211776382389724</v>
      </c>
      <c r="V216" s="140">
        <f ca="1"/>
        <v>0.24340153464901415</v>
      </c>
      <c r="W216" s="139">
        <f ca="1"/>
        <v>0</v>
      </c>
      <c r="X216" s="166">
        <f ca="1"/>
        <v>0</v>
      </c>
      <c r="Y216" s="166">
        <f ca="1"/>
        <v>5.4045710630722277E-2</v>
      </c>
      <c r="Z216" s="166">
        <f ca="1"/>
        <v>0</v>
      </c>
      <c r="AA216" s="166">
        <f ca="1"/>
        <v>0.1382670899656907</v>
      </c>
      <c r="AB216" s="166">
        <f ca="1"/>
        <v>0</v>
      </c>
      <c r="AC216" s="166">
        <f ca="1"/>
        <v>0.19613562687230879</v>
      </c>
      <c r="AD216" s="166">
        <f ca="1"/>
        <v>0.22115303478374826</v>
      </c>
      <c r="AE216" s="140">
        <f ca="1"/>
        <v>0.25337192805303721</v>
      </c>
      <c r="AI216" s="137">
        <v>5.0900000000000001E-2</v>
      </c>
      <c r="AK216" s="137">
        <v>0.13189999999999999</v>
      </c>
      <c r="AM216" s="137">
        <v>0.18790000000000001</v>
      </c>
      <c r="AN216" s="137">
        <v>0.21279999999999999</v>
      </c>
      <c r="AO216" s="137">
        <v>0.24329999999999999</v>
      </c>
      <c r="AR216" s="137">
        <v>5.3400000000000003E-2</v>
      </c>
      <c r="AT216" s="137">
        <v>0.13800000000000001</v>
      </c>
      <c r="AV216" s="137">
        <v>0.19620000000000001</v>
      </c>
      <c r="AW216" s="137">
        <v>0.2218</v>
      </c>
      <c r="AX216" s="137">
        <v>0.25330000000000003</v>
      </c>
    </row>
    <row r="217" spans="1:50" s="79" customFormat="1" ht="10.199999999999999" x14ac:dyDescent="0.2">
      <c r="A217" s="97">
        <f t="shared" ca="1" si="6"/>
        <v>206</v>
      </c>
      <c r="B217" s="68" t="s">
        <v>294</v>
      </c>
      <c r="C217" s="98">
        <v>0.4</v>
      </c>
      <c r="D217" s="69" t="s">
        <v>67</v>
      </c>
      <c r="E217" s="138" t="s">
        <v>87</v>
      </c>
      <c r="F217" s="159" t="s">
        <v>87</v>
      </c>
      <c r="G217" s="159">
        <v>1.1770000000000001E-3</v>
      </c>
      <c r="H217" s="159" t="s">
        <v>87</v>
      </c>
      <c r="I217" s="159">
        <v>1.9789999999999999E-3</v>
      </c>
      <c r="J217" s="159" t="s">
        <v>87</v>
      </c>
      <c r="K217" s="159">
        <v>2.4610000000000001E-3</v>
      </c>
      <c r="L217" s="159">
        <v>3.2100000000000002E-3</v>
      </c>
      <c r="M217" s="159">
        <v>4.0119999999999999E-3</v>
      </c>
      <c r="N217" s="139">
        <f t="array" aca="1" ref="N217:AE217" ca="1">IF(OR(B217="",NOT($J$2)),"",GetStripDefaultProbability(A217,B217,Parameter_Date,CDSRollDate,E217:M217,SpreadCurveMaturities,D217,C217,$J$4,$J$6))</f>
        <v>0</v>
      </c>
      <c r="O217" s="166">
        <f ca="1"/>
        <v>0</v>
      </c>
      <c r="P217" s="166">
        <f ca="1"/>
        <v>2.0754016392001695E-3</v>
      </c>
      <c r="Q217" s="166">
        <f ca="1"/>
        <v>0</v>
      </c>
      <c r="R217" s="166">
        <f ca="1"/>
        <v>1.0237799383208679E-2</v>
      </c>
      <c r="S217" s="166">
        <f ca="1"/>
        <v>0</v>
      </c>
      <c r="T217" s="166">
        <f ca="1"/>
        <v>2.1131934657764084E-2</v>
      </c>
      <c r="U217" s="166">
        <f ca="1"/>
        <v>3.9218350905259602E-2</v>
      </c>
      <c r="V217" s="140">
        <f ca="1"/>
        <v>7.0357139135591495E-2</v>
      </c>
      <c r="W217" s="139">
        <f ca="1"/>
        <v>0</v>
      </c>
      <c r="X217" s="166">
        <f ca="1"/>
        <v>0</v>
      </c>
      <c r="Y217" s="166">
        <f ca="1"/>
        <v>2.2417085462873576E-3</v>
      </c>
      <c r="Z217" s="166">
        <f ca="1"/>
        <v>0</v>
      </c>
      <c r="AA217" s="166">
        <f ca="1"/>
        <v>1.0746121959054999E-2</v>
      </c>
      <c r="AB217" s="166">
        <f ca="1"/>
        <v>0</v>
      </c>
      <c r="AC217" s="166">
        <f ca="1"/>
        <v>2.2175521458385306E-2</v>
      </c>
      <c r="AD217" s="166">
        <f ca="1"/>
        <v>4.114253923107547E-2</v>
      </c>
      <c r="AE217" s="140">
        <f ca="1"/>
        <v>7.3777482180349074E-2</v>
      </c>
      <c r="AI217" s="137">
        <v>2E-3</v>
      </c>
      <c r="AK217" s="137">
        <v>1.01E-2</v>
      </c>
      <c r="AM217" s="137">
        <v>2.1000000000000001E-2</v>
      </c>
      <c r="AN217" s="137">
        <v>3.9E-2</v>
      </c>
      <c r="AO217" s="137">
        <v>7.0199999999999999E-2</v>
      </c>
      <c r="AR217" s="137">
        <v>2.2000000000000001E-3</v>
      </c>
      <c r="AT217" s="137">
        <v>1.06E-2</v>
      </c>
      <c r="AV217" s="137">
        <v>2.2100000000000002E-2</v>
      </c>
      <c r="AW217" s="137">
        <v>4.0899999999999999E-2</v>
      </c>
      <c r="AX217" s="137">
        <v>7.3599999999999999E-2</v>
      </c>
    </row>
    <row r="218" spans="1:50" s="79" customFormat="1" ht="10.199999999999999" x14ac:dyDescent="0.2">
      <c r="A218" s="97">
        <f t="shared" ca="1" si="6"/>
        <v>207</v>
      </c>
      <c r="B218" s="68" t="s">
        <v>295</v>
      </c>
      <c r="C218" s="98">
        <v>0.4</v>
      </c>
      <c r="D218" s="69" t="s">
        <v>67</v>
      </c>
      <c r="E218" s="138" t="s">
        <v>87</v>
      </c>
      <c r="F218" s="159" t="s">
        <v>87</v>
      </c>
      <c r="G218" s="159">
        <v>6.0800000000000003E-4</v>
      </c>
      <c r="H218" s="159" t="s">
        <v>87</v>
      </c>
      <c r="I218" s="159">
        <v>1.688E-3</v>
      </c>
      <c r="J218" s="159" t="s">
        <v>87</v>
      </c>
      <c r="K218" s="159">
        <v>2.5089999999999999E-3</v>
      </c>
      <c r="L218" s="159">
        <v>3.3609999999999998E-3</v>
      </c>
      <c r="M218" s="159">
        <v>4.2129999999999997E-3</v>
      </c>
      <c r="N218" s="139">
        <f t="array" aca="1" ref="N218:AE218" ca="1">IF(OR(B218="",NOT($J$2)),"",GetStripDefaultProbability(A218,B218,Parameter_Date,CDSRollDate,E218:M218,SpreadCurveMaturities,D218,C218,$J$4,$J$6))</f>
        <v>0</v>
      </c>
      <c r="O218" s="166">
        <f ca="1"/>
        <v>0</v>
      </c>
      <c r="P218" s="166">
        <f ca="1"/>
        <v>1.0726194909083109E-3</v>
      </c>
      <c r="Q218" s="166">
        <f ca="1"/>
        <v>0</v>
      </c>
      <c r="R218" s="166">
        <f ca="1"/>
        <v>8.8091505243358403E-3</v>
      </c>
      <c r="S218" s="166">
        <f ca="1"/>
        <v>0</v>
      </c>
      <c r="T218" s="166">
        <f ca="1"/>
        <v>2.1845675658667907E-2</v>
      </c>
      <c r="U218" s="166">
        <f ca="1"/>
        <v>4.1404937719256463E-2</v>
      </c>
      <c r="V218" s="140">
        <f ca="1"/>
        <v>7.4255279132525609E-2</v>
      </c>
      <c r="W218" s="139">
        <f ca="1"/>
        <v>0</v>
      </c>
      <c r="X218" s="166">
        <f ca="1"/>
        <v>0</v>
      </c>
      <c r="Y218" s="166">
        <f ca="1"/>
        <v>1.2390935144251936E-3</v>
      </c>
      <c r="Z218" s="166">
        <f ca="1"/>
        <v>0</v>
      </c>
      <c r="AA218" s="166">
        <f ca="1"/>
        <v>9.3183582329025016E-3</v>
      </c>
      <c r="AB218" s="166">
        <f ca="1"/>
        <v>0</v>
      </c>
      <c r="AC218" s="166">
        <f ca="1"/>
        <v>2.2912028118909356E-2</v>
      </c>
      <c r="AD218" s="166">
        <f ca="1"/>
        <v>4.3425677401690899E-2</v>
      </c>
      <c r="AE218" s="140">
        <f ca="1"/>
        <v>7.7846775193544326E-2</v>
      </c>
      <c r="AI218" s="137">
        <v>1.1000000000000001E-3</v>
      </c>
      <c r="AK218" s="137">
        <v>8.6999999999999994E-3</v>
      </c>
      <c r="AM218" s="137">
        <v>2.1700000000000001E-2</v>
      </c>
      <c r="AN218" s="137">
        <v>4.1099999999999998E-2</v>
      </c>
      <c r="AO218" s="137">
        <v>7.3999999999999996E-2</v>
      </c>
      <c r="AR218" s="137">
        <v>1.1999999999999999E-3</v>
      </c>
      <c r="AT218" s="137">
        <v>9.1999999999999998E-3</v>
      </c>
      <c r="AV218" s="137">
        <v>2.2800000000000001E-2</v>
      </c>
      <c r="AW218" s="137">
        <v>4.3099999999999999E-2</v>
      </c>
      <c r="AX218" s="137">
        <v>7.7600000000000002E-2</v>
      </c>
    </row>
    <row r="219" spans="1:50" s="79" customFormat="1" ht="10.199999999999999" x14ac:dyDescent="0.2">
      <c r="A219" s="97">
        <f t="shared" ca="1" si="6"/>
        <v>208</v>
      </c>
      <c r="B219" s="68" t="s">
        <v>296</v>
      </c>
      <c r="C219" s="98">
        <v>0.4</v>
      </c>
      <c r="D219" s="69" t="s">
        <v>67</v>
      </c>
      <c r="E219" s="138" t="s">
        <v>87</v>
      </c>
      <c r="F219" s="159" t="s">
        <v>87</v>
      </c>
      <c r="G219" s="159">
        <v>2.8519999999999999E-3</v>
      </c>
      <c r="H219" s="159" t="s">
        <v>87</v>
      </c>
      <c r="I219" s="159">
        <v>4.0480000000000004E-3</v>
      </c>
      <c r="J219" s="159" t="s">
        <v>87</v>
      </c>
      <c r="K219" s="159">
        <v>6.8999999999999999E-3</v>
      </c>
      <c r="L219" s="159">
        <v>8.3260000000000001E-3</v>
      </c>
      <c r="M219" s="159">
        <v>1.0028E-2</v>
      </c>
      <c r="N219" s="139">
        <f t="array" aca="1" ref="N219:AE219" ca="1">IF(OR(B219="",NOT($J$2)),"",GetStripDefaultProbability(A219,B219,Parameter_Date,CDSRollDate,E219:M219,SpreadCurveMaturities,D219,C219,$J$4,$J$6))</f>
        <v>0</v>
      </c>
      <c r="O219" s="166">
        <f ca="1"/>
        <v>0</v>
      </c>
      <c r="P219" s="166">
        <f ca="1"/>
        <v>5.0215613405512061E-3</v>
      </c>
      <c r="Q219" s="166">
        <f ca="1"/>
        <v>0</v>
      </c>
      <c r="R219" s="166">
        <f ca="1"/>
        <v>2.0775658191641733E-2</v>
      </c>
      <c r="S219" s="166">
        <f ca="1"/>
        <v>0</v>
      </c>
      <c r="T219" s="166">
        <f ca="1"/>
        <v>5.9639074156371596E-2</v>
      </c>
      <c r="U219" s="166">
        <f ca="1"/>
        <v>9.9246782075920525E-2</v>
      </c>
      <c r="V219" s="140">
        <f ca="1"/>
        <v>0.16906373833001265</v>
      </c>
      <c r="W219" s="139">
        <f ca="1"/>
        <v>0</v>
      </c>
      <c r="X219" s="166">
        <f ca="1"/>
        <v>0</v>
      </c>
      <c r="Y219" s="166">
        <f ca="1"/>
        <v>5.2580064507877777E-3</v>
      </c>
      <c r="Z219" s="166">
        <f ca="1"/>
        <v>0</v>
      </c>
      <c r="AA219" s="166">
        <f ca="1"/>
        <v>2.1806676815699699E-2</v>
      </c>
      <c r="AB219" s="166">
        <f ca="1"/>
        <v>0</v>
      </c>
      <c r="AC219" s="166">
        <f ca="1"/>
        <v>6.2559737377206548E-2</v>
      </c>
      <c r="AD219" s="166">
        <f ca="1"/>
        <v>0.10401929969200263</v>
      </c>
      <c r="AE219" s="140">
        <f ca="1"/>
        <v>0.17694772540375914</v>
      </c>
      <c r="AI219" s="137">
        <v>5.0000000000000001E-3</v>
      </c>
      <c r="AK219" s="137">
        <v>2.06E-2</v>
      </c>
      <c r="AM219" s="137">
        <v>5.91E-2</v>
      </c>
      <c r="AN219" s="137">
        <v>9.8799999999999999E-2</v>
      </c>
      <c r="AO219" s="137">
        <v>0.16769999999999999</v>
      </c>
      <c r="AR219" s="137">
        <v>5.1999999999999998E-3</v>
      </c>
      <c r="AT219" s="137">
        <v>2.1600000000000001E-2</v>
      </c>
      <c r="AV219" s="137">
        <v>6.1899999999999997E-2</v>
      </c>
      <c r="AW219" s="137">
        <v>0.1036</v>
      </c>
      <c r="AX219" s="137">
        <v>0.17560000000000001</v>
      </c>
    </row>
    <row r="220" spans="1:50" s="79" customFormat="1" ht="10.199999999999999" x14ac:dyDescent="0.2">
      <c r="A220" s="97">
        <f t="shared" ca="1" si="6"/>
        <v>209</v>
      </c>
      <c r="B220" s="68" t="s">
        <v>297</v>
      </c>
      <c r="C220" s="98">
        <v>0.4</v>
      </c>
      <c r="D220" s="69" t="s">
        <v>67</v>
      </c>
      <c r="E220" s="138" t="s">
        <v>87</v>
      </c>
      <c r="F220" s="159" t="s">
        <v>87</v>
      </c>
      <c r="G220" s="159">
        <v>1.1709999999999999E-3</v>
      </c>
      <c r="H220" s="159" t="s">
        <v>87</v>
      </c>
      <c r="I220" s="159">
        <v>2.1580000000000002E-3</v>
      </c>
      <c r="J220" s="159" t="s">
        <v>87</v>
      </c>
      <c r="K220" s="159">
        <v>3.3289999999999999E-3</v>
      </c>
      <c r="L220" s="159">
        <v>3.5130000000000001E-3</v>
      </c>
      <c r="M220" s="159">
        <v>4.032E-3</v>
      </c>
      <c r="N220" s="139">
        <f t="array" aca="1" ref="N220:AE220" ca="1">IF(OR(B220="",NOT($J$2)),"",GetStripDefaultProbability(A220,B220,Parameter_Date,CDSRollDate,E220:M220,SpreadCurveMaturities,D220,C220,$J$4,$J$6))</f>
        <v>0</v>
      </c>
      <c r="O220" s="166">
        <f ca="1"/>
        <v>0</v>
      </c>
      <c r="P220" s="166">
        <f ca="1"/>
        <v>2.0648326988291776E-3</v>
      </c>
      <c r="Q220" s="166">
        <f ca="1"/>
        <v>0</v>
      </c>
      <c r="R220" s="166">
        <f ca="1"/>
        <v>1.1179149293985224E-2</v>
      </c>
      <c r="S220" s="166">
        <f ca="1"/>
        <v>0</v>
      </c>
      <c r="T220" s="166">
        <f ca="1"/>
        <v>2.8945611560756479E-2</v>
      </c>
      <c r="U220" s="166">
        <f ca="1"/>
        <v>4.2017701799909823E-2</v>
      </c>
      <c r="V220" s="140">
        <f ca="1"/>
        <v>6.952821417236843E-2</v>
      </c>
      <c r="W220" s="139">
        <f ca="1"/>
        <v>0</v>
      </c>
      <c r="X220" s="166">
        <f ca="1"/>
        <v>0</v>
      </c>
      <c r="Y220" s="166">
        <f ca="1"/>
        <v>2.2311413672673197E-3</v>
      </c>
      <c r="Z220" s="166">
        <f ca="1"/>
        <v>0</v>
      </c>
      <c r="AA220" s="166">
        <f ca="1"/>
        <v>1.1728556150461977E-2</v>
      </c>
      <c r="AB220" s="166">
        <f ca="1"/>
        <v>0</v>
      </c>
      <c r="AC220" s="166">
        <f ca="1"/>
        <v>3.0390475941632689E-2</v>
      </c>
      <c r="AD220" s="166">
        <f ca="1"/>
        <v>4.4070532357954995E-2</v>
      </c>
      <c r="AE220" s="140">
        <f ca="1"/>
        <v>7.2901953741375869E-2</v>
      </c>
      <c r="AI220" s="137">
        <v>2E-3</v>
      </c>
      <c r="AK220" s="137">
        <v>1.11E-2</v>
      </c>
      <c r="AM220" s="137">
        <v>2.87E-2</v>
      </c>
      <c r="AN220" s="137">
        <v>4.19E-2</v>
      </c>
      <c r="AO220" s="137">
        <v>6.8900000000000003E-2</v>
      </c>
      <c r="AR220" s="137">
        <v>2.2000000000000001E-3</v>
      </c>
      <c r="AT220" s="137">
        <v>1.1599999999999999E-2</v>
      </c>
      <c r="AV220" s="137">
        <v>3.0099999999999998E-2</v>
      </c>
      <c r="AW220" s="137">
        <v>4.3999999999999997E-2</v>
      </c>
      <c r="AX220" s="137">
        <v>7.2300000000000003E-2</v>
      </c>
    </row>
    <row r="221" spans="1:50" s="79" customFormat="1" ht="10.199999999999999" x14ac:dyDescent="0.2">
      <c r="A221" s="97">
        <f t="shared" ca="1" si="6"/>
        <v>210</v>
      </c>
      <c r="B221" s="68" t="s">
        <v>298</v>
      </c>
      <c r="C221" s="98">
        <v>0.4</v>
      </c>
      <c r="D221" s="69" t="s">
        <v>67</v>
      </c>
      <c r="E221" s="138" t="s">
        <v>87</v>
      </c>
      <c r="F221" s="159" t="s">
        <v>87</v>
      </c>
      <c r="G221" s="159">
        <v>8.4699999999999999E-4</v>
      </c>
      <c r="H221" s="159" t="s">
        <v>87</v>
      </c>
      <c r="I221" s="159">
        <v>2.3890000000000001E-3</v>
      </c>
      <c r="J221" s="159" t="s">
        <v>87</v>
      </c>
      <c r="K221" s="159">
        <v>3.8119999999999999E-3</v>
      </c>
      <c r="L221" s="159">
        <v>5.0819999999999997E-3</v>
      </c>
      <c r="M221" s="159">
        <v>7.1149999999999998E-3</v>
      </c>
      <c r="N221" s="139">
        <f t="array" aca="1" ref="N221:AE221" ca="1">IF(OR(B221="",NOT($J$2)),"",GetStripDefaultProbability(A221,B221,Parameter_Date,CDSRollDate,E221:M221,SpreadCurveMaturities,D221,C221,$J$4,$J$6))</f>
        <v>0</v>
      </c>
      <c r="O221" s="166">
        <f ca="1"/>
        <v>0</v>
      </c>
      <c r="P221" s="166">
        <f ca="1"/>
        <v>1.4939449736464105E-3</v>
      </c>
      <c r="Q221" s="166">
        <f ca="1"/>
        <v>0</v>
      </c>
      <c r="R221" s="166">
        <f ca="1"/>
        <v>1.247819914439019E-2</v>
      </c>
      <c r="S221" s="166">
        <f ca="1"/>
        <v>0</v>
      </c>
      <c r="T221" s="166">
        <f ca="1"/>
        <v>3.320418818290527E-2</v>
      </c>
      <c r="U221" s="166">
        <f ca="1"/>
        <v>6.2240268741289739E-2</v>
      </c>
      <c r="V221" s="140">
        <f ca="1"/>
        <v>0.12575586690071994</v>
      </c>
      <c r="W221" s="139">
        <f ca="1"/>
        <v>0</v>
      </c>
      <c r="X221" s="166">
        <f ca="1"/>
        <v>0</v>
      </c>
      <c r="Y221" s="166">
        <f ca="1"/>
        <v>1.6603487820954221E-3</v>
      </c>
      <c r="Z221" s="166">
        <f ca="1"/>
        <v>0</v>
      </c>
      <c r="AA221" s="166">
        <f ca="1"/>
        <v>1.3088639132027624E-2</v>
      </c>
      <c r="AB221" s="166">
        <f ca="1"/>
        <v>0</v>
      </c>
      <c r="AC221" s="166">
        <f ca="1"/>
        <v>3.484110112032901E-2</v>
      </c>
      <c r="AD221" s="166">
        <f ca="1"/>
        <v>6.5274602154266614E-2</v>
      </c>
      <c r="AE221" s="140">
        <f ca="1"/>
        <v>0.13176948738045435</v>
      </c>
      <c r="AI221" s="137">
        <v>1.5E-3</v>
      </c>
      <c r="AK221" s="137">
        <v>1.23E-2</v>
      </c>
      <c r="AM221" s="137">
        <v>3.2899999999999999E-2</v>
      </c>
      <c r="AN221" s="137">
        <v>6.1800000000000001E-2</v>
      </c>
      <c r="AO221" s="137">
        <v>0.12479999999999999</v>
      </c>
      <c r="AR221" s="137">
        <v>1.6000000000000001E-3</v>
      </c>
      <c r="AT221" s="137">
        <v>1.29E-2</v>
      </c>
      <c r="AV221" s="137">
        <v>3.4599999999999999E-2</v>
      </c>
      <c r="AW221" s="137">
        <v>6.4799999999999996E-2</v>
      </c>
      <c r="AX221" s="137">
        <v>0.1308</v>
      </c>
    </row>
    <row r="222" spans="1:50" s="79" customFormat="1" ht="10.199999999999999" x14ac:dyDescent="0.2">
      <c r="A222" s="97">
        <f t="shared" ca="1" si="6"/>
        <v>211</v>
      </c>
      <c r="B222" s="68" t="s">
        <v>299</v>
      </c>
      <c r="C222" s="98">
        <v>0.4</v>
      </c>
      <c r="D222" s="69" t="s">
        <v>67</v>
      </c>
      <c r="E222" s="138" t="s">
        <v>87</v>
      </c>
      <c r="F222" s="159" t="s">
        <v>87</v>
      </c>
      <c r="G222" s="159">
        <v>9.6699999999999998E-4</v>
      </c>
      <c r="H222" s="159" t="s">
        <v>87</v>
      </c>
      <c r="I222" s="159">
        <v>2.1649999999999998E-3</v>
      </c>
      <c r="J222" s="159" t="s">
        <v>87</v>
      </c>
      <c r="K222" s="159">
        <v>2.7989999999999998E-3</v>
      </c>
      <c r="L222" s="159">
        <v>3.643E-3</v>
      </c>
      <c r="M222" s="159">
        <v>4.594E-3</v>
      </c>
      <c r="N222" s="139">
        <f t="array" aca="1" ref="N222:AE222" ca="1">IF(OR(B222="",NOT($J$2)),"",GetStripDefaultProbability(A222,B222,Parameter_Date,CDSRollDate,E222:M222,SpreadCurveMaturities,D222,C222,$J$4,$J$6))</f>
        <v>0</v>
      </c>
      <c r="O222" s="166">
        <f ca="1"/>
        <v>0</v>
      </c>
      <c r="P222" s="166">
        <f ca="1"/>
        <v>1.7054226442938525E-3</v>
      </c>
      <c r="Q222" s="166">
        <f ca="1"/>
        <v>0</v>
      </c>
      <c r="R222" s="166">
        <f ca="1"/>
        <v>1.1271453559718148E-2</v>
      </c>
      <c r="S222" s="166">
        <f ca="1"/>
        <v>0</v>
      </c>
      <c r="T222" s="166">
        <f ca="1"/>
        <v>2.4121120160349063E-2</v>
      </c>
      <c r="U222" s="166">
        <f ca="1"/>
        <v>4.4520807343427671E-2</v>
      </c>
      <c r="V222" s="140">
        <f ca="1"/>
        <v>8.048950492141671E-2</v>
      </c>
      <c r="W222" s="139">
        <f ca="1"/>
        <v>0</v>
      </c>
      <c r="X222" s="166">
        <f ca="1"/>
        <v>0</v>
      </c>
      <c r="Y222" s="166">
        <f ca="1"/>
        <v>1.8717912094193823E-3</v>
      </c>
      <c r="Z222" s="166">
        <f ca="1"/>
        <v>0</v>
      </c>
      <c r="AA222" s="166">
        <f ca="1"/>
        <v>1.1823200130265166E-2</v>
      </c>
      <c r="AB222" s="166">
        <f ca="1"/>
        <v>0</v>
      </c>
      <c r="AC222" s="166">
        <f ca="1"/>
        <v>2.5310170085314998E-2</v>
      </c>
      <c r="AD222" s="166">
        <f ca="1"/>
        <v>4.6700811386477858E-2</v>
      </c>
      <c r="AE222" s="140">
        <f ca="1"/>
        <v>8.4389329085824305E-2</v>
      </c>
      <c r="AI222" s="137">
        <v>1.6999999999999999E-3</v>
      </c>
      <c r="AK222" s="137">
        <v>1.11E-2</v>
      </c>
      <c r="AM222" s="137">
        <v>2.4E-2</v>
      </c>
      <c r="AN222" s="137">
        <v>4.4200000000000003E-2</v>
      </c>
      <c r="AO222" s="137">
        <v>8.0299999999999996E-2</v>
      </c>
      <c r="AR222" s="137">
        <v>1.8E-3</v>
      </c>
      <c r="AT222" s="137">
        <v>1.17E-2</v>
      </c>
      <c r="AV222" s="137">
        <v>2.52E-2</v>
      </c>
      <c r="AW222" s="137">
        <v>4.6399999999999997E-2</v>
      </c>
      <c r="AX222" s="137">
        <v>8.4099999999999994E-2</v>
      </c>
    </row>
    <row r="223" spans="1:50" s="79" customFormat="1" ht="10.199999999999999" x14ac:dyDescent="0.2">
      <c r="A223" s="97">
        <f t="shared" ca="1" si="6"/>
        <v>212</v>
      </c>
      <c r="B223" s="68" t="s">
        <v>300</v>
      </c>
      <c r="C223" s="98">
        <v>0.4</v>
      </c>
      <c r="D223" s="69" t="s">
        <v>67</v>
      </c>
      <c r="E223" s="138" t="s">
        <v>87</v>
      </c>
      <c r="F223" s="159" t="s">
        <v>87</v>
      </c>
      <c r="G223" s="159">
        <v>5.0900000000000001E-4</v>
      </c>
      <c r="H223" s="159" t="s">
        <v>87</v>
      </c>
      <c r="I223" s="159">
        <v>1.818E-3</v>
      </c>
      <c r="J223" s="159" t="s">
        <v>87</v>
      </c>
      <c r="K223" s="159">
        <v>2.7499999999999998E-3</v>
      </c>
      <c r="L223" s="159">
        <v>3.4499999999999999E-3</v>
      </c>
      <c r="M223" s="159">
        <v>4.45E-3</v>
      </c>
      <c r="N223" s="139">
        <f t="array" aca="1" ref="N223:AE223" ca="1">IF(OR(B223="",NOT($J$2)),"",GetStripDefaultProbability(A223,B223,Parameter_Date,CDSRollDate,E223:M223,SpreadCurveMaturities,D223,C223,$J$4,$J$6))</f>
        <v>0</v>
      </c>
      <c r="O223" s="166">
        <f ca="1"/>
        <v>0</v>
      </c>
      <c r="P223" s="166">
        <f ca="1"/>
        <v>8.9804386842862183E-4</v>
      </c>
      <c r="Q223" s="166">
        <f ca="1"/>
        <v>0</v>
      </c>
      <c r="R223" s="166">
        <f ca="1"/>
        <v>9.5324850002808104E-3</v>
      </c>
      <c r="S223" s="166">
        <f ca="1"/>
        <v>0</v>
      </c>
      <c r="T223" s="166">
        <f ca="1"/>
        <v>2.3957276428344554E-2</v>
      </c>
      <c r="U223" s="166">
        <f ca="1"/>
        <v>4.2240359258273963E-2</v>
      </c>
      <c r="V223" s="140">
        <f ca="1"/>
        <v>7.8599620105201384E-2</v>
      </c>
      <c r="W223" s="139">
        <f ca="1"/>
        <v>0</v>
      </c>
      <c r="X223" s="166">
        <f ca="1"/>
        <v>0</v>
      </c>
      <c r="Y223" s="166">
        <f ca="1"/>
        <v>1.0645469854562162E-3</v>
      </c>
      <c r="Z223" s="166">
        <f ca="1"/>
        <v>0</v>
      </c>
      <c r="AA223" s="166">
        <f ca="1"/>
        <v>1.0041668880970689E-2</v>
      </c>
      <c r="AB223" s="166">
        <f ca="1"/>
        <v>0</v>
      </c>
      <c r="AC223" s="166">
        <f ca="1"/>
        <v>2.5133181429693341E-2</v>
      </c>
      <c r="AD223" s="166">
        <f ca="1"/>
        <v>4.4302747883674831E-2</v>
      </c>
      <c r="AE223" s="140">
        <f ca="1"/>
        <v>8.2405500485969507E-2</v>
      </c>
      <c r="AI223" s="137">
        <v>8.9999999999999998E-4</v>
      </c>
      <c r="AK223" s="137">
        <v>9.4000000000000004E-3</v>
      </c>
      <c r="AM223" s="137">
        <v>2.3800000000000002E-2</v>
      </c>
      <c r="AN223" s="137">
        <v>4.2000000000000003E-2</v>
      </c>
      <c r="AO223" s="137">
        <v>7.8200000000000006E-2</v>
      </c>
      <c r="AR223" s="137">
        <v>1.1000000000000001E-3</v>
      </c>
      <c r="AT223" s="137">
        <v>9.9000000000000008E-3</v>
      </c>
      <c r="AV223" s="137">
        <v>2.5000000000000001E-2</v>
      </c>
      <c r="AW223" s="137">
        <v>4.3999999999999997E-2</v>
      </c>
      <c r="AX223" s="137">
        <v>8.1900000000000001E-2</v>
      </c>
    </row>
    <row r="224" spans="1:50" s="79" customFormat="1" ht="10.199999999999999" x14ac:dyDescent="0.2">
      <c r="A224" s="97">
        <f t="shared" ca="1" si="6"/>
        <v>213</v>
      </c>
      <c r="B224" s="68" t="s">
        <v>301</v>
      </c>
      <c r="C224" s="98">
        <v>0.4</v>
      </c>
      <c r="D224" s="69" t="s">
        <v>67</v>
      </c>
      <c r="E224" s="138" t="s">
        <v>87</v>
      </c>
      <c r="F224" s="159" t="s">
        <v>87</v>
      </c>
      <c r="G224" s="159">
        <v>3.7399999999999998E-4</v>
      </c>
      <c r="H224" s="159" t="s">
        <v>87</v>
      </c>
      <c r="I224" s="159">
        <v>1.689E-3</v>
      </c>
      <c r="J224" s="159" t="s">
        <v>87</v>
      </c>
      <c r="K224" s="159">
        <v>2.6540000000000001E-3</v>
      </c>
      <c r="L224" s="159">
        <v>3.8119999999999999E-3</v>
      </c>
      <c r="M224" s="159">
        <v>5.0660000000000002E-3</v>
      </c>
      <c r="N224" s="139">
        <f t="array" aca="1" ref="N224:AE224" ca="1">IF(OR(B224="",NOT($J$2)),"",GetStripDefaultProbability(A224,B224,Parameter_Date,CDSRollDate,E224:M224,SpreadCurveMaturities,D224,C224,$J$4,$J$6))</f>
        <v>0</v>
      </c>
      <c r="O224" s="166">
        <f ca="1"/>
        <v>0</v>
      </c>
      <c r="P224" s="166">
        <f ca="1"/>
        <v>6.5993739455927347E-4</v>
      </c>
      <c r="Q224" s="166">
        <f ca="1"/>
        <v>0</v>
      </c>
      <c r="R224" s="166">
        <f ca="1"/>
        <v>8.8779377666499126E-3</v>
      </c>
      <c r="S224" s="166">
        <f ca="1"/>
        <v>0</v>
      </c>
      <c r="T224" s="166">
        <f ca="1"/>
        <v>2.3189053665010118E-2</v>
      </c>
      <c r="U224" s="166">
        <f ca="1"/>
        <v>4.7314735973792876E-2</v>
      </c>
      <c r="V224" s="140">
        <f ca="1"/>
        <v>8.9978243599225127E-2</v>
      </c>
      <c r="W224" s="139">
        <f ca="1"/>
        <v>0</v>
      </c>
      <c r="X224" s="166">
        <f ca="1"/>
        <v>0</v>
      </c>
      <c r="Y224" s="166">
        <f ca="1"/>
        <v>8.2648019269382367E-4</v>
      </c>
      <c r="Z224" s="166">
        <f ca="1"/>
        <v>0</v>
      </c>
      <c r="AA224" s="166">
        <f ca="1"/>
        <v>9.3874569957461684E-3</v>
      </c>
      <c r="AB224" s="166">
        <f ca="1"/>
        <v>0</v>
      </c>
      <c r="AC224" s="166">
        <f ca="1"/>
        <v>2.4321671976616388E-2</v>
      </c>
      <c r="AD224" s="166">
        <f ca="1"/>
        <v>4.9621547392115439E-2</v>
      </c>
      <c r="AE224" s="140">
        <f ca="1"/>
        <v>9.4316790920822458E-2</v>
      </c>
      <c r="AI224" s="137">
        <v>6.9999999999999999E-4</v>
      </c>
      <c r="AK224" s="137">
        <v>8.6999999999999994E-3</v>
      </c>
      <c r="AM224" s="137">
        <v>2.3E-2</v>
      </c>
      <c r="AN224" s="137">
        <v>4.6899999999999997E-2</v>
      </c>
      <c r="AO224" s="137">
        <v>8.9599999999999999E-2</v>
      </c>
      <c r="AR224" s="137">
        <v>8.0000000000000004E-4</v>
      </c>
      <c r="AT224" s="137">
        <v>9.1999999999999998E-3</v>
      </c>
      <c r="AV224" s="137">
        <v>2.4199999999999999E-2</v>
      </c>
      <c r="AW224" s="137">
        <v>4.9200000000000001E-2</v>
      </c>
      <c r="AX224" s="137">
        <v>9.4E-2</v>
      </c>
    </row>
    <row r="225" spans="1:50" s="79" customFormat="1" ht="10.199999999999999" x14ac:dyDescent="0.2">
      <c r="A225" s="97">
        <f t="shared" ca="1" si="6"/>
        <v>214</v>
      </c>
      <c r="B225" s="68" t="s">
        <v>302</v>
      </c>
      <c r="C225" s="98">
        <v>0.4</v>
      </c>
      <c r="D225" s="69" t="s">
        <v>67</v>
      </c>
      <c r="E225" s="138" t="s">
        <v>87</v>
      </c>
      <c r="F225" s="159" t="s">
        <v>87</v>
      </c>
      <c r="G225" s="159">
        <v>6.2200000000000005E-4</v>
      </c>
      <c r="H225" s="159" t="s">
        <v>87</v>
      </c>
      <c r="I225" s="159">
        <v>2.343E-3</v>
      </c>
      <c r="J225" s="159" t="s">
        <v>87</v>
      </c>
      <c r="K225" s="159">
        <v>3.2330000000000002E-3</v>
      </c>
      <c r="L225" s="159">
        <v>4.2170000000000003E-3</v>
      </c>
      <c r="M225" s="159">
        <v>5.1539999999999997E-3</v>
      </c>
      <c r="N225" s="139">
        <f t="array" aca="1" ref="N225:AE225" ca="1">IF(OR(B225="",NOT($J$2)),"",GetStripDefaultProbability(A225,B225,Parameter_Date,CDSRollDate,E225:M225,SpreadCurveMaturities,D225,C225,$J$4,$J$6))</f>
        <v>0</v>
      </c>
      <c r="O225" s="166">
        <f ca="1"/>
        <v>0</v>
      </c>
      <c r="P225" s="166">
        <f ca="1"/>
        <v>1.0973045090061362E-3</v>
      </c>
      <c r="Q225" s="166">
        <f ca="1"/>
        <v>0</v>
      </c>
      <c r="R225" s="166">
        <f ca="1"/>
        <v>1.2282072334242056E-2</v>
      </c>
      <c r="S225" s="166">
        <f ca="1"/>
        <v>0</v>
      </c>
      <c r="T225" s="166">
        <f ca="1"/>
        <v>2.7993570346742547E-2</v>
      </c>
      <c r="U225" s="166">
        <f ca="1"/>
        <v>5.1589322123181347E-2</v>
      </c>
      <c r="V225" s="140">
        <f ca="1"/>
        <v>8.9646442536976845E-2</v>
      </c>
      <c r="W225" s="139">
        <f ca="1"/>
        <v>0</v>
      </c>
      <c r="X225" s="166">
        <f ca="1"/>
        <v>0</v>
      </c>
      <c r="Y225" s="166">
        <f ca="1"/>
        <v>1.2637744187210531E-3</v>
      </c>
      <c r="Z225" s="166">
        <f ca="1"/>
        <v>0</v>
      </c>
      <c r="AA225" s="166">
        <f ca="1"/>
        <v>1.2880652402519122E-2</v>
      </c>
      <c r="AB225" s="166">
        <f ca="1"/>
        <v>0</v>
      </c>
      <c r="AC225" s="166">
        <f ca="1"/>
        <v>2.9371093776150659E-2</v>
      </c>
      <c r="AD225" s="166">
        <f ca="1"/>
        <v>5.4107758596351974E-2</v>
      </c>
      <c r="AE225" s="140">
        <f ca="1"/>
        <v>9.3970673552570494E-2</v>
      </c>
      <c r="AI225" s="137">
        <v>1.1000000000000001E-3</v>
      </c>
      <c r="AK225" s="137">
        <v>1.21E-2</v>
      </c>
      <c r="AM225" s="137">
        <v>2.7799999999999998E-2</v>
      </c>
      <c r="AN225" s="137">
        <v>5.1200000000000002E-2</v>
      </c>
      <c r="AO225" s="137">
        <v>8.9499999999999996E-2</v>
      </c>
      <c r="AR225" s="137">
        <v>1.1999999999999999E-3</v>
      </c>
      <c r="AT225" s="137">
        <v>1.2699999999999999E-2</v>
      </c>
      <c r="AV225" s="137">
        <v>2.92E-2</v>
      </c>
      <c r="AW225" s="137">
        <v>5.3699999999999998E-2</v>
      </c>
      <c r="AX225" s="137">
        <v>9.3799999999999994E-2</v>
      </c>
    </row>
    <row r="226" spans="1:50" s="79" customFormat="1" ht="10.199999999999999" x14ac:dyDescent="0.2">
      <c r="A226" s="97">
        <f t="shared" ca="1" si="6"/>
        <v>215</v>
      </c>
      <c r="B226" s="68" t="s">
        <v>303</v>
      </c>
      <c r="C226" s="98">
        <v>0.4</v>
      </c>
      <c r="D226" s="69" t="s">
        <v>67</v>
      </c>
      <c r="E226" s="138" t="s">
        <v>87</v>
      </c>
      <c r="F226" s="159" t="s">
        <v>87</v>
      </c>
      <c r="G226" s="159">
        <v>7.2400000000000003E-4</v>
      </c>
      <c r="H226" s="159" t="s">
        <v>87</v>
      </c>
      <c r="I226" s="159">
        <v>1.5920000000000001E-3</v>
      </c>
      <c r="J226" s="159" t="s">
        <v>87</v>
      </c>
      <c r="K226" s="159">
        <v>2.5569999999999998E-3</v>
      </c>
      <c r="L226" s="159">
        <v>2.97E-3</v>
      </c>
      <c r="M226" s="159">
        <v>4.0010000000000002E-3</v>
      </c>
      <c r="N226" s="139">
        <f t="array" aca="1" ref="N226:AE226" ca="1">IF(OR(B226="",NOT($J$2)),"",GetStripDefaultProbability(A226,B226,Parameter_Date,CDSRollDate,E226:M226,SpreadCurveMaturities,D226,C226,$J$4,$J$6))</f>
        <v>0</v>
      </c>
      <c r="O226" s="166">
        <f ca="1"/>
        <v>0</v>
      </c>
      <c r="P226" s="166">
        <f ca="1"/>
        <v>1.2771342247767103E-3</v>
      </c>
      <c r="Q226" s="166">
        <f ca="1"/>
        <v>0</v>
      </c>
      <c r="R226" s="166">
        <f ca="1"/>
        <v>8.2838880436296725E-3</v>
      </c>
      <c r="S226" s="166">
        <f ca="1"/>
        <v>0</v>
      </c>
      <c r="T226" s="166">
        <f ca="1"/>
        <v>2.2351560655427205E-2</v>
      </c>
      <c r="U226" s="166">
        <f ca="1"/>
        <v>3.6097649522910169E-2</v>
      </c>
      <c r="V226" s="140">
        <f ca="1"/>
        <v>7.1334324575465513E-2</v>
      </c>
      <c r="W226" s="139">
        <f ca="1"/>
        <v>0</v>
      </c>
      <c r="X226" s="166">
        <f ca="1"/>
        <v>0</v>
      </c>
      <c r="Y226" s="166">
        <f ca="1"/>
        <v>1.4435741653678891E-3</v>
      </c>
      <c r="Z226" s="166">
        <f ca="1"/>
        <v>0</v>
      </c>
      <c r="AA226" s="166">
        <f ca="1"/>
        <v>8.7932365483267549E-3</v>
      </c>
      <c r="AB226" s="166">
        <f ca="1"/>
        <v>0</v>
      </c>
      <c r="AC226" s="166">
        <f ca="1"/>
        <v>2.3439169482474931E-2</v>
      </c>
      <c r="AD226" s="166">
        <f ca="1"/>
        <v>3.7855945241073607E-2</v>
      </c>
      <c r="AE226" s="140">
        <f ca="1"/>
        <v>7.478800417943654E-2</v>
      </c>
      <c r="AI226" s="137">
        <v>1.2999999999999999E-3</v>
      </c>
      <c r="AK226" s="137">
        <v>8.2000000000000007E-3</v>
      </c>
      <c r="AM226" s="137">
        <v>2.2200000000000001E-2</v>
      </c>
      <c r="AN226" s="137">
        <v>3.5999999999999997E-2</v>
      </c>
      <c r="AO226" s="137">
        <v>7.0699999999999999E-2</v>
      </c>
      <c r="AR226" s="137">
        <v>1.4E-3</v>
      </c>
      <c r="AT226" s="137">
        <v>8.6999999999999994E-3</v>
      </c>
      <c r="AV226" s="137">
        <v>2.3199999999999998E-2</v>
      </c>
      <c r="AW226" s="137">
        <v>3.7699999999999997E-2</v>
      </c>
      <c r="AX226" s="137">
        <v>7.4099999999999999E-2</v>
      </c>
    </row>
    <row r="227" spans="1:50" s="79" customFormat="1" ht="10.199999999999999" x14ac:dyDescent="0.2">
      <c r="A227" s="97">
        <f t="shared" ca="1" si="6"/>
        <v>216</v>
      </c>
      <c r="B227" s="68" t="s">
        <v>304</v>
      </c>
      <c r="C227" s="98">
        <v>0.4</v>
      </c>
      <c r="D227" s="69" t="s">
        <v>67</v>
      </c>
      <c r="E227" s="138" t="s">
        <v>87</v>
      </c>
      <c r="F227" s="159" t="s">
        <v>87</v>
      </c>
      <c r="G227" s="159">
        <v>4.4999999999999999E-4</v>
      </c>
      <c r="H227" s="159" t="s">
        <v>87</v>
      </c>
      <c r="I227" s="159">
        <v>1.158E-3</v>
      </c>
      <c r="J227" s="159" t="s">
        <v>87</v>
      </c>
      <c r="K227" s="159">
        <v>2.0270000000000002E-3</v>
      </c>
      <c r="L227" s="159">
        <v>2.6540000000000001E-3</v>
      </c>
      <c r="M227" s="159">
        <v>3.571E-3</v>
      </c>
      <c r="N227" s="139">
        <f t="array" aca="1" ref="N227:AE227" ca="1">IF(OR(B227="",NOT($J$2)),"",GetStripDefaultProbability(A227,B227,Parameter_Date,CDSRollDate,E227:M227,SpreadCurveMaturities,D227,C227,$J$4,$J$6))</f>
        <v>0</v>
      </c>
      <c r="O227" s="166">
        <f ca="1"/>
        <v>0</v>
      </c>
      <c r="P227" s="166">
        <f ca="1"/>
        <v>7.9398944939701455E-4</v>
      </c>
      <c r="Q227" s="166">
        <f ca="1"/>
        <v>0</v>
      </c>
      <c r="R227" s="166">
        <f ca="1"/>
        <v>6.0462516190435966E-3</v>
      </c>
      <c r="S227" s="166">
        <f ca="1"/>
        <v>0</v>
      </c>
      <c r="T227" s="166">
        <f ca="1"/>
        <v>1.7834138964586299E-2</v>
      </c>
      <c r="U227" s="166">
        <f ca="1"/>
        <v>3.2813663512405222E-2</v>
      </c>
      <c r="V227" s="140">
        <f ca="1"/>
        <v>6.4112516316937818E-2</v>
      </c>
      <c r="W227" s="139">
        <f ca="1"/>
        <v>0</v>
      </c>
      <c r="X227" s="166">
        <f ca="1"/>
        <v>0</v>
      </c>
      <c r="Y227" s="166">
        <f ca="1"/>
        <v>9.6050990741514131E-4</v>
      </c>
      <c r="Z227" s="166">
        <f ca="1"/>
        <v>0</v>
      </c>
      <c r="AA227" s="166">
        <f ca="1"/>
        <v>6.5566364123330612E-3</v>
      </c>
      <c r="AB227" s="166">
        <f ca="1"/>
        <v>0</v>
      </c>
      <c r="AC227" s="166">
        <f ca="1"/>
        <v>1.8682513673197398E-2</v>
      </c>
      <c r="AD227" s="166">
        <f ca="1"/>
        <v>3.4405194688789442E-2</v>
      </c>
      <c r="AE227" s="140">
        <f ca="1"/>
        <v>6.7179485561946084E-2</v>
      </c>
      <c r="AI227" s="137">
        <v>8.0000000000000004E-4</v>
      </c>
      <c r="AK227" s="137">
        <v>6.0000000000000001E-3</v>
      </c>
      <c r="AM227" s="137">
        <v>1.77E-2</v>
      </c>
      <c r="AN227" s="137">
        <v>3.2599999999999997E-2</v>
      </c>
      <c r="AO227" s="137">
        <v>6.3700000000000007E-2</v>
      </c>
      <c r="AR227" s="137">
        <v>1E-3</v>
      </c>
      <c r="AT227" s="137">
        <v>6.4999999999999997E-3</v>
      </c>
      <c r="AV227" s="137">
        <v>1.8499999999999999E-2</v>
      </c>
      <c r="AW227" s="137">
        <v>3.4200000000000001E-2</v>
      </c>
      <c r="AX227" s="137">
        <v>6.6699999999999995E-2</v>
      </c>
    </row>
    <row r="228" spans="1:50" s="79" customFormat="1" ht="10.199999999999999" x14ac:dyDescent="0.2">
      <c r="A228" s="97">
        <f t="shared" ca="1" si="6"/>
        <v>217</v>
      </c>
      <c r="B228" s="68" t="s">
        <v>305</v>
      </c>
      <c r="C228" s="98">
        <v>0.4</v>
      </c>
      <c r="D228" s="69" t="s">
        <v>67</v>
      </c>
      <c r="E228" s="138" t="s">
        <v>87</v>
      </c>
      <c r="F228" s="159" t="s">
        <v>87</v>
      </c>
      <c r="G228" s="159">
        <v>5.31E-4</v>
      </c>
      <c r="H228" s="159" t="s">
        <v>87</v>
      </c>
      <c r="I228" s="159">
        <v>1.6410000000000001E-3</v>
      </c>
      <c r="J228" s="159" t="s">
        <v>87</v>
      </c>
      <c r="K228" s="159">
        <v>2.6540000000000001E-3</v>
      </c>
      <c r="L228" s="159">
        <v>3.764E-3</v>
      </c>
      <c r="M228" s="159">
        <v>4.8250000000000003E-3</v>
      </c>
      <c r="N228" s="139">
        <f t="array" aca="1" ref="N228:AE228" ca="1">IF(OR(B228="",NOT($J$2)),"",GetStripDefaultProbability(A228,B228,Parameter_Date,CDSRollDate,E228:M228,SpreadCurveMaturities,D228,C228,$J$4,$J$6))</f>
        <v>0</v>
      </c>
      <c r="O228" s="166">
        <f ca="1"/>
        <v>0</v>
      </c>
      <c r="P228" s="166">
        <f ca="1"/>
        <v>9.3684106812486068E-4</v>
      </c>
      <c r="Q228" s="166">
        <f ca="1"/>
        <v>0</v>
      </c>
      <c r="R228" s="166">
        <f ca="1"/>
        <v>8.575348179989728E-3</v>
      </c>
      <c r="S228" s="166">
        <f ca="1"/>
        <v>0</v>
      </c>
      <c r="T228" s="166">
        <f ca="1"/>
        <v>2.3221920569705179E-2</v>
      </c>
      <c r="U228" s="166">
        <f ca="1"/>
        <v>4.6649804266411077E-2</v>
      </c>
      <c r="V228" s="140">
        <f ca="1"/>
        <v>8.5330184377660823E-2</v>
      </c>
      <c r="W228" s="139">
        <f ca="1"/>
        <v>0</v>
      </c>
      <c r="X228" s="166">
        <f ca="1"/>
        <v>0</v>
      </c>
      <c r="Y228" s="166">
        <f ca="1"/>
        <v>1.1033377195059924E-3</v>
      </c>
      <c r="Z228" s="166">
        <f ca="1"/>
        <v>0</v>
      </c>
      <c r="AA228" s="166">
        <f ca="1"/>
        <v>9.0846925201734097E-3</v>
      </c>
      <c r="AB228" s="166">
        <f ca="1"/>
        <v>0</v>
      </c>
      <c r="AC228" s="166">
        <f ca="1"/>
        <v>2.4353935954580574E-2</v>
      </c>
      <c r="AD228" s="166">
        <f ca="1"/>
        <v>4.8924770686331276E-2</v>
      </c>
      <c r="AE228" s="140">
        <f ca="1"/>
        <v>8.944438541976063E-2</v>
      </c>
      <c r="AI228" s="137">
        <v>8.9999999999999998E-4</v>
      </c>
      <c r="AK228" s="137">
        <v>8.5000000000000006E-3</v>
      </c>
      <c r="AM228" s="137">
        <v>2.3E-2</v>
      </c>
      <c r="AN228" s="137">
        <v>4.6300000000000001E-2</v>
      </c>
      <c r="AO228" s="137">
        <v>8.5099999999999995E-2</v>
      </c>
      <c r="AR228" s="137">
        <v>1.1000000000000001E-3</v>
      </c>
      <c r="AT228" s="137">
        <v>8.9999999999999993E-3</v>
      </c>
      <c r="AV228" s="137">
        <v>2.4199999999999999E-2</v>
      </c>
      <c r="AW228" s="137">
        <v>4.8599999999999997E-2</v>
      </c>
      <c r="AX228" s="137">
        <v>8.9099999999999999E-2</v>
      </c>
    </row>
    <row r="229" spans="1:50" s="79" customFormat="1" ht="10.199999999999999" x14ac:dyDescent="0.2">
      <c r="A229" s="97">
        <f t="shared" ca="1" si="6"/>
        <v>218</v>
      </c>
      <c r="B229" s="68" t="s">
        <v>306</v>
      </c>
      <c r="C229" s="98">
        <v>0.4</v>
      </c>
      <c r="D229" s="69" t="s">
        <v>67</v>
      </c>
      <c r="E229" s="138" t="s">
        <v>87</v>
      </c>
      <c r="F229" s="159" t="s">
        <v>87</v>
      </c>
      <c r="G229" s="159">
        <v>1.544E-3</v>
      </c>
      <c r="H229" s="159" t="s">
        <v>87</v>
      </c>
      <c r="I229" s="159">
        <v>2.2200000000000002E-3</v>
      </c>
      <c r="J229" s="159" t="s">
        <v>87</v>
      </c>
      <c r="K229" s="159">
        <v>2.9919999999999999E-3</v>
      </c>
      <c r="L229" s="159">
        <v>3.9569999999999996E-3</v>
      </c>
      <c r="M229" s="159">
        <v>5.2110000000000004E-3</v>
      </c>
      <c r="N229" s="139">
        <f t="array" aca="1" ref="N229:AE229" ca="1">IF(OR(B229="",NOT($J$2)),"",GetStripDefaultProbability(A229,B229,Parameter_Date,CDSRollDate,E229:M229,SpreadCurveMaturities,D229,C229,$J$4,$J$6))</f>
        <v>0</v>
      </c>
      <c r="O229" s="166">
        <f ca="1"/>
        <v>0</v>
      </c>
      <c r="P229" s="166">
        <f ca="1"/>
        <v>2.7216574368458257E-3</v>
      </c>
      <c r="Q229" s="166">
        <f ca="1"/>
        <v>0</v>
      </c>
      <c r="R229" s="166">
        <f ca="1"/>
        <v>1.1436583065859374E-2</v>
      </c>
      <c r="S229" s="166">
        <f ca="1"/>
        <v>0</v>
      </c>
      <c r="T229" s="166">
        <f ca="1"/>
        <v>2.5780030058292325E-2</v>
      </c>
      <c r="U229" s="166">
        <f ca="1"/>
        <v>4.8314188485020559E-2</v>
      </c>
      <c r="V229" s="140">
        <f ca="1"/>
        <v>9.1780479164309869E-2</v>
      </c>
      <c r="W229" s="139">
        <f ca="1"/>
        <v>0</v>
      </c>
      <c r="X229" s="166">
        <f ca="1"/>
        <v>0</v>
      </c>
      <c r="Y229" s="166">
        <f ca="1"/>
        <v>2.8878566436124631E-3</v>
      </c>
      <c r="Z229" s="166">
        <f ca="1"/>
        <v>0</v>
      </c>
      <c r="AA229" s="166">
        <f ca="1"/>
        <v>1.2002000025637782E-2</v>
      </c>
      <c r="AB229" s="166">
        <f ca="1"/>
        <v>0</v>
      </c>
      <c r="AC229" s="166">
        <f ca="1"/>
        <v>2.7053680681852099E-2</v>
      </c>
      <c r="AD229" s="166">
        <f ca="1"/>
        <v>5.0683435162303114E-2</v>
      </c>
      <c r="AE229" s="140">
        <f ca="1"/>
        <v>9.6215499885392464E-2</v>
      </c>
      <c r="AI229" s="137">
        <v>2.7000000000000001E-3</v>
      </c>
      <c r="AK229" s="137">
        <v>1.1299999999999999E-2</v>
      </c>
      <c r="AM229" s="137">
        <v>2.5600000000000001E-2</v>
      </c>
      <c r="AN229" s="137">
        <v>4.8000000000000001E-2</v>
      </c>
      <c r="AO229" s="137">
        <v>9.1300000000000006E-2</v>
      </c>
      <c r="AR229" s="137">
        <v>2.8999999999999998E-3</v>
      </c>
      <c r="AT229" s="137">
        <v>1.1900000000000001E-2</v>
      </c>
      <c r="AV229" s="137">
        <v>2.69E-2</v>
      </c>
      <c r="AW229" s="137">
        <v>5.04E-2</v>
      </c>
      <c r="AX229" s="137">
        <v>9.5699999999999993E-2</v>
      </c>
    </row>
    <row r="230" spans="1:50" s="79" customFormat="1" ht="10.199999999999999" x14ac:dyDescent="0.2">
      <c r="A230" s="97">
        <f t="shared" ca="1" si="6"/>
        <v>219</v>
      </c>
      <c r="B230" s="68" t="s">
        <v>307</v>
      </c>
      <c r="C230" s="98">
        <v>0.4</v>
      </c>
      <c r="D230" s="69" t="s">
        <v>67</v>
      </c>
      <c r="E230" s="138" t="s">
        <v>87</v>
      </c>
      <c r="F230" s="159" t="s">
        <v>87</v>
      </c>
      <c r="G230" s="159">
        <v>9.8799999999999995E-4</v>
      </c>
      <c r="H230" s="159" t="s">
        <v>87</v>
      </c>
      <c r="I230" s="159">
        <v>2.0430000000000001E-3</v>
      </c>
      <c r="J230" s="159" t="s">
        <v>87</v>
      </c>
      <c r="K230" s="159">
        <v>3.0400000000000002E-3</v>
      </c>
      <c r="L230" s="159">
        <v>3.9370000000000004E-3</v>
      </c>
      <c r="M230" s="159">
        <v>4.9329999999999999E-3</v>
      </c>
      <c r="N230" s="139">
        <f t="array" aca="1" ref="N230:AE230" ca="1">IF(OR(B230="",NOT($J$2)),"",GetStripDefaultProbability(A230,B230,Parameter_Date,CDSRollDate,E230:M230,SpreadCurveMaturities,D230,C230,$J$4,$J$6))</f>
        <v>0</v>
      </c>
      <c r="O230" s="166">
        <f ca="1"/>
        <v>0</v>
      </c>
      <c r="P230" s="166">
        <f ca="1"/>
        <v>1.7424266671043354E-3</v>
      </c>
      <c r="Q230" s="166">
        <f ca="1"/>
        <v>0</v>
      </c>
      <c r="R230" s="166">
        <f ca="1"/>
        <v>1.0607841209831048E-2</v>
      </c>
      <c r="S230" s="166">
        <f ca="1"/>
        <v>0</v>
      </c>
      <c r="T230" s="166">
        <f ca="1"/>
        <v>2.6408581841586898E-2</v>
      </c>
      <c r="U230" s="166">
        <f ca="1"/>
        <v>4.8174518836772817E-2</v>
      </c>
      <c r="V230" s="140">
        <f ca="1"/>
        <v>8.6432659353733454E-2</v>
      </c>
      <c r="W230" s="139">
        <f ca="1"/>
        <v>0</v>
      </c>
      <c r="X230" s="166">
        <f ca="1"/>
        <v>0</v>
      </c>
      <c r="Y230" s="166">
        <f ca="1"/>
        <v>1.9087890654225781E-3</v>
      </c>
      <c r="Z230" s="166">
        <f ca="1"/>
        <v>0</v>
      </c>
      <c r="AA230" s="166">
        <f ca="1"/>
        <v>1.112740879246843E-2</v>
      </c>
      <c r="AB230" s="166">
        <f ca="1"/>
        <v>0</v>
      </c>
      <c r="AC230" s="166">
        <f ca="1"/>
        <v>2.7712062254443559E-2</v>
      </c>
      <c r="AD230" s="166">
        <f ca="1"/>
        <v>5.0532290757468123E-2</v>
      </c>
      <c r="AE230" s="140">
        <f ca="1"/>
        <v>9.0615831340085662E-2</v>
      </c>
      <c r="AI230" s="137">
        <v>1.6999999999999999E-3</v>
      </c>
      <c r="AK230" s="137">
        <v>1.0500000000000001E-2</v>
      </c>
      <c r="AM230" s="137">
        <v>2.6200000000000001E-2</v>
      </c>
      <c r="AN230" s="137">
        <v>4.7899999999999998E-2</v>
      </c>
      <c r="AO230" s="137">
        <v>8.6099999999999996E-2</v>
      </c>
      <c r="AR230" s="137">
        <v>1.9E-3</v>
      </c>
      <c r="AT230" s="137">
        <v>1.0999999999999999E-2</v>
      </c>
      <c r="AV230" s="137">
        <v>2.75E-2</v>
      </c>
      <c r="AW230" s="137">
        <v>5.0200000000000002E-2</v>
      </c>
      <c r="AX230" s="137">
        <v>9.0200000000000002E-2</v>
      </c>
    </row>
    <row r="231" spans="1:50" s="79" customFormat="1" ht="10.199999999999999" x14ac:dyDescent="0.2">
      <c r="A231" s="97">
        <f t="shared" ca="1" si="6"/>
        <v>220</v>
      </c>
      <c r="B231" s="68" t="s">
        <v>308</v>
      </c>
      <c r="C231" s="98">
        <v>0.4</v>
      </c>
      <c r="D231" s="69" t="s">
        <v>67</v>
      </c>
      <c r="E231" s="138" t="s">
        <v>87</v>
      </c>
      <c r="F231" s="159" t="s">
        <v>87</v>
      </c>
      <c r="G231" s="159">
        <v>3.7787000000000001E-2</v>
      </c>
      <c r="H231" s="159" t="s">
        <v>87</v>
      </c>
      <c r="I231" s="159">
        <v>3.7137000000000003E-2</v>
      </c>
      <c r="J231" s="159" t="s">
        <v>87</v>
      </c>
      <c r="K231" s="159">
        <v>3.2376000000000002E-2</v>
      </c>
      <c r="L231" s="159">
        <v>2.9519E-2</v>
      </c>
      <c r="M231" s="159">
        <v>2.8091000000000001E-2</v>
      </c>
      <c r="N231" s="139">
        <f t="array" aca="1" ref="N231:AE231" ca="1">IF(OR(B231="",NOT($J$2)),"",GetStripDefaultProbability(A231,B231,Parameter_Date,CDSRollDate,E231:M231,SpreadCurveMaturities,D231,C231,$J$4,$J$6))</f>
        <v>0</v>
      </c>
      <c r="O231" s="166">
        <f ca="1"/>
        <v>0</v>
      </c>
      <c r="P231" s="166">
        <f ca="1"/>
        <v>6.4521128255525917E-2</v>
      </c>
      <c r="Q231" s="166">
        <f ca="1"/>
        <v>0</v>
      </c>
      <c r="R231" s="166">
        <f ca="1"/>
        <v>0.17291604658053816</v>
      </c>
      <c r="S231" s="166">
        <f ca="1"/>
        <v>0</v>
      </c>
      <c r="T231" s="166">
        <f ca="1"/>
        <v>0.23347717308322469</v>
      </c>
      <c r="U231" s="166">
        <f ca="1"/>
        <v>0.28247422686191848</v>
      </c>
      <c r="V231" s="140">
        <f ca="1"/>
        <v>0.35971839988028287</v>
      </c>
      <c r="W231" s="139">
        <f ca="1"/>
        <v>0</v>
      </c>
      <c r="X231" s="166">
        <f ca="1"/>
        <v>0</v>
      </c>
      <c r="Y231" s="166">
        <f ca="1"/>
        <v>6.7635521325485337E-2</v>
      </c>
      <c r="Z231" s="166">
        <f ca="1"/>
        <v>0</v>
      </c>
      <c r="AA231" s="166">
        <f ca="1"/>
        <v>0.18072106486842365</v>
      </c>
      <c r="AB231" s="166">
        <f ca="1"/>
        <v>0</v>
      </c>
      <c r="AC231" s="166">
        <f ca="1"/>
        <v>0.243392642413784</v>
      </c>
      <c r="AD231" s="166">
        <f ca="1"/>
        <v>0.29391825595414978</v>
      </c>
      <c r="AE231" s="140">
        <f ca="1"/>
        <v>0.37331374986856392</v>
      </c>
      <c r="AI231" s="137">
        <v>6.3700000000000007E-2</v>
      </c>
      <c r="AK231" s="137">
        <v>0.17230000000000001</v>
      </c>
      <c r="AM231" s="137">
        <v>0.23400000000000001</v>
      </c>
      <c r="AN231" s="137">
        <v>0.28249999999999997</v>
      </c>
      <c r="AO231" s="137">
        <v>0.36020000000000002</v>
      </c>
      <c r="AR231" s="137">
        <v>6.6799999999999998E-2</v>
      </c>
      <c r="AT231" s="137">
        <v>0.18010000000000001</v>
      </c>
      <c r="AV231" s="137">
        <v>0.24399999999999999</v>
      </c>
      <c r="AW231" s="137">
        <v>0.29389999999999999</v>
      </c>
      <c r="AX231" s="137">
        <v>0.37380000000000002</v>
      </c>
    </row>
    <row r="232" spans="1:50" s="79" customFormat="1" ht="10.199999999999999" x14ac:dyDescent="0.2">
      <c r="A232" s="97">
        <f t="shared" ca="1" si="6"/>
        <v>221</v>
      </c>
      <c r="B232" s="68" t="s">
        <v>309</v>
      </c>
      <c r="C232" s="98">
        <v>0.4</v>
      </c>
      <c r="D232" s="69" t="s">
        <v>67</v>
      </c>
      <c r="E232" s="138" t="s">
        <v>87</v>
      </c>
      <c r="F232" s="159" t="s">
        <v>87</v>
      </c>
      <c r="G232" s="159">
        <v>1.098E-3</v>
      </c>
      <c r="H232" s="159" t="s">
        <v>87</v>
      </c>
      <c r="I232" s="159">
        <v>2.1949999999999999E-3</v>
      </c>
      <c r="J232" s="159" t="s">
        <v>87</v>
      </c>
      <c r="K232" s="159">
        <v>4.3909999999999999E-3</v>
      </c>
      <c r="L232" s="159">
        <v>5.6239999999999997E-3</v>
      </c>
      <c r="M232" s="159">
        <v>6.9069999999999999E-3</v>
      </c>
      <c r="N232" s="139">
        <f t="array" aca="1" ref="N232:AE232" ca="1">IF(OR(B232="",NOT($J$2)),"",GetStripDefaultProbability(A232,B232,Parameter_Date,CDSRollDate,E232:M232,SpreadCurveMaturities,D232,C232,$J$4,$J$6))</f>
        <v>0</v>
      </c>
      <c r="O232" s="166">
        <f ca="1"/>
        <v>0</v>
      </c>
      <c r="P232" s="166">
        <f ca="1"/>
        <v>1.9362350297207342E-3</v>
      </c>
      <c r="Q232" s="166">
        <f ca="1"/>
        <v>0</v>
      </c>
      <c r="R232" s="166">
        <f ca="1"/>
        <v>1.1386234548825258E-2</v>
      </c>
      <c r="S232" s="166">
        <f ca="1"/>
        <v>0</v>
      </c>
      <c r="T232" s="166">
        <f ca="1"/>
        <v>3.8606481673310378E-2</v>
      </c>
      <c r="U232" s="166">
        <f ca="1"/>
        <v>6.8655908084520934E-2</v>
      </c>
      <c r="V232" s="140">
        <f ca="1"/>
        <v>0.11990036031964457</v>
      </c>
      <c r="W232" s="139">
        <f ca="1"/>
        <v>0</v>
      </c>
      <c r="X232" s="166">
        <f ca="1"/>
        <v>0</v>
      </c>
      <c r="Y232" s="166">
        <f ca="1"/>
        <v>2.1025651293250514E-3</v>
      </c>
      <c r="Z232" s="166">
        <f ca="1"/>
        <v>0</v>
      </c>
      <c r="AA232" s="166">
        <f ca="1"/>
        <v>1.1945279174309431E-2</v>
      </c>
      <c r="AB232" s="166">
        <f ca="1"/>
        <v>0</v>
      </c>
      <c r="AC232" s="166">
        <f ca="1"/>
        <v>4.0508946129549139E-2</v>
      </c>
      <c r="AD232" s="166">
        <f ca="1"/>
        <v>7.1997297049116393E-2</v>
      </c>
      <c r="AE232" s="140">
        <f ca="1"/>
        <v>0.12562414237265851</v>
      </c>
      <c r="AI232" s="137">
        <v>1.9E-3</v>
      </c>
      <c r="AK232" s="137">
        <v>1.1299999999999999E-2</v>
      </c>
      <c r="AM232" s="137">
        <v>3.8199999999999998E-2</v>
      </c>
      <c r="AN232" s="137">
        <v>6.83E-2</v>
      </c>
      <c r="AO232" s="137">
        <v>0.1191</v>
      </c>
      <c r="AR232" s="137">
        <v>2.0999999999999999E-3</v>
      </c>
      <c r="AT232" s="137">
        <v>1.18E-2</v>
      </c>
      <c r="AV232" s="137">
        <v>4.0099999999999997E-2</v>
      </c>
      <c r="AW232" s="137">
        <v>7.1599999999999997E-2</v>
      </c>
      <c r="AX232" s="137">
        <v>0.12470000000000001</v>
      </c>
    </row>
    <row r="233" spans="1:50" s="79" customFormat="1" ht="10.199999999999999" x14ac:dyDescent="0.2">
      <c r="A233" s="97">
        <f t="shared" ca="1" si="6"/>
        <v>222</v>
      </c>
      <c r="B233" s="68" t="s">
        <v>310</v>
      </c>
      <c r="C233" s="98">
        <v>0.4</v>
      </c>
      <c r="D233" s="69" t="s">
        <v>67</v>
      </c>
      <c r="E233" s="138" t="s">
        <v>87</v>
      </c>
      <c r="F233" s="159" t="s">
        <v>87</v>
      </c>
      <c r="G233" s="159">
        <v>0.128667</v>
      </c>
      <c r="H233" s="159" t="s">
        <v>87</v>
      </c>
      <c r="I233" s="159">
        <v>9.0311000000000002E-2</v>
      </c>
      <c r="J233" s="159" t="s">
        <v>87</v>
      </c>
      <c r="K233" s="159">
        <v>6.6102999999999995E-2</v>
      </c>
      <c r="L233" s="159">
        <v>6.0176E-2</v>
      </c>
      <c r="M233" s="159">
        <v>5.4705999999999998E-2</v>
      </c>
      <c r="N233" s="139">
        <f t="array" aca="1" ref="N233:AE233" ca="1">IF(OR(B233="",NOT($J$2)),"",GetStripDefaultProbability(A233,B233,Parameter_Date,CDSRollDate,E233:M233,SpreadCurveMaturities,D233,C233,$J$4,$J$6))</f>
        <v>0</v>
      </c>
      <c r="O233" s="166">
        <f ca="1"/>
        <v>0</v>
      </c>
      <c r="P233" s="166">
        <f ca="1"/>
        <v>0.20315564489382631</v>
      </c>
      <c r="Q233" s="166">
        <f ca="1"/>
        <v>0</v>
      </c>
      <c r="R233" s="166">
        <f ca="1"/>
        <v>0.34790608394098665</v>
      </c>
      <c r="S233" s="166">
        <f ca="1"/>
        <v>0</v>
      </c>
      <c r="T233" s="166">
        <f ca="1"/>
        <v>0.38255758660768513</v>
      </c>
      <c r="U233" s="166">
        <f ca="1"/>
        <v>0.45760786542116405</v>
      </c>
      <c r="V233" s="140">
        <f ca="1"/>
        <v>0.53539895079210464</v>
      </c>
      <c r="W233" s="139">
        <f ca="1"/>
        <v>0</v>
      </c>
      <c r="X233" s="166">
        <f ca="1"/>
        <v>0</v>
      </c>
      <c r="Y233" s="166">
        <f ca="1"/>
        <v>0.21215202115424048</v>
      </c>
      <c r="Z233" s="166">
        <f ca="1"/>
        <v>0</v>
      </c>
      <c r="AA233" s="166">
        <f ca="1"/>
        <v>0.36071410166911999</v>
      </c>
      <c r="AB233" s="166">
        <f ca="1"/>
        <v>0</v>
      </c>
      <c r="AC233" s="166">
        <f ca="1"/>
        <v>0.39552855355253447</v>
      </c>
      <c r="AD233" s="166">
        <f ca="1"/>
        <v>0.47208009432686704</v>
      </c>
      <c r="AE233" s="140">
        <f ca="1"/>
        <v>0.55046826024207185</v>
      </c>
      <c r="AI233" s="137">
        <v>0.20080000000000001</v>
      </c>
      <c r="AK233" s="137">
        <v>0.35489999999999999</v>
      </c>
      <c r="AM233" s="137">
        <v>0.38600000000000001</v>
      </c>
      <c r="AN233" s="137">
        <v>0.45910000000000001</v>
      </c>
      <c r="AO233" s="137">
        <v>0.5393</v>
      </c>
      <c r="AR233" s="137">
        <v>0.2097</v>
      </c>
      <c r="AT233" s="137">
        <v>0.36820000000000003</v>
      </c>
      <c r="AV233" s="137">
        <v>0.39910000000000001</v>
      </c>
      <c r="AW233" s="137">
        <v>0.47360000000000002</v>
      </c>
      <c r="AX233" s="137">
        <v>0.55449999999999999</v>
      </c>
    </row>
    <row r="234" spans="1:50" s="79" customFormat="1" ht="10.199999999999999" x14ac:dyDescent="0.2">
      <c r="A234" s="97">
        <f t="shared" ca="1" si="6"/>
        <v>223</v>
      </c>
      <c r="B234" s="68" t="s">
        <v>311</v>
      </c>
      <c r="C234" s="98">
        <v>0.4</v>
      </c>
      <c r="D234" s="69" t="s">
        <v>67</v>
      </c>
      <c r="E234" s="138" t="s">
        <v>87</v>
      </c>
      <c r="F234" s="159" t="s">
        <v>87</v>
      </c>
      <c r="G234" s="159">
        <v>5.6700000000000001E-4</v>
      </c>
      <c r="H234" s="159" t="s">
        <v>87</v>
      </c>
      <c r="I234" s="159">
        <v>1.255E-3</v>
      </c>
      <c r="J234" s="159" t="s">
        <v>87</v>
      </c>
      <c r="K234" s="159">
        <v>2.0270000000000002E-3</v>
      </c>
      <c r="L234" s="159">
        <v>2.7499999999999998E-3</v>
      </c>
      <c r="M234" s="159">
        <v>3.6670000000000001E-3</v>
      </c>
      <c r="N234" s="139">
        <f t="array" aca="1" ref="N234:AE234" ca="1">IF(OR(B234="",NOT($J$2)),"",GetStripDefaultProbability(A234,B234,Parameter_Date,CDSRollDate,E234:M234,SpreadCurveMaturities,D234,C234,$J$4,$J$6))</f>
        <v>0</v>
      </c>
      <c r="O234" s="166">
        <f ca="1"/>
        <v>0</v>
      </c>
      <c r="P234" s="166">
        <f ca="1"/>
        <v>1.0003241691868281E-3</v>
      </c>
      <c r="Q234" s="166">
        <f ca="1"/>
        <v>0</v>
      </c>
      <c r="R234" s="166">
        <f ca="1"/>
        <v>6.5367472138084803E-3</v>
      </c>
      <c r="S234" s="166">
        <f ca="1"/>
        <v>0</v>
      </c>
      <c r="T234" s="166">
        <f ca="1"/>
        <v>1.7751754177600887E-2</v>
      </c>
      <c r="U234" s="166">
        <f ca="1"/>
        <v>3.4047741542286292E-2</v>
      </c>
      <c r="V234" s="140">
        <f ca="1"/>
        <v>6.5647717614969903E-2</v>
      </c>
      <c r="W234" s="139">
        <f ca="1"/>
        <v>0</v>
      </c>
      <c r="X234" s="166">
        <f ca="1"/>
        <v>0</v>
      </c>
      <c r="Y234" s="166">
        <f ca="1"/>
        <v>1.1668102409295722E-3</v>
      </c>
      <c r="Z234" s="166">
        <f ca="1"/>
        <v>0</v>
      </c>
      <c r="AA234" s="166">
        <f ca="1"/>
        <v>7.0468724620703638E-3</v>
      </c>
      <c r="AB234" s="166">
        <f ca="1"/>
        <v>0</v>
      </c>
      <c r="AC234" s="166">
        <f ca="1"/>
        <v>1.8599866804596799E-2</v>
      </c>
      <c r="AD234" s="166">
        <f ca="1"/>
        <v>3.5701143220412956E-2</v>
      </c>
      <c r="AE234" s="140">
        <f ca="1"/>
        <v>6.8811177850804373E-2</v>
      </c>
      <c r="AI234" s="137">
        <v>1E-3</v>
      </c>
      <c r="AK234" s="137">
        <v>6.4999999999999997E-3</v>
      </c>
      <c r="AM234" s="137">
        <v>1.7600000000000001E-2</v>
      </c>
      <c r="AN234" s="137">
        <v>3.3799999999999997E-2</v>
      </c>
      <c r="AO234" s="137">
        <v>6.5299999999999997E-2</v>
      </c>
      <c r="AR234" s="137">
        <v>1.1999999999999999E-3</v>
      </c>
      <c r="AT234" s="137">
        <v>7.0000000000000001E-3</v>
      </c>
      <c r="AV234" s="137">
        <v>1.84E-2</v>
      </c>
      <c r="AW234" s="137">
        <v>3.5499999999999997E-2</v>
      </c>
      <c r="AX234" s="137">
        <v>6.8400000000000002E-2</v>
      </c>
    </row>
    <row r="235" spans="1:50" s="79" customFormat="1" ht="10.199999999999999" x14ac:dyDescent="0.2">
      <c r="A235" s="97">
        <f t="shared" ca="1" si="6"/>
        <v>224</v>
      </c>
      <c r="B235" s="68" t="s">
        <v>312</v>
      </c>
      <c r="C235" s="98">
        <v>0.4</v>
      </c>
      <c r="D235" s="69" t="s">
        <v>67</v>
      </c>
      <c r="E235" s="138" t="s">
        <v>87</v>
      </c>
      <c r="F235" s="159" t="s">
        <v>87</v>
      </c>
      <c r="G235" s="159">
        <v>7.6000000000000004E-4</v>
      </c>
      <c r="H235" s="159" t="s">
        <v>87</v>
      </c>
      <c r="I235" s="159">
        <v>2.075E-3</v>
      </c>
      <c r="J235" s="159" t="s">
        <v>87</v>
      </c>
      <c r="K235" s="159">
        <v>2.702E-3</v>
      </c>
      <c r="L235" s="159">
        <v>3.6189999999999998E-3</v>
      </c>
      <c r="M235" s="159">
        <v>4.6800000000000001E-3</v>
      </c>
      <c r="N235" s="139">
        <f t="array" aca="1" ref="N235:AE235" ca="1">IF(OR(B235="",NOT($J$2)),"",GetStripDefaultProbability(A235,B235,Parameter_Date,CDSRollDate,E235:M235,SpreadCurveMaturities,D235,C235,$J$4,$J$6))</f>
        <v>0</v>
      </c>
      <c r="O235" s="166">
        <f ca="1"/>
        <v>0</v>
      </c>
      <c r="P235" s="166">
        <f ca="1"/>
        <v>1.3405958647303429E-3</v>
      </c>
      <c r="Q235" s="166">
        <f ca="1"/>
        <v>0</v>
      </c>
      <c r="R235" s="166">
        <f ca="1"/>
        <v>1.0838866663573699E-2</v>
      </c>
      <c r="S235" s="166">
        <f ca="1"/>
        <v>0</v>
      </c>
      <c r="T235" s="166">
        <f ca="1"/>
        <v>2.3322998660968541E-2</v>
      </c>
      <c r="U235" s="166">
        <f ca="1"/>
        <v>4.4412670290857603E-2</v>
      </c>
      <c r="V235" s="140">
        <f ca="1"/>
        <v>8.2413957642016866E-2</v>
      </c>
      <c r="W235" s="139">
        <f ca="1"/>
        <v>0</v>
      </c>
      <c r="X235" s="166">
        <f ca="1"/>
        <v>0</v>
      </c>
      <c r="Y235" s="166">
        <f ca="1"/>
        <v>1.5070252292597175E-3</v>
      </c>
      <c r="Z235" s="166">
        <f ca="1"/>
        <v>0</v>
      </c>
      <c r="AA235" s="166">
        <f ca="1"/>
        <v>1.1367188284642227E-2</v>
      </c>
      <c r="AB235" s="166">
        <f ca="1"/>
        <v>0</v>
      </c>
      <c r="AC235" s="166">
        <f ca="1"/>
        <v>2.4471927578893826E-2</v>
      </c>
      <c r="AD235" s="166">
        <f ca="1"/>
        <v>4.658653818619185E-2</v>
      </c>
      <c r="AE235" s="140">
        <f ca="1"/>
        <v>8.6407393106201158E-2</v>
      </c>
      <c r="AI235" s="137">
        <v>1.2999999999999999E-3</v>
      </c>
      <c r="AK235" s="137">
        <v>1.0699999999999999E-2</v>
      </c>
      <c r="AM235" s="137">
        <v>2.3199999999999998E-2</v>
      </c>
      <c r="AN235" s="137">
        <v>4.41E-2</v>
      </c>
      <c r="AO235" s="137">
        <v>8.2199999999999995E-2</v>
      </c>
      <c r="AR235" s="137">
        <v>1.5E-3</v>
      </c>
      <c r="AT235" s="137">
        <v>1.12E-2</v>
      </c>
      <c r="AV235" s="137">
        <v>2.4299999999999999E-2</v>
      </c>
      <c r="AW235" s="137">
        <v>4.6199999999999998E-2</v>
      </c>
      <c r="AX235" s="137">
        <v>8.6099999999999996E-2</v>
      </c>
    </row>
    <row r="236" spans="1:50" s="79" customFormat="1" ht="10.199999999999999" x14ac:dyDescent="0.2">
      <c r="A236" s="97">
        <f t="shared" ca="1" si="6"/>
        <v>225</v>
      </c>
      <c r="B236" s="68" t="s">
        <v>313</v>
      </c>
      <c r="C236" s="98">
        <v>0.4</v>
      </c>
      <c r="D236" s="69" t="s">
        <v>67</v>
      </c>
      <c r="E236" s="138" t="s">
        <v>87</v>
      </c>
      <c r="F236" s="159" t="s">
        <v>87</v>
      </c>
      <c r="G236" s="159">
        <v>1.158E-3</v>
      </c>
      <c r="H236" s="159" t="s">
        <v>87</v>
      </c>
      <c r="I236" s="159">
        <v>3.3089999999999999E-3</v>
      </c>
      <c r="J236" s="159" t="s">
        <v>87</v>
      </c>
      <c r="K236" s="159">
        <v>4.6319999999999998E-3</v>
      </c>
      <c r="L236" s="159">
        <v>6.097E-3</v>
      </c>
      <c r="M236" s="159">
        <v>7.515E-3</v>
      </c>
      <c r="N236" s="139">
        <f t="array" aca="1" ref="N236:AE236" ca="1">IF(OR(B236="",NOT($J$2)),"",GetStripDefaultProbability(A236,B236,Parameter_Date,CDSRollDate,E236:M236,SpreadCurveMaturities,D236,C236,$J$4,$J$6))</f>
        <v>0</v>
      </c>
      <c r="O236" s="166">
        <f ca="1"/>
        <v>0</v>
      </c>
      <c r="P236" s="166">
        <f ca="1"/>
        <v>2.0419329471454972E-3</v>
      </c>
      <c r="Q236" s="166">
        <f ca="1"/>
        <v>0</v>
      </c>
      <c r="R236" s="166">
        <f ca="1"/>
        <v>1.7259981489682441E-2</v>
      </c>
      <c r="S236" s="166">
        <f ca="1"/>
        <v>0</v>
      </c>
      <c r="T236" s="166">
        <f ca="1"/>
        <v>3.9936386141369629E-2</v>
      </c>
      <c r="U236" s="166">
        <f ca="1"/>
        <v>7.404220262843908E-2</v>
      </c>
      <c r="V236" s="140">
        <f ca="1"/>
        <v>0.12904349464015419</v>
      </c>
      <c r="W236" s="139">
        <f ca="1"/>
        <v>0</v>
      </c>
      <c r="X236" s="166">
        <f ca="1"/>
        <v>0</v>
      </c>
      <c r="Y236" s="166">
        <f ca="1"/>
        <v>2.2082454319073408E-3</v>
      </c>
      <c r="Z236" s="166">
        <f ca="1"/>
        <v>0</v>
      </c>
      <c r="AA236" s="166">
        <f ca="1"/>
        <v>1.8110113828918029E-2</v>
      </c>
      <c r="AB236" s="166">
        <f ca="1"/>
        <v>0</v>
      </c>
      <c r="AC236" s="166">
        <f ca="1"/>
        <v>4.1898390896260018E-2</v>
      </c>
      <c r="AD236" s="166">
        <f ca="1"/>
        <v>7.763695477889343E-2</v>
      </c>
      <c r="AE236" s="140">
        <f ca="1"/>
        <v>0.13517127523957018</v>
      </c>
      <c r="AI236" s="137">
        <v>2E-3</v>
      </c>
      <c r="AK236" s="137">
        <v>1.7000000000000001E-2</v>
      </c>
      <c r="AM236" s="137">
        <v>3.9699999999999999E-2</v>
      </c>
      <c r="AN236" s="137">
        <v>7.3499999999999996E-2</v>
      </c>
      <c r="AO236" s="137">
        <v>0.12870000000000001</v>
      </c>
      <c r="AR236" s="137">
        <v>2.2000000000000001E-3</v>
      </c>
      <c r="AT236" s="137">
        <v>1.7899999999999999E-2</v>
      </c>
      <c r="AV236" s="137">
        <v>4.1599999999999998E-2</v>
      </c>
      <c r="AW236" s="137">
        <v>7.7100000000000002E-2</v>
      </c>
      <c r="AX236" s="137">
        <v>0.1348</v>
      </c>
    </row>
    <row r="237" spans="1:50" s="79" customFormat="1" ht="10.199999999999999" x14ac:dyDescent="0.2">
      <c r="A237" s="97">
        <f t="shared" ca="1" si="6"/>
        <v>226</v>
      </c>
      <c r="B237" s="68" t="s">
        <v>314</v>
      </c>
      <c r="C237" s="98">
        <v>0.4</v>
      </c>
      <c r="D237" s="69" t="s">
        <v>67</v>
      </c>
      <c r="E237" s="138" t="s">
        <v>87</v>
      </c>
      <c r="F237" s="159" t="s">
        <v>87</v>
      </c>
      <c r="G237" s="159">
        <v>1.062E-3</v>
      </c>
      <c r="H237" s="159" t="s">
        <v>87</v>
      </c>
      <c r="I237" s="159">
        <v>1.9780000000000002E-3</v>
      </c>
      <c r="J237" s="159" t="s">
        <v>87</v>
      </c>
      <c r="K237" s="159">
        <v>3.088E-3</v>
      </c>
      <c r="L237" s="159">
        <v>3.764E-3</v>
      </c>
      <c r="M237" s="159">
        <v>5.4039999999999999E-3</v>
      </c>
      <c r="N237" s="139">
        <f t="array" aca="1" ref="N237:AE237" ca="1">IF(OR(B237="",NOT($J$2)),"",GetStripDefaultProbability(A237,B237,Parameter_Date,CDSRollDate,E237:M237,SpreadCurveMaturities,D237,C237,$J$4,$J$6))</f>
        <v>0</v>
      </c>
      <c r="O237" s="166">
        <f ca="1"/>
        <v>0</v>
      </c>
      <c r="P237" s="166">
        <f ca="1"/>
        <v>1.8728109482478716E-3</v>
      </c>
      <c r="Q237" s="166">
        <f ca="1"/>
        <v>0</v>
      </c>
      <c r="R237" s="166">
        <f ca="1"/>
        <v>1.0253321905364099E-2</v>
      </c>
      <c r="S237" s="166">
        <f ca="1"/>
        <v>0</v>
      </c>
      <c r="T237" s="166">
        <f ca="1"/>
        <v>2.6889799813181736E-2</v>
      </c>
      <c r="U237" s="166">
        <f ca="1"/>
        <v>4.5792466709539736E-2</v>
      </c>
      <c r="V237" s="140">
        <f ca="1"/>
        <v>9.6579895651660586E-2</v>
      </c>
      <c r="W237" s="139">
        <f ca="1"/>
        <v>0</v>
      </c>
      <c r="X237" s="166">
        <f ca="1"/>
        <v>0</v>
      </c>
      <c r="Y237" s="166">
        <f ca="1"/>
        <v>2.0391516176545554E-3</v>
      </c>
      <c r="Z237" s="166">
        <f ca="1"/>
        <v>0</v>
      </c>
      <c r="AA237" s="166">
        <f ca="1"/>
        <v>1.0761703758710217E-2</v>
      </c>
      <c r="AB237" s="166">
        <f ca="1"/>
        <v>0</v>
      </c>
      <c r="AC237" s="166">
        <f ca="1"/>
        <v>2.8215643546994462E-2</v>
      </c>
      <c r="AD237" s="166">
        <f ca="1"/>
        <v>4.8030065690407797E-2</v>
      </c>
      <c r="AE237" s="140">
        <f ca="1"/>
        <v>0.10125026329911058</v>
      </c>
      <c r="AI237" s="137">
        <v>1.8E-3</v>
      </c>
      <c r="AK237" s="137">
        <v>1.0200000000000001E-2</v>
      </c>
      <c r="AM237" s="137">
        <v>2.6700000000000002E-2</v>
      </c>
      <c r="AN237" s="137">
        <v>4.5600000000000002E-2</v>
      </c>
      <c r="AO237" s="137">
        <v>9.5600000000000004E-2</v>
      </c>
      <c r="AR237" s="137">
        <v>2E-3</v>
      </c>
      <c r="AT237" s="137">
        <v>1.06E-2</v>
      </c>
      <c r="AV237" s="137">
        <v>2.8000000000000001E-2</v>
      </c>
      <c r="AW237" s="137">
        <v>4.7800000000000002E-2</v>
      </c>
      <c r="AX237" s="137">
        <v>0.1002</v>
      </c>
    </row>
    <row r="238" spans="1:50" s="79" customFormat="1" ht="10.199999999999999" x14ac:dyDescent="0.2">
      <c r="A238" s="97">
        <f t="shared" ca="1" si="6"/>
        <v>227</v>
      </c>
      <c r="B238" s="68" t="s">
        <v>315</v>
      </c>
      <c r="C238" s="98">
        <v>0.4</v>
      </c>
      <c r="D238" s="69" t="s">
        <v>67</v>
      </c>
      <c r="E238" s="138" t="s">
        <v>87</v>
      </c>
      <c r="F238" s="159" t="s">
        <v>87</v>
      </c>
      <c r="G238" s="159">
        <v>1.0319999999999999E-3</v>
      </c>
      <c r="H238" s="159" t="s">
        <v>87</v>
      </c>
      <c r="I238" s="159">
        <v>1.8159999999999999E-3</v>
      </c>
      <c r="J238" s="159" t="s">
        <v>87</v>
      </c>
      <c r="K238" s="159">
        <v>2.6540000000000001E-3</v>
      </c>
      <c r="L238" s="159">
        <v>3.4919999999999999E-3</v>
      </c>
      <c r="M238" s="159">
        <v>4.4229999999999998E-3</v>
      </c>
      <c r="N238" s="139">
        <f t="array" aca="1" ref="N238:AE238" ca="1">IF(OR(B238="",NOT($J$2)),"",GetStripDefaultProbability(A238,B238,Parameter_Date,CDSRollDate,E238:M238,SpreadCurveMaturities,D238,C238,$J$4,$J$6))</f>
        <v>0</v>
      </c>
      <c r="O238" s="166">
        <f ca="1"/>
        <v>0</v>
      </c>
      <c r="P238" s="166">
        <f ca="1"/>
        <v>1.8199544924927258E-3</v>
      </c>
      <c r="Q238" s="166">
        <f ca="1"/>
        <v>0</v>
      </c>
      <c r="R238" s="166">
        <f ca="1"/>
        <v>9.4070731454407586E-3</v>
      </c>
      <c r="S238" s="166">
        <f ca="1"/>
        <v>0</v>
      </c>
      <c r="T238" s="166">
        <f ca="1"/>
        <v>2.3042183975149788E-2</v>
      </c>
      <c r="U238" s="166">
        <f ca="1"/>
        <v>4.2835481869356151E-2</v>
      </c>
      <c r="V238" s="140">
        <f ca="1"/>
        <v>7.7908890147071586E-2</v>
      </c>
      <c r="W238" s="139">
        <f ca="1"/>
        <v>0</v>
      </c>
      <c r="X238" s="166">
        <f ca="1"/>
        <v>0</v>
      </c>
      <c r="Y238" s="166">
        <f ca="1"/>
        <v>1.9863039705703134E-3</v>
      </c>
      <c r="Z238" s="166">
        <f ca="1"/>
        <v>0</v>
      </c>
      <c r="AA238" s="166">
        <f ca="1"/>
        <v>9.9158046814982193E-3</v>
      </c>
      <c r="AB238" s="166">
        <f ca="1"/>
        <v>0</v>
      </c>
      <c r="AC238" s="166">
        <f ca="1"/>
        <v>2.4173002229335494E-2</v>
      </c>
      <c r="AD238" s="166">
        <f ca="1"/>
        <v>4.4931565149917252E-2</v>
      </c>
      <c r="AE238" s="140">
        <f ca="1"/>
        <v>8.1680327281730025E-2</v>
      </c>
      <c r="AI238" s="137">
        <v>1.8E-3</v>
      </c>
      <c r="AK238" s="137">
        <v>9.2999999999999992E-3</v>
      </c>
      <c r="AM238" s="137">
        <v>2.29E-2</v>
      </c>
      <c r="AN238" s="137">
        <v>4.2599999999999999E-2</v>
      </c>
      <c r="AO238" s="137">
        <v>7.7600000000000002E-2</v>
      </c>
      <c r="AR238" s="137">
        <v>2E-3</v>
      </c>
      <c r="AT238" s="137">
        <v>9.7999999999999997E-3</v>
      </c>
      <c r="AV238" s="137">
        <v>2.4E-2</v>
      </c>
      <c r="AW238" s="137">
        <v>4.4699999999999997E-2</v>
      </c>
      <c r="AX238" s="137">
        <v>8.1299999999999997E-2</v>
      </c>
    </row>
    <row r="239" spans="1:50" s="79" customFormat="1" ht="10.199999999999999" x14ac:dyDescent="0.2">
      <c r="A239" s="97">
        <f t="shared" ca="1" si="6"/>
        <v>228</v>
      </c>
      <c r="B239" s="68" t="s">
        <v>316</v>
      </c>
      <c r="C239" s="98">
        <v>0.4</v>
      </c>
      <c r="D239" s="69" t="s">
        <v>67</v>
      </c>
      <c r="E239" s="138" t="s">
        <v>87</v>
      </c>
      <c r="F239" s="159" t="s">
        <v>87</v>
      </c>
      <c r="G239" s="159">
        <v>6.02E-4</v>
      </c>
      <c r="H239" s="159" t="s">
        <v>87</v>
      </c>
      <c r="I239" s="159">
        <v>2.0270000000000002E-3</v>
      </c>
      <c r="J239" s="159" t="s">
        <v>87</v>
      </c>
      <c r="K239" s="159">
        <v>2.5089999999999999E-3</v>
      </c>
      <c r="L239" s="159">
        <v>3.4740000000000001E-3</v>
      </c>
      <c r="M239" s="159">
        <v>4.4390000000000002E-3</v>
      </c>
      <c r="N239" s="139">
        <f t="array" aca="1" ref="N239:AE239" ca="1">IF(OR(B239="",NOT($J$2)),"",GetStripDefaultProbability(A239,B239,Parameter_Date,CDSRollDate,E239:M239,SpreadCurveMaturities,D239,C239,$J$4,$J$6))</f>
        <v>0</v>
      </c>
      <c r="O239" s="166">
        <f ca="1"/>
        <v>0</v>
      </c>
      <c r="P239" s="166">
        <f ca="1"/>
        <v>1.0620400121212903E-3</v>
      </c>
      <c r="Q239" s="166">
        <f ca="1"/>
        <v>0</v>
      </c>
      <c r="R239" s="166">
        <f ca="1"/>
        <v>1.0617765352178621E-2</v>
      </c>
      <c r="S239" s="166">
        <f ca="1"/>
        <v>0</v>
      </c>
      <c r="T239" s="166">
        <f ca="1"/>
        <v>2.1609878328358367E-2</v>
      </c>
      <c r="U239" s="166">
        <f ca="1"/>
        <v>4.2785067790999554E-2</v>
      </c>
      <c r="V239" s="140">
        <f ca="1"/>
        <v>7.8097282379131494E-2</v>
      </c>
      <c r="W239" s="139">
        <f ca="1"/>
        <v>0</v>
      </c>
      <c r="X239" s="166">
        <f ca="1"/>
        <v>0</v>
      </c>
      <c r="Y239" s="166">
        <f ca="1"/>
        <v>1.2285157987452777E-3</v>
      </c>
      <c r="Z239" s="166">
        <f ca="1"/>
        <v>0</v>
      </c>
      <c r="AA239" s="166">
        <f ca="1"/>
        <v>1.1133615360263471E-2</v>
      </c>
      <c r="AB239" s="166">
        <f ca="1"/>
        <v>0</v>
      </c>
      <c r="AC239" s="166">
        <f ca="1"/>
        <v>2.2673595755316023E-2</v>
      </c>
      <c r="AD239" s="166">
        <f ca="1"/>
        <v>4.4879345452906727E-2</v>
      </c>
      <c r="AE239" s="140">
        <f ca="1"/>
        <v>8.1886258736121098E-2</v>
      </c>
      <c r="AI239" s="137">
        <v>1E-3</v>
      </c>
      <c r="AK239" s="137">
        <v>1.0500000000000001E-2</v>
      </c>
      <c r="AM239" s="137">
        <v>2.1499999999999998E-2</v>
      </c>
      <c r="AN239" s="137">
        <v>4.24E-2</v>
      </c>
      <c r="AO239" s="137">
        <v>7.8E-2</v>
      </c>
      <c r="AR239" s="137">
        <v>1.1999999999999999E-3</v>
      </c>
      <c r="AT239" s="137">
        <v>1.0999999999999999E-2</v>
      </c>
      <c r="AV239" s="137">
        <v>2.2599999999999999E-2</v>
      </c>
      <c r="AW239" s="137">
        <v>4.4499999999999998E-2</v>
      </c>
      <c r="AX239" s="137">
        <v>8.1799999999999998E-2</v>
      </c>
    </row>
    <row r="240" spans="1:50" s="79" customFormat="1" ht="10.199999999999999" x14ac:dyDescent="0.2">
      <c r="A240" s="97">
        <f t="shared" ca="1" si="6"/>
        <v>229</v>
      </c>
      <c r="B240" s="68" t="s">
        <v>317</v>
      </c>
      <c r="C240" s="98">
        <v>0.4</v>
      </c>
      <c r="D240" s="69" t="s">
        <v>67</v>
      </c>
      <c r="E240" s="138" t="s">
        <v>87</v>
      </c>
      <c r="F240" s="159" t="s">
        <v>87</v>
      </c>
      <c r="G240" s="159">
        <v>9.41E-4</v>
      </c>
      <c r="H240" s="159" t="s">
        <v>87</v>
      </c>
      <c r="I240" s="159">
        <v>2.0409999999999998E-3</v>
      </c>
      <c r="J240" s="159" t="s">
        <v>87</v>
      </c>
      <c r="K240" s="159">
        <v>3.1359999999999999E-3</v>
      </c>
      <c r="L240" s="159">
        <v>4.032E-3</v>
      </c>
      <c r="M240" s="159">
        <v>5.0280000000000004E-3</v>
      </c>
      <c r="N240" s="139">
        <f t="array" aca="1" ref="N240:AE240" ca="1">IF(OR(B240="",NOT($J$2)),"",GetStripDefaultProbability(A240,B240,Parameter_Date,CDSRollDate,E240:M240,SpreadCurveMaturities,D240,C240,$J$4,$J$6))</f>
        <v>0</v>
      </c>
      <c r="O240" s="166">
        <f ca="1"/>
        <v>0</v>
      </c>
      <c r="P240" s="166">
        <f ca="1"/>
        <v>1.6596062541486267E-3</v>
      </c>
      <c r="Q240" s="166">
        <f ca="1"/>
        <v>0</v>
      </c>
      <c r="R240" s="166">
        <f ca="1"/>
        <v>1.0605574095949533E-2</v>
      </c>
      <c r="S240" s="166">
        <f ca="1"/>
        <v>0</v>
      </c>
      <c r="T240" s="166">
        <f ca="1"/>
        <v>2.7293621870189577E-2</v>
      </c>
      <c r="U240" s="166">
        <f ca="1"/>
        <v>4.9323557589823985E-2</v>
      </c>
      <c r="V240" s="140">
        <f ca="1"/>
        <v>8.8042843216454503E-2</v>
      </c>
      <c r="W240" s="139">
        <f ca="1"/>
        <v>0</v>
      </c>
      <c r="X240" s="166">
        <f ca="1"/>
        <v>0</v>
      </c>
      <c r="Y240" s="166">
        <f ca="1"/>
        <v>1.8259824546933423E-3</v>
      </c>
      <c r="Z240" s="166">
        <f ca="1"/>
        <v>0</v>
      </c>
      <c r="AA240" s="166">
        <f ca="1"/>
        <v>1.1124641614009279E-2</v>
      </c>
      <c r="AB240" s="166">
        <f ca="1"/>
        <v>0</v>
      </c>
      <c r="AC240" s="166">
        <f ca="1"/>
        <v>2.8640391622297368E-2</v>
      </c>
      <c r="AD240" s="166">
        <f ca="1"/>
        <v>5.1735472770818136E-2</v>
      </c>
      <c r="AE240" s="140">
        <f ca="1"/>
        <v>9.2299384388047079E-2</v>
      </c>
      <c r="AI240" s="137">
        <v>1.6000000000000001E-3</v>
      </c>
      <c r="AK240" s="137">
        <v>1.0500000000000001E-2</v>
      </c>
      <c r="AM240" s="137">
        <v>2.7099999999999999E-2</v>
      </c>
      <c r="AN240" s="137">
        <v>4.9000000000000002E-2</v>
      </c>
      <c r="AO240" s="137">
        <v>8.7599999999999997E-2</v>
      </c>
      <c r="AR240" s="137">
        <v>1.8E-3</v>
      </c>
      <c r="AT240" s="137">
        <v>1.0999999999999999E-2</v>
      </c>
      <c r="AV240" s="137">
        <v>2.8400000000000002E-2</v>
      </c>
      <c r="AW240" s="137">
        <v>5.1400000000000001E-2</v>
      </c>
      <c r="AX240" s="137">
        <v>9.1899999999999996E-2</v>
      </c>
    </row>
    <row r="241" spans="1:50" s="79" customFormat="1" ht="10.199999999999999" x14ac:dyDescent="0.2">
      <c r="A241" s="97">
        <f t="shared" ca="1" si="6"/>
        <v>230</v>
      </c>
      <c r="B241" s="68" t="s">
        <v>318</v>
      </c>
      <c r="C241" s="98">
        <v>0.4</v>
      </c>
      <c r="D241" s="69" t="s">
        <v>67</v>
      </c>
      <c r="E241" s="138" t="s">
        <v>87</v>
      </c>
      <c r="F241" s="159" t="s">
        <v>87</v>
      </c>
      <c r="G241" s="159">
        <v>1.0070000000000001E-3</v>
      </c>
      <c r="H241" s="159" t="s">
        <v>87</v>
      </c>
      <c r="I241" s="159">
        <v>2.4489999999999998E-3</v>
      </c>
      <c r="J241" s="159" t="s">
        <v>87</v>
      </c>
      <c r="K241" s="159">
        <v>2.7989999999999998E-3</v>
      </c>
      <c r="L241" s="159">
        <v>3.388E-3</v>
      </c>
      <c r="M241" s="159">
        <v>3.7799999999999999E-3</v>
      </c>
      <c r="N241" s="139">
        <f t="array" aca="1" ref="N241:AE241" ca="1">IF(OR(B241="",NOT($J$2)),"",GetStripDefaultProbability(A241,B241,Parameter_Date,CDSRollDate,E241:M241,SpreadCurveMaturities,D241,C241,$J$4,$J$6))</f>
        <v>0</v>
      </c>
      <c r="O241" s="166">
        <f ca="1"/>
        <v>0</v>
      </c>
      <c r="P241" s="166">
        <f ca="1"/>
        <v>1.7759053246080292E-3</v>
      </c>
      <c r="Q241" s="166">
        <f ca="1"/>
        <v>0</v>
      </c>
      <c r="R241" s="166">
        <f ca="1"/>
        <v>1.2761496041778453E-2</v>
      </c>
      <c r="S241" s="166">
        <f ca="1"/>
        <v>0</v>
      </c>
      <c r="T241" s="166">
        <f ca="1"/>
        <v>2.3909718404409919E-2</v>
      </c>
      <c r="U241" s="166">
        <f ca="1"/>
        <v>4.0972930904510485E-2</v>
      </c>
      <c r="V241" s="140">
        <f ca="1"/>
        <v>6.4571469140562332E-2</v>
      </c>
      <c r="W241" s="139">
        <f ca="1"/>
        <v>0</v>
      </c>
      <c r="X241" s="166">
        <f ca="1"/>
        <v>0</v>
      </c>
      <c r="Y241" s="166">
        <f ca="1"/>
        <v>1.9422621435909448E-3</v>
      </c>
      <c r="Z241" s="166">
        <f ca="1"/>
        <v>0</v>
      </c>
      <c r="AA241" s="166">
        <f ca="1"/>
        <v>1.3387496930865828E-2</v>
      </c>
      <c r="AB241" s="166">
        <f ca="1"/>
        <v>0</v>
      </c>
      <c r="AC241" s="166">
        <f ca="1"/>
        <v>2.5087590739608645E-2</v>
      </c>
      <c r="AD241" s="166">
        <f ca="1"/>
        <v>4.2978859560997562E-2</v>
      </c>
      <c r="AE241" s="140">
        <f ca="1"/>
        <v>6.7706880568405681E-2</v>
      </c>
      <c r="AI241" s="137">
        <v>1.8E-3</v>
      </c>
      <c r="AK241" s="137">
        <v>1.26E-2</v>
      </c>
      <c r="AM241" s="137">
        <v>2.3800000000000002E-2</v>
      </c>
      <c r="AN241" s="137">
        <v>4.07E-2</v>
      </c>
      <c r="AO241" s="137">
        <v>6.4699999999999994E-2</v>
      </c>
      <c r="AR241" s="137">
        <v>1.9E-3</v>
      </c>
      <c r="AT241" s="137">
        <v>1.32E-2</v>
      </c>
      <c r="AV241" s="137">
        <v>2.5000000000000001E-2</v>
      </c>
      <c r="AW241" s="137">
        <v>4.2700000000000002E-2</v>
      </c>
      <c r="AX241" s="137">
        <v>6.7799999999999999E-2</v>
      </c>
    </row>
    <row r="242" spans="1:50" s="79" customFormat="1" ht="10.199999999999999" x14ac:dyDescent="0.2">
      <c r="A242" s="97">
        <f t="shared" ca="1" si="6"/>
        <v>231</v>
      </c>
      <c r="B242" s="68" t="s">
        <v>319</v>
      </c>
      <c r="C242" s="98">
        <v>0.4</v>
      </c>
      <c r="D242" s="69" t="s">
        <v>67</v>
      </c>
      <c r="E242" s="138" t="s">
        <v>87</v>
      </c>
      <c r="F242" s="159" t="s">
        <v>87</v>
      </c>
      <c r="G242" s="159">
        <v>2.0790000000000001E-3</v>
      </c>
      <c r="H242" s="159" t="s">
        <v>87</v>
      </c>
      <c r="I242" s="159">
        <v>3.5140000000000002E-3</v>
      </c>
      <c r="J242" s="159" t="s">
        <v>87</v>
      </c>
      <c r="K242" s="159">
        <v>5.1630000000000001E-3</v>
      </c>
      <c r="L242" s="159">
        <v>6.1060000000000003E-3</v>
      </c>
      <c r="M242" s="159">
        <v>6.9950000000000003E-3</v>
      </c>
      <c r="N242" s="139">
        <f t="array" aca="1" ref="N242:AE242" ca="1">IF(OR(B242="",NOT($J$2)),"",GetStripDefaultProbability(A242,B242,Parameter_Date,CDSRollDate,E242:M242,SpreadCurveMaturities,D242,C242,$J$4,$J$6))</f>
        <v>0</v>
      </c>
      <c r="O242" s="166">
        <f ca="1"/>
        <v>0</v>
      </c>
      <c r="P242" s="166">
        <f ca="1"/>
        <v>3.6630035323164112E-3</v>
      </c>
      <c r="Q242" s="166">
        <f ca="1"/>
        <v>0</v>
      </c>
      <c r="R242" s="166">
        <f ca="1"/>
        <v>1.8140783950032047E-2</v>
      </c>
      <c r="S242" s="166">
        <f ca="1"/>
        <v>0</v>
      </c>
      <c r="T242" s="166">
        <f ca="1"/>
        <v>4.4479789424049621E-2</v>
      </c>
      <c r="U242" s="166">
        <f ca="1"/>
        <v>7.3102193541804916E-2</v>
      </c>
      <c r="V242" s="140">
        <f ca="1"/>
        <v>0.11843885353821748</v>
      </c>
      <c r="W242" s="139">
        <f ca="1"/>
        <v>0</v>
      </c>
      <c r="X242" s="166">
        <f ca="1"/>
        <v>0</v>
      </c>
      <c r="Y242" s="166">
        <f ca="1"/>
        <v>3.8356039650222495E-3</v>
      </c>
      <c r="Z242" s="166">
        <f ca="1"/>
        <v>0</v>
      </c>
      <c r="AA242" s="166">
        <f ca="1"/>
        <v>1.9042371767344357E-2</v>
      </c>
      <c r="AB242" s="166">
        <f ca="1"/>
        <v>0</v>
      </c>
      <c r="AC242" s="166">
        <f ca="1"/>
        <v>4.6666789135773268E-2</v>
      </c>
      <c r="AD242" s="166">
        <f ca="1"/>
        <v>7.6651235719392252E-2</v>
      </c>
      <c r="AE242" s="140">
        <f ca="1"/>
        <v>0.12406583937439342</v>
      </c>
      <c r="AI242" s="137">
        <v>3.5999999999999999E-3</v>
      </c>
      <c r="AK242" s="137">
        <v>1.7899999999999999E-2</v>
      </c>
      <c r="AM242" s="137">
        <v>4.41E-2</v>
      </c>
      <c r="AN242" s="137">
        <v>7.2800000000000004E-2</v>
      </c>
      <c r="AO242" s="137">
        <v>0.1179</v>
      </c>
      <c r="AR242" s="137">
        <v>3.8E-3</v>
      </c>
      <c r="AT242" s="137">
        <v>1.8800000000000001E-2</v>
      </c>
      <c r="AV242" s="137">
        <v>4.6300000000000001E-2</v>
      </c>
      <c r="AW242" s="137">
        <v>7.6300000000000007E-2</v>
      </c>
      <c r="AX242" s="137">
        <v>0.1235</v>
      </c>
    </row>
    <row r="243" spans="1:50" s="79" customFormat="1" ht="10.199999999999999" x14ac:dyDescent="0.2">
      <c r="A243" s="97">
        <f t="shared" ca="1" si="6"/>
        <v>232</v>
      </c>
      <c r="B243" s="68" t="s">
        <v>320</v>
      </c>
      <c r="C243" s="98">
        <v>0.4</v>
      </c>
      <c r="D243" s="69" t="s">
        <v>67</v>
      </c>
      <c r="E243" s="138" t="s">
        <v>87</v>
      </c>
      <c r="F243" s="159" t="s">
        <v>87</v>
      </c>
      <c r="G243" s="159">
        <v>6.9099999999999999E-4</v>
      </c>
      <c r="H243" s="159" t="s">
        <v>87</v>
      </c>
      <c r="I243" s="159">
        <v>2.895E-3</v>
      </c>
      <c r="J243" s="159" t="s">
        <v>87</v>
      </c>
      <c r="K243" s="159">
        <v>4.1980000000000003E-3</v>
      </c>
      <c r="L243" s="159">
        <v>5.3080000000000002E-3</v>
      </c>
      <c r="M243" s="159">
        <v>6.5620000000000001E-3</v>
      </c>
      <c r="N243" s="139">
        <f t="array" aca="1" ref="N243:AE243" ca="1">IF(OR(B243="",NOT($J$2)),"",GetStripDefaultProbability(A243,B243,Parameter_Date,CDSRollDate,E243:M243,SpreadCurveMaturities,D243,C243,$J$4,$J$6))</f>
        <v>0</v>
      </c>
      <c r="O243" s="166">
        <f ca="1"/>
        <v>0</v>
      </c>
      <c r="P243" s="166">
        <f ca="1"/>
        <v>1.2189575389079943E-3</v>
      </c>
      <c r="Q243" s="166">
        <f ca="1"/>
        <v>0</v>
      </c>
      <c r="R243" s="166">
        <f ca="1"/>
        <v>1.5178883529769704E-2</v>
      </c>
      <c r="S243" s="166">
        <f ca="1"/>
        <v>0</v>
      </c>
      <c r="T243" s="166">
        <f ca="1"/>
        <v>3.6364674908555772E-2</v>
      </c>
      <c r="U243" s="166">
        <f ca="1"/>
        <v>6.4497532622384335E-2</v>
      </c>
      <c r="V243" s="140">
        <f ca="1"/>
        <v>0.11341114496411697</v>
      </c>
      <c r="W243" s="139">
        <f ca="1"/>
        <v>0</v>
      </c>
      <c r="X243" s="166">
        <f ca="1"/>
        <v>0</v>
      </c>
      <c r="Y243" s="166">
        <f ca="1"/>
        <v>1.3854071748048424E-3</v>
      </c>
      <c r="Z243" s="166">
        <f ca="1"/>
        <v>0</v>
      </c>
      <c r="AA243" s="166">
        <f ca="1"/>
        <v>1.5921622724900608E-2</v>
      </c>
      <c r="AB243" s="166">
        <f ca="1"/>
        <v>0</v>
      </c>
      <c r="AC243" s="166">
        <f ca="1"/>
        <v>3.8151519856212013E-2</v>
      </c>
      <c r="AD243" s="166">
        <f ca="1"/>
        <v>6.7633122063173845E-2</v>
      </c>
      <c r="AE243" s="140">
        <f ca="1"/>
        <v>0.11883141546125631</v>
      </c>
      <c r="AI243" s="137">
        <v>1.1999999999999999E-3</v>
      </c>
      <c r="AK243" s="137">
        <v>1.49E-2</v>
      </c>
      <c r="AM243" s="137">
        <v>3.61E-2</v>
      </c>
      <c r="AN243" s="137">
        <v>6.4100000000000004E-2</v>
      </c>
      <c r="AO243" s="137">
        <v>0.113</v>
      </c>
      <c r="AR243" s="137">
        <v>1.4E-3</v>
      </c>
      <c r="AT243" s="137">
        <v>1.5699999999999999E-2</v>
      </c>
      <c r="AV243" s="137">
        <v>3.7900000000000003E-2</v>
      </c>
      <c r="AW243" s="137">
        <v>6.7199999999999996E-2</v>
      </c>
      <c r="AX243" s="137">
        <v>0.11840000000000001</v>
      </c>
    </row>
    <row r="244" spans="1:50" s="79" customFormat="1" ht="10.199999999999999" x14ac:dyDescent="0.2">
      <c r="A244" s="97">
        <f t="shared" ca="1" si="6"/>
        <v>233</v>
      </c>
      <c r="B244" s="68" t="s">
        <v>321</v>
      </c>
      <c r="C244" s="98">
        <v>0.4</v>
      </c>
      <c r="D244" s="69" t="s">
        <v>67</v>
      </c>
      <c r="E244" s="138" t="s">
        <v>87</v>
      </c>
      <c r="F244" s="159" t="s">
        <v>87</v>
      </c>
      <c r="G244" s="159">
        <v>2.5040000000000001E-3</v>
      </c>
      <c r="H244" s="159" t="s">
        <v>87</v>
      </c>
      <c r="I244" s="159">
        <v>6.2230000000000002E-3</v>
      </c>
      <c r="J244" s="159" t="s">
        <v>87</v>
      </c>
      <c r="K244" s="159">
        <v>8.3470000000000003E-3</v>
      </c>
      <c r="L244" s="159">
        <v>9.9769999999999998E-3</v>
      </c>
      <c r="M244" s="159">
        <v>1.2248999999999999E-2</v>
      </c>
      <c r="N244" s="139">
        <f t="array" aca="1" ref="N244:AE244" ca="1">IF(OR(B244="",NOT($J$2)),"",GetStripDefaultProbability(A244,B244,Parameter_Date,CDSRollDate,E244:M244,SpreadCurveMaturities,D244,C244,$J$4,$J$6))</f>
        <v>0</v>
      </c>
      <c r="O244" s="166">
        <f ca="1"/>
        <v>0</v>
      </c>
      <c r="P244" s="166">
        <f ca="1"/>
        <v>4.4101740211707208E-3</v>
      </c>
      <c r="Q244" s="166">
        <f ca="1"/>
        <v>0</v>
      </c>
      <c r="R244" s="166">
        <f ca="1"/>
        <v>3.2225295819831579E-2</v>
      </c>
      <c r="S244" s="166">
        <f ca="1"/>
        <v>0</v>
      </c>
      <c r="T244" s="166">
        <f ca="1"/>
        <v>7.0861480300029367E-2</v>
      </c>
      <c r="U244" s="166">
        <f ca="1"/>
        <v>0.11744889608804965</v>
      </c>
      <c r="V244" s="140">
        <f ca="1"/>
        <v>0.20288154998333663</v>
      </c>
      <c r="W244" s="139">
        <f ca="1"/>
        <v>0</v>
      </c>
      <c r="X244" s="166">
        <f ca="1"/>
        <v>0</v>
      </c>
      <c r="Y244" s="166">
        <f ca="1"/>
        <v>4.6178987581454445E-3</v>
      </c>
      <c r="Z244" s="166">
        <f ca="1"/>
        <v>0</v>
      </c>
      <c r="AA244" s="166">
        <f ca="1"/>
        <v>3.3819779351827783E-2</v>
      </c>
      <c r="AB244" s="166">
        <f ca="1"/>
        <v>0</v>
      </c>
      <c r="AC244" s="166">
        <f ca="1"/>
        <v>7.4305303243360932E-2</v>
      </c>
      <c r="AD244" s="166">
        <f ca="1"/>
        <v>0.12304361148788356</v>
      </c>
      <c r="AE244" s="140">
        <f ca="1"/>
        <v>0.21218743676070395</v>
      </c>
      <c r="AI244" s="137">
        <v>4.4000000000000003E-3</v>
      </c>
      <c r="AK244" s="137">
        <v>3.1800000000000002E-2</v>
      </c>
      <c r="AM244" s="137">
        <v>7.0400000000000004E-2</v>
      </c>
      <c r="AN244" s="137">
        <v>0.1167</v>
      </c>
      <c r="AO244" s="137">
        <v>0.20180000000000001</v>
      </c>
      <c r="AR244" s="137">
        <v>4.5999999999999999E-3</v>
      </c>
      <c r="AT244" s="137">
        <v>3.3300000000000003E-2</v>
      </c>
      <c r="AV244" s="137">
        <v>7.3800000000000004E-2</v>
      </c>
      <c r="AW244" s="137">
        <v>0.1222</v>
      </c>
      <c r="AX244" s="137">
        <v>0.21110000000000001</v>
      </c>
    </row>
    <row r="245" spans="1:50" s="79" customFormat="1" ht="10.199999999999999" x14ac:dyDescent="0.2">
      <c r="A245" s="97">
        <f t="shared" ca="1" si="6"/>
        <v>234</v>
      </c>
      <c r="B245" s="68" t="s">
        <v>322</v>
      </c>
      <c r="C245" s="98">
        <v>0.4</v>
      </c>
      <c r="D245" s="69" t="s">
        <v>67</v>
      </c>
      <c r="E245" s="138" t="s">
        <v>87</v>
      </c>
      <c r="F245" s="159" t="s">
        <v>87</v>
      </c>
      <c r="G245" s="159">
        <v>3.1319999999999998E-3</v>
      </c>
      <c r="H245" s="159" t="s">
        <v>87</v>
      </c>
      <c r="I245" s="159">
        <v>7.0920000000000002E-3</v>
      </c>
      <c r="J245" s="159" t="s">
        <v>87</v>
      </c>
      <c r="K245" s="159">
        <v>1.155E-2</v>
      </c>
      <c r="L245" s="159">
        <v>1.3374E-2</v>
      </c>
      <c r="M245" s="159">
        <v>1.5500999999999999E-2</v>
      </c>
      <c r="N245" s="139">
        <f t="array" aca="1" ref="N245:AE245" ca="1">IF(OR(B245="",NOT($J$2)),"",GetStripDefaultProbability(A245,B245,Parameter_Date,CDSRollDate,E245:M245,SpreadCurveMaturities,D245,C245,$J$4,$J$6))</f>
        <v>0</v>
      </c>
      <c r="O245" s="166">
        <f ca="1"/>
        <v>0</v>
      </c>
      <c r="P245" s="166">
        <f ca="1"/>
        <v>5.5132121560117486E-3</v>
      </c>
      <c r="Q245" s="166">
        <f ca="1"/>
        <v>0</v>
      </c>
      <c r="R245" s="166">
        <f ca="1"/>
        <v>3.660336608662107E-2</v>
      </c>
      <c r="S245" s="166">
        <f ca="1"/>
        <v>0</v>
      </c>
      <c r="T245" s="166">
        <f ca="1"/>
        <v>9.8450473135209382E-2</v>
      </c>
      <c r="U245" s="166">
        <f ca="1"/>
        <v>0.15516119559975217</v>
      </c>
      <c r="V245" s="140">
        <f ca="1"/>
        <v>0.24934152960915734</v>
      </c>
      <c r="W245" s="139">
        <f ca="1"/>
        <v>0</v>
      </c>
      <c r="X245" s="166">
        <f ca="1"/>
        <v>0</v>
      </c>
      <c r="Y245" s="166">
        <f ca="1"/>
        <v>5.7727393378818048E-3</v>
      </c>
      <c r="Z245" s="166">
        <f ca="1"/>
        <v>0</v>
      </c>
      <c r="AA245" s="166">
        <f ca="1"/>
        <v>3.8411085942172352E-2</v>
      </c>
      <c r="AB245" s="166">
        <f ca="1"/>
        <v>0</v>
      </c>
      <c r="AC245" s="166">
        <f ca="1"/>
        <v>0.1032021247834648</v>
      </c>
      <c r="AD245" s="166">
        <f ca="1"/>
        <v>0.16243163921839421</v>
      </c>
      <c r="AE245" s="140">
        <f ca="1"/>
        <v>0.26047648505968424</v>
      </c>
      <c r="AI245" s="137">
        <v>5.4000000000000003E-3</v>
      </c>
      <c r="AK245" s="137">
        <v>3.61E-2</v>
      </c>
      <c r="AM245" s="137">
        <v>9.7500000000000003E-2</v>
      </c>
      <c r="AN245" s="137">
        <v>0.15440000000000001</v>
      </c>
      <c r="AO245" s="137">
        <v>0.2475</v>
      </c>
      <c r="AR245" s="137">
        <v>5.7000000000000002E-3</v>
      </c>
      <c r="AT245" s="137">
        <v>3.7900000000000003E-2</v>
      </c>
      <c r="AV245" s="137">
        <v>0.1022</v>
      </c>
      <c r="AW245" s="137">
        <v>0.16159999999999999</v>
      </c>
      <c r="AX245" s="137">
        <v>0.25850000000000001</v>
      </c>
    </row>
    <row r="246" spans="1:50" s="79" customFormat="1" ht="10.199999999999999" x14ac:dyDescent="0.2">
      <c r="A246" s="97">
        <f t="shared" ca="1" si="6"/>
        <v>235</v>
      </c>
      <c r="B246" s="68" t="s">
        <v>323</v>
      </c>
      <c r="C246" s="98">
        <v>0.4</v>
      </c>
      <c r="D246" s="69" t="s">
        <v>67</v>
      </c>
      <c r="E246" s="138" t="s">
        <v>87</v>
      </c>
      <c r="F246" s="159" t="s">
        <v>87</v>
      </c>
      <c r="G246" s="159">
        <v>6.3900000000000003E-4</v>
      </c>
      <c r="H246" s="159" t="s">
        <v>87</v>
      </c>
      <c r="I246" s="159">
        <v>1.4480000000000001E-3</v>
      </c>
      <c r="J246" s="159" t="s">
        <v>87</v>
      </c>
      <c r="K246" s="159">
        <v>2.5569999999999998E-3</v>
      </c>
      <c r="L246" s="159">
        <v>3.3289999999999999E-3</v>
      </c>
      <c r="M246" s="159">
        <v>4.3429999999999996E-3</v>
      </c>
      <c r="N246" s="139">
        <f t="array" aca="1" ref="N246:AE246" ca="1">IF(OR(B246="",NOT($J$2)),"",GetStripDefaultProbability(A246,B246,Parameter_Date,CDSRollDate,E246:M246,SpreadCurveMaturities,D246,C246,$J$4,$J$6))</f>
        <v>0</v>
      </c>
      <c r="O246" s="166">
        <f ca="1"/>
        <v>0</v>
      </c>
      <c r="P246" s="166">
        <f ca="1"/>
        <v>1.1272783598541558E-3</v>
      </c>
      <c r="Q246" s="166">
        <f ca="1"/>
        <v>0</v>
      </c>
      <c r="R246" s="166">
        <f ca="1"/>
        <v>7.5409124609451261E-3</v>
      </c>
      <c r="S246" s="166">
        <f ca="1"/>
        <v>0</v>
      </c>
      <c r="T246" s="166">
        <f ca="1"/>
        <v>2.2465167545029474E-2</v>
      </c>
      <c r="U246" s="166">
        <f ca="1"/>
        <v>4.1005002398616819E-2</v>
      </c>
      <c r="V246" s="140">
        <f ca="1"/>
        <v>7.7236320633652711E-2</v>
      </c>
      <c r="W246" s="139">
        <f ca="1"/>
        <v>0</v>
      </c>
      <c r="X246" s="166">
        <f ca="1"/>
        <v>0</v>
      </c>
      <c r="Y246" s="166">
        <f ca="1"/>
        <v>1.2937432743219679E-3</v>
      </c>
      <c r="Z246" s="166">
        <f ca="1"/>
        <v>0</v>
      </c>
      <c r="AA246" s="166">
        <f ca="1"/>
        <v>8.0506020804604894E-3</v>
      </c>
      <c r="AB246" s="166">
        <f ca="1"/>
        <v>0</v>
      </c>
      <c r="AC246" s="166">
        <f ca="1"/>
        <v>2.3552786730159703E-2</v>
      </c>
      <c r="AD246" s="166">
        <f ca="1"/>
        <v>4.3001927740022095E-2</v>
      </c>
      <c r="AE246" s="140">
        <f ca="1"/>
        <v>8.0961215236551753E-2</v>
      </c>
      <c r="AI246" s="137">
        <v>1.1000000000000001E-3</v>
      </c>
      <c r="AK246" s="137">
        <v>7.4999999999999997E-3</v>
      </c>
      <c r="AM246" s="137">
        <v>2.23E-2</v>
      </c>
      <c r="AN246" s="137">
        <v>4.0800000000000003E-2</v>
      </c>
      <c r="AO246" s="137">
        <v>7.6700000000000004E-2</v>
      </c>
      <c r="AR246" s="137">
        <v>1.2999999999999999E-3</v>
      </c>
      <c r="AT246" s="137">
        <v>8.0000000000000002E-3</v>
      </c>
      <c r="AV246" s="137">
        <v>2.3300000000000001E-2</v>
      </c>
      <c r="AW246" s="137">
        <v>4.2799999999999998E-2</v>
      </c>
      <c r="AX246" s="137">
        <v>8.0399999999999999E-2</v>
      </c>
    </row>
    <row r="247" spans="1:50" s="79" customFormat="1" ht="10.199999999999999" x14ac:dyDescent="0.2">
      <c r="A247" s="97">
        <f t="shared" ca="1" si="6"/>
        <v>236</v>
      </c>
      <c r="B247" s="68" t="s">
        <v>324</v>
      </c>
      <c r="C247" s="98">
        <v>0.4</v>
      </c>
      <c r="D247" s="69" t="s">
        <v>67</v>
      </c>
      <c r="E247" s="138" t="s">
        <v>87</v>
      </c>
      <c r="F247" s="159" t="s">
        <v>87</v>
      </c>
      <c r="G247" s="159">
        <v>6.0999999999999997E-4</v>
      </c>
      <c r="H247" s="159" t="s">
        <v>87</v>
      </c>
      <c r="I247" s="159">
        <v>2.3159999999999999E-3</v>
      </c>
      <c r="J247" s="159" t="s">
        <v>87</v>
      </c>
      <c r="K247" s="159">
        <v>2.702E-3</v>
      </c>
      <c r="L247" s="159">
        <v>3.571E-3</v>
      </c>
      <c r="M247" s="159">
        <v>4.8250000000000003E-3</v>
      </c>
      <c r="N247" s="139">
        <f t="array" aca="1" ref="N247:AE247" ca="1">IF(OR(B247="",NOT($J$2)),"",GetStripDefaultProbability(A247,B247,Parameter_Date,CDSRollDate,E247:M247,SpreadCurveMaturities,D247,C247,$J$4,$J$6))</f>
        <v>0</v>
      </c>
      <c r="O247" s="166">
        <f ca="1"/>
        <v>0</v>
      </c>
      <c r="P247" s="166">
        <f ca="1"/>
        <v>1.0761459591452915E-3</v>
      </c>
      <c r="Q247" s="166">
        <f ca="1"/>
        <v>0</v>
      </c>
      <c r="R247" s="166">
        <f ca="1"/>
        <v>1.2142050702116824E-2</v>
      </c>
      <c r="S247" s="166">
        <f ca="1"/>
        <v>0</v>
      </c>
      <c r="T247" s="166">
        <f ca="1"/>
        <v>2.3164562583252724E-2</v>
      </c>
      <c r="U247" s="166">
        <f ca="1"/>
        <v>4.3693632900823509E-2</v>
      </c>
      <c r="V247" s="140">
        <f ca="1"/>
        <v>8.5252098299775314E-2</v>
      </c>
      <c r="W247" s="139">
        <f ca="1"/>
        <v>0</v>
      </c>
      <c r="X247" s="166">
        <f ca="1"/>
        <v>0</v>
      </c>
      <c r="Y247" s="166">
        <f ca="1"/>
        <v>1.2426193949639508E-3</v>
      </c>
      <c r="Z247" s="166">
        <f ca="1"/>
        <v>0</v>
      </c>
      <c r="AA247" s="166">
        <f ca="1"/>
        <v>1.2733575067164438E-2</v>
      </c>
      <c r="AB247" s="166">
        <f ca="1"/>
        <v>0</v>
      </c>
      <c r="AC247" s="166">
        <f ca="1"/>
        <v>2.4304137076525123E-2</v>
      </c>
      <c r="AD247" s="166">
        <f ca="1"/>
        <v>4.5830340362479793E-2</v>
      </c>
      <c r="AE247" s="140">
        <f ca="1"/>
        <v>8.9381322701258203E-2</v>
      </c>
      <c r="AI247" s="137">
        <v>1.1000000000000001E-3</v>
      </c>
      <c r="AK247" s="137">
        <v>1.2E-2</v>
      </c>
      <c r="AM247" s="137">
        <v>2.3099999999999999E-2</v>
      </c>
      <c r="AN247" s="137">
        <v>4.3299999999999998E-2</v>
      </c>
      <c r="AO247" s="137">
        <v>8.5000000000000006E-2</v>
      </c>
      <c r="AR247" s="137">
        <v>1.1999999999999999E-3</v>
      </c>
      <c r="AT247" s="137">
        <v>1.2500000000000001E-2</v>
      </c>
      <c r="AV247" s="137">
        <v>2.4199999999999999E-2</v>
      </c>
      <c r="AW247" s="137">
        <v>4.5499999999999999E-2</v>
      </c>
      <c r="AX247" s="137">
        <v>8.9099999999999999E-2</v>
      </c>
    </row>
    <row r="248" spans="1:50" s="79" customFormat="1" ht="10.199999999999999" x14ac:dyDescent="0.2">
      <c r="A248" s="97">
        <f t="shared" ca="1" si="6"/>
        <v>237</v>
      </c>
      <c r="B248" s="68" t="s">
        <v>325</v>
      </c>
      <c r="C248" s="98">
        <v>0.4</v>
      </c>
      <c r="D248" s="69" t="s">
        <v>67</v>
      </c>
      <c r="E248" s="138" t="s">
        <v>87</v>
      </c>
      <c r="F248" s="159" t="s">
        <v>87</v>
      </c>
      <c r="G248" s="159">
        <v>2.4285999999999999E-2</v>
      </c>
      <c r="H248" s="159" t="s">
        <v>87</v>
      </c>
      <c r="I248" s="159">
        <v>2.4133999999999999E-2</v>
      </c>
      <c r="J248" s="159" t="s">
        <v>87</v>
      </c>
      <c r="K248" s="159">
        <v>2.1857000000000001E-2</v>
      </c>
      <c r="L248" s="159">
        <v>2.0947E-2</v>
      </c>
      <c r="M248" s="159">
        <v>2.0036000000000002E-2</v>
      </c>
      <c r="N248" s="139">
        <f t="array" aca="1" ref="N248:AE248" ca="1">IF(OR(B248="",NOT($J$2)),"",GetStripDefaultProbability(A248,B248,Parameter_Date,CDSRollDate,E248:M248,SpreadCurveMaturities,D248,C248,$J$4,$J$6))</f>
        <v>0</v>
      </c>
      <c r="O248" s="166">
        <f ca="1"/>
        <v>0</v>
      </c>
      <c r="P248" s="166">
        <f ca="1"/>
        <v>4.197419201035224E-2</v>
      </c>
      <c r="Q248" s="166">
        <f ca="1"/>
        <v>0</v>
      </c>
      <c r="R248" s="166">
        <f ca="1"/>
        <v>0.11619934185459879</v>
      </c>
      <c r="S248" s="166">
        <f ca="1"/>
        <v>0</v>
      </c>
      <c r="T248" s="166">
        <f ca="1"/>
        <v>0.16641555697454036</v>
      </c>
      <c r="U248" s="166">
        <f ca="1"/>
        <v>0.21529571043708096</v>
      </c>
      <c r="V248" s="140">
        <f ca="1"/>
        <v>0.27805769860745522</v>
      </c>
      <c r="W248" s="139">
        <f ca="1"/>
        <v>0</v>
      </c>
      <c r="X248" s="166">
        <f ca="1"/>
        <v>0</v>
      </c>
      <c r="Y248" s="166">
        <f ca="1"/>
        <v>4.4012265124942052E-2</v>
      </c>
      <c r="Z248" s="166">
        <f ca="1"/>
        <v>0</v>
      </c>
      <c r="AA248" s="166">
        <f ca="1"/>
        <v>0.12164237155219049</v>
      </c>
      <c r="AB248" s="166">
        <f ca="1"/>
        <v>0</v>
      </c>
      <c r="AC248" s="166">
        <f ca="1"/>
        <v>0.17389861040226173</v>
      </c>
      <c r="AD248" s="166">
        <f ca="1"/>
        <v>0.22464773958179263</v>
      </c>
      <c r="AE248" s="140">
        <f ca="1"/>
        <v>0.2895067309614795</v>
      </c>
      <c r="AI248" s="137">
        <v>4.1399999999999999E-2</v>
      </c>
      <c r="AK248" s="137">
        <v>0.1157</v>
      </c>
      <c r="AM248" s="137">
        <v>0.16650000000000001</v>
      </c>
      <c r="AN248" s="137">
        <v>0.215</v>
      </c>
      <c r="AO248" s="137">
        <v>0.2787</v>
      </c>
      <c r="AR248" s="137">
        <v>4.3400000000000001E-2</v>
      </c>
      <c r="AT248" s="137">
        <v>0.1211</v>
      </c>
      <c r="AV248" s="137">
        <v>0.17399999999999999</v>
      </c>
      <c r="AW248" s="137">
        <v>0.2243</v>
      </c>
      <c r="AX248" s="137">
        <v>0.29020000000000001</v>
      </c>
    </row>
    <row r="249" spans="1:50" s="79" customFormat="1" ht="10.199999999999999" x14ac:dyDescent="0.2">
      <c r="A249" s="97">
        <f t="shared" ca="1" si="6"/>
        <v>238</v>
      </c>
      <c r="B249" s="68" t="s">
        <v>326</v>
      </c>
      <c r="C249" s="98">
        <v>0.4</v>
      </c>
      <c r="D249" s="69" t="s">
        <v>67</v>
      </c>
      <c r="E249" s="138" t="s">
        <v>87</v>
      </c>
      <c r="F249" s="159" t="s">
        <v>87</v>
      </c>
      <c r="G249" s="159">
        <v>1.5659999999999999E-3</v>
      </c>
      <c r="H249" s="159" t="s">
        <v>87</v>
      </c>
      <c r="I249" s="159">
        <v>2.3509999999999998E-3</v>
      </c>
      <c r="J249" s="159" t="s">
        <v>87</v>
      </c>
      <c r="K249" s="159">
        <v>2.7499999999999998E-3</v>
      </c>
      <c r="L249" s="159">
        <v>3.5490000000000001E-3</v>
      </c>
      <c r="M249" s="159">
        <v>4.2579999999999996E-3</v>
      </c>
      <c r="N249" s="139">
        <f t="array" aca="1" ref="N249:AE249" ca="1">IF(OR(B249="",NOT($J$2)),"",GetStripDefaultProbability(A249,B249,Parameter_Date,CDSRollDate,E249:M249,SpreadCurveMaturities,D249,C249,$J$4,$J$6))</f>
        <v>0</v>
      </c>
      <c r="O249" s="166">
        <f ca="1"/>
        <v>0</v>
      </c>
      <c r="P249" s="166">
        <f ca="1"/>
        <v>2.7603843765241498E-3</v>
      </c>
      <c r="Q249" s="166">
        <f ca="1"/>
        <v>0</v>
      </c>
      <c r="R249" s="166">
        <f ca="1"/>
        <v>1.2120508204460978E-2</v>
      </c>
      <c r="S249" s="166">
        <f ca="1"/>
        <v>0</v>
      </c>
      <c r="T249" s="166">
        <f ca="1"/>
        <v>2.3458556308305178E-2</v>
      </c>
      <c r="U249" s="166">
        <f ca="1"/>
        <v>4.3132655756559779E-2</v>
      </c>
      <c r="V249" s="140">
        <f ca="1"/>
        <v>7.3804712015114404E-2</v>
      </c>
      <c r="W249" s="139">
        <f ca="1"/>
        <v>0</v>
      </c>
      <c r="X249" s="166">
        <f ca="1"/>
        <v>0</v>
      </c>
      <c r="Y249" s="166">
        <f ca="1"/>
        <v>2.9265771293535137E-3</v>
      </c>
      <c r="Z249" s="166">
        <f ca="1"/>
        <v>0</v>
      </c>
      <c r="AA249" s="166">
        <f ca="1"/>
        <v>1.271995847768681E-2</v>
      </c>
      <c r="AB249" s="166">
        <f ca="1"/>
        <v>0</v>
      </c>
      <c r="AC249" s="166">
        <f ca="1"/>
        <v>2.4617616337886061E-2</v>
      </c>
      <c r="AD249" s="166">
        <f ca="1"/>
        <v>4.5249791473095935E-2</v>
      </c>
      <c r="AE249" s="140">
        <f ca="1"/>
        <v>7.7384154427747598E-2</v>
      </c>
      <c r="AI249" s="137">
        <v>2.7000000000000001E-3</v>
      </c>
      <c r="AK249" s="137">
        <v>1.2E-2</v>
      </c>
      <c r="AM249" s="137">
        <v>2.3400000000000001E-2</v>
      </c>
      <c r="AN249" s="137">
        <v>4.2799999999999998E-2</v>
      </c>
      <c r="AO249" s="137">
        <v>7.3700000000000002E-2</v>
      </c>
      <c r="AR249" s="137">
        <v>2.8999999999999998E-3</v>
      </c>
      <c r="AT249" s="137">
        <v>1.26E-2</v>
      </c>
      <c r="AV249" s="137">
        <v>2.4500000000000001E-2</v>
      </c>
      <c r="AW249" s="137">
        <v>4.4900000000000002E-2</v>
      </c>
      <c r="AX249" s="137">
        <v>7.7299999999999994E-2</v>
      </c>
    </row>
    <row r="250" spans="1:50" s="79" customFormat="1" ht="10.199999999999999" x14ac:dyDescent="0.2">
      <c r="A250" s="97">
        <f t="shared" ca="1" si="6"/>
        <v>239</v>
      </c>
      <c r="B250" s="68" t="s">
        <v>327</v>
      </c>
      <c r="C250" s="98">
        <v>0.4</v>
      </c>
      <c r="D250" s="69" t="s">
        <v>67</v>
      </c>
      <c r="E250" s="138" t="s">
        <v>87</v>
      </c>
      <c r="F250" s="159" t="s">
        <v>87</v>
      </c>
      <c r="G250" s="159">
        <v>6.9800000000000005E-4</v>
      </c>
      <c r="H250" s="159" t="s">
        <v>87</v>
      </c>
      <c r="I250" s="159">
        <v>1.629E-3</v>
      </c>
      <c r="J250" s="159" t="s">
        <v>87</v>
      </c>
      <c r="K250" s="159">
        <v>2.6540000000000001E-3</v>
      </c>
      <c r="L250" s="159">
        <v>3.637E-3</v>
      </c>
      <c r="M250" s="159">
        <v>4.8650000000000004E-3</v>
      </c>
      <c r="N250" s="139">
        <f t="array" aca="1" ref="N250:AE250" ca="1">IF(OR(B250="",NOT($J$2)),"",GetStripDefaultProbability(A250,B250,Parameter_Date,CDSRollDate,E250:M250,SpreadCurveMaturities,D250,C250,$J$4,$J$6))</f>
        <v>0</v>
      </c>
      <c r="O250" s="166">
        <f ca="1"/>
        <v>0</v>
      </c>
      <c r="P250" s="166">
        <f ca="1"/>
        <v>1.2312983290623247E-3</v>
      </c>
      <c r="Q250" s="166">
        <f ca="1"/>
        <v>0</v>
      </c>
      <c r="R250" s="166">
        <f ca="1"/>
        <v>8.4831786629158135E-3</v>
      </c>
      <c r="S250" s="166">
        <f ca="1"/>
        <v>0</v>
      </c>
      <c r="T250" s="166">
        <f ca="1"/>
        <v>2.3215893175472901E-2</v>
      </c>
      <c r="U250" s="166">
        <f ca="1"/>
        <v>4.4928605320755044E-2</v>
      </c>
      <c r="V250" s="140">
        <f ca="1"/>
        <v>8.6554413097292282E-2</v>
      </c>
      <c r="W250" s="139">
        <f ca="1"/>
        <v>0</v>
      </c>
      <c r="X250" s="166">
        <f ca="1"/>
        <v>0</v>
      </c>
      <c r="Y250" s="166">
        <f ca="1"/>
        <v>1.3977459083234223E-3</v>
      </c>
      <c r="Z250" s="166">
        <f ca="1"/>
        <v>0</v>
      </c>
      <c r="AA250" s="166">
        <f ca="1"/>
        <v>8.9924637242370098E-3</v>
      </c>
      <c r="AB250" s="166">
        <f ca="1"/>
        <v>0</v>
      </c>
      <c r="AC250" s="166">
        <f ca="1"/>
        <v>2.4347343772317509E-2</v>
      </c>
      <c r="AD250" s="166">
        <f ca="1"/>
        <v>4.7120526995764189E-2</v>
      </c>
      <c r="AE250" s="140">
        <f ca="1"/>
        <v>9.0728976040824416E-2</v>
      </c>
      <c r="AI250" s="137">
        <v>1.1999999999999999E-3</v>
      </c>
      <c r="AK250" s="137">
        <v>8.3999999999999995E-3</v>
      </c>
      <c r="AM250" s="137">
        <v>2.3E-2</v>
      </c>
      <c r="AN250" s="137">
        <v>4.4600000000000001E-2</v>
      </c>
      <c r="AO250" s="137">
        <v>8.6099999999999996E-2</v>
      </c>
      <c r="AR250" s="137">
        <v>1.4E-3</v>
      </c>
      <c r="AT250" s="137">
        <v>8.8999999999999999E-3</v>
      </c>
      <c r="AV250" s="137">
        <v>2.41E-2</v>
      </c>
      <c r="AW250" s="137">
        <v>4.6800000000000001E-2</v>
      </c>
      <c r="AX250" s="137">
        <v>9.0200000000000002E-2</v>
      </c>
    </row>
    <row r="251" spans="1:50" s="79" customFormat="1" ht="10.199999999999999" x14ac:dyDescent="0.2">
      <c r="A251" s="97">
        <f t="shared" ca="1" si="6"/>
        <v>240</v>
      </c>
      <c r="B251" s="68" t="s">
        <v>328</v>
      </c>
      <c r="C251" s="98">
        <v>0.4</v>
      </c>
      <c r="D251" s="69" t="s">
        <v>67</v>
      </c>
      <c r="E251" s="138" t="s">
        <v>87</v>
      </c>
      <c r="F251" s="159" t="s">
        <v>87</v>
      </c>
      <c r="G251" s="159">
        <v>1.928E-3</v>
      </c>
      <c r="H251" s="159" t="s">
        <v>87</v>
      </c>
      <c r="I251" s="159">
        <v>4.6899999999999997E-3</v>
      </c>
      <c r="J251" s="159" t="s">
        <v>87</v>
      </c>
      <c r="K251" s="159">
        <v>6.7070000000000003E-3</v>
      </c>
      <c r="L251" s="159">
        <v>8.3960000000000007E-3</v>
      </c>
      <c r="M251" s="159">
        <v>9.9319999999999999E-3</v>
      </c>
      <c r="N251" s="139">
        <f t="array" aca="1" ref="N251:AE251" ca="1">IF(OR(B251="",NOT($J$2)),"",GetStripDefaultProbability(A251,B251,Parameter_Date,CDSRollDate,E251:M251,SpreadCurveMaturities,D251,C251,$J$4,$J$6))</f>
        <v>0</v>
      </c>
      <c r="O251" s="166">
        <f ca="1"/>
        <v>0</v>
      </c>
      <c r="P251" s="166">
        <f ca="1"/>
        <v>3.3974044631085443E-3</v>
      </c>
      <c r="Q251" s="166">
        <f ca="1"/>
        <v>0</v>
      </c>
      <c r="R251" s="166">
        <f ca="1"/>
        <v>2.4342938980312923E-2</v>
      </c>
      <c r="S251" s="166">
        <f ca="1"/>
        <v>0</v>
      </c>
      <c r="T251" s="166">
        <f ca="1"/>
        <v>5.750182659661851E-2</v>
      </c>
      <c r="U251" s="166">
        <f ca="1"/>
        <v>0.10034143103017901</v>
      </c>
      <c r="V251" s="140">
        <f ca="1"/>
        <v>0.16628878565290639</v>
      </c>
      <c r="W251" s="139">
        <f ca="1"/>
        <v>0</v>
      </c>
      <c r="X251" s="166">
        <f ca="1"/>
        <v>0</v>
      </c>
      <c r="Y251" s="166">
        <f ca="1"/>
        <v>3.5634910547815979E-3</v>
      </c>
      <c r="Z251" s="166">
        <f ca="1"/>
        <v>0</v>
      </c>
      <c r="AA251" s="166">
        <f ca="1"/>
        <v>2.5549973574972462E-2</v>
      </c>
      <c r="AB251" s="166">
        <f ca="1"/>
        <v>0</v>
      </c>
      <c r="AC251" s="166">
        <f ca="1"/>
        <v>6.0314246608633826E-2</v>
      </c>
      <c r="AD251" s="166">
        <f ca="1"/>
        <v>0.10516649743386697</v>
      </c>
      <c r="AE251" s="140">
        <f ca="1"/>
        <v>0.17403586301905294</v>
      </c>
      <c r="AI251" s="137">
        <v>3.3999999999999998E-3</v>
      </c>
      <c r="AK251" s="137">
        <v>2.4E-2</v>
      </c>
      <c r="AM251" s="137">
        <v>5.7099999999999998E-2</v>
      </c>
      <c r="AN251" s="137">
        <v>9.9699999999999997E-2</v>
      </c>
      <c r="AO251" s="137">
        <v>0.16569999999999999</v>
      </c>
      <c r="AR251" s="137">
        <v>3.5000000000000001E-3</v>
      </c>
      <c r="AT251" s="137">
        <v>2.52E-2</v>
      </c>
      <c r="AV251" s="137">
        <v>5.9900000000000002E-2</v>
      </c>
      <c r="AW251" s="137">
        <v>0.1045</v>
      </c>
      <c r="AX251" s="137">
        <v>0.17349999999999999</v>
      </c>
    </row>
    <row r="252" spans="1:50" s="79" customFormat="1" ht="10.199999999999999" x14ac:dyDescent="0.2">
      <c r="A252" s="97">
        <f t="shared" ca="1" si="6"/>
        <v>241</v>
      </c>
      <c r="B252" s="68" t="s">
        <v>329</v>
      </c>
      <c r="C252" s="98">
        <v>0.4</v>
      </c>
      <c r="D252" s="69" t="s">
        <v>67</v>
      </c>
      <c r="E252" s="138" t="s">
        <v>87</v>
      </c>
      <c r="F252" s="159" t="s">
        <v>87</v>
      </c>
      <c r="G252" s="159">
        <v>6.02E-4</v>
      </c>
      <c r="H252" s="159" t="s">
        <v>87</v>
      </c>
      <c r="I252" s="159">
        <v>2.8709999999999999E-3</v>
      </c>
      <c r="J252" s="159" t="s">
        <v>87</v>
      </c>
      <c r="K252" s="159">
        <v>3.8119999999999999E-3</v>
      </c>
      <c r="L252" s="159">
        <v>4.6119999999999998E-3</v>
      </c>
      <c r="M252" s="159">
        <v>5.6470000000000001E-3</v>
      </c>
      <c r="N252" s="139">
        <f t="array" aca="1" ref="N252:AE252" ca="1">IF(OR(B252="",NOT($J$2)),"",GetStripDefaultProbability(A252,B252,Parameter_Date,CDSRollDate,E252:M252,SpreadCurveMaturities,D252,C252,$J$4,$J$6))</f>
        <v>0</v>
      </c>
      <c r="O252" s="166">
        <f ca="1"/>
        <v>0</v>
      </c>
      <c r="P252" s="166">
        <f ca="1"/>
        <v>1.0620400121212903E-3</v>
      </c>
      <c r="Q252" s="166">
        <f ca="1"/>
        <v>0</v>
      </c>
      <c r="R252" s="166">
        <f ca="1"/>
        <v>1.5071133869357545E-2</v>
      </c>
      <c r="S252" s="166">
        <f ca="1"/>
        <v>0</v>
      </c>
      <c r="T252" s="166">
        <f ca="1"/>
        <v>3.2881104615333445E-2</v>
      </c>
      <c r="U252" s="166">
        <f ca="1"/>
        <v>5.5816789877018769E-2</v>
      </c>
      <c r="V252" s="140">
        <f ca="1"/>
        <v>9.7597559161179737E-2</v>
      </c>
      <c r="W252" s="139">
        <f ca="1"/>
        <v>0</v>
      </c>
      <c r="X252" s="166">
        <f ca="1"/>
        <v>0</v>
      </c>
      <c r="Y252" s="166">
        <f ca="1"/>
        <v>1.2285157987452777E-3</v>
      </c>
      <c r="Z252" s="166">
        <f ca="1"/>
        <v>0</v>
      </c>
      <c r="AA252" s="166">
        <f ca="1"/>
        <v>1.580769435448004E-2</v>
      </c>
      <c r="AB252" s="166">
        <f ca="1"/>
        <v>0</v>
      </c>
      <c r="AC252" s="166">
        <f ca="1"/>
        <v>3.449664717020462E-2</v>
      </c>
      <c r="AD252" s="166">
        <f ca="1"/>
        <v>5.8534047135702094E-2</v>
      </c>
      <c r="AE252" s="140">
        <f ca="1"/>
        <v>0.10228692936768025</v>
      </c>
      <c r="AI252" s="137">
        <v>1E-3</v>
      </c>
      <c r="AK252" s="137">
        <v>1.4800000000000001E-2</v>
      </c>
      <c r="AM252" s="137">
        <v>3.27E-2</v>
      </c>
      <c r="AN252" s="137">
        <v>5.5399999999999998E-2</v>
      </c>
      <c r="AO252" s="137">
        <v>9.7299999999999998E-2</v>
      </c>
      <c r="AR252" s="137">
        <v>1.1999999999999999E-3</v>
      </c>
      <c r="AT252" s="137">
        <v>1.5599999999999999E-2</v>
      </c>
      <c r="AV252" s="137">
        <v>3.4299999999999997E-2</v>
      </c>
      <c r="AW252" s="137">
        <v>5.8099999999999999E-2</v>
      </c>
      <c r="AX252" s="137">
        <v>0.1019</v>
      </c>
    </row>
    <row r="253" spans="1:50" s="79" customFormat="1" ht="10.199999999999999" x14ac:dyDescent="0.2">
      <c r="A253" s="97">
        <f t="shared" ca="1" si="6"/>
        <v>242</v>
      </c>
      <c r="B253" s="68" t="s">
        <v>330</v>
      </c>
      <c r="C253" s="98">
        <v>0.4</v>
      </c>
      <c r="D253" s="69" t="s">
        <v>67</v>
      </c>
      <c r="E253" s="138" t="s">
        <v>87</v>
      </c>
      <c r="F253" s="159" t="s">
        <v>87</v>
      </c>
      <c r="G253" s="159">
        <v>3.7399999999999998E-4</v>
      </c>
      <c r="H253" s="159" t="s">
        <v>87</v>
      </c>
      <c r="I253" s="159">
        <v>1.255E-3</v>
      </c>
      <c r="J253" s="159" t="s">
        <v>87</v>
      </c>
      <c r="K253" s="159">
        <v>1.9300000000000001E-3</v>
      </c>
      <c r="L253" s="159">
        <v>2.9919999999999999E-3</v>
      </c>
      <c r="M253" s="159">
        <v>3.4740000000000001E-3</v>
      </c>
      <c r="N253" s="139">
        <f t="array" aca="1" ref="N253:AE253" ca="1">IF(OR(B253="",NOT($J$2)),"",GetStripDefaultProbability(A253,B253,Parameter_Date,CDSRollDate,E253:M253,SpreadCurveMaturities,D253,C253,$J$4,$J$6))</f>
        <v>0</v>
      </c>
      <c r="O253" s="166">
        <f ca="1"/>
        <v>0</v>
      </c>
      <c r="P253" s="166">
        <f ca="1"/>
        <v>6.5993739455927347E-4</v>
      </c>
      <c r="Q253" s="166">
        <f ca="1"/>
        <v>0</v>
      </c>
      <c r="R253" s="166">
        <f ca="1"/>
        <v>6.5711010404405634E-3</v>
      </c>
      <c r="S253" s="166">
        <f ca="1"/>
        <v>0</v>
      </c>
      <c r="T253" s="166">
        <f ca="1"/>
        <v>1.6876032698848298E-2</v>
      </c>
      <c r="U253" s="166">
        <f ca="1"/>
        <v>3.7476785450861971E-2</v>
      </c>
      <c r="V253" s="140">
        <f ca="1"/>
        <v>6.0949212099733585E-2</v>
      </c>
      <c r="W253" s="139">
        <f ca="1"/>
        <v>0</v>
      </c>
      <c r="X253" s="166">
        <f ca="1"/>
        <v>0</v>
      </c>
      <c r="Y253" s="166">
        <f ca="1"/>
        <v>8.2648019269382367E-4</v>
      </c>
      <c r="Z253" s="166">
        <f ca="1"/>
        <v>0</v>
      </c>
      <c r="AA253" s="166">
        <f ca="1"/>
        <v>7.0813223580064033E-3</v>
      </c>
      <c r="AB253" s="166">
        <f ca="1"/>
        <v>0</v>
      </c>
      <c r="AC253" s="166">
        <f ca="1"/>
        <v>1.7712100060222835E-2</v>
      </c>
      <c r="AD253" s="166">
        <f ca="1"/>
        <v>3.9293130714654012E-2</v>
      </c>
      <c r="AE253" s="140">
        <f ca="1"/>
        <v>6.3883562197022958E-2</v>
      </c>
      <c r="AI253" s="137">
        <v>6.9999999999999999E-4</v>
      </c>
      <c r="AK253" s="137">
        <v>6.4999999999999997E-3</v>
      </c>
      <c r="AM253" s="137">
        <v>1.6799999999999999E-2</v>
      </c>
      <c r="AN253" s="137">
        <v>3.7199999999999997E-2</v>
      </c>
      <c r="AO253" s="137">
        <v>6.1100000000000002E-2</v>
      </c>
      <c r="AR253" s="137">
        <v>8.0000000000000004E-4</v>
      </c>
      <c r="AT253" s="137">
        <v>7.0000000000000001E-3</v>
      </c>
      <c r="AV253" s="137">
        <v>1.7600000000000001E-2</v>
      </c>
      <c r="AW253" s="137">
        <v>3.9E-2</v>
      </c>
      <c r="AX253" s="137">
        <v>6.4000000000000001E-2</v>
      </c>
    </row>
    <row r="254" spans="1:50" s="79" customFormat="1" ht="10.199999999999999" x14ac:dyDescent="0.2">
      <c r="A254" s="97">
        <f t="shared" ca="1" si="6"/>
        <v>243</v>
      </c>
      <c r="B254" s="68" t="s">
        <v>331</v>
      </c>
      <c r="C254" s="98">
        <v>0.4</v>
      </c>
      <c r="D254" s="69" t="s">
        <v>67</v>
      </c>
      <c r="E254" s="138" t="s">
        <v>87</v>
      </c>
      <c r="F254" s="159" t="s">
        <v>87</v>
      </c>
      <c r="G254" s="159">
        <v>1.0859999999999999E-3</v>
      </c>
      <c r="H254" s="159" t="s">
        <v>87</v>
      </c>
      <c r="I254" s="159">
        <v>1.3029999999999999E-3</v>
      </c>
      <c r="J254" s="159" t="s">
        <v>87</v>
      </c>
      <c r="K254" s="159">
        <v>2.1710000000000002E-3</v>
      </c>
      <c r="L254" s="159">
        <v>2.895E-3</v>
      </c>
      <c r="M254" s="159">
        <v>3.3779999999999999E-3</v>
      </c>
      <c r="N254" s="139">
        <f t="array" aca="1" ref="N254:AE254" ca="1">IF(OR(B254="",NOT($J$2)),"",GetStripDefaultProbability(A254,B254,Parameter_Date,CDSRollDate,E254:M254,SpreadCurveMaturities,D254,C254,$J$4,$J$6))</f>
        <v>0</v>
      </c>
      <c r="O254" s="166">
        <f ca="1"/>
        <v>0</v>
      </c>
      <c r="P254" s="166">
        <f ca="1"/>
        <v>1.9150941135316346E-3</v>
      </c>
      <c r="Q254" s="166">
        <f ca="1"/>
        <v>0</v>
      </c>
      <c r="R254" s="166">
        <f ca="1"/>
        <v>6.6928927465511601E-3</v>
      </c>
      <c r="S254" s="166">
        <f ca="1"/>
        <v>0</v>
      </c>
      <c r="T254" s="166">
        <f ca="1"/>
        <v>1.8966150410528071E-2</v>
      </c>
      <c r="U254" s="166">
        <f ca="1"/>
        <v>3.5686721501755114E-2</v>
      </c>
      <c r="V254" s="140">
        <f ca="1"/>
        <v>5.9217341749837948E-2</v>
      </c>
      <c r="W254" s="139">
        <f ca="1"/>
        <v>0</v>
      </c>
      <c r="X254" s="166">
        <f ca="1"/>
        <v>0</v>
      </c>
      <c r="Y254" s="166">
        <f ca="1"/>
        <v>2.0814277363436773E-3</v>
      </c>
      <c r="Z254" s="166">
        <f ca="1"/>
        <v>0</v>
      </c>
      <c r="AA254" s="166">
        <f ca="1"/>
        <v>7.2026609712056988E-3</v>
      </c>
      <c r="AB254" s="166">
        <f ca="1"/>
        <v>0</v>
      </c>
      <c r="AC254" s="166">
        <f ca="1"/>
        <v>1.9879242929385477E-2</v>
      </c>
      <c r="AD254" s="166">
        <f ca="1"/>
        <v>3.7403441396188675E-2</v>
      </c>
      <c r="AE254" s="140">
        <f ca="1"/>
        <v>6.2077488741606568E-2</v>
      </c>
      <c r="AI254" s="137">
        <v>1.9E-3</v>
      </c>
      <c r="AK254" s="137">
        <v>6.6E-3</v>
      </c>
      <c r="AM254" s="137">
        <v>1.8800000000000001E-2</v>
      </c>
      <c r="AN254" s="137">
        <v>3.5499999999999997E-2</v>
      </c>
      <c r="AO254" s="137">
        <v>5.8999999999999997E-2</v>
      </c>
      <c r="AR254" s="137">
        <v>2.0999999999999999E-3</v>
      </c>
      <c r="AT254" s="137">
        <v>7.1000000000000004E-3</v>
      </c>
      <c r="AV254" s="137">
        <v>1.9699999999999999E-2</v>
      </c>
      <c r="AW254" s="137">
        <v>3.7199999999999997E-2</v>
      </c>
      <c r="AX254" s="137">
        <v>6.1899999999999997E-2</v>
      </c>
    </row>
    <row r="255" spans="1:50" s="79" customFormat="1" ht="10.199999999999999" x14ac:dyDescent="0.2">
      <c r="A255" s="97">
        <f t="shared" ca="1" si="6"/>
        <v>244</v>
      </c>
      <c r="B255" s="68" t="s">
        <v>332</v>
      </c>
      <c r="C255" s="98">
        <v>0.4</v>
      </c>
      <c r="D255" s="69" t="s">
        <v>67</v>
      </c>
      <c r="E255" s="138" t="s">
        <v>87</v>
      </c>
      <c r="F255" s="159" t="s">
        <v>87</v>
      </c>
      <c r="G255" s="159">
        <v>6.9499999999999998E-4</v>
      </c>
      <c r="H255" s="159" t="s">
        <v>87</v>
      </c>
      <c r="I255" s="159">
        <v>1.544E-3</v>
      </c>
      <c r="J255" s="159" t="s">
        <v>87</v>
      </c>
      <c r="K255" s="159">
        <v>2.3159999999999999E-3</v>
      </c>
      <c r="L255" s="159">
        <v>3.1849999999999999E-3</v>
      </c>
      <c r="M255" s="159">
        <v>4.4869999999999997E-3</v>
      </c>
      <c r="N255" s="139">
        <f t="array" aca="1" ref="N255:AE255" ca="1">IF(OR(B255="",NOT($J$2)),"",GetStripDefaultProbability(A255,B255,Parameter_Date,CDSRollDate,E255:M255,SpreadCurveMaturities,D255,C255,$J$4,$J$6))</f>
        <v>0</v>
      </c>
      <c r="O255" s="166">
        <f ca="1"/>
        <v>0</v>
      </c>
      <c r="P255" s="166">
        <f ca="1"/>
        <v>1.2260094375456942E-3</v>
      </c>
      <c r="Q255" s="166">
        <f ca="1"/>
        <v>0</v>
      </c>
      <c r="R255" s="166">
        <f ca="1"/>
        <v>8.0364066394793543E-3</v>
      </c>
      <c r="S255" s="166">
        <f ca="1"/>
        <v>0</v>
      </c>
      <c r="T255" s="166">
        <f ca="1"/>
        <v>2.0178665244718563E-2</v>
      </c>
      <c r="U255" s="166">
        <f ca="1"/>
        <v>3.9353236203046871E-2</v>
      </c>
      <c r="V255" s="140">
        <f ca="1"/>
        <v>8.052874854015335E-2</v>
      </c>
      <c r="W255" s="139">
        <f ca="1"/>
        <v>0</v>
      </c>
      <c r="X255" s="166">
        <f ca="1"/>
        <v>0</v>
      </c>
      <c r="Y255" s="166">
        <f ca="1"/>
        <v>1.3924578982190683E-3</v>
      </c>
      <c r="Z255" s="166">
        <f ca="1"/>
        <v>0</v>
      </c>
      <c r="AA255" s="166">
        <f ca="1"/>
        <v>8.5458691847885015E-3</v>
      </c>
      <c r="AB255" s="166">
        <f ca="1"/>
        <v>0</v>
      </c>
      <c r="AC255" s="166">
        <f ca="1"/>
        <v>2.115738413105539E-2</v>
      </c>
      <c r="AD255" s="166">
        <f ca="1"/>
        <v>4.1271630954886951E-2</v>
      </c>
      <c r="AE255" s="140">
        <f ca="1"/>
        <v>8.4417772216727416E-2</v>
      </c>
      <c r="AI255" s="137">
        <v>1.1999999999999999E-3</v>
      </c>
      <c r="AK255" s="137">
        <v>7.9000000000000008E-3</v>
      </c>
      <c r="AM255" s="137">
        <v>0.02</v>
      </c>
      <c r="AN255" s="137">
        <v>3.9100000000000003E-2</v>
      </c>
      <c r="AO255" s="137">
        <v>0.08</v>
      </c>
      <c r="AR255" s="137">
        <v>1.4E-3</v>
      </c>
      <c r="AT255" s="137">
        <v>8.3999999999999995E-3</v>
      </c>
      <c r="AV255" s="137">
        <v>2.1000000000000001E-2</v>
      </c>
      <c r="AW255" s="137">
        <v>4.1000000000000002E-2</v>
      </c>
      <c r="AX255" s="137">
        <v>8.3900000000000002E-2</v>
      </c>
    </row>
    <row r="256" spans="1:50" s="79" customFormat="1" ht="10.199999999999999" x14ac:dyDescent="0.2">
      <c r="A256" s="97">
        <f t="shared" ca="1" si="6"/>
        <v>245</v>
      </c>
      <c r="B256" s="68" t="s">
        <v>333</v>
      </c>
      <c r="C256" s="98">
        <v>0.4</v>
      </c>
      <c r="D256" s="69" t="s">
        <v>67</v>
      </c>
      <c r="E256" s="138" t="s">
        <v>87</v>
      </c>
      <c r="F256" s="159" t="s">
        <v>87</v>
      </c>
      <c r="G256" s="159">
        <v>2.0885000000000001E-2</v>
      </c>
      <c r="H256" s="159" t="s">
        <v>87</v>
      </c>
      <c r="I256" s="159">
        <v>1.9042E-2</v>
      </c>
      <c r="J256" s="159" t="s">
        <v>87</v>
      </c>
      <c r="K256" s="159">
        <v>1.5970999999999999E-2</v>
      </c>
      <c r="L256" s="159">
        <v>1.5356E-2</v>
      </c>
      <c r="M256" s="159">
        <v>1.4435E-2</v>
      </c>
      <c r="N256" s="139">
        <f t="array" aca="1" ref="N256:AE256" ca="1">IF(OR(B256="",NOT($J$2)),"",GetStripDefaultProbability(A256,B256,Parameter_Date,CDSRollDate,E256:M256,SpreadCurveMaturities,D256,C256,$J$4,$J$6))</f>
        <v>0</v>
      </c>
      <c r="O256" s="166">
        <f ca="1"/>
        <v>0</v>
      </c>
      <c r="P256" s="166">
        <f ca="1"/>
        <v>3.6201807059013991E-2</v>
      </c>
      <c r="Q256" s="166">
        <f ca="1"/>
        <v>0</v>
      </c>
      <c r="R256" s="166">
        <f ca="1"/>
        <v>9.2341445717697979E-2</v>
      </c>
      <c r="S256" s="166">
        <f ca="1"/>
        <v>0</v>
      </c>
      <c r="T256" s="166">
        <f ca="1"/>
        <v>0.12302461694726785</v>
      </c>
      <c r="U256" s="166">
        <f ca="1"/>
        <v>0.16191721880235599</v>
      </c>
      <c r="V256" s="140">
        <f ca="1"/>
        <v>0.20710779920727096</v>
      </c>
      <c r="W256" s="139">
        <f ca="1"/>
        <v>0</v>
      </c>
      <c r="X256" s="166">
        <f ca="1"/>
        <v>0</v>
      </c>
      <c r="Y256" s="166">
        <f ca="1"/>
        <v>3.7967538015451385E-2</v>
      </c>
      <c r="Z256" s="166">
        <f ca="1"/>
        <v>0</v>
      </c>
      <c r="AA256" s="166">
        <f ca="1"/>
        <v>9.6716496156640241E-2</v>
      </c>
      <c r="AB256" s="166">
        <f ca="1"/>
        <v>0</v>
      </c>
      <c r="AC256" s="166">
        <f ca="1"/>
        <v>0.12868820626178157</v>
      </c>
      <c r="AD256" s="166">
        <f ca="1"/>
        <v>0.16920354674823224</v>
      </c>
      <c r="AE256" s="140">
        <f ca="1"/>
        <v>0.21607820339431549</v>
      </c>
      <c r="AI256" s="137">
        <v>3.5700000000000003E-2</v>
      </c>
      <c r="AK256" s="137">
        <v>9.2200000000000004E-2</v>
      </c>
      <c r="AM256" s="137">
        <v>0.12330000000000001</v>
      </c>
      <c r="AN256" s="137">
        <v>0.16170000000000001</v>
      </c>
      <c r="AO256" s="137">
        <v>0.20810000000000001</v>
      </c>
      <c r="AR256" s="137">
        <v>3.7499999999999999E-2</v>
      </c>
      <c r="AT256" s="137">
        <v>9.6500000000000002E-2</v>
      </c>
      <c r="AV256" s="137">
        <v>0.12889999999999999</v>
      </c>
      <c r="AW256" s="137">
        <v>0.16889999999999999</v>
      </c>
      <c r="AX256" s="137">
        <v>0.21709999999999999</v>
      </c>
    </row>
    <row r="257" spans="1:50" s="79" customFormat="1" ht="10.199999999999999" x14ac:dyDescent="0.2">
      <c r="A257" s="97">
        <f t="shared" ca="1" si="6"/>
        <v>246</v>
      </c>
      <c r="B257" s="68" t="s">
        <v>334</v>
      </c>
      <c r="C257" s="98">
        <v>0.4</v>
      </c>
      <c r="D257" s="69" t="s">
        <v>67</v>
      </c>
      <c r="E257" s="138" t="s">
        <v>87</v>
      </c>
      <c r="F257" s="159" t="s">
        <v>87</v>
      </c>
      <c r="G257" s="159">
        <v>1.3420000000000001E-3</v>
      </c>
      <c r="H257" s="159" t="s">
        <v>87</v>
      </c>
      <c r="I257" s="159">
        <v>2.5339999999999998E-3</v>
      </c>
      <c r="J257" s="159" t="s">
        <v>87</v>
      </c>
      <c r="K257" s="159">
        <v>3.3289999999999999E-3</v>
      </c>
      <c r="L257" s="159">
        <v>3.4290000000000002E-3</v>
      </c>
      <c r="M257" s="159">
        <v>3.5279999999999999E-3</v>
      </c>
      <c r="N257" s="139">
        <f t="array" aca="1" ref="N257:AE257" ca="1">IF(OR(B257="",NOT($J$2)),"",GetStripDefaultProbability(A257,B257,Parameter_Date,CDSRollDate,E257:M257,SpreadCurveMaturities,D257,C257,$J$4,$J$6))</f>
        <v>0</v>
      </c>
      <c r="O257" s="166">
        <f ca="1"/>
        <v>0</v>
      </c>
      <c r="P257" s="166">
        <f ca="1"/>
        <v>2.3660039902532182E-3</v>
      </c>
      <c r="Q257" s="166">
        <f ca="1"/>
        <v>0</v>
      </c>
      <c r="R257" s="166">
        <f ca="1"/>
        <v>1.3140007325743941E-2</v>
      </c>
      <c r="S257" s="166">
        <f ca="1"/>
        <v>0</v>
      </c>
      <c r="T257" s="166">
        <f ca="1"/>
        <v>2.86268177062452E-2</v>
      </c>
      <c r="U257" s="166">
        <f ca="1"/>
        <v>4.0694458138789358E-2</v>
      </c>
      <c r="V257" s="140">
        <f ca="1"/>
        <v>5.9203821916217758E-2</v>
      </c>
      <c r="W257" s="139">
        <f ca="1"/>
        <v>0</v>
      </c>
      <c r="X257" s="166">
        <f ca="1"/>
        <v>0</v>
      </c>
      <c r="Y257" s="166">
        <f ca="1"/>
        <v>2.5322624676551442E-3</v>
      </c>
      <c r="Z257" s="166">
        <f ca="1"/>
        <v>0</v>
      </c>
      <c r="AA257" s="166">
        <f ca="1"/>
        <v>1.3787944954651965E-2</v>
      </c>
      <c r="AB257" s="166">
        <f ca="1"/>
        <v>0</v>
      </c>
      <c r="AC257" s="166">
        <f ca="1"/>
        <v>3.0039356580394583E-2</v>
      </c>
      <c r="AD257" s="166">
        <f ca="1"/>
        <v>4.2684278695494404E-2</v>
      </c>
      <c r="AE257" s="140">
        <f ca="1"/>
        <v>6.2079059785516866E-2</v>
      </c>
      <c r="AI257" s="137">
        <v>2.3E-3</v>
      </c>
      <c r="AK257" s="137">
        <v>1.2999999999999999E-2</v>
      </c>
      <c r="AM257" s="137">
        <v>2.8500000000000001E-2</v>
      </c>
      <c r="AN257" s="137">
        <v>4.0599999999999997E-2</v>
      </c>
      <c r="AO257" s="137">
        <v>5.8999999999999997E-2</v>
      </c>
      <c r="AR257" s="137">
        <v>2.5000000000000001E-3</v>
      </c>
      <c r="AT257" s="137">
        <v>1.3599999999999999E-2</v>
      </c>
      <c r="AV257" s="137">
        <v>2.9899999999999999E-2</v>
      </c>
      <c r="AW257" s="137">
        <v>4.2599999999999999E-2</v>
      </c>
      <c r="AX257" s="137">
        <v>6.1800000000000001E-2</v>
      </c>
    </row>
    <row r="258" spans="1:50" s="79" customFormat="1" ht="10.199999999999999" x14ac:dyDescent="0.2">
      <c r="A258" s="97">
        <f t="shared" ca="1" si="6"/>
        <v>247</v>
      </c>
      <c r="B258" s="68" t="s">
        <v>335</v>
      </c>
      <c r="C258" s="98">
        <v>0.4</v>
      </c>
      <c r="D258" s="69" t="s">
        <v>67</v>
      </c>
      <c r="E258" s="138" t="s">
        <v>87</v>
      </c>
      <c r="F258" s="159" t="s">
        <v>87</v>
      </c>
      <c r="G258" s="159">
        <v>2.846E-3</v>
      </c>
      <c r="H258" s="159" t="s">
        <v>87</v>
      </c>
      <c r="I258" s="159">
        <v>4.3860000000000001E-3</v>
      </c>
      <c r="J258" s="159" t="s">
        <v>87</v>
      </c>
      <c r="K258" s="159">
        <v>7.0930000000000003E-3</v>
      </c>
      <c r="L258" s="159">
        <v>8.5389999999999997E-3</v>
      </c>
      <c r="M258" s="159">
        <v>1.0266000000000001E-2</v>
      </c>
      <c r="N258" s="139">
        <f t="array" aca="1" ref="N258:AE258" ca="1">IF(OR(B258="",NOT($J$2)),"",GetStripDefaultProbability(A258,B258,Parameter_Date,CDSRollDate,E258:M258,SpreadCurveMaturities,D258,C258,$J$4,$J$6))</f>
        <v>0</v>
      </c>
      <c r="O258" s="166">
        <f ca="1"/>
        <v>0</v>
      </c>
      <c r="P258" s="166">
        <f ca="1"/>
        <v>5.0110233316749131E-3</v>
      </c>
      <c r="Q258" s="166">
        <f ca="1"/>
        <v>0</v>
      </c>
      <c r="R258" s="166">
        <f ca="1"/>
        <v>2.2547686394884359E-2</v>
      </c>
      <c r="S258" s="166">
        <f ca="1"/>
        <v>0</v>
      </c>
      <c r="T258" s="166">
        <f ca="1"/>
        <v>6.1101332799851971E-2</v>
      </c>
      <c r="U258" s="166">
        <f ca="1"/>
        <v>0.10156631924225212</v>
      </c>
      <c r="V258" s="140">
        <f ca="1"/>
        <v>0.172481646619005</v>
      </c>
      <c r="W258" s="139">
        <f ca="1"/>
        <v>0</v>
      </c>
      <c r="X258" s="166">
        <f ca="1"/>
        <v>0</v>
      </c>
      <c r="Y258" s="166">
        <f ca="1"/>
        <v>5.2469735697836528E-3</v>
      </c>
      <c r="Z258" s="166">
        <f ca="1"/>
        <v>0</v>
      </c>
      <c r="AA258" s="166">
        <f ca="1"/>
        <v>2.3666038399549616E-2</v>
      </c>
      <c r="AB258" s="166">
        <f ca="1"/>
        <v>0</v>
      </c>
      <c r="AC258" s="166">
        <f ca="1"/>
        <v>6.4090139123741841E-2</v>
      </c>
      <c r="AD258" s="166">
        <f ca="1"/>
        <v>0.10644390701289919</v>
      </c>
      <c r="AE258" s="140">
        <f ca="1"/>
        <v>0.18050794843759721</v>
      </c>
      <c r="AI258" s="137">
        <v>4.8999999999999998E-3</v>
      </c>
      <c r="AK258" s="137">
        <v>2.23E-2</v>
      </c>
      <c r="AM258" s="137">
        <v>6.0499999999999998E-2</v>
      </c>
      <c r="AN258" s="137">
        <v>0.1011</v>
      </c>
      <c r="AO258" s="137">
        <v>0.17119999999999999</v>
      </c>
      <c r="AR258" s="137">
        <v>5.1999999999999998E-3</v>
      </c>
      <c r="AT258" s="137">
        <v>2.3400000000000001E-2</v>
      </c>
      <c r="AV258" s="137">
        <v>6.3500000000000001E-2</v>
      </c>
      <c r="AW258" s="137">
        <v>0.10589999999999999</v>
      </c>
      <c r="AX258" s="137">
        <v>0.1792</v>
      </c>
    </row>
    <row r="259" spans="1:50" s="79" customFormat="1" ht="10.199999999999999" x14ac:dyDescent="0.2">
      <c r="A259" s="97">
        <f t="shared" ca="1" si="6"/>
        <v>248</v>
      </c>
      <c r="B259" s="68" t="s">
        <v>336</v>
      </c>
      <c r="C259" s="98">
        <v>0.4</v>
      </c>
      <c r="D259" s="69" t="s">
        <v>67</v>
      </c>
      <c r="E259" s="138" t="s">
        <v>87</v>
      </c>
      <c r="F259" s="159" t="s">
        <v>87</v>
      </c>
      <c r="G259" s="159">
        <v>1.1789999999999999E-3</v>
      </c>
      <c r="H259" s="159" t="s">
        <v>87</v>
      </c>
      <c r="I259" s="159">
        <v>2.5530000000000001E-3</v>
      </c>
      <c r="J259" s="159" t="s">
        <v>87</v>
      </c>
      <c r="K259" s="159">
        <v>4.5840000000000004E-3</v>
      </c>
      <c r="L259" s="159">
        <v>5.6449999999999998E-3</v>
      </c>
      <c r="M259" s="159">
        <v>6.6100000000000004E-3</v>
      </c>
      <c r="N259" s="139">
        <f t="array" aca="1" ref="N259:AE259" ca="1">IF(OR(B259="",NOT($J$2)),"",GetStripDefaultProbability(A259,B259,Parameter_Date,CDSRollDate,E259:M259,SpreadCurveMaturities,D259,C259,$J$4,$J$6))</f>
        <v>0</v>
      </c>
      <c r="O259" s="166">
        <f ca="1"/>
        <v>0</v>
      </c>
      <c r="P259" s="166">
        <f ca="1"/>
        <v>2.0789245946136736E-3</v>
      </c>
      <c r="Q259" s="166">
        <f ca="1"/>
        <v>0</v>
      </c>
      <c r="R259" s="166">
        <f ca="1"/>
        <v>1.3274079459409172E-2</v>
      </c>
      <c r="S259" s="166">
        <f ca="1"/>
        <v>0</v>
      </c>
      <c r="T259" s="166">
        <f ca="1"/>
        <v>4.0071830072446191E-2</v>
      </c>
      <c r="U259" s="166">
        <f ca="1"/>
        <v>6.8473278551388739E-2</v>
      </c>
      <c r="V259" s="140">
        <f ca="1"/>
        <v>0.11352389217272663</v>
      </c>
      <c r="W259" s="139">
        <f ca="1"/>
        <v>0</v>
      </c>
      <c r="X259" s="166">
        <f ca="1"/>
        <v>0</v>
      </c>
      <c r="Y259" s="166">
        <f ca="1"/>
        <v>2.2452309145880589E-3</v>
      </c>
      <c r="Z259" s="166">
        <f ca="1"/>
        <v>0</v>
      </c>
      <c r="AA259" s="166">
        <f ca="1"/>
        <v>1.3927113518476086E-2</v>
      </c>
      <c r="AB259" s="166">
        <f ca="1"/>
        <v>0</v>
      </c>
      <c r="AC259" s="166">
        <f ca="1"/>
        <v>4.2043082205176829E-2</v>
      </c>
      <c r="AD259" s="166">
        <f ca="1"/>
        <v>7.1803054825488211E-2</v>
      </c>
      <c r="AE259" s="140">
        <f ca="1"/>
        <v>0.11894230630573499</v>
      </c>
      <c r="AI259" s="137">
        <v>2.0999999999999999E-3</v>
      </c>
      <c r="AK259" s="137">
        <v>1.3100000000000001E-2</v>
      </c>
      <c r="AM259" s="137">
        <v>3.9699999999999999E-2</v>
      </c>
      <c r="AN259" s="137">
        <v>6.8099999999999994E-2</v>
      </c>
      <c r="AO259" s="137">
        <v>0.1129</v>
      </c>
      <c r="AR259" s="137">
        <v>2.2000000000000001E-3</v>
      </c>
      <c r="AT259" s="137">
        <v>1.37E-2</v>
      </c>
      <c r="AV259" s="137">
        <v>4.1599999999999998E-2</v>
      </c>
      <c r="AW259" s="137">
        <v>7.1499999999999994E-2</v>
      </c>
      <c r="AX259" s="137">
        <v>0.1182</v>
      </c>
    </row>
    <row r="260" spans="1:50" s="79" customFormat="1" ht="10.199999999999999" x14ac:dyDescent="0.2">
      <c r="A260" s="97">
        <f t="shared" ca="1" si="6"/>
        <v>249</v>
      </c>
      <c r="B260" s="68" t="s">
        <v>337</v>
      </c>
      <c r="C260" s="98">
        <v>0.4</v>
      </c>
      <c r="D260" s="69" t="s">
        <v>67</v>
      </c>
      <c r="E260" s="138" t="s">
        <v>87</v>
      </c>
      <c r="F260" s="159" t="s">
        <v>87</v>
      </c>
      <c r="G260" s="159">
        <v>5.7700000000000004E-4</v>
      </c>
      <c r="H260" s="159" t="s">
        <v>87</v>
      </c>
      <c r="I260" s="159">
        <v>1.15E-3</v>
      </c>
      <c r="J260" s="159" t="s">
        <v>87</v>
      </c>
      <c r="K260" s="159">
        <v>1.9780000000000002E-3</v>
      </c>
      <c r="L260" s="159">
        <v>2.5760000000000002E-3</v>
      </c>
      <c r="M260" s="159">
        <v>3.3579999999999999E-3</v>
      </c>
      <c r="N260" s="139">
        <f t="array" aca="1" ref="N260:AE260" ca="1">IF(OR(B260="",NOT($J$2)),"",GetStripDefaultProbability(A260,B260,Parameter_Date,CDSRollDate,E260:M260,SpreadCurveMaturities,D260,C260,$J$4,$J$6))</f>
        <v>0</v>
      </c>
      <c r="O260" s="166">
        <f ca="1"/>
        <v>0</v>
      </c>
      <c r="P260" s="166">
        <f ca="1"/>
        <v>1.0179576533111412E-3</v>
      </c>
      <c r="Q260" s="166">
        <f ca="1"/>
        <v>0</v>
      </c>
      <c r="R260" s="166">
        <f ca="1"/>
        <v>5.9810205365153912E-3</v>
      </c>
      <c r="S260" s="166">
        <f ca="1"/>
        <v>0</v>
      </c>
      <c r="T260" s="166">
        <f ca="1"/>
        <v>1.737514897814052E-2</v>
      </c>
      <c r="U260" s="166">
        <f ca="1"/>
        <v>3.1803732186612699E-2</v>
      </c>
      <c r="V260" s="140">
        <f ca="1"/>
        <v>6.000749665870353E-2</v>
      </c>
      <c r="W260" s="139">
        <f ca="1"/>
        <v>0</v>
      </c>
      <c r="X260" s="166">
        <f ca="1"/>
        <v>0</v>
      </c>
      <c r="Y260" s="166">
        <f ca="1"/>
        <v>1.1844407863720319E-3</v>
      </c>
      <c r="Z260" s="166">
        <f ca="1"/>
        <v>0</v>
      </c>
      <c r="AA260" s="166">
        <f ca="1"/>
        <v>6.4913589439735686E-3</v>
      </c>
      <c r="AB260" s="166">
        <f ca="1"/>
        <v>0</v>
      </c>
      <c r="AC260" s="166">
        <f ca="1"/>
        <v>1.8211412651841119E-2</v>
      </c>
      <c r="AD260" s="166">
        <f ca="1"/>
        <v>3.3345893187851083E-2</v>
      </c>
      <c r="AE260" s="140">
        <f ca="1"/>
        <v>6.2905573322650676E-2</v>
      </c>
      <c r="AI260" s="137">
        <v>1E-3</v>
      </c>
      <c r="AK260" s="137">
        <v>5.8999999999999999E-3</v>
      </c>
      <c r="AM260" s="137">
        <v>1.72E-2</v>
      </c>
      <c r="AN260" s="137">
        <v>3.1600000000000003E-2</v>
      </c>
      <c r="AO260" s="137">
        <v>5.96E-2</v>
      </c>
      <c r="AR260" s="137">
        <v>1.1999999999999999E-3</v>
      </c>
      <c r="AT260" s="137">
        <v>6.4000000000000003E-3</v>
      </c>
      <c r="AV260" s="137">
        <v>1.7999999999999999E-2</v>
      </c>
      <c r="AW260" s="137">
        <v>3.32E-2</v>
      </c>
      <c r="AX260" s="137">
        <v>6.25E-2</v>
      </c>
    </row>
    <row r="261" spans="1:50" s="79" customFormat="1" ht="10.199999999999999" x14ac:dyDescent="0.2">
      <c r="A261" s="97">
        <f t="shared" ca="1" si="6"/>
        <v>250</v>
      </c>
      <c r="B261" s="68" t="s">
        <v>338</v>
      </c>
      <c r="C261" s="98">
        <v>0.4</v>
      </c>
      <c r="D261" s="69" t="s">
        <v>67</v>
      </c>
      <c r="E261" s="138" t="s">
        <v>87</v>
      </c>
      <c r="F261" s="159" t="s">
        <v>87</v>
      </c>
      <c r="G261" s="159">
        <v>2.5500000000000002E-3</v>
      </c>
      <c r="H261" s="159" t="s">
        <v>87</v>
      </c>
      <c r="I261" s="159">
        <v>3.8579999999999999E-3</v>
      </c>
      <c r="J261" s="159" t="s">
        <v>87</v>
      </c>
      <c r="K261" s="159">
        <v>4.9699999999999996E-3</v>
      </c>
      <c r="L261" s="159">
        <v>5.5579999999999996E-3</v>
      </c>
      <c r="M261" s="159">
        <v>6.3429999999999997E-3</v>
      </c>
      <c r="N261" s="139">
        <f t="array" aca="1" ref="N261:AE261" ca="1">IF(OR(B261="",NOT($J$2)),"",GetStripDefaultProbability(A261,B261,Parameter_Date,CDSRollDate,E261:M261,SpreadCurveMaturities,D261,C261,$J$4,$J$6))</f>
        <v>0</v>
      </c>
      <c r="O261" s="166">
        <f ca="1"/>
        <v>0</v>
      </c>
      <c r="P261" s="166">
        <f ca="1"/>
        <v>4.4910109295022149E-3</v>
      </c>
      <c r="Q261" s="166">
        <f ca="1"/>
        <v>0</v>
      </c>
      <c r="R261" s="166">
        <f ca="1"/>
        <v>1.9845019616197113E-2</v>
      </c>
      <c r="S261" s="166">
        <f ca="1"/>
        <v>0</v>
      </c>
      <c r="T261" s="166">
        <f ca="1"/>
        <v>4.2400552257889523E-2</v>
      </c>
      <c r="U261" s="166">
        <f ca="1"/>
        <v>6.5883460774164737E-2</v>
      </c>
      <c r="V261" s="140">
        <f ca="1"/>
        <v>0.10703923957630368</v>
      </c>
      <c r="W261" s="139">
        <f ca="1"/>
        <v>0</v>
      </c>
      <c r="X261" s="166">
        <f ca="1"/>
        <v>0</v>
      </c>
      <c r="Y261" s="166">
        <f ca="1"/>
        <v>4.7025341145617849E-3</v>
      </c>
      <c r="Z261" s="166">
        <f ca="1"/>
        <v>0</v>
      </c>
      <c r="AA261" s="166">
        <f ca="1"/>
        <v>2.0830399159602497E-2</v>
      </c>
      <c r="AB261" s="166">
        <f ca="1"/>
        <v>0</v>
      </c>
      <c r="AC261" s="166">
        <f ca="1"/>
        <v>4.4482759273981709E-2</v>
      </c>
      <c r="AD261" s="166">
        <f ca="1"/>
        <v>6.9084679232432777E-2</v>
      </c>
      <c r="AE261" s="140">
        <f ca="1"/>
        <v>0.11214239236047496</v>
      </c>
      <c r="AI261" s="137">
        <v>4.4000000000000003E-3</v>
      </c>
      <c r="AK261" s="137">
        <v>1.9699999999999999E-2</v>
      </c>
      <c r="AM261" s="137">
        <v>4.2200000000000001E-2</v>
      </c>
      <c r="AN261" s="137">
        <v>6.5600000000000006E-2</v>
      </c>
      <c r="AO261" s="137">
        <v>0.1065</v>
      </c>
      <c r="AR261" s="137">
        <v>4.5999999999999999E-3</v>
      </c>
      <c r="AT261" s="137">
        <v>2.06E-2</v>
      </c>
      <c r="AV261" s="137">
        <v>4.4200000000000003E-2</v>
      </c>
      <c r="AW261" s="137">
        <v>6.88E-2</v>
      </c>
      <c r="AX261" s="137">
        <v>0.1116</v>
      </c>
    </row>
    <row r="262" spans="1:50" s="79" customFormat="1" ht="10.199999999999999" x14ac:dyDescent="0.2">
      <c r="A262" s="97">
        <f t="shared" ca="1" si="6"/>
        <v>251</v>
      </c>
      <c r="B262" s="68" t="s">
        <v>339</v>
      </c>
      <c r="C262" s="98">
        <v>0.4</v>
      </c>
      <c r="D262" s="69" t="s">
        <v>67</v>
      </c>
      <c r="E262" s="138" t="s">
        <v>87</v>
      </c>
      <c r="F262" s="159" t="s">
        <v>87</v>
      </c>
      <c r="G262" s="159">
        <v>2.5166999999999998E-2</v>
      </c>
      <c r="H262" s="159" t="s">
        <v>87</v>
      </c>
      <c r="I262" s="159">
        <v>2.5009E-2</v>
      </c>
      <c r="J262" s="159" t="s">
        <v>87</v>
      </c>
      <c r="K262" s="159">
        <v>2.265E-2</v>
      </c>
      <c r="L262" s="159">
        <v>2.1706E-2</v>
      </c>
      <c r="M262" s="159">
        <v>2.0763E-2</v>
      </c>
      <c r="N262" s="139">
        <f t="array" aca="1" ref="N262:AE262" ca="1">IF(OR(B262="",NOT($J$2)),"",GetStripDefaultProbability(A262,B262,Parameter_Date,CDSRollDate,E262:M262,SpreadCurveMaturities,D262,C262,$J$4,$J$6))</f>
        <v>0</v>
      </c>
      <c r="O262" s="166">
        <f ca="1"/>
        <v>0</v>
      </c>
      <c r="P262" s="166">
        <f ca="1"/>
        <v>4.3463988407034471E-2</v>
      </c>
      <c r="Q262" s="166">
        <f ca="1"/>
        <v>0</v>
      </c>
      <c r="R262" s="166">
        <f ca="1"/>
        <v>0.12014719335183921</v>
      </c>
      <c r="S262" s="166">
        <f ca="1"/>
        <v>0</v>
      </c>
      <c r="T262" s="166">
        <f ca="1"/>
        <v>0.17185252451830191</v>
      </c>
      <c r="U262" s="166">
        <f ca="1"/>
        <v>0.22208118599543303</v>
      </c>
      <c r="V262" s="140">
        <f ca="1"/>
        <v>0.28639154817765611</v>
      </c>
      <c r="W262" s="139">
        <f ca="1"/>
        <v>0</v>
      </c>
      <c r="X262" s="166">
        <f ca="1"/>
        <v>0</v>
      </c>
      <c r="Y262" s="166">
        <f ca="1"/>
        <v>4.5571892259509639E-2</v>
      </c>
      <c r="Z262" s="166">
        <f ca="1"/>
        <v>0</v>
      </c>
      <c r="AA262" s="166">
        <f ca="1"/>
        <v>0.12576182278509906</v>
      </c>
      <c r="AB262" s="166">
        <f ca="1"/>
        <v>0</v>
      </c>
      <c r="AC262" s="166">
        <f ca="1"/>
        <v>0.17954999904306479</v>
      </c>
      <c r="AD262" s="166">
        <f ca="1"/>
        <v>0.23167814845184587</v>
      </c>
      <c r="AE262" s="140">
        <f ca="1"/>
        <v>0.29809921268115847</v>
      </c>
      <c r="AI262" s="137">
        <v>4.2900000000000001E-2</v>
      </c>
      <c r="AK262" s="137">
        <v>0.1197</v>
      </c>
      <c r="AM262" s="137">
        <v>0.1719</v>
      </c>
      <c r="AN262" s="137">
        <v>0.2218</v>
      </c>
      <c r="AO262" s="137">
        <v>0.28699999999999998</v>
      </c>
      <c r="AR262" s="137">
        <v>4.4999999999999998E-2</v>
      </c>
      <c r="AT262" s="137">
        <v>0.12529999999999999</v>
      </c>
      <c r="AV262" s="137">
        <v>0.17960000000000001</v>
      </c>
      <c r="AW262" s="137">
        <v>0.23139999999999999</v>
      </c>
      <c r="AX262" s="137">
        <v>0.29880000000000001</v>
      </c>
    </row>
    <row r="263" spans="1:50" s="79" customFormat="1" ht="10.199999999999999" x14ac:dyDescent="0.2">
      <c r="A263" s="97">
        <f t="shared" ca="1" si="6"/>
        <v>252</v>
      </c>
      <c r="B263" s="68" t="s">
        <v>340</v>
      </c>
      <c r="C263" s="98">
        <v>0.4</v>
      </c>
      <c r="D263" s="69" t="s">
        <v>67</v>
      </c>
      <c r="E263" s="138" t="s">
        <v>87</v>
      </c>
      <c r="F263" s="159" t="s">
        <v>87</v>
      </c>
      <c r="G263" s="159">
        <v>4.4299999999999999E-3</v>
      </c>
      <c r="H263" s="159" t="s">
        <v>87</v>
      </c>
      <c r="I263" s="159">
        <v>7.8539999999999999E-3</v>
      </c>
      <c r="J263" s="159" t="s">
        <v>87</v>
      </c>
      <c r="K263" s="159">
        <v>1.235E-2</v>
      </c>
      <c r="L263" s="159">
        <v>1.4572E-2</v>
      </c>
      <c r="M263" s="159">
        <v>1.7569000000000001E-2</v>
      </c>
      <c r="N263" s="139">
        <f t="array" aca="1" ref="N263:AE263" ca="1">IF(OR(B263="",NOT($J$2)),"",GetStripDefaultProbability(A263,B263,Parameter_Date,CDSRollDate,E263:M263,SpreadCurveMaturities,D263,C263,$J$4,$J$6))</f>
        <v>0</v>
      </c>
      <c r="O263" s="166">
        <f ca="1"/>
        <v>0</v>
      </c>
      <c r="P263" s="166">
        <f ca="1"/>
        <v>7.7892249134429159E-3</v>
      </c>
      <c r="Q263" s="166">
        <f ca="1"/>
        <v>0</v>
      </c>
      <c r="R263" s="166">
        <f ca="1"/>
        <v>4.0247563845363321E-2</v>
      </c>
      <c r="S263" s="166">
        <f ca="1"/>
        <v>0</v>
      </c>
      <c r="T263" s="166">
        <f ca="1"/>
        <v>0.10462139640102841</v>
      </c>
      <c r="U263" s="166">
        <f ca="1"/>
        <v>0.16822816341672198</v>
      </c>
      <c r="V263" s="140">
        <f ca="1"/>
        <v>0.28140617787767908</v>
      </c>
      <c r="W263" s="139">
        <f ca="1"/>
        <v>0</v>
      </c>
      <c r="X263" s="166">
        <f ca="1"/>
        <v>0</v>
      </c>
      <c r="Y263" s="166">
        <f ca="1"/>
        <v>8.1768021936740043E-3</v>
      </c>
      <c r="Z263" s="166">
        <f ca="1"/>
        <v>0</v>
      </c>
      <c r="AA263" s="166">
        <f ca="1"/>
        <v>4.2227417017807745E-2</v>
      </c>
      <c r="AB263" s="166">
        <f ca="1"/>
        <v>0</v>
      </c>
      <c r="AC263" s="166">
        <f ca="1"/>
        <v>0.10965053137682368</v>
      </c>
      <c r="AD263" s="166">
        <f ca="1"/>
        <v>0.17606291569230015</v>
      </c>
      <c r="AE263" s="140">
        <f ca="1"/>
        <v>0.29382179309319545</v>
      </c>
      <c r="AI263" s="137">
        <v>7.7000000000000002E-3</v>
      </c>
      <c r="AK263" s="137">
        <v>3.9800000000000002E-2</v>
      </c>
      <c r="AM263" s="137">
        <v>0.1036</v>
      </c>
      <c r="AN263" s="137">
        <v>0.16739999999999999</v>
      </c>
      <c r="AO263" s="137">
        <v>0.27910000000000001</v>
      </c>
      <c r="AR263" s="137">
        <v>8.0999999999999996E-3</v>
      </c>
      <c r="AT263" s="137">
        <v>4.1700000000000001E-2</v>
      </c>
      <c r="AV263" s="137">
        <v>0.1086</v>
      </c>
      <c r="AW263" s="137">
        <v>0.17519999999999999</v>
      </c>
      <c r="AX263" s="137">
        <v>0.2913</v>
      </c>
    </row>
    <row r="264" spans="1:50" s="79" customFormat="1" ht="10.199999999999999" x14ac:dyDescent="0.2">
      <c r="A264" s="97">
        <f t="shared" ca="1" si="6"/>
        <v>253</v>
      </c>
      <c r="B264" s="68" t="s">
        <v>341</v>
      </c>
      <c r="C264" s="98">
        <v>0.4</v>
      </c>
      <c r="D264" s="69" t="s">
        <v>66</v>
      </c>
      <c r="E264" s="138" t="s">
        <v>87</v>
      </c>
      <c r="F264" s="159">
        <v>2.2000000000000001E-3</v>
      </c>
      <c r="G264" s="159">
        <v>2.8999999999999998E-3</v>
      </c>
      <c r="H264" s="159">
        <v>4.7999999999999996E-3</v>
      </c>
      <c r="I264" s="159">
        <v>6.8999999999999999E-3</v>
      </c>
      <c r="J264" s="159">
        <v>9.7000000000000003E-3</v>
      </c>
      <c r="K264" s="159">
        <v>1.2E-2</v>
      </c>
      <c r="L264" s="159">
        <v>1.5100000000000001E-2</v>
      </c>
      <c r="M264" s="159">
        <v>1.7399999999999999E-2</v>
      </c>
      <c r="N264" s="139">
        <f t="array" aca="1" ref="N264:AE264" ca="1">IF(OR(B264="",NOT($J$2)),"",GetStripDefaultProbability(A264,B264,Parameter_Date,CDSRollDate,E264:M264,SpreadCurveMaturities,D264,C264,$J$4,$J$6))</f>
        <v>0</v>
      </c>
      <c r="O264" s="166">
        <f ca="1"/>
        <v>2.0509611578531928E-3</v>
      </c>
      <c r="P264" s="166">
        <f ca="1"/>
        <v>5.1247545451201804E-3</v>
      </c>
      <c r="Q264" s="166">
        <f ca="1"/>
        <v>1.6622231179614255E-2</v>
      </c>
      <c r="R264" s="166">
        <f ca="1"/>
        <v>3.5612744386610773E-2</v>
      </c>
      <c r="S264" s="166">
        <f ca="1"/>
        <v>6.6630672807563185E-2</v>
      </c>
      <c r="T264" s="166">
        <f ca="1"/>
        <v>0.10219561574961444</v>
      </c>
      <c r="U264" s="166">
        <f ca="1"/>
        <v>0.17566456179711276</v>
      </c>
      <c r="V264" s="140">
        <f ca="1"/>
        <v>0.27551596700271364</v>
      </c>
      <c r="W264" s="139">
        <f ca="1"/>
        <v>0</v>
      </c>
      <c r="X264" s="166">
        <f ca="1"/>
        <v>2.15338935736753E-3</v>
      </c>
      <c r="Y264" s="166">
        <f ca="1"/>
        <v>5.3803635838386432E-3</v>
      </c>
      <c r="Z264" s="166">
        <f ca="1"/>
        <v>1.7447995553071083E-2</v>
      </c>
      <c r="AA264" s="166">
        <f ca="1"/>
        <v>3.7370188775922575E-2</v>
      </c>
      <c r="AB264" s="166">
        <f ca="1"/>
        <v>6.9886289005263391E-2</v>
      </c>
      <c r="AC264" s="166">
        <f ca="1"/>
        <v>0.10712450009141716</v>
      </c>
      <c r="AD264" s="166">
        <f ca="1"/>
        <v>0.18386453342362974</v>
      </c>
      <c r="AE264" s="140">
        <f ca="1"/>
        <v>0.28765901630823365</v>
      </c>
      <c r="AH264" s="137">
        <v>2E-3</v>
      </c>
      <c r="AI264" s="137">
        <v>5.1000000000000004E-3</v>
      </c>
      <c r="AJ264" s="137">
        <v>1.6500000000000001E-2</v>
      </c>
      <c r="AK264" s="137">
        <v>3.5400000000000001E-2</v>
      </c>
      <c r="AL264" s="137">
        <v>6.6299999999999998E-2</v>
      </c>
      <c r="AM264" s="137">
        <v>0.1018</v>
      </c>
      <c r="AN264" s="137">
        <v>0.17499999999999999</v>
      </c>
      <c r="AO264" s="137">
        <v>0.27500000000000002</v>
      </c>
      <c r="AQ264" s="137">
        <v>2.0999999999999999E-3</v>
      </c>
      <c r="AR264" s="137">
        <v>5.3E-3</v>
      </c>
      <c r="AS264" s="137">
        <v>1.7299999999999999E-2</v>
      </c>
      <c r="AT264" s="137">
        <v>3.7100000000000001E-2</v>
      </c>
      <c r="AU264" s="137">
        <v>6.9500000000000006E-2</v>
      </c>
      <c r="AV264" s="137">
        <v>0.1067</v>
      </c>
      <c r="AW264" s="137">
        <v>0.1832</v>
      </c>
      <c r="AX264" s="137">
        <v>0.28720000000000001</v>
      </c>
    </row>
    <row r="265" spans="1:50" s="79" customFormat="1" ht="10.199999999999999" x14ac:dyDescent="0.2">
      <c r="A265" s="97">
        <f t="shared" ca="1" si="6"/>
        <v>254</v>
      </c>
      <c r="B265" s="68" t="s">
        <v>342</v>
      </c>
      <c r="C265" s="98">
        <v>0.4</v>
      </c>
      <c r="D265" s="69" t="s">
        <v>66</v>
      </c>
      <c r="E265" s="138" t="s">
        <v>87</v>
      </c>
      <c r="F265" s="159">
        <v>5.4000000000000003E-3</v>
      </c>
      <c r="G265" s="159">
        <v>5.4000000000000003E-3</v>
      </c>
      <c r="H265" s="159">
        <v>8.0999999999999996E-3</v>
      </c>
      <c r="I265" s="159">
        <v>9.7999999999999997E-3</v>
      </c>
      <c r="J265" s="159" t="s">
        <v>87</v>
      </c>
      <c r="K265" s="159">
        <v>1.2500000000000001E-2</v>
      </c>
      <c r="L265" s="159">
        <v>1.4800000000000001E-2</v>
      </c>
      <c r="M265" s="159">
        <v>1.6E-2</v>
      </c>
      <c r="N265" s="139">
        <f t="array" aca="1" ref="N265:AE265" ca="1">IF(OR(B265="",NOT($J$2)),"",GetStripDefaultProbability(A265,B265,Parameter_Date,CDSRollDate,E265:M265,SpreadCurveMaturities,D265,C265,$J$4,$J$6))</f>
        <v>0</v>
      </c>
      <c r="O265" s="166">
        <f ca="1"/>
        <v>5.0266941690249034E-3</v>
      </c>
      <c r="P265" s="166">
        <f ca="1"/>
        <v>9.4880567246733438E-3</v>
      </c>
      <c r="Q265" s="166">
        <f ca="1"/>
        <v>2.785356282982332E-2</v>
      </c>
      <c r="R265" s="166">
        <f ca="1"/>
        <v>4.9836335240136087E-2</v>
      </c>
      <c r="S265" s="166">
        <f ca="1"/>
        <v>0</v>
      </c>
      <c r="T265" s="166">
        <f ca="1"/>
        <v>0.10399451008455962</v>
      </c>
      <c r="U265" s="166">
        <f ca="1"/>
        <v>0.1688551697979519</v>
      </c>
      <c r="V265" s="140">
        <f ca="1"/>
        <v>0.24887736792682402</v>
      </c>
      <c r="W265" s="139">
        <f ca="1"/>
        <v>0</v>
      </c>
      <c r="X265" s="166">
        <f ca="1"/>
        <v>5.2773002692817483E-3</v>
      </c>
      <c r="Y265" s="166">
        <f ca="1"/>
        <v>9.9599310444861144E-3</v>
      </c>
      <c r="Z265" s="166">
        <f ca="1"/>
        <v>2.9230208354749987E-2</v>
      </c>
      <c r="AA265" s="166">
        <f ca="1"/>
        <v>5.2275414888480976E-2</v>
      </c>
      <c r="AB265" s="166">
        <f ca="1"/>
        <v>0</v>
      </c>
      <c r="AC265" s="166">
        <f ca="1"/>
        <v>0.10896484468432888</v>
      </c>
      <c r="AD265" s="166">
        <f ca="1"/>
        <v>0.17668732812749</v>
      </c>
      <c r="AE265" s="140">
        <f ca="1"/>
        <v>0.25984515517206375</v>
      </c>
      <c r="AH265" s="137">
        <v>4.8999999999999998E-3</v>
      </c>
      <c r="AI265" s="137">
        <v>9.4000000000000004E-3</v>
      </c>
      <c r="AJ265" s="137">
        <v>2.76E-2</v>
      </c>
      <c r="AK265" s="137">
        <v>4.9599999999999998E-2</v>
      </c>
      <c r="AM265" s="137">
        <v>0.10340000000000001</v>
      </c>
      <c r="AN265" s="137">
        <v>0.1681</v>
      </c>
      <c r="AO265" s="137">
        <v>0.24859999999999999</v>
      </c>
      <c r="AQ265" s="137">
        <v>5.1000000000000004E-3</v>
      </c>
      <c r="AR265" s="137">
        <v>9.7999999999999997E-3</v>
      </c>
      <c r="AS265" s="137">
        <v>2.9000000000000001E-2</v>
      </c>
      <c r="AT265" s="137">
        <v>5.1999999999999998E-2</v>
      </c>
      <c r="AV265" s="137">
        <v>0.10829999999999999</v>
      </c>
      <c r="AW265" s="137">
        <v>0.1759</v>
      </c>
      <c r="AX265" s="137">
        <v>0.2596</v>
      </c>
    </row>
    <row r="266" spans="1:50" s="79" customFormat="1" ht="10.199999999999999" x14ac:dyDescent="0.2">
      <c r="A266" s="97">
        <f t="shared" ca="1" si="6"/>
        <v>255</v>
      </c>
      <c r="B266" s="68" t="s">
        <v>343</v>
      </c>
      <c r="C266" s="98">
        <v>0.4</v>
      </c>
      <c r="D266" s="69" t="s">
        <v>67</v>
      </c>
      <c r="E266" s="138" t="s">
        <v>87</v>
      </c>
      <c r="F266" s="159" t="s">
        <v>87</v>
      </c>
      <c r="G266" s="159">
        <v>3.7569999999999999E-3</v>
      </c>
      <c r="H266" s="159" t="s">
        <v>87</v>
      </c>
      <c r="I266" s="159">
        <v>8.1030000000000008E-3</v>
      </c>
      <c r="J266" s="159" t="s">
        <v>87</v>
      </c>
      <c r="K266" s="159">
        <v>1.2500000000000001E-2</v>
      </c>
      <c r="L266" s="159">
        <v>1.413E-2</v>
      </c>
      <c r="M266" s="159">
        <v>1.6403000000000001E-2</v>
      </c>
      <c r="N266" s="139">
        <f t="array" aca="1" ref="N266:AE266" ca="1">IF(OR(B266="",NOT($J$2)),"",GetStripDefaultProbability(A266,B266,Parameter_Date,CDSRollDate,E266:M266,SpreadCurveMaturities,D266,C266,$J$4,$J$6))</f>
        <v>0</v>
      </c>
      <c r="O266" s="166">
        <f ca="1"/>
        <v>0</v>
      </c>
      <c r="P266" s="166">
        <f ca="1"/>
        <v>6.6097794009432054E-3</v>
      </c>
      <c r="Q266" s="166">
        <f ca="1"/>
        <v>0</v>
      </c>
      <c r="R266" s="166">
        <f ca="1"/>
        <v>4.1701677099148404E-2</v>
      </c>
      <c r="S266" s="166">
        <f ca="1"/>
        <v>0</v>
      </c>
      <c r="T266" s="166">
        <f ca="1"/>
        <v>0.10581677153022107</v>
      </c>
      <c r="U266" s="166">
        <f ca="1"/>
        <v>0.16242727878131513</v>
      </c>
      <c r="V266" s="140">
        <f ca="1"/>
        <v>0.26158783338748282</v>
      </c>
      <c r="W266" s="139">
        <f ca="1"/>
        <v>0</v>
      </c>
      <c r="X266" s="166">
        <f ca="1"/>
        <v>0</v>
      </c>
      <c r="Y266" s="166">
        <f ca="1"/>
        <v>6.9389171067880673E-3</v>
      </c>
      <c r="Z266" s="166">
        <f ca="1"/>
        <v>0</v>
      </c>
      <c r="AA266" s="166">
        <f ca="1"/>
        <v>4.3754328775757467E-2</v>
      </c>
      <c r="AB266" s="166">
        <f ca="1"/>
        <v>0</v>
      </c>
      <c r="AC266" s="166">
        <f ca="1"/>
        <v>0.11090112537934249</v>
      </c>
      <c r="AD266" s="166">
        <f ca="1"/>
        <v>0.16999222967856598</v>
      </c>
      <c r="AE266" s="140">
        <f ca="1"/>
        <v>0.27317904719904562</v>
      </c>
      <c r="AI266" s="137">
        <v>6.4999999999999997E-3</v>
      </c>
      <c r="AK266" s="137">
        <v>4.1099999999999998E-2</v>
      </c>
      <c r="AM266" s="137">
        <v>0.1048</v>
      </c>
      <c r="AN266" s="137">
        <v>0.16170000000000001</v>
      </c>
      <c r="AO266" s="137">
        <v>0.25950000000000001</v>
      </c>
      <c r="AR266" s="137">
        <v>6.7999999999999996E-3</v>
      </c>
      <c r="AT266" s="137">
        <v>4.3200000000000002E-2</v>
      </c>
      <c r="AV266" s="137">
        <v>0.10979999999999999</v>
      </c>
      <c r="AW266" s="137">
        <v>0.16919999999999999</v>
      </c>
      <c r="AX266" s="137">
        <v>0.27100000000000002</v>
      </c>
    </row>
    <row r="267" spans="1:50" s="79" customFormat="1" ht="10.199999999999999" x14ac:dyDescent="0.2">
      <c r="A267" s="97">
        <f t="shared" ref="A267:A330" ca="1" si="7">IF(B267="","",A266+1)</f>
        <v>256</v>
      </c>
      <c r="B267" s="68" t="s">
        <v>344</v>
      </c>
      <c r="C267" s="98">
        <v>0.4</v>
      </c>
      <c r="D267" s="69" t="s">
        <v>67</v>
      </c>
      <c r="E267" s="138" t="s">
        <v>87</v>
      </c>
      <c r="F267" s="159" t="s">
        <v>87</v>
      </c>
      <c r="G267" s="159">
        <v>2.745E-3</v>
      </c>
      <c r="H267" s="159" t="s">
        <v>87</v>
      </c>
      <c r="I267" s="159">
        <v>5.0330000000000001E-3</v>
      </c>
      <c r="J267" s="159" t="s">
        <v>87</v>
      </c>
      <c r="K267" s="159">
        <v>7.5500000000000003E-3</v>
      </c>
      <c r="L267" s="159">
        <v>8.7220000000000006E-3</v>
      </c>
      <c r="M267" s="159">
        <v>9.8480000000000009E-3</v>
      </c>
      <c r="N267" s="139">
        <f t="array" aca="1" ref="N267:AE267" ca="1">IF(OR(B267="",NOT($J$2)),"",GetStripDefaultProbability(A267,B267,Parameter_Date,CDSRollDate,E267:M267,SpreadCurveMaturities,D267,C267,$J$4,$J$6))</f>
        <v>0</v>
      </c>
      <c r="O267" s="166">
        <f ca="1"/>
        <v>0</v>
      </c>
      <c r="P267" s="166">
        <f ca="1"/>
        <v>4.8336169197978895E-3</v>
      </c>
      <c r="Q267" s="166">
        <f ca="1"/>
        <v>0</v>
      </c>
      <c r="R267" s="166">
        <f ca="1"/>
        <v>2.5955785463561698E-2</v>
      </c>
      <c r="S267" s="166">
        <f ca="1"/>
        <v>0</v>
      </c>
      <c r="T267" s="166">
        <f ca="1"/>
        <v>6.4684237249006071E-2</v>
      </c>
      <c r="U267" s="166">
        <f ca="1"/>
        <v>0.1029543936424977</v>
      </c>
      <c r="V267" s="140">
        <f ca="1"/>
        <v>0.16298376264647441</v>
      </c>
      <c r="W267" s="139">
        <f ca="1"/>
        <v>0</v>
      </c>
      <c r="X267" s="166">
        <f ca="1"/>
        <v>0</v>
      </c>
      <c r="Y267" s="166">
        <f ca="1"/>
        <v>5.0612351950887202E-3</v>
      </c>
      <c r="Z267" s="166">
        <f ca="1"/>
        <v>0</v>
      </c>
      <c r="AA267" s="166">
        <f ca="1"/>
        <v>2.7242002895284889E-2</v>
      </c>
      <c r="AB267" s="166">
        <f ca="1"/>
        <v>0</v>
      </c>
      <c r="AC267" s="166">
        <f ca="1"/>
        <v>6.7840649483439375E-2</v>
      </c>
      <c r="AD267" s="166">
        <f ca="1"/>
        <v>0.10788625635100313</v>
      </c>
      <c r="AE267" s="140">
        <f ca="1"/>
        <v>0.17055786403033335</v>
      </c>
      <c r="AI267" s="137">
        <v>4.7999999999999996E-3</v>
      </c>
      <c r="AK267" s="137">
        <v>2.5700000000000001E-2</v>
      </c>
      <c r="AM267" s="137">
        <v>6.4199999999999993E-2</v>
      </c>
      <c r="AN267" s="137">
        <v>0.10249999999999999</v>
      </c>
      <c r="AO267" s="137">
        <v>0.16209999999999999</v>
      </c>
      <c r="AR267" s="137">
        <v>5.0000000000000001E-3</v>
      </c>
      <c r="AT267" s="137">
        <v>2.69E-2</v>
      </c>
      <c r="AV267" s="137">
        <v>6.7299999999999999E-2</v>
      </c>
      <c r="AW267" s="137">
        <v>0.1074</v>
      </c>
      <c r="AX267" s="137">
        <v>0.1696</v>
      </c>
    </row>
    <row r="268" spans="1:50" s="79" customFormat="1" ht="10.199999999999999" x14ac:dyDescent="0.2">
      <c r="A268" s="97">
        <f t="shared" ca="1" si="7"/>
        <v>257</v>
      </c>
      <c r="B268" s="68" t="s">
        <v>345</v>
      </c>
      <c r="C268" s="98">
        <v>0.4</v>
      </c>
      <c r="D268" s="69" t="s">
        <v>67</v>
      </c>
      <c r="E268" s="138" t="s">
        <v>87</v>
      </c>
      <c r="F268" s="159" t="s">
        <v>87</v>
      </c>
      <c r="G268" s="159">
        <v>1.2830000000000001E-3</v>
      </c>
      <c r="H268" s="159" t="s">
        <v>87</v>
      </c>
      <c r="I268" s="159">
        <v>4.1999999999999997E-3</v>
      </c>
      <c r="J268" s="159" t="s">
        <v>87</v>
      </c>
      <c r="K268" s="159">
        <v>5.8999999999999999E-3</v>
      </c>
      <c r="L268" s="159">
        <v>7.7000000000000002E-3</v>
      </c>
      <c r="M268" s="159">
        <v>9.7000000000000003E-3</v>
      </c>
      <c r="N268" s="139">
        <f t="array" aca="1" ref="N268:AE268" ca="1">IF(OR(B268="",NOT($J$2)),"",GetStripDefaultProbability(A268,B268,Parameter_Date,CDSRollDate,E268:M268,SpreadCurveMaturities,D268,C268,$J$4,$J$6))</f>
        <v>0</v>
      </c>
      <c r="O268" s="166">
        <f ca="1"/>
        <v>0</v>
      </c>
      <c r="P268" s="166">
        <f ca="1"/>
        <v>2.2621012773794691E-3</v>
      </c>
      <c r="Q268" s="166">
        <f ca="1"/>
        <v>0</v>
      </c>
      <c r="R268" s="166">
        <f ca="1"/>
        <v>2.1915678799916627E-2</v>
      </c>
      <c r="S268" s="166">
        <f ca="1"/>
        <v>0</v>
      </c>
      <c r="T268" s="166">
        <f ca="1"/>
        <v>5.0702674417067772E-2</v>
      </c>
      <c r="U268" s="166">
        <f ca="1"/>
        <v>9.2834412311497694E-2</v>
      </c>
      <c r="V268" s="140">
        <f ca="1"/>
        <v>0.16498444750790686</v>
      </c>
      <c r="W268" s="139">
        <f ca="1"/>
        <v>0</v>
      </c>
      <c r="X268" s="166">
        <f ca="1"/>
        <v>0</v>
      </c>
      <c r="Y268" s="166">
        <f ca="1"/>
        <v>2.4283770704467411E-3</v>
      </c>
      <c r="Z268" s="166">
        <f ca="1"/>
        <v>0</v>
      </c>
      <c r="AA268" s="166">
        <f ca="1"/>
        <v>2.2996952145106775E-2</v>
      </c>
      <c r="AB268" s="166">
        <f ca="1"/>
        <v>0</v>
      </c>
      <c r="AC268" s="166">
        <f ca="1"/>
        <v>5.318520337358601E-2</v>
      </c>
      <c r="AD268" s="166">
        <f ca="1"/>
        <v>9.7311504485433575E-2</v>
      </c>
      <c r="AE268" s="140">
        <f ca="1"/>
        <v>0.17270960318701778</v>
      </c>
      <c r="AI268" s="137">
        <v>2.2000000000000001E-3</v>
      </c>
      <c r="AK268" s="137">
        <v>2.1600000000000001E-2</v>
      </c>
      <c r="AM268" s="137">
        <v>5.04E-2</v>
      </c>
      <c r="AN268" s="137">
        <v>9.2100000000000001E-2</v>
      </c>
      <c r="AO268" s="137">
        <v>0.16439999999999999</v>
      </c>
      <c r="AR268" s="137">
        <v>2.3999999999999998E-3</v>
      </c>
      <c r="AT268" s="137">
        <v>2.2599999999999999E-2</v>
      </c>
      <c r="AV268" s="137">
        <v>5.28E-2</v>
      </c>
      <c r="AW268" s="137">
        <v>9.6600000000000005E-2</v>
      </c>
      <c r="AX268" s="137">
        <v>0.1721</v>
      </c>
    </row>
    <row r="269" spans="1:50" s="79" customFormat="1" ht="10.199999999999999" x14ac:dyDescent="0.2">
      <c r="A269" s="97">
        <f t="shared" ca="1" si="7"/>
        <v>258</v>
      </c>
      <c r="B269" s="68" t="s">
        <v>189</v>
      </c>
      <c r="C269" s="98">
        <v>0.4</v>
      </c>
      <c r="D269" s="69" t="s">
        <v>66</v>
      </c>
      <c r="E269" s="138" t="s">
        <v>87</v>
      </c>
      <c r="F269" s="159">
        <v>6.9999999999999999E-4</v>
      </c>
      <c r="G269" s="159">
        <v>1.4E-3</v>
      </c>
      <c r="H269" s="159">
        <v>2.5000000000000001E-3</v>
      </c>
      <c r="I269" s="159">
        <v>3.5999999999999999E-3</v>
      </c>
      <c r="J269" s="159" t="s">
        <v>87</v>
      </c>
      <c r="K269" s="159">
        <v>5.5999999999999999E-3</v>
      </c>
      <c r="L269" s="159">
        <v>7.0000000000000001E-3</v>
      </c>
      <c r="M269" s="159">
        <v>8.6E-3</v>
      </c>
      <c r="N269" s="139">
        <f t="array" aca="1" ref="N269:AE269" ca="1">IF(OR(B269="",NOT($J$2)),"",GetStripDefaultProbability(A269,B269,Parameter_Date,CDSRollDate,E269:M269,SpreadCurveMaturities,D269,C269,$J$4,$J$6))</f>
        <v>0</v>
      </c>
      <c r="O269" s="166">
        <f ca="1"/>
        <v>6.5303425461338271E-4</v>
      </c>
      <c r="P269" s="166">
        <f ca="1"/>
        <v>2.486188492216157E-3</v>
      </c>
      <c r="Q269" s="166">
        <f ca="1"/>
        <v>8.6950774564915623E-3</v>
      </c>
      <c r="R269" s="166">
        <f ca="1"/>
        <v>1.8708902867138777E-2</v>
      </c>
      <c r="S269" s="166">
        <f ca="1"/>
        <v>0</v>
      </c>
      <c r="T269" s="166">
        <f ca="1"/>
        <v>4.8353331137086841E-2</v>
      </c>
      <c r="U269" s="166">
        <f ca="1"/>
        <v>8.3985731094197047E-2</v>
      </c>
      <c r="V269" s="140">
        <f ca="1"/>
        <v>0.14572895332303981</v>
      </c>
      <c r="W269" s="139">
        <f ca="1"/>
        <v>0</v>
      </c>
      <c r="X269" s="166">
        <f ca="1"/>
        <v>7.4628912209839804E-4</v>
      </c>
      <c r="Y269" s="166">
        <f ca="1"/>
        <v>2.6623110057711896E-3</v>
      </c>
      <c r="Z269" s="166">
        <f ca="1"/>
        <v>9.1251804290459759E-3</v>
      </c>
      <c r="AA269" s="166">
        <f ca="1"/>
        <v>1.9634542024607349E-2</v>
      </c>
      <c r="AB269" s="166">
        <f ca="1"/>
        <v>0</v>
      </c>
      <c r="AC269" s="166">
        <f ca="1"/>
        <v>5.0723241258168739E-2</v>
      </c>
      <c r="AD269" s="166">
        <f ca="1"/>
        <v>8.8048421709463365E-2</v>
      </c>
      <c r="AE269" s="140">
        <f ca="1"/>
        <v>0.15259367308130167</v>
      </c>
      <c r="AH269" s="137">
        <v>5.9999999999999995E-4</v>
      </c>
      <c r="AI269" s="137">
        <v>2.5000000000000001E-3</v>
      </c>
      <c r="AJ269" s="137">
        <v>8.6E-3</v>
      </c>
      <c r="AK269" s="137">
        <v>1.8599999999999998E-2</v>
      </c>
      <c r="AM269" s="137">
        <v>4.8099999999999997E-2</v>
      </c>
      <c r="AN269" s="137">
        <v>8.3699999999999997E-2</v>
      </c>
      <c r="AO269" s="137">
        <v>0.14510000000000001</v>
      </c>
      <c r="AQ269" s="137">
        <v>6.9999999999999999E-4</v>
      </c>
      <c r="AR269" s="137">
        <v>2.5999999999999999E-3</v>
      </c>
      <c r="AS269" s="137">
        <v>8.9999999999999993E-3</v>
      </c>
      <c r="AT269" s="137">
        <v>1.95E-2</v>
      </c>
      <c r="AV269" s="137">
        <v>5.04E-2</v>
      </c>
      <c r="AW269" s="137">
        <v>8.77E-2</v>
      </c>
      <c r="AX269" s="137">
        <v>0.15190000000000001</v>
      </c>
    </row>
    <row r="270" spans="1:50" s="79" customFormat="1" ht="10.199999999999999" x14ac:dyDescent="0.2">
      <c r="A270" s="97">
        <f t="shared" ca="1" si="7"/>
        <v>259</v>
      </c>
      <c r="B270" s="68" t="s">
        <v>346</v>
      </c>
      <c r="C270" s="98">
        <v>0.4</v>
      </c>
      <c r="D270" s="69" t="s">
        <v>67</v>
      </c>
      <c r="E270" s="138" t="s">
        <v>87</v>
      </c>
      <c r="F270" s="159" t="s">
        <v>87</v>
      </c>
      <c r="G270" s="159">
        <v>2.875E-3</v>
      </c>
      <c r="H270" s="159" t="s">
        <v>87</v>
      </c>
      <c r="I270" s="159">
        <v>1.1301E-2</v>
      </c>
      <c r="J270" s="159" t="s">
        <v>87</v>
      </c>
      <c r="K270" s="159">
        <v>1.15E-2</v>
      </c>
      <c r="L270" s="159">
        <v>1.0968E-2</v>
      </c>
      <c r="M270" s="159">
        <v>1.0647999999999999E-2</v>
      </c>
      <c r="N270" s="139">
        <f t="array" aca="1" ref="N270:AE270" ca="1">IF(OR(B270="",NOT($J$2)),"",GetStripDefaultProbability(A270,B270,Parameter_Date,CDSRollDate,E270:M270,SpreadCurveMaturities,D270,C270,$J$4,$J$6))</f>
        <v>0</v>
      </c>
      <c r="O270" s="166">
        <f ca="1"/>
        <v>0</v>
      </c>
      <c r="P270" s="166">
        <f ca="1"/>
        <v>5.0619560170975797E-3</v>
      </c>
      <c r="Q270" s="166">
        <f ca="1"/>
        <v>0</v>
      </c>
      <c r="R270" s="166">
        <f ca="1"/>
        <v>5.8446171877604591E-2</v>
      </c>
      <c r="S270" s="166">
        <f ca="1"/>
        <v>0</v>
      </c>
      <c r="T270" s="166">
        <f ca="1"/>
        <v>9.4278263480977342E-2</v>
      </c>
      <c r="U270" s="166">
        <f ca="1"/>
        <v>0.12252726014286663</v>
      </c>
      <c r="V270" s="140">
        <f ca="1"/>
        <v>0.16282368169484096</v>
      </c>
      <c r="W270" s="139">
        <f ca="1"/>
        <v>0</v>
      </c>
      <c r="X270" s="166">
        <f ca="1"/>
        <v>0</v>
      </c>
      <c r="Y270" s="166">
        <f ca="1"/>
        <v>5.3002980376257725E-3</v>
      </c>
      <c r="Z270" s="166">
        <f ca="1"/>
        <v>0</v>
      </c>
      <c r="AA270" s="166">
        <f ca="1"/>
        <v>6.1316620413073175E-2</v>
      </c>
      <c r="AB270" s="166">
        <f ca="1"/>
        <v>0</v>
      </c>
      <c r="AC270" s="166">
        <f ca="1"/>
        <v>9.8775425528640937E-2</v>
      </c>
      <c r="AD270" s="166">
        <f ca="1"/>
        <v>0.12825604700637705</v>
      </c>
      <c r="AE270" s="140">
        <f ca="1"/>
        <v>0.17020524803330839</v>
      </c>
      <c r="AI270" s="137">
        <v>5.0000000000000001E-3</v>
      </c>
      <c r="AK270" s="137">
        <v>5.74E-2</v>
      </c>
      <c r="AM270" s="137">
        <v>9.4200000000000006E-2</v>
      </c>
      <c r="AN270" s="137">
        <v>0.12189999999999999</v>
      </c>
      <c r="AO270" s="137">
        <v>0.1633</v>
      </c>
      <c r="AR270" s="137">
        <v>5.1999999999999998E-3</v>
      </c>
      <c r="AT270" s="137">
        <v>6.0199999999999997E-2</v>
      </c>
      <c r="AV270" s="137">
        <v>9.8699999999999996E-2</v>
      </c>
      <c r="AW270" s="137">
        <v>0.12759999999999999</v>
      </c>
      <c r="AX270" s="137">
        <v>0.17069999999999999</v>
      </c>
    </row>
    <row r="271" spans="1:50" s="79" customFormat="1" ht="10.199999999999999" x14ac:dyDescent="0.2">
      <c r="A271" s="97">
        <f t="shared" ca="1" si="7"/>
        <v>260</v>
      </c>
      <c r="B271" s="68" t="s">
        <v>347</v>
      </c>
      <c r="C271" s="98">
        <v>0.4</v>
      </c>
      <c r="D271" s="69" t="s">
        <v>67</v>
      </c>
      <c r="E271" s="138" t="s">
        <v>87</v>
      </c>
      <c r="F271" s="159" t="s">
        <v>87</v>
      </c>
      <c r="G271" s="159">
        <v>1.9629999999999999E-3</v>
      </c>
      <c r="H271" s="159" t="s">
        <v>87</v>
      </c>
      <c r="I271" s="159">
        <v>4.3169999999999997E-3</v>
      </c>
      <c r="J271" s="159" t="s">
        <v>87</v>
      </c>
      <c r="K271" s="159">
        <v>7.1500000000000001E-3</v>
      </c>
      <c r="L271" s="159">
        <v>8.0300000000000007E-3</v>
      </c>
      <c r="M271" s="159">
        <v>9.2399999999999999E-3</v>
      </c>
      <c r="N271" s="139">
        <f t="array" aca="1" ref="N271:AE271" ca="1">IF(OR(B271="",NOT($J$2)),"",GetStripDefaultProbability(A271,B271,Parameter_Date,CDSRollDate,E271:M271,SpreadCurveMaturities,D271,C271,$J$4,$J$6))</f>
        <v>0</v>
      </c>
      <c r="O271" s="166">
        <f ca="1"/>
        <v>0</v>
      </c>
      <c r="P271" s="166">
        <f ca="1"/>
        <v>3.4589734094525593E-3</v>
      </c>
      <c r="Q271" s="166">
        <f ca="1"/>
        <v>0</v>
      </c>
      <c r="R271" s="166">
        <f ca="1"/>
        <v>2.2380251860783629E-2</v>
      </c>
      <c r="S271" s="166">
        <f ca="1"/>
        <v>0</v>
      </c>
      <c r="T271" s="166">
        <f ca="1"/>
        <v>6.1783351256459174E-2</v>
      </c>
      <c r="U271" s="166">
        <f ca="1"/>
        <v>9.5065589770164882E-2</v>
      </c>
      <c r="V271" s="140">
        <f ca="1"/>
        <v>0.15458472601336404</v>
      </c>
      <c r="W271" s="139">
        <f ca="1"/>
        <v>0</v>
      </c>
      <c r="X271" s="166">
        <f ca="1"/>
        <v>0</v>
      </c>
      <c r="Y271" s="166">
        <f ca="1"/>
        <v>3.6250497404880511E-3</v>
      </c>
      <c r="Z271" s="166">
        <f ca="1"/>
        <v>0</v>
      </c>
      <c r="AA271" s="166">
        <f ca="1"/>
        <v>2.34908622309562E-2</v>
      </c>
      <c r="AB271" s="166">
        <f ca="1"/>
        <v>0</v>
      </c>
      <c r="AC271" s="166">
        <f ca="1"/>
        <v>6.4806632516431817E-2</v>
      </c>
      <c r="AD271" s="166">
        <f ca="1"/>
        <v>9.9634485448678145E-2</v>
      </c>
      <c r="AE271" s="140">
        <f ca="1"/>
        <v>0.16181231791921014</v>
      </c>
      <c r="AI271" s="137">
        <v>3.3999999999999998E-3</v>
      </c>
      <c r="AK271" s="137">
        <v>2.2100000000000002E-2</v>
      </c>
      <c r="AM271" s="137">
        <v>6.1199999999999997E-2</v>
      </c>
      <c r="AN271" s="137">
        <v>9.4700000000000006E-2</v>
      </c>
      <c r="AO271" s="137">
        <v>0.15340000000000001</v>
      </c>
      <c r="AR271" s="137">
        <v>3.5999999999999999E-3</v>
      </c>
      <c r="AT271" s="137">
        <v>2.3199999999999998E-2</v>
      </c>
      <c r="AV271" s="137">
        <v>6.4199999999999993E-2</v>
      </c>
      <c r="AW271" s="137">
        <v>9.9299999999999999E-2</v>
      </c>
      <c r="AX271" s="137">
        <v>0.1605</v>
      </c>
    </row>
    <row r="272" spans="1:50" s="79" customFormat="1" ht="10.199999999999999" x14ac:dyDescent="0.2">
      <c r="A272" s="97">
        <f t="shared" ca="1" si="7"/>
        <v>261</v>
      </c>
      <c r="B272" s="68" t="s">
        <v>348</v>
      </c>
      <c r="C272" s="98">
        <v>0.4</v>
      </c>
      <c r="D272" s="69" t="s">
        <v>67</v>
      </c>
      <c r="E272" s="138" t="s">
        <v>87</v>
      </c>
      <c r="F272" s="159" t="s">
        <v>87</v>
      </c>
      <c r="G272" s="159">
        <v>2E-3</v>
      </c>
      <c r="H272" s="159" t="s">
        <v>87</v>
      </c>
      <c r="I272" s="159">
        <v>3.5000000000000001E-3</v>
      </c>
      <c r="J272" s="159" t="s">
        <v>87</v>
      </c>
      <c r="K272" s="159">
        <v>5.0000000000000001E-3</v>
      </c>
      <c r="L272" s="159">
        <v>6.7999999999999996E-3</v>
      </c>
      <c r="M272" s="159">
        <v>8.6999999999999994E-3</v>
      </c>
      <c r="N272" s="139">
        <f t="array" aca="1" ref="N272:AE272" ca="1">IF(OR(B272="",NOT($J$2)),"",GetStripDefaultProbability(A272,B272,Parameter_Date,CDSRollDate,E272:M272,SpreadCurveMaturities,D272,C272,$J$4,$J$6))</f>
        <v>0</v>
      </c>
      <c r="O272" s="166">
        <f ca="1"/>
        <v>0</v>
      </c>
      <c r="P272" s="166">
        <f ca="1"/>
        <v>3.5240564812459851E-3</v>
      </c>
      <c r="Q272" s="166">
        <f ca="1"/>
        <v>0</v>
      </c>
      <c r="R272" s="166">
        <f ca="1"/>
        <v>1.8084170810427347E-2</v>
      </c>
      <c r="S272" s="166">
        <f ca="1"/>
        <v>0</v>
      </c>
      <c r="T272" s="166">
        <f ca="1"/>
        <v>4.3019658137504413E-2</v>
      </c>
      <c r="U272" s="166">
        <f ca="1"/>
        <v>8.2521006405487318E-2</v>
      </c>
      <c r="V272" s="140">
        <f ca="1"/>
        <v>0.14956947237793761</v>
      </c>
      <c r="W272" s="139">
        <f ca="1"/>
        <v>0</v>
      </c>
      <c r="X272" s="166">
        <f ca="1"/>
        <v>0</v>
      </c>
      <c r="Y272" s="166">
        <f ca="1"/>
        <v>3.6901219660027129E-3</v>
      </c>
      <c r="Z272" s="166">
        <f ca="1"/>
        <v>0</v>
      </c>
      <c r="AA272" s="166">
        <f ca="1"/>
        <v>1.898301745162212E-2</v>
      </c>
      <c r="AB272" s="166">
        <f ca="1"/>
        <v>0</v>
      </c>
      <c r="AC272" s="166">
        <f ca="1"/>
        <v>4.513510390772324E-2</v>
      </c>
      <c r="AD272" s="166">
        <f ca="1"/>
        <v>8.6526219492010448E-2</v>
      </c>
      <c r="AE272" s="140">
        <f ca="1"/>
        <v>0.15662930264709429</v>
      </c>
      <c r="AI272" s="137">
        <v>3.5000000000000001E-3</v>
      </c>
      <c r="AK272" s="137">
        <v>1.7899999999999999E-2</v>
      </c>
      <c r="AM272" s="137">
        <v>4.2700000000000002E-2</v>
      </c>
      <c r="AN272" s="137">
        <v>8.1900000000000001E-2</v>
      </c>
      <c r="AO272" s="137">
        <v>0.14899999999999999</v>
      </c>
      <c r="AR272" s="137">
        <v>3.5999999999999999E-3</v>
      </c>
      <c r="AT272" s="137">
        <v>1.8800000000000001E-2</v>
      </c>
      <c r="AV272" s="137">
        <v>4.48E-2</v>
      </c>
      <c r="AW272" s="137">
        <v>8.5900000000000004E-2</v>
      </c>
      <c r="AX272" s="137">
        <v>0.156</v>
      </c>
    </row>
    <row r="273" spans="1:50" s="79" customFormat="1" ht="10.199999999999999" x14ac:dyDescent="0.2">
      <c r="A273" s="97">
        <f t="shared" ca="1" si="7"/>
        <v>262</v>
      </c>
      <c r="B273" s="68" t="s">
        <v>349</v>
      </c>
      <c r="C273" s="98">
        <v>0.4</v>
      </c>
      <c r="D273" s="69" t="s">
        <v>67</v>
      </c>
      <c r="E273" s="138" t="s">
        <v>87</v>
      </c>
      <c r="F273" s="159" t="s">
        <v>87</v>
      </c>
      <c r="G273" s="159">
        <v>2.1810000000000002E-3</v>
      </c>
      <c r="H273" s="159" t="s">
        <v>87</v>
      </c>
      <c r="I273" s="159">
        <v>3.9830000000000004E-3</v>
      </c>
      <c r="J273" s="159" t="s">
        <v>87</v>
      </c>
      <c r="K273" s="159">
        <v>5.4999999999999997E-3</v>
      </c>
      <c r="L273" s="159">
        <v>6.0689999999999997E-3</v>
      </c>
      <c r="M273" s="159">
        <v>7.0169999999999998E-3</v>
      </c>
      <c r="N273" s="139">
        <f t="array" aca="1" ref="N273:AE273" ca="1">IF(OR(B273="",NOT($J$2)),"",GetStripDefaultProbability(A273,B273,Parameter_Date,CDSRollDate,E273:M273,SpreadCurveMaturities,D273,C273,$J$4,$J$6))</f>
        <v>0</v>
      </c>
      <c r="O273" s="166">
        <f ca="1"/>
        <v>0</v>
      </c>
      <c r="P273" s="166">
        <f ca="1"/>
        <v>3.8423751171337006E-3</v>
      </c>
      <c r="Q273" s="166">
        <f ca="1"/>
        <v>0</v>
      </c>
      <c r="R273" s="166">
        <f ca="1"/>
        <v>2.05808162662664E-2</v>
      </c>
      <c r="S273" s="166">
        <f ca="1"/>
        <v>0</v>
      </c>
      <c r="T273" s="166">
        <f ca="1"/>
        <v>4.7150710576315036E-2</v>
      </c>
      <c r="U273" s="166">
        <f ca="1"/>
        <v>7.1867531506074722E-2</v>
      </c>
      <c r="V273" s="140">
        <f ca="1"/>
        <v>0.11846849299041717</v>
      </c>
      <c r="W273" s="139">
        <f ca="1"/>
        <v>0</v>
      </c>
      <c r="X273" s="166">
        <f ca="1"/>
        <v>0</v>
      </c>
      <c r="Y273" s="166">
        <f ca="1"/>
        <v>4.0234103133915955E-3</v>
      </c>
      <c r="Z273" s="166">
        <f ca="1"/>
        <v>0</v>
      </c>
      <c r="AA273" s="166">
        <f ca="1"/>
        <v>2.1602825860721819E-2</v>
      </c>
      <c r="AB273" s="166">
        <f ca="1"/>
        <v>0</v>
      </c>
      <c r="AC273" s="166">
        <f ca="1"/>
        <v>4.9465084809200754E-2</v>
      </c>
      <c r="AD273" s="166">
        <f ca="1"/>
        <v>7.5350081658916879E-2</v>
      </c>
      <c r="AE273" s="140">
        <f ca="1"/>
        <v>0.12409322334432493</v>
      </c>
      <c r="AI273" s="137">
        <v>3.8E-3</v>
      </c>
      <c r="AK273" s="137">
        <v>2.0299999999999999E-2</v>
      </c>
      <c r="AM273" s="137">
        <v>4.6800000000000001E-2</v>
      </c>
      <c r="AN273" s="137">
        <v>7.1599999999999997E-2</v>
      </c>
      <c r="AO273" s="137">
        <v>0.1177</v>
      </c>
      <c r="AR273" s="137">
        <v>4.0000000000000001E-3</v>
      </c>
      <c r="AT273" s="137">
        <v>2.1399999999999999E-2</v>
      </c>
      <c r="AV273" s="137">
        <v>4.9099999999999998E-2</v>
      </c>
      <c r="AW273" s="137">
        <v>7.51E-2</v>
      </c>
      <c r="AX273" s="137">
        <v>0.12330000000000001</v>
      </c>
    </row>
    <row r="274" spans="1:50" s="79" customFormat="1" ht="10.199999999999999" x14ac:dyDescent="0.2">
      <c r="A274" s="97">
        <f t="shared" ca="1" si="7"/>
        <v>263</v>
      </c>
      <c r="B274" s="68" t="s">
        <v>206</v>
      </c>
      <c r="C274" s="98">
        <v>0.4</v>
      </c>
      <c r="D274" s="69" t="s">
        <v>66</v>
      </c>
      <c r="E274" s="138" t="s">
        <v>87</v>
      </c>
      <c r="F274" s="159">
        <v>1E-3</v>
      </c>
      <c r="G274" s="159">
        <v>1.6000000000000001E-3</v>
      </c>
      <c r="H274" s="159">
        <v>2.3999999999999998E-3</v>
      </c>
      <c r="I274" s="159">
        <v>3.0999999999999999E-3</v>
      </c>
      <c r="J274" s="159" t="s">
        <v>87</v>
      </c>
      <c r="K274" s="159">
        <v>5.1999999999999998E-3</v>
      </c>
      <c r="L274" s="159">
        <v>6.3E-3</v>
      </c>
      <c r="M274" s="159">
        <v>7.1999999999999998E-3</v>
      </c>
      <c r="N274" s="139">
        <f t="array" aca="1" ref="N274:AE274" ca="1">IF(OR(B274="",NOT($J$2)),"",GetStripDefaultProbability(A274,B274,Parameter_Date,CDSRollDate,E274:M274,SpreadCurveMaturities,D274,C274,$J$4,$J$6))</f>
        <v>0</v>
      </c>
      <c r="O274" s="166">
        <f ca="1"/>
        <v>9.3277580402983951E-4</v>
      </c>
      <c r="P274" s="166">
        <f ca="1"/>
        <v>2.8358906113331583E-3</v>
      </c>
      <c r="Q274" s="166">
        <f ca="1"/>
        <v>8.3191472808175071E-3</v>
      </c>
      <c r="R274" s="166">
        <f ca="1"/>
        <v>1.6039422187661634E-2</v>
      </c>
      <c r="S274" s="166">
        <f ca="1"/>
        <v>0</v>
      </c>
      <c r="T274" s="166">
        <f ca="1"/>
        <v>4.5074993854387291E-2</v>
      </c>
      <c r="U274" s="166">
        <f ca="1"/>
        <v>7.5610024264092357E-2</v>
      </c>
      <c r="V274" s="140">
        <f ca="1"/>
        <v>0.1216269197834815</v>
      </c>
      <c r="W274" s="139">
        <f ca="1"/>
        <v>0</v>
      </c>
      <c r="X274" s="166">
        <f ca="1"/>
        <v>1.0260036394392769E-3</v>
      </c>
      <c r="Y274" s="166">
        <f ca="1"/>
        <v>3.0119415690046392E-3</v>
      </c>
      <c r="Z274" s="166">
        <f ca="1"/>
        <v>8.7315874842717189E-3</v>
      </c>
      <c r="AA274" s="166">
        <f ca="1"/>
        <v>1.68338796439228E-2</v>
      </c>
      <c r="AB274" s="166">
        <f ca="1"/>
        <v>0</v>
      </c>
      <c r="AC274" s="166">
        <f ca="1"/>
        <v>4.7290279557331338E-2</v>
      </c>
      <c r="AD274" s="166">
        <f ca="1"/>
        <v>7.9278121318219319E-2</v>
      </c>
      <c r="AE274" s="140">
        <f ca="1"/>
        <v>0.12739798553263815</v>
      </c>
      <c r="AH274" s="137">
        <v>8.9999999999999998E-4</v>
      </c>
      <c r="AI274" s="137">
        <v>2.8E-3</v>
      </c>
      <c r="AJ274" s="137">
        <v>8.3000000000000001E-3</v>
      </c>
      <c r="AK274" s="137">
        <v>1.5900000000000001E-2</v>
      </c>
      <c r="AM274" s="137">
        <v>4.48E-2</v>
      </c>
      <c r="AN274" s="137">
        <v>7.5399999999999995E-2</v>
      </c>
      <c r="AO274" s="137">
        <v>0.1211</v>
      </c>
      <c r="AQ274" s="137">
        <v>1E-3</v>
      </c>
      <c r="AR274" s="137">
        <v>3.0000000000000001E-3</v>
      </c>
      <c r="AS274" s="137">
        <v>8.6999999999999994E-3</v>
      </c>
      <c r="AT274" s="137">
        <v>1.67E-2</v>
      </c>
      <c r="AV274" s="137">
        <v>4.7E-2</v>
      </c>
      <c r="AW274" s="137">
        <v>7.9000000000000001E-2</v>
      </c>
      <c r="AX274" s="137">
        <v>0.1268</v>
      </c>
    </row>
    <row r="275" spans="1:50" s="79" customFormat="1" ht="10.199999999999999" x14ac:dyDescent="0.2">
      <c r="A275" s="97">
        <f t="shared" ca="1" si="7"/>
        <v>264</v>
      </c>
      <c r="B275" s="68" t="s">
        <v>350</v>
      </c>
      <c r="C275" s="98">
        <v>0.2</v>
      </c>
      <c r="D275" s="69" t="s">
        <v>67</v>
      </c>
      <c r="E275" s="138" t="s">
        <v>87</v>
      </c>
      <c r="F275" s="159" t="s">
        <v>87</v>
      </c>
      <c r="G275" s="159">
        <v>5.0000000000000001E-3</v>
      </c>
      <c r="H275" s="159" t="s">
        <v>87</v>
      </c>
      <c r="I275" s="159">
        <v>0.01</v>
      </c>
      <c r="J275" s="159" t="s">
        <v>87</v>
      </c>
      <c r="K275" s="159">
        <v>0.02</v>
      </c>
      <c r="L275" s="159">
        <v>2.3E-2</v>
      </c>
      <c r="M275" s="159">
        <v>2.5323999999999999E-2</v>
      </c>
      <c r="N275" s="139">
        <f t="array" aca="1" ref="N275:AE275" ca="1">IF(OR(B275="",NOT($J$2)),"",GetStripDefaultProbability(A275,B275,Parameter_Date,CDSRollDate,E275:M275,SpreadCurveMaturities,D275,C275,$J$4,$J$6))</f>
        <v>0</v>
      </c>
      <c r="O275" s="166">
        <f ca="1"/>
        <v>0</v>
      </c>
      <c r="P275" s="166">
        <f ca="1"/>
        <v>6.5975044782338177E-3</v>
      </c>
      <c r="Q275" s="166">
        <f ca="1"/>
        <v>0</v>
      </c>
      <c r="R275" s="166">
        <f ca="1"/>
        <v>3.8575528066092879E-2</v>
      </c>
      <c r="S275" s="166">
        <f ca="1"/>
        <v>0</v>
      </c>
      <c r="T275" s="166">
        <f ca="1"/>
        <v>0.12829624389158301</v>
      </c>
      <c r="U275" s="166">
        <f ca="1"/>
        <v>0.19752017691855173</v>
      </c>
      <c r="V275" s="140">
        <f ca="1"/>
        <v>0.29647599270391822</v>
      </c>
      <c r="W275" s="139">
        <f ca="1"/>
        <v>0</v>
      </c>
      <c r="X275" s="166">
        <f ca="1"/>
        <v>0</v>
      </c>
      <c r="Y275" s="166">
        <f ca="1"/>
        <v>6.9260335084361246E-3</v>
      </c>
      <c r="Z275" s="166">
        <f ca="1"/>
        <v>0</v>
      </c>
      <c r="AA275" s="166">
        <f ca="1"/>
        <v>4.0475808526574841E-2</v>
      </c>
      <c r="AB275" s="166">
        <f ca="1"/>
        <v>0</v>
      </c>
      <c r="AC275" s="166">
        <f ca="1"/>
        <v>0.13444974522557107</v>
      </c>
      <c r="AD275" s="166">
        <f ca="1"/>
        <v>0.20661072371535982</v>
      </c>
      <c r="AE275" s="140">
        <f ca="1"/>
        <v>0.30933014081419097</v>
      </c>
      <c r="AI275" s="137">
        <v>6.4999999999999997E-3</v>
      </c>
      <c r="AK275" s="137">
        <v>3.8100000000000002E-2</v>
      </c>
      <c r="AM275" s="137">
        <v>0.12659999999999999</v>
      </c>
      <c r="AN275" s="137">
        <v>0.1968</v>
      </c>
      <c r="AO275" s="137">
        <v>0.29370000000000002</v>
      </c>
      <c r="AR275" s="137">
        <v>6.7999999999999996E-3</v>
      </c>
      <c r="AT275" s="137">
        <v>3.9899999999999998E-2</v>
      </c>
      <c r="AV275" s="137">
        <v>0.1326</v>
      </c>
      <c r="AW275" s="137">
        <v>0.2059</v>
      </c>
      <c r="AX275" s="137">
        <v>0.30640000000000001</v>
      </c>
    </row>
    <row r="276" spans="1:50" s="79" customFormat="1" ht="10.199999999999999" x14ac:dyDescent="0.2">
      <c r="A276" s="97">
        <f t="shared" ca="1" si="7"/>
        <v>265</v>
      </c>
      <c r="B276" s="68" t="s">
        <v>351</v>
      </c>
      <c r="C276" s="98">
        <v>0.4</v>
      </c>
      <c r="D276" s="69" t="s">
        <v>66</v>
      </c>
      <c r="E276" s="138" t="s">
        <v>87</v>
      </c>
      <c r="F276" s="159">
        <v>1.8749999999999999E-2</v>
      </c>
      <c r="G276" s="159">
        <v>1.8749999999999999E-2</v>
      </c>
      <c r="H276" s="159">
        <v>1.7250000000000001E-2</v>
      </c>
      <c r="I276" s="159">
        <v>1.6500000000000001E-2</v>
      </c>
      <c r="J276" s="159" t="s">
        <v>87</v>
      </c>
      <c r="K276" s="159">
        <v>1.4999999999999999E-2</v>
      </c>
      <c r="L276" s="159">
        <v>1.4999999999999999E-2</v>
      </c>
      <c r="M276" s="159">
        <v>1.4999999999999999E-2</v>
      </c>
      <c r="N276" s="139">
        <f t="array" aca="1" ref="N276:AE276" ca="1">IF(OR(B276="",NOT($J$2)),"",GetStripDefaultProbability(A276,B276,Parameter_Date,CDSRollDate,E276:M276,SpreadCurveMaturities,D276,C276,$J$4,$J$6))</f>
        <v>0</v>
      </c>
      <c r="O276" s="166">
        <f ca="1"/>
        <v>1.7346227940791548E-2</v>
      </c>
      <c r="P276" s="166">
        <f ca="1"/>
        <v>3.2559392409523769E-2</v>
      </c>
      <c r="Q276" s="166">
        <f ca="1"/>
        <v>5.741210911059158E-2</v>
      </c>
      <c r="R276" s="166">
        <f ca="1"/>
        <v>8.0550674941783251E-2</v>
      </c>
      <c r="S276" s="166">
        <f ca="1"/>
        <v>0</v>
      </c>
      <c r="T276" s="166">
        <f ca="1"/>
        <v>0.1175694758044723</v>
      </c>
      <c r="U276" s="166">
        <f ca="1"/>
        <v>0.16123376850507787</v>
      </c>
      <c r="V276" s="140">
        <f ca="1"/>
        <v>0.22174736552359953</v>
      </c>
      <c r="W276" s="139">
        <f ca="1"/>
        <v>0</v>
      </c>
      <c r="X276" s="166">
        <f ca="1"/>
        <v>1.820450335825019E-2</v>
      </c>
      <c r="Y276" s="166">
        <f ca="1"/>
        <v>3.4157170646379353E-2</v>
      </c>
      <c r="Z276" s="166">
        <f ca="1"/>
        <v>6.0188817712371168E-2</v>
      </c>
      <c r="AA276" s="166">
        <f ca="1"/>
        <v>8.4393246170319958E-2</v>
      </c>
      <c r="AB276" s="166">
        <f ca="1"/>
        <v>0</v>
      </c>
      <c r="AC276" s="166">
        <f ca="1"/>
        <v>0.1230313845286376</v>
      </c>
      <c r="AD276" s="166">
        <f ca="1"/>
        <v>0.16854501219184992</v>
      </c>
      <c r="AE276" s="140">
        <f ca="1"/>
        <v>0.23140118168617052</v>
      </c>
      <c r="AH276" s="137">
        <v>1.6899999999999998E-2</v>
      </c>
      <c r="AI276" s="137">
        <v>3.2099999999999997E-2</v>
      </c>
      <c r="AJ276" s="137">
        <v>5.7099999999999998E-2</v>
      </c>
      <c r="AK276" s="137">
        <v>8.0199999999999994E-2</v>
      </c>
      <c r="AM276" s="137">
        <v>0.11749999999999999</v>
      </c>
      <c r="AN276" s="137">
        <v>0.1608</v>
      </c>
      <c r="AO276" s="137">
        <v>0.222</v>
      </c>
      <c r="AQ276" s="137">
        <v>1.78E-2</v>
      </c>
      <c r="AR276" s="137">
        <v>3.3700000000000001E-2</v>
      </c>
      <c r="AS276" s="137">
        <v>5.9900000000000002E-2</v>
      </c>
      <c r="AT276" s="137">
        <v>8.4099999999999994E-2</v>
      </c>
      <c r="AV276" s="137">
        <v>0.123</v>
      </c>
      <c r="AW276" s="137">
        <v>0.16819999999999999</v>
      </c>
      <c r="AX276" s="137">
        <v>0.2316</v>
      </c>
    </row>
    <row r="277" spans="1:50" s="79" customFormat="1" ht="10.199999999999999" x14ac:dyDescent="0.2">
      <c r="A277" s="97">
        <f t="shared" ca="1" si="7"/>
        <v>266</v>
      </c>
      <c r="B277" s="68" t="s">
        <v>352</v>
      </c>
      <c r="C277" s="98">
        <v>0.4</v>
      </c>
      <c r="D277" s="69" t="s">
        <v>66</v>
      </c>
      <c r="E277" s="138" t="s">
        <v>87</v>
      </c>
      <c r="F277" s="159">
        <v>8.6E-3</v>
      </c>
      <c r="G277" s="159">
        <v>8.6E-3</v>
      </c>
      <c r="H277" s="159">
        <v>8.6E-3</v>
      </c>
      <c r="I277" s="159">
        <v>8.8800000000000007E-3</v>
      </c>
      <c r="J277" s="159" t="s">
        <v>87</v>
      </c>
      <c r="K277" s="159">
        <v>9.4999999999999998E-3</v>
      </c>
      <c r="L277" s="159">
        <v>9.4999999999999998E-3</v>
      </c>
      <c r="M277" s="159">
        <v>9.4999999999999998E-3</v>
      </c>
      <c r="N277" s="139">
        <f t="array" aca="1" ref="N277:AE277" ca="1">IF(OR(B277="",NOT($J$2)),"",GetStripDefaultProbability(A277,B277,Parameter_Date,CDSRollDate,E277:M277,SpreadCurveMaturities,D277,C277,$J$4,$J$6))</f>
        <v>0</v>
      </c>
      <c r="O277" s="166">
        <f ca="1"/>
        <v>7.9935935589473539E-3</v>
      </c>
      <c r="P277" s="166">
        <f ca="1"/>
        <v>1.5067726686577632E-2</v>
      </c>
      <c r="Q277" s="166">
        <f ca="1"/>
        <v>2.9183123628715779E-2</v>
      </c>
      <c r="R277" s="166">
        <f ca="1"/>
        <v>4.4556320225959678E-2</v>
      </c>
      <c r="S277" s="166">
        <f ca="1"/>
        <v>0</v>
      </c>
      <c r="T277" s="166">
        <f ca="1"/>
        <v>7.8024757874877837E-2</v>
      </c>
      <c r="U277" s="166">
        <f ca="1"/>
        <v>0.10689479847783556</v>
      </c>
      <c r="V277" s="140">
        <f ca="1"/>
        <v>0.14883085822949127</v>
      </c>
      <c r="W277" s="139">
        <f ca="1"/>
        <v>0</v>
      </c>
      <c r="X277" s="166">
        <f ca="1"/>
        <v>8.3914118490253653E-3</v>
      </c>
      <c r="Y277" s="166">
        <f ca="1"/>
        <v>1.581475002849686E-2</v>
      </c>
      <c r="Z277" s="166">
        <f ca="1"/>
        <v>3.0618808545996412E-2</v>
      </c>
      <c r="AA277" s="166">
        <f ca="1"/>
        <v>4.6732647817310569E-2</v>
      </c>
      <c r="AB277" s="166">
        <f ca="1"/>
        <v>0</v>
      </c>
      <c r="AC277" s="166">
        <f ca="1"/>
        <v>8.1770972488226845E-2</v>
      </c>
      <c r="AD277" s="166">
        <f ca="1"/>
        <v>0.11193665553882781</v>
      </c>
      <c r="AE277" s="140">
        <f ca="1"/>
        <v>0.15567147241843671</v>
      </c>
      <c r="AH277" s="137">
        <v>7.7999999999999996E-3</v>
      </c>
      <c r="AI277" s="137">
        <v>1.49E-2</v>
      </c>
      <c r="AJ277" s="137">
        <v>2.9000000000000001E-2</v>
      </c>
      <c r="AK277" s="137">
        <v>4.4400000000000002E-2</v>
      </c>
      <c r="AM277" s="137">
        <v>7.7799999999999994E-2</v>
      </c>
      <c r="AN277" s="137">
        <v>0.1067</v>
      </c>
      <c r="AO277" s="137">
        <v>0.14849999999999999</v>
      </c>
      <c r="AQ277" s="137">
        <v>8.2000000000000007E-3</v>
      </c>
      <c r="AR277" s="137">
        <v>1.5599999999999999E-2</v>
      </c>
      <c r="AS277" s="137">
        <v>3.04E-2</v>
      </c>
      <c r="AT277" s="137">
        <v>4.65E-2</v>
      </c>
      <c r="AV277" s="137">
        <v>8.1500000000000003E-2</v>
      </c>
      <c r="AW277" s="137">
        <v>0.1118</v>
      </c>
      <c r="AX277" s="137">
        <v>0.15529999999999999</v>
      </c>
    </row>
    <row r="278" spans="1:50" s="79" customFormat="1" ht="10.199999999999999" x14ac:dyDescent="0.2">
      <c r="A278" s="97">
        <f t="shared" ca="1" si="7"/>
        <v>267</v>
      </c>
      <c r="B278" s="68" t="s">
        <v>353</v>
      </c>
      <c r="C278" s="98">
        <v>0.4</v>
      </c>
      <c r="D278" s="69" t="s">
        <v>67</v>
      </c>
      <c r="E278" s="138" t="s">
        <v>87</v>
      </c>
      <c r="F278" s="159" t="s">
        <v>87</v>
      </c>
      <c r="G278" s="159">
        <v>2.643E-3</v>
      </c>
      <c r="H278" s="159" t="s">
        <v>87</v>
      </c>
      <c r="I278" s="159">
        <v>3.9979999999999998E-3</v>
      </c>
      <c r="J278" s="159" t="s">
        <v>87</v>
      </c>
      <c r="K278" s="159">
        <v>5.1500000000000001E-3</v>
      </c>
      <c r="L278" s="159">
        <v>5.7600000000000004E-3</v>
      </c>
      <c r="M278" s="159">
        <v>6.5729999999999998E-3</v>
      </c>
      <c r="N278" s="139">
        <f t="array" aca="1" ref="N278:AE278" ca="1">IF(OR(B278="",NOT($J$2)),"",GetStripDefaultProbability(A278,B278,Parameter_Date,CDSRollDate,E278:M278,SpreadCurveMaturities,D278,C278,$J$4,$J$6))</f>
        <v>0</v>
      </c>
      <c r="O278" s="166">
        <f ca="1"/>
        <v>0</v>
      </c>
      <c r="P278" s="166">
        <f ca="1"/>
        <v>4.6544222060856955E-3</v>
      </c>
      <c r="Q278" s="166">
        <f ca="1"/>
        <v>0</v>
      </c>
      <c r="R278" s="166">
        <f ca="1"/>
        <v>2.0559026974055872E-2</v>
      </c>
      <c r="S278" s="166">
        <f ca="1"/>
        <v>0</v>
      </c>
      <c r="T278" s="166">
        <f ca="1"/>
        <v>4.3908531034920872E-2</v>
      </c>
      <c r="U278" s="166">
        <f ca="1"/>
        <v>6.8210954432392779E-2</v>
      </c>
      <c r="V278" s="140">
        <f ca="1"/>
        <v>0.11074050892678722</v>
      </c>
      <c r="W278" s="139">
        <f ca="1"/>
        <v>0</v>
      </c>
      <c r="X278" s="166">
        <f ca="1"/>
        <v>0</v>
      </c>
      <c r="Y278" s="166">
        <f ca="1"/>
        <v>4.8736229292184463E-3</v>
      </c>
      <c r="Z278" s="166">
        <f ca="1"/>
        <v>0</v>
      </c>
      <c r="AA278" s="166">
        <f ca="1"/>
        <v>2.157955084201657E-2</v>
      </c>
      <c r="AB278" s="166">
        <f ca="1"/>
        <v>0</v>
      </c>
      <c r="AC278" s="166">
        <f ca="1"/>
        <v>4.606335489397051E-2</v>
      </c>
      <c r="AD278" s="166">
        <f ca="1"/>
        <v>7.1521757989902346E-2</v>
      </c>
      <c r="AE278" s="140">
        <f ca="1"/>
        <v>0.11601089332439551</v>
      </c>
      <c r="AI278" s="137">
        <v>4.5999999999999999E-3</v>
      </c>
      <c r="AK278" s="137">
        <v>2.0400000000000001E-2</v>
      </c>
      <c r="AM278" s="137">
        <v>4.3700000000000003E-2</v>
      </c>
      <c r="AN278" s="137">
        <v>6.7900000000000002E-2</v>
      </c>
      <c r="AO278" s="137">
        <v>0.11020000000000001</v>
      </c>
      <c r="AR278" s="137">
        <v>4.7999999999999996E-3</v>
      </c>
      <c r="AT278" s="137">
        <v>2.1399999999999999E-2</v>
      </c>
      <c r="AV278" s="137">
        <v>4.58E-2</v>
      </c>
      <c r="AW278" s="137">
        <v>7.1199999999999999E-2</v>
      </c>
      <c r="AX278" s="137">
        <v>0.11550000000000001</v>
      </c>
    </row>
    <row r="279" spans="1:50" s="79" customFormat="1" ht="10.199999999999999" x14ac:dyDescent="0.2">
      <c r="A279" s="97">
        <f t="shared" ca="1" si="7"/>
        <v>268</v>
      </c>
      <c r="B279" s="68" t="s">
        <v>135</v>
      </c>
      <c r="C279" s="98">
        <v>0.4</v>
      </c>
      <c r="D279" s="69" t="s">
        <v>66</v>
      </c>
      <c r="E279" s="138" t="s">
        <v>87</v>
      </c>
      <c r="F279" s="159">
        <v>1.1999999999999999E-3</v>
      </c>
      <c r="G279" s="159">
        <v>1.6999999999999999E-3</v>
      </c>
      <c r="H279" s="159">
        <v>2.8E-3</v>
      </c>
      <c r="I279" s="159">
        <v>3.5000000000000001E-3</v>
      </c>
      <c r="J279" s="159" t="s">
        <v>87</v>
      </c>
      <c r="K279" s="159">
        <v>4.4999999999999997E-3</v>
      </c>
      <c r="L279" s="159">
        <v>5.1999999999999998E-3</v>
      </c>
      <c r="M279" s="159">
        <v>6.1999999999999998E-3</v>
      </c>
      <c r="N279" s="139">
        <f t="array" aca="1" ref="N279:AE279" ca="1">IF(OR(B279="",NOT($J$2)),"",GetStripDefaultProbability(A279,B279,Parameter_Date,CDSRollDate,E279:M279,SpreadCurveMaturities,D279,C279,$J$4,$J$6))</f>
        <v>0</v>
      </c>
      <c r="O279" s="166">
        <f ca="1"/>
        <v>1.1192267699196012E-3</v>
      </c>
      <c r="P279" s="166">
        <f ca="1"/>
        <v>3.0093895639824453E-3</v>
      </c>
      <c r="Q279" s="166">
        <f ca="1"/>
        <v>9.7208498453763559E-3</v>
      </c>
      <c r="R279" s="166">
        <f ca="1"/>
        <v>1.8079761988360921E-2</v>
      </c>
      <c r="S279" s="166">
        <f ca="1"/>
        <v>0</v>
      </c>
      <c r="T279" s="166">
        <f ca="1"/>
        <v>3.8506146247352158E-2</v>
      </c>
      <c r="U279" s="166">
        <f ca="1"/>
        <v>6.19388285741862E-2</v>
      </c>
      <c r="V279" s="140">
        <f ca="1"/>
        <v>0.10534502581990013</v>
      </c>
      <c r="W279" s="139">
        <f ca="1"/>
        <v>0</v>
      </c>
      <c r="X279" s="166">
        <f ca="1"/>
        <v>1.2124363949111983E-3</v>
      </c>
      <c r="Y279" s="166">
        <f ca="1"/>
        <v>3.1853998155983998E-3</v>
      </c>
      <c r="Z279" s="166">
        <f ca="1"/>
        <v>1.020325649294429E-2</v>
      </c>
      <c r="AA279" s="166">
        <f ca="1"/>
        <v>1.8975186390024601E-2</v>
      </c>
      <c r="AB279" s="166">
        <f ca="1"/>
        <v>0</v>
      </c>
      <c r="AC279" s="166">
        <f ca="1"/>
        <v>4.0398863886848879E-2</v>
      </c>
      <c r="AD279" s="166">
        <f ca="1"/>
        <v>6.4952991288358297E-2</v>
      </c>
      <c r="AE279" s="140">
        <f ca="1"/>
        <v>0.11038004041540939</v>
      </c>
      <c r="AH279" s="137">
        <v>1.1000000000000001E-3</v>
      </c>
      <c r="AI279" s="137">
        <v>3.0000000000000001E-3</v>
      </c>
      <c r="AJ279" s="137">
        <v>9.5999999999999992E-3</v>
      </c>
      <c r="AK279" s="137">
        <v>1.7999999999999999E-2</v>
      </c>
      <c r="AM279" s="137">
        <v>3.8300000000000001E-2</v>
      </c>
      <c r="AN279" s="137">
        <v>6.1699999999999998E-2</v>
      </c>
      <c r="AO279" s="137">
        <v>0.10489999999999999</v>
      </c>
      <c r="AQ279" s="137">
        <v>1.1999999999999999E-3</v>
      </c>
      <c r="AR279" s="137">
        <v>3.0999999999999999E-3</v>
      </c>
      <c r="AS279" s="137">
        <v>1.01E-2</v>
      </c>
      <c r="AT279" s="137">
        <v>1.89E-2</v>
      </c>
      <c r="AV279" s="137">
        <v>4.02E-2</v>
      </c>
      <c r="AW279" s="137">
        <v>6.4699999999999994E-2</v>
      </c>
      <c r="AX279" s="137">
        <v>0.1099</v>
      </c>
    </row>
    <row r="280" spans="1:50" s="79" customFormat="1" ht="10.199999999999999" x14ac:dyDescent="0.2">
      <c r="A280" s="97">
        <f t="shared" ca="1" si="7"/>
        <v>269</v>
      </c>
      <c r="B280" s="68" t="s">
        <v>208</v>
      </c>
      <c r="C280" s="98">
        <v>0.4</v>
      </c>
      <c r="D280" s="69" t="s">
        <v>66</v>
      </c>
      <c r="E280" s="138" t="s">
        <v>87</v>
      </c>
      <c r="F280" s="159">
        <v>1.1000000000000001E-3</v>
      </c>
      <c r="G280" s="159">
        <v>1.5E-3</v>
      </c>
      <c r="H280" s="159">
        <v>1.9E-3</v>
      </c>
      <c r="I280" s="159">
        <v>2.5999999999999999E-3</v>
      </c>
      <c r="J280" s="159" t="s">
        <v>87</v>
      </c>
      <c r="K280" s="159">
        <v>3.8E-3</v>
      </c>
      <c r="L280" s="159">
        <v>4.7000000000000002E-3</v>
      </c>
      <c r="M280" s="159">
        <v>5.7000000000000002E-3</v>
      </c>
      <c r="N280" s="139">
        <f t="array" aca="1" ref="N280:AE280" ca="1">IF(OR(B280="",NOT($J$2)),"",GetStripDefaultProbability(A280,B280,Parameter_Date,CDSRollDate,E280:M280,SpreadCurveMaturities,D280,C280,$J$4,$J$6))</f>
        <v>0</v>
      </c>
      <c r="O280" s="166">
        <f ca="1"/>
        <v>1.0260056262103578E-3</v>
      </c>
      <c r="P280" s="166">
        <f ca="1"/>
        <v>2.6547097706491884E-3</v>
      </c>
      <c r="Q280" s="166">
        <f ca="1"/>
        <v>6.5649159246180533E-3</v>
      </c>
      <c r="R280" s="166">
        <f ca="1"/>
        <v>1.3469131959827574E-2</v>
      </c>
      <c r="S280" s="166">
        <f ca="1"/>
        <v>0</v>
      </c>
      <c r="T280" s="166">
        <f ca="1"/>
        <v>3.2806095858881168E-2</v>
      </c>
      <c r="U280" s="166">
        <f ca="1"/>
        <v>5.6750327852953086E-2</v>
      </c>
      <c r="V280" s="140">
        <f ca="1"/>
        <v>9.7911367783518166E-2</v>
      </c>
      <c r="W280" s="139">
        <f ca="1"/>
        <v>0</v>
      </c>
      <c r="X280" s="166">
        <f ca="1"/>
        <v>1.1192243755654419E-3</v>
      </c>
      <c r="Y280" s="166">
        <f ca="1"/>
        <v>2.8307736625038382E-3</v>
      </c>
      <c r="Z280" s="166">
        <f ca="1"/>
        <v>6.9070898430703132E-3</v>
      </c>
      <c r="AA280" s="166">
        <f ca="1"/>
        <v>1.4135172699284992E-2</v>
      </c>
      <c r="AB280" s="166">
        <f ca="1"/>
        <v>0</v>
      </c>
      <c r="AC280" s="166">
        <f ca="1"/>
        <v>3.4422467973212356E-2</v>
      </c>
      <c r="AD280" s="166">
        <f ca="1"/>
        <v>5.9522082916314889E-2</v>
      </c>
      <c r="AE280" s="140">
        <f ca="1"/>
        <v>0.10261327052775848</v>
      </c>
      <c r="AH280" s="137">
        <v>1E-3</v>
      </c>
      <c r="AI280" s="137">
        <v>2.5999999999999999E-3</v>
      </c>
      <c r="AJ280" s="137">
        <v>6.4999999999999997E-3</v>
      </c>
      <c r="AK280" s="137">
        <v>1.34E-2</v>
      </c>
      <c r="AM280" s="137">
        <v>3.27E-2</v>
      </c>
      <c r="AN280" s="137">
        <v>5.6500000000000002E-2</v>
      </c>
      <c r="AO280" s="137">
        <v>9.7600000000000006E-2</v>
      </c>
      <c r="AQ280" s="137">
        <v>1.1000000000000001E-3</v>
      </c>
      <c r="AR280" s="137">
        <v>2.8E-3</v>
      </c>
      <c r="AS280" s="137">
        <v>6.8999999999999999E-3</v>
      </c>
      <c r="AT280" s="137">
        <v>1.41E-2</v>
      </c>
      <c r="AV280" s="137">
        <v>3.4299999999999997E-2</v>
      </c>
      <c r="AW280" s="137">
        <v>5.9299999999999999E-2</v>
      </c>
      <c r="AX280" s="137">
        <v>0.1023</v>
      </c>
    </row>
    <row r="281" spans="1:50" s="79" customFormat="1" ht="10.199999999999999" x14ac:dyDescent="0.2">
      <c r="A281" s="97">
        <f t="shared" ca="1" si="7"/>
        <v>270</v>
      </c>
      <c r="B281" s="68" t="s">
        <v>126</v>
      </c>
      <c r="C281" s="98">
        <v>0.4</v>
      </c>
      <c r="D281" s="69" t="s">
        <v>66</v>
      </c>
      <c r="E281" s="138" t="s">
        <v>87</v>
      </c>
      <c r="F281" s="159">
        <v>1.1000000000000001E-3</v>
      </c>
      <c r="G281" s="159">
        <v>1.6000000000000001E-3</v>
      </c>
      <c r="H281" s="159">
        <v>2E-3</v>
      </c>
      <c r="I281" s="159">
        <v>2.8E-3</v>
      </c>
      <c r="J281" s="159" t="s">
        <v>87</v>
      </c>
      <c r="K281" s="159">
        <v>3.8999999999999998E-3</v>
      </c>
      <c r="L281" s="159">
        <v>4.5999999999999999E-3</v>
      </c>
      <c r="M281" s="159">
        <v>5.5999999999999999E-3</v>
      </c>
      <c r="N281" s="139">
        <f t="array" aca="1" ref="N281:AE281" ca="1">IF(OR(B281="",NOT($J$2)),"",GetStripDefaultProbability(A281,B281,Parameter_Date,CDSRollDate,E281:M281,SpreadCurveMaturities,D281,C281,$J$4,$J$6))</f>
        <v>0</v>
      </c>
      <c r="O281" s="166">
        <f ca="1"/>
        <v>1.0260056262103578E-3</v>
      </c>
      <c r="P281" s="166">
        <f ca="1"/>
        <v>2.833347494116123E-3</v>
      </c>
      <c r="Q281" s="166">
        <f ca="1"/>
        <v>6.9055711920817942E-3</v>
      </c>
      <c r="R281" s="166">
        <f ca="1"/>
        <v>1.4508813446522884E-2</v>
      </c>
      <c r="S281" s="166">
        <f ca="1"/>
        <v>0</v>
      </c>
      <c r="T281" s="166">
        <f ca="1"/>
        <v>3.3558854924817472E-2</v>
      </c>
      <c r="U281" s="166">
        <f ca="1"/>
        <v>5.5216976331811107E-2</v>
      </c>
      <c r="V281" s="140">
        <f ca="1"/>
        <v>9.604958099108607E-2</v>
      </c>
      <c r="W281" s="139">
        <f ca="1"/>
        <v>0</v>
      </c>
      <c r="X281" s="166">
        <f ca="1"/>
        <v>1.1192243755654419E-3</v>
      </c>
      <c r="Y281" s="166">
        <f ca="1"/>
        <v>3.0093896357615835E-3</v>
      </c>
      <c r="Z281" s="166">
        <f ca="1"/>
        <v>7.2476298367007974E-3</v>
      </c>
      <c r="AA281" s="166">
        <f ca="1"/>
        <v>1.5227449397651194E-2</v>
      </c>
      <c r="AB281" s="166">
        <f ca="1"/>
        <v>0</v>
      </c>
      <c r="AC281" s="166">
        <f ca="1"/>
        <v>3.5211757991266635E-2</v>
      </c>
      <c r="AD281" s="166">
        <f ca="1"/>
        <v>5.7913120214737046E-2</v>
      </c>
      <c r="AE281" s="140">
        <f ca="1"/>
        <v>0.10066359662714519</v>
      </c>
      <c r="AH281" s="137">
        <v>1E-3</v>
      </c>
      <c r="AI281" s="137">
        <v>2.8E-3</v>
      </c>
      <c r="AJ281" s="137">
        <v>6.8999999999999999E-3</v>
      </c>
      <c r="AK281" s="137">
        <v>1.44E-2</v>
      </c>
      <c r="AM281" s="137">
        <v>3.3399999999999999E-2</v>
      </c>
      <c r="AN281" s="137">
        <v>5.5E-2</v>
      </c>
      <c r="AO281" s="137">
        <v>9.5699999999999993E-2</v>
      </c>
      <c r="AQ281" s="137">
        <v>1.1000000000000001E-3</v>
      </c>
      <c r="AR281" s="137">
        <v>3.0000000000000001E-3</v>
      </c>
      <c r="AS281" s="137">
        <v>7.1999999999999998E-3</v>
      </c>
      <c r="AT281" s="137">
        <v>1.5100000000000001E-2</v>
      </c>
      <c r="AV281" s="137">
        <v>3.5099999999999999E-2</v>
      </c>
      <c r="AW281" s="137">
        <v>5.7700000000000001E-2</v>
      </c>
      <c r="AX281" s="137">
        <v>0.1003</v>
      </c>
    </row>
    <row r="282" spans="1:50" s="79" customFormat="1" ht="10.199999999999999" x14ac:dyDescent="0.2">
      <c r="A282" s="97">
        <f t="shared" ca="1" si="7"/>
        <v>271</v>
      </c>
      <c r="B282" s="68" t="s">
        <v>354</v>
      </c>
      <c r="C282" s="98">
        <v>0.4</v>
      </c>
      <c r="D282" s="69" t="s">
        <v>67</v>
      </c>
      <c r="E282" s="138" t="s">
        <v>87</v>
      </c>
      <c r="F282" s="159" t="s">
        <v>87</v>
      </c>
      <c r="G282" s="159">
        <v>9.3400000000000004E-4</v>
      </c>
      <c r="H282" s="159" t="s">
        <v>87</v>
      </c>
      <c r="I282" s="159">
        <v>2.264E-3</v>
      </c>
      <c r="J282" s="159" t="s">
        <v>87</v>
      </c>
      <c r="K282" s="159">
        <v>3.5500000000000002E-3</v>
      </c>
      <c r="L282" s="159">
        <v>4.4759999999999999E-3</v>
      </c>
      <c r="M282" s="159">
        <v>5.3509999999999999E-3</v>
      </c>
      <c r="N282" s="139">
        <f t="array" aca="1" ref="N282:AE282" ca="1">IF(OR(B282="",NOT($J$2)),"",GetStripDefaultProbability(A282,B282,Parameter_Date,CDSRollDate,E282:M282,SpreadCurveMaturities,D282,C282,$J$4,$J$6))</f>
        <v>0</v>
      </c>
      <c r="O282" s="166">
        <f ca="1"/>
        <v>0</v>
      </c>
      <c r="P282" s="166">
        <f ca="1"/>
        <v>1.6472707157032529E-3</v>
      </c>
      <c r="Q282" s="166">
        <f ca="1"/>
        <v>0</v>
      </c>
      <c r="R282" s="166">
        <f ca="1"/>
        <v>1.180069154167751E-2</v>
      </c>
      <c r="S282" s="166">
        <f ca="1"/>
        <v>0</v>
      </c>
      <c r="T282" s="166">
        <f ca="1"/>
        <v>3.0903323908850644E-2</v>
      </c>
      <c r="U282" s="166">
        <f ca="1"/>
        <v>5.4576508892952624E-2</v>
      </c>
      <c r="V282" s="140">
        <f ca="1"/>
        <v>9.2772822005904532E-2</v>
      </c>
      <c r="W282" s="139">
        <f ca="1"/>
        <v>0</v>
      </c>
      <c r="X282" s="166">
        <f ca="1"/>
        <v>0</v>
      </c>
      <c r="Y282" s="166">
        <f ca="1"/>
        <v>1.8136489720085303E-3</v>
      </c>
      <c r="Z282" s="166">
        <f ca="1"/>
        <v>0</v>
      </c>
      <c r="AA282" s="166">
        <f ca="1"/>
        <v>1.2378369760930652E-2</v>
      </c>
      <c r="AB282" s="166">
        <f ca="1"/>
        <v>0</v>
      </c>
      <c r="AC282" s="166">
        <f ca="1"/>
        <v>3.2427426121881875E-2</v>
      </c>
      <c r="AD282" s="166">
        <f ca="1"/>
        <v>5.7239605094101531E-2</v>
      </c>
      <c r="AE282" s="140">
        <f ca="1"/>
        <v>9.7243256607013939E-2</v>
      </c>
      <c r="AI282" s="137">
        <v>1.6000000000000001E-3</v>
      </c>
      <c r="AK282" s="137">
        <v>1.1599999999999999E-2</v>
      </c>
      <c r="AM282" s="137">
        <v>3.0700000000000002E-2</v>
      </c>
      <c r="AN282" s="137">
        <v>5.4300000000000001E-2</v>
      </c>
      <c r="AO282" s="137">
        <v>9.2399999999999996E-2</v>
      </c>
      <c r="AR282" s="137">
        <v>1.8E-3</v>
      </c>
      <c r="AT282" s="137">
        <v>1.2200000000000001E-2</v>
      </c>
      <c r="AV282" s="137">
        <v>3.2199999999999999E-2</v>
      </c>
      <c r="AW282" s="137">
        <v>5.6899999999999999E-2</v>
      </c>
      <c r="AX282" s="137">
        <v>9.6799999999999997E-2</v>
      </c>
    </row>
    <row r="283" spans="1:50" s="79" customFormat="1" ht="10.199999999999999" x14ac:dyDescent="0.2">
      <c r="A283" s="97">
        <f t="shared" ca="1" si="7"/>
        <v>272</v>
      </c>
      <c r="B283" s="68" t="s">
        <v>209</v>
      </c>
      <c r="C283" s="98">
        <v>0.4</v>
      </c>
      <c r="D283" s="69" t="s">
        <v>66</v>
      </c>
      <c r="E283" s="138" t="s">
        <v>87</v>
      </c>
      <c r="F283" s="159">
        <v>8.0000000000000004E-4</v>
      </c>
      <c r="G283" s="159">
        <v>1E-3</v>
      </c>
      <c r="H283" s="159">
        <v>1.9E-3</v>
      </c>
      <c r="I283" s="159">
        <v>2.3999999999999998E-3</v>
      </c>
      <c r="J283" s="159" t="s">
        <v>87</v>
      </c>
      <c r="K283" s="159">
        <v>3.8E-3</v>
      </c>
      <c r="L283" s="159">
        <v>4.4999999999999997E-3</v>
      </c>
      <c r="M283" s="159">
        <v>5.4000000000000003E-3</v>
      </c>
      <c r="N283" s="139">
        <f t="array" aca="1" ref="N283:AE283" ca="1">IF(OR(B283="",NOT($J$2)),"",GetStripDefaultProbability(A283,B283,Parameter_Date,CDSRollDate,E283:M283,SpreadCurveMaturities,D283,C283,$J$4,$J$6))</f>
        <v>0</v>
      </c>
      <c r="O283" s="166">
        <f ca="1"/>
        <v>7.4629011945415158E-4</v>
      </c>
      <c r="P283" s="166">
        <f ca="1"/>
        <v>1.7687933255768895E-3</v>
      </c>
      <c r="Q283" s="166">
        <f ca="1"/>
        <v>6.6183083015604049E-3</v>
      </c>
      <c r="R283" s="166">
        <f ca="1"/>
        <v>1.2436402059207041E-2</v>
      </c>
      <c r="S283" s="166">
        <f ca="1"/>
        <v>0</v>
      </c>
      <c r="T283" s="166">
        <f ca="1"/>
        <v>3.3029251215951572E-2</v>
      </c>
      <c r="U283" s="166">
        <f ca="1"/>
        <v>5.4246384156943828E-2</v>
      </c>
      <c r="V283" s="140">
        <f ca="1"/>
        <v>9.2994056045948126E-2</v>
      </c>
      <c r="W283" s="139">
        <f ca="1"/>
        <v>0</v>
      </c>
      <c r="X283" s="166">
        <f ca="1"/>
        <v>8.3953601351138829E-4</v>
      </c>
      <c r="Y283" s="166">
        <f ca="1"/>
        <v>1.9449938698653524E-3</v>
      </c>
      <c r="Z283" s="166">
        <f ca="1"/>
        <v>6.9606538565135656E-3</v>
      </c>
      <c r="AA283" s="166">
        <f ca="1"/>
        <v>1.3050246505898588E-2</v>
      </c>
      <c r="AB283" s="166">
        <f ca="1"/>
        <v>0</v>
      </c>
      <c r="AC283" s="166">
        <f ca="1"/>
        <v>3.4653804148664591E-2</v>
      </c>
      <c r="AD283" s="166">
        <f ca="1"/>
        <v>5.6894776675929237E-2</v>
      </c>
      <c r="AE283" s="140">
        <f ca="1"/>
        <v>9.7463188176629245E-2</v>
      </c>
      <c r="AH283" s="137">
        <v>6.9999999999999999E-4</v>
      </c>
      <c r="AI283" s="137">
        <v>1.6999999999999999E-3</v>
      </c>
      <c r="AJ283" s="137">
        <v>6.6E-3</v>
      </c>
      <c r="AK283" s="137">
        <v>1.24E-2</v>
      </c>
      <c r="AM283" s="137">
        <v>3.2800000000000003E-2</v>
      </c>
      <c r="AN283" s="137">
        <v>5.4100000000000002E-2</v>
      </c>
      <c r="AO283" s="137">
        <v>9.2399999999999996E-2</v>
      </c>
      <c r="AQ283" s="137">
        <v>8.0000000000000004E-4</v>
      </c>
      <c r="AR283" s="137">
        <v>1.9E-3</v>
      </c>
      <c r="AS283" s="137">
        <v>6.8999999999999999E-3</v>
      </c>
      <c r="AT283" s="137">
        <v>1.2999999999999999E-2</v>
      </c>
      <c r="AV283" s="137">
        <v>3.44E-2</v>
      </c>
      <c r="AW283" s="137">
        <v>5.67E-2</v>
      </c>
      <c r="AX283" s="137">
        <v>9.69E-2</v>
      </c>
    </row>
    <row r="284" spans="1:50" s="79" customFormat="1" ht="10.199999999999999" x14ac:dyDescent="0.2">
      <c r="A284" s="97">
        <f t="shared" ca="1" si="7"/>
        <v>273</v>
      </c>
      <c r="B284" s="68" t="s">
        <v>355</v>
      </c>
      <c r="C284" s="98">
        <v>0.2</v>
      </c>
      <c r="D284" s="69" t="s">
        <v>67</v>
      </c>
      <c r="E284" s="138">
        <v>1E-3</v>
      </c>
      <c r="F284" s="159">
        <v>1E-3</v>
      </c>
      <c r="G284" s="159">
        <v>1.2999999999999999E-3</v>
      </c>
      <c r="H284" s="159">
        <v>1.6000000000000001E-3</v>
      </c>
      <c r="I284" s="159">
        <v>2.3E-3</v>
      </c>
      <c r="J284" s="159">
        <v>2.8E-3</v>
      </c>
      <c r="K284" s="159">
        <v>3.3E-3</v>
      </c>
      <c r="L284" s="159">
        <v>4.4000000000000003E-3</v>
      </c>
      <c r="M284" s="159">
        <v>5.4000000000000003E-3</v>
      </c>
      <c r="N284" s="139">
        <f t="array" aca="1" ref="N284:AE284" ca="1">IF(OR(B284="",NOT($J$2)),"",GetStripDefaultProbability(A284,B284,Parameter_Date,CDSRollDate,E284:M284,SpreadCurveMaturities,D284,C284,$J$4,$J$6))</f>
        <v>3.8278773587874237E-4</v>
      </c>
      <c r="O284" s="166">
        <f ca="1"/>
        <v>7.0019756954464718E-4</v>
      </c>
      <c r="P284" s="166">
        <f ca="1"/>
        <v>1.7253835744653889E-3</v>
      </c>
      <c r="Q284" s="166">
        <f ca="1"/>
        <v>4.1481000980012617E-3</v>
      </c>
      <c r="R284" s="166">
        <f ca="1"/>
        <v>8.9665877282325557E-3</v>
      </c>
      <c r="S284" s="166">
        <f ca="1"/>
        <v>1.4552471967288483E-2</v>
      </c>
      <c r="T284" s="166">
        <f ca="1"/>
        <v>2.1506040915331148E-2</v>
      </c>
      <c r="U284" s="166">
        <f ca="1"/>
        <v>4.0552864615724937E-2</v>
      </c>
      <c r="V284" s="140">
        <f ca="1"/>
        <v>7.1164227160644633E-2</v>
      </c>
      <c r="W284" s="139">
        <f ca="1"/>
        <v>4.2105829162941699E-4</v>
      </c>
      <c r="X284" s="166">
        <f ca="1"/>
        <v>7.7016453096967474E-4</v>
      </c>
      <c r="Y284" s="166">
        <f ca="1"/>
        <v>1.8575453585970569E-3</v>
      </c>
      <c r="Z284" s="166">
        <f ca="1"/>
        <v>4.4053062292265244E-3</v>
      </c>
      <c r="AA284" s="166">
        <f ca="1"/>
        <v>9.4078729722106846E-3</v>
      </c>
      <c r="AB284" s="166">
        <f ca="1"/>
        <v>1.527128314046966E-2</v>
      </c>
      <c r="AC284" s="166">
        <f ca="1"/>
        <v>2.256743422010199E-2</v>
      </c>
      <c r="AD284" s="166">
        <f ca="1"/>
        <v>4.2547154742249682E-2</v>
      </c>
      <c r="AE284" s="140">
        <f ca="1"/>
        <v>7.4619319930553485E-2</v>
      </c>
      <c r="AG284" s="137">
        <v>4.0000000000000002E-4</v>
      </c>
      <c r="AH284" s="137">
        <v>6.9999999999999999E-4</v>
      </c>
      <c r="AI284" s="137">
        <v>1.6999999999999999E-3</v>
      </c>
      <c r="AJ284" s="137">
        <v>4.1000000000000003E-3</v>
      </c>
      <c r="AK284" s="137">
        <v>8.8999999999999999E-3</v>
      </c>
      <c r="AL284" s="137">
        <v>1.4500000000000001E-2</v>
      </c>
      <c r="AM284" s="137">
        <v>2.1399999999999999E-2</v>
      </c>
      <c r="AN284" s="137">
        <v>4.0399999999999998E-2</v>
      </c>
      <c r="AO284" s="137">
        <v>7.0999999999999994E-2</v>
      </c>
      <c r="AP284" s="137">
        <v>4.0000000000000002E-4</v>
      </c>
      <c r="AQ284" s="137">
        <v>6.9999999999999999E-4</v>
      </c>
      <c r="AR284" s="137">
        <v>1.8E-3</v>
      </c>
      <c r="AS284" s="137">
        <v>4.4000000000000003E-3</v>
      </c>
      <c r="AT284" s="137">
        <v>9.2999999999999992E-3</v>
      </c>
      <c r="AU284" s="137">
        <v>1.52E-2</v>
      </c>
      <c r="AV284" s="137">
        <v>2.2499999999999999E-2</v>
      </c>
      <c r="AW284" s="137">
        <v>4.24E-2</v>
      </c>
      <c r="AX284" s="137">
        <v>7.4399999999999994E-2</v>
      </c>
    </row>
    <row r="285" spans="1:50" s="79" customFormat="1" ht="10.199999999999999" x14ac:dyDescent="0.2">
      <c r="A285" s="97">
        <f t="shared" ca="1" si="7"/>
        <v>274</v>
      </c>
      <c r="B285" s="68" t="s">
        <v>356</v>
      </c>
      <c r="C285" s="98">
        <v>0.4</v>
      </c>
      <c r="D285" s="69" t="s">
        <v>67</v>
      </c>
      <c r="E285" s="138" t="s">
        <v>87</v>
      </c>
      <c r="F285" s="159" t="s">
        <v>87</v>
      </c>
      <c r="G285" s="159">
        <v>8.6899999999999998E-4</v>
      </c>
      <c r="H285" s="159" t="s">
        <v>87</v>
      </c>
      <c r="I285" s="159">
        <v>2.2699999999999999E-3</v>
      </c>
      <c r="J285" s="159" t="s">
        <v>87</v>
      </c>
      <c r="K285" s="159">
        <v>3.2499999999999999E-3</v>
      </c>
      <c r="L285" s="159">
        <v>4.2300000000000003E-3</v>
      </c>
      <c r="M285" s="159">
        <v>5.2620000000000002E-3</v>
      </c>
      <c r="N285" s="139">
        <f t="array" aca="1" ref="N285:AE285" ca="1">IF(OR(B285="",NOT($J$2)),"",GetStripDefaultProbability(A285,B285,Parameter_Date,CDSRollDate,E285:M285,SpreadCurveMaturities,D285,C285,$J$4,$J$6))</f>
        <v>0</v>
      </c>
      <c r="O285" s="166">
        <f ca="1"/>
        <v>0</v>
      </c>
      <c r="P285" s="166">
        <f ca="1"/>
        <v>1.5327192075048623E-3</v>
      </c>
      <c r="Q285" s="166">
        <f ca="1"/>
        <v>0</v>
      </c>
      <c r="R285" s="166">
        <f ca="1"/>
        <v>1.1845767815966579E-2</v>
      </c>
      <c r="S285" s="166">
        <f ca="1"/>
        <v>0</v>
      </c>
      <c r="T285" s="166">
        <f ca="1"/>
        <v>2.817446462066342E-2</v>
      </c>
      <c r="U285" s="166">
        <f ca="1"/>
        <v>5.1722325522441381E-2</v>
      </c>
      <c r="V285" s="140">
        <f ca="1"/>
        <v>9.1838371674626496E-2</v>
      </c>
      <c r="W285" s="139">
        <f ca="1"/>
        <v>0</v>
      </c>
      <c r="X285" s="166">
        <f ca="1"/>
        <v>0</v>
      </c>
      <c r="Y285" s="166">
        <f ca="1"/>
        <v>1.6991165541345721E-3</v>
      </c>
      <c r="Z285" s="166">
        <f ca="1"/>
        <v>0</v>
      </c>
      <c r="AA285" s="166">
        <f ca="1"/>
        <v>1.2425063535838277E-2</v>
      </c>
      <c r="AB285" s="166">
        <f ca="1"/>
        <v>0</v>
      </c>
      <c r="AC285" s="166">
        <f ca="1"/>
        <v>2.9562422435633229E-2</v>
      </c>
      <c r="AD285" s="166">
        <f ca="1"/>
        <v>5.4227230352723588E-2</v>
      </c>
      <c r="AE285" s="140">
        <f ca="1"/>
        <v>9.6273647669257723E-2</v>
      </c>
      <c r="AI285" s="137">
        <v>1.5E-3</v>
      </c>
      <c r="AK285" s="137">
        <v>1.17E-2</v>
      </c>
      <c r="AM285" s="137">
        <v>2.8000000000000001E-2</v>
      </c>
      <c r="AN285" s="137">
        <v>5.1400000000000001E-2</v>
      </c>
      <c r="AO285" s="137">
        <v>9.1499999999999998E-2</v>
      </c>
      <c r="AR285" s="137">
        <v>1.6999999999999999E-3</v>
      </c>
      <c r="AT285" s="137">
        <v>1.2200000000000001E-2</v>
      </c>
      <c r="AV285" s="137">
        <v>2.9399999999999999E-2</v>
      </c>
      <c r="AW285" s="137">
        <v>5.3900000000000003E-2</v>
      </c>
      <c r="AX285" s="137">
        <v>9.5899999999999999E-2</v>
      </c>
    </row>
    <row r="286" spans="1:50" s="79" customFormat="1" ht="10.199999999999999" x14ac:dyDescent="0.2">
      <c r="A286" s="97">
        <f t="shared" ca="1" si="7"/>
        <v>275</v>
      </c>
      <c r="B286" s="68" t="s">
        <v>357</v>
      </c>
      <c r="C286" s="98">
        <v>0.4</v>
      </c>
      <c r="D286" s="69" t="s">
        <v>66</v>
      </c>
      <c r="E286" s="138" t="s">
        <v>87</v>
      </c>
      <c r="F286" s="159">
        <v>5.9999999999999995E-4</v>
      </c>
      <c r="G286" s="159">
        <v>8.0000000000000004E-4</v>
      </c>
      <c r="H286" s="159">
        <v>1.2999999999999999E-3</v>
      </c>
      <c r="I286" s="159">
        <v>1.9E-3</v>
      </c>
      <c r="J286" s="159" t="s">
        <v>87</v>
      </c>
      <c r="K286" s="159">
        <v>3.0999999999999999E-3</v>
      </c>
      <c r="L286" s="159">
        <v>4.0000000000000001E-3</v>
      </c>
      <c r="M286" s="159">
        <v>5.0000000000000001E-3</v>
      </c>
      <c r="N286" s="139">
        <f t="array" aca="1" ref="N286:AE286" ca="1">IF(OR(B286="",NOT($J$2)),"",GetStripDefaultProbability(A286,B286,Parameter_Date,CDSRollDate,E286:M286,SpreadCurveMaturities,D286,C286,$J$4,$J$6))</f>
        <v>0</v>
      </c>
      <c r="O286" s="166">
        <f ca="1"/>
        <v>5.5976970645477131E-4</v>
      </c>
      <c r="P286" s="166">
        <f ca="1"/>
        <v>1.4162990414336996E-3</v>
      </c>
      <c r="Q286" s="166">
        <f ca="1"/>
        <v>4.520589470066505E-3</v>
      </c>
      <c r="R286" s="166">
        <f ca="1"/>
        <v>9.8993095738340031E-3</v>
      </c>
      <c r="S286" s="166">
        <f ca="1"/>
        <v>0</v>
      </c>
      <c r="T286" s="166">
        <f ca="1"/>
        <v>2.7025423844813656E-2</v>
      </c>
      <c r="U286" s="166">
        <f ca="1"/>
        <v>4.8810455400732811E-2</v>
      </c>
      <c r="V286" s="140">
        <f ca="1"/>
        <v>8.7077916781172604E-2</v>
      </c>
      <c r="W286" s="139">
        <f ca="1"/>
        <v>0</v>
      </c>
      <c r="X286" s="166">
        <f ca="1"/>
        <v>6.5303351059242676E-4</v>
      </c>
      <c r="Y286" s="166">
        <f ca="1"/>
        <v>1.5925618248591178E-3</v>
      </c>
      <c r="Z286" s="166">
        <f ca="1"/>
        <v>4.8635008017876569E-3</v>
      </c>
      <c r="AA286" s="166">
        <f ca="1"/>
        <v>1.0407079633072858E-2</v>
      </c>
      <c r="AB286" s="166">
        <f ca="1"/>
        <v>0</v>
      </c>
      <c r="AC286" s="166">
        <f ca="1"/>
        <v>2.8353871941254938E-2</v>
      </c>
      <c r="AD286" s="166">
        <f ca="1"/>
        <v>5.1192509230642447E-2</v>
      </c>
      <c r="AE286" s="140">
        <f ca="1"/>
        <v>9.1280130288076688E-2</v>
      </c>
      <c r="AH286" s="137">
        <v>5.0000000000000001E-4</v>
      </c>
      <c r="AI286" s="137">
        <v>1.4E-3</v>
      </c>
      <c r="AJ286" s="137">
        <v>4.4999999999999997E-3</v>
      </c>
      <c r="AK286" s="137">
        <v>9.7999999999999997E-3</v>
      </c>
      <c r="AM286" s="137">
        <v>2.69E-2</v>
      </c>
      <c r="AN286" s="137">
        <v>4.8599999999999997E-2</v>
      </c>
      <c r="AO286" s="137">
        <v>8.6699999999999999E-2</v>
      </c>
      <c r="AQ286" s="137">
        <v>5.9999999999999995E-4</v>
      </c>
      <c r="AR286" s="137">
        <v>1.6000000000000001E-3</v>
      </c>
      <c r="AS286" s="137">
        <v>4.7999999999999996E-3</v>
      </c>
      <c r="AT286" s="137">
        <v>1.03E-2</v>
      </c>
      <c r="AV286" s="137">
        <v>2.8199999999999999E-2</v>
      </c>
      <c r="AW286" s="137">
        <v>5.0999999999999997E-2</v>
      </c>
      <c r="AX286" s="137">
        <v>9.0899999999999995E-2</v>
      </c>
    </row>
    <row r="287" spans="1:50" s="79" customFormat="1" ht="10.199999999999999" x14ac:dyDescent="0.2">
      <c r="A287" s="97">
        <f t="shared" ca="1" si="7"/>
        <v>276</v>
      </c>
      <c r="B287" s="68" t="s">
        <v>358</v>
      </c>
      <c r="C287" s="98">
        <v>0.4</v>
      </c>
      <c r="D287" s="69" t="s">
        <v>66</v>
      </c>
      <c r="E287" s="138" t="s">
        <v>87</v>
      </c>
      <c r="F287" s="159">
        <v>5.0000000000000001E-4</v>
      </c>
      <c r="G287" s="159">
        <v>6.9999999999999999E-4</v>
      </c>
      <c r="H287" s="159">
        <v>1.2999999999999999E-3</v>
      </c>
      <c r="I287" s="159">
        <v>1.6999999999999999E-3</v>
      </c>
      <c r="J287" s="159" t="s">
        <v>87</v>
      </c>
      <c r="K287" s="159">
        <v>2.8999999999999998E-3</v>
      </c>
      <c r="L287" s="159">
        <v>3.8999999999999998E-3</v>
      </c>
      <c r="M287" s="159">
        <v>4.8999999999999998E-3</v>
      </c>
      <c r="N287" s="139">
        <f t="array" aca="1" ref="N287:AE287" ca="1">IF(OR(B287="",NOT($J$2)),"",GetStripDefaultProbability(A287,B287,Parameter_Date,CDSRollDate,E287:M287,SpreadCurveMaturities,D287,C287,$J$4,$J$6))</f>
        <v>0</v>
      </c>
      <c r="O287" s="166">
        <f ca="1"/>
        <v>4.6649647376628689E-4</v>
      </c>
      <c r="P287" s="166">
        <f ca="1"/>
        <v>1.2400051456493699E-3</v>
      </c>
      <c r="Q287" s="166">
        <f ca="1"/>
        <v>4.5310653167216497E-3</v>
      </c>
      <c r="R287" s="166">
        <f ca="1"/>
        <v>8.834362637354265E-3</v>
      </c>
      <c r="S287" s="166">
        <f ca="1"/>
        <v>0</v>
      </c>
      <c r="T287" s="166">
        <f ca="1"/>
        <v>2.5362694152866516E-2</v>
      </c>
      <c r="U287" s="166">
        <f ca="1"/>
        <v>4.781690852212428E-2</v>
      </c>
      <c r="V287" s="140">
        <f ca="1"/>
        <v>8.564532242034284E-2</v>
      </c>
      <c r="W287" s="139">
        <f ca="1"/>
        <v>0</v>
      </c>
      <c r="X287" s="166">
        <f ca="1"/>
        <v>5.5976917815403482E-4</v>
      </c>
      <c r="Y287" s="166">
        <f ca="1"/>
        <v>1.4162990558700406E-3</v>
      </c>
      <c r="Z287" s="166">
        <f ca="1"/>
        <v>4.8740123311086236E-3</v>
      </c>
      <c r="AA287" s="166">
        <f ca="1"/>
        <v>9.3424959066664703E-3</v>
      </c>
      <c r="AB287" s="166">
        <f ca="1"/>
        <v>0</v>
      </c>
      <c r="AC287" s="166">
        <f ca="1"/>
        <v>2.6601797444945174E-2</v>
      </c>
      <c r="AD287" s="166">
        <f ca="1"/>
        <v>5.0150434073157335E-2</v>
      </c>
      <c r="AE287" s="140">
        <f ca="1"/>
        <v>8.9772815203564504E-2</v>
      </c>
      <c r="AH287" s="137">
        <v>5.0000000000000001E-4</v>
      </c>
      <c r="AI287" s="137">
        <v>1.1999999999999999E-3</v>
      </c>
      <c r="AJ287" s="137">
        <v>4.4999999999999997E-3</v>
      </c>
      <c r="AK287" s="137">
        <v>8.8000000000000005E-3</v>
      </c>
      <c r="AM287" s="137">
        <v>2.52E-2</v>
      </c>
      <c r="AN287" s="137">
        <v>4.7600000000000003E-2</v>
      </c>
      <c r="AO287" s="137">
        <v>8.5300000000000001E-2</v>
      </c>
      <c r="AQ287" s="137">
        <v>5.0000000000000001E-4</v>
      </c>
      <c r="AR287" s="137">
        <v>1.4E-3</v>
      </c>
      <c r="AS287" s="137">
        <v>4.7999999999999996E-3</v>
      </c>
      <c r="AT287" s="137">
        <v>9.2999999999999992E-3</v>
      </c>
      <c r="AV287" s="137">
        <v>2.64E-2</v>
      </c>
      <c r="AW287" s="137">
        <v>4.99E-2</v>
      </c>
      <c r="AX287" s="137">
        <v>8.9399999999999993E-2</v>
      </c>
    </row>
    <row r="288" spans="1:50" s="79" customFormat="1" ht="10.199999999999999" x14ac:dyDescent="0.2">
      <c r="A288" s="97">
        <f t="shared" ca="1" si="7"/>
        <v>277</v>
      </c>
      <c r="B288" s="68" t="s">
        <v>359</v>
      </c>
      <c r="C288" s="98">
        <v>0.4</v>
      </c>
      <c r="D288" s="69" t="s">
        <v>66</v>
      </c>
      <c r="E288" s="138" t="s">
        <v>87</v>
      </c>
      <c r="F288" s="159">
        <v>6.9999999999999999E-4</v>
      </c>
      <c r="G288" s="159">
        <v>8.0000000000000004E-4</v>
      </c>
      <c r="H288" s="159">
        <v>1.2999999999999999E-3</v>
      </c>
      <c r="I288" s="159">
        <v>2E-3</v>
      </c>
      <c r="J288" s="159" t="s">
        <v>87</v>
      </c>
      <c r="K288" s="159">
        <v>3.3E-3</v>
      </c>
      <c r="L288" s="159">
        <v>4.0000000000000001E-3</v>
      </c>
      <c r="M288" s="159">
        <v>4.8999999999999998E-3</v>
      </c>
      <c r="N288" s="139">
        <f t="array" aca="1" ref="N288:AE288" ca="1">IF(OR(B288="",NOT($J$2)),"",GetStripDefaultProbability(A288,B288,Parameter_Date,CDSRollDate,E288:M288,SpreadCurveMaturities,D288,C288,$J$4,$J$6))</f>
        <v>0</v>
      </c>
      <c r="O288" s="166">
        <f ca="1"/>
        <v>6.5303425461338271E-4</v>
      </c>
      <c r="P288" s="166">
        <f ca="1"/>
        <v>1.4137031826377822E-3</v>
      </c>
      <c r="Q288" s="166">
        <f ca="1"/>
        <v>4.5193184083056614E-3</v>
      </c>
      <c r="R288" s="166">
        <f ca="1"/>
        <v>1.0433406752716756E-2</v>
      </c>
      <c r="S288" s="166">
        <f ca="1"/>
        <v>0</v>
      </c>
      <c r="T288" s="166">
        <f ca="1"/>
        <v>2.8769676114793752E-2</v>
      </c>
      <c r="U288" s="166">
        <f ca="1"/>
        <v>4.852163073312854E-2</v>
      </c>
      <c r="V288" s="140">
        <f ca="1"/>
        <v>8.5006304938434973E-2</v>
      </c>
      <c r="W288" s="139">
        <f ca="1"/>
        <v>0</v>
      </c>
      <c r="X288" s="166">
        <f ca="1"/>
        <v>7.4628912209839804E-4</v>
      </c>
      <c r="Y288" s="166">
        <f ca="1"/>
        <v>1.5899567491424182E-3</v>
      </c>
      <c r="Z288" s="166">
        <f ca="1"/>
        <v>4.8622271011221629E-3</v>
      </c>
      <c r="AA288" s="166">
        <f ca="1"/>
        <v>1.0941002552283141E-2</v>
      </c>
      <c r="AB288" s="166">
        <f ca="1"/>
        <v>0</v>
      </c>
      <c r="AC288" s="166">
        <f ca="1"/>
        <v>3.0188184955774577E-2</v>
      </c>
      <c r="AD288" s="166">
        <f ca="1"/>
        <v>5.090837491708744E-2</v>
      </c>
      <c r="AE288" s="140">
        <f ca="1"/>
        <v>8.9110427373992662E-2</v>
      </c>
      <c r="AH288" s="137">
        <v>5.9999999999999995E-4</v>
      </c>
      <c r="AI288" s="137">
        <v>1.4E-3</v>
      </c>
      <c r="AJ288" s="137">
        <v>4.4999999999999997E-3</v>
      </c>
      <c r="AK288" s="137">
        <v>1.04E-2</v>
      </c>
      <c r="AM288" s="137">
        <v>2.86E-2</v>
      </c>
      <c r="AN288" s="137">
        <v>4.8399999999999999E-2</v>
      </c>
      <c r="AO288" s="137">
        <v>8.4599999999999995E-2</v>
      </c>
      <c r="AQ288" s="137">
        <v>6.9999999999999999E-4</v>
      </c>
      <c r="AR288" s="137">
        <v>1.6000000000000001E-3</v>
      </c>
      <c r="AS288" s="137">
        <v>4.7999999999999996E-3</v>
      </c>
      <c r="AT288" s="137">
        <v>1.09E-2</v>
      </c>
      <c r="AV288" s="137">
        <v>0.03</v>
      </c>
      <c r="AW288" s="137">
        <v>5.0700000000000002E-2</v>
      </c>
      <c r="AX288" s="137">
        <v>8.8700000000000001E-2</v>
      </c>
    </row>
    <row r="289" spans="1:50" s="79" customFormat="1" ht="10.199999999999999" x14ac:dyDescent="0.2">
      <c r="A289" s="97">
        <f t="shared" ca="1" si="7"/>
        <v>278</v>
      </c>
      <c r="B289" s="68" t="s">
        <v>360</v>
      </c>
      <c r="C289" s="98">
        <v>0.4</v>
      </c>
      <c r="D289" s="69" t="s">
        <v>67</v>
      </c>
      <c r="E289" s="138" t="s">
        <v>87</v>
      </c>
      <c r="F289" s="159" t="s">
        <v>87</v>
      </c>
      <c r="G289" s="159">
        <v>5.5000000000000003E-4</v>
      </c>
      <c r="H289" s="159" t="s">
        <v>87</v>
      </c>
      <c r="I289" s="159">
        <v>1.6999999999999999E-3</v>
      </c>
      <c r="J289" s="159" t="s">
        <v>87</v>
      </c>
      <c r="K289" s="159">
        <v>2.7499999999999998E-3</v>
      </c>
      <c r="L289" s="159">
        <v>3.8999999999999998E-3</v>
      </c>
      <c r="M289" s="159">
        <v>5.0000000000000001E-3</v>
      </c>
      <c r="N289" s="139">
        <f t="array" aca="1" ref="N289:AE289" ca="1">IF(OR(B289="",NOT($J$2)),"",GetStripDefaultProbability(A289,B289,Parameter_Date,CDSRollDate,E289:M289,SpreadCurveMaturities,D289,C289,$J$4,$J$6))</f>
        <v>0</v>
      </c>
      <c r="O289" s="166">
        <f ca="1"/>
        <v>0</v>
      </c>
      <c r="P289" s="166">
        <f ca="1"/>
        <v>9.7034653705940777E-4</v>
      </c>
      <c r="Q289" s="166">
        <f ca="1"/>
        <v>0</v>
      </c>
      <c r="R289" s="166">
        <f ca="1"/>
        <v>8.8821851709749433E-3</v>
      </c>
      <c r="S289" s="166">
        <f ca="1"/>
        <v>0</v>
      </c>
      <c r="T289" s="166">
        <f ca="1"/>
        <v>2.4055484577291675E-2</v>
      </c>
      <c r="U289" s="166">
        <f ca="1"/>
        <v>4.8309453072068909E-2</v>
      </c>
      <c r="V289" s="140">
        <f ca="1"/>
        <v>8.8334023134707618E-2</v>
      </c>
      <c r="W289" s="139">
        <f ca="1"/>
        <v>0</v>
      </c>
      <c r="X289" s="166">
        <f ca="1"/>
        <v>0</v>
      </c>
      <c r="Y289" s="166">
        <f ca="1"/>
        <v>1.1368376046794193E-3</v>
      </c>
      <c r="Z289" s="166">
        <f ca="1"/>
        <v>0</v>
      </c>
      <c r="AA289" s="166">
        <f ca="1"/>
        <v>9.3913970642136579E-3</v>
      </c>
      <c r="AB289" s="166">
        <f ca="1"/>
        <v>0</v>
      </c>
      <c r="AC289" s="166">
        <f ca="1"/>
        <v>2.5230874104732903E-2</v>
      </c>
      <c r="AD289" s="166">
        <f ca="1"/>
        <v>5.0666577862244377E-2</v>
      </c>
      <c r="AE289" s="140">
        <f ca="1"/>
        <v>9.259190737464762E-2</v>
      </c>
      <c r="AI289" s="137">
        <v>1E-3</v>
      </c>
      <c r="AK289" s="137">
        <v>8.8000000000000005E-3</v>
      </c>
      <c r="AM289" s="137">
        <v>2.3900000000000001E-2</v>
      </c>
      <c r="AN289" s="137">
        <v>4.8000000000000001E-2</v>
      </c>
      <c r="AO289" s="137">
        <v>8.7999999999999995E-2</v>
      </c>
      <c r="AR289" s="137">
        <v>1.1000000000000001E-3</v>
      </c>
      <c r="AT289" s="137">
        <v>9.2999999999999992E-3</v>
      </c>
      <c r="AV289" s="137">
        <v>2.5000000000000001E-2</v>
      </c>
      <c r="AW289" s="137">
        <v>5.0299999999999997E-2</v>
      </c>
      <c r="AX289" s="137">
        <v>9.2299999999999993E-2</v>
      </c>
    </row>
    <row r="290" spans="1:50" s="79" customFormat="1" ht="10.199999999999999" x14ac:dyDescent="0.2">
      <c r="A290" s="97">
        <f t="shared" ca="1" si="7"/>
        <v>279</v>
      </c>
      <c r="B290" s="68" t="s">
        <v>127</v>
      </c>
      <c r="C290" s="98">
        <v>0.4</v>
      </c>
      <c r="D290" s="69" t="s">
        <v>66</v>
      </c>
      <c r="E290" s="138" t="s">
        <v>87</v>
      </c>
      <c r="F290" s="159">
        <v>6.9999999999999999E-4</v>
      </c>
      <c r="G290" s="159">
        <v>8.9999999999999998E-4</v>
      </c>
      <c r="H290" s="159">
        <v>1.2999999999999999E-3</v>
      </c>
      <c r="I290" s="159">
        <v>1.8E-3</v>
      </c>
      <c r="J290" s="159" t="s">
        <v>87</v>
      </c>
      <c r="K290" s="159">
        <v>2.8999999999999998E-3</v>
      </c>
      <c r="L290" s="159">
        <v>3.5999999999999999E-3</v>
      </c>
      <c r="M290" s="159">
        <v>4.4000000000000003E-3</v>
      </c>
      <c r="N290" s="139">
        <f t="array" aca="1" ref="N290:AE290" ca="1">IF(OR(B290="",NOT($J$2)),"",GetStripDefaultProbability(A290,B290,Parameter_Date,CDSRollDate,E290:M290,SpreadCurveMaturities,D290,C290,$J$4,$J$6))</f>
        <v>0</v>
      </c>
      <c r="O290" s="166">
        <f ca="1"/>
        <v>6.5303425461338271E-4</v>
      </c>
      <c r="P290" s="166">
        <f ca="1"/>
        <v>1.5925617485786914E-3</v>
      </c>
      <c r="Q290" s="166">
        <f ca="1"/>
        <v>4.5099904893959319E-3</v>
      </c>
      <c r="R290" s="166">
        <f ca="1"/>
        <v>9.3546082903557259E-3</v>
      </c>
      <c r="S290" s="166">
        <f ca="1"/>
        <v>0</v>
      </c>
      <c r="T290" s="166">
        <f ca="1"/>
        <v>2.5262761712908199E-2</v>
      </c>
      <c r="U290" s="166">
        <f ca="1"/>
        <v>4.379415772177353E-2</v>
      </c>
      <c r="V290" s="140">
        <f ca="1"/>
        <v>7.6545646793637401E-2</v>
      </c>
      <c r="W290" s="139">
        <f ca="1"/>
        <v>0</v>
      </c>
      <c r="X290" s="166">
        <f ca="1"/>
        <v>7.4628912209839804E-4</v>
      </c>
      <c r="Y290" s="166">
        <f ca="1"/>
        <v>1.768793463480911E-3</v>
      </c>
      <c r="Z290" s="166">
        <f ca="1"/>
        <v>4.8528661396218808E-3</v>
      </c>
      <c r="AA290" s="166">
        <f ca="1"/>
        <v>9.8625205636241331E-3</v>
      </c>
      <c r="AB290" s="166">
        <f ca="1"/>
        <v>0</v>
      </c>
      <c r="AC290" s="166">
        <f ca="1"/>
        <v>2.6501632580409051E-2</v>
      </c>
      <c r="AD290" s="166">
        <f ca="1"/>
        <v>4.5931068953931065E-2</v>
      </c>
      <c r="AE290" s="140">
        <f ca="1"/>
        <v>8.0248239953382039E-2</v>
      </c>
      <c r="AH290" s="137">
        <v>5.9999999999999995E-4</v>
      </c>
      <c r="AI290" s="137">
        <v>1.6000000000000001E-3</v>
      </c>
      <c r="AJ290" s="137">
        <v>4.4999999999999997E-3</v>
      </c>
      <c r="AK290" s="137">
        <v>9.2999999999999992E-3</v>
      </c>
      <c r="AM290" s="137">
        <v>2.5100000000000001E-2</v>
      </c>
      <c r="AN290" s="137">
        <v>4.36E-2</v>
      </c>
      <c r="AO290" s="137">
        <v>7.6200000000000004E-2</v>
      </c>
      <c r="AQ290" s="137">
        <v>6.9999999999999999E-4</v>
      </c>
      <c r="AR290" s="137">
        <v>1.6999999999999999E-3</v>
      </c>
      <c r="AS290" s="137">
        <v>4.7999999999999996E-3</v>
      </c>
      <c r="AT290" s="137">
        <v>9.7999999999999997E-3</v>
      </c>
      <c r="AV290" s="137">
        <v>2.63E-2</v>
      </c>
      <c r="AW290" s="137">
        <v>4.58E-2</v>
      </c>
      <c r="AX290" s="137">
        <v>7.9899999999999999E-2</v>
      </c>
    </row>
    <row r="291" spans="1:50" s="79" customFormat="1" ht="10.199999999999999" x14ac:dyDescent="0.2">
      <c r="A291" s="97">
        <f t="shared" ca="1" si="7"/>
        <v>280</v>
      </c>
      <c r="B291" s="68" t="s">
        <v>129</v>
      </c>
      <c r="C291" s="98">
        <v>0.4</v>
      </c>
      <c r="D291" s="69" t="s">
        <v>66</v>
      </c>
      <c r="E291" s="138" t="s">
        <v>87</v>
      </c>
      <c r="F291" s="159">
        <v>5.9999999999999995E-4</v>
      </c>
      <c r="G291" s="159">
        <v>6.9999999999999999E-4</v>
      </c>
      <c r="H291" s="159">
        <v>1.1999999999999999E-3</v>
      </c>
      <c r="I291" s="159">
        <v>1.8E-3</v>
      </c>
      <c r="J291" s="159" t="s">
        <v>87</v>
      </c>
      <c r="K291" s="159">
        <v>2.8E-3</v>
      </c>
      <c r="L291" s="159">
        <v>3.5000000000000001E-3</v>
      </c>
      <c r="M291" s="159">
        <v>4.4000000000000003E-3</v>
      </c>
      <c r="N291" s="139">
        <f t="array" aca="1" ref="N291:AE291" ca="1">IF(OR(B291="",NOT($J$2)),"",GetStripDefaultProbability(A291,B291,Parameter_Date,CDSRollDate,E291:M291,SpreadCurveMaturities,D291,C291,$J$4,$J$6))</f>
        <v>0</v>
      </c>
      <c r="O291" s="166">
        <f ca="1"/>
        <v>5.5976970645477131E-4</v>
      </c>
      <c r="P291" s="166">
        <f ca="1"/>
        <v>1.2374185605539267E-3</v>
      </c>
      <c r="Q291" s="166">
        <f ca="1"/>
        <v>4.1762914427907472E-3</v>
      </c>
      <c r="R291" s="166">
        <f ca="1"/>
        <v>9.3893759471376237E-3</v>
      </c>
      <c r="S291" s="166">
        <f ca="1"/>
        <v>0</v>
      </c>
      <c r="T291" s="166">
        <f ca="1"/>
        <v>2.4378511327492691E-2</v>
      </c>
      <c r="U291" s="166">
        <f ca="1"/>
        <v>4.2639878683209176E-2</v>
      </c>
      <c r="V291" s="140">
        <f ca="1"/>
        <v>7.6848690166849143E-2</v>
      </c>
      <c r="W291" s="139">
        <f ca="1"/>
        <v>0</v>
      </c>
      <c r="X291" s="166">
        <f ca="1"/>
        <v>6.5303351059242676E-4</v>
      </c>
      <c r="Y291" s="166">
        <f ca="1"/>
        <v>1.4137032311792863E-3</v>
      </c>
      <c r="Z291" s="166">
        <f ca="1"/>
        <v>4.5193184962779576E-3</v>
      </c>
      <c r="AA291" s="166">
        <f ca="1"/>
        <v>9.8974004124984249E-3</v>
      </c>
      <c r="AB291" s="166">
        <f ca="1"/>
        <v>0</v>
      </c>
      <c r="AC291" s="166">
        <f ca="1"/>
        <v>2.5573164534801851E-2</v>
      </c>
      <c r="AD291" s="166">
        <f ca="1"/>
        <v>4.4720834008730725E-2</v>
      </c>
      <c r="AE291" s="140">
        <f ca="1"/>
        <v>8.0565032111015844E-2</v>
      </c>
      <c r="AH291" s="137">
        <v>5.0000000000000001E-4</v>
      </c>
      <c r="AI291" s="137">
        <v>1.1999999999999999E-3</v>
      </c>
      <c r="AJ291" s="137">
        <v>4.1000000000000003E-3</v>
      </c>
      <c r="AK291" s="137">
        <v>9.2999999999999992E-3</v>
      </c>
      <c r="AM291" s="137">
        <v>2.4299999999999999E-2</v>
      </c>
      <c r="AN291" s="137">
        <v>4.2500000000000003E-2</v>
      </c>
      <c r="AO291" s="137">
        <v>7.6499999999999999E-2</v>
      </c>
      <c r="AQ291" s="137">
        <v>5.9999999999999995E-4</v>
      </c>
      <c r="AR291" s="137">
        <v>1.4E-3</v>
      </c>
      <c r="AS291" s="137">
        <v>4.4999999999999997E-3</v>
      </c>
      <c r="AT291" s="137">
        <v>9.7999999999999997E-3</v>
      </c>
      <c r="AV291" s="137">
        <v>2.5399999999999999E-2</v>
      </c>
      <c r="AW291" s="137">
        <v>4.4499999999999998E-2</v>
      </c>
      <c r="AX291" s="137">
        <v>8.0199999999999994E-2</v>
      </c>
    </row>
    <row r="292" spans="1:50" s="79" customFormat="1" ht="10.199999999999999" x14ac:dyDescent="0.2">
      <c r="A292" s="97">
        <f t="shared" ca="1" si="7"/>
        <v>281</v>
      </c>
      <c r="B292" s="68" t="s">
        <v>361</v>
      </c>
      <c r="C292" s="98">
        <v>0.4</v>
      </c>
      <c r="D292" s="69" t="s">
        <v>67</v>
      </c>
      <c r="E292" s="138" t="s">
        <v>87</v>
      </c>
      <c r="F292" s="159" t="s">
        <v>87</v>
      </c>
      <c r="G292" s="159">
        <v>3.1260000000000003E-2</v>
      </c>
      <c r="H292" s="159" t="s">
        <v>87</v>
      </c>
      <c r="I292" s="159">
        <v>2.2712E-2</v>
      </c>
      <c r="J292" s="159" t="s">
        <v>87</v>
      </c>
      <c r="K292" s="159">
        <v>1.9E-2</v>
      </c>
      <c r="L292" s="159">
        <v>1.7339E-2</v>
      </c>
      <c r="M292" s="159">
        <v>1.6362000000000002E-2</v>
      </c>
      <c r="N292" s="139">
        <f t="array" aca="1" ref="N292:AE292" ca="1">IF(OR(B292="",NOT($J$2)),"",GetStripDefaultProbability(A292,B292,Parameter_Date,CDSRollDate,E292:M292,SpreadCurveMaturities,D292,C292,$J$4,$J$6))</f>
        <v>0</v>
      </c>
      <c r="O292" s="166">
        <f ca="1"/>
        <v>0</v>
      </c>
      <c r="P292" s="166">
        <f ca="1"/>
        <v>5.3681740813694701E-2</v>
      </c>
      <c r="Q292" s="166">
        <f ca="1"/>
        <v>0</v>
      </c>
      <c r="R292" s="166">
        <f ca="1"/>
        <v>0.1070239715707032</v>
      </c>
      <c r="S292" s="166">
        <f ca="1"/>
        <v>0</v>
      </c>
      <c r="T292" s="166">
        <f ca="1"/>
        <v>0.143280525932037</v>
      </c>
      <c r="U292" s="166">
        <f ca="1"/>
        <v>0.17647816213140899</v>
      </c>
      <c r="V292" s="140">
        <f ca="1"/>
        <v>0.22958393715984116</v>
      </c>
      <c r="W292" s="139">
        <f ca="1"/>
        <v>0</v>
      </c>
      <c r="X292" s="166">
        <f ca="1"/>
        <v>0</v>
      </c>
      <c r="Y292" s="166">
        <f ca="1"/>
        <v>5.6288804942881687E-2</v>
      </c>
      <c r="Z292" s="166">
        <f ca="1"/>
        <v>0</v>
      </c>
      <c r="AA292" s="166">
        <f ca="1"/>
        <v>0.11199363768067305</v>
      </c>
      <c r="AB292" s="166">
        <f ca="1"/>
        <v>0</v>
      </c>
      <c r="AC292" s="166">
        <f ca="1"/>
        <v>0.14975566780896021</v>
      </c>
      <c r="AD292" s="166">
        <f ca="1"/>
        <v>0.1842442263968681</v>
      </c>
      <c r="AE292" s="140">
        <f ca="1"/>
        <v>0.23933119823110582</v>
      </c>
      <c r="AI292" s="137">
        <v>5.2999999999999999E-2</v>
      </c>
      <c r="AK292" s="137">
        <v>0.1076</v>
      </c>
      <c r="AM292" s="137">
        <v>0.1434</v>
      </c>
      <c r="AN292" s="137">
        <v>0.17699999999999999</v>
      </c>
      <c r="AO292" s="137">
        <v>0.22919999999999999</v>
      </c>
      <c r="AR292" s="137">
        <v>5.5599999999999997E-2</v>
      </c>
      <c r="AT292" s="137">
        <v>0.11260000000000001</v>
      </c>
      <c r="AV292" s="137">
        <v>0.14990000000000001</v>
      </c>
      <c r="AW292" s="137">
        <v>0.18479999999999999</v>
      </c>
      <c r="AX292" s="137">
        <v>0.23899999999999999</v>
      </c>
    </row>
    <row r="293" spans="1:50" s="79" customFormat="1" ht="10.199999999999999" x14ac:dyDescent="0.2">
      <c r="A293" s="97">
        <f t="shared" ca="1" si="7"/>
        <v>282</v>
      </c>
      <c r="B293" s="68" t="s">
        <v>362</v>
      </c>
      <c r="C293" s="98">
        <v>0.4</v>
      </c>
      <c r="D293" s="69" t="s">
        <v>66</v>
      </c>
      <c r="E293" s="138" t="s">
        <v>87</v>
      </c>
      <c r="F293" s="159">
        <v>4.5500000000000002E-3</v>
      </c>
      <c r="G293" s="159">
        <v>5.6800000000000002E-3</v>
      </c>
      <c r="H293" s="159">
        <v>7.9500000000000005E-3</v>
      </c>
      <c r="I293" s="159">
        <v>9.8200000000000006E-3</v>
      </c>
      <c r="J293" s="159" t="s">
        <v>87</v>
      </c>
      <c r="K293" s="159">
        <v>1.2500000000000001E-2</v>
      </c>
      <c r="L293" s="159">
        <v>1.2999999999999999E-2</v>
      </c>
      <c r="M293" s="159">
        <v>1.35E-2</v>
      </c>
      <c r="N293" s="139">
        <f t="array" aca="1" ref="N293:AE293" ca="1">IF(OR(B293="",NOT($J$2)),"",GetStripDefaultProbability(A293,B293,Parameter_Date,CDSRollDate,E293:M293,SpreadCurveMaturities,D293,C293,$J$4,$J$6))</f>
        <v>0</v>
      </c>
      <c r="O293" s="166">
        <f ca="1"/>
        <v>4.2371282894905216E-3</v>
      </c>
      <c r="P293" s="166">
        <f ca="1"/>
        <v>1.0008492629066668E-2</v>
      </c>
      <c r="Q293" s="166">
        <f ca="1"/>
        <v>2.7304361257390997E-2</v>
      </c>
      <c r="R293" s="166">
        <f ca="1"/>
        <v>4.9977388196525641E-2</v>
      </c>
      <c r="S293" s="166">
        <f ca="1"/>
        <v>0</v>
      </c>
      <c r="T293" s="166">
        <f ca="1"/>
        <v>0.1038852570364347</v>
      </c>
      <c r="U293" s="166">
        <f ca="1"/>
        <v>0.14656985976728354</v>
      </c>
      <c r="V293" s="140">
        <f ca="1"/>
        <v>0.21003511717940893</v>
      </c>
      <c r="W293" s="139">
        <f ca="1"/>
        <v>0</v>
      </c>
      <c r="X293" s="166">
        <f ca="1"/>
        <v>4.4484684865429003E-3</v>
      </c>
      <c r="Y293" s="166">
        <f ca="1"/>
        <v>1.0506497005476789E-2</v>
      </c>
      <c r="Z293" s="166">
        <f ca="1"/>
        <v>2.8653576251061796E-2</v>
      </c>
      <c r="AA293" s="166">
        <f ca="1"/>
        <v>5.242381442135613E-2</v>
      </c>
      <c r="AB293" s="166">
        <f ca="1"/>
        <v>0</v>
      </c>
      <c r="AC293" s="166">
        <f ca="1"/>
        <v>0.10884845003013843</v>
      </c>
      <c r="AD293" s="166">
        <f ca="1"/>
        <v>0.15338340808691087</v>
      </c>
      <c r="AE293" s="140">
        <f ca="1"/>
        <v>0.21942349366599989</v>
      </c>
      <c r="AH293" s="137">
        <v>4.1000000000000003E-3</v>
      </c>
      <c r="AI293" s="137">
        <v>9.9000000000000008E-3</v>
      </c>
      <c r="AJ293" s="137">
        <v>2.7099999999999999E-2</v>
      </c>
      <c r="AK293" s="137">
        <v>4.9700000000000001E-2</v>
      </c>
      <c r="AM293" s="137">
        <v>0.10340000000000001</v>
      </c>
      <c r="AN293" s="137">
        <v>0.1464</v>
      </c>
      <c r="AO293" s="137">
        <v>0.20930000000000001</v>
      </c>
      <c r="AQ293" s="137">
        <v>4.3E-3</v>
      </c>
      <c r="AR293" s="137">
        <v>1.04E-2</v>
      </c>
      <c r="AS293" s="137">
        <v>2.8400000000000002E-2</v>
      </c>
      <c r="AT293" s="137">
        <v>5.21E-2</v>
      </c>
      <c r="AV293" s="137">
        <v>0.1084</v>
      </c>
      <c r="AW293" s="137">
        <v>0.1532</v>
      </c>
      <c r="AX293" s="137">
        <v>0.21859999999999999</v>
      </c>
    </row>
    <row r="294" spans="1:50" s="79" customFormat="1" ht="10.199999999999999" x14ac:dyDescent="0.2">
      <c r="A294" s="97">
        <f t="shared" ca="1" si="7"/>
        <v>283</v>
      </c>
      <c r="B294" s="68" t="s">
        <v>363</v>
      </c>
      <c r="C294" s="98">
        <v>0.2</v>
      </c>
      <c r="D294" s="69" t="s">
        <v>66</v>
      </c>
      <c r="E294" s="138" t="s">
        <v>87</v>
      </c>
      <c r="F294" s="159">
        <v>1.3500000000000001E-3</v>
      </c>
      <c r="G294" s="159">
        <v>2.32E-3</v>
      </c>
      <c r="H294" s="159">
        <v>3.8500000000000001E-3</v>
      </c>
      <c r="I294" s="159">
        <v>5.3400000000000001E-3</v>
      </c>
      <c r="J294" s="159" t="s">
        <v>87</v>
      </c>
      <c r="K294" s="159">
        <v>7.1999999999999998E-3</v>
      </c>
      <c r="L294" s="159">
        <v>8.0000000000000002E-3</v>
      </c>
      <c r="M294" s="159">
        <v>8.4499999999999992E-3</v>
      </c>
      <c r="N294" s="139">
        <f t="array" aca="1" ref="N294:AE294" ca="1">IF(OR(B294="",NOT($J$2)),"",GetStripDefaultProbability(A294,B294,Parameter_Date,CDSRollDate,E294:M294,SpreadCurveMaturities,D294,C294,$J$4,$J$6))</f>
        <v>0</v>
      </c>
      <c r="O294" s="166">
        <f ca="1"/>
        <v>9.4443000645605402E-4</v>
      </c>
      <c r="P294" s="166">
        <f ca="1"/>
        <v>3.0855654470665073E-3</v>
      </c>
      <c r="Q294" s="166">
        <f ca="1"/>
        <v>1.0023928889587697E-2</v>
      </c>
      <c r="R294" s="166">
        <f ca="1"/>
        <v>2.0758835677218479E-2</v>
      </c>
      <c r="S294" s="166">
        <f ca="1"/>
        <v>0</v>
      </c>
      <c r="T294" s="166">
        <f ca="1"/>
        <v>4.6232433632040104E-2</v>
      </c>
      <c r="U294" s="166">
        <f ca="1"/>
        <v>7.103050884654083E-2</v>
      </c>
      <c r="V294" s="140">
        <f ca="1"/>
        <v>0.10502746326975754</v>
      </c>
      <c r="W294" s="139">
        <f ca="1"/>
        <v>0</v>
      </c>
      <c r="X294" s="166">
        <f ca="1"/>
        <v>1.0143504349183763E-3</v>
      </c>
      <c r="Y294" s="166">
        <f ca="1"/>
        <v>3.239003404434837E-3</v>
      </c>
      <c r="Z294" s="166">
        <f ca="1"/>
        <v>1.0523369579713004E-2</v>
      </c>
      <c r="AA294" s="166">
        <f ca="1"/>
        <v>2.1788327895544968E-2</v>
      </c>
      <c r="AB294" s="166">
        <f ca="1"/>
        <v>0</v>
      </c>
      <c r="AC294" s="166">
        <f ca="1"/>
        <v>4.8501943963419336E-2</v>
      </c>
      <c r="AD294" s="166">
        <f ca="1"/>
        <v>7.4473039553227816E-2</v>
      </c>
      <c r="AE294" s="140">
        <f ca="1"/>
        <v>0.1100223843543785</v>
      </c>
      <c r="AH294" s="137">
        <v>8.9999999999999998E-4</v>
      </c>
      <c r="AI294" s="137">
        <v>3.0000000000000001E-3</v>
      </c>
      <c r="AJ294" s="137">
        <v>9.9000000000000008E-3</v>
      </c>
      <c r="AK294" s="137">
        <v>2.06E-2</v>
      </c>
      <c r="AM294" s="137">
        <v>4.6100000000000002E-2</v>
      </c>
      <c r="AN294" s="137">
        <v>7.0900000000000005E-2</v>
      </c>
      <c r="AO294" s="137">
        <v>0.10489999999999999</v>
      </c>
      <c r="AQ294" s="137">
        <v>1E-3</v>
      </c>
      <c r="AR294" s="137">
        <v>3.2000000000000002E-3</v>
      </c>
      <c r="AS294" s="137">
        <v>1.04E-2</v>
      </c>
      <c r="AT294" s="137">
        <v>2.1700000000000001E-2</v>
      </c>
      <c r="AV294" s="137">
        <v>4.8300000000000003E-2</v>
      </c>
      <c r="AW294" s="137">
        <v>7.4300000000000005E-2</v>
      </c>
      <c r="AX294" s="137">
        <v>0.1099</v>
      </c>
    </row>
    <row r="295" spans="1:50" s="79" customFormat="1" ht="10.199999999999999" x14ac:dyDescent="0.2">
      <c r="A295" s="97">
        <f t="shared" ca="1" si="7"/>
        <v>284</v>
      </c>
      <c r="B295" s="68" t="s">
        <v>364</v>
      </c>
      <c r="C295" s="98">
        <v>0.4</v>
      </c>
      <c r="D295" s="69" t="s">
        <v>66</v>
      </c>
      <c r="E295" s="138" t="s">
        <v>87</v>
      </c>
      <c r="F295" s="159">
        <v>5.6999999999999998E-4</v>
      </c>
      <c r="G295" s="159">
        <v>1.24E-3</v>
      </c>
      <c r="H295" s="159">
        <v>1.9499999999999999E-3</v>
      </c>
      <c r="I295" s="159">
        <v>2.6700000000000001E-3</v>
      </c>
      <c r="J295" s="159" t="s">
        <v>87</v>
      </c>
      <c r="K295" s="159">
        <v>4.0000000000000001E-3</v>
      </c>
      <c r="L295" s="159">
        <v>4.9100000000000003E-3</v>
      </c>
      <c r="M295" s="159">
        <v>6.2899999999999996E-3</v>
      </c>
      <c r="N295" s="139">
        <f t="array" aca="1" ref="N295:AE295" ca="1">IF(OR(B295="",NOT($J$2)),"",GetStripDefaultProbability(A295,B295,Parameter_Date,CDSRollDate,E295:M295,SpreadCurveMaturities,D295,C295,$J$4,$J$6))</f>
        <v>0</v>
      </c>
      <c r="O295" s="166">
        <f ca="1"/>
        <v>5.3178864858527408E-4</v>
      </c>
      <c r="P295" s="166">
        <f ca="1"/>
        <v>2.2035886108722202E-3</v>
      </c>
      <c r="Q295" s="166">
        <f ca="1"/>
        <v>6.767885895592074E-3</v>
      </c>
      <c r="R295" s="166">
        <f ca="1"/>
        <v>1.3863741886556036E-2</v>
      </c>
      <c r="S295" s="166">
        <f ca="1"/>
        <v>0</v>
      </c>
      <c r="T295" s="166">
        <f ca="1"/>
        <v>3.4596792986854696E-2</v>
      </c>
      <c r="U295" s="166">
        <f ca="1"/>
        <v>5.9252353031779226E-2</v>
      </c>
      <c r="V295" s="140">
        <f ca="1"/>
        <v>0.1087397282596444</v>
      </c>
      <c r="W295" s="139">
        <f ca="1"/>
        <v>0</v>
      </c>
      <c r="X295" s="166">
        <f ca="1"/>
        <v>6.25055126598828E-4</v>
      </c>
      <c r="Y295" s="166">
        <f ca="1"/>
        <v>2.3797575286528261E-3</v>
      </c>
      <c r="Z295" s="166">
        <f ca="1"/>
        <v>7.110118850948699E-3</v>
      </c>
      <c r="AA295" s="166">
        <f ca="1"/>
        <v>1.4548538412421208E-2</v>
      </c>
      <c r="AB295" s="166">
        <f ca="1"/>
        <v>0</v>
      </c>
      <c r="AC295" s="166">
        <f ca="1"/>
        <v>3.6297189348562853E-2</v>
      </c>
      <c r="AD295" s="166">
        <f ca="1"/>
        <v>6.2142970421355526E-2</v>
      </c>
      <c r="AE295" s="140">
        <f ca="1"/>
        <v>0.11394743832464149</v>
      </c>
      <c r="AH295" s="137">
        <v>5.0000000000000001E-4</v>
      </c>
      <c r="AI295" s="137">
        <v>2.2000000000000001E-3</v>
      </c>
      <c r="AJ295" s="137">
        <v>6.7000000000000002E-3</v>
      </c>
      <c r="AK295" s="137">
        <v>1.38E-2</v>
      </c>
      <c r="AM295" s="137">
        <v>3.44E-2</v>
      </c>
      <c r="AN295" s="137">
        <v>5.8999999999999997E-2</v>
      </c>
      <c r="AO295" s="137">
        <v>0.1081</v>
      </c>
      <c r="AQ295" s="137">
        <v>5.9999999999999995E-4</v>
      </c>
      <c r="AR295" s="137">
        <v>2.3E-3</v>
      </c>
      <c r="AS295" s="137">
        <v>7.1000000000000004E-3</v>
      </c>
      <c r="AT295" s="137">
        <v>1.4500000000000001E-2</v>
      </c>
      <c r="AV295" s="137">
        <v>3.61E-2</v>
      </c>
      <c r="AW295" s="137">
        <v>6.1899999999999997E-2</v>
      </c>
      <c r="AX295" s="137">
        <v>0.1133</v>
      </c>
    </row>
    <row r="296" spans="1:50" s="79" customFormat="1" ht="10.199999999999999" x14ac:dyDescent="0.2">
      <c r="A296" s="97">
        <f t="shared" ca="1" si="7"/>
        <v>285</v>
      </c>
      <c r="B296" s="68" t="s">
        <v>365</v>
      </c>
      <c r="C296" s="98">
        <v>0.4</v>
      </c>
      <c r="D296" s="69" t="s">
        <v>67</v>
      </c>
      <c r="E296" s="138" t="s">
        <v>87</v>
      </c>
      <c r="F296" s="159" t="s">
        <v>87</v>
      </c>
      <c r="G296" s="159">
        <v>6.4400000000000004E-4</v>
      </c>
      <c r="H296" s="159" t="s">
        <v>87</v>
      </c>
      <c r="I296" s="159">
        <v>2.428E-3</v>
      </c>
      <c r="J296" s="159" t="s">
        <v>87</v>
      </c>
      <c r="K296" s="159">
        <v>3.3500000000000001E-3</v>
      </c>
      <c r="L296" s="159">
        <v>4.3699999999999998E-3</v>
      </c>
      <c r="M296" s="159">
        <v>5.3410000000000003E-3</v>
      </c>
      <c r="N296" s="139">
        <f t="array" aca="1" ref="N296:AE296" ca="1">IF(OR(B296="",NOT($J$2)),"",GetStripDefaultProbability(A296,B296,Parameter_Date,CDSRollDate,E296:M296,SpreadCurveMaturities,D296,C296,$J$4,$J$6))</f>
        <v>0</v>
      </c>
      <c r="O296" s="166">
        <f ca="1"/>
        <v>0</v>
      </c>
      <c r="P296" s="166">
        <f ca="1"/>
        <v>1.1360940284930177E-3</v>
      </c>
      <c r="Q296" s="166">
        <f ca="1"/>
        <v>0</v>
      </c>
      <c r="R296" s="166">
        <f ca="1"/>
        <v>1.2726066572075978E-2</v>
      </c>
      <c r="S296" s="166">
        <f ca="1"/>
        <v>0</v>
      </c>
      <c r="T296" s="166">
        <f ca="1"/>
        <v>2.8995898053089775E-2</v>
      </c>
      <c r="U296" s="166">
        <f ca="1"/>
        <v>5.3427025695769181E-2</v>
      </c>
      <c r="V296" s="140">
        <f ca="1"/>
        <v>9.2787574315471466E-2</v>
      </c>
      <c r="W296" s="139">
        <f ca="1"/>
        <v>0</v>
      </c>
      <c r="X296" s="166">
        <f ca="1"/>
        <v>0</v>
      </c>
      <c r="Y296" s="166">
        <f ca="1"/>
        <v>1.3025574737987045E-3</v>
      </c>
      <c r="Z296" s="166">
        <f ca="1"/>
        <v>0</v>
      </c>
      <c r="AA296" s="166">
        <f ca="1"/>
        <v>1.3346863814420851E-2</v>
      </c>
      <c r="AB296" s="166">
        <f ca="1"/>
        <v>0</v>
      </c>
      <c r="AC296" s="166">
        <f ca="1"/>
        <v>3.0422544002032925E-2</v>
      </c>
      <c r="AD296" s="166">
        <f ca="1"/>
        <v>5.6033994751602867E-2</v>
      </c>
      <c r="AE296" s="140">
        <f ca="1"/>
        <v>9.7257629648537125E-2</v>
      </c>
      <c r="AI296" s="137">
        <v>1.1000000000000001E-3</v>
      </c>
      <c r="AK296" s="137">
        <v>1.2500000000000001E-2</v>
      </c>
      <c r="AM296" s="137">
        <v>2.8799999999999999E-2</v>
      </c>
      <c r="AN296" s="137">
        <v>5.2999999999999999E-2</v>
      </c>
      <c r="AO296" s="137">
        <v>9.2600000000000002E-2</v>
      </c>
      <c r="AR296" s="137">
        <v>1.2999999999999999E-3</v>
      </c>
      <c r="AT296" s="137">
        <v>1.3100000000000001E-2</v>
      </c>
      <c r="AV296" s="137">
        <v>3.0200000000000001E-2</v>
      </c>
      <c r="AW296" s="137">
        <v>5.5599999999999997E-2</v>
      </c>
      <c r="AX296" s="137">
        <v>9.7000000000000003E-2</v>
      </c>
    </row>
    <row r="297" spans="1:50" s="79" customFormat="1" ht="10.199999999999999" x14ac:dyDescent="0.2">
      <c r="A297" s="97">
        <f t="shared" ca="1" si="7"/>
        <v>286</v>
      </c>
      <c r="B297" s="68" t="s">
        <v>366</v>
      </c>
      <c r="C297" s="98">
        <v>0.4</v>
      </c>
      <c r="D297" s="69" t="s">
        <v>67</v>
      </c>
      <c r="E297" s="138" t="s">
        <v>87</v>
      </c>
      <c r="F297" s="159" t="s">
        <v>87</v>
      </c>
      <c r="G297" s="159">
        <v>6.2399999999999999E-4</v>
      </c>
      <c r="H297" s="159" t="s">
        <v>87</v>
      </c>
      <c r="I297" s="159">
        <v>2.0999999999999999E-3</v>
      </c>
      <c r="J297" s="159" t="s">
        <v>87</v>
      </c>
      <c r="K297" s="159">
        <v>2.5999999999999999E-3</v>
      </c>
      <c r="L297" s="159">
        <v>3.5999999999999999E-3</v>
      </c>
      <c r="M297" s="159">
        <v>4.5999999999999999E-3</v>
      </c>
      <c r="N297" s="139">
        <f t="array" aca="1" ref="N297:AE297" ca="1">IF(OR(B297="",NOT($J$2)),"",GetStripDefaultProbability(A297,B297,Parameter_Date,CDSRollDate,E297:M297,SpreadCurveMaturities,D297,C297,$J$4,$J$6))</f>
        <v>0</v>
      </c>
      <c r="O297" s="166">
        <f ca="1"/>
        <v>0</v>
      </c>
      <c r="P297" s="166">
        <f ca="1"/>
        <v>1.1008308907515252E-3</v>
      </c>
      <c r="Q297" s="166">
        <f ca="1"/>
        <v>0</v>
      </c>
      <c r="R297" s="166">
        <f ca="1"/>
        <v>1.0998793821603958E-2</v>
      </c>
      <c r="S297" s="166">
        <f ca="1"/>
        <v>0</v>
      </c>
      <c r="T297" s="166">
        <f ca="1"/>
        <v>2.2387135365869337E-2</v>
      </c>
      <c r="U297" s="166">
        <f ca="1"/>
        <v>4.4313941747920471E-2</v>
      </c>
      <c r="V297" s="140">
        <f ca="1"/>
        <v>8.0849046222243537E-2</v>
      </c>
      <c r="W297" s="139">
        <f ca="1"/>
        <v>0</v>
      </c>
      <c r="X297" s="166">
        <f ca="1"/>
        <v>0</v>
      </c>
      <c r="Y297" s="166">
        <f ca="1"/>
        <v>1.2673002127825406E-3</v>
      </c>
      <c r="Z297" s="166">
        <f ca="1"/>
        <v>0</v>
      </c>
      <c r="AA297" s="166">
        <f ca="1"/>
        <v>1.1533755763098452E-2</v>
      </c>
      <c r="AB297" s="166">
        <f ca="1"/>
        <v>0</v>
      </c>
      <c r="AC297" s="166">
        <f ca="1"/>
        <v>2.3489111684358077E-2</v>
      </c>
      <c r="AD297" s="166">
        <f ca="1"/>
        <v>4.648247588792731E-2</v>
      </c>
      <c r="AE297" s="140">
        <f ca="1"/>
        <v>8.4767397419157509E-2</v>
      </c>
      <c r="AI297" s="137">
        <v>1.1000000000000001E-3</v>
      </c>
      <c r="AK297" s="137">
        <v>1.0800000000000001E-2</v>
      </c>
      <c r="AM297" s="137">
        <v>2.23E-2</v>
      </c>
      <c r="AN297" s="137">
        <v>4.3900000000000002E-2</v>
      </c>
      <c r="AO297" s="137">
        <v>8.0799999999999997E-2</v>
      </c>
      <c r="AR297" s="137">
        <v>1.2999999999999999E-3</v>
      </c>
      <c r="AT297" s="137">
        <v>1.14E-2</v>
      </c>
      <c r="AV297" s="137">
        <v>2.3400000000000001E-2</v>
      </c>
      <c r="AW297" s="137">
        <v>4.6100000000000002E-2</v>
      </c>
      <c r="AX297" s="137">
        <v>8.4699999999999998E-2</v>
      </c>
    </row>
    <row r="298" spans="1:50" s="79" customFormat="1" ht="10.199999999999999" x14ac:dyDescent="0.2">
      <c r="A298" s="97">
        <f t="shared" ca="1" si="7"/>
        <v>287</v>
      </c>
      <c r="B298" s="68" t="s">
        <v>367</v>
      </c>
      <c r="C298" s="98">
        <v>0.4</v>
      </c>
      <c r="D298" s="69" t="s">
        <v>67</v>
      </c>
      <c r="E298" s="138" t="s">
        <v>87</v>
      </c>
      <c r="F298" s="159" t="s">
        <v>87</v>
      </c>
      <c r="G298" s="159">
        <v>1.1999999999999999E-3</v>
      </c>
      <c r="H298" s="159" t="s">
        <v>87</v>
      </c>
      <c r="I298" s="159">
        <v>2E-3</v>
      </c>
      <c r="J298" s="159" t="s">
        <v>87</v>
      </c>
      <c r="K298" s="159">
        <v>3.0000000000000001E-3</v>
      </c>
      <c r="L298" s="159">
        <v>4.0000000000000001E-3</v>
      </c>
      <c r="M298" s="159">
        <v>5.4999999999999997E-3</v>
      </c>
      <c r="N298" s="139">
        <f t="array" aca="1" ref="N298:AE298" ca="1">IF(OR(B298="",NOT($J$2)),"",GetStripDefaultProbability(A298,B298,Parameter_Date,CDSRollDate,E298:M298,SpreadCurveMaturities,D298,C298,$J$4,$J$6))</f>
        <v>0</v>
      </c>
      <c r="O298" s="166">
        <f ca="1"/>
        <v>0</v>
      </c>
      <c r="P298" s="166">
        <f ca="1"/>
        <v>2.1159148818730156E-3</v>
      </c>
      <c r="Q298" s="166">
        <f ca="1"/>
        <v>0</v>
      </c>
      <c r="R298" s="166">
        <f ca="1"/>
        <v>1.0343990164214278E-2</v>
      </c>
      <c r="S298" s="166">
        <f ca="1"/>
        <v>0</v>
      </c>
      <c r="T298" s="166">
        <f ca="1"/>
        <v>2.6053595227329862E-2</v>
      </c>
      <c r="U298" s="166">
        <f ca="1"/>
        <v>4.9049687667374275E-2</v>
      </c>
      <c r="V298" s="140">
        <f ca="1"/>
        <v>9.7686817791967306E-2</v>
      </c>
      <c r="W298" s="139">
        <f ca="1"/>
        <v>0</v>
      </c>
      <c r="X298" s="166">
        <f ca="1"/>
        <v>0</v>
      </c>
      <c r="Y298" s="166">
        <f ca="1"/>
        <v>2.2822150373292827E-3</v>
      </c>
      <c r="Z298" s="166">
        <f ca="1"/>
        <v>0</v>
      </c>
      <c r="AA298" s="166">
        <f ca="1"/>
        <v>1.085225749556773E-2</v>
      </c>
      <c r="AB298" s="166">
        <f ca="1"/>
        <v>0</v>
      </c>
      <c r="AC298" s="166">
        <f ca="1"/>
        <v>2.7339536987500579E-2</v>
      </c>
      <c r="AD298" s="166">
        <f ca="1"/>
        <v>5.1452124539602906E-2</v>
      </c>
      <c r="AE298" s="140">
        <f ca="1"/>
        <v>0.10240379879171868</v>
      </c>
      <c r="AI298" s="137">
        <v>2.0999999999999999E-3</v>
      </c>
      <c r="AK298" s="137">
        <v>1.0200000000000001E-2</v>
      </c>
      <c r="AM298" s="137">
        <v>2.5899999999999999E-2</v>
      </c>
      <c r="AN298" s="137">
        <v>4.87E-2</v>
      </c>
      <c r="AO298" s="137">
        <v>9.7000000000000003E-2</v>
      </c>
      <c r="AR298" s="137">
        <v>2.3E-3</v>
      </c>
      <c r="AT298" s="137">
        <v>1.0699999999999999E-2</v>
      </c>
      <c r="AV298" s="137">
        <v>2.7099999999999999E-2</v>
      </c>
      <c r="AW298" s="137">
        <v>5.11E-2</v>
      </c>
      <c r="AX298" s="137">
        <v>0.1017</v>
      </c>
    </row>
    <row r="299" spans="1:50" s="79" customFormat="1" ht="10.199999999999999" x14ac:dyDescent="0.2">
      <c r="A299" s="97">
        <f t="shared" ca="1" si="7"/>
        <v>288</v>
      </c>
      <c r="B299" s="68" t="s">
        <v>368</v>
      </c>
      <c r="C299" s="98">
        <v>0.4</v>
      </c>
      <c r="D299" s="69" t="s">
        <v>67</v>
      </c>
      <c r="E299" s="138" t="s">
        <v>87</v>
      </c>
      <c r="F299" s="159" t="s">
        <v>87</v>
      </c>
      <c r="G299" s="159">
        <v>1.1999999999999999E-3</v>
      </c>
      <c r="H299" s="159" t="s">
        <v>87</v>
      </c>
      <c r="I299" s="159">
        <v>2E-3</v>
      </c>
      <c r="J299" s="159" t="s">
        <v>87</v>
      </c>
      <c r="K299" s="159">
        <v>3.0000000000000001E-3</v>
      </c>
      <c r="L299" s="159">
        <v>4.0000000000000001E-3</v>
      </c>
      <c r="M299" s="159">
        <v>5.4999999999999997E-3</v>
      </c>
      <c r="N299" s="139">
        <f t="array" aca="1" ref="N299:AE299" ca="1">IF(OR(B299="",NOT($J$2)),"",GetStripDefaultProbability(A299,B299,Parameter_Date,CDSRollDate,E299:M299,SpreadCurveMaturities,D299,C299,$J$4,$J$6))</f>
        <v>0</v>
      </c>
      <c r="O299" s="166">
        <f ca="1"/>
        <v>0</v>
      </c>
      <c r="P299" s="166">
        <f ca="1"/>
        <v>2.1159148818730156E-3</v>
      </c>
      <c r="Q299" s="166">
        <f ca="1"/>
        <v>0</v>
      </c>
      <c r="R299" s="166">
        <f ca="1"/>
        <v>1.0343990164214278E-2</v>
      </c>
      <c r="S299" s="166">
        <f ca="1"/>
        <v>0</v>
      </c>
      <c r="T299" s="166">
        <f ca="1"/>
        <v>2.6053595227329862E-2</v>
      </c>
      <c r="U299" s="166">
        <f ca="1"/>
        <v>4.9049687667374275E-2</v>
      </c>
      <c r="V299" s="140">
        <f ca="1"/>
        <v>9.7686817791967306E-2</v>
      </c>
      <c r="W299" s="139">
        <f ca="1"/>
        <v>0</v>
      </c>
      <c r="X299" s="166">
        <f ca="1"/>
        <v>0</v>
      </c>
      <c r="Y299" s="166">
        <f ca="1"/>
        <v>2.2822150373292827E-3</v>
      </c>
      <c r="Z299" s="166">
        <f ca="1"/>
        <v>0</v>
      </c>
      <c r="AA299" s="166">
        <f ca="1"/>
        <v>1.085225749556773E-2</v>
      </c>
      <c r="AB299" s="166">
        <f ca="1"/>
        <v>0</v>
      </c>
      <c r="AC299" s="166">
        <f ca="1"/>
        <v>2.7339536987500579E-2</v>
      </c>
      <c r="AD299" s="166">
        <f ca="1"/>
        <v>5.1452124539602906E-2</v>
      </c>
      <c r="AE299" s="140">
        <f ca="1"/>
        <v>0.10240379879171868</v>
      </c>
      <c r="AI299" s="137">
        <v>2.0999999999999999E-3</v>
      </c>
      <c r="AK299" s="137">
        <v>1.0200000000000001E-2</v>
      </c>
      <c r="AM299" s="137">
        <v>2.5899999999999999E-2</v>
      </c>
      <c r="AN299" s="137">
        <v>4.87E-2</v>
      </c>
      <c r="AO299" s="137">
        <v>9.7000000000000003E-2</v>
      </c>
      <c r="AR299" s="137">
        <v>2.3E-3</v>
      </c>
      <c r="AT299" s="137">
        <v>1.0699999999999999E-2</v>
      </c>
      <c r="AV299" s="137">
        <v>2.7099999999999999E-2</v>
      </c>
      <c r="AW299" s="137">
        <v>5.11E-2</v>
      </c>
      <c r="AX299" s="137">
        <v>0.1017</v>
      </c>
    </row>
    <row r="300" spans="1:50" s="79" customFormat="1" ht="10.199999999999999" x14ac:dyDescent="0.2">
      <c r="A300" s="97">
        <f t="shared" ca="1" si="7"/>
        <v>289</v>
      </c>
      <c r="B300" s="68" t="s">
        <v>369</v>
      </c>
      <c r="C300" s="98">
        <v>0.4</v>
      </c>
      <c r="D300" s="69" t="s">
        <v>67</v>
      </c>
      <c r="E300" s="138" t="s">
        <v>87</v>
      </c>
      <c r="F300" s="159" t="s">
        <v>87</v>
      </c>
      <c r="G300" s="159">
        <v>4.8799999999999999E-4</v>
      </c>
      <c r="H300" s="159" t="s">
        <v>87</v>
      </c>
      <c r="I300" s="159">
        <v>1.9499999999999999E-3</v>
      </c>
      <c r="J300" s="159" t="s">
        <v>87</v>
      </c>
      <c r="K300" s="159">
        <v>2.65E-3</v>
      </c>
      <c r="L300" s="159">
        <v>3.5500000000000002E-3</v>
      </c>
      <c r="M300" s="159">
        <v>4.5500000000000002E-3</v>
      </c>
      <c r="N300" s="139">
        <f t="array" aca="1" ref="N300:AE300" ca="1">IF(OR(B300="",NOT($J$2)),"",GetStripDefaultProbability(A300,B300,Parameter_Date,CDSRollDate,E300:M300,SpreadCurveMaturities,D300,C300,$J$4,$J$6))</f>
        <v>0</v>
      </c>
      <c r="O300" s="166">
        <f ca="1"/>
        <v>0</v>
      </c>
      <c r="P300" s="166">
        <f ca="1"/>
        <v>8.6100878275441328E-4</v>
      </c>
      <c r="Q300" s="166">
        <f ca="1"/>
        <v>0</v>
      </c>
      <c r="R300" s="166">
        <f ca="1"/>
        <v>1.0234316764575313E-2</v>
      </c>
      <c r="S300" s="166">
        <f ca="1"/>
        <v>0</v>
      </c>
      <c r="T300" s="166">
        <f ca="1"/>
        <v>2.2968570135172173E-2</v>
      </c>
      <c r="U300" s="166">
        <f ca="1"/>
        <v>4.3667273186172806E-2</v>
      </c>
      <c r="V300" s="140">
        <f ca="1"/>
        <v>8.0162273691313457E-2</v>
      </c>
      <c r="W300" s="139">
        <f ca="1"/>
        <v>0</v>
      </c>
      <c r="X300" s="166">
        <f ca="1"/>
        <v>0</v>
      </c>
      <c r="Y300" s="166">
        <f ca="1"/>
        <v>1.0275180718086752E-3</v>
      </c>
      <c r="Z300" s="166">
        <f ca="1"/>
        <v>0</v>
      </c>
      <c r="AA300" s="166">
        <f ca="1"/>
        <v>1.074326029501016E-2</v>
      </c>
      <c r="AB300" s="166">
        <f ca="1"/>
        <v>0</v>
      </c>
      <c r="AC300" s="166">
        <f ca="1"/>
        <v>2.409721308217927E-2</v>
      </c>
      <c r="AD300" s="166">
        <f ca="1"/>
        <v>4.5801867927986684E-2</v>
      </c>
      <c r="AE300" s="140">
        <f ca="1"/>
        <v>8.4046683857940452E-2</v>
      </c>
      <c r="AI300" s="137">
        <v>8.0000000000000004E-4</v>
      </c>
      <c r="AK300" s="137">
        <v>1.01E-2</v>
      </c>
      <c r="AM300" s="137">
        <v>2.2800000000000001E-2</v>
      </c>
      <c r="AN300" s="137">
        <v>4.3299999999999998E-2</v>
      </c>
      <c r="AO300" s="137">
        <v>0.08</v>
      </c>
      <c r="AR300" s="137">
        <v>1E-3</v>
      </c>
      <c r="AT300" s="137">
        <v>1.06E-2</v>
      </c>
      <c r="AV300" s="137">
        <v>2.4E-2</v>
      </c>
      <c r="AW300" s="137">
        <v>4.5499999999999999E-2</v>
      </c>
      <c r="AX300" s="137">
        <v>8.3799999999999999E-2</v>
      </c>
    </row>
    <row r="301" spans="1:50" s="79" customFormat="1" ht="10.199999999999999" x14ac:dyDescent="0.2">
      <c r="A301" s="97">
        <f t="shared" ca="1" si="7"/>
        <v>290</v>
      </c>
      <c r="B301" s="68" t="s">
        <v>370</v>
      </c>
      <c r="C301" s="98">
        <v>0.4</v>
      </c>
      <c r="D301" s="69" t="s">
        <v>67</v>
      </c>
      <c r="E301" s="138" t="s">
        <v>87</v>
      </c>
      <c r="F301" s="159" t="s">
        <v>87</v>
      </c>
      <c r="G301" s="159">
        <v>7.2199999999999999E-4</v>
      </c>
      <c r="H301" s="159" t="s">
        <v>87</v>
      </c>
      <c r="I301" s="159">
        <v>1.7849999999999999E-3</v>
      </c>
      <c r="J301" s="159" t="s">
        <v>87</v>
      </c>
      <c r="K301" s="159">
        <v>2.5500000000000002E-3</v>
      </c>
      <c r="L301" s="159">
        <v>3.4719999999999998E-3</v>
      </c>
      <c r="M301" s="159">
        <v>4.3400000000000001E-3</v>
      </c>
      <c r="N301" s="139">
        <f t="array" aca="1" ref="N301:AE301" ca="1">IF(OR(B301="",NOT($J$2)),"",GetStripDefaultProbability(A301,B301,Parameter_Date,CDSRollDate,E301:M301,SpreadCurveMaturities,D301,C301,$J$4,$J$6))</f>
        <v>0</v>
      </c>
      <c r="O301" s="166">
        <f ca="1"/>
        <v>0</v>
      </c>
      <c r="P301" s="166">
        <f ca="1"/>
        <v>1.273608460742981E-3</v>
      </c>
      <c r="Q301" s="166">
        <f ca="1"/>
        <v>0</v>
      </c>
      <c r="R301" s="166">
        <f ca="1"/>
        <v>9.2991962083507351E-3</v>
      </c>
      <c r="S301" s="166">
        <f ca="1"/>
        <v>0</v>
      </c>
      <c r="T301" s="166">
        <f ca="1"/>
        <v>2.2136543440970269E-2</v>
      </c>
      <c r="U301" s="166">
        <f ca="1"/>
        <v>4.2787265123851448E-2</v>
      </c>
      <c r="V301" s="140">
        <f ca="1"/>
        <v>7.6348964784115791E-2</v>
      </c>
      <c r="W301" s="139">
        <f ca="1"/>
        <v>0</v>
      </c>
      <c r="X301" s="166">
        <f ca="1"/>
        <v>0</v>
      </c>
      <c r="Y301" s="166">
        <f ca="1"/>
        <v>1.4400489889150325E-3</v>
      </c>
      <c r="Z301" s="166">
        <f ca="1"/>
        <v>0</v>
      </c>
      <c r="AA301" s="166">
        <f ca="1"/>
        <v>9.8081464080227443E-3</v>
      </c>
      <c r="AB301" s="166">
        <f ca="1"/>
        <v>0</v>
      </c>
      <c r="AC301" s="166">
        <f ca="1"/>
        <v>2.3221290767682423E-2</v>
      </c>
      <c r="AD301" s="166">
        <f ca="1"/>
        <v>4.487805200565953E-2</v>
      </c>
      <c r="AE301" s="140">
        <f ca="1"/>
        <v>8.0043912806823214E-2</v>
      </c>
      <c r="AI301" s="137">
        <v>1.2999999999999999E-3</v>
      </c>
      <c r="AK301" s="137">
        <v>9.1999999999999998E-3</v>
      </c>
      <c r="AM301" s="137">
        <v>2.1999999999999999E-2</v>
      </c>
      <c r="AN301" s="137">
        <v>4.2500000000000003E-2</v>
      </c>
      <c r="AO301" s="137">
        <v>7.6200000000000004E-2</v>
      </c>
      <c r="AR301" s="137">
        <v>1.4E-3</v>
      </c>
      <c r="AT301" s="137">
        <v>9.7000000000000003E-3</v>
      </c>
      <c r="AV301" s="137">
        <v>2.3099999999999999E-2</v>
      </c>
      <c r="AW301" s="137">
        <v>4.4600000000000001E-2</v>
      </c>
      <c r="AX301" s="137">
        <v>7.9799999999999996E-2</v>
      </c>
    </row>
    <row r="302" spans="1:50" s="79" customFormat="1" ht="10.199999999999999" x14ac:dyDescent="0.2">
      <c r="A302" s="97">
        <f t="shared" ca="1" si="7"/>
        <v>291</v>
      </c>
      <c r="B302" s="68" t="s">
        <v>371</v>
      </c>
      <c r="C302" s="98">
        <v>0.4</v>
      </c>
      <c r="D302" s="69" t="s">
        <v>66</v>
      </c>
      <c r="E302" s="138" t="s">
        <v>87</v>
      </c>
      <c r="F302" s="159">
        <v>5.9999999999999995E-4</v>
      </c>
      <c r="G302" s="159">
        <v>5.9999999999999995E-4</v>
      </c>
      <c r="H302" s="159">
        <v>1.1999999999999999E-3</v>
      </c>
      <c r="I302" s="159">
        <v>1.8E-3</v>
      </c>
      <c r="J302" s="159" t="s">
        <v>87</v>
      </c>
      <c r="K302" s="159">
        <v>2.8999999999999998E-3</v>
      </c>
      <c r="L302" s="159">
        <v>3.5000000000000001E-3</v>
      </c>
      <c r="M302" s="159">
        <v>4.4999999999999997E-3</v>
      </c>
      <c r="N302" s="139">
        <f t="array" aca="1" ref="N302:AE302" ca="1">IF(OR(B302="",NOT($J$2)),"",GetStripDefaultProbability(A302,B302,Parameter_Date,CDSRollDate,E302:M302,SpreadCurveMaturities,D302,C302,$J$4,$J$6))</f>
        <v>0</v>
      </c>
      <c r="O302" s="166">
        <f ca="1"/>
        <v>5.5976970645477131E-4</v>
      </c>
      <c r="P302" s="166">
        <f ca="1"/>
        <v>1.0593624460729645E-3</v>
      </c>
      <c r="Q302" s="166">
        <f ca="1"/>
        <v>4.1839555376288473E-3</v>
      </c>
      <c r="R302" s="166">
        <f ca="1"/>
        <v>9.394973945657914E-3</v>
      </c>
      <c r="S302" s="166">
        <f ca="1"/>
        <v>0</v>
      </c>
      <c r="T302" s="166">
        <f ca="1"/>
        <v>2.5304657877691095E-2</v>
      </c>
      <c r="U302" s="166">
        <f ca="1"/>
        <v>4.2509702405943761E-2</v>
      </c>
      <c r="V302" s="140">
        <f ca="1"/>
        <v>7.8846577664054118E-2</v>
      </c>
      <c r="W302" s="139">
        <f ca="1"/>
        <v>0</v>
      </c>
      <c r="X302" s="166">
        <f ca="1"/>
        <v>6.5303351059242676E-4</v>
      </c>
      <c r="Y302" s="166">
        <f ca="1"/>
        <v>1.2356871236886002E-3</v>
      </c>
      <c r="Z302" s="166">
        <f ca="1"/>
        <v>4.5270152109377904E-3</v>
      </c>
      <c r="AA302" s="166">
        <f ca="1"/>
        <v>9.9030185679612748E-3</v>
      </c>
      <c r="AB302" s="166">
        <f ca="1"/>
        <v>0</v>
      </c>
      <c r="AC302" s="166">
        <f ca="1"/>
        <v>2.6542746243065407E-2</v>
      </c>
      <c r="AD302" s="166">
        <f ca="1"/>
        <v>4.4606121155278955E-2</v>
      </c>
      <c r="AE302" s="140">
        <f ca="1"/>
        <v>8.2654831501129178E-2</v>
      </c>
      <c r="AH302" s="137">
        <v>5.0000000000000001E-4</v>
      </c>
      <c r="AI302" s="137">
        <v>1E-3</v>
      </c>
      <c r="AJ302" s="137">
        <v>4.1000000000000003E-3</v>
      </c>
      <c r="AK302" s="137">
        <v>9.2999999999999992E-3</v>
      </c>
      <c r="AM302" s="137">
        <v>2.52E-2</v>
      </c>
      <c r="AN302" s="137">
        <v>4.24E-2</v>
      </c>
      <c r="AO302" s="137">
        <v>7.8399999999999997E-2</v>
      </c>
      <c r="AQ302" s="137">
        <v>5.9999999999999995E-4</v>
      </c>
      <c r="AR302" s="137">
        <v>1.1999999999999999E-3</v>
      </c>
      <c r="AS302" s="137">
        <v>4.4999999999999997E-3</v>
      </c>
      <c r="AT302" s="137">
        <v>9.7999999999999997E-3</v>
      </c>
      <c r="AV302" s="137">
        <v>2.64E-2</v>
      </c>
      <c r="AW302" s="137">
        <v>4.4499999999999998E-2</v>
      </c>
      <c r="AX302" s="137">
        <v>8.2100000000000006E-2</v>
      </c>
    </row>
    <row r="303" spans="1:50" s="79" customFormat="1" ht="10.199999999999999" x14ac:dyDescent="0.2">
      <c r="A303" s="97">
        <f t="shared" ca="1" si="7"/>
        <v>292</v>
      </c>
      <c r="B303" s="68" t="s">
        <v>372</v>
      </c>
      <c r="C303" s="98">
        <v>0.4</v>
      </c>
      <c r="D303" s="69" t="s">
        <v>67</v>
      </c>
      <c r="E303" s="138" t="s">
        <v>87</v>
      </c>
      <c r="F303" s="159" t="s">
        <v>87</v>
      </c>
      <c r="G303" s="159">
        <v>6.5200000000000002E-4</v>
      </c>
      <c r="H303" s="159" t="s">
        <v>87</v>
      </c>
      <c r="I303" s="159">
        <v>1.8649999999999999E-3</v>
      </c>
      <c r="J303" s="159" t="s">
        <v>87</v>
      </c>
      <c r="K303" s="159">
        <v>2.7000000000000001E-3</v>
      </c>
      <c r="L303" s="159">
        <v>3.3869999999999998E-3</v>
      </c>
      <c r="M303" s="159">
        <v>4.0249999999999999E-3</v>
      </c>
      <c r="N303" s="139">
        <f t="array" aca="1" ref="N303:AE303" ca="1">IF(OR(B303="",NOT($J$2)),"",GetStripDefaultProbability(A303,B303,Parameter_Date,CDSRollDate,E303:M303,SpreadCurveMaturities,D303,C303,$J$4,$J$6))</f>
        <v>0</v>
      </c>
      <c r="O303" s="166">
        <f ca="1"/>
        <v>0</v>
      </c>
      <c r="P303" s="166">
        <f ca="1"/>
        <v>1.1501989376376809E-3</v>
      </c>
      <c r="Q303" s="166">
        <f ca="1"/>
        <v>0</v>
      </c>
      <c r="R303" s="166">
        <f ca="1"/>
        <v>9.751736498520458E-3</v>
      </c>
      <c r="S303" s="166">
        <f ca="1"/>
        <v>0</v>
      </c>
      <c r="T303" s="166">
        <f ca="1"/>
        <v>2.3450754799038909E-2</v>
      </c>
      <c r="U303" s="166">
        <f ca="1"/>
        <v>4.1411606454467176E-2</v>
      </c>
      <c r="V303" s="140">
        <f ca="1"/>
        <v>7.0159517680057903E-2</v>
      </c>
      <c r="W303" s="139">
        <f ca="1"/>
        <v>0</v>
      </c>
      <c r="X303" s="166">
        <f ca="1"/>
        <v>0</v>
      </c>
      <c r="Y303" s="166">
        <f ca="1"/>
        <v>1.3166600323534228E-3</v>
      </c>
      <c r="Z303" s="166">
        <f ca="1"/>
        <v>0</v>
      </c>
      <c r="AA303" s="166">
        <f ca="1"/>
        <v>1.0260737759175687E-2</v>
      </c>
      <c r="AB303" s="166">
        <f ca="1"/>
        <v>0</v>
      </c>
      <c r="AC303" s="166">
        <f ca="1"/>
        <v>2.4603693269629634E-2</v>
      </c>
      <c r="AD303" s="166">
        <f ca="1"/>
        <v>4.3436202828335713E-2</v>
      </c>
      <c r="AE303" s="140">
        <f ca="1"/>
        <v>7.3560483731920812E-2</v>
      </c>
      <c r="AI303" s="137">
        <v>1.1000000000000001E-3</v>
      </c>
      <c r="AK303" s="137">
        <v>9.5999999999999992E-3</v>
      </c>
      <c r="AM303" s="137">
        <v>2.3300000000000001E-2</v>
      </c>
      <c r="AN303" s="137">
        <v>4.1200000000000001E-2</v>
      </c>
      <c r="AO303" s="137">
        <v>7.0000000000000007E-2</v>
      </c>
      <c r="AR303" s="137">
        <v>1.2999999999999999E-3</v>
      </c>
      <c r="AT303" s="137">
        <v>1.01E-2</v>
      </c>
      <c r="AV303" s="137">
        <v>2.4500000000000001E-2</v>
      </c>
      <c r="AW303" s="137">
        <v>4.3200000000000002E-2</v>
      </c>
      <c r="AX303" s="137">
        <v>7.3300000000000004E-2</v>
      </c>
    </row>
    <row r="304" spans="1:50" s="79" customFormat="1" ht="10.199999999999999" x14ac:dyDescent="0.2">
      <c r="A304" s="97">
        <f t="shared" ca="1" si="7"/>
        <v>293</v>
      </c>
      <c r="B304" s="68" t="s">
        <v>373</v>
      </c>
      <c r="C304" s="98">
        <v>0.4</v>
      </c>
      <c r="D304" s="69" t="s">
        <v>66</v>
      </c>
      <c r="E304" s="138" t="s">
        <v>87</v>
      </c>
      <c r="F304" s="159">
        <v>5.0000000000000001E-4</v>
      </c>
      <c r="G304" s="159">
        <v>5.0000000000000001E-4</v>
      </c>
      <c r="H304" s="159">
        <v>1E-3</v>
      </c>
      <c r="I304" s="159">
        <v>1.5E-3</v>
      </c>
      <c r="J304" s="159" t="s">
        <v>87</v>
      </c>
      <c r="K304" s="159">
        <v>2.5999999999999999E-3</v>
      </c>
      <c r="L304" s="159">
        <v>3.3E-3</v>
      </c>
      <c r="M304" s="159">
        <v>4.0000000000000001E-3</v>
      </c>
      <c r="N304" s="139">
        <f t="array" aca="1" ref="N304:AE304" ca="1">IF(OR(B304="",NOT($J$2)),"",GetStripDefaultProbability(A304,B304,Parameter_Date,CDSRollDate,E304:M304,SpreadCurveMaturities,D304,C304,$J$4,$J$6))</f>
        <v>0</v>
      </c>
      <c r="O304" s="166">
        <f ca="1"/>
        <v>4.6649647376628689E-4</v>
      </c>
      <c r="P304" s="166">
        <f ca="1"/>
        <v>8.8300526925400025E-4</v>
      </c>
      <c r="Q304" s="166">
        <f ca="1"/>
        <v>3.4877550054015494E-3</v>
      </c>
      <c r="R304" s="166">
        <f ca="1"/>
        <v>7.8332903420351707E-3</v>
      </c>
      <c r="S304" s="166">
        <f ca="1"/>
        <v>0</v>
      </c>
      <c r="T304" s="166">
        <f ca="1"/>
        <v>2.2781506667462148E-2</v>
      </c>
      <c r="U304" s="166">
        <f ca="1"/>
        <v>4.0388573643697967E-2</v>
      </c>
      <c r="V304" s="140">
        <f ca="1"/>
        <v>6.9854079016630988E-2</v>
      </c>
      <c r="W304" s="139">
        <f ca="1"/>
        <v>0</v>
      </c>
      <c r="X304" s="166">
        <f ca="1"/>
        <v>5.5976917815403482E-4</v>
      </c>
      <c r="Y304" s="166">
        <f ca="1"/>
        <v>1.0593614472252932E-3</v>
      </c>
      <c r="Z304" s="166">
        <f ca="1"/>
        <v>3.8310151491746103E-3</v>
      </c>
      <c r="AA304" s="166">
        <f ca="1"/>
        <v>8.3419981028860501E-3</v>
      </c>
      <c r="AB304" s="166">
        <f ca="1"/>
        <v>0</v>
      </c>
      <c r="AC304" s="166">
        <f ca="1"/>
        <v>2.3885755315338542E-2</v>
      </c>
      <c r="AD304" s="166">
        <f ca="1"/>
        <v>4.2354820393434967E-2</v>
      </c>
      <c r="AE304" s="140">
        <f ca="1"/>
        <v>7.3225315100402977E-2</v>
      </c>
      <c r="AH304" s="137">
        <v>5.0000000000000001E-4</v>
      </c>
      <c r="AI304" s="137">
        <v>8.9999999999999998E-4</v>
      </c>
      <c r="AJ304" s="137">
        <v>3.5000000000000001E-3</v>
      </c>
      <c r="AK304" s="137">
        <v>7.7999999999999996E-3</v>
      </c>
      <c r="AM304" s="137">
        <v>2.2599999999999999E-2</v>
      </c>
      <c r="AN304" s="137">
        <v>4.02E-2</v>
      </c>
      <c r="AO304" s="137">
        <v>6.9599999999999995E-2</v>
      </c>
      <c r="AQ304" s="137">
        <v>5.0000000000000001E-4</v>
      </c>
      <c r="AR304" s="137">
        <v>1E-3</v>
      </c>
      <c r="AS304" s="137">
        <v>3.8E-3</v>
      </c>
      <c r="AT304" s="137">
        <v>8.3000000000000001E-3</v>
      </c>
      <c r="AV304" s="137">
        <v>2.3699999999999999E-2</v>
      </c>
      <c r="AW304" s="137">
        <v>4.2200000000000001E-2</v>
      </c>
      <c r="AX304" s="137">
        <v>7.2900000000000006E-2</v>
      </c>
    </row>
    <row r="305" spans="1:50" s="79" customFormat="1" ht="10.199999999999999" x14ac:dyDescent="0.2">
      <c r="A305" s="97">
        <f t="shared" ca="1" si="7"/>
        <v>294</v>
      </c>
      <c r="B305" s="68" t="s">
        <v>150</v>
      </c>
      <c r="C305" s="98">
        <v>0.4</v>
      </c>
      <c r="D305" s="69" t="s">
        <v>66</v>
      </c>
      <c r="E305" s="138" t="s">
        <v>87</v>
      </c>
      <c r="F305" s="159">
        <v>4.0000000000000002E-4</v>
      </c>
      <c r="G305" s="159">
        <v>5.9999999999999995E-4</v>
      </c>
      <c r="H305" s="159">
        <v>1.1000000000000001E-3</v>
      </c>
      <c r="I305" s="159">
        <v>1.4E-3</v>
      </c>
      <c r="J305" s="159" t="s">
        <v>87</v>
      </c>
      <c r="K305" s="159">
        <v>2.3999999999999998E-3</v>
      </c>
      <c r="L305" s="159">
        <v>3.2000000000000002E-3</v>
      </c>
      <c r="M305" s="159">
        <v>4.1000000000000003E-3</v>
      </c>
      <c r="N305" s="139">
        <f t="array" aca="1" ref="N305:AE305" ca="1">IF(OR(B305="",NOT($J$2)),"",GetStripDefaultProbability(A305,B305,Parameter_Date,CDSRollDate,E305:M305,SpreadCurveMaturities,D305,C305,$J$4,$J$6))</f>
        <v>0</v>
      </c>
      <c r="O305" s="166">
        <f ca="1"/>
        <v>3.7321455535799242E-4</v>
      </c>
      <c r="P305" s="166">
        <f ca="1"/>
        <v>1.0636801068899526E-3</v>
      </c>
      <c r="Q305" s="166">
        <f ca="1"/>
        <v>3.8344122976305961E-3</v>
      </c>
      <c r="R305" s="166">
        <f ca="1"/>
        <v>7.2726079857546866E-3</v>
      </c>
      <c r="S305" s="166">
        <f ca="1"/>
        <v>0</v>
      </c>
      <c r="T305" s="166">
        <f ca="1"/>
        <v>2.1021749702825776E-2</v>
      </c>
      <c r="U305" s="166">
        <f ca="1"/>
        <v>3.9312840223044154E-2</v>
      </c>
      <c r="V305" s="140">
        <f ca="1"/>
        <v>7.222822461809042E-2</v>
      </c>
      <c r="W305" s="139">
        <f ca="1"/>
        <v>0</v>
      </c>
      <c r="X305" s="166">
        <f ca="1"/>
        <v>4.6649612398852458E-4</v>
      </c>
      <c r="Y305" s="166">
        <f ca="1"/>
        <v>1.2400050446508271E-3</v>
      </c>
      <c r="Z305" s="166">
        <f ca="1"/>
        <v>4.177560000519831E-3</v>
      </c>
      <c r="AA305" s="166">
        <f ca="1"/>
        <v>7.7814040795454176E-3</v>
      </c>
      <c r="AB305" s="166">
        <f ca="1"/>
        <v>0</v>
      </c>
      <c r="AC305" s="166">
        <f ca="1"/>
        <v>2.2037196175737739E-2</v>
      </c>
      <c r="AD305" s="166">
        <f ca="1"/>
        <v>4.1227109707438148E-2</v>
      </c>
      <c r="AE305" s="140">
        <f ca="1"/>
        <v>7.5711718719414289E-2</v>
      </c>
      <c r="AH305" s="137">
        <v>4.0000000000000002E-4</v>
      </c>
      <c r="AI305" s="137">
        <v>1E-3</v>
      </c>
      <c r="AJ305" s="137">
        <v>3.8E-3</v>
      </c>
      <c r="AK305" s="137">
        <v>7.1999999999999998E-3</v>
      </c>
      <c r="AM305" s="137">
        <v>2.0899999999999998E-2</v>
      </c>
      <c r="AN305" s="137">
        <v>3.9100000000000003E-2</v>
      </c>
      <c r="AO305" s="137">
        <v>7.1900000000000006E-2</v>
      </c>
      <c r="AQ305" s="137">
        <v>4.0000000000000002E-4</v>
      </c>
      <c r="AR305" s="137">
        <v>1.1999999999999999E-3</v>
      </c>
      <c r="AS305" s="137">
        <v>4.1000000000000003E-3</v>
      </c>
      <c r="AT305" s="137">
        <v>7.7000000000000002E-3</v>
      </c>
      <c r="AV305" s="137">
        <v>2.1899999999999999E-2</v>
      </c>
      <c r="AW305" s="137">
        <v>4.1000000000000002E-2</v>
      </c>
      <c r="AX305" s="137">
        <v>7.5300000000000006E-2</v>
      </c>
    </row>
    <row r="306" spans="1:50" s="79" customFormat="1" ht="10.199999999999999" x14ac:dyDescent="0.2">
      <c r="A306" s="97">
        <f t="shared" ca="1" si="7"/>
        <v>295</v>
      </c>
      <c r="B306" s="68" t="s">
        <v>374</v>
      </c>
      <c r="C306" s="98">
        <v>0.4</v>
      </c>
      <c r="D306" s="69" t="s">
        <v>67</v>
      </c>
      <c r="E306" s="138" t="s">
        <v>87</v>
      </c>
      <c r="F306" s="159" t="s">
        <v>87</v>
      </c>
      <c r="G306" s="159">
        <v>3.8699999999999997E-4</v>
      </c>
      <c r="H306" s="159" t="s">
        <v>87</v>
      </c>
      <c r="I306" s="159">
        <v>1.2999999999999999E-3</v>
      </c>
      <c r="J306" s="159" t="s">
        <v>87</v>
      </c>
      <c r="K306" s="159">
        <v>2E-3</v>
      </c>
      <c r="L306" s="159">
        <v>3.0999999999999999E-3</v>
      </c>
      <c r="M306" s="159">
        <v>3.5999999999999999E-3</v>
      </c>
      <c r="N306" s="139">
        <f t="array" aca="1" ref="N306:AE306" ca="1">IF(OR(B306="",NOT($J$2)),"",GetStripDefaultProbability(A306,B306,Parameter_Date,CDSRollDate,E306:M306,SpreadCurveMaturities,D306,C306,$J$4,$J$6))</f>
        <v>0</v>
      </c>
      <c r="O306" s="166">
        <f ca="1"/>
        <v>0</v>
      </c>
      <c r="P306" s="166">
        <f ca="1"/>
        <v>6.8286861697164358E-4</v>
      </c>
      <c r="Q306" s="166">
        <f ca="1"/>
        <v>0</v>
      </c>
      <c r="R306" s="166">
        <f ca="1"/>
        <v>6.8058986022158097E-3</v>
      </c>
      <c r="S306" s="166">
        <f ca="1"/>
        <v>0</v>
      </c>
      <c r="T306" s="166">
        <f ca="1"/>
        <v>1.748475357621504E-2</v>
      </c>
      <c r="U306" s="166">
        <f ca="1"/>
        <v>3.8813915198538051E-2</v>
      </c>
      <c r="V306" s="140">
        <f ca="1"/>
        <v>6.3110540522075764E-2</v>
      </c>
      <c r="W306" s="139">
        <f ca="1"/>
        <v>0</v>
      </c>
      <c r="X306" s="166">
        <f ca="1"/>
        <v>0</v>
      </c>
      <c r="Y306" s="166">
        <f ca="1"/>
        <v>8.4940759358020923E-4</v>
      </c>
      <c r="Z306" s="166">
        <f ca="1"/>
        <v>0</v>
      </c>
      <c r="AA306" s="166">
        <f ca="1"/>
        <v>7.316020493344455E-3</v>
      </c>
      <c r="AB306" s="166">
        <f ca="1"/>
        <v>0</v>
      </c>
      <c r="AC306" s="166">
        <f ca="1"/>
        <v>1.8320385386969229E-2</v>
      </c>
      <c r="AD306" s="166">
        <f ca="1"/>
        <v>4.070129157974689E-2</v>
      </c>
      <c r="AE306" s="140">
        <f ca="1"/>
        <v>6.615018350146773E-2</v>
      </c>
      <c r="AI306" s="137">
        <v>6.9999999999999999E-4</v>
      </c>
      <c r="AK306" s="137">
        <v>6.7000000000000002E-3</v>
      </c>
      <c r="AM306" s="137">
        <v>1.7399999999999999E-2</v>
      </c>
      <c r="AN306" s="137">
        <v>3.85E-2</v>
      </c>
      <c r="AO306" s="137">
        <v>6.3299999999999995E-2</v>
      </c>
      <c r="AR306" s="137">
        <v>8.0000000000000004E-4</v>
      </c>
      <c r="AT306" s="137">
        <v>7.1999999999999998E-3</v>
      </c>
      <c r="AV306" s="137">
        <v>1.8200000000000001E-2</v>
      </c>
      <c r="AW306" s="137">
        <v>4.0300000000000002E-2</v>
      </c>
      <c r="AX306" s="137">
        <v>6.6299999999999998E-2</v>
      </c>
    </row>
    <row r="307" spans="1:50" s="79" customFormat="1" ht="10.199999999999999" x14ac:dyDescent="0.2">
      <c r="A307" s="97">
        <f t="shared" ca="1" si="7"/>
        <v>296</v>
      </c>
      <c r="B307" s="68" t="s">
        <v>186</v>
      </c>
      <c r="C307" s="98">
        <v>0.4</v>
      </c>
      <c r="D307" s="69" t="s">
        <v>66</v>
      </c>
      <c r="E307" s="138" t="s">
        <v>87</v>
      </c>
      <c r="F307" s="159">
        <v>4.0000000000000002E-4</v>
      </c>
      <c r="G307" s="159">
        <v>8.9999999999999998E-4</v>
      </c>
      <c r="H307" s="159">
        <v>1.4E-3</v>
      </c>
      <c r="I307" s="159">
        <v>1.6999999999999999E-3</v>
      </c>
      <c r="J307" s="159" t="s">
        <v>87</v>
      </c>
      <c r="K307" s="159">
        <v>2.5000000000000001E-3</v>
      </c>
      <c r="L307" s="159">
        <v>2.8999999999999998E-3</v>
      </c>
      <c r="M307" s="159">
        <v>3.3999999999999998E-3</v>
      </c>
      <c r="N307" s="139">
        <f t="array" aca="1" ref="N307:AE307" ca="1">IF(OR(B307="",NOT($J$2)),"",GetStripDefaultProbability(A307,B307,Parameter_Date,CDSRollDate,E307:M307,SpreadCurveMaturities,D307,C307,$J$4,$J$6))</f>
        <v>0</v>
      </c>
      <c r="O307" s="166">
        <f ca="1"/>
        <v>3.7321455535799242E-4</v>
      </c>
      <c r="P307" s="166">
        <f ca="1"/>
        <v>1.6001863943641004E-3</v>
      </c>
      <c r="Q307" s="166">
        <f ca="1"/>
        <v>4.8623435854825425E-3</v>
      </c>
      <c r="R307" s="166">
        <f ca="1"/>
        <v>8.8050911969214107E-3</v>
      </c>
      <c r="S307" s="166">
        <f ca="1"/>
        <v>0</v>
      </c>
      <c r="T307" s="166">
        <f ca="1"/>
        <v>2.1694935871600096E-2</v>
      </c>
      <c r="U307" s="166">
        <f ca="1"/>
        <v>3.5055076349096326E-2</v>
      </c>
      <c r="V307" s="140">
        <f ca="1"/>
        <v>5.8916734754932198E-2</v>
      </c>
      <c r="W307" s="139">
        <f ca="1"/>
        <v>0</v>
      </c>
      <c r="X307" s="166">
        <f ca="1"/>
        <v>4.6649612398852458E-4</v>
      </c>
      <c r="Y307" s="166">
        <f ca="1"/>
        <v>1.7764454759706672E-3</v>
      </c>
      <c r="Z307" s="166">
        <f ca="1"/>
        <v>5.2051456895787496E-3</v>
      </c>
      <c r="AA307" s="166">
        <f ca="1"/>
        <v>9.3131244942004088E-3</v>
      </c>
      <c r="AB307" s="166">
        <f ca="1"/>
        <v>0</v>
      </c>
      <c r="AC307" s="166">
        <f ca="1"/>
        <v>2.2753908737287443E-2</v>
      </c>
      <c r="AD307" s="166">
        <f ca="1"/>
        <v>3.6767497334388444E-2</v>
      </c>
      <c r="AE307" s="140">
        <f ca="1"/>
        <v>6.1774120153705092E-2</v>
      </c>
      <c r="AH307" s="137">
        <v>4.0000000000000002E-4</v>
      </c>
      <c r="AI307" s="137">
        <v>1.6000000000000001E-3</v>
      </c>
      <c r="AJ307" s="137">
        <v>4.7999999999999996E-3</v>
      </c>
      <c r="AK307" s="137">
        <v>8.8000000000000005E-3</v>
      </c>
      <c r="AM307" s="137">
        <v>2.1600000000000001E-2</v>
      </c>
      <c r="AN307" s="137">
        <v>3.5000000000000003E-2</v>
      </c>
      <c r="AO307" s="137">
        <v>5.8599999999999999E-2</v>
      </c>
      <c r="AQ307" s="137">
        <v>4.0000000000000002E-4</v>
      </c>
      <c r="AR307" s="137">
        <v>1.6999999999999999E-3</v>
      </c>
      <c r="AS307" s="137">
        <v>5.1999999999999998E-3</v>
      </c>
      <c r="AT307" s="137">
        <v>9.2999999999999992E-3</v>
      </c>
      <c r="AV307" s="137">
        <v>2.2599999999999999E-2</v>
      </c>
      <c r="AW307" s="137">
        <v>3.6700000000000003E-2</v>
      </c>
      <c r="AX307" s="137">
        <v>6.1499999999999999E-2</v>
      </c>
    </row>
    <row r="308" spans="1:50" s="79" customFormat="1" ht="10.199999999999999" x14ac:dyDescent="0.2">
      <c r="A308" s="97">
        <f t="shared" ca="1" si="7"/>
        <v>297</v>
      </c>
      <c r="B308" s="68" t="s">
        <v>113</v>
      </c>
      <c r="C308" s="98">
        <v>0.4</v>
      </c>
      <c r="D308" s="69" t="s">
        <v>66</v>
      </c>
      <c r="E308" s="138" t="s">
        <v>87</v>
      </c>
      <c r="F308" s="159">
        <v>5.0000000000000001E-4</v>
      </c>
      <c r="G308" s="159">
        <v>6.9999999999999999E-4</v>
      </c>
      <c r="H308" s="159">
        <v>1.1000000000000001E-3</v>
      </c>
      <c r="I308" s="159">
        <v>1.6000000000000001E-3</v>
      </c>
      <c r="J308" s="159" t="s">
        <v>87</v>
      </c>
      <c r="K308" s="159">
        <v>2.3E-3</v>
      </c>
      <c r="L308" s="159">
        <v>2.8999999999999998E-3</v>
      </c>
      <c r="M308" s="159">
        <v>3.7000000000000002E-3</v>
      </c>
      <c r="N308" s="139">
        <f t="array" aca="1" ref="N308:AE308" ca="1">IF(OR(B308="",NOT($J$2)),"",GetStripDefaultProbability(A308,B308,Parameter_Date,CDSRollDate,E308:M308,SpreadCurveMaturities,D308,C308,$J$4,$J$6))</f>
        <v>0</v>
      </c>
      <c r="O308" s="166">
        <f ca="1"/>
        <v>4.6649647376628689E-4</v>
      </c>
      <c r="P308" s="166">
        <f ca="1"/>
        <v>1.2400051456493699E-3</v>
      </c>
      <c r="Q308" s="166">
        <f ca="1"/>
        <v>3.8238847578477841E-3</v>
      </c>
      <c r="R308" s="166">
        <f ca="1"/>
        <v>8.3380025796327972E-3</v>
      </c>
      <c r="S308" s="166">
        <f ca="1"/>
        <v>0</v>
      </c>
      <c r="T308" s="166">
        <f ca="1"/>
        <v>1.9951953039144321E-2</v>
      </c>
      <c r="U308" s="166">
        <f ca="1"/>
        <v>3.5381892744721366E-2</v>
      </c>
      <c r="V308" s="140">
        <f ca="1"/>
        <v>6.493755799044798E-2</v>
      </c>
      <c r="W308" s="139">
        <f ca="1"/>
        <v>0</v>
      </c>
      <c r="X308" s="166">
        <f ca="1"/>
        <v>5.5976917815403482E-4</v>
      </c>
      <c r="Y308" s="166">
        <f ca="1"/>
        <v>1.4162990558700406E-3</v>
      </c>
      <c r="Z308" s="166">
        <f ca="1"/>
        <v>4.1669967605939551E-3</v>
      </c>
      <c r="AA308" s="166">
        <f ca="1"/>
        <v>8.8464357686430795E-3</v>
      </c>
      <c r="AB308" s="166">
        <f ca="1"/>
        <v>0</v>
      </c>
      <c r="AC308" s="166">
        <f ca="1"/>
        <v>2.0922488878298395E-2</v>
      </c>
      <c r="AD308" s="166">
        <f ca="1"/>
        <v>3.7107050359950655E-2</v>
      </c>
      <c r="AE308" s="140">
        <f ca="1"/>
        <v>6.8082961734783232E-2</v>
      </c>
      <c r="AH308" s="137">
        <v>5.0000000000000001E-4</v>
      </c>
      <c r="AI308" s="137">
        <v>1.1999999999999999E-3</v>
      </c>
      <c r="AJ308" s="137">
        <v>3.8E-3</v>
      </c>
      <c r="AK308" s="137">
        <v>8.3000000000000001E-3</v>
      </c>
      <c r="AM308" s="137">
        <v>1.9900000000000001E-2</v>
      </c>
      <c r="AN308" s="137">
        <v>3.5200000000000002E-2</v>
      </c>
      <c r="AO308" s="137">
        <v>6.4699999999999994E-2</v>
      </c>
      <c r="AQ308" s="137">
        <v>5.0000000000000001E-4</v>
      </c>
      <c r="AR308" s="137">
        <v>1.4E-3</v>
      </c>
      <c r="AS308" s="137">
        <v>4.1000000000000003E-3</v>
      </c>
      <c r="AT308" s="137">
        <v>8.8000000000000005E-3</v>
      </c>
      <c r="AV308" s="137">
        <v>2.0799999999999999E-2</v>
      </c>
      <c r="AW308" s="137">
        <v>3.6999999999999998E-2</v>
      </c>
      <c r="AX308" s="137">
        <v>6.7799999999999999E-2</v>
      </c>
    </row>
    <row r="309" spans="1:50" s="79" customFormat="1" ht="10.199999999999999" x14ac:dyDescent="0.2">
      <c r="A309" s="97">
        <f t="shared" ca="1" si="7"/>
        <v>298</v>
      </c>
      <c r="B309" s="68" t="s">
        <v>375</v>
      </c>
      <c r="C309" s="98">
        <v>0.4</v>
      </c>
      <c r="D309" s="69" t="s">
        <v>66</v>
      </c>
      <c r="E309" s="138" t="s">
        <v>87</v>
      </c>
      <c r="F309" s="159">
        <v>4.0000000000000002E-4</v>
      </c>
      <c r="G309" s="159">
        <v>5.0000000000000001E-4</v>
      </c>
      <c r="H309" s="159">
        <v>8.9999999999999998E-4</v>
      </c>
      <c r="I309" s="159">
        <v>1.4E-3</v>
      </c>
      <c r="J309" s="159" t="s">
        <v>87</v>
      </c>
      <c r="K309" s="159">
        <v>2.0999999999999999E-3</v>
      </c>
      <c r="L309" s="159">
        <v>2.8E-3</v>
      </c>
      <c r="M309" s="159">
        <v>3.3999999999999998E-3</v>
      </c>
      <c r="N309" s="139">
        <f t="array" aca="1" ref="N309:AE309" ca="1">IF(OR(B309="",NOT($J$2)),"",GetStripDefaultProbability(A309,B309,Parameter_Date,CDSRollDate,E309:M309,SpreadCurveMaturities,D309,C309,$J$4,$J$6))</f>
        <v>0</v>
      </c>
      <c r="O309" s="166">
        <f ca="1"/>
        <v>3.7321455535799242E-4</v>
      </c>
      <c r="P309" s="166">
        <f ca="1"/>
        <v>8.8475582500824324E-4</v>
      </c>
      <c r="Q309" s="166">
        <f ca="1"/>
        <v>3.1363682502777435E-3</v>
      </c>
      <c r="R309" s="166">
        <f ca="1"/>
        <v>7.3185679462965947E-3</v>
      </c>
      <c r="S309" s="166">
        <f ca="1"/>
        <v>0</v>
      </c>
      <c r="T309" s="166">
        <f ca="1"/>
        <v>1.8287651865320775E-2</v>
      </c>
      <c r="U309" s="166">
        <f ca="1"/>
        <v>3.4403392408812516E-2</v>
      </c>
      <c r="V309" s="140">
        <f ca="1"/>
        <v>5.9490460380550947E-2</v>
      </c>
      <c r="W309" s="139">
        <f ca="1"/>
        <v>0</v>
      </c>
      <c r="X309" s="166">
        <f ca="1"/>
        <v>4.6649612398852458E-4</v>
      </c>
      <c r="Y309" s="166">
        <f ca="1"/>
        <v>1.0611027225110314E-3</v>
      </c>
      <c r="Z309" s="166">
        <f ca="1"/>
        <v>3.4797141240604512E-3</v>
      </c>
      <c r="AA309" s="166">
        <f ca="1"/>
        <v>7.827516472490581E-3</v>
      </c>
      <c r="AB309" s="166">
        <f ca="1"/>
        <v>0</v>
      </c>
      <c r="AC309" s="166">
        <f ca="1"/>
        <v>1.9168248597454585E-2</v>
      </c>
      <c r="AD309" s="166">
        <f ca="1"/>
        <v>3.6075533648623814E-2</v>
      </c>
      <c r="AE309" s="140">
        <f ca="1"/>
        <v>6.2365779382715925E-2</v>
      </c>
      <c r="AH309" s="137">
        <v>4.0000000000000002E-4</v>
      </c>
      <c r="AI309" s="137">
        <v>8.9999999999999998E-4</v>
      </c>
      <c r="AJ309" s="137">
        <v>3.0999999999999999E-3</v>
      </c>
      <c r="AK309" s="137">
        <v>7.3000000000000001E-3</v>
      </c>
      <c r="AM309" s="137">
        <v>1.8200000000000001E-2</v>
      </c>
      <c r="AN309" s="137">
        <v>3.4200000000000001E-2</v>
      </c>
      <c r="AO309" s="137">
        <v>5.9400000000000001E-2</v>
      </c>
      <c r="AQ309" s="137">
        <v>4.0000000000000002E-4</v>
      </c>
      <c r="AR309" s="137">
        <v>1E-3</v>
      </c>
      <c r="AS309" s="137">
        <v>3.3999999999999998E-3</v>
      </c>
      <c r="AT309" s="137">
        <v>7.7999999999999996E-3</v>
      </c>
      <c r="AV309" s="137">
        <v>1.9099999999999999E-2</v>
      </c>
      <c r="AW309" s="137">
        <v>3.5900000000000001E-2</v>
      </c>
      <c r="AX309" s="137">
        <v>6.2300000000000001E-2</v>
      </c>
    </row>
    <row r="310" spans="1:50" s="79" customFormat="1" ht="10.199999999999999" x14ac:dyDescent="0.2">
      <c r="A310" s="97">
        <f t="shared" ca="1" si="7"/>
        <v>299</v>
      </c>
      <c r="B310" s="68" t="s">
        <v>115</v>
      </c>
      <c r="C310" s="98">
        <v>0.4</v>
      </c>
      <c r="D310" s="69" t="s">
        <v>66</v>
      </c>
      <c r="E310" s="138" t="s">
        <v>87</v>
      </c>
      <c r="F310" s="159">
        <v>5.0000000000000001E-4</v>
      </c>
      <c r="G310" s="159">
        <v>5.9999999999999995E-4</v>
      </c>
      <c r="H310" s="159">
        <v>1.1999999999999999E-3</v>
      </c>
      <c r="I310" s="159">
        <v>1.6000000000000001E-3</v>
      </c>
      <c r="J310" s="159" t="s">
        <v>87</v>
      </c>
      <c r="K310" s="159">
        <v>2.3E-3</v>
      </c>
      <c r="L310" s="159">
        <v>2.7000000000000001E-3</v>
      </c>
      <c r="M310" s="159">
        <v>3.3E-3</v>
      </c>
      <c r="N310" s="139">
        <f t="array" aca="1" ref="N310:AE310" ca="1">IF(OR(B310="",NOT($J$2)),"",GetStripDefaultProbability(A310,B310,Parameter_Date,CDSRollDate,E310:M310,SpreadCurveMaturities,D310,C310,$J$4,$J$6))</f>
        <v>0</v>
      </c>
      <c r="O310" s="166">
        <f ca="1"/>
        <v>4.6649647376628689E-4</v>
      </c>
      <c r="P310" s="166">
        <f ca="1"/>
        <v>1.061102768032729E-3</v>
      </c>
      <c r="Q310" s="166">
        <f ca="1"/>
        <v>4.1864094532668705E-3</v>
      </c>
      <c r="R310" s="166">
        <f ca="1"/>
        <v>8.3231742373842676E-3</v>
      </c>
      <c r="S310" s="166">
        <f ca="1"/>
        <v>0</v>
      </c>
      <c r="T310" s="166">
        <f ca="1"/>
        <v>1.9977079775658768E-2</v>
      </c>
      <c r="U310" s="166">
        <f ca="1"/>
        <v>3.271650479946786E-2</v>
      </c>
      <c r="V310" s="140">
        <f ca="1"/>
        <v>5.7632299541862442E-2</v>
      </c>
      <c r="W310" s="139">
        <f ca="1"/>
        <v>0</v>
      </c>
      <c r="X310" s="166">
        <f ca="1"/>
        <v>5.5976917815403482E-4</v>
      </c>
      <c r="Y310" s="166">
        <f ca="1"/>
        <v>1.2374185751623523E-3</v>
      </c>
      <c r="Z310" s="166">
        <f ca="1"/>
        <v>4.5294720761455132E-3</v>
      </c>
      <c r="AA310" s="166">
        <f ca="1"/>
        <v>8.8315618908797466E-3</v>
      </c>
      <c r="AB310" s="166">
        <f ca="1"/>
        <v>0</v>
      </c>
      <c r="AC310" s="166">
        <f ca="1"/>
        <v>2.0946578472599842E-2</v>
      </c>
      <c r="AD310" s="166">
        <f ca="1"/>
        <v>3.4311520731565848E-2</v>
      </c>
      <c r="AE310" s="140">
        <f ca="1"/>
        <v>6.0424818096223243E-2</v>
      </c>
      <c r="AH310" s="137">
        <v>5.0000000000000001E-4</v>
      </c>
      <c r="AI310" s="137">
        <v>1E-3</v>
      </c>
      <c r="AJ310" s="137">
        <v>4.1000000000000003E-3</v>
      </c>
      <c r="AK310" s="137">
        <v>8.3000000000000001E-3</v>
      </c>
      <c r="AM310" s="137">
        <v>1.9900000000000001E-2</v>
      </c>
      <c r="AN310" s="137">
        <v>3.2599999999999997E-2</v>
      </c>
      <c r="AO310" s="137">
        <v>5.7299999999999997E-2</v>
      </c>
      <c r="AQ310" s="137">
        <v>5.0000000000000001E-4</v>
      </c>
      <c r="AR310" s="137">
        <v>1.1999999999999999E-3</v>
      </c>
      <c r="AS310" s="137">
        <v>4.4999999999999997E-3</v>
      </c>
      <c r="AT310" s="137">
        <v>8.8000000000000005E-3</v>
      </c>
      <c r="AV310" s="137">
        <v>2.0799999999999999E-2</v>
      </c>
      <c r="AW310" s="137">
        <v>3.4200000000000001E-2</v>
      </c>
      <c r="AX310" s="137">
        <v>6.0100000000000001E-2</v>
      </c>
    </row>
    <row r="311" spans="1:50" s="79" customFormat="1" ht="10.199999999999999" x14ac:dyDescent="0.2">
      <c r="A311" s="97">
        <f t="shared" ca="1" si="7"/>
        <v>300</v>
      </c>
      <c r="B311" s="68" t="s">
        <v>182</v>
      </c>
      <c r="C311" s="98">
        <v>0.4</v>
      </c>
      <c r="D311" s="69" t="s">
        <v>66</v>
      </c>
      <c r="E311" s="138" t="s">
        <v>87</v>
      </c>
      <c r="F311" s="159">
        <v>2.9999999999999997E-4</v>
      </c>
      <c r="G311" s="159">
        <v>5.0000000000000001E-4</v>
      </c>
      <c r="H311" s="159">
        <v>8.9999999999999998E-4</v>
      </c>
      <c r="I311" s="159">
        <v>1.2999999999999999E-3</v>
      </c>
      <c r="J311" s="159" t="s">
        <v>87</v>
      </c>
      <c r="K311" s="159">
        <v>2.0999999999999999E-3</v>
      </c>
      <c r="L311" s="159">
        <v>2.7000000000000001E-3</v>
      </c>
      <c r="M311" s="159">
        <v>3.3999999999999998E-3</v>
      </c>
      <c r="N311" s="139">
        <f t="array" aca="1" ref="N311:AE311" ca="1">IF(OR(B311="",NOT($J$2)),"",GetStripDefaultProbability(A311,B311,Parameter_Date,CDSRollDate,E311:M311,SpreadCurveMaturities,D311,C311,$J$4,$J$6))</f>
        <v>0</v>
      </c>
      <c r="O311" s="166">
        <f ca="1"/>
        <v>2.799239499720052E-4</v>
      </c>
      <c r="P311" s="166">
        <f ca="1"/>
        <v>8.8732386928147555E-4</v>
      </c>
      <c r="Q311" s="166">
        <f ca="1"/>
        <v>3.1373061207745634E-3</v>
      </c>
      <c r="R311" s="166">
        <f ca="1"/>
        <v>6.7836586396220477E-3</v>
      </c>
      <c r="S311" s="166">
        <f ca="1"/>
        <v>0</v>
      </c>
      <c r="T311" s="166">
        <f ca="1"/>
        <v>1.8359058957548413E-2</v>
      </c>
      <c r="U311" s="166">
        <f ca="1"/>
        <v>3.3114510506161987E-2</v>
      </c>
      <c r="V311" s="140">
        <f ca="1"/>
        <v>5.9865582392083838E-2</v>
      </c>
      <c r="W311" s="139">
        <f ca="1"/>
        <v>0</v>
      </c>
      <c r="X311" s="166">
        <f ca="1"/>
        <v>3.7321434723358582E-4</v>
      </c>
      <c r="Y311" s="166">
        <f ca="1"/>
        <v>1.063680113278509E-3</v>
      </c>
      <c r="Z311" s="166">
        <f ca="1"/>
        <v>3.4806545543656364E-3</v>
      </c>
      <c r="AA311" s="166">
        <f ca="1"/>
        <v>7.2927816517173172E-3</v>
      </c>
      <c r="AB311" s="166">
        <f ca="1"/>
        <v>0</v>
      </c>
      <c r="AC311" s="166">
        <f ca="1"/>
        <v>1.9239709913976277E-2</v>
      </c>
      <c r="AD311" s="166">
        <f ca="1"/>
        <v>3.4723513265621953E-2</v>
      </c>
      <c r="AE311" s="140">
        <f ca="1"/>
        <v>6.2757507147817915E-2</v>
      </c>
      <c r="AH311" s="137">
        <v>2.9999999999999997E-4</v>
      </c>
      <c r="AI311" s="137">
        <v>8.9999999999999998E-4</v>
      </c>
      <c r="AJ311" s="137">
        <v>3.0999999999999999E-3</v>
      </c>
      <c r="AK311" s="137">
        <v>6.7000000000000002E-3</v>
      </c>
      <c r="AM311" s="137">
        <v>1.83E-2</v>
      </c>
      <c r="AN311" s="137">
        <v>3.3000000000000002E-2</v>
      </c>
      <c r="AO311" s="137">
        <v>5.96E-2</v>
      </c>
      <c r="AQ311" s="137">
        <v>4.0000000000000002E-4</v>
      </c>
      <c r="AR311" s="137">
        <v>1E-3</v>
      </c>
      <c r="AS311" s="137">
        <v>3.3999999999999998E-3</v>
      </c>
      <c r="AT311" s="137">
        <v>7.1999999999999998E-3</v>
      </c>
      <c r="AV311" s="137">
        <v>1.9099999999999999E-2</v>
      </c>
      <c r="AW311" s="137">
        <v>3.4599999999999999E-2</v>
      </c>
      <c r="AX311" s="137">
        <v>6.25E-2</v>
      </c>
    </row>
    <row r="312" spans="1:50" s="79" customFormat="1" ht="10.199999999999999" x14ac:dyDescent="0.2">
      <c r="A312" s="97">
        <f t="shared" ca="1" si="7"/>
        <v>301</v>
      </c>
      <c r="B312" s="68" t="s">
        <v>376</v>
      </c>
      <c r="C312" s="98">
        <v>0.4</v>
      </c>
      <c r="D312" s="69" t="s">
        <v>67</v>
      </c>
      <c r="E312" s="138" t="s">
        <v>87</v>
      </c>
      <c r="F312" s="159">
        <v>9.5600000000000008E-3</v>
      </c>
      <c r="G312" s="159">
        <v>9.5600000000000008E-3</v>
      </c>
      <c r="H312" s="159">
        <v>9.2700000000000005E-3</v>
      </c>
      <c r="I312" s="159">
        <v>9.0799999999999995E-3</v>
      </c>
      <c r="J312" s="159" t="s">
        <v>87</v>
      </c>
      <c r="K312" s="159">
        <v>8.6E-3</v>
      </c>
      <c r="L312" s="159">
        <v>8.6E-3</v>
      </c>
      <c r="M312" s="159">
        <v>8.6E-3</v>
      </c>
      <c r="N312" s="139">
        <f t="array" aca="1" ref="N312:AE312" ca="1">IF(OR(B312="",NOT($J$2)),"",GetStripDefaultProbability(A312,B312,Parameter_Date,CDSRollDate,E312:M312,SpreadCurveMaturities,D312,C312,$J$4,$J$6))</f>
        <v>0</v>
      </c>
      <c r="O312" s="166">
        <f ca="1"/>
        <v>8.8820805426405025E-3</v>
      </c>
      <c r="P312" s="166">
        <f ca="1"/>
        <v>1.6735759914189519E-2</v>
      </c>
      <c r="Q312" s="166">
        <f ca="1"/>
        <v>3.1374870375800445E-2</v>
      </c>
      <c r="R312" s="166">
        <f ca="1"/>
        <v>4.5335000804744063E-2</v>
      </c>
      <c r="S312" s="166">
        <f ca="1"/>
        <v>0</v>
      </c>
      <c r="T312" s="166">
        <f ca="1"/>
        <v>6.9793474493592411E-2</v>
      </c>
      <c r="U312" s="166">
        <f ca="1"/>
        <v>9.6355687638194687E-2</v>
      </c>
      <c r="V312" s="140">
        <f ca="1"/>
        <v>0.13449297165884877</v>
      </c>
      <c r="W312" s="139">
        <f ca="1"/>
        <v>0</v>
      </c>
      <c r="X312" s="166">
        <f ca="1"/>
        <v>9.3238799254776739E-3</v>
      </c>
      <c r="Y312" s="166">
        <f ca="1"/>
        <v>1.7564691889952688E-2</v>
      </c>
      <c r="Z312" s="166">
        <f ca="1"/>
        <v>3.2916961589975036E-2</v>
      </c>
      <c r="AA312" s="166">
        <f ca="1"/>
        <v>4.7545639359535152E-2</v>
      </c>
      <c r="AB312" s="166">
        <f ca="1"/>
        <v>0</v>
      </c>
      <c r="AC312" s="166">
        <f ca="1"/>
        <v>7.3144983646383444E-2</v>
      </c>
      <c r="AD312" s="166">
        <f ca="1"/>
        <v>0.10091657910693375</v>
      </c>
      <c r="AE312" s="140">
        <f ca="1"/>
        <v>0.14071366505515814</v>
      </c>
      <c r="AH312" s="137">
        <v>8.6999999999999994E-3</v>
      </c>
      <c r="AI312" s="137">
        <v>1.6500000000000001E-2</v>
      </c>
      <c r="AJ312" s="137">
        <v>3.1199999999999999E-2</v>
      </c>
      <c r="AK312" s="137">
        <v>4.5100000000000001E-2</v>
      </c>
      <c r="AM312" s="137">
        <v>6.9699999999999998E-2</v>
      </c>
      <c r="AN312" s="137">
        <v>9.6100000000000005E-2</v>
      </c>
      <c r="AO312" s="137">
        <v>0.13450000000000001</v>
      </c>
      <c r="AQ312" s="137">
        <v>9.1000000000000004E-3</v>
      </c>
      <c r="AR312" s="137">
        <v>1.7299999999999999E-2</v>
      </c>
      <c r="AS312" s="137">
        <v>3.27E-2</v>
      </c>
      <c r="AT312" s="137">
        <v>4.7300000000000002E-2</v>
      </c>
      <c r="AV312" s="137">
        <v>7.2999999999999995E-2</v>
      </c>
      <c r="AW312" s="137">
        <v>0.1007</v>
      </c>
      <c r="AX312" s="137">
        <v>0.14069999999999999</v>
      </c>
    </row>
    <row r="313" spans="1:50" s="79" customFormat="1" ht="10.199999999999999" x14ac:dyDescent="0.2">
      <c r="A313" s="97">
        <f t="shared" ca="1" si="7"/>
        <v>302</v>
      </c>
      <c r="B313" s="68" t="s">
        <v>377</v>
      </c>
      <c r="C313" s="98">
        <v>0.2</v>
      </c>
      <c r="D313" s="69" t="s">
        <v>66</v>
      </c>
      <c r="E313" s="138" t="s">
        <v>87</v>
      </c>
      <c r="F313" s="159">
        <v>2.2499999999999998E-3</v>
      </c>
      <c r="G313" s="159">
        <v>3.0000000000000001E-3</v>
      </c>
      <c r="H313" s="159">
        <v>4.4999999999999997E-3</v>
      </c>
      <c r="I313" s="159">
        <v>5.5900000000000004E-3</v>
      </c>
      <c r="J313" s="159" t="s">
        <v>87</v>
      </c>
      <c r="K313" s="159">
        <v>7.4999999999999997E-3</v>
      </c>
      <c r="L313" s="159">
        <v>8.2000000000000007E-3</v>
      </c>
      <c r="M313" s="159">
        <v>8.8999999999999999E-3</v>
      </c>
      <c r="N313" s="139">
        <f t="array" aca="1" ref="N313:AE313" ca="1">IF(OR(B313="",NOT($J$2)),"",GetStripDefaultProbability(A313,B313,Parameter_Date,CDSRollDate,E313:M313,SpreadCurveMaturities,D313,C313,$J$4,$J$6))</f>
        <v>0</v>
      </c>
      <c r="O313" s="166">
        <f ca="1"/>
        <v>1.5735556069065293E-3</v>
      </c>
      <c r="P313" s="166">
        <f ca="1"/>
        <v>3.9786911912882417E-3</v>
      </c>
      <c r="Q313" s="166">
        <f ca="1"/>
        <v>1.1685079475469817E-2</v>
      </c>
      <c r="R313" s="166">
        <f ca="1"/>
        <v>2.160446997507337E-2</v>
      </c>
      <c r="S313" s="166">
        <f ca="1"/>
        <v>0</v>
      </c>
      <c r="T313" s="166">
        <f ca="1"/>
        <v>4.8058933740732002E-2</v>
      </c>
      <c r="U313" s="166">
        <f ca="1"/>
        <v>7.2486518231751229E-2</v>
      </c>
      <c r="V313" s="140">
        <f ca="1"/>
        <v>0.11089762899879552</v>
      </c>
      <c r="W313" s="139">
        <f ca="1"/>
        <v>0</v>
      </c>
      <c r="X313" s="166">
        <f ca="1"/>
        <v>1.6521630236442375E-3</v>
      </c>
      <c r="Y313" s="166">
        <f ca="1"/>
        <v>4.1772479016629616E-3</v>
      </c>
      <c r="Z313" s="166">
        <f ca="1"/>
        <v>1.2266521056495727E-2</v>
      </c>
      <c r="AA313" s="166">
        <f ca="1"/>
        <v>2.2675103675022457E-2</v>
      </c>
      <c r="AB313" s="166">
        <f ca="1"/>
        <v>0</v>
      </c>
      <c r="AC313" s="166">
        <f ca="1"/>
        <v>5.041522312383695E-2</v>
      </c>
      <c r="AD313" s="166">
        <f ca="1"/>
        <v>7.5995154384301711E-2</v>
      </c>
      <c r="AE313" s="140">
        <f ca="1"/>
        <v>0.11616157638873781</v>
      </c>
      <c r="AH313" s="137">
        <v>1.5E-3</v>
      </c>
      <c r="AI313" s="137">
        <v>3.8999999999999998E-3</v>
      </c>
      <c r="AJ313" s="137">
        <v>1.1599999999999999E-2</v>
      </c>
      <c r="AK313" s="137">
        <v>2.1499999999999998E-2</v>
      </c>
      <c r="AM313" s="137">
        <v>4.7800000000000002E-2</v>
      </c>
      <c r="AN313" s="137">
        <v>7.2300000000000003E-2</v>
      </c>
      <c r="AO313" s="137">
        <v>0.1105</v>
      </c>
      <c r="AQ313" s="137">
        <v>1.6000000000000001E-3</v>
      </c>
      <c r="AR313" s="137">
        <v>4.1000000000000003E-3</v>
      </c>
      <c r="AS313" s="137">
        <v>1.2200000000000001E-2</v>
      </c>
      <c r="AT313" s="137">
        <v>2.2499999999999999E-2</v>
      </c>
      <c r="AV313" s="137">
        <v>5.0200000000000002E-2</v>
      </c>
      <c r="AW313" s="137">
        <v>7.5800000000000006E-2</v>
      </c>
      <c r="AX313" s="137">
        <v>0.1157</v>
      </c>
    </row>
    <row r="314" spans="1:50" s="79" customFormat="1" ht="10.199999999999999" x14ac:dyDescent="0.2">
      <c r="A314" s="97">
        <f t="shared" ca="1" si="7"/>
        <v>303</v>
      </c>
      <c r="B314" s="68" t="s">
        <v>378</v>
      </c>
      <c r="C314" s="98">
        <v>0.4</v>
      </c>
      <c r="D314" s="69" t="s">
        <v>67</v>
      </c>
      <c r="E314" s="138" t="s">
        <v>87</v>
      </c>
      <c r="F314" s="159" t="s">
        <v>87</v>
      </c>
      <c r="G314" s="159">
        <v>2E-3</v>
      </c>
      <c r="H314" s="159" t="s">
        <v>87</v>
      </c>
      <c r="I314" s="159">
        <v>3.5000000000000001E-3</v>
      </c>
      <c r="J314" s="159" t="s">
        <v>87</v>
      </c>
      <c r="K314" s="159">
        <v>4.4999999999999997E-3</v>
      </c>
      <c r="L314" s="159">
        <v>5.4999999999999997E-3</v>
      </c>
      <c r="M314" s="159">
        <v>6.4999999999999997E-3</v>
      </c>
      <c r="N314" s="139">
        <f t="array" aca="1" ref="N314:AE314" ca="1">IF(OR(B314="",NOT($J$2)),"",GetStripDefaultProbability(A314,B314,Parameter_Date,CDSRollDate,E314:M314,SpreadCurveMaturities,D314,C314,$J$4,$J$6))</f>
        <v>0</v>
      </c>
      <c r="O314" s="166">
        <f ca="1"/>
        <v>0</v>
      </c>
      <c r="P314" s="166">
        <f ca="1"/>
        <v>3.5240564812459851E-3</v>
      </c>
      <c r="Q314" s="166">
        <f ca="1"/>
        <v>0</v>
      </c>
      <c r="R314" s="166">
        <f ca="1"/>
        <v>1.8084170810427347E-2</v>
      </c>
      <c r="S314" s="166">
        <f ca="1"/>
        <v>0</v>
      </c>
      <c r="T314" s="166">
        <f ca="1"/>
        <v>3.8493336197858219E-2</v>
      </c>
      <c r="U314" s="166">
        <f ca="1"/>
        <v>6.6066254785243084E-2</v>
      </c>
      <c r="V314" s="140">
        <f ca="1"/>
        <v>0.11079266592399717</v>
      </c>
      <c r="W314" s="139">
        <f ca="1"/>
        <v>0</v>
      </c>
      <c r="X314" s="166">
        <f ca="1"/>
        <v>0</v>
      </c>
      <c r="Y314" s="166">
        <f ca="1"/>
        <v>3.6901219660027129E-3</v>
      </c>
      <c r="Z314" s="166">
        <f ca="1"/>
        <v>0</v>
      </c>
      <c r="AA314" s="166">
        <f ca="1"/>
        <v>1.898301745162212E-2</v>
      </c>
      <c r="AB314" s="166">
        <f ca="1"/>
        <v>0</v>
      </c>
      <c r="AC314" s="166">
        <f ca="1"/>
        <v>4.0387864280272301E-2</v>
      </c>
      <c r="AD314" s="166">
        <f ca="1"/>
        <v>6.9283448492684307E-2</v>
      </c>
      <c r="AE314" s="140">
        <f ca="1"/>
        <v>0.11607907479690671</v>
      </c>
      <c r="AI314" s="137">
        <v>3.5000000000000001E-3</v>
      </c>
      <c r="AK314" s="137">
        <v>1.7899999999999999E-2</v>
      </c>
      <c r="AM314" s="137">
        <v>3.8300000000000001E-2</v>
      </c>
      <c r="AN314" s="137">
        <v>6.5699999999999995E-2</v>
      </c>
      <c r="AO314" s="137">
        <v>0.1105</v>
      </c>
      <c r="AR314" s="137">
        <v>3.5999999999999999E-3</v>
      </c>
      <c r="AT314" s="137">
        <v>1.8800000000000001E-2</v>
      </c>
      <c r="AV314" s="137">
        <v>4.0099999999999997E-2</v>
      </c>
      <c r="AW314" s="137">
        <v>6.8900000000000003E-2</v>
      </c>
      <c r="AX314" s="137">
        <v>0.1157</v>
      </c>
    </row>
    <row r="315" spans="1:50" s="79" customFormat="1" ht="10.199999999999999" x14ac:dyDescent="0.2">
      <c r="A315" s="97">
        <f t="shared" ca="1" si="7"/>
        <v>304</v>
      </c>
      <c r="B315" s="68" t="s">
        <v>379</v>
      </c>
      <c r="C315" s="98">
        <v>0.2</v>
      </c>
      <c r="D315" s="69" t="s">
        <v>67</v>
      </c>
      <c r="E315" s="138">
        <v>1.1999999999999999E-3</v>
      </c>
      <c r="F315" s="159">
        <v>1.1999999999999999E-3</v>
      </c>
      <c r="G315" s="159">
        <v>1.6000000000000001E-3</v>
      </c>
      <c r="H315" s="159">
        <v>2E-3</v>
      </c>
      <c r="I315" s="159">
        <v>2.8E-3</v>
      </c>
      <c r="J315" s="159">
        <v>3.3999999999999998E-3</v>
      </c>
      <c r="K315" s="159">
        <v>4.0000000000000001E-3</v>
      </c>
      <c r="L315" s="159">
        <v>5.4000000000000003E-3</v>
      </c>
      <c r="M315" s="159">
        <v>6.6E-3</v>
      </c>
      <c r="N315" s="139">
        <f t="array" aca="1" ref="N315:AE315" ca="1">IF(OR(B315="",NOT($J$2)),"",GetStripDefaultProbability(A315,B315,Parameter_Date,CDSRollDate,E315:M315,SpreadCurveMaturities,D315,C315,$J$4,$J$6))</f>
        <v>4.5932766153544691E-4</v>
      </c>
      <c r="O315" s="166">
        <f ca="1"/>
        <v>8.4012710428094106E-4</v>
      </c>
      <c r="P315" s="166">
        <f ca="1"/>
        <v>2.1237611456228489E-3</v>
      </c>
      <c r="Q315" s="166">
        <f ca="1"/>
        <v>5.1845324123718228E-3</v>
      </c>
      <c r="R315" s="166">
        <f ca="1"/>
        <v>1.0899499222425502E-2</v>
      </c>
      <c r="S315" s="166">
        <f ca="1"/>
        <v>1.7641858575747515E-2</v>
      </c>
      <c r="T315" s="166">
        <f ca="1"/>
        <v>2.6011463170121818E-2</v>
      </c>
      <c r="U315" s="166">
        <f ca="1"/>
        <v>4.9672984793636132E-2</v>
      </c>
      <c r="V315" s="140">
        <f ca="1"/>
        <v>8.6425803912119958E-2</v>
      </c>
      <c r="W315" s="139">
        <f ca="1"/>
        <v>4.975952146375473E-4</v>
      </c>
      <c r="X315" s="166">
        <f ca="1"/>
        <v>9.1008413622917228E-4</v>
      </c>
      <c r="Y315" s="166">
        <f ca="1"/>
        <v>2.2558754338745102E-3</v>
      </c>
      <c r="Z315" s="166">
        <f ca="1"/>
        <v>5.4414945177474472E-3</v>
      </c>
      <c r="AA315" s="166">
        <f ca="1"/>
        <v>1.1440354669348674E-2</v>
      </c>
      <c r="AB315" s="166">
        <f ca="1"/>
        <v>1.851581788866774E-2</v>
      </c>
      <c r="AC315" s="166">
        <f ca="1"/>
        <v>2.7297346410604439E-2</v>
      </c>
      <c r="AD315" s="166">
        <f ca="1"/>
        <v>5.2110398459891294E-2</v>
      </c>
      <c r="AE315" s="140">
        <f ca="1"/>
        <v>9.0602712210543945E-2</v>
      </c>
      <c r="AG315" s="137">
        <v>4.0000000000000002E-4</v>
      </c>
      <c r="AH315" s="137">
        <v>8.0000000000000004E-4</v>
      </c>
      <c r="AI315" s="137">
        <v>2.0999999999999999E-3</v>
      </c>
      <c r="AJ315" s="137">
        <v>5.1000000000000004E-3</v>
      </c>
      <c r="AK315" s="137">
        <v>1.0800000000000001E-2</v>
      </c>
      <c r="AL315" s="137">
        <v>1.7600000000000001E-2</v>
      </c>
      <c r="AM315" s="137">
        <v>2.5899999999999999E-2</v>
      </c>
      <c r="AN315" s="137">
        <v>4.9500000000000002E-2</v>
      </c>
      <c r="AO315" s="137">
        <v>8.6300000000000002E-2</v>
      </c>
      <c r="AP315" s="137">
        <v>5.0000000000000001E-4</v>
      </c>
      <c r="AQ315" s="137">
        <v>8.9999999999999998E-4</v>
      </c>
      <c r="AR315" s="137">
        <v>2.2000000000000001E-3</v>
      </c>
      <c r="AS315" s="137">
        <v>5.4000000000000003E-3</v>
      </c>
      <c r="AT315" s="137">
        <v>1.14E-2</v>
      </c>
      <c r="AU315" s="137">
        <v>1.84E-2</v>
      </c>
      <c r="AV315" s="137">
        <v>2.7199999999999998E-2</v>
      </c>
      <c r="AW315" s="137">
        <v>5.1900000000000002E-2</v>
      </c>
      <c r="AX315" s="137">
        <v>9.0399999999999994E-2</v>
      </c>
    </row>
    <row r="316" spans="1:50" s="79" customFormat="1" ht="10.199999999999999" x14ac:dyDescent="0.2">
      <c r="A316" s="97">
        <f t="shared" ca="1" si="7"/>
        <v>305</v>
      </c>
      <c r="B316" s="68" t="s">
        <v>380</v>
      </c>
      <c r="C316" s="98">
        <v>0.2</v>
      </c>
      <c r="D316" s="69" t="s">
        <v>66</v>
      </c>
      <c r="E316" s="138" t="s">
        <v>87</v>
      </c>
      <c r="F316" s="159">
        <v>1.3799999999999999E-3</v>
      </c>
      <c r="G316" s="159">
        <v>2.1199999999999999E-3</v>
      </c>
      <c r="H316" s="159">
        <v>3.1199999999999999E-3</v>
      </c>
      <c r="I316" s="159">
        <v>3.9199999999999999E-3</v>
      </c>
      <c r="J316" s="159" t="s">
        <v>87</v>
      </c>
      <c r="K316" s="159">
        <v>5.1000000000000004E-3</v>
      </c>
      <c r="L316" s="159">
        <v>5.8199999999999997E-3</v>
      </c>
      <c r="M316" s="159">
        <v>6.4999999999999997E-3</v>
      </c>
      <c r="N316" s="139">
        <f t="array" aca="1" ref="N316:AE316" ca="1">IF(OR(B316="",NOT($J$2)),"",GetStripDefaultProbability(A316,B316,Parameter_Date,CDSRollDate,E316:M316,SpreadCurveMaturities,D316,C316,$J$4,$J$6))</f>
        <v>0</v>
      </c>
      <c r="O316" s="166">
        <f ca="1"/>
        <v>9.6540722905158471E-4</v>
      </c>
      <c r="P316" s="166">
        <f ca="1"/>
        <v>2.8171439487690852E-3</v>
      </c>
      <c r="Q316" s="166">
        <f ca="1"/>
        <v>8.1087675617228516E-3</v>
      </c>
      <c r="R316" s="166">
        <f ca="1"/>
        <v>1.5196786523928418E-2</v>
      </c>
      <c r="S316" s="166">
        <f ca="1"/>
        <v>0</v>
      </c>
      <c r="T316" s="166">
        <f ca="1"/>
        <v>3.2800747928776741E-2</v>
      </c>
      <c r="U316" s="166">
        <f ca="1"/>
        <v>5.2131684750253315E-2</v>
      </c>
      <c r="V316" s="140">
        <f ca="1"/>
        <v>8.2536581231436923E-2</v>
      </c>
      <c r="W316" s="139">
        <f ca="1"/>
        <v>0</v>
      </c>
      <c r="X316" s="166">
        <f ca="1"/>
        <v>1.0353261057775009E-3</v>
      </c>
      <c r="Y316" s="166">
        <f ca="1"/>
        <v>2.9572205006485053E-3</v>
      </c>
      <c r="Z316" s="166">
        <f ca="1"/>
        <v>8.5130025064895642E-3</v>
      </c>
      <c r="AA316" s="166">
        <f ca="1"/>
        <v>1.5951476332309311E-2</v>
      </c>
      <c r="AB316" s="166">
        <f ca="1"/>
        <v>0</v>
      </c>
      <c r="AC316" s="166">
        <f ca="1"/>
        <v>3.4419402343219385E-2</v>
      </c>
      <c r="AD316" s="166">
        <f ca="1"/>
        <v>5.4680013836342356E-2</v>
      </c>
      <c r="AE316" s="140">
        <f ca="1"/>
        <v>8.6514685512532497E-2</v>
      </c>
      <c r="AH316" s="137">
        <v>8.9999999999999998E-4</v>
      </c>
      <c r="AI316" s="137">
        <v>2.8E-3</v>
      </c>
      <c r="AJ316" s="137">
        <v>8.0000000000000002E-3</v>
      </c>
      <c r="AK316" s="137">
        <v>1.5100000000000001E-2</v>
      </c>
      <c r="AM316" s="137">
        <v>3.27E-2</v>
      </c>
      <c r="AN316" s="137">
        <v>5.1999999999999998E-2</v>
      </c>
      <c r="AO316" s="137">
        <v>8.2299999999999998E-2</v>
      </c>
      <c r="AQ316" s="137">
        <v>1E-3</v>
      </c>
      <c r="AR316" s="137">
        <v>2.8999999999999998E-3</v>
      </c>
      <c r="AS316" s="137">
        <v>8.3999999999999995E-3</v>
      </c>
      <c r="AT316" s="137">
        <v>1.5900000000000001E-2</v>
      </c>
      <c r="AV316" s="137">
        <v>3.4299999999999997E-2</v>
      </c>
      <c r="AW316" s="137">
        <v>5.45E-2</v>
      </c>
      <c r="AX316" s="137">
        <v>8.6300000000000002E-2</v>
      </c>
    </row>
    <row r="317" spans="1:50" s="79" customFormat="1" ht="10.199999999999999" x14ac:dyDescent="0.2">
      <c r="A317" s="97">
        <f t="shared" ca="1" si="7"/>
        <v>306</v>
      </c>
      <c r="B317" s="68" t="s">
        <v>381</v>
      </c>
      <c r="C317" s="98">
        <v>0.2</v>
      </c>
      <c r="D317" s="69" t="s">
        <v>66</v>
      </c>
      <c r="E317" s="138" t="s">
        <v>87</v>
      </c>
      <c r="F317" s="159">
        <v>1.5100000000000001E-3</v>
      </c>
      <c r="G317" s="159">
        <v>2.1299999999999999E-3</v>
      </c>
      <c r="H317" s="159">
        <v>2.9499999999999999E-3</v>
      </c>
      <c r="I317" s="159">
        <v>3.6900000000000001E-3</v>
      </c>
      <c r="J317" s="159" t="s">
        <v>87</v>
      </c>
      <c r="K317" s="159">
        <v>5.0000000000000001E-3</v>
      </c>
      <c r="L317" s="159">
        <v>5.7000000000000002E-3</v>
      </c>
      <c r="M317" s="159">
        <v>6.3E-3</v>
      </c>
      <c r="N317" s="139">
        <f t="array" aca="1" ref="N317:AE317" ca="1">IF(OR(B317="",NOT($J$2)),"",GetStripDefaultProbability(A317,B317,Parameter_Date,CDSRollDate,E317:M317,SpreadCurveMaturities,D317,C317,$J$4,$J$6))</f>
        <v>0</v>
      </c>
      <c r="O317" s="166">
        <f ca="1"/>
        <v>1.0563034497733659E-3</v>
      </c>
      <c r="P317" s="166">
        <f ca="1"/>
        <v>2.8280490477666786E-3</v>
      </c>
      <c r="Q317" s="166">
        <f ca="1"/>
        <v>7.6580998746945683E-3</v>
      </c>
      <c r="R317" s="166">
        <f ca="1"/>
        <v>1.4297935754348678E-2</v>
      </c>
      <c r="S317" s="166">
        <f ca="1"/>
        <v>0</v>
      </c>
      <c r="T317" s="166">
        <f ca="1"/>
        <v>3.2237315676006961E-2</v>
      </c>
      <c r="U317" s="166">
        <f ca="1"/>
        <v>5.1112467973850606E-2</v>
      </c>
      <c r="V317" s="140">
        <f ca="1"/>
        <v>8.0003717458152601E-2</v>
      </c>
      <c r="W317" s="139">
        <f ca="1"/>
        <v>0</v>
      </c>
      <c r="X317" s="166">
        <f ca="1"/>
        <v>1.1262155798089646E-3</v>
      </c>
      <c r="Y317" s="166">
        <f ca="1"/>
        <v>2.9687882739884985E-3</v>
      </c>
      <c r="Z317" s="166">
        <f ca="1"/>
        <v>8.039824916561189E-3</v>
      </c>
      <c r="AA317" s="166">
        <f ca="1"/>
        <v>1.5008286076891753E-2</v>
      </c>
      <c r="AB317" s="166">
        <f ca="1"/>
        <v>0</v>
      </c>
      <c r="AC317" s="166">
        <f ca="1"/>
        <v>3.3828833823085103E-2</v>
      </c>
      <c r="AD317" s="166">
        <f ca="1"/>
        <v>5.3611934333915201E-2</v>
      </c>
      <c r="AE317" s="140">
        <f ca="1"/>
        <v>8.3862421819230648E-2</v>
      </c>
      <c r="AH317" s="137">
        <v>1E-3</v>
      </c>
      <c r="AI317" s="137">
        <v>2.8E-3</v>
      </c>
      <c r="AJ317" s="137">
        <v>7.6E-3</v>
      </c>
      <c r="AK317" s="137">
        <v>1.4200000000000001E-2</v>
      </c>
      <c r="AM317" s="137">
        <v>3.2099999999999997E-2</v>
      </c>
      <c r="AN317" s="137">
        <v>5.0999999999999997E-2</v>
      </c>
      <c r="AO317" s="137">
        <v>7.9799999999999996E-2</v>
      </c>
      <c r="AQ317" s="137">
        <v>1.1000000000000001E-3</v>
      </c>
      <c r="AR317" s="137">
        <v>2.8999999999999998E-3</v>
      </c>
      <c r="AS317" s="137">
        <v>8.0000000000000002E-3</v>
      </c>
      <c r="AT317" s="137">
        <v>1.49E-2</v>
      </c>
      <c r="AV317" s="137">
        <v>3.3700000000000001E-2</v>
      </c>
      <c r="AW317" s="137">
        <v>5.3499999999999999E-2</v>
      </c>
      <c r="AX317" s="137">
        <v>8.3599999999999994E-2</v>
      </c>
    </row>
    <row r="318" spans="1:50" s="79" customFormat="1" ht="10.199999999999999" x14ac:dyDescent="0.2">
      <c r="A318" s="97">
        <f t="shared" ca="1" si="7"/>
        <v>307</v>
      </c>
      <c r="B318" s="68" t="s">
        <v>382</v>
      </c>
      <c r="C318" s="98">
        <v>0.4</v>
      </c>
      <c r="D318" s="69" t="s">
        <v>67</v>
      </c>
      <c r="E318" s="138" t="s">
        <v>87</v>
      </c>
      <c r="F318" s="159" t="s">
        <v>87</v>
      </c>
      <c r="G318" s="159">
        <v>1.2329999999999999E-3</v>
      </c>
      <c r="H318" s="159" t="s">
        <v>87</v>
      </c>
      <c r="I318" s="159">
        <v>2.516E-3</v>
      </c>
      <c r="J318" s="159" t="s">
        <v>87</v>
      </c>
      <c r="K318" s="159">
        <v>3.65E-3</v>
      </c>
      <c r="L318" s="159">
        <v>3.7980000000000002E-3</v>
      </c>
      <c r="M318" s="159">
        <v>3.9950000000000003E-3</v>
      </c>
      <c r="N318" s="139">
        <f t="array" aca="1" ref="N318:AE318" ca="1">IF(OR(B318="",NOT($J$2)),"",GetStripDefaultProbability(A318,B318,Parameter_Date,CDSRollDate,E318:M318,SpreadCurveMaturities,D318,C318,$J$4,$J$6))</f>
        <v>0</v>
      </c>
      <c r="O318" s="166">
        <f ca="1"/>
        <v>0</v>
      </c>
      <c r="P318" s="166">
        <f ca="1"/>
        <v>2.1740397280021195E-3</v>
      </c>
      <c r="Q318" s="166">
        <f ca="1"/>
        <v>0</v>
      </c>
      <c r="R318" s="166">
        <f ca="1"/>
        <v>1.3067803042767667E-2</v>
      </c>
      <c r="S318" s="166">
        <f ca="1"/>
        <v>0</v>
      </c>
      <c r="T318" s="166">
        <f ca="1"/>
        <v>3.1589465887130741E-2</v>
      </c>
      <c r="U318" s="166">
        <f ca="1"/>
        <v>4.5218779946130883E-2</v>
      </c>
      <c r="V318" s="140">
        <f ca="1"/>
        <v>6.7455433376052754E-2</v>
      </c>
      <c r="W318" s="139">
        <f ca="1"/>
        <v>0</v>
      </c>
      <c r="X318" s="166">
        <f ca="1"/>
        <v>0</v>
      </c>
      <c r="Y318" s="166">
        <f ca="1"/>
        <v>2.3403301967919177E-3</v>
      </c>
      <c r="Z318" s="166">
        <f ca="1"/>
        <v>0</v>
      </c>
      <c r="AA318" s="166">
        <f ca="1"/>
        <v>1.3711128616802903E-2</v>
      </c>
      <c r="AB318" s="166">
        <f ca="1"/>
        <v>0</v>
      </c>
      <c r="AC318" s="166">
        <f ca="1"/>
        <v>3.3147400974963936E-2</v>
      </c>
      <c r="AD318" s="166">
        <f ca="1"/>
        <v>4.7427547954174476E-2</v>
      </c>
      <c r="AE318" s="140">
        <f ca="1"/>
        <v>7.0721936135886954E-2</v>
      </c>
      <c r="AI318" s="137">
        <v>2.0999999999999999E-3</v>
      </c>
      <c r="AK318" s="137">
        <v>1.29E-2</v>
      </c>
      <c r="AM318" s="137">
        <v>3.1399999999999997E-2</v>
      </c>
      <c r="AN318" s="137">
        <v>4.5100000000000001E-2</v>
      </c>
      <c r="AO318" s="137">
        <v>6.7100000000000007E-2</v>
      </c>
      <c r="AR318" s="137">
        <v>2.3E-3</v>
      </c>
      <c r="AT318" s="137">
        <v>1.35E-2</v>
      </c>
      <c r="AV318" s="137">
        <v>3.2899999999999999E-2</v>
      </c>
      <c r="AW318" s="137">
        <v>4.7300000000000002E-2</v>
      </c>
      <c r="AX318" s="137">
        <v>7.0300000000000001E-2</v>
      </c>
    </row>
    <row r="319" spans="1:50" s="79" customFormat="1" ht="10.199999999999999" x14ac:dyDescent="0.2">
      <c r="A319" s="97">
        <f t="shared" ca="1" si="7"/>
        <v>308</v>
      </c>
      <c r="B319" s="68" t="s">
        <v>383</v>
      </c>
      <c r="C319" s="98">
        <v>0.2</v>
      </c>
      <c r="D319" s="69" t="s">
        <v>67</v>
      </c>
      <c r="E319" s="138" t="s">
        <v>87</v>
      </c>
      <c r="F319" s="159">
        <v>1.6000000000000001E-3</v>
      </c>
      <c r="G319" s="159">
        <v>1.9E-3</v>
      </c>
      <c r="H319" s="159">
        <v>2.5000000000000001E-3</v>
      </c>
      <c r="I319" s="159">
        <v>3.0000000000000001E-3</v>
      </c>
      <c r="J319" s="159" t="s">
        <v>87</v>
      </c>
      <c r="K319" s="159">
        <v>3.7000000000000002E-3</v>
      </c>
      <c r="L319" s="159">
        <v>3.8999999999999998E-3</v>
      </c>
      <c r="M319" s="159">
        <v>4.0000000000000001E-3</v>
      </c>
      <c r="N319" s="139">
        <f t="array" aca="1" ref="N319:AE319" ca="1">IF(OR(B319="",NOT($J$2)),"",GetStripDefaultProbability(A319,B319,Parameter_Date,CDSRollDate,E319:M319,SpreadCurveMaturities,D319,C319,$J$4,$J$6))</f>
        <v>0</v>
      </c>
      <c r="O319" s="166">
        <f ca="1"/>
        <v>1.1192437531143407E-3</v>
      </c>
      <c r="P319" s="166">
        <f ca="1"/>
        <v>2.5181094493249567E-3</v>
      </c>
      <c r="Q319" s="166">
        <f ca="1"/>
        <v>6.4853623669589577E-3</v>
      </c>
      <c r="R319" s="166">
        <f ca="1"/>
        <v>1.160788726276063E-2</v>
      </c>
      <c r="S319" s="166">
        <f ca="1"/>
        <v>0</v>
      </c>
      <c r="T319" s="166">
        <f ca="1"/>
        <v>2.3793769367179696E-2</v>
      </c>
      <c r="U319" s="166">
        <f ca="1"/>
        <v>3.4782291187364645E-2</v>
      </c>
      <c r="V319" s="140">
        <f ca="1"/>
        <v>5.0424627801422206E-2</v>
      </c>
      <c r="W319" s="139">
        <f ca="1"/>
        <v>0</v>
      </c>
      <c r="X319" s="166">
        <f ca="1"/>
        <v>1.1891522559763779E-3</v>
      </c>
      <c r="Y319" s="166">
        <f ca="1"/>
        <v>2.650167040500917E-3</v>
      </c>
      <c r="Z319" s="166">
        <f ca="1"/>
        <v>6.8082328256807711E-3</v>
      </c>
      <c r="AA319" s="166">
        <f ca="1"/>
        <v>1.2184826433438101E-2</v>
      </c>
      <c r="AB319" s="166">
        <f ca="1"/>
        <v>0</v>
      </c>
      <c r="AC319" s="166">
        <f ca="1"/>
        <v>2.4970883861458404E-2</v>
      </c>
      <c r="AD319" s="166">
        <f ca="1"/>
        <v>3.6492636356451835E-2</v>
      </c>
      <c r="AE319" s="140">
        <f ca="1"/>
        <v>5.2902789838533137E-2</v>
      </c>
      <c r="AH319" s="137">
        <v>1.1000000000000001E-3</v>
      </c>
      <c r="AI319" s="137">
        <v>2.5000000000000001E-3</v>
      </c>
      <c r="AJ319" s="137">
        <v>6.4000000000000003E-3</v>
      </c>
      <c r="AK319" s="137">
        <v>1.15E-2</v>
      </c>
      <c r="AM319" s="137">
        <v>2.3699999999999999E-2</v>
      </c>
      <c r="AN319" s="137">
        <v>3.4700000000000002E-2</v>
      </c>
      <c r="AO319" s="137">
        <v>5.0299999999999997E-2</v>
      </c>
      <c r="AQ319" s="137">
        <v>1.1999999999999999E-3</v>
      </c>
      <c r="AR319" s="137">
        <v>2.5999999999999999E-3</v>
      </c>
      <c r="AS319" s="137">
        <v>6.7000000000000002E-3</v>
      </c>
      <c r="AT319" s="137">
        <v>1.21E-2</v>
      </c>
      <c r="AV319" s="137">
        <v>2.4899999999999999E-2</v>
      </c>
      <c r="AW319" s="137">
        <v>3.6400000000000002E-2</v>
      </c>
      <c r="AX319" s="137">
        <v>5.28E-2</v>
      </c>
    </row>
    <row r="320" spans="1:50" s="79" customFormat="1" ht="10.199999999999999" x14ac:dyDescent="0.2">
      <c r="A320" s="97">
        <f t="shared" ca="1" si="7"/>
        <v>309</v>
      </c>
      <c r="B320" s="68" t="s">
        <v>384</v>
      </c>
      <c r="C320" s="98">
        <v>0.4</v>
      </c>
      <c r="D320" s="69" t="s">
        <v>67</v>
      </c>
      <c r="E320" s="138" t="s">
        <v>87</v>
      </c>
      <c r="F320" s="159" t="s">
        <v>87</v>
      </c>
      <c r="G320" s="159" t="s">
        <v>87</v>
      </c>
      <c r="H320" s="159" t="s">
        <v>87</v>
      </c>
      <c r="I320" s="159" t="s">
        <v>87</v>
      </c>
      <c r="J320" s="159" t="s">
        <v>87</v>
      </c>
      <c r="K320" s="159">
        <v>2E-3</v>
      </c>
      <c r="L320" s="159">
        <v>3.6129999999999999E-3</v>
      </c>
      <c r="M320" s="159">
        <v>4.9030000000000002E-3</v>
      </c>
      <c r="N320" s="139">
        <f t="array" aca="1" ref="N320:AE320" ca="1">IF(OR(B320="",NOT($J$2)),"",GetStripDefaultProbability(A320,B320,Parameter_Date,CDSRollDate,E320:M320,SpreadCurveMaturities,D320,C320,$J$4,$J$6))</f>
        <v>0</v>
      </c>
      <c r="O320" s="166">
        <f ca="1"/>
        <v>0</v>
      </c>
      <c r="P320" s="166">
        <f ca="1"/>
        <v>0</v>
      </c>
      <c r="Q320" s="166">
        <f ca="1"/>
        <v>0</v>
      </c>
      <c r="R320" s="166">
        <f ca="1"/>
        <v>0</v>
      </c>
      <c r="S320" s="166">
        <f ca="1"/>
        <v>0</v>
      </c>
      <c r="T320" s="166">
        <f ca="1"/>
        <v>1.6822760861582076E-2</v>
      </c>
      <c r="U320" s="166">
        <f ca="1"/>
        <v>4.5083563786649683E-2</v>
      </c>
      <c r="V320" s="140">
        <f ca="1"/>
        <v>8.7024982187880129E-2</v>
      </c>
      <c r="W320" s="139">
        <f ca="1"/>
        <v>0</v>
      </c>
      <c r="X320" s="166">
        <f ca="1"/>
        <v>0</v>
      </c>
      <c r="Y320" s="166">
        <f ca="1"/>
        <v>0</v>
      </c>
      <c r="Z320" s="166">
        <f ca="1"/>
        <v>0</v>
      </c>
      <c r="AA320" s="166">
        <f ca="1"/>
        <v>0</v>
      </c>
      <c r="AB320" s="166">
        <f ca="1"/>
        <v>0</v>
      </c>
      <c r="AC320" s="166">
        <f ca="1"/>
        <v>1.7641733941279658E-2</v>
      </c>
      <c r="AD320" s="166">
        <f ca="1"/>
        <v>4.7309025755716272E-2</v>
      </c>
      <c r="AE320" s="140">
        <f ca="1"/>
        <v>9.1245415529183749E-2</v>
      </c>
      <c r="AM320" s="137">
        <v>1.6799999999999999E-2</v>
      </c>
      <c r="AN320" s="137">
        <v>4.4600000000000001E-2</v>
      </c>
      <c r="AO320" s="137">
        <v>8.72E-2</v>
      </c>
      <c r="AV320" s="137">
        <v>1.7600000000000001E-2</v>
      </c>
      <c r="AW320" s="137">
        <v>4.6800000000000001E-2</v>
      </c>
      <c r="AX320" s="137">
        <v>9.1399999999999995E-2</v>
      </c>
    </row>
    <row r="321" spans="1:50" s="79" customFormat="1" ht="10.199999999999999" x14ac:dyDescent="0.2">
      <c r="A321" s="97">
        <f t="shared" ca="1" si="7"/>
        <v>310</v>
      </c>
      <c r="B321" s="68" t="s">
        <v>98</v>
      </c>
      <c r="C321" s="98">
        <v>0.4</v>
      </c>
      <c r="D321" s="69" t="s">
        <v>66</v>
      </c>
      <c r="E321" s="138" t="s">
        <v>87</v>
      </c>
      <c r="F321" s="159">
        <v>1.1900000000000001E-3</v>
      </c>
      <c r="G321" s="159">
        <v>1.4300000000000001E-3</v>
      </c>
      <c r="H321" s="159">
        <v>1.91E-3</v>
      </c>
      <c r="I321" s="159">
        <v>2.32E-3</v>
      </c>
      <c r="J321" s="159" t="s">
        <v>87</v>
      </c>
      <c r="K321" s="159">
        <v>3.0999999999999999E-3</v>
      </c>
      <c r="L321" s="159">
        <v>3.5100000000000001E-3</v>
      </c>
      <c r="M321" s="159">
        <v>3.8999999999999998E-3</v>
      </c>
      <c r="N321" s="139">
        <f t="array" aca="1" ref="N321:AE321" ca="1">IF(OR(B321="",NOT($J$2)),"",GetStripDefaultProbability(A321,B321,Parameter_Date,CDSRollDate,E321:M321,SpreadCurveMaturities,D321,C321,$J$4,$J$6))</f>
        <v>0</v>
      </c>
      <c r="O321" s="166">
        <f ca="1"/>
        <v>1.1099050460458004E-3</v>
      </c>
      <c r="P321" s="166">
        <f ca="1"/>
        <v>2.5272871553615461E-3</v>
      </c>
      <c r="Q321" s="166">
        <f ca="1"/>
        <v>6.6086154287712251E-3</v>
      </c>
      <c r="R321" s="166">
        <f ca="1"/>
        <v>1.1974979020622389E-2</v>
      </c>
      <c r="S321" s="166">
        <f ca="1"/>
        <v>0</v>
      </c>
      <c r="T321" s="166">
        <f ca="1"/>
        <v>2.667537325898528E-2</v>
      </c>
      <c r="U321" s="166">
        <f ca="1"/>
        <v>4.204659754580542E-2</v>
      </c>
      <c r="V321" s="140">
        <f ca="1"/>
        <v>6.6431999220119442E-2</v>
      </c>
      <c r="W321" s="139">
        <f ca="1"/>
        <v>0</v>
      </c>
      <c r="X321" s="166">
        <f ca="1"/>
        <v>1.2031155852008091E-3</v>
      </c>
      <c r="Y321" s="166">
        <f ca="1"/>
        <v>2.7033573460991667E-3</v>
      </c>
      <c r="Z321" s="166">
        <f ca="1"/>
        <v>6.9508008781840047E-3</v>
      </c>
      <c r="AA321" s="166">
        <f ca="1"/>
        <v>1.2567109334923221E-2</v>
      </c>
      <c r="AB321" s="166">
        <f ca="1"/>
        <v>0</v>
      </c>
      <c r="AC321" s="166">
        <f ca="1"/>
        <v>2.7990755571815407E-2</v>
      </c>
      <c r="AD321" s="166">
        <f ca="1"/>
        <v>4.4107239070578563E-2</v>
      </c>
      <c r="AE321" s="140">
        <f ca="1"/>
        <v>6.9677239894715526E-2</v>
      </c>
      <c r="AH321" s="137">
        <v>1.1000000000000001E-3</v>
      </c>
      <c r="AI321" s="137">
        <v>2.5000000000000001E-3</v>
      </c>
      <c r="AJ321" s="137">
        <v>6.6E-3</v>
      </c>
      <c r="AK321" s="137">
        <v>1.1900000000000001E-2</v>
      </c>
      <c r="AM321" s="137">
        <v>2.6499999999999999E-2</v>
      </c>
      <c r="AN321" s="137">
        <v>4.19E-2</v>
      </c>
      <c r="AO321" s="137">
        <v>6.6199999999999995E-2</v>
      </c>
      <c r="AQ321" s="137">
        <v>1.1999999999999999E-3</v>
      </c>
      <c r="AR321" s="137">
        <v>2.7000000000000001E-3</v>
      </c>
      <c r="AS321" s="137">
        <v>6.8999999999999999E-3</v>
      </c>
      <c r="AT321" s="137">
        <v>1.2500000000000001E-2</v>
      </c>
      <c r="AV321" s="137">
        <v>2.7900000000000001E-2</v>
      </c>
      <c r="AW321" s="137">
        <v>4.3999999999999997E-2</v>
      </c>
      <c r="AX321" s="137">
        <v>6.9400000000000003E-2</v>
      </c>
    </row>
    <row r="322" spans="1:50" s="79" customFormat="1" ht="10.199999999999999" x14ac:dyDescent="0.2">
      <c r="A322" s="97">
        <f t="shared" ca="1" si="7"/>
        <v>311</v>
      </c>
      <c r="B322" s="68" t="s">
        <v>107</v>
      </c>
      <c r="C322" s="98">
        <v>0.4</v>
      </c>
      <c r="D322" s="69" t="s">
        <v>66</v>
      </c>
      <c r="E322" s="138" t="s">
        <v>87</v>
      </c>
      <c r="F322" s="159">
        <v>5.0000000000000001E-4</v>
      </c>
      <c r="G322" s="159">
        <v>8.0000000000000004E-4</v>
      </c>
      <c r="H322" s="159">
        <v>1.1999999999999999E-3</v>
      </c>
      <c r="I322" s="159">
        <v>1.6000000000000001E-3</v>
      </c>
      <c r="J322" s="159" t="s">
        <v>87</v>
      </c>
      <c r="K322" s="159">
        <v>2.5999999999999999E-3</v>
      </c>
      <c r="L322" s="159">
        <v>3.2000000000000002E-3</v>
      </c>
      <c r="M322" s="159">
        <v>3.5999999999999999E-3</v>
      </c>
      <c r="N322" s="139">
        <f t="array" aca="1" ref="N322:AE322" ca="1">IF(OR(B322="",NOT($J$2)),"",GetStripDefaultProbability(A322,B322,Parameter_Date,CDSRollDate,E322:M322,SpreadCurveMaturities,D322,C322,$J$4,$J$6))</f>
        <v>0</v>
      </c>
      <c r="O322" s="166">
        <f ca="1"/>
        <v>4.6649647376628689E-4</v>
      </c>
      <c r="P322" s="166">
        <f ca="1"/>
        <v>1.4188630915119571E-3</v>
      </c>
      <c r="Q322" s="166">
        <f ca="1"/>
        <v>4.1671125736078007E-3</v>
      </c>
      <c r="R322" s="166">
        <f ca="1"/>
        <v>8.3121043317330168E-3</v>
      </c>
      <c r="S322" s="166">
        <f ca="1"/>
        <v>0</v>
      </c>
      <c r="T322" s="166">
        <f ca="1"/>
        <v>2.2680234123736986E-2</v>
      </c>
      <c r="U322" s="166">
        <f ca="1"/>
        <v>3.8956251472148984E-2</v>
      </c>
      <c r="V322" s="140">
        <f ca="1"/>
        <v>6.2102507758236447E-2</v>
      </c>
      <c r="W322" s="139">
        <f ca="1"/>
        <v>0</v>
      </c>
      <c r="X322" s="166">
        <f ca="1"/>
        <v>5.5976917815403482E-4</v>
      </c>
      <c r="Y322" s="166">
        <f ca="1"/>
        <v>1.5951351085543575E-3</v>
      </c>
      <c r="Z322" s="166">
        <f ca="1"/>
        <v>4.5101090641661568E-3</v>
      </c>
      <c r="AA322" s="166">
        <f ca="1"/>
        <v>8.8204513610048441E-3</v>
      </c>
      <c r="AB322" s="166">
        <f ca="1"/>
        <v>0</v>
      </c>
      <c r="AC322" s="166">
        <f ca="1"/>
        <v>2.3784694700122344E-2</v>
      </c>
      <c r="AD322" s="166">
        <f ca="1"/>
        <v>4.0855573462661443E-2</v>
      </c>
      <c r="AE322" s="140">
        <f ca="1"/>
        <v>6.5106958599421394E-2</v>
      </c>
      <c r="AH322" s="137">
        <v>5.0000000000000001E-4</v>
      </c>
      <c r="AI322" s="137">
        <v>1.4E-3</v>
      </c>
      <c r="AJ322" s="137">
        <v>4.1000000000000003E-3</v>
      </c>
      <c r="AK322" s="137">
        <v>8.3000000000000001E-3</v>
      </c>
      <c r="AM322" s="137">
        <v>2.2499999999999999E-2</v>
      </c>
      <c r="AN322" s="137">
        <v>3.8800000000000001E-2</v>
      </c>
      <c r="AO322" s="137">
        <v>6.1899999999999997E-2</v>
      </c>
      <c r="AQ322" s="137">
        <v>5.0000000000000001E-4</v>
      </c>
      <c r="AR322" s="137">
        <v>1.6000000000000001E-3</v>
      </c>
      <c r="AS322" s="137">
        <v>4.4999999999999997E-3</v>
      </c>
      <c r="AT322" s="137">
        <v>8.8000000000000005E-3</v>
      </c>
      <c r="AV322" s="137">
        <v>2.3599999999999999E-2</v>
      </c>
      <c r="AW322" s="137">
        <v>4.07E-2</v>
      </c>
      <c r="AX322" s="137">
        <v>6.4899999999999999E-2</v>
      </c>
    </row>
    <row r="323" spans="1:50" s="79" customFormat="1" ht="10.199999999999999" x14ac:dyDescent="0.2">
      <c r="A323" s="97">
        <f t="shared" ca="1" si="7"/>
        <v>312</v>
      </c>
      <c r="B323" s="68" t="s">
        <v>385</v>
      </c>
      <c r="C323" s="98">
        <v>0.4</v>
      </c>
      <c r="D323" s="69" t="s">
        <v>67</v>
      </c>
      <c r="E323" s="138" t="s">
        <v>87</v>
      </c>
      <c r="F323" s="159" t="s">
        <v>87</v>
      </c>
      <c r="G323" s="159">
        <v>5.9999999999999995E-4</v>
      </c>
      <c r="H323" s="159" t="s">
        <v>87</v>
      </c>
      <c r="I323" s="159">
        <v>1.1999999999999999E-3</v>
      </c>
      <c r="J323" s="159" t="s">
        <v>87</v>
      </c>
      <c r="K323" s="159">
        <v>2.0999999999999999E-3</v>
      </c>
      <c r="L323" s="159">
        <v>3.0000000000000001E-3</v>
      </c>
      <c r="M323" s="159">
        <v>4.1000000000000003E-3</v>
      </c>
      <c r="N323" s="139">
        <f t="array" aca="1" ref="N323:AE323" ca="1">IF(OR(B323="",NOT($J$2)),"",GetStripDefaultProbability(A323,B323,Parameter_Date,CDSRollDate,E323:M323,SpreadCurveMaturities,D323,C323,$J$4,$J$6))</f>
        <v>0</v>
      </c>
      <c r="O323" s="166">
        <f ca="1"/>
        <v>0</v>
      </c>
      <c r="P323" s="166">
        <f ca="1"/>
        <v>1.0585134944717245E-3</v>
      </c>
      <c r="Q323" s="166">
        <f ca="1"/>
        <v>0</v>
      </c>
      <c r="R323" s="166">
        <f ca="1"/>
        <v>6.240652303265537E-3</v>
      </c>
      <c r="S323" s="166">
        <f ca="1"/>
        <v>0</v>
      </c>
      <c r="T323" s="166">
        <f ca="1"/>
        <v>1.8456437357971534E-2</v>
      </c>
      <c r="U323" s="166">
        <f ca="1"/>
        <v>3.7331922594921574E-2</v>
      </c>
      <c r="V323" s="140">
        <f ca="1"/>
        <v>7.368171513129218E-2</v>
      </c>
      <c r="W323" s="139">
        <f ca="1"/>
        <v>0</v>
      </c>
      <c r="X323" s="166">
        <f ca="1"/>
        <v>0</v>
      </c>
      <c r="Y323" s="166">
        <f ca="1"/>
        <v>1.224989868802262E-3</v>
      </c>
      <c r="Z323" s="166">
        <f ca="1"/>
        <v>0</v>
      </c>
      <c r="AA323" s="166">
        <f ca="1"/>
        <v>6.7508752381054693E-3</v>
      </c>
      <c r="AB323" s="166">
        <f ca="1"/>
        <v>0</v>
      </c>
      <c r="AC323" s="166">
        <f ca="1"/>
        <v>1.9337831026914665E-2</v>
      </c>
      <c r="AD323" s="166">
        <f ca="1"/>
        <v>3.9146344863608684E-2</v>
      </c>
      <c r="AE323" s="140">
        <f ca="1"/>
        <v>7.7226718501829605E-2</v>
      </c>
      <c r="AI323" s="137">
        <v>1E-3</v>
      </c>
      <c r="AK323" s="137">
        <v>6.1999999999999998E-3</v>
      </c>
      <c r="AM323" s="137">
        <v>1.83E-2</v>
      </c>
      <c r="AN323" s="137">
        <v>3.7100000000000001E-2</v>
      </c>
      <c r="AO323" s="137">
        <v>7.3300000000000004E-2</v>
      </c>
      <c r="AR323" s="137">
        <v>1.1999999999999999E-3</v>
      </c>
      <c r="AT323" s="137">
        <v>6.7000000000000002E-3</v>
      </c>
      <c r="AV323" s="137">
        <v>1.9099999999999999E-2</v>
      </c>
      <c r="AW323" s="137">
        <v>3.8899999999999997E-2</v>
      </c>
      <c r="AX323" s="137">
        <v>7.6799999999999993E-2</v>
      </c>
    </row>
    <row r="324" spans="1:50" s="79" customFormat="1" ht="10.199999999999999" x14ac:dyDescent="0.2">
      <c r="A324" s="97">
        <f t="shared" ca="1" si="7"/>
        <v>313</v>
      </c>
      <c r="B324" s="68" t="s">
        <v>141</v>
      </c>
      <c r="C324" s="98">
        <v>0.4</v>
      </c>
      <c r="D324" s="69" t="s">
        <v>66</v>
      </c>
      <c r="E324" s="138" t="s">
        <v>87</v>
      </c>
      <c r="F324" s="159">
        <v>2.9999999999999997E-4</v>
      </c>
      <c r="G324" s="159">
        <v>5.0000000000000001E-4</v>
      </c>
      <c r="H324" s="159">
        <v>1E-3</v>
      </c>
      <c r="I324" s="159">
        <v>1.5E-3</v>
      </c>
      <c r="J324" s="159" t="s">
        <v>87</v>
      </c>
      <c r="K324" s="159">
        <v>2.3E-3</v>
      </c>
      <c r="L324" s="159">
        <v>2.8999999999999998E-3</v>
      </c>
      <c r="M324" s="159">
        <v>3.3999999999999998E-3</v>
      </c>
      <c r="N324" s="139">
        <f t="array" aca="1" ref="N324:AE324" ca="1">IF(OR(B324="",NOT($J$2)),"",GetStripDefaultProbability(A324,B324,Parameter_Date,CDSRollDate,E324:M324,SpreadCurveMaturities,D324,C324,$J$4,$J$6))</f>
        <v>0</v>
      </c>
      <c r="O324" s="166">
        <f ca="1"/>
        <v>2.799239499720052E-4</v>
      </c>
      <c r="P324" s="166">
        <f ca="1"/>
        <v>8.8732386928147555E-4</v>
      </c>
      <c r="Q324" s="166">
        <f ca="1"/>
        <v>3.4911463339574178E-3</v>
      </c>
      <c r="R324" s="166">
        <f ca="1"/>
        <v>7.8378325345165312E-3</v>
      </c>
      <c r="S324" s="166">
        <f ca="1"/>
        <v>0</v>
      </c>
      <c r="T324" s="166">
        <f ca="1"/>
        <v>2.0051972837468623E-2</v>
      </c>
      <c r="U324" s="166">
        <f ca="1"/>
        <v>3.5451994723426528E-2</v>
      </c>
      <c r="V324" s="140">
        <f ca="1"/>
        <v>5.9110009573476785E-2</v>
      </c>
      <c r="W324" s="139">
        <f ca="1"/>
        <v>0</v>
      </c>
      <c r="X324" s="166">
        <f ca="1"/>
        <v>3.7321434723358582E-4</v>
      </c>
      <c r="Y324" s="166">
        <f ca="1"/>
        <v>1.063680113278509E-3</v>
      </c>
      <c r="Z324" s="166">
        <f ca="1"/>
        <v>3.8344122853838369E-3</v>
      </c>
      <c r="AA324" s="166">
        <f ca="1"/>
        <v>8.3465525417852904E-3</v>
      </c>
      <c r="AB324" s="166">
        <f ca="1"/>
        <v>0</v>
      </c>
      <c r="AC324" s="166">
        <f ca="1"/>
        <v>2.1022428166416418E-2</v>
      </c>
      <c r="AD324" s="166">
        <f ca="1"/>
        <v>3.7177689781416889E-2</v>
      </c>
      <c r="AE324" s="140">
        <f ca="1"/>
        <v>6.1965970804997883E-2</v>
      </c>
      <c r="AH324" s="137">
        <v>2.9999999999999997E-4</v>
      </c>
      <c r="AI324" s="137">
        <v>8.9999999999999998E-4</v>
      </c>
      <c r="AJ324" s="137">
        <v>3.5000000000000001E-3</v>
      </c>
      <c r="AK324" s="137">
        <v>7.7999999999999996E-3</v>
      </c>
      <c r="AM324" s="137">
        <v>0.02</v>
      </c>
      <c r="AN324" s="137">
        <v>3.5299999999999998E-2</v>
      </c>
      <c r="AO324" s="137">
        <v>5.8999999999999997E-2</v>
      </c>
      <c r="AQ324" s="137">
        <v>4.0000000000000002E-4</v>
      </c>
      <c r="AR324" s="137">
        <v>1E-3</v>
      </c>
      <c r="AS324" s="137">
        <v>3.8E-3</v>
      </c>
      <c r="AT324" s="137">
        <v>8.3000000000000001E-3</v>
      </c>
      <c r="AV324" s="137">
        <v>2.0899999999999998E-2</v>
      </c>
      <c r="AW324" s="137">
        <v>3.6999999999999998E-2</v>
      </c>
      <c r="AX324" s="137">
        <v>6.1800000000000001E-2</v>
      </c>
    </row>
    <row r="325" spans="1:50" s="79" customFormat="1" ht="10.199999999999999" x14ac:dyDescent="0.2">
      <c r="A325" s="97">
        <f t="shared" ca="1" si="7"/>
        <v>314</v>
      </c>
      <c r="B325" s="68" t="s">
        <v>386</v>
      </c>
      <c r="C325" s="98">
        <v>0.4</v>
      </c>
      <c r="D325" s="69" t="s">
        <v>67</v>
      </c>
      <c r="E325" s="138" t="s">
        <v>87</v>
      </c>
      <c r="F325" s="159" t="s">
        <v>87</v>
      </c>
      <c r="G325" s="159">
        <v>4.9600000000000002E-4</v>
      </c>
      <c r="H325" s="159" t="s">
        <v>87</v>
      </c>
      <c r="I325" s="159">
        <v>1.2899999999999999E-3</v>
      </c>
      <c r="J325" s="159" t="s">
        <v>87</v>
      </c>
      <c r="K325" s="159">
        <v>2.15E-3</v>
      </c>
      <c r="L325" s="159">
        <v>2.6740000000000002E-3</v>
      </c>
      <c r="M325" s="159">
        <v>3.199E-3</v>
      </c>
      <c r="N325" s="139">
        <f t="array" aca="1" ref="N325:AE325" ca="1">IF(OR(B325="",NOT($J$2)),"",GetStripDefaultProbability(A325,B325,Parameter_Date,CDSRollDate,E325:M325,SpreadCurveMaturities,D325,C325,$J$4,$J$6))</f>
        <v>0</v>
      </c>
      <c r="O325" s="166">
        <f ca="1"/>
        <v>0</v>
      </c>
      <c r="P325" s="166">
        <f ca="1"/>
        <v>8.7511754750546622E-4</v>
      </c>
      <c r="Q325" s="166">
        <f ca="1"/>
        <v>0</v>
      </c>
      <c r="R325" s="166">
        <f ca="1"/>
        <v>6.7339851030472353E-3</v>
      </c>
      <c r="S325" s="166">
        <f ca="1"/>
        <v>0</v>
      </c>
      <c r="T325" s="166">
        <f ca="1"/>
        <v>1.8863187747973797E-2</v>
      </c>
      <c r="U325" s="166">
        <f ca="1"/>
        <v>3.2852051769776791E-2</v>
      </c>
      <c r="V325" s="140">
        <f ca="1"/>
        <v>5.6312928135484386E-2</v>
      </c>
      <c r="W325" s="139">
        <f ca="1"/>
        <v>0</v>
      </c>
      <c r="X325" s="166">
        <f ca="1"/>
        <v>0</v>
      </c>
      <c r="Y325" s="166">
        <f ca="1"/>
        <v>1.0416244852846646E-3</v>
      </c>
      <c r="Z325" s="166">
        <f ca="1"/>
        <v>0</v>
      </c>
      <c r="AA325" s="166">
        <f ca="1"/>
        <v>7.2440731139742365E-3</v>
      </c>
      <c r="AB325" s="166">
        <f ca="1"/>
        <v>0</v>
      </c>
      <c r="AC325" s="166">
        <f ca="1"/>
        <v>1.9767103541272091E-2</v>
      </c>
      <c r="AD325" s="166">
        <f ca="1"/>
        <v>3.4447306610594031E-2</v>
      </c>
      <c r="AE325" s="140">
        <f ca="1"/>
        <v>5.9031807181559759E-2</v>
      </c>
      <c r="AI325" s="137">
        <v>8.9999999999999998E-4</v>
      </c>
      <c r="AK325" s="137">
        <v>6.7000000000000002E-3</v>
      </c>
      <c r="AM325" s="137">
        <v>1.8700000000000001E-2</v>
      </c>
      <c r="AN325" s="137">
        <v>3.27E-2</v>
      </c>
      <c r="AO325" s="137">
        <v>5.6000000000000001E-2</v>
      </c>
      <c r="AR325" s="137">
        <v>1E-3</v>
      </c>
      <c r="AT325" s="137">
        <v>7.1999999999999998E-3</v>
      </c>
      <c r="AV325" s="137">
        <v>1.9599999999999999E-2</v>
      </c>
      <c r="AW325" s="137">
        <v>3.4299999999999997E-2</v>
      </c>
      <c r="AX325" s="137">
        <v>5.8799999999999998E-2</v>
      </c>
    </row>
    <row r="326" spans="1:50" s="79" customFormat="1" ht="10.199999999999999" x14ac:dyDescent="0.2">
      <c r="A326" s="97">
        <f t="shared" ca="1" si="7"/>
        <v>315</v>
      </c>
      <c r="B326" s="68" t="s">
        <v>387</v>
      </c>
      <c r="C326" s="98">
        <v>0.4</v>
      </c>
      <c r="D326" s="69" t="s">
        <v>67</v>
      </c>
      <c r="E326" s="138" t="s">
        <v>87</v>
      </c>
      <c r="F326" s="159">
        <v>5.1000000000000004E-3</v>
      </c>
      <c r="G326" s="159">
        <v>5.1000000000000004E-3</v>
      </c>
      <c r="H326" s="159">
        <v>5.1000000000000004E-3</v>
      </c>
      <c r="I326" s="159">
        <v>5.5700000000000003E-3</v>
      </c>
      <c r="J326" s="159" t="s">
        <v>87</v>
      </c>
      <c r="K326" s="159">
        <v>6.0000000000000001E-3</v>
      </c>
      <c r="L326" s="159">
        <v>6.2100000000000002E-3</v>
      </c>
      <c r="M326" s="159">
        <v>6.3E-3</v>
      </c>
      <c r="N326" s="139">
        <f t="array" aca="1" ref="N326:AE326" ca="1">IF(OR(B326="",NOT($J$2)),"",GetStripDefaultProbability(A326,B326,Parameter_Date,CDSRollDate,E326:M326,SpreadCurveMaturities,D326,C326,$J$4,$J$6))</f>
        <v>0</v>
      </c>
      <c r="O326" s="166">
        <f ca="1"/>
        <v>4.7481668811913957E-3</v>
      </c>
      <c r="P326" s="166">
        <f ca="1"/>
        <v>8.9634843457941926E-3</v>
      </c>
      <c r="Q326" s="166">
        <f ca="1"/>
        <v>1.7412742990918662E-2</v>
      </c>
      <c r="R326" s="166">
        <f ca="1"/>
        <v>2.8268164236690652E-2</v>
      </c>
      <c r="S326" s="166">
        <f ca="1"/>
        <v>0</v>
      </c>
      <c r="T326" s="166">
        <f ca="1"/>
        <v>5.0036204187801747E-2</v>
      </c>
      <c r="U326" s="166">
        <f ca="1"/>
        <v>7.1705297955513947E-2</v>
      </c>
      <c r="V326" s="140">
        <f ca="1"/>
        <v>0.10192365739859732</v>
      </c>
      <c r="W326" s="139">
        <f ca="1"/>
        <v>0</v>
      </c>
      <c r="X326" s="166">
        <f ca="1"/>
        <v>4.9849258692044041E-3</v>
      </c>
      <c r="Y326" s="166">
        <f ca="1"/>
        <v>9.4093995397879215E-3</v>
      </c>
      <c r="Z326" s="166">
        <f ca="1"/>
        <v>1.827491010513449E-2</v>
      </c>
      <c r="AA326" s="166">
        <f ca="1"/>
        <v>2.9661724361814357E-2</v>
      </c>
      <c r="AB326" s="166">
        <f ca="1"/>
        <v>0</v>
      </c>
      <c r="AC326" s="166">
        <f ca="1"/>
        <v>5.2475664970701552E-2</v>
      </c>
      <c r="AD326" s="166">
        <f ca="1"/>
        <v>7.5160838664231289E-2</v>
      </c>
      <c r="AE326" s="140">
        <f ca="1"/>
        <v>0.10674974519516789</v>
      </c>
      <c r="AH326" s="137">
        <v>4.5999999999999999E-3</v>
      </c>
      <c r="AI326" s="137">
        <v>8.8000000000000005E-3</v>
      </c>
      <c r="AJ326" s="137">
        <v>1.7299999999999999E-2</v>
      </c>
      <c r="AK326" s="137">
        <v>2.81E-2</v>
      </c>
      <c r="AM326" s="137">
        <v>4.99E-2</v>
      </c>
      <c r="AN326" s="137">
        <v>7.1599999999999997E-2</v>
      </c>
      <c r="AO326" s="137">
        <v>0.1019</v>
      </c>
      <c r="AQ326" s="137">
        <v>4.8999999999999998E-3</v>
      </c>
      <c r="AR326" s="137">
        <v>9.2999999999999992E-3</v>
      </c>
      <c r="AS326" s="137">
        <v>1.8100000000000002E-2</v>
      </c>
      <c r="AT326" s="137">
        <v>2.9499999999999998E-2</v>
      </c>
      <c r="AV326" s="137">
        <v>5.2400000000000002E-2</v>
      </c>
      <c r="AW326" s="137">
        <v>7.4999999999999997E-2</v>
      </c>
      <c r="AX326" s="137">
        <v>0.1067</v>
      </c>
    </row>
    <row r="327" spans="1:50" s="79" customFormat="1" ht="10.199999999999999" x14ac:dyDescent="0.2">
      <c r="A327" s="97">
        <f t="shared" ca="1" si="7"/>
        <v>316</v>
      </c>
      <c r="B327" s="68" t="s">
        <v>388</v>
      </c>
      <c r="C327" s="98">
        <v>0.4</v>
      </c>
      <c r="D327" s="69" t="s">
        <v>67</v>
      </c>
      <c r="E327" s="138" t="s">
        <v>87</v>
      </c>
      <c r="F327" s="159" t="s">
        <v>87</v>
      </c>
      <c r="G327" s="159">
        <v>1.225E-3</v>
      </c>
      <c r="H327" s="159" t="s">
        <v>87</v>
      </c>
      <c r="I327" s="159">
        <v>2.4499999999999999E-3</v>
      </c>
      <c r="J327" s="159" t="s">
        <v>87</v>
      </c>
      <c r="K327" s="159">
        <v>4.8999999999999998E-3</v>
      </c>
      <c r="L327" s="159">
        <v>5.6350000000000003E-3</v>
      </c>
      <c r="M327" s="159">
        <v>6.3699999999999998E-3</v>
      </c>
      <c r="N327" s="139">
        <f t="array" aca="1" ref="N327:AE327" ca="1">IF(OR(B327="",NOT($J$2)),"",GetStripDefaultProbability(A327,B327,Parameter_Date,CDSRollDate,E327:M327,SpreadCurveMaturities,D327,C327,$J$4,$J$6))</f>
        <v>0</v>
      </c>
      <c r="O327" s="166">
        <f ca="1"/>
        <v>0</v>
      </c>
      <c r="P327" s="166">
        <f ca="1"/>
        <v>2.1599491646329128E-3</v>
      </c>
      <c r="Q327" s="166">
        <f ca="1"/>
        <v>0</v>
      </c>
      <c r="R327" s="166">
        <f ca="1"/>
        <v>1.2721523341553742E-2</v>
      </c>
      <c r="S327" s="166">
        <f ca="1"/>
        <v>0</v>
      </c>
      <c r="T327" s="166">
        <f ca="1"/>
        <v>4.3021775332120482E-2</v>
      </c>
      <c r="U327" s="166">
        <f ca="1"/>
        <v>6.7923386701197574E-2</v>
      </c>
      <c r="V327" s="140">
        <f ca="1"/>
        <v>0.10887705514790635</v>
      </c>
      <c r="W327" s="139">
        <f ca="1"/>
        <v>0</v>
      </c>
      <c r="X327" s="166">
        <f ca="1"/>
        <v>0</v>
      </c>
      <c r="Y327" s="166">
        <f ca="1"/>
        <v>2.3262419816644231E-3</v>
      </c>
      <c r="Z327" s="166">
        <f ca="1"/>
        <v>0</v>
      </c>
      <c r="AA327" s="166">
        <f ca="1"/>
        <v>1.3347612659919572E-2</v>
      </c>
      <c r="AB327" s="166">
        <f ca="1"/>
        <v>0</v>
      </c>
      <c r="AC327" s="166">
        <f ca="1"/>
        <v>4.5140111450406417E-2</v>
      </c>
      <c r="AD327" s="166">
        <f ca="1"/>
        <v>7.1223426237260079E-2</v>
      </c>
      <c r="AE327" s="140">
        <f ca="1"/>
        <v>0.11407630408105474</v>
      </c>
      <c r="AI327" s="137">
        <v>2.0999999999999999E-3</v>
      </c>
      <c r="AK327" s="137">
        <v>1.26E-2</v>
      </c>
      <c r="AM327" s="137">
        <v>4.2599999999999999E-2</v>
      </c>
      <c r="AN327" s="137">
        <v>6.7699999999999996E-2</v>
      </c>
      <c r="AO327" s="137">
        <v>0.108</v>
      </c>
      <c r="AR327" s="137">
        <v>2.3E-3</v>
      </c>
      <c r="AT327" s="137">
        <v>1.32E-2</v>
      </c>
      <c r="AV327" s="137">
        <v>4.4600000000000001E-2</v>
      </c>
      <c r="AW327" s="137">
        <v>7.0999999999999994E-2</v>
      </c>
      <c r="AX327" s="137">
        <v>0.11310000000000001</v>
      </c>
    </row>
    <row r="328" spans="1:50" s="79" customFormat="1" ht="10.199999999999999" x14ac:dyDescent="0.2">
      <c r="A328" s="97">
        <f t="shared" ca="1" si="7"/>
        <v>317</v>
      </c>
      <c r="B328" s="68" t="s">
        <v>389</v>
      </c>
      <c r="C328" s="98">
        <v>0.2</v>
      </c>
      <c r="D328" s="69" t="s">
        <v>66</v>
      </c>
      <c r="E328" s="138" t="s">
        <v>87</v>
      </c>
      <c r="F328" s="159">
        <v>9.3999999999999997E-4</v>
      </c>
      <c r="G328" s="159">
        <v>1.01E-3</v>
      </c>
      <c r="H328" s="159">
        <v>2.0100000000000001E-3</v>
      </c>
      <c r="I328" s="159">
        <v>3.0100000000000001E-3</v>
      </c>
      <c r="J328" s="159" t="s">
        <v>87</v>
      </c>
      <c r="K328" s="159">
        <v>4.7999999999999996E-3</v>
      </c>
      <c r="L328" s="159">
        <v>5.4999999999999997E-3</v>
      </c>
      <c r="M328" s="159">
        <v>6.1999999999999998E-3</v>
      </c>
      <c r="N328" s="139">
        <f t="array" aca="1" ref="N328:AE328" ca="1">IF(OR(B328="",NOT($J$2)),"",GetStripDefaultProbability(A328,B328,Parameter_Date,CDSRollDate,E328:M328,SpreadCurveMaturities,D328,C328,$J$4,$J$6))</f>
        <v>0</v>
      </c>
      <c r="O328" s="166">
        <f ca="1"/>
        <v>6.5769725406628066E-4</v>
      </c>
      <c r="P328" s="166">
        <f ca="1"/>
        <v>1.3375437315564787E-3</v>
      </c>
      <c r="Q328" s="166">
        <f ca="1"/>
        <v>5.2547827003506242E-3</v>
      </c>
      <c r="R328" s="166">
        <f ca="1"/>
        <v>1.1773861618068149E-2</v>
      </c>
      <c r="S328" s="166">
        <f ca="1"/>
        <v>0</v>
      </c>
      <c r="T328" s="166">
        <f ca="1"/>
        <v>3.1332776494079728E-2</v>
      </c>
      <c r="U328" s="166">
        <f ca="1"/>
        <v>4.9701221363216641E-2</v>
      </c>
      <c r="V328" s="140">
        <f ca="1"/>
        <v>7.9520709726351613E-2</v>
      </c>
      <c r="W328" s="139">
        <f ca="1"/>
        <v>0</v>
      </c>
      <c r="X328" s="166">
        <f ca="1"/>
        <v>7.2763869787850766E-4</v>
      </c>
      <c r="Y328" s="166">
        <f ca="1"/>
        <v>1.4697434133049692E-3</v>
      </c>
      <c r="Z328" s="166">
        <f ca="1"/>
        <v>5.5131795423366547E-3</v>
      </c>
      <c r="AA328" s="166">
        <f ca="1"/>
        <v>1.2357210097229565E-2</v>
      </c>
      <c r="AB328" s="166">
        <f ca="1"/>
        <v>0</v>
      </c>
      <c r="AC328" s="166">
        <f ca="1"/>
        <v>3.2877025577970231E-2</v>
      </c>
      <c r="AD328" s="166">
        <f ca="1"/>
        <v>5.2133043003859458E-2</v>
      </c>
      <c r="AE328" s="140">
        <f ca="1"/>
        <v>8.3355769895986476E-2</v>
      </c>
      <c r="AH328" s="137">
        <v>5.9999999999999995E-4</v>
      </c>
      <c r="AI328" s="137">
        <v>1.2999999999999999E-3</v>
      </c>
      <c r="AJ328" s="137">
        <v>5.1999999999999998E-3</v>
      </c>
      <c r="AK328" s="137">
        <v>1.17E-2</v>
      </c>
      <c r="AM328" s="137">
        <v>3.1099999999999999E-2</v>
      </c>
      <c r="AN328" s="137">
        <v>4.9599999999999998E-2</v>
      </c>
      <c r="AO328" s="137">
        <v>7.9200000000000007E-2</v>
      </c>
      <c r="AQ328" s="137">
        <v>6.9999999999999999E-4</v>
      </c>
      <c r="AR328" s="137">
        <v>1.4E-3</v>
      </c>
      <c r="AS328" s="137">
        <v>5.4999999999999997E-3</v>
      </c>
      <c r="AT328" s="137">
        <v>1.23E-2</v>
      </c>
      <c r="AV328" s="137">
        <v>3.27E-2</v>
      </c>
      <c r="AW328" s="137">
        <v>5.1999999999999998E-2</v>
      </c>
      <c r="AX328" s="137">
        <v>8.3000000000000004E-2</v>
      </c>
    </row>
    <row r="329" spans="1:50" s="79" customFormat="1" ht="10.199999999999999" x14ac:dyDescent="0.2">
      <c r="A329" s="97">
        <f t="shared" ca="1" si="7"/>
        <v>318</v>
      </c>
      <c r="B329" s="68" t="s">
        <v>390</v>
      </c>
      <c r="C329" s="98">
        <v>0.2</v>
      </c>
      <c r="D329" s="69" t="s">
        <v>66</v>
      </c>
      <c r="E329" s="138" t="s">
        <v>87</v>
      </c>
      <c r="F329" s="159">
        <v>1.2700000000000001E-3</v>
      </c>
      <c r="G329" s="159">
        <v>1.7899999999999999E-3</v>
      </c>
      <c r="H329" s="159">
        <v>2.5899999999999999E-3</v>
      </c>
      <c r="I329" s="159">
        <v>3.2799999999999999E-3</v>
      </c>
      <c r="J329" s="159" t="s">
        <v>87</v>
      </c>
      <c r="K329" s="159">
        <v>4.5999999999999999E-3</v>
      </c>
      <c r="L329" s="159">
        <v>5.3200000000000001E-3</v>
      </c>
      <c r="M329" s="159">
        <v>5.8999999999999999E-3</v>
      </c>
      <c r="N329" s="139">
        <f t="array" aca="1" ref="N329:AE329" ca="1">IF(OR(B329="",NOT($J$2)),"",GetStripDefaultProbability(A329,B329,Parameter_Date,CDSRollDate,E329:M329,SpreadCurveMaturities,D329,C329,$J$4,$J$6))</f>
        <v>0</v>
      </c>
      <c r="O329" s="166">
        <f ca="1"/>
        <v>8.8848859798384971E-4</v>
      </c>
      <c r="P329" s="166">
        <f ca="1"/>
        <v>2.3770902541405681E-3</v>
      </c>
      <c r="Q329" s="166">
        <f ca="1"/>
        <v>6.733218782617012E-3</v>
      </c>
      <c r="R329" s="166">
        <f ca="1"/>
        <v>1.2728356304769206E-2</v>
      </c>
      <c r="S329" s="166">
        <f ca="1"/>
        <v>0</v>
      </c>
      <c r="T329" s="166">
        <f ca="1"/>
        <v>2.9763846766375224E-2</v>
      </c>
      <c r="U329" s="166">
        <f ca="1"/>
        <v>4.790030021714542E-2</v>
      </c>
      <c r="V329" s="140">
        <f ca="1"/>
        <v>7.5258966469460398E-2</v>
      </c>
      <c r="W329" s="139">
        <f ca="1"/>
        <v>0</v>
      </c>
      <c r="X329" s="166">
        <f ca="1"/>
        <v>9.5841315500777569E-4</v>
      </c>
      <c r="Y329" s="166">
        <f ca="1"/>
        <v>2.5091767913212326E-3</v>
      </c>
      <c r="Z329" s="166">
        <f ca="1"/>
        <v>7.0680712338867524E-3</v>
      </c>
      <c r="AA329" s="166">
        <f ca="1"/>
        <v>1.33604164783514E-2</v>
      </c>
      <c r="AB329" s="166">
        <f ca="1"/>
        <v>0</v>
      </c>
      <c r="AC329" s="166">
        <f ca="1"/>
        <v>3.1233797195558188E-2</v>
      </c>
      <c r="AD329" s="166">
        <f ca="1"/>
        <v>5.0246168379565748E-2</v>
      </c>
      <c r="AE329" s="140">
        <f ca="1"/>
        <v>7.8896969619906998E-2</v>
      </c>
      <c r="AH329" s="137">
        <v>8.9999999999999998E-4</v>
      </c>
      <c r="AI329" s="137">
        <v>2.3E-3</v>
      </c>
      <c r="AJ329" s="137">
        <v>6.7000000000000002E-3</v>
      </c>
      <c r="AK329" s="137">
        <v>1.2699999999999999E-2</v>
      </c>
      <c r="AM329" s="137">
        <v>2.9600000000000001E-2</v>
      </c>
      <c r="AN329" s="137">
        <v>4.7800000000000002E-2</v>
      </c>
      <c r="AO329" s="137">
        <v>7.51E-2</v>
      </c>
      <c r="AQ329" s="137">
        <v>8.9999999999999998E-4</v>
      </c>
      <c r="AR329" s="137">
        <v>2.5000000000000001E-3</v>
      </c>
      <c r="AS329" s="137">
        <v>7.0000000000000001E-3</v>
      </c>
      <c r="AT329" s="137">
        <v>1.3299999999999999E-2</v>
      </c>
      <c r="AV329" s="137">
        <v>3.1099999999999999E-2</v>
      </c>
      <c r="AW329" s="137">
        <v>5.0099999999999999E-2</v>
      </c>
      <c r="AX329" s="137">
        <v>7.8700000000000006E-2</v>
      </c>
    </row>
    <row r="330" spans="1:50" s="79" customFormat="1" ht="10.199999999999999" x14ac:dyDescent="0.2">
      <c r="A330" s="97">
        <f t="shared" ca="1" si="7"/>
        <v>319</v>
      </c>
      <c r="B330" s="68" t="s">
        <v>391</v>
      </c>
      <c r="C330" s="98">
        <v>0.2</v>
      </c>
      <c r="D330" s="69" t="s">
        <v>66</v>
      </c>
      <c r="E330" s="138" t="s">
        <v>87</v>
      </c>
      <c r="F330" s="159">
        <v>9.3999999999999997E-4</v>
      </c>
      <c r="G330" s="159">
        <v>1.66E-3</v>
      </c>
      <c r="H330" s="159">
        <v>2.5699999999999998E-3</v>
      </c>
      <c r="I330" s="159">
        <v>3.4299999999999999E-3</v>
      </c>
      <c r="J330" s="159" t="s">
        <v>87</v>
      </c>
      <c r="K330" s="159">
        <v>4.7999999999999996E-3</v>
      </c>
      <c r="L330" s="159">
        <v>5.5700000000000003E-3</v>
      </c>
      <c r="M330" s="159">
        <v>6.1999999999999998E-3</v>
      </c>
      <c r="N330" s="139">
        <f t="array" aca="1" ref="N330:AE330" ca="1">IF(OR(B330="",NOT($J$2)),"",GetStripDefaultProbability(A330,B330,Parameter_Date,CDSRollDate,E330:M330,SpreadCurveMaturities,D330,C330,$J$4,$J$6))</f>
        <v>0</v>
      </c>
      <c r="O330" s="166">
        <f ca="1"/>
        <v>6.5769725406628066E-4</v>
      </c>
      <c r="P330" s="166">
        <f ca="1"/>
        <v>2.2091572564635342E-3</v>
      </c>
      <c r="Q330" s="166">
        <f ca="1"/>
        <v>6.6900186764918823E-3</v>
      </c>
      <c r="R330" s="166">
        <f ca="1"/>
        <v>1.3344527846391396E-2</v>
      </c>
      <c r="S330" s="166">
        <f ca="1"/>
        <v>0</v>
      </c>
      <c r="T330" s="166">
        <f ca="1"/>
        <v>3.1048472298406127E-2</v>
      </c>
      <c r="U330" s="166">
        <f ca="1"/>
        <v>5.017091171158472E-2</v>
      </c>
      <c r="V330" s="140">
        <f ca="1"/>
        <v>7.9031669021381479E-2</v>
      </c>
      <c r="W330" s="139">
        <f ca="1"/>
        <v>0</v>
      </c>
      <c r="X330" s="166">
        <f ca="1"/>
        <v>7.2763869787850766E-4</v>
      </c>
      <c r="Y330" s="166">
        <f ca="1"/>
        <v>2.341276725795316E-3</v>
      </c>
      <c r="Z330" s="166">
        <f ca="1"/>
        <v>7.0223512166637247E-3</v>
      </c>
      <c r="AA330" s="166">
        <f ca="1"/>
        <v>1.4006671586450303E-2</v>
      </c>
      <c r="AB330" s="166">
        <f ca="1"/>
        <v>0</v>
      </c>
      <c r="AC330" s="166">
        <f ca="1"/>
        <v>3.2580172851638611E-2</v>
      </c>
      <c r="AD330" s="166">
        <f ca="1"/>
        <v>5.2626163863962017E-2</v>
      </c>
      <c r="AE330" s="140">
        <f ca="1"/>
        <v>8.2846116360355326E-2</v>
      </c>
      <c r="AH330" s="137">
        <v>5.9999999999999995E-4</v>
      </c>
      <c r="AI330" s="137">
        <v>2.2000000000000001E-3</v>
      </c>
      <c r="AJ330" s="137">
        <v>6.6E-3</v>
      </c>
      <c r="AK330" s="137">
        <v>1.3299999999999999E-2</v>
      </c>
      <c r="AM330" s="137">
        <v>3.09E-2</v>
      </c>
      <c r="AN330" s="137">
        <v>0.05</v>
      </c>
      <c r="AO330" s="137">
        <v>7.8799999999999995E-2</v>
      </c>
      <c r="AQ330" s="137">
        <v>6.9999999999999999E-4</v>
      </c>
      <c r="AR330" s="137">
        <v>2.3E-3</v>
      </c>
      <c r="AS330" s="137">
        <v>7.0000000000000001E-3</v>
      </c>
      <c r="AT330" s="137">
        <v>1.3899999999999999E-2</v>
      </c>
      <c r="AV330" s="137">
        <v>3.2399999999999998E-2</v>
      </c>
      <c r="AW330" s="137">
        <v>5.2499999999999998E-2</v>
      </c>
      <c r="AX330" s="137">
        <v>8.2600000000000007E-2</v>
      </c>
    </row>
    <row r="331" spans="1:50" s="79" customFormat="1" ht="10.199999999999999" x14ac:dyDescent="0.2">
      <c r="A331" s="97">
        <f t="shared" ref="A331:A361" ca="1" si="8">IF(B331="","",A330+1)</f>
        <v>320</v>
      </c>
      <c r="B331" s="68" t="s">
        <v>392</v>
      </c>
      <c r="C331" s="98">
        <v>0.2</v>
      </c>
      <c r="D331" s="69" t="s">
        <v>66</v>
      </c>
      <c r="E331" s="138" t="s">
        <v>87</v>
      </c>
      <c r="F331" s="159">
        <v>1.1100000000000001E-3</v>
      </c>
      <c r="G331" s="159">
        <v>1.73E-3</v>
      </c>
      <c r="H331" s="159">
        <v>2.5899999999999999E-3</v>
      </c>
      <c r="I331" s="159">
        <v>3.3500000000000001E-3</v>
      </c>
      <c r="J331" s="159" t="s">
        <v>87</v>
      </c>
      <c r="K331" s="159">
        <v>4.7999999999999996E-3</v>
      </c>
      <c r="L331" s="159">
        <v>5.5799999999999999E-3</v>
      </c>
      <c r="M331" s="159">
        <v>6.1999999999999998E-3</v>
      </c>
      <c r="N331" s="139">
        <f t="array" aca="1" ref="N331:AE331" ca="1">IF(OR(B331="",NOT($J$2)),"",GetStripDefaultProbability(A331,B331,Parameter_Date,CDSRollDate,E331:M331,SpreadCurveMaturities,D331,C331,$J$4,$J$6))</f>
        <v>0</v>
      </c>
      <c r="O331" s="166">
        <f ca="1"/>
        <v>7.7659640609062386E-4</v>
      </c>
      <c r="P331" s="166">
        <f ca="1"/>
        <v>2.2997454488246083E-3</v>
      </c>
      <c r="Q331" s="166">
        <f ca="1"/>
        <v>6.7378638353217113E-3</v>
      </c>
      <c r="R331" s="166">
        <f ca="1"/>
        <v>1.3014657936253782E-2</v>
      </c>
      <c r="S331" s="166">
        <f ca="1"/>
        <v>0</v>
      </c>
      <c r="T331" s="166">
        <f ca="1"/>
        <v>3.1091092192079395E-2</v>
      </c>
      <c r="U331" s="166">
        <f ca="1"/>
        <v>5.0267504557307663E-2</v>
      </c>
      <c r="V331" s="140">
        <f ca="1"/>
        <v>7.9054286678194696E-2</v>
      </c>
      <c r="W331" s="139">
        <f ca="1"/>
        <v>0</v>
      </c>
      <c r="X331" s="166">
        <f ca="1"/>
        <v>8.4652917932870331E-4</v>
      </c>
      <c r="Y331" s="166">
        <f ca="1"/>
        <v>2.4318475244983206E-3</v>
      </c>
      <c r="Z331" s="166">
        <f ca="1"/>
        <v>7.0727754382263752E-3</v>
      </c>
      <c r="AA331" s="166">
        <f ca="1"/>
        <v>1.3660690178973089E-2</v>
      </c>
      <c r="AB331" s="166">
        <f ca="1"/>
        <v>0</v>
      </c>
      <c r="AC331" s="166">
        <f ca="1"/>
        <v>3.262583806414654E-2</v>
      </c>
      <c r="AD331" s="166">
        <f ca="1"/>
        <v>5.2744316317017148E-2</v>
      </c>
      <c r="AE331" s="140">
        <f ca="1"/>
        <v>8.2886092411671997E-2</v>
      </c>
      <c r="AH331" s="137">
        <v>8.0000000000000004E-4</v>
      </c>
      <c r="AI331" s="137">
        <v>2.3E-3</v>
      </c>
      <c r="AJ331" s="137">
        <v>6.7000000000000002E-3</v>
      </c>
      <c r="AK331" s="137">
        <v>1.29E-2</v>
      </c>
      <c r="AM331" s="137">
        <v>3.09E-2</v>
      </c>
      <c r="AN331" s="137">
        <v>5.0099999999999999E-2</v>
      </c>
      <c r="AO331" s="137">
        <v>7.8899999999999998E-2</v>
      </c>
      <c r="AQ331" s="137">
        <v>8.0000000000000004E-4</v>
      </c>
      <c r="AR331" s="137">
        <v>2.3999999999999998E-3</v>
      </c>
      <c r="AS331" s="137">
        <v>7.0000000000000001E-3</v>
      </c>
      <c r="AT331" s="137">
        <v>1.3599999999999999E-2</v>
      </c>
      <c r="AV331" s="137">
        <v>3.2500000000000001E-2</v>
      </c>
      <c r="AW331" s="137">
        <v>5.2600000000000001E-2</v>
      </c>
      <c r="AX331" s="137">
        <v>8.2600000000000007E-2</v>
      </c>
    </row>
    <row r="332" spans="1:50" s="79" customFormat="1" ht="10.199999999999999" x14ac:dyDescent="0.2">
      <c r="A332" s="97">
        <f t="shared" ca="1" si="8"/>
        <v>321</v>
      </c>
      <c r="B332" s="68" t="s">
        <v>393</v>
      </c>
      <c r="C332" s="98">
        <v>0.2</v>
      </c>
      <c r="D332" s="69" t="s">
        <v>66</v>
      </c>
      <c r="E332" s="138" t="s">
        <v>87</v>
      </c>
      <c r="F332" s="159">
        <v>1.06E-3</v>
      </c>
      <c r="G332" s="159">
        <v>1.5299999999999999E-3</v>
      </c>
      <c r="H332" s="159">
        <v>2.47E-3</v>
      </c>
      <c r="I332" s="159">
        <v>3.29E-3</v>
      </c>
      <c r="J332" s="159" t="s">
        <v>87</v>
      </c>
      <c r="K332" s="159">
        <v>4.7000000000000002E-3</v>
      </c>
      <c r="L332" s="159">
        <v>5.4200000000000003E-3</v>
      </c>
      <c r="M332" s="159">
        <v>6.0000000000000001E-3</v>
      </c>
      <c r="N332" s="139">
        <f t="array" aca="1" ref="N332:AE332" ca="1">IF(OR(B332="",NOT($J$2)),"",GetStripDefaultProbability(A332,B332,Parameter_Date,CDSRollDate,E332:M332,SpreadCurveMaturities,D332,C332,$J$4,$J$6))</f>
        <v>0</v>
      </c>
      <c r="O332" s="166">
        <f ca="1"/>
        <v>7.4162753240369916E-4</v>
      </c>
      <c r="P332" s="166">
        <f ca="1"/>
        <v>2.0326248346300702E-3</v>
      </c>
      <c r="Q332" s="166">
        <f ca="1"/>
        <v>6.4368179779049628E-3</v>
      </c>
      <c r="R332" s="166">
        <f ca="1"/>
        <v>1.2802577996439579E-2</v>
      </c>
      <c r="S332" s="166">
        <f ca="1"/>
        <v>0</v>
      </c>
      <c r="T332" s="166">
        <f ca="1"/>
        <v>3.0463416195253834E-2</v>
      </c>
      <c r="U332" s="166">
        <f ca="1"/>
        <v>4.8825866156469999E-2</v>
      </c>
      <c r="V332" s="140">
        <f ca="1"/>
        <v>7.6538908635334413E-2</v>
      </c>
      <c r="W332" s="139">
        <f ca="1"/>
        <v>0</v>
      </c>
      <c r="X332" s="166">
        <f ca="1"/>
        <v>8.1156286208849959E-4</v>
      </c>
      <c r="Y332" s="166">
        <f ca="1"/>
        <v>2.1647539586867603E-3</v>
      </c>
      <c r="Z332" s="166">
        <f ca="1"/>
        <v>6.7558490863657283E-3</v>
      </c>
      <c r="AA332" s="166">
        <f ca="1"/>
        <v>1.3437686520902603E-2</v>
      </c>
      <c r="AB332" s="166">
        <f ca="1"/>
        <v>0</v>
      </c>
      <c r="AC332" s="166">
        <f ca="1"/>
        <v>3.1966237716053114E-2</v>
      </c>
      <c r="AD332" s="166">
        <f ca="1"/>
        <v>5.1216034199480065E-2</v>
      </c>
      <c r="AE332" s="140">
        <f ca="1"/>
        <v>8.0235587704796441E-2</v>
      </c>
      <c r="AH332" s="137">
        <v>6.9999999999999999E-4</v>
      </c>
      <c r="AI332" s="137">
        <v>2E-3</v>
      </c>
      <c r="AJ332" s="137">
        <v>6.4000000000000003E-3</v>
      </c>
      <c r="AK332" s="137">
        <v>1.2699999999999999E-2</v>
      </c>
      <c r="AM332" s="137">
        <v>3.0300000000000001E-2</v>
      </c>
      <c r="AN332" s="137">
        <v>4.87E-2</v>
      </c>
      <c r="AO332" s="137">
        <v>7.6300000000000007E-2</v>
      </c>
      <c r="AQ332" s="137">
        <v>8.0000000000000004E-4</v>
      </c>
      <c r="AR332" s="137">
        <v>2.0999999999999999E-3</v>
      </c>
      <c r="AS332" s="137">
        <v>6.7000000000000002E-3</v>
      </c>
      <c r="AT332" s="137">
        <v>1.34E-2</v>
      </c>
      <c r="AV332" s="137">
        <v>3.1800000000000002E-2</v>
      </c>
      <c r="AW332" s="137">
        <v>5.11E-2</v>
      </c>
      <c r="AX332" s="137">
        <v>0.08</v>
      </c>
    </row>
    <row r="333" spans="1:50" s="79" customFormat="1" ht="10.199999999999999" x14ac:dyDescent="0.2">
      <c r="A333" s="97">
        <f t="shared" ca="1" si="8"/>
        <v>322</v>
      </c>
      <c r="B333" s="68" t="s">
        <v>112</v>
      </c>
      <c r="C333" s="98">
        <v>0.4</v>
      </c>
      <c r="D333" s="69" t="s">
        <v>66</v>
      </c>
      <c r="E333" s="138" t="s">
        <v>87</v>
      </c>
      <c r="F333" s="159">
        <v>1.15E-3</v>
      </c>
      <c r="G333" s="159">
        <v>1.81E-3</v>
      </c>
      <c r="H333" s="159">
        <v>2.8E-3</v>
      </c>
      <c r="I333" s="159">
        <v>3.5000000000000001E-3</v>
      </c>
      <c r="J333" s="159" t="s">
        <v>87</v>
      </c>
      <c r="K333" s="159">
        <v>4.5999999999999999E-3</v>
      </c>
      <c r="L333" s="159">
        <v>5.1999999999999998E-3</v>
      </c>
      <c r="M333" s="159">
        <v>5.7000000000000002E-3</v>
      </c>
      <c r="N333" s="139">
        <f t="array" aca="1" ref="N333:AE333" ca="1">IF(OR(B333="",NOT($J$2)),"",GetStripDefaultProbability(A333,B333,Parameter_Date,CDSRollDate,E333:M333,SpreadCurveMaturities,D333,C333,$J$4,$J$6))</f>
        <v>0</v>
      </c>
      <c r="O333" s="166">
        <f ca="1"/>
        <v>1.0726172827926206E-3</v>
      </c>
      <c r="P333" s="166">
        <f ca="1"/>
        <v>3.2070829092069042E-3</v>
      </c>
      <c r="Q333" s="166">
        <f ca="1"/>
        <v>9.7072814109477878E-3</v>
      </c>
      <c r="R333" s="166">
        <f ca="1"/>
        <v>1.8075564769315378E-2</v>
      </c>
      <c r="S333" s="166">
        <f ca="1"/>
        <v>0</v>
      </c>
      <c r="T333" s="166">
        <f ca="1"/>
        <v>3.9389640955596938E-2</v>
      </c>
      <c r="U333" s="166">
        <f ca="1"/>
        <v>6.1798567532111326E-2</v>
      </c>
      <c r="V333" s="140">
        <f ca="1"/>
        <v>9.560386348968708E-2</v>
      </c>
      <c r="W333" s="139">
        <f ca="1"/>
        <v>0</v>
      </c>
      <c r="X333" s="166">
        <f ca="1"/>
        <v>1.1658314747735599E-3</v>
      </c>
      <c r="Y333" s="166">
        <f ca="1"/>
        <v>3.3830741828471123E-3</v>
      </c>
      <c r="Z333" s="166">
        <f ca="1"/>
        <v>1.0189901292786741E-2</v>
      </c>
      <c r="AA333" s="166">
        <f ca="1"/>
        <v>1.8971123986007643E-2</v>
      </c>
      <c r="AB333" s="166">
        <f ca="1"/>
        <v>0</v>
      </c>
      <c r="AC333" s="166">
        <f ca="1"/>
        <v>4.1326481030486639E-2</v>
      </c>
      <c r="AD333" s="166">
        <f ca="1"/>
        <v>6.4804487003515709E-2</v>
      </c>
      <c r="AE333" s="140">
        <f ca="1"/>
        <v>0.10017735251733617</v>
      </c>
      <c r="AH333" s="137">
        <v>1E-3</v>
      </c>
      <c r="AI333" s="137">
        <v>3.2000000000000002E-3</v>
      </c>
      <c r="AJ333" s="137">
        <v>9.5999999999999992E-3</v>
      </c>
      <c r="AK333" s="137">
        <v>1.7999999999999999E-2</v>
      </c>
      <c r="AM333" s="137">
        <v>3.9199999999999999E-2</v>
      </c>
      <c r="AN333" s="137">
        <v>6.1600000000000002E-2</v>
      </c>
      <c r="AO333" s="137">
        <v>9.5399999999999999E-2</v>
      </c>
      <c r="AQ333" s="137">
        <v>1.1000000000000001E-3</v>
      </c>
      <c r="AR333" s="137">
        <v>3.3E-3</v>
      </c>
      <c r="AS333" s="137">
        <v>1.01E-2</v>
      </c>
      <c r="AT333" s="137">
        <v>1.89E-2</v>
      </c>
      <c r="AV333" s="137">
        <v>4.1099999999999998E-2</v>
      </c>
      <c r="AW333" s="137">
        <v>6.4600000000000005E-2</v>
      </c>
      <c r="AX333" s="137">
        <v>9.9900000000000003E-2</v>
      </c>
    </row>
    <row r="334" spans="1:50" s="79" customFormat="1" ht="10.199999999999999" x14ac:dyDescent="0.2">
      <c r="A334" s="97">
        <f t="shared" ca="1" si="8"/>
        <v>323</v>
      </c>
      <c r="B334" s="68" t="s">
        <v>394</v>
      </c>
      <c r="C334" s="98">
        <v>0.2</v>
      </c>
      <c r="D334" s="69" t="s">
        <v>67</v>
      </c>
      <c r="E334" s="138" t="s">
        <v>87</v>
      </c>
      <c r="F334" s="159">
        <v>1.6299999999999999E-3</v>
      </c>
      <c r="G334" s="159">
        <v>1.8400000000000001E-3</v>
      </c>
      <c r="H334" s="159">
        <v>2.2399999999999998E-3</v>
      </c>
      <c r="I334" s="159">
        <v>2.8E-3</v>
      </c>
      <c r="J334" s="159" t="s">
        <v>87</v>
      </c>
      <c r="K334" s="159">
        <v>4.5999999999999999E-3</v>
      </c>
      <c r="L334" s="159">
        <v>4.9399999999999999E-3</v>
      </c>
      <c r="M334" s="159">
        <v>5.4999999999999997E-3</v>
      </c>
      <c r="N334" s="139">
        <f t="array" aca="1" ref="N334:AE334" ca="1">IF(OR(B334="",NOT($J$2)),"",GetStripDefaultProbability(A334,B334,Parameter_Date,CDSRollDate,E334:M334,SpreadCurveMaturities,D334,C334,$J$4,$J$6))</f>
        <v>0</v>
      </c>
      <c r="O334" s="166">
        <f ca="1"/>
        <v>1.1402176325079338E-3</v>
      </c>
      <c r="P334" s="166">
        <f ca="1"/>
        <v>2.4370909410916797E-3</v>
      </c>
      <c r="Q334" s="166">
        <f ca="1"/>
        <v>5.8011574708670688E-3</v>
      </c>
      <c r="R334" s="166">
        <f ca="1"/>
        <v>1.0846560046921194E-2</v>
      </c>
      <c r="S334" s="166">
        <f ca="1"/>
        <v>0</v>
      </c>
      <c r="T334" s="166">
        <f ca="1"/>
        <v>3.0060711760859005E-2</v>
      </c>
      <c r="U334" s="166">
        <f ca="1"/>
        <v>4.4405913363582461E-2</v>
      </c>
      <c r="V334" s="140">
        <f ca="1"/>
        <v>7.0814923443925815E-2</v>
      </c>
      <c r="W334" s="139">
        <f ca="1"/>
        <v>0</v>
      </c>
      <c r="X334" s="166">
        <f ca="1"/>
        <v>1.2101245674657202E-3</v>
      </c>
      <c r="Y334" s="166">
        <f ca="1"/>
        <v>2.5691542435337666E-3</v>
      </c>
      <c r="Z334" s="166">
        <f ca="1"/>
        <v>6.0897410909331873E-3</v>
      </c>
      <c r="AA334" s="166">
        <f ca="1"/>
        <v>1.1385713394784336E-2</v>
      </c>
      <c r="AB334" s="166">
        <f ca="1"/>
        <v>0</v>
      </c>
      <c r="AC334" s="166">
        <f ca="1"/>
        <v>3.1546776177620028E-2</v>
      </c>
      <c r="AD334" s="166">
        <f ca="1"/>
        <v>4.658345326575819E-2</v>
      </c>
      <c r="AE334" s="140">
        <f ca="1"/>
        <v>7.424753555536634E-2</v>
      </c>
      <c r="AH334" s="137">
        <v>1.1000000000000001E-3</v>
      </c>
      <c r="AI334" s="137">
        <v>2.3999999999999998E-3</v>
      </c>
      <c r="AJ334" s="137">
        <v>5.7999999999999996E-3</v>
      </c>
      <c r="AK334" s="137">
        <v>1.0800000000000001E-2</v>
      </c>
      <c r="AM334" s="137">
        <v>2.98E-2</v>
      </c>
      <c r="AN334" s="137">
        <v>4.4400000000000002E-2</v>
      </c>
      <c r="AO334" s="137">
        <v>7.0300000000000001E-2</v>
      </c>
      <c r="AQ334" s="137">
        <v>1.1999999999999999E-3</v>
      </c>
      <c r="AR334" s="137">
        <v>2.5000000000000001E-3</v>
      </c>
      <c r="AS334" s="137">
        <v>6.0000000000000001E-3</v>
      </c>
      <c r="AT334" s="137">
        <v>1.1299999999999999E-2</v>
      </c>
      <c r="AV334" s="137">
        <v>3.1300000000000001E-2</v>
      </c>
      <c r="AW334" s="137">
        <v>4.65E-2</v>
      </c>
      <c r="AX334" s="137">
        <v>7.3700000000000002E-2</v>
      </c>
    </row>
    <row r="335" spans="1:50" s="79" customFormat="1" ht="10.199999999999999" x14ac:dyDescent="0.2">
      <c r="A335" s="97">
        <f t="shared" ca="1" si="8"/>
        <v>324</v>
      </c>
      <c r="B335" s="68" t="s">
        <v>395</v>
      </c>
      <c r="C335" s="98">
        <v>0.4</v>
      </c>
      <c r="D335" s="69" t="s">
        <v>67</v>
      </c>
      <c r="E335" s="138" t="s">
        <v>87</v>
      </c>
      <c r="F335" s="159" t="s">
        <v>87</v>
      </c>
      <c r="G335" s="159">
        <v>1.75E-3</v>
      </c>
      <c r="H335" s="159" t="s">
        <v>87</v>
      </c>
      <c r="I335" s="159">
        <v>3.2499999999999999E-3</v>
      </c>
      <c r="J335" s="159" t="s">
        <v>87</v>
      </c>
      <c r="K335" s="159">
        <v>4.2500000000000003E-3</v>
      </c>
      <c r="L335" s="159">
        <v>4.6499999999999996E-3</v>
      </c>
      <c r="M335" s="159">
        <v>4.9500000000000004E-3</v>
      </c>
      <c r="N335" s="139">
        <f t="array" aca="1" ref="N335:AE335" ca="1">IF(OR(B335="",NOT($J$2)),"",GetStripDefaultProbability(A335,B335,Parameter_Date,CDSRollDate,E335:M335,SpreadCurveMaturities,D335,C335,$J$4,$J$6))</f>
        <v>0</v>
      </c>
      <c r="O335" s="166">
        <f ca="1"/>
        <v>0</v>
      </c>
      <c r="P335" s="166">
        <f ca="1"/>
        <v>3.0842240279745914E-3</v>
      </c>
      <c r="Q335" s="166">
        <f ca="1"/>
        <v>0</v>
      </c>
      <c r="R335" s="166">
        <f ca="1"/>
        <v>1.6823530321211977E-2</v>
      </c>
      <c r="S335" s="166">
        <f ca="1"/>
        <v>0</v>
      </c>
      <c r="T335" s="166">
        <f ca="1"/>
        <v>3.6443964164489251E-2</v>
      </c>
      <c r="U335" s="166">
        <f ca="1"/>
        <v>5.530644180160893E-2</v>
      </c>
      <c r="V335" s="140">
        <f ca="1"/>
        <v>8.3043952124611797E-2</v>
      </c>
      <c r="W335" s="139">
        <f ca="1"/>
        <v>0</v>
      </c>
      <c r="X335" s="166">
        <f ca="1"/>
        <v>0</v>
      </c>
      <c r="Y335" s="166">
        <f ca="1"/>
        <v>3.2503628120066352E-3</v>
      </c>
      <c r="Z335" s="166">
        <f ca="1"/>
        <v>0</v>
      </c>
      <c r="AA335" s="166">
        <f ca="1"/>
        <v>1.7657683321681161E-2</v>
      </c>
      <c r="AB335" s="166">
        <f ca="1"/>
        <v>0</v>
      </c>
      <c r="AC335" s="166">
        <f ca="1"/>
        <v>3.823819319757682E-2</v>
      </c>
      <c r="AD335" s="166">
        <f ca="1"/>
        <v>5.8003398760765212E-2</v>
      </c>
      <c r="AE335" s="140">
        <f ca="1"/>
        <v>8.7035990117946271E-2</v>
      </c>
      <c r="AI335" s="137">
        <v>3.0000000000000001E-3</v>
      </c>
      <c r="AK335" s="137">
        <v>1.66E-2</v>
      </c>
      <c r="AM335" s="137">
        <v>3.6200000000000003E-2</v>
      </c>
      <c r="AN335" s="137">
        <v>5.5100000000000003E-2</v>
      </c>
      <c r="AO335" s="137">
        <v>8.2799999999999999E-2</v>
      </c>
      <c r="AR335" s="137">
        <v>3.2000000000000002E-3</v>
      </c>
      <c r="AT335" s="137">
        <v>1.7500000000000002E-2</v>
      </c>
      <c r="AV335" s="137">
        <v>3.7999999999999999E-2</v>
      </c>
      <c r="AW335" s="137">
        <v>5.7799999999999997E-2</v>
      </c>
      <c r="AX335" s="137">
        <v>8.6800000000000002E-2</v>
      </c>
    </row>
    <row r="336" spans="1:50" s="79" customFormat="1" ht="10.199999999999999" x14ac:dyDescent="0.2">
      <c r="A336" s="97">
        <f t="shared" ca="1" si="8"/>
        <v>325</v>
      </c>
      <c r="B336" s="68" t="s">
        <v>396</v>
      </c>
      <c r="C336" s="98">
        <v>0.2</v>
      </c>
      <c r="D336" s="69" t="s">
        <v>67</v>
      </c>
      <c r="E336" s="138" t="s">
        <v>87</v>
      </c>
      <c r="F336" s="159" t="s">
        <v>87</v>
      </c>
      <c r="G336" s="159">
        <v>1.013E-3</v>
      </c>
      <c r="H336" s="159" t="s">
        <v>87</v>
      </c>
      <c r="I336" s="159">
        <v>2.0270000000000002E-3</v>
      </c>
      <c r="J336" s="159" t="s">
        <v>87</v>
      </c>
      <c r="K336" s="159">
        <v>3.6679999999999998E-3</v>
      </c>
      <c r="L336" s="159">
        <v>4.1850000000000004E-3</v>
      </c>
      <c r="M336" s="159">
        <v>4.7229999999999998E-3</v>
      </c>
      <c r="N336" s="139">
        <f t="array" aca="1" ref="N336:AE336" ca="1">IF(OR(B336="",NOT($J$2)),"",GetStripDefaultProbability(A336,B336,Parameter_Date,CDSRollDate,E336:M336,SpreadCurveMaturities,D336,C336,$J$4,$J$6))</f>
        <v>0</v>
      </c>
      <c r="O336" s="166">
        <f ca="1"/>
        <v>0</v>
      </c>
      <c r="P336" s="166">
        <f ca="1"/>
        <v>1.3401551727195704E-3</v>
      </c>
      <c r="Q336" s="166">
        <f ca="1"/>
        <v>0</v>
      </c>
      <c r="R336" s="166">
        <f ca="1"/>
        <v>7.8997506205412682E-3</v>
      </c>
      <c r="S336" s="166">
        <f ca="1"/>
        <v>0</v>
      </c>
      <c r="T336" s="166">
        <f ca="1"/>
        <v>2.4172672062139466E-2</v>
      </c>
      <c r="U336" s="166">
        <f ca="1"/>
        <v>3.8145968627571913E-2</v>
      </c>
      <c r="V336" s="140">
        <f ca="1"/>
        <v>6.1521675123225039E-2</v>
      </c>
      <c r="W336" s="139">
        <f ca="1"/>
        <v>0</v>
      </c>
      <c r="X336" s="166">
        <f ca="1"/>
        <v>0</v>
      </c>
      <c r="Y336" s="166">
        <f ca="1"/>
        <v>1.4649798516355172E-3</v>
      </c>
      <c r="Z336" s="166">
        <f ca="1"/>
        <v>0</v>
      </c>
      <c r="AA336" s="166">
        <f ca="1"/>
        <v>8.2872148458982275E-3</v>
      </c>
      <c r="AB336" s="166">
        <f ca="1"/>
        <v>0</v>
      </c>
      <c r="AC336" s="166">
        <f ca="1"/>
        <v>2.5366689795114472E-2</v>
      </c>
      <c r="AD336" s="166">
        <f ca="1"/>
        <v>4.0018489436516647E-2</v>
      </c>
      <c r="AE336" s="140">
        <f ca="1"/>
        <v>6.4519010782470354E-2</v>
      </c>
      <c r="AI336" s="137">
        <v>1.2999999999999999E-3</v>
      </c>
      <c r="AK336" s="137">
        <v>7.7999999999999996E-3</v>
      </c>
      <c r="AM336" s="137">
        <v>2.3900000000000001E-2</v>
      </c>
      <c r="AN336" s="137">
        <v>3.7999999999999999E-2</v>
      </c>
      <c r="AO336" s="137">
        <v>6.1100000000000002E-2</v>
      </c>
      <c r="AR336" s="137">
        <v>1.4E-3</v>
      </c>
      <c r="AT336" s="137">
        <v>8.2000000000000007E-3</v>
      </c>
      <c r="AV336" s="137">
        <v>2.5100000000000001E-2</v>
      </c>
      <c r="AW336" s="137">
        <v>3.9899999999999998E-2</v>
      </c>
      <c r="AX336" s="137">
        <v>6.4100000000000004E-2</v>
      </c>
    </row>
    <row r="337" spans="1:50" s="79" customFormat="1" ht="10.199999999999999" x14ac:dyDescent="0.2">
      <c r="A337" s="97">
        <f t="shared" ca="1" si="8"/>
        <v>326</v>
      </c>
      <c r="B337" s="68" t="s">
        <v>397</v>
      </c>
      <c r="C337" s="98">
        <v>0.2</v>
      </c>
      <c r="D337" s="69" t="s">
        <v>66</v>
      </c>
      <c r="E337" s="138" t="s">
        <v>87</v>
      </c>
      <c r="F337" s="159">
        <v>5.0000000000000001E-4</v>
      </c>
      <c r="G337" s="159">
        <v>1E-3</v>
      </c>
      <c r="H337" s="159">
        <v>1.6000000000000001E-3</v>
      </c>
      <c r="I337" s="159">
        <v>2.2000000000000001E-3</v>
      </c>
      <c r="J337" s="159" t="s">
        <v>87</v>
      </c>
      <c r="K337" s="159">
        <v>3.3E-3</v>
      </c>
      <c r="L337" s="159">
        <v>3.8999999999999998E-3</v>
      </c>
      <c r="M337" s="159">
        <v>4.4999999999999997E-3</v>
      </c>
      <c r="N337" s="139">
        <f t="array" aca="1" ref="N337:AE337" ca="1">IF(OR(B337="",NOT($J$2)),"",GetStripDefaultProbability(A337,B337,Parameter_Date,CDSRollDate,E337:M337,SpreadCurveMaturities,D337,C337,$J$4,$J$6))</f>
        <v>0</v>
      </c>
      <c r="O337" s="166">
        <f ca="1"/>
        <v>3.4989271846808112E-4</v>
      </c>
      <c r="P337" s="166">
        <f ca="1"/>
        <v>1.3326141701468508E-3</v>
      </c>
      <c r="Q337" s="166">
        <f ca="1"/>
        <v>4.1722336531739845E-3</v>
      </c>
      <c r="R337" s="166">
        <f ca="1"/>
        <v>8.5858351853080883E-3</v>
      </c>
      <c r="S337" s="166">
        <f ca="1"/>
        <v>0</v>
      </c>
      <c r="T337" s="166">
        <f ca="1"/>
        <v>2.1513980325858273E-2</v>
      </c>
      <c r="U337" s="166">
        <f ca="1"/>
        <v>3.5470373821308132E-2</v>
      </c>
      <c r="V337" s="140">
        <f ca="1"/>
        <v>5.8374991666133691E-2</v>
      </c>
      <c r="W337" s="139">
        <f ca="1"/>
        <v>0</v>
      </c>
      <c r="X337" s="166">
        <f ca="1"/>
        <v>4.1985632642504989E-4</v>
      </c>
      <c r="Y337" s="166">
        <f ca="1"/>
        <v>1.4648383047346503E-3</v>
      </c>
      <c r="Z337" s="166">
        <f ca="1"/>
        <v>4.4295071768826189E-3</v>
      </c>
      <c r="AA337" s="166">
        <f ca="1"/>
        <v>9.0072551831840153E-3</v>
      </c>
      <c r="AB337" s="166">
        <f ca="1"/>
        <v>0</v>
      </c>
      <c r="AC337" s="166">
        <f ca="1"/>
        <v>2.257692951970558E-2</v>
      </c>
      <c r="AD337" s="166">
        <f ca="1"/>
        <v>3.7211501479486375E-2</v>
      </c>
      <c r="AE337" s="140">
        <f ca="1"/>
        <v>6.121822300831492E-2</v>
      </c>
      <c r="AH337" s="137">
        <v>2.9999999999999997E-4</v>
      </c>
      <c r="AI337" s="137">
        <v>1.2999999999999999E-3</v>
      </c>
      <c r="AJ337" s="137">
        <v>4.1000000000000003E-3</v>
      </c>
      <c r="AK337" s="137">
        <v>8.5000000000000006E-3</v>
      </c>
      <c r="AM337" s="137">
        <v>2.1399999999999999E-2</v>
      </c>
      <c r="AN337" s="137">
        <v>3.5400000000000001E-2</v>
      </c>
      <c r="AO337" s="137">
        <v>5.8200000000000002E-2</v>
      </c>
      <c r="AQ337" s="137">
        <v>4.0000000000000002E-4</v>
      </c>
      <c r="AR337" s="137">
        <v>1.4E-3</v>
      </c>
      <c r="AS337" s="137">
        <v>4.4000000000000003E-3</v>
      </c>
      <c r="AT337" s="137">
        <v>8.8999999999999999E-3</v>
      </c>
      <c r="AV337" s="137">
        <v>2.2499999999999999E-2</v>
      </c>
      <c r="AW337" s="137">
        <v>3.7100000000000001E-2</v>
      </c>
      <c r="AX337" s="137">
        <v>6.0999999999999999E-2</v>
      </c>
    </row>
    <row r="338" spans="1:50" s="79" customFormat="1" ht="10.199999999999999" x14ac:dyDescent="0.2">
      <c r="A338" s="97">
        <f t="shared" ca="1" si="8"/>
        <v>327</v>
      </c>
      <c r="B338" s="68" t="s">
        <v>398</v>
      </c>
      <c r="C338" s="98">
        <v>0.4</v>
      </c>
      <c r="D338" s="69" t="s">
        <v>67</v>
      </c>
      <c r="E338" s="138" t="s">
        <v>87</v>
      </c>
      <c r="F338" s="159" t="s">
        <v>87</v>
      </c>
      <c r="G338" s="159">
        <v>1.3649999999999999E-3</v>
      </c>
      <c r="H338" s="159" t="s">
        <v>87</v>
      </c>
      <c r="I338" s="159">
        <v>3.6960000000000001E-3</v>
      </c>
      <c r="J338" s="159" t="s">
        <v>87</v>
      </c>
      <c r="K338" s="159">
        <v>4.3E-3</v>
      </c>
      <c r="L338" s="159">
        <v>4.3499999999999997E-3</v>
      </c>
      <c r="M338" s="159">
        <v>4.4000000000000003E-3</v>
      </c>
      <c r="N338" s="139">
        <f t="array" aca="1" ref="N338:AE338" ca="1">IF(OR(B338="",NOT($J$2)),"",GetStripDefaultProbability(A338,B338,Parameter_Date,CDSRollDate,E338:M338,SpreadCurveMaturities,D338,C338,$J$4,$J$6))</f>
        <v>0</v>
      </c>
      <c r="O338" s="166">
        <f ca="1"/>
        <v>0</v>
      </c>
      <c r="P338" s="166">
        <f ca="1"/>
        <v>2.4065055300938054E-3</v>
      </c>
      <c r="Q338" s="166">
        <f ca="1"/>
        <v>0</v>
      </c>
      <c r="R338" s="166">
        <f ca="1"/>
        <v>1.9250623154281499E-2</v>
      </c>
      <c r="S338" s="166">
        <f ca="1"/>
        <v>0</v>
      </c>
      <c r="T338" s="166">
        <f ca="1"/>
        <v>3.6605067664960744E-2</v>
      </c>
      <c r="U338" s="166">
        <f ca="1"/>
        <v>5.1128673842691486E-2</v>
      </c>
      <c r="V338" s="140">
        <f ca="1"/>
        <v>7.254686510875541E-2</v>
      </c>
      <c r="W338" s="139">
        <f ca="1"/>
        <v>0</v>
      </c>
      <c r="X338" s="166">
        <f ca="1"/>
        <v>0</v>
      </c>
      <c r="Y338" s="166">
        <f ca="1"/>
        <v>2.5727572578150282E-3</v>
      </c>
      <c r="Z338" s="166">
        <f ca="1"/>
        <v>0</v>
      </c>
      <c r="AA338" s="166">
        <f ca="1"/>
        <v>2.0201103120775055E-2</v>
      </c>
      <c r="AB338" s="166">
        <f ca="1"/>
        <v>0</v>
      </c>
      <c r="AC338" s="166">
        <f ca="1"/>
        <v>3.840298396487607E-2</v>
      </c>
      <c r="AD338" s="166">
        <f ca="1"/>
        <v>5.3617617722515387E-2</v>
      </c>
      <c r="AE338" s="140">
        <f ca="1"/>
        <v>7.6040085410302827E-2</v>
      </c>
      <c r="AI338" s="137">
        <v>2.3999999999999998E-3</v>
      </c>
      <c r="AK338" s="137">
        <v>1.9E-2</v>
      </c>
      <c r="AM338" s="137">
        <v>3.6499999999999998E-2</v>
      </c>
      <c r="AN338" s="137">
        <v>5.0900000000000001E-2</v>
      </c>
      <c r="AO338" s="137">
        <v>7.2499999999999995E-2</v>
      </c>
      <c r="AR338" s="137">
        <v>2.5000000000000001E-3</v>
      </c>
      <c r="AT338" s="137">
        <v>1.9900000000000001E-2</v>
      </c>
      <c r="AV338" s="137">
        <v>3.8300000000000001E-2</v>
      </c>
      <c r="AW338" s="137">
        <v>5.3400000000000003E-2</v>
      </c>
      <c r="AX338" s="137">
        <v>7.5999999999999998E-2</v>
      </c>
    </row>
    <row r="339" spans="1:50" s="79" customFormat="1" ht="10.199999999999999" x14ac:dyDescent="0.2">
      <c r="A339" s="97">
        <f t="shared" ca="1" si="8"/>
        <v>328</v>
      </c>
      <c r="B339" s="68" t="s">
        <v>399</v>
      </c>
      <c r="C339" s="98">
        <v>0.2</v>
      </c>
      <c r="D339" s="69" t="s">
        <v>67</v>
      </c>
      <c r="E339" s="138" t="s">
        <v>87</v>
      </c>
      <c r="F339" s="159" t="s">
        <v>87</v>
      </c>
      <c r="G339" s="159">
        <v>1.029E-3</v>
      </c>
      <c r="H339" s="159" t="s">
        <v>87</v>
      </c>
      <c r="I339" s="159">
        <v>2.5209999999999998E-3</v>
      </c>
      <c r="J339" s="159" t="s">
        <v>87</v>
      </c>
      <c r="K339" s="159">
        <v>3.5500000000000002E-3</v>
      </c>
      <c r="L339" s="159">
        <v>3.5500000000000002E-3</v>
      </c>
      <c r="M339" s="159">
        <v>3.9500000000000004E-3</v>
      </c>
      <c r="N339" s="139">
        <f t="array" aca="1" ref="N339:AE339" ca="1">IF(OR(B339="",NOT($J$2)),"",GetStripDefaultProbability(A339,B339,Parameter_Date,CDSRollDate,E339:M339,SpreadCurveMaturities,D339,C339,$J$4,$J$6))</f>
        <v>0</v>
      </c>
      <c r="O339" s="166">
        <f ca="1"/>
        <v>0</v>
      </c>
      <c r="P339" s="166">
        <f ca="1"/>
        <v>1.3613081726169263E-3</v>
      </c>
      <c r="Q339" s="166">
        <f ca="1"/>
        <v>0</v>
      </c>
      <c r="R339" s="166">
        <f ca="1"/>
        <v>9.8633682980963089E-3</v>
      </c>
      <c r="S339" s="166">
        <f ca="1"/>
        <v>0</v>
      </c>
      <c r="T339" s="166">
        <f ca="1"/>
        <v>2.3094272185570031E-2</v>
      </c>
      <c r="U339" s="166">
        <f ca="1"/>
        <v>3.169408819291275E-2</v>
      </c>
      <c r="V339" s="140">
        <f ca="1"/>
        <v>5.0885702427687973E-2</v>
      </c>
      <c r="W339" s="139">
        <f ca="1"/>
        <v>0</v>
      </c>
      <c r="X339" s="166">
        <f ca="1"/>
        <v>0</v>
      </c>
      <c r="Y339" s="166">
        <f ca="1"/>
        <v>1.48613020756172E-3</v>
      </c>
      <c r="Z339" s="166">
        <f ca="1"/>
        <v>0</v>
      </c>
      <c r="AA339" s="166">
        <f ca="1"/>
        <v>1.034822473423902E-2</v>
      </c>
      <c r="AB339" s="166">
        <f ca="1"/>
        <v>0</v>
      </c>
      <c r="AC339" s="166">
        <f ca="1"/>
        <v>2.4235211722549499E-2</v>
      </c>
      <c r="AD339" s="166">
        <f ca="1"/>
        <v>3.3246962910157385E-2</v>
      </c>
      <c r="AE339" s="140">
        <f ca="1"/>
        <v>5.3372648259496613E-2</v>
      </c>
      <c r="AI339" s="137">
        <v>1.2999999999999999E-3</v>
      </c>
      <c r="AK339" s="137">
        <v>9.7000000000000003E-3</v>
      </c>
      <c r="AM339" s="137">
        <v>2.29E-2</v>
      </c>
      <c r="AN339" s="137">
        <v>3.1600000000000003E-2</v>
      </c>
      <c r="AO339" s="137">
        <v>5.0500000000000003E-2</v>
      </c>
      <c r="AR339" s="137">
        <v>1.5E-3</v>
      </c>
      <c r="AT339" s="137">
        <v>1.0200000000000001E-2</v>
      </c>
      <c r="AV339" s="137">
        <v>2.41E-2</v>
      </c>
      <c r="AW339" s="137">
        <v>3.32E-2</v>
      </c>
      <c r="AX339" s="137">
        <v>5.2900000000000003E-2</v>
      </c>
    </row>
    <row r="340" spans="1:50" s="79" customFormat="1" ht="10.199999999999999" x14ac:dyDescent="0.2">
      <c r="A340" s="97">
        <f t="shared" ca="1" si="8"/>
        <v>329</v>
      </c>
      <c r="B340" s="68" t="s">
        <v>400</v>
      </c>
      <c r="C340" s="98">
        <v>0.2</v>
      </c>
      <c r="D340" s="69" t="s">
        <v>67</v>
      </c>
      <c r="E340" s="138" t="s">
        <v>87</v>
      </c>
      <c r="F340" s="159" t="s">
        <v>87</v>
      </c>
      <c r="G340" s="159">
        <v>6.6299999999999996E-4</v>
      </c>
      <c r="H340" s="159" t="s">
        <v>87</v>
      </c>
      <c r="I340" s="159">
        <v>1.534E-3</v>
      </c>
      <c r="J340" s="159" t="s">
        <v>87</v>
      </c>
      <c r="K340" s="159">
        <v>2.65E-3</v>
      </c>
      <c r="L340" s="159">
        <v>3.4399999999999999E-3</v>
      </c>
      <c r="M340" s="159">
        <v>4.2770000000000004E-3</v>
      </c>
      <c r="N340" s="139">
        <f t="array" aca="1" ref="N340:AE340" ca="1">IF(OR(B340="",NOT($J$2)),"",GetStripDefaultProbability(A340,B340,Parameter_Date,CDSRollDate,E340:M340,SpreadCurveMaturities,D340,C340,$J$4,$J$6))</f>
        <v>0</v>
      </c>
      <c r="O340" s="166">
        <f ca="1"/>
        <v>0</v>
      </c>
      <c r="P340" s="166">
        <f ca="1"/>
        <v>8.7732202415702343E-4</v>
      </c>
      <c r="Q340" s="166">
        <f ca="1"/>
        <v>0</v>
      </c>
      <c r="R340" s="166">
        <f ca="1"/>
        <v>5.9981738474597091E-3</v>
      </c>
      <c r="S340" s="166">
        <f ca="1"/>
        <v>0</v>
      </c>
      <c r="T340" s="166">
        <f ca="1"/>
        <v>1.7471482988319798E-2</v>
      </c>
      <c r="U340" s="166">
        <f ca="1"/>
        <v>3.1862233858141242E-2</v>
      </c>
      <c r="V340" s="140">
        <f ca="1"/>
        <v>5.6949559957006457E-2</v>
      </c>
      <c r="W340" s="139">
        <f ca="1"/>
        <v>0</v>
      </c>
      <c r="X340" s="166">
        <f ca="1"/>
        <v>0</v>
      </c>
      <c r="Y340" s="166">
        <f ca="1"/>
        <v>1.0022045535635904E-3</v>
      </c>
      <c r="Z340" s="166">
        <f ca="1"/>
        <v>0</v>
      </c>
      <c r="AA340" s="166">
        <f ca="1"/>
        <v>6.3809802917074165E-3</v>
      </c>
      <c r="AB340" s="166">
        <f ca="1"/>
        <v>0</v>
      </c>
      <c r="AC340" s="166">
        <f ca="1"/>
        <v>1.8322329875839927E-2</v>
      </c>
      <c r="AD340" s="166">
        <f ca="1"/>
        <v>3.3421113761911592E-2</v>
      </c>
      <c r="AE340" s="140">
        <f ca="1"/>
        <v>5.9718532787229606E-2</v>
      </c>
      <c r="AI340" s="137">
        <v>8.9999999999999998E-4</v>
      </c>
      <c r="AK340" s="137">
        <v>5.8999999999999999E-3</v>
      </c>
      <c r="AM340" s="137">
        <v>1.7299999999999999E-2</v>
      </c>
      <c r="AN340" s="137">
        <v>3.1699999999999999E-2</v>
      </c>
      <c r="AO340" s="137">
        <v>5.67E-2</v>
      </c>
      <c r="AR340" s="137">
        <v>1E-3</v>
      </c>
      <c r="AT340" s="137">
        <v>6.3E-3</v>
      </c>
      <c r="AV340" s="137">
        <v>1.8200000000000001E-2</v>
      </c>
      <c r="AW340" s="137">
        <v>3.32E-2</v>
      </c>
      <c r="AX340" s="137">
        <v>5.9400000000000001E-2</v>
      </c>
    </row>
    <row r="341" spans="1:50" s="79" customFormat="1" ht="10.199999999999999" x14ac:dyDescent="0.2">
      <c r="A341" s="97">
        <f t="shared" ca="1" si="8"/>
        <v>330</v>
      </c>
      <c r="B341" s="68" t="s">
        <v>401</v>
      </c>
      <c r="C341" s="98">
        <v>0.4</v>
      </c>
      <c r="D341" s="69" t="s">
        <v>66</v>
      </c>
      <c r="E341" s="138" t="s">
        <v>87</v>
      </c>
      <c r="F341" s="159">
        <v>5.0000000000000001E-4</v>
      </c>
      <c r="G341" s="159">
        <v>6.9999999999999999E-4</v>
      </c>
      <c r="H341" s="159">
        <v>1.1000000000000001E-3</v>
      </c>
      <c r="I341" s="159">
        <v>1.6000000000000001E-3</v>
      </c>
      <c r="J341" s="159" t="s">
        <v>87</v>
      </c>
      <c r="K341" s="159">
        <v>2.5999999999999999E-3</v>
      </c>
      <c r="L341" s="159">
        <v>3.3E-3</v>
      </c>
      <c r="M341" s="159">
        <v>4.1000000000000003E-3</v>
      </c>
      <c r="N341" s="139">
        <f t="array" aca="1" ref="N341:AE341" ca="1">IF(OR(B341="",NOT($J$2)),"",GetStripDefaultProbability(A341,B341,Parameter_Date,CDSRollDate,E341:M341,SpreadCurveMaturities,D341,C341,$J$4,$J$6))</f>
        <v>0</v>
      </c>
      <c r="O341" s="166">
        <f ca="1"/>
        <v>4.6649647376628689E-4</v>
      </c>
      <c r="P341" s="166">
        <f ca="1"/>
        <v>1.2400051456493699E-3</v>
      </c>
      <c r="Q341" s="166">
        <f ca="1"/>
        <v>3.8238847578477841E-3</v>
      </c>
      <c r="R341" s="166">
        <f ca="1"/>
        <v>8.3380025796327972E-3</v>
      </c>
      <c r="S341" s="166">
        <f ca="1"/>
        <v>0</v>
      </c>
      <c r="T341" s="166">
        <f ca="1"/>
        <v>2.2689856502178141E-2</v>
      </c>
      <c r="U341" s="166">
        <f ca="1"/>
        <v>4.0317772682741282E-2</v>
      </c>
      <c r="V341" s="140">
        <f ca="1"/>
        <v>7.1696690922373851E-2</v>
      </c>
      <c r="W341" s="139">
        <f ca="1"/>
        <v>0</v>
      </c>
      <c r="X341" s="166">
        <f ca="1"/>
        <v>5.5976917815403482E-4</v>
      </c>
      <c r="Y341" s="166">
        <f ca="1"/>
        <v>1.4162990558700406E-3</v>
      </c>
      <c r="Z341" s="166">
        <f ca="1"/>
        <v>4.1669967605939551E-3</v>
      </c>
      <c r="AA341" s="166">
        <f ca="1"/>
        <v>8.8464357686430795E-3</v>
      </c>
      <c r="AB341" s="166">
        <f ca="1"/>
        <v>0</v>
      </c>
      <c r="AC341" s="166">
        <f ca="1"/>
        <v>2.3795011036578106E-2</v>
      </c>
      <c r="AD341" s="166">
        <f ca="1"/>
        <v>4.2282980247664748E-2</v>
      </c>
      <c r="AE341" s="140">
        <f ca="1"/>
        <v>7.5162754858652536E-2</v>
      </c>
      <c r="AH341" s="137">
        <v>5.0000000000000001E-4</v>
      </c>
      <c r="AI341" s="137">
        <v>1.1999999999999999E-3</v>
      </c>
      <c r="AJ341" s="137">
        <v>3.8E-3</v>
      </c>
      <c r="AK341" s="137">
        <v>8.3000000000000001E-3</v>
      </c>
      <c r="AM341" s="137">
        <v>2.2599999999999999E-2</v>
      </c>
      <c r="AN341" s="137">
        <v>4.02E-2</v>
      </c>
      <c r="AO341" s="137">
        <v>7.1400000000000005E-2</v>
      </c>
      <c r="AQ341" s="137">
        <v>5.0000000000000001E-4</v>
      </c>
      <c r="AR341" s="137">
        <v>1.4E-3</v>
      </c>
      <c r="AS341" s="137">
        <v>4.1000000000000003E-3</v>
      </c>
      <c r="AT341" s="137">
        <v>8.8000000000000005E-3</v>
      </c>
      <c r="AV341" s="137">
        <v>2.3699999999999999E-2</v>
      </c>
      <c r="AW341" s="137">
        <v>4.2099999999999999E-2</v>
      </c>
      <c r="AX341" s="137">
        <v>7.4800000000000005E-2</v>
      </c>
    </row>
    <row r="342" spans="1:50" s="79" customFormat="1" ht="10.199999999999999" x14ac:dyDescent="0.2">
      <c r="A342" s="97">
        <f t="shared" ca="1" si="8"/>
        <v>331</v>
      </c>
      <c r="B342" s="68" t="s">
        <v>402</v>
      </c>
      <c r="C342" s="98">
        <v>0.4</v>
      </c>
      <c r="D342" s="69" t="s">
        <v>66</v>
      </c>
      <c r="E342" s="138" t="s">
        <v>87</v>
      </c>
      <c r="F342" s="159">
        <v>8.0000000000000004E-4</v>
      </c>
      <c r="G342" s="159">
        <v>1.2700000000000001E-3</v>
      </c>
      <c r="H342" s="159">
        <v>1.8699999999999999E-3</v>
      </c>
      <c r="I342" s="159">
        <v>2.3E-3</v>
      </c>
      <c r="J342" s="159" t="s">
        <v>87</v>
      </c>
      <c r="K342" s="159">
        <v>2.8E-3</v>
      </c>
      <c r="L342" s="159">
        <v>3.2000000000000002E-3</v>
      </c>
      <c r="M342" s="159">
        <v>3.7000000000000002E-3</v>
      </c>
      <c r="N342" s="139">
        <f t="array" aca="1" ref="N342:AE342" ca="1">IF(OR(B342="",NOT($J$2)),"",GetStripDefaultProbability(A342,B342,Parameter_Date,CDSRollDate,E342:M342,SpreadCurveMaturities,D342,C342,$J$4,$J$6))</f>
        <v>0</v>
      </c>
      <c r="O342" s="166">
        <f ca="1"/>
        <v>7.4629011945415158E-4</v>
      </c>
      <c r="P342" s="166">
        <f ca="1"/>
        <v>2.2514304663031615E-3</v>
      </c>
      <c r="Q342" s="166">
        <f ca="1"/>
        <v>6.4844849790405279E-3</v>
      </c>
      <c r="R342" s="166">
        <f ca="1"/>
        <v>1.1894458296118127E-2</v>
      </c>
      <c r="S342" s="166">
        <f ca="1"/>
        <v>0</v>
      </c>
      <c r="T342" s="166">
        <f ca="1"/>
        <v>2.3984531599949732E-2</v>
      </c>
      <c r="U342" s="166">
        <f ca="1"/>
        <v>3.8355794583660674E-2</v>
      </c>
      <c r="V342" s="140">
        <f ca="1"/>
        <v>6.3425914045142862E-2</v>
      </c>
      <c r="W342" s="139">
        <f ca="1"/>
        <v>0</v>
      </c>
      <c r="X342" s="166">
        <f ca="1"/>
        <v>8.3953601351138829E-4</v>
      </c>
      <c r="Y342" s="166">
        <f ca="1"/>
        <v>2.427571979266463E-3</v>
      </c>
      <c r="Z342" s="166">
        <f ca="1"/>
        <v>6.8267672285934333E-3</v>
      </c>
      <c r="AA342" s="166">
        <f ca="1"/>
        <v>1.2481338284764054E-2</v>
      </c>
      <c r="AB342" s="166">
        <f ca="1"/>
        <v>0</v>
      </c>
      <c r="AC342" s="166">
        <f ca="1"/>
        <v>2.5165856131910247E-2</v>
      </c>
      <c r="AD342" s="166">
        <f ca="1"/>
        <v>4.0237037306707357E-2</v>
      </c>
      <c r="AE342" s="140">
        <f ca="1"/>
        <v>6.650602748114276E-2</v>
      </c>
      <c r="AH342" s="137">
        <v>6.9999999999999999E-4</v>
      </c>
      <c r="AI342" s="137">
        <v>2.2000000000000001E-3</v>
      </c>
      <c r="AJ342" s="137">
        <v>6.4000000000000003E-3</v>
      </c>
      <c r="AK342" s="137">
        <v>1.18E-2</v>
      </c>
      <c r="AM342" s="137">
        <v>2.3900000000000001E-2</v>
      </c>
      <c r="AN342" s="137">
        <v>3.8199999999999998E-2</v>
      </c>
      <c r="AO342" s="137">
        <v>6.3299999999999995E-2</v>
      </c>
      <c r="AQ342" s="137">
        <v>8.0000000000000004E-4</v>
      </c>
      <c r="AR342" s="137">
        <v>2.3999999999999998E-3</v>
      </c>
      <c r="AS342" s="137">
        <v>6.7999999999999996E-3</v>
      </c>
      <c r="AT342" s="137">
        <v>1.24E-2</v>
      </c>
      <c r="AV342" s="137">
        <v>2.5100000000000001E-2</v>
      </c>
      <c r="AW342" s="137">
        <v>4.0099999999999997E-2</v>
      </c>
      <c r="AX342" s="137">
        <v>6.6299999999999998E-2</v>
      </c>
    </row>
    <row r="343" spans="1:50" s="79" customFormat="1" ht="10.199999999999999" x14ac:dyDescent="0.2">
      <c r="A343" s="97">
        <f t="shared" ca="1" si="8"/>
        <v>332</v>
      </c>
      <c r="B343" s="68" t="s">
        <v>403</v>
      </c>
      <c r="C343" s="98">
        <v>0.2</v>
      </c>
      <c r="D343" s="69" t="s">
        <v>67</v>
      </c>
      <c r="E343" s="138" t="s">
        <v>87</v>
      </c>
      <c r="F343" s="159" t="s">
        <v>87</v>
      </c>
      <c r="G343" s="159">
        <v>1.683E-3</v>
      </c>
      <c r="H343" s="159" t="s">
        <v>87</v>
      </c>
      <c r="I343" s="159">
        <v>3.1979999999999999E-3</v>
      </c>
      <c r="J343" s="159" t="s">
        <v>87</v>
      </c>
      <c r="K343" s="159">
        <v>5.0499999999999998E-3</v>
      </c>
      <c r="L343" s="159">
        <v>6.9020000000000001E-3</v>
      </c>
      <c r="M343" s="159">
        <v>6.8859999999999998E-3</v>
      </c>
      <c r="N343" s="139">
        <f t="array" aca="1" ref="N343:AE343" ca="1">IF(OR(B343="",NOT($J$2)),"",GetStripDefaultProbability(A343,B343,Parameter_Date,CDSRollDate,E343:M343,SpreadCurveMaturities,D343,C343,$J$4,$J$6))</f>
        <v>0</v>
      </c>
      <c r="O343" s="166">
        <f ca="1"/>
        <v>0</v>
      </c>
      <c r="P343" s="166">
        <f ca="1"/>
        <v>2.2255566702360507E-3</v>
      </c>
      <c r="Q343" s="166">
        <f ca="1"/>
        <v>0</v>
      </c>
      <c r="R343" s="166">
        <f ca="1"/>
        <v>1.2442266417183045E-2</v>
      </c>
      <c r="S343" s="166">
        <f ca="1"/>
        <v>0</v>
      </c>
      <c r="T343" s="166">
        <f ca="1"/>
        <v>3.2935284349841054E-2</v>
      </c>
      <c r="U343" s="166">
        <f ca="1"/>
        <v>6.3444843830394171E-2</v>
      </c>
      <c r="V343" s="140">
        <f ca="1"/>
        <v>8.6522650460266748E-2</v>
      </c>
      <c r="W343" s="139">
        <f ca="1"/>
        <v>0</v>
      </c>
      <c r="X343" s="166">
        <f ca="1"/>
        <v>0</v>
      </c>
      <c r="Y343" s="166">
        <f ca="1"/>
        <v>2.3502706808613549E-3</v>
      </c>
      <c r="Z343" s="166">
        <f ca="1"/>
        <v>0</v>
      </c>
      <c r="AA343" s="166">
        <f ca="1"/>
        <v>1.3059776675812595E-2</v>
      </c>
      <c r="AB343" s="166">
        <f ca="1"/>
        <v>0</v>
      </c>
      <c r="AC343" s="166">
        <f ca="1"/>
        <v>3.4561712632057762E-2</v>
      </c>
      <c r="AD343" s="166">
        <f ca="1"/>
        <v>6.6545546774165465E-2</v>
      </c>
      <c r="AE343" s="140">
        <f ca="1"/>
        <v>9.0675097126856841E-2</v>
      </c>
      <c r="AI343" s="137">
        <v>2.2000000000000001E-3</v>
      </c>
      <c r="AK343" s="137">
        <v>1.23E-2</v>
      </c>
      <c r="AM343" s="137">
        <v>3.27E-2</v>
      </c>
      <c r="AN343" s="137">
        <v>6.3E-2</v>
      </c>
      <c r="AO343" s="137">
        <v>8.6900000000000005E-2</v>
      </c>
      <c r="AR343" s="137">
        <v>2.3E-3</v>
      </c>
      <c r="AT343" s="137">
        <v>1.29E-2</v>
      </c>
      <c r="AV343" s="137">
        <v>3.4299999999999997E-2</v>
      </c>
      <c r="AW343" s="137">
        <v>6.6100000000000006E-2</v>
      </c>
      <c r="AX343" s="137">
        <v>9.11E-2</v>
      </c>
    </row>
    <row r="344" spans="1:50" s="79" customFormat="1" ht="10.199999999999999" x14ac:dyDescent="0.2">
      <c r="A344" s="97">
        <f t="shared" ca="1" si="8"/>
        <v>333</v>
      </c>
      <c r="B344" s="68" t="s">
        <v>404</v>
      </c>
      <c r="C344" s="98">
        <v>0.2</v>
      </c>
      <c r="D344" s="69" t="s">
        <v>67</v>
      </c>
      <c r="E344" s="138" t="s">
        <v>87</v>
      </c>
      <c r="F344" s="159" t="s">
        <v>87</v>
      </c>
      <c r="G344" s="159">
        <v>2.872E-3</v>
      </c>
      <c r="H344" s="159" t="s">
        <v>87</v>
      </c>
      <c r="I344" s="159">
        <v>4.6160000000000003E-3</v>
      </c>
      <c r="J344" s="159" t="s">
        <v>87</v>
      </c>
      <c r="K344" s="159">
        <v>5.9500000000000004E-3</v>
      </c>
      <c r="L344" s="159">
        <v>6.3600000000000002E-3</v>
      </c>
      <c r="M344" s="159">
        <v>7.1809999999999999E-3</v>
      </c>
      <c r="N344" s="139">
        <f t="array" aca="1" ref="N344:AE344" ca="1">IF(OR(B344="",NOT($J$2)),"",GetStripDefaultProbability(A344,B344,Parameter_Date,CDSRollDate,E344:M344,SpreadCurveMaturities,D344,C344,$J$4,$J$6))</f>
        <v>0</v>
      </c>
      <c r="O344" s="166">
        <f ca="1"/>
        <v>0</v>
      </c>
      <c r="P344" s="166">
        <f ca="1"/>
        <v>3.79489751869444E-3</v>
      </c>
      <c r="Q344" s="166">
        <f ca="1"/>
        <v>0</v>
      </c>
      <c r="R344" s="166">
        <f ca="1"/>
        <v>1.7851563473551546E-2</v>
      </c>
      <c r="S344" s="166">
        <f ca="1"/>
        <v>0</v>
      </c>
      <c r="T344" s="166">
        <f ca="1"/>
        <v>3.8164018395626664E-2</v>
      </c>
      <c r="U344" s="166">
        <f ca="1"/>
        <v>5.6418871622602396E-2</v>
      </c>
      <c r="V344" s="140">
        <f ca="1"/>
        <v>9.1115537702094906E-2</v>
      </c>
      <c r="W344" s="139">
        <f ca="1"/>
        <v>0</v>
      </c>
      <c r="X344" s="166">
        <f ca="1"/>
        <v>0</v>
      </c>
      <c r="Y344" s="166">
        <f ca="1"/>
        <v>3.9737002865535276E-3</v>
      </c>
      <c r="Z344" s="166">
        <f ca="1"/>
        <v>0</v>
      </c>
      <c r="AA344" s="166">
        <f ca="1"/>
        <v>1.8738804471517545E-2</v>
      </c>
      <c r="AB344" s="166">
        <f ca="1"/>
        <v>0</v>
      </c>
      <c r="AC344" s="166">
        <f ca="1"/>
        <v>4.0042534351099501E-2</v>
      </c>
      <c r="AD344" s="166">
        <f ca="1"/>
        <v>5.9168981036597623E-2</v>
      </c>
      <c r="AE344" s="140">
        <f ca="1"/>
        <v>9.5488458611072913E-2</v>
      </c>
      <c r="AI344" s="137">
        <v>3.7000000000000002E-3</v>
      </c>
      <c r="AK344" s="137">
        <v>1.77E-2</v>
      </c>
      <c r="AM344" s="137">
        <v>3.7900000000000003E-2</v>
      </c>
      <c r="AN344" s="137">
        <v>5.62E-2</v>
      </c>
      <c r="AO344" s="137">
        <v>9.06E-2</v>
      </c>
      <c r="AR344" s="137">
        <v>3.8999999999999998E-3</v>
      </c>
      <c r="AT344" s="137">
        <v>1.8499999999999999E-2</v>
      </c>
      <c r="AV344" s="137">
        <v>3.9800000000000002E-2</v>
      </c>
      <c r="AW344" s="137">
        <v>5.8999999999999997E-2</v>
      </c>
      <c r="AX344" s="137">
        <v>9.4899999999999998E-2</v>
      </c>
    </row>
    <row r="345" spans="1:50" s="79" customFormat="1" ht="10.199999999999999" x14ac:dyDescent="0.2">
      <c r="A345" s="97">
        <f t="shared" ca="1" si="8"/>
        <v>334</v>
      </c>
      <c r="B345" s="68" t="s">
        <v>405</v>
      </c>
      <c r="C345" s="98">
        <v>0.2</v>
      </c>
      <c r="D345" s="69" t="s">
        <v>66</v>
      </c>
      <c r="E345" s="138" t="s">
        <v>87</v>
      </c>
      <c r="F345" s="159">
        <v>1.15E-3</v>
      </c>
      <c r="G345" s="159">
        <v>1.66E-3</v>
      </c>
      <c r="H345" s="159">
        <v>2.82E-3</v>
      </c>
      <c r="I345" s="159">
        <v>3.8899999999999998E-3</v>
      </c>
      <c r="J345" s="159" t="s">
        <v>87</v>
      </c>
      <c r="K345" s="159">
        <v>5.4999999999999997E-3</v>
      </c>
      <c r="L345" s="159">
        <v>6.2100000000000002E-3</v>
      </c>
      <c r="M345" s="159">
        <v>6.62E-3</v>
      </c>
      <c r="N345" s="139">
        <f t="array" aca="1" ref="N345:AE345" ca="1">IF(OR(B345="",NOT($J$2)),"",GetStripDefaultProbability(A345,B345,Parameter_Date,CDSRollDate,E345:M345,SpreadCurveMaturities,D345,C345,$J$4,$J$6))</f>
        <v>0</v>
      </c>
      <c r="O345" s="166">
        <f ca="1"/>
        <v>8.0457062600935991E-4</v>
      </c>
      <c r="P345" s="166">
        <f ca="1"/>
        <v>2.205159952189506E-3</v>
      </c>
      <c r="Q345" s="166">
        <f ca="1"/>
        <v>7.3534971271427274E-3</v>
      </c>
      <c r="R345" s="166">
        <f ca="1"/>
        <v>1.5148923260201341E-2</v>
      </c>
      <c r="S345" s="166">
        <f ca="1"/>
        <v>0</v>
      </c>
      <c r="T345" s="166">
        <f ca="1"/>
        <v>3.5570549854919697E-2</v>
      </c>
      <c r="U345" s="166">
        <f ca="1"/>
        <v>5.5660864801880816E-2</v>
      </c>
      <c r="V345" s="140">
        <f ca="1"/>
        <v>8.3460295081003388E-2</v>
      </c>
      <c r="W345" s="139">
        <f ca="1"/>
        <v>0</v>
      </c>
      <c r="X345" s="166">
        <f ca="1"/>
        <v>8.7450135028865894E-4</v>
      </c>
      <c r="Y345" s="166">
        <f ca="1"/>
        <v>2.337268171475837E-3</v>
      </c>
      <c r="Z345" s="166">
        <f ca="1"/>
        <v>7.7186258900227012E-3</v>
      </c>
      <c r="AA345" s="166">
        <f ca="1"/>
        <v>1.5900578748731298E-2</v>
      </c>
      <c r="AB345" s="166">
        <f ca="1"/>
        <v>0</v>
      </c>
      <c r="AC345" s="166">
        <f ca="1"/>
        <v>3.7322758946787937E-2</v>
      </c>
      <c r="AD345" s="166">
        <f ca="1"/>
        <v>5.8377106725472805E-2</v>
      </c>
      <c r="AE345" s="140">
        <f ca="1"/>
        <v>8.7492309821715963E-2</v>
      </c>
      <c r="AH345" s="137">
        <v>8.0000000000000004E-4</v>
      </c>
      <c r="AI345" s="137">
        <v>2.2000000000000001E-3</v>
      </c>
      <c r="AJ345" s="137">
        <v>7.3000000000000001E-3</v>
      </c>
      <c r="AK345" s="137">
        <v>1.5100000000000001E-2</v>
      </c>
      <c r="AM345" s="137">
        <v>3.5400000000000001E-2</v>
      </c>
      <c r="AN345" s="137">
        <v>5.5500000000000001E-2</v>
      </c>
      <c r="AO345" s="137">
        <v>8.3299999999999999E-2</v>
      </c>
      <c r="AQ345" s="137">
        <v>8.0000000000000004E-4</v>
      </c>
      <c r="AR345" s="137">
        <v>2.3E-3</v>
      </c>
      <c r="AS345" s="137">
        <v>7.6E-3</v>
      </c>
      <c r="AT345" s="137">
        <v>1.5800000000000002E-2</v>
      </c>
      <c r="AV345" s="137">
        <v>3.7100000000000001E-2</v>
      </c>
      <c r="AW345" s="137">
        <v>5.8200000000000002E-2</v>
      </c>
      <c r="AX345" s="137">
        <v>8.7300000000000003E-2</v>
      </c>
    </row>
    <row r="346" spans="1:50" s="79" customFormat="1" ht="10.199999999999999" x14ac:dyDescent="0.2">
      <c r="A346" s="97">
        <f t="shared" ca="1" si="8"/>
        <v>335</v>
      </c>
      <c r="B346" s="68" t="s">
        <v>406</v>
      </c>
      <c r="C346" s="98">
        <v>0.2</v>
      </c>
      <c r="D346" s="69" t="s">
        <v>66</v>
      </c>
      <c r="E346" s="138" t="s">
        <v>87</v>
      </c>
      <c r="F346" s="159">
        <v>1.49E-3</v>
      </c>
      <c r="G346" s="159">
        <v>2.1800000000000001E-3</v>
      </c>
      <c r="H346" s="159">
        <v>3.0999999999999999E-3</v>
      </c>
      <c r="I346" s="159">
        <v>3.98E-3</v>
      </c>
      <c r="J346" s="159" t="s">
        <v>87</v>
      </c>
      <c r="K346" s="159">
        <v>5.3E-3</v>
      </c>
      <c r="L346" s="159">
        <v>5.8999999999999999E-3</v>
      </c>
      <c r="M346" s="159">
        <v>6.3E-3</v>
      </c>
      <c r="N346" s="139">
        <f t="array" aca="1" ref="N346:AE346" ca="1">IF(OR(B346="",NOT($J$2)),"",GetStripDefaultProbability(A346,B346,Parameter_Date,CDSRollDate,E346:M346,SpreadCurveMaturities,D346,C346,$J$4,$J$6))</f>
        <v>0</v>
      </c>
      <c r="O346" s="166">
        <f ca="1"/>
        <v>1.0423199528043492E-3</v>
      </c>
      <c r="P346" s="166">
        <f ca="1"/>
        <v>2.8954138741511537E-3</v>
      </c>
      <c r="Q346" s="166">
        <f ca="1"/>
        <v>8.0509070552412521E-3</v>
      </c>
      <c r="R346" s="166">
        <f ca="1"/>
        <v>1.5435282550379847E-2</v>
      </c>
      <c r="S346" s="166">
        <f ca="1"/>
        <v>0</v>
      </c>
      <c r="T346" s="166">
        <f ca="1"/>
        <v>3.4110204038014014E-2</v>
      </c>
      <c r="U346" s="166">
        <f ca="1"/>
        <v>5.2714583528366443E-2</v>
      </c>
      <c r="V346" s="140">
        <f ca="1"/>
        <v>7.9358411078871427E-2</v>
      </c>
      <c r="W346" s="139">
        <f ca="1"/>
        <v>0</v>
      </c>
      <c r="X346" s="166">
        <f ca="1"/>
        <v>1.112233123148676E-3</v>
      </c>
      <c r="Y346" s="166">
        <f ca="1"/>
        <v>3.0394951754741939E-3</v>
      </c>
      <c r="Z346" s="166">
        <f ca="1"/>
        <v>8.4521838584923348E-3</v>
      </c>
      <c r="AA346" s="166">
        <f ca="1"/>
        <v>1.6201917907764485E-2</v>
      </c>
      <c r="AB346" s="166">
        <f ca="1"/>
        <v>0</v>
      </c>
      <c r="AC346" s="166">
        <f ca="1"/>
        <v>3.5792736771695477E-2</v>
      </c>
      <c r="AD346" s="166">
        <f ca="1"/>
        <v>5.5289552942083375E-2</v>
      </c>
      <c r="AE346" s="140">
        <f ca="1"/>
        <v>8.3181812625416796E-2</v>
      </c>
      <c r="AH346" s="137">
        <v>1E-3</v>
      </c>
      <c r="AI346" s="137">
        <v>2.8999999999999998E-3</v>
      </c>
      <c r="AJ346" s="137">
        <v>8.0000000000000002E-3</v>
      </c>
      <c r="AK346" s="137">
        <v>1.5299999999999999E-2</v>
      </c>
      <c r="AM346" s="137">
        <v>3.4000000000000002E-2</v>
      </c>
      <c r="AN346" s="137">
        <v>5.2600000000000001E-2</v>
      </c>
      <c r="AO346" s="137">
        <v>7.9200000000000007E-2</v>
      </c>
      <c r="AQ346" s="137">
        <v>1.1000000000000001E-3</v>
      </c>
      <c r="AR346" s="137">
        <v>3.0000000000000001E-3</v>
      </c>
      <c r="AS346" s="137">
        <v>8.3999999999999995E-3</v>
      </c>
      <c r="AT346" s="137">
        <v>1.61E-2</v>
      </c>
      <c r="AV346" s="137">
        <v>3.5700000000000003E-2</v>
      </c>
      <c r="AW346" s="137">
        <v>5.5199999999999999E-2</v>
      </c>
      <c r="AX346" s="137">
        <v>8.3000000000000004E-2</v>
      </c>
    </row>
    <row r="347" spans="1:50" s="79" customFormat="1" ht="10.199999999999999" x14ac:dyDescent="0.2">
      <c r="A347" s="97">
        <f t="shared" ca="1" si="8"/>
        <v>336</v>
      </c>
      <c r="B347" s="68" t="s">
        <v>407</v>
      </c>
      <c r="C347" s="98">
        <v>0.2</v>
      </c>
      <c r="D347" s="69" t="s">
        <v>66</v>
      </c>
      <c r="E347" s="138" t="s">
        <v>87</v>
      </c>
      <c r="F347" s="159">
        <v>1.39E-3</v>
      </c>
      <c r="G347" s="159">
        <v>2.0899999999999998E-3</v>
      </c>
      <c r="H347" s="159">
        <v>3.0500000000000002E-3</v>
      </c>
      <c r="I347" s="159">
        <v>3.8999999999999998E-3</v>
      </c>
      <c r="J347" s="159" t="s">
        <v>87</v>
      </c>
      <c r="K347" s="159">
        <v>5.3E-3</v>
      </c>
      <c r="L347" s="159">
        <v>6.0000000000000001E-3</v>
      </c>
      <c r="M347" s="159">
        <v>6.6E-3</v>
      </c>
      <c r="N347" s="139">
        <f t="array" aca="1" ref="N347:AE347" ca="1">IF(OR(B347="",NOT($J$2)),"",GetStripDefaultProbability(A347,B347,Parameter_Date,CDSRollDate,E347:M347,SpreadCurveMaturities,D347,C347,$J$4,$J$6))</f>
        <v>0</v>
      </c>
      <c r="O347" s="166">
        <f ca="1"/>
        <v>9.7239953892247488E-4</v>
      </c>
      <c r="P347" s="166">
        <f ca="1"/>
        <v>2.7767655493330379E-3</v>
      </c>
      <c r="Q347" s="166">
        <f ca="1"/>
        <v>7.9261272088819723E-3</v>
      </c>
      <c r="R347" s="166">
        <f ca="1"/>
        <v>1.5128546452414571E-2</v>
      </c>
      <c r="S347" s="166">
        <f ca="1"/>
        <v>0</v>
      </c>
      <c r="T347" s="166">
        <f ca="1"/>
        <v>3.4167125140202925E-2</v>
      </c>
      <c r="U347" s="166">
        <f ca="1"/>
        <v>5.3725960196556177E-2</v>
      </c>
      <c r="V347" s="140">
        <f ca="1"/>
        <v>8.3596497121246172E-2</v>
      </c>
      <c r="W347" s="139">
        <f ca="1"/>
        <v>0</v>
      </c>
      <c r="X347" s="166">
        <f ca="1"/>
        <v>1.042317897982703E-3</v>
      </c>
      <c r="Y347" s="166">
        <f ca="1"/>
        <v>2.9148368581154438E-3</v>
      </c>
      <c r="Z347" s="166">
        <f ca="1"/>
        <v>8.3212633990338292E-3</v>
      </c>
      <c r="AA347" s="166">
        <f ca="1"/>
        <v>1.5879951442442586E-2</v>
      </c>
      <c r="AB347" s="166">
        <f ca="1"/>
        <v>0</v>
      </c>
      <c r="AC347" s="166">
        <f ca="1"/>
        <v>3.5852925376778422E-2</v>
      </c>
      <c r="AD347" s="166">
        <f ca="1"/>
        <v>5.6349899866863562E-2</v>
      </c>
      <c r="AE347" s="140">
        <f ca="1"/>
        <v>8.7639554131327735E-2</v>
      </c>
      <c r="AH347" s="137">
        <v>8.9999999999999998E-4</v>
      </c>
      <c r="AI347" s="137">
        <v>2.7000000000000001E-3</v>
      </c>
      <c r="AJ347" s="137">
        <v>7.9000000000000008E-3</v>
      </c>
      <c r="AK347" s="137">
        <v>1.4999999999999999E-2</v>
      </c>
      <c r="AM347" s="137">
        <v>3.4000000000000002E-2</v>
      </c>
      <c r="AN347" s="137">
        <v>5.3600000000000002E-2</v>
      </c>
      <c r="AO347" s="137">
        <v>8.3400000000000002E-2</v>
      </c>
      <c r="AQ347" s="137">
        <v>1E-3</v>
      </c>
      <c r="AR347" s="137">
        <v>2.8999999999999998E-3</v>
      </c>
      <c r="AS347" s="137">
        <v>8.3000000000000001E-3</v>
      </c>
      <c r="AT347" s="137">
        <v>1.5800000000000002E-2</v>
      </c>
      <c r="AV347" s="137">
        <v>3.5700000000000003E-2</v>
      </c>
      <c r="AW347" s="137">
        <v>5.62E-2</v>
      </c>
      <c r="AX347" s="137">
        <v>8.7400000000000005E-2</v>
      </c>
    </row>
    <row r="348" spans="1:50" s="79" customFormat="1" ht="10.199999999999999" x14ac:dyDescent="0.2">
      <c r="A348" s="97">
        <f t="shared" ca="1" si="8"/>
        <v>337</v>
      </c>
      <c r="B348" s="68" t="s">
        <v>408</v>
      </c>
      <c r="C348" s="98">
        <v>0.4</v>
      </c>
      <c r="D348" s="69" t="s">
        <v>67</v>
      </c>
      <c r="E348" s="138" t="s">
        <v>87</v>
      </c>
      <c r="F348" s="159" t="s">
        <v>87</v>
      </c>
      <c r="G348" s="159">
        <v>2.5000000000000001E-3</v>
      </c>
      <c r="H348" s="159" t="s">
        <v>87</v>
      </c>
      <c r="I348" s="159">
        <v>3.7000000000000002E-3</v>
      </c>
      <c r="J348" s="159" t="s">
        <v>87</v>
      </c>
      <c r="K348" s="159">
        <v>5.0000000000000001E-3</v>
      </c>
      <c r="L348" s="159">
        <v>5.7999999999999996E-3</v>
      </c>
      <c r="M348" s="159">
        <v>7.0000000000000001E-3</v>
      </c>
      <c r="N348" s="139">
        <f t="array" aca="1" ref="N348:AE348" ca="1">IF(OR(B348="",NOT($J$2)),"",GetStripDefaultProbability(A348,B348,Parameter_Date,CDSRollDate,E348:M348,SpreadCurveMaturities,D348,C348,$J$4,$J$6))</f>
        <v>0</v>
      </c>
      <c r="O348" s="166">
        <f ca="1"/>
        <v>0</v>
      </c>
      <c r="P348" s="166">
        <f ca="1"/>
        <v>4.4031444174387202E-3</v>
      </c>
      <c r="Q348" s="166">
        <f ca="1"/>
        <v>0</v>
      </c>
      <c r="R348" s="166">
        <f ca="1"/>
        <v>1.9026862975815573E-2</v>
      </c>
      <c r="S348" s="166">
        <f ca="1"/>
        <v>0</v>
      </c>
      <c r="T348" s="166">
        <f ca="1"/>
        <v>4.2809049877632899E-2</v>
      </c>
      <c r="U348" s="166">
        <f ca="1"/>
        <v>6.9111237179671492E-2</v>
      </c>
      <c r="V348" s="140">
        <f ca="1"/>
        <v>0.11939238992491819</v>
      </c>
      <c r="W348" s="139">
        <f ca="1"/>
        <v>0</v>
      </c>
      <c r="X348" s="166">
        <f ca="1"/>
        <v>0</v>
      </c>
      <c r="Y348" s="166">
        <f ca="1"/>
        <v>4.6105388246836521E-3</v>
      </c>
      <c r="Z348" s="166">
        <f ca="1"/>
        <v>0</v>
      </c>
      <c r="AA348" s="166">
        <f ca="1"/>
        <v>1.9971900926771258E-2</v>
      </c>
      <c r="AB348" s="166">
        <f ca="1"/>
        <v>0</v>
      </c>
      <c r="AC348" s="166">
        <f ca="1"/>
        <v>4.4912895989008161E-2</v>
      </c>
      <c r="AD348" s="166">
        <f ca="1"/>
        <v>7.2468222046200625E-2</v>
      </c>
      <c r="AE348" s="140">
        <f ca="1"/>
        <v>0.12507221618636932</v>
      </c>
      <c r="AI348" s="137">
        <v>4.3E-3</v>
      </c>
      <c r="AK348" s="137">
        <v>1.8800000000000001E-2</v>
      </c>
      <c r="AM348" s="137">
        <v>4.2500000000000003E-2</v>
      </c>
      <c r="AN348" s="137">
        <v>6.88E-2</v>
      </c>
      <c r="AO348" s="137">
        <v>0.1187</v>
      </c>
      <c r="AR348" s="137">
        <v>4.5999999999999999E-3</v>
      </c>
      <c r="AT348" s="137">
        <v>1.9800000000000002E-2</v>
      </c>
      <c r="AV348" s="137">
        <v>4.4600000000000001E-2</v>
      </c>
      <c r="AW348" s="137">
        <v>7.22E-2</v>
      </c>
      <c r="AX348" s="137">
        <v>0.12429999999999999</v>
      </c>
    </row>
    <row r="349" spans="1:50" s="79" customFormat="1" ht="10.199999999999999" x14ac:dyDescent="0.2">
      <c r="A349" s="97">
        <f t="shared" ca="1" si="8"/>
        <v>338</v>
      </c>
      <c r="B349" s="68" t="s">
        <v>409</v>
      </c>
      <c r="C349" s="98">
        <v>0.2</v>
      </c>
      <c r="D349" s="69" t="s">
        <v>66</v>
      </c>
      <c r="E349" s="138" t="s">
        <v>87</v>
      </c>
      <c r="F349" s="159">
        <v>1.2199999999999999E-3</v>
      </c>
      <c r="G349" s="159">
        <v>1.82E-3</v>
      </c>
      <c r="H349" s="159">
        <v>2.6700000000000001E-3</v>
      </c>
      <c r="I349" s="159">
        <v>3.4399999999999999E-3</v>
      </c>
      <c r="J349" s="159" t="s">
        <v>87</v>
      </c>
      <c r="K349" s="159">
        <v>4.7999999999999996E-3</v>
      </c>
      <c r="L349" s="159">
        <v>5.4999999999999997E-3</v>
      </c>
      <c r="M349" s="159">
        <v>6.1000000000000004E-3</v>
      </c>
      <c r="N349" s="139">
        <f t="array" aca="1" ref="N349:AE349" ca="1">IF(OR(B349="",NOT($J$2)),"",GetStripDefaultProbability(A349,B349,Parameter_Date,CDSRollDate,E349:M349,SpreadCurveMaturities,D349,C349,$J$4,$J$6))</f>
        <v>0</v>
      </c>
      <c r="O349" s="166">
        <f ca="1"/>
        <v>8.5352363083623928E-4</v>
      </c>
      <c r="P349" s="166">
        <f ca="1"/>
        <v>2.4182556904827068E-3</v>
      </c>
      <c r="Q349" s="166">
        <f ca="1"/>
        <v>6.9424671549233041E-3</v>
      </c>
      <c r="R349" s="166">
        <f ca="1"/>
        <v>1.3357561887623715E-2</v>
      </c>
      <c r="S349" s="166">
        <f ca="1"/>
        <v>0</v>
      </c>
      <c r="T349" s="166">
        <f ca="1"/>
        <v>3.1036039541581073E-2</v>
      </c>
      <c r="U349" s="166">
        <f ca="1"/>
        <v>4.9444256979652268E-2</v>
      </c>
      <c r="V349" s="140">
        <f ca="1"/>
        <v>7.7705961299417314E-2</v>
      </c>
      <c r="W349" s="139">
        <f ca="1"/>
        <v>0</v>
      </c>
      <c r="X349" s="166">
        <f ca="1"/>
        <v>9.2345076127819947E-4</v>
      </c>
      <c r="Y349" s="166">
        <f ca="1"/>
        <v>2.5503408744310674E-3</v>
      </c>
      <c r="Z349" s="166">
        <f ca="1"/>
        <v>7.2879088693080796E-3</v>
      </c>
      <c r="AA349" s="166">
        <f ca="1"/>
        <v>1.402085251328633E-2</v>
      </c>
      <c r="AB349" s="166">
        <f ca="1"/>
        <v>0</v>
      </c>
      <c r="AC349" s="166">
        <f ca="1"/>
        <v>3.2568326759950583E-2</v>
      </c>
      <c r="AD349" s="166">
        <f ca="1"/>
        <v>5.1863911391526574E-2</v>
      </c>
      <c r="AE349" s="140">
        <f ca="1"/>
        <v>8.145912763344465E-2</v>
      </c>
      <c r="AH349" s="137">
        <v>8.0000000000000004E-4</v>
      </c>
      <c r="AI349" s="137">
        <v>2.3999999999999998E-3</v>
      </c>
      <c r="AJ349" s="137">
        <v>6.8999999999999999E-3</v>
      </c>
      <c r="AK349" s="137">
        <v>1.3299999999999999E-2</v>
      </c>
      <c r="AM349" s="137">
        <v>3.09E-2</v>
      </c>
      <c r="AN349" s="137">
        <v>4.9299999999999997E-2</v>
      </c>
      <c r="AO349" s="137">
        <v>7.7499999999999999E-2</v>
      </c>
      <c r="AQ349" s="137">
        <v>8.9999999999999998E-4</v>
      </c>
      <c r="AR349" s="137">
        <v>2.5000000000000001E-3</v>
      </c>
      <c r="AS349" s="137">
        <v>7.1999999999999998E-3</v>
      </c>
      <c r="AT349" s="137">
        <v>1.3899999999999999E-2</v>
      </c>
      <c r="AV349" s="137">
        <v>3.2399999999999998E-2</v>
      </c>
      <c r="AW349" s="137">
        <v>5.1700000000000003E-2</v>
      </c>
      <c r="AX349" s="137">
        <v>8.1199999999999994E-2</v>
      </c>
    </row>
    <row r="350" spans="1:50" s="79" customFormat="1" ht="10.199999999999999" x14ac:dyDescent="0.2">
      <c r="A350" s="97">
        <f t="shared" ca="1" si="8"/>
        <v>339</v>
      </c>
      <c r="B350" s="68" t="s">
        <v>410</v>
      </c>
      <c r="C350" s="98">
        <v>0.2</v>
      </c>
      <c r="D350" s="69" t="s">
        <v>66</v>
      </c>
      <c r="E350" s="138" t="s">
        <v>87</v>
      </c>
      <c r="F350" s="159">
        <v>1.42E-3</v>
      </c>
      <c r="G350" s="159">
        <v>1.7700000000000001E-3</v>
      </c>
      <c r="H350" s="159">
        <v>2.66E-3</v>
      </c>
      <c r="I350" s="159">
        <v>3.4199999999999999E-3</v>
      </c>
      <c r="J350" s="159" t="s">
        <v>87</v>
      </c>
      <c r="K350" s="159">
        <v>4.5999999999999999E-3</v>
      </c>
      <c r="L350" s="159">
        <v>5.2399999999999999E-3</v>
      </c>
      <c r="M350" s="159">
        <v>5.7999999999999996E-3</v>
      </c>
      <c r="N350" s="139">
        <f t="array" aca="1" ref="N350:AE350" ca="1">IF(OR(B350="",NOT($J$2)),"",GetStripDefaultProbability(A350,B350,Parameter_Date,CDSRollDate,E350:M350,SpreadCurveMaturities,D350,C350,$J$4,$J$6))</f>
        <v>0</v>
      </c>
      <c r="O350" s="166">
        <f ca="1"/>
        <v>9.9337617569206227E-4</v>
      </c>
      <c r="P350" s="166">
        <f ca="1"/>
        <v>2.347370595816356E-3</v>
      </c>
      <c r="Q350" s="166">
        <f ca="1"/>
        <v>6.9199969298087138E-3</v>
      </c>
      <c r="R350" s="166">
        <f ca="1"/>
        <v>1.327800806702506E-2</v>
      </c>
      <c r="S350" s="166">
        <f ca="1"/>
        <v>0</v>
      </c>
      <c r="T350" s="166">
        <f ca="1"/>
        <v>2.9698071661677483E-2</v>
      </c>
      <c r="U350" s="166">
        <f ca="1"/>
        <v>4.7074314801229034E-2</v>
      </c>
      <c r="V350" s="140">
        <f ca="1"/>
        <v>7.3877356867318666E-2</v>
      </c>
      <c r="W350" s="139">
        <f ca="1"/>
        <v>0</v>
      </c>
      <c r="X350" s="166">
        <f ca="1"/>
        <v>1.0632929803825464E-3</v>
      </c>
      <c r="Y350" s="166">
        <f ca="1"/>
        <v>2.479451675690969E-3</v>
      </c>
      <c r="Z350" s="166">
        <f ca="1"/>
        <v>7.2639673274064176E-3</v>
      </c>
      <c r="AA350" s="166">
        <f ca="1"/>
        <v>1.3937362760022554E-2</v>
      </c>
      <c r="AB350" s="166">
        <f ca="1"/>
        <v>0</v>
      </c>
      <c r="AC350" s="166">
        <f ca="1"/>
        <v>3.1164150065797869E-2</v>
      </c>
      <c r="AD350" s="166">
        <f ca="1"/>
        <v>4.9380146056511531E-2</v>
      </c>
      <c r="AE350" s="140">
        <f ca="1"/>
        <v>7.7449692767638467E-2</v>
      </c>
      <c r="AH350" s="137">
        <v>1E-3</v>
      </c>
      <c r="AI350" s="137">
        <v>2.3E-3</v>
      </c>
      <c r="AJ350" s="137">
        <v>6.8999999999999999E-3</v>
      </c>
      <c r="AK350" s="137">
        <v>1.32E-2</v>
      </c>
      <c r="AM350" s="137">
        <v>2.9600000000000001E-2</v>
      </c>
      <c r="AN350" s="137">
        <v>4.6899999999999997E-2</v>
      </c>
      <c r="AO350" s="137">
        <v>7.3700000000000002E-2</v>
      </c>
      <c r="AQ350" s="137">
        <v>1E-3</v>
      </c>
      <c r="AR350" s="137">
        <v>2.3999999999999998E-3</v>
      </c>
      <c r="AS350" s="137">
        <v>7.1999999999999998E-3</v>
      </c>
      <c r="AT350" s="137">
        <v>1.3899999999999999E-2</v>
      </c>
      <c r="AV350" s="137">
        <v>3.1E-2</v>
      </c>
      <c r="AW350" s="137">
        <v>4.9200000000000001E-2</v>
      </c>
      <c r="AX350" s="137">
        <v>7.7200000000000005E-2</v>
      </c>
    </row>
    <row r="351" spans="1:50" s="79" customFormat="1" ht="10.199999999999999" x14ac:dyDescent="0.2">
      <c r="A351" s="97">
        <f t="shared" ca="1" si="8"/>
        <v>340</v>
      </c>
      <c r="B351" s="68" t="s">
        <v>124</v>
      </c>
      <c r="C351" s="98">
        <v>0.4</v>
      </c>
      <c r="D351" s="69" t="s">
        <v>66</v>
      </c>
      <c r="E351" s="138" t="s">
        <v>87</v>
      </c>
      <c r="F351" s="159">
        <v>1.8500000000000001E-3</v>
      </c>
      <c r="G351" s="159">
        <v>2.0699999999999998E-3</v>
      </c>
      <c r="H351" s="159">
        <v>2.81E-3</v>
      </c>
      <c r="I351" s="159">
        <v>3.2599999999999999E-3</v>
      </c>
      <c r="J351" s="159" t="s">
        <v>87</v>
      </c>
      <c r="K351" s="159">
        <v>4.1000000000000003E-3</v>
      </c>
      <c r="L351" s="159">
        <v>4.5999999999999999E-3</v>
      </c>
      <c r="M351" s="159">
        <v>5.0000000000000001E-3</v>
      </c>
      <c r="N351" s="139">
        <f t="array" aca="1" ref="N351:AE351" ca="1">IF(OR(B351="",NOT($J$2)),"",GetStripDefaultProbability(A351,B351,Parameter_Date,CDSRollDate,E351:M351,SpreadCurveMaturities,D351,C351,$J$4,$J$6))</f>
        <v>0</v>
      </c>
      <c r="O351" s="166">
        <f ca="1"/>
        <v>1.7249527500857731E-3</v>
      </c>
      <c r="P351" s="166">
        <f ca="1"/>
        <v>3.6530620635510935E-3</v>
      </c>
      <c r="Q351" s="166">
        <f ca="1"/>
        <v>9.7125358763987535E-3</v>
      </c>
      <c r="R351" s="166">
        <f ca="1"/>
        <v>1.6757937606140416E-2</v>
      </c>
      <c r="S351" s="166">
        <f ca="1"/>
        <v>0</v>
      </c>
      <c r="T351" s="166">
        <f ca="1"/>
        <v>3.5006360530892011E-2</v>
      </c>
      <c r="U351" s="166">
        <f ca="1"/>
        <v>5.461714496114356E-2</v>
      </c>
      <c r="V351" s="140">
        <f ca="1"/>
        <v>8.3973704593874876E-2</v>
      </c>
      <c r="W351" s="139">
        <f ca="1"/>
        <v>0</v>
      </c>
      <c r="X351" s="166">
        <f ca="1"/>
        <v>1.8181021060176272E-3</v>
      </c>
      <c r="Y351" s="166">
        <f ca="1"/>
        <v>3.8351810580838919E-3</v>
      </c>
      <c r="Z351" s="166">
        <f ca="1"/>
        <v>1.0195991898950374E-2</v>
      </c>
      <c r="AA351" s="166">
        <f ca="1"/>
        <v>1.7589316439558189E-2</v>
      </c>
      <c r="AB351" s="166">
        <f ca="1"/>
        <v>0</v>
      </c>
      <c r="AC351" s="166">
        <f ca="1"/>
        <v>3.6729771617674656E-2</v>
      </c>
      <c r="AD351" s="166">
        <f ca="1"/>
        <v>5.7281553773926408E-2</v>
      </c>
      <c r="AE351" s="140">
        <f ca="1"/>
        <v>8.801115505274637E-2</v>
      </c>
      <c r="AH351" s="137">
        <v>1.6999999999999999E-3</v>
      </c>
      <c r="AI351" s="137">
        <v>3.5999999999999999E-3</v>
      </c>
      <c r="AJ351" s="137">
        <v>9.5999999999999992E-3</v>
      </c>
      <c r="AK351" s="137">
        <v>1.67E-2</v>
      </c>
      <c r="AM351" s="137">
        <v>3.4799999999999998E-2</v>
      </c>
      <c r="AN351" s="137">
        <v>5.45E-2</v>
      </c>
      <c r="AO351" s="137">
        <v>8.3799999999999999E-2</v>
      </c>
      <c r="AQ351" s="137">
        <v>1.8E-3</v>
      </c>
      <c r="AR351" s="137">
        <v>3.8E-3</v>
      </c>
      <c r="AS351" s="137">
        <v>1.01E-2</v>
      </c>
      <c r="AT351" s="137">
        <v>1.7500000000000002E-2</v>
      </c>
      <c r="AV351" s="137">
        <v>3.6600000000000001E-2</v>
      </c>
      <c r="AW351" s="137">
        <v>5.7099999999999998E-2</v>
      </c>
      <c r="AX351" s="137">
        <v>8.7800000000000003E-2</v>
      </c>
    </row>
    <row r="352" spans="1:50" s="79" customFormat="1" ht="10.199999999999999" x14ac:dyDescent="0.2">
      <c r="A352" s="97">
        <f t="shared" ca="1" si="8"/>
        <v>341</v>
      </c>
      <c r="B352" s="68" t="s">
        <v>411</v>
      </c>
      <c r="C352" s="98">
        <v>0.4</v>
      </c>
      <c r="D352" s="69" t="s">
        <v>67</v>
      </c>
      <c r="E352" s="138" t="s">
        <v>87</v>
      </c>
      <c r="F352" s="159">
        <v>1.41E-3</v>
      </c>
      <c r="G352" s="159">
        <v>2.1900000000000001E-3</v>
      </c>
      <c r="H352" s="159">
        <v>3.2100000000000002E-3</v>
      </c>
      <c r="I352" s="159">
        <v>3.7299999999999998E-3</v>
      </c>
      <c r="J352" s="159" t="s">
        <v>87</v>
      </c>
      <c r="K352" s="159">
        <v>4.4999999999999997E-3</v>
      </c>
      <c r="L352" s="159">
        <v>4.8900000000000002E-3</v>
      </c>
      <c r="M352" s="159">
        <v>5.2700000000000004E-3</v>
      </c>
      <c r="N352" s="139">
        <f t="array" aca="1" ref="N352:AE352" ca="1">IF(OR(B352="",NOT($J$2)),"",GetStripDefaultProbability(A352,B352,Parameter_Date,CDSRollDate,E352:M352,SpreadCurveMaturities,D352,C352,$J$4,$J$6))</f>
        <v>0</v>
      </c>
      <c r="O352" s="166">
        <f ca="1"/>
        <v>1.3149828785382622E-3</v>
      </c>
      <c r="P352" s="166">
        <f ca="1"/>
        <v>3.878742603695251E-3</v>
      </c>
      <c r="Q352" s="166">
        <f ca="1"/>
        <v>1.1107324865335721E-2</v>
      </c>
      <c r="R352" s="166">
        <f ca="1"/>
        <v>1.9185071521513719E-2</v>
      </c>
      <c r="S352" s="166">
        <f ca="1"/>
        <v>0</v>
      </c>
      <c r="T352" s="166">
        <f ca="1"/>
        <v>3.8314261471322442E-2</v>
      </c>
      <c r="U352" s="166">
        <f ca="1"/>
        <v>5.7776107481699812E-2</v>
      </c>
      <c r="V352" s="140">
        <f ca="1"/>
        <v>8.8183087012906558E-2</v>
      </c>
      <c r="W352" s="139">
        <f ca="1"/>
        <v>0</v>
      </c>
      <c r="X352" s="166">
        <f ca="1"/>
        <v>1.4081746357321734E-3</v>
      </c>
      <c r="Y352" s="166">
        <f ca="1"/>
        <v>4.0715770074879476E-3</v>
      </c>
      <c r="Z352" s="166">
        <f ca="1"/>
        <v>1.1660506517379932E-2</v>
      </c>
      <c r="AA352" s="166">
        <f ca="1"/>
        <v>2.0135546335882992E-2</v>
      </c>
      <c r="AB352" s="166">
        <f ca="1"/>
        <v>0</v>
      </c>
      <c r="AC352" s="166">
        <f ca="1"/>
        <v>4.0197768282170254E-2</v>
      </c>
      <c r="AD352" s="166">
        <f ca="1"/>
        <v>6.0587731321904426E-2</v>
      </c>
      <c r="AE352" s="140">
        <f ca="1"/>
        <v>9.2438748809719695E-2</v>
      </c>
      <c r="AH352" s="137">
        <v>1.2999999999999999E-3</v>
      </c>
      <c r="AI352" s="137">
        <v>3.8E-3</v>
      </c>
      <c r="AJ352" s="137">
        <v>1.0999999999999999E-2</v>
      </c>
      <c r="AK352" s="137">
        <v>1.9099999999999999E-2</v>
      </c>
      <c r="AM352" s="137">
        <v>3.8199999999999998E-2</v>
      </c>
      <c r="AN352" s="137">
        <v>5.7599999999999998E-2</v>
      </c>
      <c r="AO352" s="137">
        <v>8.7999999999999995E-2</v>
      </c>
      <c r="AQ352" s="137">
        <v>1.4E-3</v>
      </c>
      <c r="AR352" s="137">
        <v>4.0000000000000001E-3</v>
      </c>
      <c r="AS352" s="137">
        <v>1.1599999999999999E-2</v>
      </c>
      <c r="AT352" s="137">
        <v>0.02</v>
      </c>
      <c r="AV352" s="137">
        <v>0.04</v>
      </c>
      <c r="AW352" s="137">
        <v>6.0400000000000002E-2</v>
      </c>
      <c r="AX352" s="137">
        <v>9.2200000000000004E-2</v>
      </c>
    </row>
    <row r="353" spans="1:50" s="79" customFormat="1" ht="10.199999999999999" x14ac:dyDescent="0.2">
      <c r="A353" s="97">
        <f t="shared" ca="1" si="8"/>
        <v>342</v>
      </c>
      <c r="B353" s="68" t="s">
        <v>412</v>
      </c>
      <c r="C353" s="98">
        <v>0.4</v>
      </c>
      <c r="D353" s="69" t="s">
        <v>66</v>
      </c>
      <c r="E353" s="138" t="s">
        <v>87</v>
      </c>
      <c r="F353" s="159">
        <v>1.0200000000000001E-3</v>
      </c>
      <c r="G353" s="159">
        <v>1.5399999999999999E-3</v>
      </c>
      <c r="H353" s="159">
        <v>2.0500000000000002E-3</v>
      </c>
      <c r="I353" s="159">
        <v>2.7599999999999999E-3</v>
      </c>
      <c r="J353" s="159" t="s">
        <v>87</v>
      </c>
      <c r="K353" s="159">
        <v>4.3E-3</v>
      </c>
      <c r="L353" s="159">
        <v>5.0000000000000001E-3</v>
      </c>
      <c r="M353" s="159">
        <v>5.4000000000000003E-3</v>
      </c>
      <c r="N353" s="139">
        <f t="array" aca="1" ref="N353:AE353" ca="1">IF(OR(B353="",NOT($J$2)),"",GetStripDefaultProbability(A353,B353,Parameter_Date,CDSRollDate,E353:M353,SpreadCurveMaturities,D353,C353,$J$4,$J$6))</f>
        <v>0</v>
      </c>
      <c r="O353" s="166">
        <f ca="1"/>
        <v>9.5142246280754961E-4</v>
      </c>
      <c r="P353" s="166">
        <f ca="1"/>
        <v>2.7282180493904962E-3</v>
      </c>
      <c r="Q353" s="166">
        <f ca="1"/>
        <v>7.0892940275475436E-3</v>
      </c>
      <c r="R353" s="166">
        <f ca="1"/>
        <v>1.4294111356866535E-2</v>
      </c>
      <c r="S353" s="166">
        <f ca="1"/>
        <v>0</v>
      </c>
      <c r="T353" s="166">
        <f ca="1"/>
        <v>3.720252043139971E-2</v>
      </c>
      <c r="U353" s="166">
        <f ca="1"/>
        <v>5.9980725592431061E-2</v>
      </c>
      <c r="V353" s="140">
        <f ca="1"/>
        <v>9.1028487836858352E-2</v>
      </c>
      <c r="W353" s="139">
        <f ca="1"/>
        <v>0</v>
      </c>
      <c r="X353" s="166">
        <f ca="1"/>
        <v>1.0446484840380688E-3</v>
      </c>
      <c r="Y353" s="166">
        <f ca="1"/>
        <v>2.9042799744307679E-3</v>
      </c>
      <c r="Z353" s="166">
        <f ca="1"/>
        <v>7.4401786836754136E-3</v>
      </c>
      <c r="AA353" s="166">
        <f ca="1"/>
        <v>1.500197317341756E-2</v>
      </c>
      <c r="AB353" s="166">
        <f ca="1"/>
        <v>0</v>
      </c>
      <c r="AC353" s="166">
        <f ca="1"/>
        <v>3.9032587985337819E-2</v>
      </c>
      <c r="AD353" s="166">
        <f ca="1"/>
        <v>6.290493289159893E-2</v>
      </c>
      <c r="AE353" s="140">
        <f ca="1"/>
        <v>9.5392776555206726E-2</v>
      </c>
      <c r="AH353" s="137">
        <v>8.9999999999999998E-4</v>
      </c>
      <c r="AI353" s="137">
        <v>2.7000000000000001E-3</v>
      </c>
      <c r="AJ353" s="137">
        <v>7.0000000000000001E-3</v>
      </c>
      <c r="AK353" s="137">
        <v>1.4200000000000001E-2</v>
      </c>
      <c r="AM353" s="137">
        <v>3.6999999999999998E-2</v>
      </c>
      <c r="AN353" s="137">
        <v>5.9799999999999999E-2</v>
      </c>
      <c r="AO353" s="137">
        <v>9.0800000000000006E-2</v>
      </c>
      <c r="AQ353" s="137">
        <v>1E-3</v>
      </c>
      <c r="AR353" s="137">
        <v>2.8999999999999998E-3</v>
      </c>
      <c r="AS353" s="137">
        <v>7.4000000000000003E-3</v>
      </c>
      <c r="AT353" s="137">
        <v>1.49E-2</v>
      </c>
      <c r="AV353" s="137">
        <v>3.8800000000000001E-2</v>
      </c>
      <c r="AW353" s="137">
        <v>6.2700000000000006E-2</v>
      </c>
      <c r="AX353" s="137">
        <v>9.5200000000000007E-2</v>
      </c>
    </row>
    <row r="354" spans="1:50" s="79" customFormat="1" ht="10.199999999999999" x14ac:dyDescent="0.2">
      <c r="A354" s="97">
        <f t="shared" ca="1" si="8"/>
        <v>343</v>
      </c>
      <c r="B354" s="68" t="s">
        <v>176</v>
      </c>
      <c r="C354" s="98">
        <v>0.4</v>
      </c>
      <c r="D354" s="69" t="s">
        <v>66</v>
      </c>
      <c r="E354" s="138" t="s">
        <v>87</v>
      </c>
      <c r="F354" s="159">
        <v>1.65E-3</v>
      </c>
      <c r="G354" s="159">
        <v>2.5300000000000001E-3</v>
      </c>
      <c r="H354" s="159">
        <v>3.2299999999999998E-3</v>
      </c>
      <c r="I354" s="159">
        <v>3.5400000000000002E-3</v>
      </c>
      <c r="J354" s="159" t="s">
        <v>87</v>
      </c>
      <c r="K354" s="159">
        <v>4.1999999999999997E-3</v>
      </c>
      <c r="L354" s="159">
        <v>4.5999999999999999E-3</v>
      </c>
      <c r="M354" s="159">
        <v>5.0000000000000001E-3</v>
      </c>
      <c r="N354" s="139">
        <f t="array" aca="1" ref="N354:AE354" ca="1">IF(OR(B354="",NOT($J$2)),"",GetStripDefaultProbability(A354,B354,Parameter_Date,CDSRollDate,E354:M354,SpreadCurveMaturities,D354,C354,$J$4,$J$6))</f>
        <v>0</v>
      </c>
      <c r="O354" s="166">
        <f ca="1"/>
        <v>1.5386145530722484E-3</v>
      </c>
      <c r="P354" s="166">
        <f ca="1"/>
        <v>4.4791524403730021E-3</v>
      </c>
      <c r="Q354" s="166">
        <f ca="1"/>
        <v>1.1131617463381427E-2</v>
      </c>
      <c r="R354" s="166">
        <f ca="1"/>
        <v>1.8140470494580452E-2</v>
      </c>
      <c r="S354" s="166">
        <f ca="1"/>
        <v>0</v>
      </c>
      <c r="T354" s="166">
        <f ca="1"/>
        <v>3.5665273849605383E-2</v>
      </c>
      <c r="U354" s="166">
        <f ca="1"/>
        <v>5.4303944726282749E-2</v>
      </c>
      <c r="V354" s="140">
        <f ca="1"/>
        <v>8.366895023621701E-2</v>
      </c>
      <c r="W354" s="139">
        <f ca="1"/>
        <v>0</v>
      </c>
      <c r="X354" s="166">
        <f ca="1"/>
        <v>1.6317826338753116E-3</v>
      </c>
      <c r="Y354" s="166">
        <f ca="1"/>
        <v>4.7021891908205493E-3</v>
      </c>
      <c r="Z354" s="166">
        <f ca="1"/>
        <v>1.168538612488812E-2</v>
      </c>
      <c r="AA354" s="166">
        <f ca="1"/>
        <v>1.90396183726802E-2</v>
      </c>
      <c r="AB354" s="166">
        <f ca="1"/>
        <v>0</v>
      </c>
      <c r="AC354" s="166">
        <f ca="1"/>
        <v>3.7420063319124619E-2</v>
      </c>
      <c r="AD354" s="166">
        <f ca="1"/>
        <v>5.6950874260833007E-2</v>
      </c>
      <c r="AE354" s="140">
        <f ca="1"/>
        <v>8.7689849187104985E-2</v>
      </c>
      <c r="AH354" s="137">
        <v>1.5E-3</v>
      </c>
      <c r="AI354" s="137">
        <v>4.4000000000000003E-3</v>
      </c>
      <c r="AJ354" s="137">
        <v>1.11E-2</v>
      </c>
      <c r="AK354" s="137">
        <v>1.8100000000000002E-2</v>
      </c>
      <c r="AM354" s="137">
        <v>3.5499999999999997E-2</v>
      </c>
      <c r="AN354" s="137">
        <v>5.4199999999999998E-2</v>
      </c>
      <c r="AO354" s="137">
        <v>8.3500000000000005E-2</v>
      </c>
      <c r="AQ354" s="137">
        <v>1.6000000000000001E-3</v>
      </c>
      <c r="AR354" s="137">
        <v>4.5999999999999999E-3</v>
      </c>
      <c r="AS354" s="137">
        <v>1.1599999999999999E-2</v>
      </c>
      <c r="AT354" s="137">
        <v>1.89E-2</v>
      </c>
      <c r="AV354" s="137">
        <v>3.73E-2</v>
      </c>
      <c r="AW354" s="137">
        <v>5.6800000000000003E-2</v>
      </c>
      <c r="AX354" s="137">
        <v>8.7499999999999994E-2</v>
      </c>
    </row>
    <row r="355" spans="1:50" s="79" customFormat="1" ht="10.199999999999999" x14ac:dyDescent="0.2">
      <c r="A355" s="97">
        <f t="shared" ca="1" si="8"/>
        <v>344</v>
      </c>
      <c r="B355" s="68" t="s">
        <v>413</v>
      </c>
      <c r="C355" s="98">
        <v>0.4</v>
      </c>
      <c r="D355" s="69" t="s">
        <v>66</v>
      </c>
      <c r="E355" s="138" t="s">
        <v>87</v>
      </c>
      <c r="F355" s="159">
        <v>1.06E-3</v>
      </c>
      <c r="G355" s="159">
        <v>1.6900000000000001E-3</v>
      </c>
      <c r="H355" s="159">
        <v>2.0100000000000001E-3</v>
      </c>
      <c r="I355" s="159">
        <v>2.5400000000000002E-3</v>
      </c>
      <c r="J355" s="159" t="s">
        <v>87</v>
      </c>
      <c r="K355" s="159">
        <v>3.5999999999999999E-3</v>
      </c>
      <c r="L355" s="159">
        <v>4.15E-3</v>
      </c>
      <c r="M355" s="159">
        <v>4.5999999999999999E-3</v>
      </c>
      <c r="N355" s="139">
        <f t="array" aca="1" ref="N355:AE355" ca="1">IF(OR(B355="",NOT($J$2)),"",GetStripDefaultProbability(A355,B355,Parameter_Date,CDSRollDate,E355:M355,SpreadCurveMaturities,D355,C355,$J$4,$J$6))</f>
        <v>0</v>
      </c>
      <c r="O355" s="166">
        <f ca="1"/>
        <v>9.8871473881068095E-4</v>
      </c>
      <c r="P355" s="166">
        <f ca="1"/>
        <v>2.9950964380637268E-3</v>
      </c>
      <c r="Q355" s="166">
        <f ca="1"/>
        <v>6.9266868271161686E-3</v>
      </c>
      <c r="R355" s="166">
        <f ca="1"/>
        <v>1.3111893611599368E-2</v>
      </c>
      <c r="S355" s="166">
        <f ca="1"/>
        <v>0</v>
      </c>
      <c r="T355" s="166">
        <f ca="1"/>
        <v>3.1012803144185863E-2</v>
      </c>
      <c r="U355" s="166">
        <f ca="1"/>
        <v>4.9762710022202228E-2</v>
      </c>
      <c r="V355" s="140">
        <f ca="1"/>
        <v>7.8086174759786298E-2</v>
      </c>
      <c r="W355" s="139">
        <f ca="1"/>
        <v>0</v>
      </c>
      <c r="X355" s="166">
        <f ca="1"/>
        <v>1.0819371271734157E-3</v>
      </c>
      <c r="Y355" s="166">
        <f ca="1"/>
        <v>3.1711222075951895E-3</v>
      </c>
      <c r="Z355" s="166">
        <f ca="1"/>
        <v>7.2704814873831847E-3</v>
      </c>
      <c r="AA355" s="166">
        <f ca="1"/>
        <v>1.3761705011490544E-2</v>
      </c>
      <c r="AB355" s="166">
        <f ca="1"/>
        <v>0</v>
      </c>
      <c r="AC355" s="166">
        <f ca="1"/>
        <v>3.2542483436503344E-2</v>
      </c>
      <c r="AD355" s="166">
        <f ca="1"/>
        <v>5.2197301839936205E-2</v>
      </c>
      <c r="AE355" s="140">
        <f ca="1"/>
        <v>8.185503412851447E-2</v>
      </c>
      <c r="AH355" s="137">
        <v>1E-3</v>
      </c>
      <c r="AI355" s="137">
        <v>3.0000000000000001E-3</v>
      </c>
      <c r="AJ355" s="137">
        <v>6.8999999999999999E-3</v>
      </c>
      <c r="AK355" s="137">
        <v>1.2999999999999999E-2</v>
      </c>
      <c r="AM355" s="137">
        <v>3.09E-2</v>
      </c>
      <c r="AN355" s="137">
        <v>4.9599999999999998E-2</v>
      </c>
      <c r="AO355" s="137">
        <v>7.7899999999999997E-2</v>
      </c>
      <c r="AQ355" s="137">
        <v>1E-3</v>
      </c>
      <c r="AR355" s="137">
        <v>3.0999999999999999E-3</v>
      </c>
      <c r="AS355" s="137">
        <v>7.1999999999999998E-3</v>
      </c>
      <c r="AT355" s="137">
        <v>1.37E-2</v>
      </c>
      <c r="AV355" s="137">
        <v>3.2399999999999998E-2</v>
      </c>
      <c r="AW355" s="137">
        <v>5.21E-2</v>
      </c>
      <c r="AX355" s="137">
        <v>8.1699999999999995E-2</v>
      </c>
    </row>
    <row r="356" spans="1:50" s="79" customFormat="1" ht="10.199999999999999" x14ac:dyDescent="0.2">
      <c r="A356" s="97">
        <f t="shared" ca="1" si="8"/>
        <v>345</v>
      </c>
      <c r="B356" s="68" t="s">
        <v>414</v>
      </c>
      <c r="C356" s="98">
        <v>0.2</v>
      </c>
      <c r="D356" s="69" t="s">
        <v>66</v>
      </c>
      <c r="E356" s="138" t="s">
        <v>87</v>
      </c>
      <c r="F356" s="159">
        <v>1.09E-3</v>
      </c>
      <c r="G356" s="159">
        <v>1.56E-3</v>
      </c>
      <c r="H356" s="159">
        <v>2.1900000000000001E-3</v>
      </c>
      <c r="I356" s="159">
        <v>2.7299999999999998E-3</v>
      </c>
      <c r="J356" s="159" t="s">
        <v>87</v>
      </c>
      <c r="K356" s="159">
        <v>3.5000000000000001E-3</v>
      </c>
      <c r="L356" s="159">
        <v>4.0000000000000001E-3</v>
      </c>
      <c r="M356" s="159">
        <v>4.5999999999999999E-3</v>
      </c>
      <c r="N356" s="139">
        <f t="array" aca="1" ref="N356:AE356" ca="1">IF(OR(B356="",NOT($J$2)),"",GetStripDefaultProbability(A356,B356,Parameter_Date,CDSRollDate,E356:M356,SpreadCurveMaturities,D356,C356,$J$4,$J$6))</f>
        <v>0</v>
      </c>
      <c r="O356" s="166">
        <f ca="1"/>
        <v>7.6260900312974389E-4</v>
      </c>
      <c r="P356" s="166">
        <f ca="1"/>
        <v>2.0722651440955309E-3</v>
      </c>
      <c r="Q356" s="166">
        <f ca="1"/>
        <v>5.6918548387907553E-3</v>
      </c>
      <c r="R356" s="166">
        <f ca="1"/>
        <v>1.0593696239750483E-2</v>
      </c>
      <c r="S356" s="166">
        <f ca="1"/>
        <v>0</v>
      </c>
      <c r="T356" s="166">
        <f ca="1"/>
        <v>2.2570809284867543E-2</v>
      </c>
      <c r="U356" s="166">
        <f ca="1"/>
        <v>3.6049289125457018E-2</v>
      </c>
      <c r="V356" s="140">
        <f ca="1"/>
        <v>5.9279968987858145E-2</v>
      </c>
      <c r="W356" s="139">
        <f ca="1"/>
        <v>0</v>
      </c>
      <c r="X356" s="166">
        <f ca="1"/>
        <v>8.3254279957489796E-4</v>
      </c>
      <c r="Y356" s="166">
        <f ca="1"/>
        <v>2.204389313689159E-3</v>
      </c>
      <c r="Z356" s="166">
        <f ca="1"/>
        <v>5.9739414953239312E-3</v>
      </c>
      <c r="AA356" s="166">
        <f ca="1"/>
        <v>1.1119294499074672E-2</v>
      </c>
      <c r="AB356" s="166">
        <f ca="1"/>
        <v>0</v>
      </c>
      <c r="AC356" s="166">
        <f ca="1"/>
        <v>2.3685911585491493E-2</v>
      </c>
      <c r="AD356" s="166">
        <f ca="1"/>
        <v>3.7822436835367124E-2</v>
      </c>
      <c r="AE356" s="140">
        <f ca="1"/>
        <v>6.2166482037427251E-2</v>
      </c>
      <c r="AH356" s="137">
        <v>6.9999999999999999E-4</v>
      </c>
      <c r="AI356" s="137">
        <v>2E-3</v>
      </c>
      <c r="AJ356" s="137">
        <v>5.5999999999999999E-3</v>
      </c>
      <c r="AK356" s="137">
        <v>1.0500000000000001E-2</v>
      </c>
      <c r="AM356" s="137">
        <v>2.2499999999999999E-2</v>
      </c>
      <c r="AN356" s="137">
        <v>3.5900000000000001E-2</v>
      </c>
      <c r="AO356" s="137">
        <v>5.91E-2</v>
      </c>
      <c r="AQ356" s="137">
        <v>8.0000000000000004E-4</v>
      </c>
      <c r="AR356" s="137">
        <v>2.2000000000000001E-3</v>
      </c>
      <c r="AS356" s="137">
        <v>5.8999999999999999E-3</v>
      </c>
      <c r="AT356" s="137">
        <v>1.11E-2</v>
      </c>
      <c r="AV356" s="137">
        <v>2.3599999999999999E-2</v>
      </c>
      <c r="AW356" s="137">
        <v>3.7699999999999997E-2</v>
      </c>
      <c r="AX356" s="137">
        <v>6.2E-2</v>
      </c>
    </row>
    <row r="357" spans="1:50" s="79" customFormat="1" ht="10.199999999999999" x14ac:dyDescent="0.2">
      <c r="A357" s="97">
        <f t="shared" ca="1" si="8"/>
        <v>346</v>
      </c>
      <c r="B357" s="68" t="s">
        <v>415</v>
      </c>
      <c r="C357" s="98">
        <v>0.4</v>
      </c>
      <c r="D357" s="69" t="s">
        <v>66</v>
      </c>
      <c r="E357" s="138" t="s">
        <v>87</v>
      </c>
      <c r="F357" s="159">
        <v>1.74E-3</v>
      </c>
      <c r="G357" s="159">
        <v>2.0899999999999998E-3</v>
      </c>
      <c r="H357" s="159">
        <v>2.7799999999999999E-3</v>
      </c>
      <c r="I357" s="159">
        <v>3.3300000000000001E-3</v>
      </c>
      <c r="J357" s="159" t="s">
        <v>87</v>
      </c>
      <c r="K357" s="159">
        <v>4.0000000000000001E-3</v>
      </c>
      <c r="L357" s="159">
        <v>4.45E-3</v>
      </c>
      <c r="M357" s="159">
        <v>5.0000000000000001E-3</v>
      </c>
      <c r="N357" s="139">
        <f t="array" aca="1" ref="N357:AE357" ca="1">IF(OR(B357="",NOT($J$2)),"",GetStripDefaultProbability(A357,B357,Parameter_Date,CDSRollDate,E357:M357,SpreadCurveMaturities,D357,C357,$J$4,$J$6))</f>
        <v>0</v>
      </c>
      <c r="O357" s="166">
        <f ca="1"/>
        <v>1.6224710336818493E-3</v>
      </c>
      <c r="P357" s="166">
        <f ca="1"/>
        <v>3.6917122009750836E-3</v>
      </c>
      <c r="Q357" s="166">
        <f ca="1"/>
        <v>9.6057622674845522E-3</v>
      </c>
      <c r="R357" s="166">
        <f ca="1"/>
        <v>1.7140817684909826E-2</v>
      </c>
      <c r="S357" s="166">
        <f ca="1"/>
        <v>0</v>
      </c>
      <c r="T357" s="166">
        <f ca="1"/>
        <v>3.4057795297599225E-2</v>
      </c>
      <c r="U357" s="166">
        <f ca="1"/>
        <v>5.2773680589137673E-2</v>
      </c>
      <c r="V357" s="140">
        <f ca="1"/>
        <v>8.4335351268343794E-2</v>
      </c>
      <c r="W357" s="139">
        <f ca="1"/>
        <v>0</v>
      </c>
      <c r="X357" s="166">
        <f ca="1"/>
        <v>1.7156307085042233E-3</v>
      </c>
      <c r="Y357" s="166">
        <f ca="1"/>
        <v>3.8756207899253159E-3</v>
      </c>
      <c r="Z357" s="166">
        <f ca="1"/>
        <v>1.0083981010355125E-2</v>
      </c>
      <c r="AA357" s="166">
        <f ca="1"/>
        <v>1.7991226897000834E-2</v>
      </c>
      <c r="AB357" s="166">
        <f ca="1"/>
        <v>0</v>
      </c>
      <c r="AC357" s="166">
        <f ca="1"/>
        <v>3.5735521444960949E-2</v>
      </c>
      <c r="AD357" s="166">
        <f ca="1"/>
        <v>5.5350201267877153E-2</v>
      </c>
      <c r="AE357" s="140">
        <f ca="1"/>
        <v>8.8394110256965197E-2</v>
      </c>
      <c r="AH357" s="137">
        <v>1.6000000000000001E-3</v>
      </c>
      <c r="AI357" s="137">
        <v>3.5999999999999999E-3</v>
      </c>
      <c r="AJ357" s="137">
        <v>9.4999999999999998E-3</v>
      </c>
      <c r="AK357" s="137">
        <v>1.7000000000000001E-2</v>
      </c>
      <c r="AM357" s="137">
        <v>3.39E-2</v>
      </c>
      <c r="AN357" s="137">
        <v>5.2600000000000001E-2</v>
      </c>
      <c r="AO357" s="137">
        <v>8.4099999999999994E-2</v>
      </c>
      <c r="AQ357" s="137">
        <v>1.6999999999999999E-3</v>
      </c>
      <c r="AR357" s="137">
        <v>3.8E-3</v>
      </c>
      <c r="AS357" s="137">
        <v>0.01</v>
      </c>
      <c r="AT357" s="137">
        <v>1.7899999999999999E-2</v>
      </c>
      <c r="AV357" s="137">
        <v>3.56E-2</v>
      </c>
      <c r="AW357" s="137">
        <v>5.5199999999999999E-2</v>
      </c>
      <c r="AX357" s="137">
        <v>8.8099999999999998E-2</v>
      </c>
    </row>
    <row r="358" spans="1:50" s="79" customFormat="1" ht="10.199999999999999" x14ac:dyDescent="0.2">
      <c r="A358" s="97">
        <f t="shared" ca="1" si="8"/>
        <v>347</v>
      </c>
      <c r="B358" s="68" t="s">
        <v>416</v>
      </c>
      <c r="C358" s="98">
        <v>0.2</v>
      </c>
      <c r="D358" s="69" t="s">
        <v>66</v>
      </c>
      <c r="E358" s="138" t="s">
        <v>87</v>
      </c>
      <c r="F358" s="159">
        <v>1.42E-3</v>
      </c>
      <c r="G358" s="159">
        <v>1.8400000000000001E-3</v>
      </c>
      <c r="H358" s="159">
        <v>2.5500000000000002E-3</v>
      </c>
      <c r="I358" s="159">
        <v>3.3500000000000001E-3</v>
      </c>
      <c r="J358" s="159" t="s">
        <v>87</v>
      </c>
      <c r="K358" s="159">
        <v>4.7999999999999996E-3</v>
      </c>
      <c r="L358" s="159">
        <v>5.4999999999999997E-3</v>
      </c>
      <c r="M358" s="159">
        <v>6.0000000000000001E-3</v>
      </c>
      <c r="N358" s="139">
        <f t="array" aca="1" ref="N358:AE358" ca="1">IF(OR(B358="",NOT($J$2)),"",GetStripDefaultProbability(A358,B358,Parameter_Date,CDSRollDate,E358:M358,SpreadCurveMaturities,D358,C358,$J$4,$J$6))</f>
        <v>0</v>
      </c>
      <c r="O358" s="166">
        <f ca="1"/>
        <v>9.9337617569206227E-4</v>
      </c>
      <c r="P358" s="166">
        <f ca="1"/>
        <v>2.4411970377653525E-3</v>
      </c>
      <c r="Q358" s="166">
        <f ca="1"/>
        <v>6.6231337404424329E-3</v>
      </c>
      <c r="R358" s="166">
        <f ca="1"/>
        <v>1.3010303695183634E-2</v>
      </c>
      <c r="S358" s="166">
        <f ca="1"/>
        <v>0</v>
      </c>
      <c r="T358" s="166">
        <f ca="1"/>
        <v>3.1075014609305174E-2</v>
      </c>
      <c r="U358" s="166">
        <f ca="1"/>
        <v>4.9475674982684126E-2</v>
      </c>
      <c r="V358" s="140">
        <f ca="1"/>
        <v>7.6284006923286074E-2</v>
      </c>
      <c r="W358" s="139">
        <f ca="1"/>
        <v>0</v>
      </c>
      <c r="X358" s="166">
        <f ca="1"/>
        <v>1.0632929803825464E-3</v>
      </c>
      <c r="Y358" s="166">
        <f ca="1"/>
        <v>2.5732694770334019E-3</v>
      </c>
      <c r="Z358" s="166">
        <f ca="1"/>
        <v>6.9526587830230913E-3</v>
      </c>
      <c r="AA358" s="166">
        <f ca="1"/>
        <v>1.3656618741929916E-2</v>
      </c>
      <c r="AB358" s="166">
        <f ca="1"/>
        <v>0</v>
      </c>
      <c r="AC358" s="166">
        <f ca="1"/>
        <v>3.2609361874713416E-2</v>
      </c>
      <c r="AD358" s="166">
        <f ca="1"/>
        <v>5.1897271504414144E-2</v>
      </c>
      <c r="AE358" s="140">
        <f ca="1"/>
        <v>7.9969165818674526E-2</v>
      </c>
      <c r="AH358" s="137">
        <v>1E-3</v>
      </c>
      <c r="AI358" s="137">
        <v>2.3999999999999998E-3</v>
      </c>
      <c r="AJ358" s="137">
        <v>6.6E-3</v>
      </c>
      <c r="AK358" s="137">
        <v>1.29E-2</v>
      </c>
      <c r="AM358" s="137">
        <v>3.09E-2</v>
      </c>
      <c r="AN358" s="137">
        <v>4.9399999999999999E-2</v>
      </c>
      <c r="AO358" s="137">
        <v>7.6100000000000001E-2</v>
      </c>
      <c r="AQ358" s="137">
        <v>1E-3</v>
      </c>
      <c r="AR358" s="137">
        <v>2.5000000000000001E-3</v>
      </c>
      <c r="AS358" s="137">
        <v>6.8999999999999999E-3</v>
      </c>
      <c r="AT358" s="137">
        <v>1.3599999999999999E-2</v>
      </c>
      <c r="AV358" s="137">
        <v>3.2500000000000001E-2</v>
      </c>
      <c r="AW358" s="137">
        <v>5.1799999999999999E-2</v>
      </c>
      <c r="AX358" s="137">
        <v>7.9799999999999996E-2</v>
      </c>
    </row>
    <row r="359" spans="1:50" s="79" customFormat="1" ht="10.199999999999999" x14ac:dyDescent="0.2">
      <c r="A359" s="97">
        <f t="shared" ca="1" si="8"/>
        <v>348</v>
      </c>
      <c r="B359" s="68" t="s">
        <v>417</v>
      </c>
      <c r="C359" s="98">
        <v>0.2</v>
      </c>
      <c r="D359" s="69" t="s">
        <v>67</v>
      </c>
      <c r="E359" s="138" t="s">
        <v>87</v>
      </c>
      <c r="F359" s="159" t="s">
        <v>87</v>
      </c>
      <c r="G359" s="159">
        <v>1.4400000000000001E-3</v>
      </c>
      <c r="H359" s="159" t="s">
        <v>87</v>
      </c>
      <c r="I359" s="159">
        <v>2.2910000000000001E-3</v>
      </c>
      <c r="J359" s="159" t="s">
        <v>87</v>
      </c>
      <c r="K359" s="159">
        <v>3.5999999999999999E-3</v>
      </c>
      <c r="L359" s="159">
        <v>4.5820000000000001E-3</v>
      </c>
      <c r="M359" s="159">
        <v>5.5259999999999997E-3</v>
      </c>
      <c r="N359" s="139">
        <f t="array" aca="1" ref="N359:AE359" ca="1">IF(OR(B359="",NOT($J$2)),"",GetStripDefaultProbability(A359,B359,Parameter_Date,CDSRollDate,E359:M359,SpreadCurveMaturities,D359,C359,$J$4,$J$6))</f>
        <v>0</v>
      </c>
      <c r="O359" s="166">
        <f ca="1"/>
        <v>0</v>
      </c>
      <c r="P359" s="166">
        <f ca="1"/>
        <v>1.9045234887991036E-3</v>
      </c>
      <c r="Q359" s="166">
        <f ca="1"/>
        <v>0</v>
      </c>
      <c r="R359" s="166">
        <f ca="1"/>
        <v>8.8838550572084563E-3</v>
      </c>
      <c r="S359" s="166">
        <f ca="1"/>
        <v>0</v>
      </c>
      <c r="T359" s="166">
        <f ca="1"/>
        <v>2.3527520025916515E-2</v>
      </c>
      <c r="U359" s="166">
        <f ca="1"/>
        <v>4.2050568949019484E-2</v>
      </c>
      <c r="V359" s="140">
        <f ca="1"/>
        <v>7.2551898724417918E-2</v>
      </c>
      <c r="W359" s="139">
        <f ca="1"/>
        <v>0</v>
      </c>
      <c r="X359" s="166">
        <f ca="1"/>
        <v>0</v>
      </c>
      <c r="Y359" s="166">
        <f ca="1"/>
        <v>2.0292776260510959E-3</v>
      </c>
      <c r="Z359" s="166">
        <f ca="1"/>
        <v>0</v>
      </c>
      <c r="AA359" s="166">
        <f ca="1"/>
        <v>9.3229974790339787E-3</v>
      </c>
      <c r="AB359" s="166">
        <f ca="1"/>
        <v>0</v>
      </c>
      <c r="AC359" s="166">
        <f ca="1"/>
        <v>2.4691508422543862E-2</v>
      </c>
      <c r="AD359" s="166">
        <f ca="1"/>
        <v>4.41156462749005E-2</v>
      </c>
      <c r="AE359" s="140">
        <f ca="1"/>
        <v>7.6076430542888485E-2</v>
      </c>
      <c r="AI359" s="137">
        <v>1.9E-3</v>
      </c>
      <c r="AK359" s="137">
        <v>8.8000000000000005E-3</v>
      </c>
      <c r="AM359" s="137">
        <v>2.3300000000000001E-2</v>
      </c>
      <c r="AN359" s="137">
        <v>4.1799999999999997E-2</v>
      </c>
      <c r="AO359" s="137">
        <v>7.22E-2</v>
      </c>
      <c r="AR359" s="137">
        <v>2E-3</v>
      </c>
      <c r="AT359" s="137">
        <v>9.1999999999999998E-3</v>
      </c>
      <c r="AV359" s="137">
        <v>2.4500000000000001E-2</v>
      </c>
      <c r="AW359" s="137">
        <v>4.3900000000000002E-2</v>
      </c>
      <c r="AX359" s="137">
        <v>7.5700000000000003E-2</v>
      </c>
    </row>
    <row r="360" spans="1:50" s="79" customFormat="1" ht="10.199999999999999" x14ac:dyDescent="0.2">
      <c r="A360" s="97">
        <f t="shared" ca="1" si="8"/>
        <v>349</v>
      </c>
      <c r="B360" s="68" t="s">
        <v>418</v>
      </c>
      <c r="C360" s="98">
        <v>0.4</v>
      </c>
      <c r="D360" s="69" t="s">
        <v>67</v>
      </c>
      <c r="E360" s="138" t="s">
        <v>87</v>
      </c>
      <c r="F360" s="159" t="s">
        <v>87</v>
      </c>
      <c r="G360" s="159">
        <v>3.7332999999999998E-2</v>
      </c>
      <c r="H360" s="159" t="s">
        <v>87</v>
      </c>
      <c r="I360" s="159">
        <v>3.1806000000000001E-2</v>
      </c>
      <c r="J360" s="159" t="s">
        <v>87</v>
      </c>
      <c r="K360" s="159">
        <v>2.8000000000000001E-2</v>
      </c>
      <c r="L360" s="159">
        <v>2.4181999999999999E-2</v>
      </c>
      <c r="M360" s="159">
        <v>2.0872999999999999E-2</v>
      </c>
      <c r="N360" s="139">
        <f t="array" aca="1" ref="N360:AE360" ca="1">IF(OR(B360="",NOT($J$2)),"",GetStripDefaultProbability(A360,B360,Parameter_Date,CDSRollDate,E360:M360,SpreadCurveMaturities,D360,C360,$J$4,$J$6))</f>
        <v>0</v>
      </c>
      <c r="O360" s="166">
        <f ca="1"/>
        <v>0</v>
      </c>
      <c r="P360" s="166">
        <f ca="1"/>
        <v>6.377120746210263E-2</v>
      </c>
      <c r="Q360" s="166">
        <f ca="1"/>
        <v>0</v>
      </c>
      <c r="R360" s="166">
        <f ca="1"/>
        <v>0.14824422546320415</v>
      </c>
      <c r="S360" s="166">
        <f ca="1"/>
        <v>0</v>
      </c>
      <c r="T360" s="166">
        <f ca="1"/>
        <v>0.20549264365853659</v>
      </c>
      <c r="U360" s="166">
        <f ca="1"/>
        <v>0.23407933730098018</v>
      </c>
      <c r="V360" s="140">
        <f ca="1"/>
        <v>0.27016926323844703</v>
      </c>
      <c r="W360" s="139">
        <f ca="1"/>
        <v>0</v>
      </c>
      <c r="X360" s="166">
        <f ca="1"/>
        <v>0</v>
      </c>
      <c r="Y360" s="166">
        <f ca="1"/>
        <v>6.6850711956978448E-2</v>
      </c>
      <c r="Z360" s="166">
        <f ca="1"/>
        <v>0</v>
      </c>
      <c r="AA360" s="166">
        <f ca="1"/>
        <v>0.15498790608619539</v>
      </c>
      <c r="AB360" s="166">
        <f ca="1"/>
        <v>0</v>
      </c>
      <c r="AC360" s="166">
        <f ca="1"/>
        <v>0.21441126649705189</v>
      </c>
      <c r="AD360" s="166">
        <f ca="1"/>
        <v>0.24383746811702467</v>
      </c>
      <c r="AE360" s="140">
        <f ca="1"/>
        <v>0.28095057918185407</v>
      </c>
      <c r="AI360" s="137">
        <v>6.3E-2</v>
      </c>
      <c r="AK360" s="137">
        <v>0.1484</v>
      </c>
      <c r="AM360" s="137">
        <v>0.20569999999999999</v>
      </c>
      <c r="AN360" s="137">
        <v>0.23499999999999999</v>
      </c>
      <c r="AO360" s="137">
        <v>0.27010000000000001</v>
      </c>
      <c r="AR360" s="137">
        <v>6.6000000000000003E-2</v>
      </c>
      <c r="AT360" s="137">
        <v>0.1552</v>
      </c>
      <c r="AV360" s="137">
        <v>0.21460000000000001</v>
      </c>
      <c r="AW360" s="137">
        <v>0.24479999999999999</v>
      </c>
      <c r="AX360" s="137">
        <v>0.28079999999999999</v>
      </c>
    </row>
    <row r="361" spans="1:50" s="79" customFormat="1" ht="10.199999999999999" x14ac:dyDescent="0.2">
      <c r="A361" s="160">
        <f t="shared" ca="1" si="8"/>
        <v>350</v>
      </c>
      <c r="B361" s="161" t="s">
        <v>419</v>
      </c>
      <c r="C361" s="162">
        <v>0.4</v>
      </c>
      <c r="D361" s="163" t="s">
        <v>67</v>
      </c>
      <c r="E361" s="164" t="s">
        <v>87</v>
      </c>
      <c r="F361" s="165" t="s">
        <v>87</v>
      </c>
      <c r="G361" s="165">
        <v>1.75E-3</v>
      </c>
      <c r="H361" s="165" t="s">
        <v>87</v>
      </c>
      <c r="I361" s="165">
        <v>2.7499999999999998E-3</v>
      </c>
      <c r="J361" s="165" t="s">
        <v>87</v>
      </c>
      <c r="K361" s="165">
        <v>3.3999999999999998E-3</v>
      </c>
      <c r="L361" s="165">
        <v>3.4499999999999999E-3</v>
      </c>
      <c r="M361" s="165">
        <v>3.5999999999999999E-3</v>
      </c>
      <c r="N361" s="139">
        <f t="array" aca="1" ref="N361:AE361" ca="1">IF(OR(B361="",NOT($J$2)),"",GetStripDefaultProbability(A361,B361,Parameter_Date,CDSRollDate,E361:M361,SpreadCurveMaturities,D361,C361,$J$4,$J$6))</f>
        <v>0</v>
      </c>
      <c r="O361" s="166">
        <f ca="1"/>
        <v>0</v>
      </c>
      <c r="P361" s="166">
        <f ca="1"/>
        <v>3.0842240279745914E-3</v>
      </c>
      <c r="Q361" s="166">
        <f ca="1"/>
        <v>0</v>
      </c>
      <c r="R361" s="166">
        <f ca="1"/>
        <v>1.4178922290797535E-2</v>
      </c>
      <c r="S361" s="166">
        <f ca="1"/>
        <v>0</v>
      </c>
      <c r="T361" s="166">
        <f ca="1"/>
        <v>2.9074843975225972E-2</v>
      </c>
      <c r="U361" s="166">
        <f ca="1"/>
        <v>4.0706969894525491E-2</v>
      </c>
      <c r="V361" s="140">
        <f ca="1"/>
        <v>6.0359969881466746E-2</v>
      </c>
      <c r="W361" s="139">
        <f ca="1"/>
        <v>0</v>
      </c>
      <c r="X361" s="166">
        <f ca="1"/>
        <v>0</v>
      </c>
      <c r="Y361" s="166">
        <f ca="1"/>
        <v>3.2503628120066352E-3</v>
      </c>
      <c r="Z361" s="166">
        <f ca="1"/>
        <v>0</v>
      </c>
      <c r="AA361" s="166">
        <f ca="1"/>
        <v>1.4881668034862572E-2</v>
      </c>
      <c r="AB361" s="166">
        <f ca="1"/>
        <v>0</v>
      </c>
      <c r="AC361" s="166">
        <f ca="1"/>
        <v>3.050941332518764E-2</v>
      </c>
      <c r="AD361" s="166">
        <f ca="1"/>
        <v>4.2701041124405315E-2</v>
      </c>
      <c r="AE361" s="140">
        <f ca="1"/>
        <v>6.3290036840943364E-2</v>
      </c>
      <c r="AI361" s="137">
        <v>3.0000000000000001E-3</v>
      </c>
      <c r="AK361" s="137">
        <v>1.41E-2</v>
      </c>
      <c r="AM361" s="137">
        <v>2.8899999999999999E-2</v>
      </c>
      <c r="AN361" s="137">
        <v>4.0599999999999997E-2</v>
      </c>
      <c r="AO361" s="137">
        <v>6.0100000000000001E-2</v>
      </c>
      <c r="AR361" s="137">
        <v>3.2000000000000002E-3</v>
      </c>
      <c r="AT361" s="137">
        <v>1.47E-2</v>
      </c>
      <c r="AV361" s="137">
        <v>3.04E-2</v>
      </c>
      <c r="AW361" s="137">
        <v>4.2599999999999999E-2</v>
      </c>
      <c r="AX361" s="137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99060</xdr:colOff>
                    <xdr:row>3</xdr:row>
                    <xdr:rowOff>7620</xdr:rowOff>
                  </from>
                  <to>
                    <xdr:col>13</xdr:col>
                    <xdr:colOff>480060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5:K130"/>
  <sheetViews>
    <sheetView showGridLines="0" topLeftCell="A3" zoomScale="99" zoomScaleNormal="99" workbookViewId="0">
      <selection activeCell="D12" sqref="D12"/>
    </sheetView>
  </sheetViews>
  <sheetFormatPr baseColWidth="10" defaultRowHeight="14.4" x14ac:dyDescent="0.3"/>
  <sheetData>
    <row r="5" spans="2:11" ht="15" thickBot="1" x14ac:dyDescent="0.35"/>
    <row r="6" spans="2:11" ht="15" thickBot="1" x14ac:dyDescent="0.35">
      <c r="B6" s="183" t="s">
        <v>423</v>
      </c>
      <c r="C6" s="189" t="b">
        <v>1</v>
      </c>
      <c r="H6" s="184" t="s">
        <v>424</v>
      </c>
      <c r="I6" s="277">
        <v>1</v>
      </c>
      <c r="J6" s="278"/>
      <c r="K6" s="279"/>
    </row>
    <row r="7" spans="2:11" ht="15" thickBot="1" x14ac:dyDescent="0.35">
      <c r="D7" s="173"/>
      <c r="H7" s="185" t="s">
        <v>425</v>
      </c>
      <c r="I7" s="280" t="str">
        <f ca="1">GetGetCDSName(I6)</f>
        <v>ABNAMRO_MMR.EUR.SU</v>
      </c>
      <c r="J7" s="281"/>
      <c r="K7" s="282"/>
    </row>
    <row r="8" spans="2:11" ht="15" thickBot="1" x14ac:dyDescent="0.35"/>
    <row r="9" spans="2:11" ht="15" thickBot="1" x14ac:dyDescent="0.35">
      <c r="B9" s="176"/>
      <c r="C9" s="177" t="s">
        <v>426</v>
      </c>
      <c r="D9" s="178" t="s">
        <v>427</v>
      </c>
      <c r="E9" s="175" t="s">
        <v>428</v>
      </c>
    </row>
    <row r="10" spans="2:11" x14ac:dyDescent="0.3">
      <c r="B10" s="186" t="str">
        <f ca="1">ROW()-ROW($B$9)&amp;"M"</f>
        <v>1M</v>
      </c>
      <c r="C10" s="222">
        <f ca="1">MAX(0,(DATE(YEAR(CDSRollDate),MONTH(CDSRollDate)+ROW()-ROW($B$9),DAY(CDSRollDate))-Parameter_Date)/365)</f>
        <v>0.13698630136986301</v>
      </c>
      <c r="D10" s="180">
        <f ca="1">IF(NOT($C$6),"",IF(GetConvertDate(CDSRollDate,B10)&lt;Parameter_Date,0,GetGetDefaultprob($I$6,B10)))</f>
        <v>3.0566047307689637E-4</v>
      </c>
      <c r="E10" s="223">
        <f ca="1">IF(NOT($C$6),"",IF(C11=0,0,-LN(1-D11)/$C11))</f>
        <v>2.2316625363527315E-3</v>
      </c>
    </row>
    <row r="11" spans="2:11" x14ac:dyDescent="0.3">
      <c r="B11" s="187" t="str">
        <f t="shared" ref="B11:B74" ca="1" si="0">ROW()-ROW($B$9)&amp;"M"</f>
        <v>2M</v>
      </c>
      <c r="C11" s="224">
        <f t="shared" ref="C11:C41" ca="1" si="1">MAX(0,(DATE(YEAR(CDSRollDate),MONTH(CDSRollDate)+ROW()-ROW($B$9),DAY(CDSRollDate))-Parameter_Date)/365)</f>
        <v>0.21917808219178081</v>
      </c>
      <c r="D11" s="172">
        <f ca="1">IF(NOT($C$6),"",IF(GetConvertDate(CDSRollDate,B11)&lt;Parameter_Date,0,GetGetDefaultprob($I$6,B11)))</f>
        <v>4.8901190949934836E-4</v>
      </c>
      <c r="E11" s="181">
        <f ca="1">IF(NOT($C$6),"",IF(C11=0,0,-LN((1-D11)/(1-D10))/($C11-$C10)))</f>
        <v>2.2316625363540195E-3</v>
      </c>
      <c r="F11" s="167"/>
      <c r="G11" s="168"/>
    </row>
    <row r="12" spans="2:11" x14ac:dyDescent="0.3">
      <c r="B12" s="187" t="str">
        <f t="shared" ca="1" si="0"/>
        <v>3M</v>
      </c>
      <c r="C12" s="224">
        <f ca="1">MAX(0,(DATE(YEAR(CDSRollDate),MONTH(CDSRollDate)+ROW()-ROW($B$9),DAY(CDSRollDate))-Parameter_Date)/365)</f>
        <v>0.30410958904109592</v>
      </c>
      <c r="D12" s="172">
        <f ca="1">IF(NOT($C$6),"",IF(GetConvertDate(CDSRollDate,B12)&lt;Parameter_Date,0,GetGetDefaultprob($I$6,B12)))</f>
        <v>6.7843973242942557E-4</v>
      </c>
      <c r="E12" s="181">
        <f ca="1">IF(NOT($C$6),"",IF(C12=0,0,-LN((1-D12)/(1-D11))/($C12-$C11)))</f>
        <v>2.2316625363510032E-3</v>
      </c>
      <c r="F12" s="167"/>
      <c r="G12" s="168"/>
    </row>
    <row r="13" spans="2:11" x14ac:dyDescent="0.3">
      <c r="B13" s="187" t="str">
        <f t="shared" ca="1" si="0"/>
        <v>4M</v>
      </c>
      <c r="C13" s="224">
        <f t="shared" ca="1" si="1"/>
        <v>0.38630136986301372</v>
      </c>
      <c r="D13" s="172">
        <f ca="1">IF(NOT($C$6),"",IF(GetConvertDate(CDSRollDate,B13)&lt;Parameter_Date,0,GetGetDefaultprob($I$6,B13)))</f>
        <v>8.6172279834095811E-4</v>
      </c>
      <c r="E13" s="181">
        <f t="shared" ref="E13:E75" ca="1" si="2">IF(NOT($C$6),"",IF(C13=0,0,-LN((1-D13)/(1-D12))/($C13-$C12)))</f>
        <v>2.2316625363526686E-3</v>
      </c>
      <c r="F13" s="167"/>
      <c r="G13" s="168"/>
    </row>
    <row r="14" spans="2:11" x14ac:dyDescent="0.3">
      <c r="B14" s="187" t="str">
        <f t="shared" ca="1" si="0"/>
        <v>5M</v>
      </c>
      <c r="C14" s="224">
        <f t="shared" ca="1" si="1"/>
        <v>0.47123287671232877</v>
      </c>
      <c r="D14" s="172">
        <f ca="1">IF(NOT($C$6),"",IF(GetConvertDate(CDSRollDate,B14)&lt;Parameter_Date,0,GetGetDefaultprob($I$6,B14)))</f>
        <v>1.0510799849168251E-3</v>
      </c>
      <c r="E14" s="181">
        <f t="shared" ca="1" si="2"/>
        <v>2.2316625363523121E-3</v>
      </c>
      <c r="F14" s="167"/>
      <c r="G14" s="168"/>
    </row>
    <row r="15" spans="2:11" x14ac:dyDescent="0.3">
      <c r="B15" s="187" t="str">
        <f t="shared" ca="1" si="0"/>
        <v>6M</v>
      </c>
      <c r="C15" s="224">
        <f t="shared" ca="1" si="1"/>
        <v>0.55616438356164388</v>
      </c>
      <c r="D15" s="172">
        <f ca="1">IF(NOT($C$6),"",IF(GetConvertDate(CDSRollDate,B15)&lt;Parameter_Date,0,GetGetDefaultprob($I$6,B15)))</f>
        <v>1.2404012844239309E-3</v>
      </c>
      <c r="E15" s="181">
        <f t="shared" ca="1" si="2"/>
        <v>2.2316625363523108E-3</v>
      </c>
      <c r="F15" s="167"/>
      <c r="G15" s="168"/>
    </row>
    <row r="16" spans="2:11" x14ac:dyDescent="0.3">
      <c r="B16" s="187" t="str">
        <f t="shared" ca="1" si="0"/>
        <v>7M</v>
      </c>
      <c r="C16" s="224">
        <f t="shared" ca="1" si="1"/>
        <v>0.63835616438356169</v>
      </c>
      <c r="D16" s="172">
        <f ca="1">IF(NOT($C$6),"",IF(GetConvertDate(CDSRollDate,B16)&lt;Parameter_Date,0,GetGetDefaultprob($I$6,B16)))</f>
        <v>1.5562411344531846E-3</v>
      </c>
      <c r="E16" s="181">
        <f t="shared" ca="1" si="2"/>
        <v>3.8480990859580187E-3</v>
      </c>
      <c r="F16" s="167"/>
      <c r="G16" s="168"/>
    </row>
    <row r="17" spans="2:7" x14ac:dyDescent="0.3">
      <c r="B17" s="187" t="str">
        <f t="shared" ca="1" si="0"/>
        <v>8M</v>
      </c>
      <c r="C17" s="224">
        <f t="shared" ca="1" si="1"/>
        <v>0.72328767123287674</v>
      </c>
      <c r="D17" s="172">
        <f ca="1">IF(NOT($C$6),"",IF(GetConvertDate(CDSRollDate,B17)&lt;Parameter_Date,0,GetGetDefaultprob($I$6,B17)))</f>
        <v>1.8825040517284064E-3</v>
      </c>
      <c r="E17" s="181">
        <f t="shared" ca="1" si="2"/>
        <v>3.8480990859574662E-3</v>
      </c>
      <c r="F17" s="167"/>
      <c r="G17" s="168"/>
    </row>
    <row r="18" spans="2:7" x14ac:dyDescent="0.3">
      <c r="B18" s="187" t="str">
        <f t="shared" ca="1" si="0"/>
        <v>9M</v>
      </c>
      <c r="C18" s="224">
        <f t="shared" ca="1" si="1"/>
        <v>0.80547945205479454</v>
      </c>
      <c r="D18" s="172">
        <f ca="1">IF(NOT($C$6),"",IF(GetConvertDate(CDSRollDate,B18)&lt;Parameter_Date,0,GetGetDefaultprob($I$6,B18)))</f>
        <v>2.198140848248098E-3</v>
      </c>
      <c r="E18" s="181">
        <f t="shared" ca="1" si="2"/>
        <v>3.8480990859580187E-3</v>
      </c>
      <c r="F18" s="167"/>
      <c r="G18" s="168"/>
    </row>
    <row r="19" spans="2:7" x14ac:dyDescent="0.3">
      <c r="B19" s="187" t="str">
        <f t="shared" ca="1" si="0"/>
        <v>10M</v>
      </c>
      <c r="C19" s="224">
        <f t="shared" ca="1" si="1"/>
        <v>0.8904109589041096</v>
      </c>
      <c r="D19" s="172">
        <f ca="1">IF(NOT($C$6),"",IF(GetConvertDate(CDSRollDate,B19)&lt;Parameter_Date,0,GetGetDefaultprob($I$6,B19)))</f>
        <v>2.6611244658585331E-3</v>
      </c>
      <c r="E19" s="181">
        <f t="shared" ca="1" si="2"/>
        <v>5.4645356355629516E-3</v>
      </c>
      <c r="F19" s="167"/>
      <c r="G19" s="168"/>
    </row>
    <row r="20" spans="2:7" x14ac:dyDescent="0.3">
      <c r="B20" s="187" t="str">
        <f t="shared" ca="1" si="0"/>
        <v>11M</v>
      </c>
      <c r="C20" s="224">
        <f t="shared" ca="1" si="1"/>
        <v>0.97534246575342465</v>
      </c>
      <c r="D20" s="172">
        <f ca="1">IF(NOT($C$6),"",IF(GetConvertDate(CDSRollDate,B20)&lt;Parameter_Date,0,GetGetDefaultprob($I$6,B20)))</f>
        <v>3.1238932574209066E-3</v>
      </c>
      <c r="E20" s="181">
        <f t="shared" ca="1" si="2"/>
        <v>5.4645356355629516E-3</v>
      </c>
      <c r="F20" s="167"/>
      <c r="G20" s="168"/>
    </row>
    <row r="21" spans="2:7" x14ac:dyDescent="0.3">
      <c r="B21" s="187" t="str">
        <f t="shared" ca="1" si="0"/>
        <v>12M</v>
      </c>
      <c r="C21" s="224">
        <f t="shared" ca="1" si="1"/>
        <v>1.0520547945205478</v>
      </c>
      <c r="D21" s="172">
        <f ca="1">IF(NOT($C$6),"",IF(GetConvertDate(CDSRollDate,B21)&lt;Parameter_Date,0,GetGetDefaultprob($I$6,B21)))</f>
        <v>3.5416934077237006E-3</v>
      </c>
      <c r="E21" s="181">
        <f t="shared" ca="1" si="2"/>
        <v>5.4645356355625136E-3</v>
      </c>
      <c r="F21" s="167"/>
      <c r="G21" s="168"/>
    </row>
    <row r="22" spans="2:7" x14ac:dyDescent="0.3">
      <c r="B22" s="187" t="str">
        <f t="shared" ca="1" si="0"/>
        <v>13M</v>
      </c>
      <c r="C22" s="224">
        <f t="shared" ca="1" si="1"/>
        <v>1.1369863013698631</v>
      </c>
      <c r="D22" s="172">
        <f ca="1">IF(NOT($C$6),"",IF(GetConvertDate(CDSRollDate,B22)&lt;Parameter_Date,0,GetGetDefaultprob($I$6,B22)))</f>
        <v>4.0042152495703975E-3</v>
      </c>
      <c r="E22" s="181">
        <f t="shared" ca="1" si="2"/>
        <v>5.4664464368262417E-3</v>
      </c>
      <c r="F22" s="167"/>
      <c r="G22" s="168"/>
    </row>
    <row r="23" spans="2:7" x14ac:dyDescent="0.3">
      <c r="B23" s="187" t="str">
        <f t="shared" ca="1" si="0"/>
        <v>14M</v>
      </c>
      <c r="C23" s="224">
        <f t="shared" ca="1" si="1"/>
        <v>1.2191780821917808</v>
      </c>
      <c r="D23" s="172">
        <f ca="1">IF(NOT($C$6),"",IF(GetConvertDate(CDSRollDate,B23)&lt;Parameter_Date,0,GetGetDefaultprob($I$6,B23)))</f>
        <v>4.4516126205449424E-3</v>
      </c>
      <c r="E23" s="181">
        <f t="shared" ca="1" si="2"/>
        <v>5.4664464368253942E-3</v>
      </c>
      <c r="F23" s="167"/>
      <c r="G23" s="168"/>
    </row>
    <row r="24" spans="2:7" x14ac:dyDescent="0.3">
      <c r="B24" s="187" t="str">
        <f t="shared" ca="1" si="0"/>
        <v>15M</v>
      </c>
      <c r="C24" s="224">
        <f t="shared" ca="1" si="1"/>
        <v>1.3041095890410959</v>
      </c>
      <c r="D24" s="172">
        <f ca="1">IF(NOT($C$6),"",IF(GetConvertDate(CDSRollDate,B24)&lt;Parameter_Date,0,GetGetDefaultprob($I$6,B24)))</f>
        <v>4.9137121090353508E-3</v>
      </c>
      <c r="E24" s="181">
        <f t="shared" ca="1" si="2"/>
        <v>5.4664464368262564E-3</v>
      </c>
      <c r="F24" s="167"/>
      <c r="G24" s="168"/>
    </row>
    <row r="25" spans="2:7" x14ac:dyDescent="0.3">
      <c r="B25" s="187" t="str">
        <f t="shared" ca="1" si="0"/>
        <v>16M</v>
      </c>
      <c r="C25" s="224">
        <f t="shared" ca="1" si="1"/>
        <v>1.3863013698630138</v>
      </c>
      <c r="D25" s="172">
        <f ca="1">IF(NOT($C$6),"",IF(GetConvertDate(CDSRollDate,B25)&lt;Parameter_Date,0,GetGetDefaultprob($I$6,B25)))</f>
        <v>5.3608571478511724E-3</v>
      </c>
      <c r="E25" s="181">
        <f t="shared" ca="1" si="2"/>
        <v>5.468357238089569E-3</v>
      </c>
      <c r="F25" s="167"/>
      <c r="G25" s="168"/>
    </row>
    <row r="26" spans="2:7" x14ac:dyDescent="0.3">
      <c r="B26" s="187" t="str">
        <f t="shared" ca="1" si="0"/>
        <v>17M</v>
      </c>
      <c r="C26" s="224">
        <f t="shared" ca="1" si="1"/>
        <v>1.4712328767123288</v>
      </c>
      <c r="D26" s="172">
        <f ca="1">IF(NOT($C$6),"",IF(GetConvertDate(CDSRollDate,B26)&lt;Parameter_Date,0,GetGetDefaultprob($I$6,B26)))</f>
        <v>5.8226959384455323E-3</v>
      </c>
      <c r="E26" s="181">
        <f t="shared" ca="1" si="2"/>
        <v>5.4683572380884024E-3</v>
      </c>
      <c r="F26" s="167"/>
      <c r="G26" s="168"/>
    </row>
    <row r="27" spans="2:7" x14ac:dyDescent="0.3">
      <c r="B27" s="187" t="str">
        <f t="shared" ca="1" si="0"/>
        <v>18M</v>
      </c>
      <c r="C27" s="224">
        <f t="shared" ca="1" si="1"/>
        <v>1.5561643835616439</v>
      </c>
      <c r="D27" s="172">
        <f ca="1">IF(NOT($C$6),"",IF(GetConvertDate(CDSRollDate,B27)&lt;Parameter_Date,0,GetGetDefaultprob($I$6,B27)))</f>
        <v>6.2843202843640977E-3</v>
      </c>
      <c r="E27" s="181">
        <f t="shared" ca="1" si="2"/>
        <v>5.4683572380884024E-3</v>
      </c>
      <c r="F27" s="167"/>
      <c r="G27" s="168"/>
    </row>
    <row r="28" spans="2:7" x14ac:dyDescent="0.3">
      <c r="B28" s="187" t="str">
        <f t="shared" ca="1" si="0"/>
        <v>19M</v>
      </c>
      <c r="C28" s="224">
        <f t="shared" ca="1" si="1"/>
        <v>1.6383561643835616</v>
      </c>
      <c r="D28" s="172">
        <f ca="1">IF(NOT($C$6),"",IF(GetConvertDate(CDSRollDate,B28)&lt;Parameter_Date,0,GetGetDefaultprob($I$6,B28)))</f>
        <v>6.7310054312950118E-3</v>
      </c>
      <c r="E28" s="181">
        <f t="shared" ca="1" si="2"/>
        <v>5.4702680393525112E-3</v>
      </c>
      <c r="F28" s="167"/>
      <c r="G28" s="168"/>
    </row>
    <row r="29" spans="2:7" x14ac:dyDescent="0.3">
      <c r="B29" s="187" t="str">
        <f t="shared" ca="1" si="0"/>
        <v>20M</v>
      </c>
      <c r="C29" s="224">
        <f t="shared" ca="1" si="1"/>
        <v>1.7232876712328766</v>
      </c>
      <c r="D29" s="172">
        <f ca="1">IF(NOT($C$6),"",IF(GetConvertDate(CDSRollDate,B29)&lt;Parameter_Date,0,GetGetDefaultprob($I$6,B29)))</f>
        <v>7.192369143709576E-3</v>
      </c>
      <c r="E29" s="181">
        <f t="shared" ca="1" si="2"/>
        <v>5.4702680393520046E-3</v>
      </c>
      <c r="F29" s="167"/>
      <c r="G29" s="168"/>
    </row>
    <row r="30" spans="2:7" x14ac:dyDescent="0.3">
      <c r="B30" s="187" t="str">
        <f t="shared" ca="1" si="0"/>
        <v>21M</v>
      </c>
      <c r="C30" s="224">
        <f t="shared" ca="1" si="1"/>
        <v>1.8054794520547945</v>
      </c>
      <c r="D30" s="172">
        <f ca="1">IF(NOT($C$6),"",IF(GetConvertDate(CDSRollDate,B30)&lt;Parameter_Date,0,GetGetDefaultprob($I$6,B30)))</f>
        <v>7.6386461135869999E-3</v>
      </c>
      <c r="E30" s="181">
        <f t="shared" ca="1" si="2"/>
        <v>5.4702680393524964E-3</v>
      </c>
      <c r="F30" s="167"/>
      <c r="G30" s="168"/>
    </row>
    <row r="31" spans="2:7" x14ac:dyDescent="0.3">
      <c r="B31" s="187" t="str">
        <f t="shared" ca="1" si="0"/>
        <v>22M</v>
      </c>
      <c r="C31" s="224">
        <f t="shared" ca="1" si="1"/>
        <v>1.8904109589041096</v>
      </c>
      <c r="D31" s="172">
        <f ca="1">IF(NOT($C$6),"",IF(GetConvertDate(CDSRollDate,B31)&lt;Parameter_Date,0,GetGetDefaultprob($I$6,B31)))</f>
        <v>8.0997492085587153E-3</v>
      </c>
      <c r="E31" s="181">
        <f t="shared" ca="1" si="2"/>
        <v>5.4721788406157561E-3</v>
      </c>
      <c r="F31" s="167"/>
      <c r="G31" s="168"/>
    </row>
    <row r="32" spans="2:7" x14ac:dyDescent="0.3">
      <c r="B32" s="187" t="str">
        <f t="shared" ca="1" si="0"/>
        <v>23M</v>
      </c>
      <c r="C32" s="224">
        <f t="shared" ca="1" si="1"/>
        <v>1.9753424657534246</v>
      </c>
      <c r="D32" s="172">
        <f ca="1">IF(NOT($C$6),"",IF(GetConvertDate(CDSRollDate,B32)&lt;Parameter_Date,0,GetGetDefaultprob($I$6,B32)))</f>
        <v>8.5606380508659319E-3</v>
      </c>
      <c r="E32" s="181">
        <f t="shared" ca="1" si="2"/>
        <v>5.4721788406157561E-3</v>
      </c>
      <c r="F32" s="167"/>
      <c r="G32" s="168"/>
    </row>
    <row r="33" spans="2:7" x14ac:dyDescent="0.3">
      <c r="B33" s="187" t="str">
        <f t="shared" ca="1" si="0"/>
        <v>24M</v>
      </c>
      <c r="C33" s="224">
        <f t="shared" ca="1" si="1"/>
        <v>2.0520547945205481</v>
      </c>
      <c r="D33" s="172">
        <f ca="1">IF(NOT($C$6),"",IF(GetConvertDate(CDSRollDate,B33)&lt;Parameter_Date,0,GetGetDefaultprob($I$6,B33)))</f>
        <v>8.9767406752164769E-3</v>
      </c>
      <c r="E33" s="181">
        <f t="shared" ca="1" si="2"/>
        <v>5.4721788406159912E-3</v>
      </c>
      <c r="F33" s="167"/>
      <c r="G33" s="168"/>
    </row>
    <row r="34" spans="2:7" x14ac:dyDescent="0.3">
      <c r="B34" s="187" t="str">
        <f t="shared" ca="1" si="0"/>
        <v>25M</v>
      </c>
      <c r="C34" s="224">
        <f t="shared" ca="1" si="1"/>
        <v>2.1369863013698631</v>
      </c>
      <c r="D34" s="172">
        <f ca="1">IF(NOT($C$6),"",IF(GetConvertDate(CDSRollDate,B34)&lt;Parameter_Date,0,GetGetDefaultprob($I$6,B34)))</f>
        <v>9.5023675003190755E-3</v>
      </c>
      <c r="E34" s="181">
        <f t="shared" ca="1" si="2"/>
        <v>6.2465474309922209E-3</v>
      </c>
      <c r="F34" s="167"/>
      <c r="G34" s="168"/>
    </row>
    <row r="35" spans="2:7" x14ac:dyDescent="0.3">
      <c r="B35" s="187" t="str">
        <f t="shared" ca="1" si="0"/>
        <v>26M</v>
      </c>
      <c r="C35" s="224">
        <f t="shared" ca="1" si="1"/>
        <v>2.2191780821917808</v>
      </c>
      <c r="D35" s="172">
        <f ca="1">IF(NOT($C$6),"",IF(GetConvertDate(CDSRollDate,B35)&lt;Parameter_Date,0,GetGetDefaultprob($I$6,B35)))</f>
        <v>1.0010773178324217E-2</v>
      </c>
      <c r="E35" s="181">
        <f t="shared" ca="1" si="2"/>
        <v>6.2465474309924152E-3</v>
      </c>
      <c r="F35" s="167"/>
      <c r="G35" s="168"/>
    </row>
    <row r="36" spans="2:7" x14ac:dyDescent="0.3">
      <c r="B36" s="187" t="str">
        <f t="shared" ca="1" si="0"/>
        <v>27M</v>
      </c>
      <c r="C36" s="224">
        <f t="shared" ca="1" si="1"/>
        <v>2.3041095890410959</v>
      </c>
      <c r="D36" s="172">
        <f ca="1">IF(NOT($C$6),"",IF(GetConvertDate(CDSRollDate,B36)&lt;Parameter_Date,0,GetGetDefaultprob($I$6,B36)))</f>
        <v>1.0535851565015797E-2</v>
      </c>
      <c r="E36" s="181">
        <f t="shared" ca="1" si="2"/>
        <v>6.2465474309922209E-3</v>
      </c>
      <c r="F36" s="167"/>
      <c r="G36" s="168"/>
    </row>
    <row r="37" spans="2:7" x14ac:dyDescent="0.3">
      <c r="B37" s="187" t="str">
        <f t="shared" ca="1" si="0"/>
        <v>28M</v>
      </c>
      <c r="C37" s="224">
        <f t="shared" ca="1" si="1"/>
        <v>2.3863013698630136</v>
      </c>
      <c r="D37" s="172">
        <f ca="1">IF(NOT($C$6),"",IF(GetConvertDate(CDSRollDate,B37)&lt;Parameter_Date,0,GetGetDefaultprob($I$6,B37)))</f>
        <v>1.1106668606413517E-2</v>
      </c>
      <c r="E37" s="181">
        <f t="shared" ca="1" si="2"/>
        <v>7.0209160213683735E-3</v>
      </c>
      <c r="F37" s="167"/>
      <c r="G37" s="168"/>
    </row>
    <row r="38" spans="2:7" x14ac:dyDescent="0.3">
      <c r="B38" s="187" t="str">
        <f t="shared" ca="1" si="0"/>
        <v>29M</v>
      </c>
      <c r="C38" s="224">
        <f t="shared" ca="1" si="1"/>
        <v>2.4712328767123286</v>
      </c>
      <c r="D38" s="172">
        <f ca="1">IF(NOT($C$6),"",IF(GetConvertDate(CDSRollDate,B38)&lt;Parameter_Date,0,GetGetDefaultprob($I$6,B38)))</f>
        <v>1.169616693515152E-2</v>
      </c>
      <c r="E38" s="181">
        <f t="shared" ca="1" si="2"/>
        <v>7.0209160213690102E-3</v>
      </c>
      <c r="F38" s="167"/>
      <c r="G38" s="168"/>
    </row>
    <row r="39" spans="2:7" x14ac:dyDescent="0.3">
      <c r="B39" s="187" t="str">
        <f t="shared" ca="1" si="0"/>
        <v>30M</v>
      </c>
      <c r="C39" s="224">
        <f t="shared" ca="1" si="1"/>
        <v>2.5561643835616437</v>
      </c>
      <c r="D39" s="172">
        <f ca="1">IF(NOT($C$6),"",IF(GetConvertDate(CDSRollDate,B39)&lt;Parameter_Date,0,GetGetDefaultprob($I$6,B39)))</f>
        <v>1.2285313852601232E-2</v>
      </c>
      <c r="E39" s="181">
        <f t="shared" ca="1" si="2"/>
        <v>7.0209160213690102E-3</v>
      </c>
      <c r="F39" s="167"/>
      <c r="G39" s="168"/>
    </row>
    <row r="40" spans="2:7" x14ac:dyDescent="0.3">
      <c r="B40" s="187" t="str">
        <f t="shared" ca="1" si="0"/>
        <v>31M</v>
      </c>
      <c r="C40" s="224">
        <f t="shared" ca="1" si="1"/>
        <v>2.6383561643835618</v>
      </c>
      <c r="D40" s="172">
        <f ca="1">IF(NOT($C$6),"",IF(GetConvertDate(CDSRollDate,B40)&lt;Parameter_Date,0,GetGetDefaultprob($I$6,B40)))</f>
        <v>1.2917948185319439E-2</v>
      </c>
      <c r="E40" s="181">
        <f t="shared" ca="1" si="2"/>
        <v>7.7952846117446649E-3</v>
      </c>
      <c r="F40" s="167"/>
      <c r="G40" s="168"/>
    </row>
    <row r="41" spans="2:7" x14ac:dyDescent="0.3">
      <c r="B41" s="187" t="str">
        <f t="shared" ca="1" si="0"/>
        <v>32M</v>
      </c>
      <c r="C41" s="224">
        <f t="shared" ca="1" si="1"/>
        <v>2.7232876712328768</v>
      </c>
      <c r="D41" s="172">
        <f ca="1">IF(NOT($C$6),"",IF(GetConvertDate(CDSRollDate,B41)&lt;Parameter_Date,0,GetGetDefaultprob($I$6,B41)))</f>
        <v>1.3571244642571312E-2</v>
      </c>
      <c r="E41" s="181">
        <f t="shared" ca="1" si="2"/>
        <v>7.795284611744932E-3</v>
      </c>
      <c r="F41" s="167"/>
      <c r="G41" s="168"/>
    </row>
    <row r="42" spans="2:7" x14ac:dyDescent="0.3">
      <c r="B42" s="187" t="str">
        <f t="shared" ca="1" si="0"/>
        <v>33M</v>
      </c>
      <c r="C42" s="224">
        <f t="shared" ref="C42:C73" ca="1" si="3">MAX(0,(DATE(YEAR(CDSRollDate),MONTH(CDSRollDate)+ROW()-ROW($B$9),DAY(CDSRollDate))-Parameter_Date)/365)</f>
        <v>2.8054794520547945</v>
      </c>
      <c r="D42" s="172">
        <f ca="1">IF(NOT($C$6),"",IF(GetConvertDate(CDSRollDate,B42)&lt;Parameter_Date,0,GetGetDefaultprob($I$6,B42)))</f>
        <v>1.4203055332613568E-2</v>
      </c>
      <c r="E42" s="181">
        <f t="shared" ca="1" si="2"/>
        <v>7.7952846117447074E-3</v>
      </c>
      <c r="F42" s="167"/>
      <c r="G42" s="168"/>
    </row>
    <row r="43" spans="2:7" x14ac:dyDescent="0.3">
      <c r="B43" s="187" t="str">
        <f t="shared" ca="1" si="0"/>
        <v>34M</v>
      </c>
      <c r="C43" s="224">
        <f t="shared" ca="1" si="3"/>
        <v>2.8904109589041096</v>
      </c>
      <c r="D43" s="172">
        <f ca="1">IF(NOT($C$6),"",IF(GetConvertDate(CDSRollDate,B43)&lt;Parameter_Date,0,GetGetDefaultprob($I$6,B43)))</f>
        <v>1.4920290386391866E-2</v>
      </c>
      <c r="E43" s="181">
        <f t="shared" ca="1" si="2"/>
        <v>8.5696532021216267E-3</v>
      </c>
      <c r="F43" s="167"/>
      <c r="G43" s="168"/>
    </row>
    <row r="44" spans="2:7" x14ac:dyDescent="0.3">
      <c r="B44" s="187" t="str">
        <f t="shared" ca="1" si="0"/>
        <v>35M</v>
      </c>
      <c r="C44" s="224">
        <f t="shared" ca="1" si="3"/>
        <v>2.9753424657534246</v>
      </c>
      <c r="D44" s="172">
        <f ca="1">IF(NOT($C$6),"",IF(GetConvertDate(CDSRollDate,B44)&lt;Parameter_Date,0,GetGetDefaultprob($I$6,B44)))</f>
        <v>1.5637003602356425E-2</v>
      </c>
      <c r="E44" s="181">
        <f t="shared" ca="1" si="2"/>
        <v>8.5696532021216267E-3</v>
      </c>
      <c r="F44" s="167"/>
      <c r="G44" s="168"/>
    </row>
    <row r="45" spans="2:7" x14ac:dyDescent="0.3">
      <c r="B45" s="187" t="str">
        <f t="shared" ca="1" si="0"/>
        <v>36M</v>
      </c>
      <c r="C45" s="224">
        <f t="shared" ca="1" si="3"/>
        <v>3.0520547945205481</v>
      </c>
      <c r="D45" s="172">
        <f ca="1">IF(NOT($C$6),"",IF(GetConvertDate(CDSRollDate,B45)&lt;Parameter_Date,0,GetGetDefaultprob($I$6,B45)))</f>
        <v>1.628390925992329E-2</v>
      </c>
      <c r="E45" s="181">
        <f t="shared" ca="1" si="2"/>
        <v>8.5696532021207091E-3</v>
      </c>
      <c r="F45" s="167"/>
      <c r="G45" s="168"/>
    </row>
    <row r="46" spans="2:7" x14ac:dyDescent="0.3">
      <c r="B46" s="187" t="str">
        <f t="shared" ca="1" si="0"/>
        <v>37M</v>
      </c>
      <c r="C46" s="224">
        <f t="shared" ca="1" si="3"/>
        <v>3.1369863013698631</v>
      </c>
      <c r="D46" s="172">
        <f ca="1">IF(NOT($C$6),"",IF(GetConvertDate(CDSRollDate,B46)&lt;Parameter_Date,0,GetGetDefaultprob($I$6,B46)))</f>
        <v>1.7010582136384955E-2</v>
      </c>
      <c r="E46" s="181">
        <f t="shared" ca="1" si="2"/>
        <v>8.700832377546857E-3</v>
      </c>
      <c r="F46" s="167"/>
      <c r="G46" s="168"/>
    </row>
    <row r="47" spans="2:7" x14ac:dyDescent="0.3">
      <c r="B47" s="187" t="str">
        <f t="shared" ca="1" si="0"/>
        <v>38M</v>
      </c>
      <c r="C47" s="224">
        <f t="shared" ca="1" si="3"/>
        <v>3.2191780821917808</v>
      </c>
      <c r="D47" s="172">
        <f ca="1">IF(NOT($C$6),"",IF(GetConvertDate(CDSRollDate,B47)&lt;Parameter_Date,0,GetGetDefaultprob($I$6,B47)))</f>
        <v>1.7713302848313295E-2</v>
      </c>
      <c r="E47" s="181">
        <f t="shared" ca="1" si="2"/>
        <v>8.7008323775464979E-3</v>
      </c>
      <c r="F47" s="167"/>
      <c r="G47" s="168"/>
    </row>
    <row r="48" spans="2:7" x14ac:dyDescent="0.3">
      <c r="B48" s="187" t="str">
        <f t="shared" ca="1" si="0"/>
        <v>39M</v>
      </c>
      <c r="C48" s="224">
        <f t="shared" ca="1" si="3"/>
        <v>3.3041095890410959</v>
      </c>
      <c r="D48" s="172">
        <f ca="1">IF(NOT($C$6),"",IF(GetConvertDate(CDSRollDate,B48)&lt;Parameter_Date,0,GetGetDefaultprob($I$6,B48)))</f>
        <v>1.8438919829115386E-2</v>
      </c>
      <c r="E48" s="181">
        <f t="shared" ca="1" si="2"/>
        <v>8.700832377548165E-3</v>
      </c>
      <c r="F48" s="167"/>
      <c r="G48" s="168"/>
    </row>
    <row r="49" spans="2:7" x14ac:dyDescent="0.3">
      <c r="B49" s="187" t="str">
        <f t="shared" ca="1" si="0"/>
        <v>40M</v>
      </c>
      <c r="C49" s="224">
        <f t="shared" ca="1" si="3"/>
        <v>3.3863013698630136</v>
      </c>
      <c r="D49" s="172">
        <f ca="1">IF(NOT($C$6),"",IF(GetConvertDate(CDSRollDate,B49)&lt;Parameter_Date,0,GetGetDefaultprob($I$6,B49)))</f>
        <v>1.9151194870931754E-2</v>
      </c>
      <c r="E49" s="181">
        <f t="shared" ca="1" si="2"/>
        <v>8.8320115529727482E-3</v>
      </c>
      <c r="F49" s="167"/>
      <c r="G49" s="168"/>
    </row>
    <row r="50" spans="2:7" x14ac:dyDescent="0.3">
      <c r="B50" s="187" t="str">
        <f t="shared" ca="1" si="0"/>
        <v>41M</v>
      </c>
      <c r="C50" s="224">
        <f t="shared" ca="1" si="3"/>
        <v>3.4712328767123286</v>
      </c>
      <c r="D50" s="172">
        <f ca="1">IF(NOT($C$6),"",IF(GetConvertDate(CDSRollDate,B50)&lt;Parameter_Date,0,GetGetDefaultprob($I$6,B50)))</f>
        <v>1.9886669421874226E-2</v>
      </c>
      <c r="E50" s="181">
        <f t="shared" ca="1" si="2"/>
        <v>8.8320115529744361E-3</v>
      </c>
      <c r="F50" s="167"/>
      <c r="G50" s="168"/>
    </row>
    <row r="51" spans="2:7" x14ac:dyDescent="0.3">
      <c r="B51" s="187" t="str">
        <f t="shared" ca="1" si="0"/>
        <v>42M</v>
      </c>
      <c r="C51" s="224">
        <f t="shared" ca="1" si="3"/>
        <v>3.5561643835616437</v>
      </c>
      <c r="D51" s="172">
        <f ca="1">IF(NOT($C$6),"",IF(GetConvertDate(CDSRollDate,B51)&lt;Parameter_Date,0,GetGetDefaultprob($I$6,B51)))</f>
        <v>2.0621592488416329E-2</v>
      </c>
      <c r="E51" s="181">
        <f t="shared" ca="1" si="2"/>
        <v>8.8320115529731281E-3</v>
      </c>
      <c r="F51" s="167"/>
      <c r="G51" s="168"/>
    </row>
    <row r="52" spans="2:7" x14ac:dyDescent="0.3">
      <c r="B52" s="187" t="str">
        <f t="shared" ca="1" si="0"/>
        <v>43M</v>
      </c>
      <c r="C52" s="224">
        <f t="shared" ca="1" si="3"/>
        <v>3.6383561643835618</v>
      </c>
      <c r="D52" s="172">
        <f ca="1">IF(NOT($C$6),"",IF(GetConvertDate(CDSRollDate,B52)&lt;Parameter_Date,0,GetGetDefaultprob($I$6,B52)))</f>
        <v>2.1342835453824205E-2</v>
      </c>
      <c r="E52" s="181">
        <f t="shared" ca="1" si="2"/>
        <v>8.9631907283985457E-3</v>
      </c>
      <c r="F52" s="167"/>
      <c r="G52" s="168"/>
    </row>
    <row r="53" spans="2:7" x14ac:dyDescent="0.3">
      <c r="B53" s="187" t="str">
        <f t="shared" ca="1" si="0"/>
        <v>44M</v>
      </c>
      <c r="C53" s="224">
        <f t="shared" ca="1" si="3"/>
        <v>3.7232876712328768</v>
      </c>
      <c r="D53" s="172">
        <f ca="1">IF(NOT($C$6),"",IF(GetConvertDate(CDSRollDate,B53)&lt;Parameter_Date,0,GetGetDefaultprob($I$6,B53)))</f>
        <v>2.2087561859216009E-2</v>
      </c>
      <c r="E53" s="181">
        <f t="shared" ca="1" si="2"/>
        <v>8.9631907283985457E-3</v>
      </c>
      <c r="F53" s="167"/>
      <c r="G53" s="168"/>
    </row>
    <row r="54" spans="2:7" x14ac:dyDescent="0.3">
      <c r="B54" s="187" t="str">
        <f t="shared" ca="1" si="0"/>
        <v>45M</v>
      </c>
      <c r="C54" s="224">
        <f t="shared" ca="1" si="3"/>
        <v>3.8054794520547945</v>
      </c>
      <c r="D54" s="172">
        <f ca="1">IF(NOT($C$6),"",IF(GetConvertDate(CDSRollDate,B54)&lt;Parameter_Date,0,GetGetDefaultprob($I$6,B54)))</f>
        <v>2.280772524181085E-2</v>
      </c>
      <c r="E54" s="181">
        <f t="shared" ca="1" si="2"/>
        <v>8.9631907283985925E-3</v>
      </c>
      <c r="F54" s="167"/>
      <c r="G54" s="168"/>
    </row>
    <row r="55" spans="2:7" x14ac:dyDescent="0.3">
      <c r="B55" s="187" t="str">
        <f t="shared" ca="1" si="0"/>
        <v>46M</v>
      </c>
      <c r="C55" s="224">
        <f t="shared" ca="1" si="3"/>
        <v>3.8904109589041096</v>
      </c>
      <c r="D55" s="172">
        <f ca="1">IF(NOT($C$6),"",IF(GetConvertDate(CDSRollDate,B55)&lt;Parameter_Date,0,GetGetDefaultprob($I$6,B55)))</f>
        <v>2.3562215706737999E-2</v>
      </c>
      <c r="E55" s="181">
        <f t="shared" ca="1" si="2"/>
        <v>9.0943699038251412E-3</v>
      </c>
      <c r="F55" s="167"/>
      <c r="G55" s="168"/>
    </row>
    <row r="56" spans="2:7" x14ac:dyDescent="0.3">
      <c r="B56" s="187" t="str">
        <f t="shared" ca="1" si="0"/>
        <v>47M</v>
      </c>
      <c r="C56" s="224">
        <f t="shared" ca="1" si="3"/>
        <v>3.9753424657534246</v>
      </c>
      <c r="D56" s="172">
        <f ca="1">IF(NOT($C$6),"",IF(GetConvertDate(CDSRollDate,B56)&lt;Parameter_Date,0,GetGetDefaultprob($I$6,B56)))</f>
        <v>2.4316123629338104E-2</v>
      </c>
      <c r="E56" s="181">
        <f t="shared" ca="1" si="2"/>
        <v>9.0943699038251412E-3</v>
      </c>
      <c r="F56" s="167"/>
      <c r="G56" s="168"/>
    </row>
    <row r="57" spans="2:7" x14ac:dyDescent="0.3">
      <c r="B57" s="187" t="str">
        <f t="shared" ca="1" si="0"/>
        <v>48M</v>
      </c>
      <c r="C57" s="224">
        <f t="shared" ca="1" si="3"/>
        <v>4.0547945205479454</v>
      </c>
      <c r="D57" s="172">
        <f ca="1">IF(NOT($C$6),"",IF(GetConvertDate(CDSRollDate,B57)&lt;Parameter_Date,0,GetGetDefaultprob($I$6,B57)))</f>
        <v>2.5020865349933419E-2</v>
      </c>
      <c r="E57" s="181">
        <f t="shared" ca="1" si="2"/>
        <v>9.094369903825417E-3</v>
      </c>
      <c r="F57" s="167"/>
      <c r="G57" s="168"/>
    </row>
    <row r="58" spans="2:7" x14ac:dyDescent="0.3">
      <c r="B58" s="187" t="str">
        <f t="shared" ca="1" si="0"/>
        <v>49M</v>
      </c>
      <c r="C58" s="224">
        <f t="shared" ca="1" si="3"/>
        <v>4.13972602739726</v>
      </c>
      <c r="D58" s="172">
        <f ca="1">IF(NOT($C$6),"",IF(GetConvertDate(CDSRollDate,B58)&lt;Parameter_Date,0,GetGetDefaultprob($I$6,B58)))</f>
        <v>2.5784501082736999E-2</v>
      </c>
      <c r="E58" s="181">
        <f t="shared" ca="1" si="2"/>
        <v>9.2255490792510705E-3</v>
      </c>
      <c r="F58" s="167"/>
      <c r="G58" s="168"/>
    </row>
    <row r="59" spans="2:7" x14ac:dyDescent="0.3">
      <c r="B59" s="187" t="str">
        <f t="shared" ca="1" si="0"/>
        <v>50M</v>
      </c>
      <c r="C59" s="224">
        <f t="shared" ca="1" si="3"/>
        <v>4.2219178082191782</v>
      </c>
      <c r="D59" s="172">
        <f ca="1">IF(NOT($C$6),"",IF(GetConvertDate(CDSRollDate,B59)&lt;Parameter_Date,0,GetGetDefaultprob($I$6,B59)))</f>
        <v>2.6522933924738035E-2</v>
      </c>
      <c r="E59" s="181">
        <f t="shared" ca="1" si="2"/>
        <v>9.2255490792515493E-3</v>
      </c>
      <c r="F59" s="167"/>
      <c r="G59" s="168"/>
    </row>
    <row r="60" spans="2:7" x14ac:dyDescent="0.3">
      <c r="B60" s="187" t="str">
        <f t="shared" ca="1" si="0"/>
        <v>51M</v>
      </c>
      <c r="C60" s="224">
        <f t="shared" ca="1" si="3"/>
        <v>4.3068493150684928</v>
      </c>
      <c r="D60" s="172">
        <f ca="1">IF(NOT($C$6),"",IF(GetConvertDate(CDSRollDate,B60)&lt;Parameter_Date,0,GetGetDefaultprob($I$6,B60)))</f>
        <v>2.7285393188019258E-2</v>
      </c>
      <c r="E60" s="181">
        <f t="shared" ca="1" si="2"/>
        <v>9.2255490792510705E-3</v>
      </c>
      <c r="F60" s="167"/>
      <c r="G60" s="168"/>
    </row>
    <row r="61" spans="2:7" x14ac:dyDescent="0.3">
      <c r="B61" s="187" t="str">
        <f t="shared" ca="1" si="0"/>
        <v>52M</v>
      </c>
      <c r="C61" s="224">
        <f t="shared" ca="1" si="3"/>
        <v>4.3890410958904109</v>
      </c>
      <c r="D61" s="172">
        <f ca="1">IF(NOT($C$6),"",IF(GetConvertDate(CDSRollDate,B61)&lt;Parameter_Date,0,GetGetDefaultprob($I$6,B61)))</f>
        <v>2.8033168045593859E-2</v>
      </c>
      <c r="E61" s="181">
        <f t="shared" ca="1" si="2"/>
        <v>9.3567282546765992E-3</v>
      </c>
      <c r="F61" s="167"/>
      <c r="G61" s="168"/>
    </row>
    <row r="62" spans="2:7" x14ac:dyDescent="0.3">
      <c r="B62" s="187" t="str">
        <f t="shared" ca="1" si="0"/>
        <v>53M</v>
      </c>
      <c r="C62" s="224">
        <f t="shared" ca="1" si="3"/>
        <v>4.4739726027397264</v>
      </c>
      <c r="D62" s="172">
        <f ca="1">IF(NOT($C$6),"",IF(GetConvertDate(CDSRollDate,B62)&lt;Parameter_Date,0,GetGetDefaultprob($I$6,B62)))</f>
        <v>2.8805264822627019E-2</v>
      </c>
      <c r="E62" s="181">
        <f t="shared" ca="1" si="2"/>
        <v>9.3567282546768646E-3</v>
      </c>
      <c r="F62" s="167"/>
      <c r="G62" s="168"/>
    </row>
    <row r="63" spans="2:7" x14ac:dyDescent="0.3">
      <c r="B63" s="187" t="str">
        <f t="shared" ca="1" si="0"/>
        <v>54M</v>
      </c>
      <c r="C63" s="224">
        <f t="shared" ca="1" si="3"/>
        <v>4.558904109589041</v>
      </c>
      <c r="D63" s="172">
        <f ca="1">IF(NOT($C$6),"",IF(GetConvertDate(CDSRollDate,B63)&lt;Parameter_Date,0,GetGetDefaultprob($I$6,B63)))</f>
        <v>2.9576748272730158E-2</v>
      </c>
      <c r="E63" s="181">
        <f t="shared" ca="1" si="2"/>
        <v>9.3567282546769635E-3</v>
      </c>
      <c r="F63" s="167"/>
      <c r="G63" s="168"/>
    </row>
    <row r="64" spans="2:7" x14ac:dyDescent="0.3">
      <c r="B64" s="187" t="str">
        <f t="shared" ca="1" si="0"/>
        <v>55M</v>
      </c>
      <c r="C64" s="224">
        <f t="shared" ca="1" si="3"/>
        <v>4.6410958904109592</v>
      </c>
      <c r="D64" s="172">
        <f ca="1">IF(NOT($C$6),"",IF(GetConvertDate(CDSRollDate,B64)&lt;Parameter_Date,0,GetGetDefaultprob($I$6,B64)))</f>
        <v>3.0333216508102057E-2</v>
      </c>
      <c r="E64" s="181">
        <f t="shared" ca="1" si="2"/>
        <v>9.4879074301037793E-3</v>
      </c>
      <c r="F64" s="167"/>
      <c r="G64" s="168"/>
    </row>
    <row r="65" spans="2:7" x14ac:dyDescent="0.3">
      <c r="B65" s="187" t="str">
        <f t="shared" ca="1" si="0"/>
        <v>56M</v>
      </c>
      <c r="C65" s="224">
        <f t="shared" ca="1" si="3"/>
        <v>4.7260273972602738</v>
      </c>
      <c r="D65" s="172">
        <f ca="1">IF(NOT($C$6),"",IF(GetConvertDate(CDSRollDate,B65)&lt;Parameter_Date,0,GetGetDefaultprob($I$6,B65)))</f>
        <v>3.1114280859664833E-2</v>
      </c>
      <c r="E65" s="181">
        <f t="shared" ca="1" si="2"/>
        <v>9.4879074301035884E-3</v>
      </c>
      <c r="F65" s="167"/>
      <c r="G65" s="168"/>
    </row>
    <row r="66" spans="2:7" x14ac:dyDescent="0.3">
      <c r="B66" s="187" t="str">
        <f t="shared" ca="1" si="0"/>
        <v>57M</v>
      </c>
      <c r="C66" s="224">
        <f t="shared" ca="1" si="3"/>
        <v>4.8082191780821919</v>
      </c>
      <c r="D66" s="172">
        <f ca="1">IF(NOT($C$6),"",IF(GetConvertDate(CDSRollDate,B66)&lt;Parameter_Date,0,GetGetDefaultprob($I$6,B66)))</f>
        <v>3.1869550551452019E-2</v>
      </c>
      <c r="E66" s="181">
        <f t="shared" ca="1" si="2"/>
        <v>9.4879074301037793E-3</v>
      </c>
      <c r="F66" s="167"/>
      <c r="G66" s="168"/>
    </row>
    <row r="67" spans="2:7" x14ac:dyDescent="0.3">
      <c r="B67" s="187" t="str">
        <f t="shared" ca="1" si="0"/>
        <v>58M</v>
      </c>
      <c r="C67" s="224">
        <f t="shared" ca="1" si="3"/>
        <v>4.8931506849315065</v>
      </c>
      <c r="D67" s="172">
        <f ca="1">IF(NOT($C$6),"",IF(GetConvertDate(CDSRollDate,B67)&lt;Parameter_Date,0,GetGetDefaultprob($I$6,B67)))</f>
        <v>3.2660154819781129E-2</v>
      </c>
      <c r="E67" s="181">
        <f t="shared" ca="1" si="2"/>
        <v>9.6190866055290564E-3</v>
      </c>
      <c r="F67" s="167"/>
      <c r="G67" s="168"/>
    </row>
    <row r="68" spans="2:7" x14ac:dyDescent="0.3">
      <c r="B68" s="187" t="str">
        <f t="shared" ca="1" si="0"/>
        <v>59M</v>
      </c>
      <c r="C68" s="224">
        <f t="shared" ca="1" si="3"/>
        <v>4.978082191780822</v>
      </c>
      <c r="D68" s="172">
        <f ca="1">IF(NOT($C$6),"",IF(GetConvertDate(CDSRollDate,B68)&lt;Parameter_Date,0,GetGetDefaultprob($I$6,B68)))</f>
        <v>3.3450113457028752E-2</v>
      </c>
      <c r="E68" s="181">
        <f t="shared" ca="1" si="2"/>
        <v>9.6190866055289558E-3</v>
      </c>
      <c r="F68" s="167"/>
      <c r="G68" s="168"/>
    </row>
    <row r="69" spans="2:7" x14ac:dyDescent="0.3">
      <c r="B69" s="187" t="str">
        <f t="shared" ca="1" si="0"/>
        <v>60M</v>
      </c>
      <c r="C69" s="224">
        <f t="shared" ca="1" si="3"/>
        <v>5.0547945205479454</v>
      </c>
      <c r="D69" s="172">
        <f ca="1">IF(NOT($C$6),"",IF(GetConvertDate(CDSRollDate,B69)&lt;Parameter_Date,0,GetGetDefaultprob($I$6,B69)))</f>
        <v>3.4163069989098571E-2</v>
      </c>
      <c r="E69" s="181">
        <f t="shared" ca="1" si="2"/>
        <v>9.6190866055289904E-3</v>
      </c>
      <c r="F69" s="167"/>
      <c r="G69" s="168"/>
    </row>
    <row r="70" spans="2:7" x14ac:dyDescent="0.3">
      <c r="B70" s="187" t="str">
        <f t="shared" ca="1" si="0"/>
        <v>61M</v>
      </c>
      <c r="C70" s="224">
        <f t="shared" ca="1" si="3"/>
        <v>5.13972602739726</v>
      </c>
      <c r="D70" s="172">
        <f ca="1">IF(NOT($C$6),"",IF(GetConvertDate(CDSRollDate,B70)&lt;Parameter_Date,0,GetGetDefaultprob($I$6,B70)))</f>
        <v>3.4948484649218625E-2</v>
      </c>
      <c r="E70" s="181">
        <f t="shared" ca="1" si="2"/>
        <v>9.5786214436522302E-3</v>
      </c>
      <c r="F70" s="167"/>
      <c r="G70" s="168"/>
    </row>
    <row r="71" spans="2:7" x14ac:dyDescent="0.3">
      <c r="B71" s="187" t="str">
        <f t="shared" ca="1" si="0"/>
        <v>62M</v>
      </c>
      <c r="C71" s="224">
        <f t="shared" ca="1" si="3"/>
        <v>5.2219178082191782</v>
      </c>
      <c r="D71" s="172">
        <f ca="1">IF(NOT($C$6),"",IF(GetConvertDate(CDSRollDate,B71)&lt;Parameter_Date,0,GetGetDefaultprob($I$6,B71)))</f>
        <v>3.5707955223574839E-2</v>
      </c>
      <c r="E71" s="181">
        <f t="shared" ca="1" si="2"/>
        <v>9.5786214436523708E-3</v>
      </c>
      <c r="F71" s="167"/>
      <c r="G71" s="168"/>
    </row>
    <row r="72" spans="2:7" x14ac:dyDescent="0.3">
      <c r="B72" s="187" t="str">
        <f t="shared" ca="1" si="0"/>
        <v>63M</v>
      </c>
      <c r="C72" s="224">
        <f t="shared" ca="1" si="3"/>
        <v>5.3068493150684928</v>
      </c>
      <c r="D72" s="172">
        <f ca="1">IF(NOT($C$6),"",IF(GetConvertDate(CDSRollDate,B72)&lt;Parameter_Date,0,GetGetDefaultprob($I$6,B72)))</f>
        <v>3.6492113589310593E-2</v>
      </c>
      <c r="E72" s="181">
        <f t="shared" ca="1" si="2"/>
        <v>9.5786214436522302E-3</v>
      </c>
      <c r="F72" s="167"/>
      <c r="G72" s="168"/>
    </row>
    <row r="73" spans="2:7" x14ac:dyDescent="0.3">
      <c r="B73" s="187" t="str">
        <f t="shared" ca="1" si="0"/>
        <v>64M</v>
      </c>
      <c r="C73" s="224">
        <f t="shared" ca="1" si="3"/>
        <v>5.3890410958904109</v>
      </c>
      <c r="D73" s="172">
        <f ca="1">IF(NOT($C$6),"",IF(GetConvertDate(CDSRollDate,B73)&lt;Parameter_Date,0,GetGetDefaultprob($I$6,B73)))</f>
        <v>3.7247167349729438E-2</v>
      </c>
      <c r="E73" s="181">
        <f t="shared" ca="1" si="2"/>
        <v>9.5381562817746617E-3</v>
      </c>
      <c r="F73" s="167"/>
      <c r="G73" s="168"/>
    </row>
    <row r="74" spans="2:7" x14ac:dyDescent="0.3">
      <c r="B74" s="187" t="str">
        <f t="shared" ca="1" si="0"/>
        <v>65M</v>
      </c>
      <c r="C74" s="224">
        <f t="shared" ref="C74:C105" ca="1" si="4">MAX(0,(DATE(YEAR(CDSRollDate),MONTH(CDSRollDate)+ROW()-ROW($B$9),DAY(CDSRollDate))-Parameter_Date)/365)</f>
        <v>5.4739726027397264</v>
      </c>
      <c r="D74" s="172">
        <f ca="1">IF(NOT($C$6),"",IF(GetConvertDate(CDSRollDate,B74)&lt;Parameter_Date,0,GetGetDefaultprob($I$6,B74)))</f>
        <v>3.8026767962085262E-2</v>
      </c>
      <c r="E74" s="181">
        <f t="shared" ca="1" si="2"/>
        <v>9.5381562817750901E-3</v>
      </c>
      <c r="F74" s="167"/>
      <c r="G74" s="168"/>
    </row>
    <row r="75" spans="2:7" x14ac:dyDescent="0.3">
      <c r="B75" s="187" t="str">
        <f t="shared" ref="B75:B129" ca="1" si="5">ROW()-ROW($B$9)&amp;"M"</f>
        <v>66M</v>
      </c>
      <c r="C75" s="224">
        <f t="shared" ca="1" si="4"/>
        <v>5.558904109589041</v>
      </c>
      <c r="D75" s="172">
        <f ca="1">IF(NOT($C$6),"",IF(GetConvertDate(CDSRollDate,B75)&lt;Parameter_Date,0,GetGetDefaultprob($I$6,B75)))</f>
        <v>3.8805737283527986E-2</v>
      </c>
      <c r="E75" s="181">
        <f t="shared" ca="1" si="2"/>
        <v>9.5381562817751907E-3</v>
      </c>
      <c r="F75" s="167"/>
      <c r="G75" s="168"/>
    </row>
    <row r="76" spans="2:7" x14ac:dyDescent="0.3">
      <c r="B76" s="187" t="str">
        <f t="shared" ca="1" si="5"/>
        <v>67M</v>
      </c>
      <c r="C76" s="224">
        <f t="shared" ca="1" si="4"/>
        <v>5.6410958904109592</v>
      </c>
      <c r="D76" s="172">
        <f ca="1">IF(NOT($C$6),"",IF(GetConvertDate(CDSRollDate,B76)&lt;Parameter_Date,0,GetGetDefaultprob($I$6,B76)))</f>
        <v>3.9555783631129215E-2</v>
      </c>
      <c r="E76" s="181">
        <f t="shared" ref="E76:E129" ca="1" si="6">IF(NOT($C$6),"",IF(C76=0,0,-LN((1-D76)/(1-D75))/($C76-$C75)))</f>
        <v>9.4976911198973273E-3</v>
      </c>
      <c r="F76" s="167"/>
      <c r="G76" s="168"/>
    </row>
    <row r="77" spans="2:7" x14ac:dyDescent="0.3">
      <c r="B77" s="187" t="str">
        <f t="shared" ca="1" si="5"/>
        <v>68M</v>
      </c>
      <c r="C77" s="224">
        <f t="shared" ca="1" si="4"/>
        <v>5.7260273972602738</v>
      </c>
      <c r="D77" s="172">
        <f ca="1">IF(NOT($C$6),"",IF(GetConvertDate(CDSRollDate,B77)&lt;Parameter_Date,0,GetGetDefaultprob($I$6,B77)))</f>
        <v>4.033021665791936E-2</v>
      </c>
      <c r="E77" s="181">
        <f t="shared" ca="1" si="6"/>
        <v>9.4976911198984132E-3</v>
      </c>
      <c r="F77" s="167"/>
      <c r="G77" s="168"/>
    </row>
    <row r="78" spans="2:7" x14ac:dyDescent="0.3">
      <c r="B78" s="187" t="str">
        <f t="shared" ca="1" si="5"/>
        <v>69M</v>
      </c>
      <c r="C78" s="224">
        <f t="shared" ca="1" si="4"/>
        <v>5.8082191780821919</v>
      </c>
      <c r="D78" s="172">
        <f ca="1">IF(NOT($C$6),"",IF(GetConvertDate(CDSRollDate,B78)&lt;Parameter_Date,0,GetGetDefaultprob($I$6,B78)))</f>
        <v>4.1079073412291445E-2</v>
      </c>
      <c r="E78" s="181">
        <f t="shared" ca="1" si="6"/>
        <v>9.4976911198973273E-3</v>
      </c>
      <c r="F78" s="167"/>
      <c r="G78" s="168"/>
    </row>
    <row r="79" spans="2:7" x14ac:dyDescent="0.3">
      <c r="B79" s="187" t="str">
        <f t="shared" ca="1" si="5"/>
        <v>70M</v>
      </c>
      <c r="C79" s="224">
        <f t="shared" ca="1" si="4"/>
        <v>5.8931506849315065</v>
      </c>
      <c r="D79" s="172">
        <f ca="1">IF(NOT($C$6),"",IF(GetConvertDate(CDSRollDate,B79)&lt;Parameter_Date,0,GetGetDefaultprob($I$6,B79)))</f>
        <v>4.1848985231642155E-2</v>
      </c>
      <c r="E79" s="181">
        <f t="shared" ca="1" si="6"/>
        <v>9.4572259580210719E-3</v>
      </c>
      <c r="F79" s="167"/>
      <c r="G79" s="168"/>
    </row>
    <row r="80" spans="2:7" x14ac:dyDescent="0.3">
      <c r="B80" s="187" t="str">
        <f t="shared" ca="1" si="5"/>
        <v>71M</v>
      </c>
      <c r="C80" s="224">
        <f t="shared" ca="1" si="4"/>
        <v>5.978082191780822</v>
      </c>
      <c r="D80" s="172">
        <f ca="1">IF(NOT($C$6),"",IF(GetConvertDate(CDSRollDate,B80)&lt;Parameter_Date,0,GetGetDefaultprob($I$6,B80)))</f>
        <v>4.2618278893443939E-2</v>
      </c>
      <c r="E80" s="181">
        <f t="shared" ca="1" si="6"/>
        <v>9.457225958020973E-3</v>
      </c>
      <c r="F80" s="167"/>
      <c r="G80" s="168"/>
    </row>
    <row r="81" spans="2:7" x14ac:dyDescent="0.3">
      <c r="B81" s="187" t="str">
        <f t="shared" ca="1" si="5"/>
        <v>72M</v>
      </c>
      <c r="C81" s="224">
        <f t="shared" ca="1" si="4"/>
        <v>6.0547945205479454</v>
      </c>
      <c r="D81" s="172">
        <f ca="1">IF(NOT($C$6),"",IF(GetConvertDate(CDSRollDate,B81)&lt;Parameter_Date,0,GetGetDefaultprob($I$6,B81)))</f>
        <v>4.3312593874763494E-2</v>
      </c>
      <c r="E81" s="181">
        <f t="shared" ca="1" si="6"/>
        <v>9.4572259580211655E-3</v>
      </c>
      <c r="F81" s="167"/>
      <c r="G81" s="168"/>
    </row>
    <row r="82" spans="2:7" x14ac:dyDescent="0.3">
      <c r="B82" s="187" t="str">
        <f t="shared" ca="1" si="5"/>
        <v>73M</v>
      </c>
      <c r="C82" s="224">
        <f t="shared" ca="1" si="4"/>
        <v>6.13972602739726</v>
      </c>
      <c r="D82" s="172">
        <f ca="1">IF(NOT($C$6),"",IF(GetConvertDate(CDSRollDate,B82)&lt;Parameter_Date,0,GetGetDefaultprob($I$6,B82)))</f>
        <v>4.4077427136353875E-2</v>
      </c>
      <c r="E82" s="181">
        <f t="shared" ca="1" si="6"/>
        <v>9.4167607961436403E-3</v>
      </c>
      <c r="F82" s="167"/>
      <c r="G82" s="168"/>
    </row>
    <row r="83" spans="2:7" x14ac:dyDescent="0.3">
      <c r="B83" s="187" t="str">
        <f t="shared" ca="1" si="5"/>
        <v>74M</v>
      </c>
      <c r="C83" s="224">
        <f t="shared" ca="1" si="4"/>
        <v>6.2219178082191782</v>
      </c>
      <c r="D83" s="172">
        <f ca="1">IF(NOT($C$6),"",IF(GetConvertDate(CDSRollDate,B83)&lt;Parameter_Date,0,GetGetDefaultprob($I$6,B83)))</f>
        <v>4.4817006167013007E-2</v>
      </c>
      <c r="E83" s="181">
        <f t="shared" ca="1" si="6"/>
        <v>9.4167607961442197E-3</v>
      </c>
      <c r="F83" s="167"/>
      <c r="G83" s="168"/>
    </row>
    <row r="84" spans="2:7" x14ac:dyDescent="0.3">
      <c r="B84" s="187" t="str">
        <f t="shared" ca="1" si="5"/>
        <v>75M</v>
      </c>
      <c r="C84" s="224">
        <f t="shared" ca="1" si="4"/>
        <v>6.3068493150684928</v>
      </c>
      <c r="D84" s="172">
        <f ca="1">IF(NOT($C$6),"",IF(GetConvertDate(CDSRollDate,B84)&lt;Parameter_Date,0,GetGetDefaultprob($I$6,B84)))</f>
        <v>4.5580636711234246E-2</v>
      </c>
      <c r="E84" s="181">
        <f t="shared" ca="1" si="6"/>
        <v>9.4167607961436403E-3</v>
      </c>
      <c r="F84" s="167"/>
      <c r="G84" s="168"/>
    </row>
    <row r="85" spans="2:7" x14ac:dyDescent="0.3">
      <c r="B85" s="187" t="str">
        <f t="shared" ca="1" si="5"/>
        <v>76M</v>
      </c>
      <c r="C85" s="224">
        <f t="shared" ca="1" si="4"/>
        <v>6.3890410958904109</v>
      </c>
      <c r="D85" s="172">
        <f ca="1">IF(NOT($C$6),"",IF(GetConvertDate(CDSRollDate,B85)&lt;Parameter_Date,0,GetGetDefaultprob($I$6,B85)))</f>
        <v>4.6315880881084848E-2</v>
      </c>
      <c r="E85" s="181">
        <f t="shared" ca="1" si="6"/>
        <v>9.3762956342666372E-3</v>
      </c>
      <c r="F85" s="167"/>
      <c r="G85" s="168"/>
    </row>
    <row r="86" spans="2:7" x14ac:dyDescent="0.3">
      <c r="B86" s="187" t="str">
        <f t="shared" ca="1" si="5"/>
        <v>77M</v>
      </c>
      <c r="C86" s="224">
        <f t="shared" ca="1" si="4"/>
        <v>6.4739726027397264</v>
      </c>
      <c r="D86" s="172">
        <f ca="1">IF(NOT($C$6),"",IF(GetConvertDate(CDSRollDate,B86)&lt;Parameter_Date,0,GetGetDefaultprob($I$6,B86)))</f>
        <v>4.7075038159409166E-2</v>
      </c>
      <c r="E86" s="181">
        <f t="shared" ca="1" si="6"/>
        <v>9.3762956342665037E-3</v>
      </c>
      <c r="F86" s="167"/>
      <c r="G86" s="168"/>
    </row>
    <row r="87" spans="2:7" x14ac:dyDescent="0.3">
      <c r="B87" s="187" t="str">
        <f t="shared" ca="1" si="5"/>
        <v>78M</v>
      </c>
      <c r="C87" s="224">
        <f t="shared" ca="1" si="4"/>
        <v>6.558904109589041</v>
      </c>
      <c r="D87" s="172">
        <f ca="1">IF(NOT($C$6),"",IF(GetConvertDate(CDSRollDate,B87)&lt;Parameter_Date,0,GetGetDefaultprob($I$6,B87)))</f>
        <v>4.783359112886254E-2</v>
      </c>
      <c r="E87" s="181">
        <f t="shared" ca="1" si="6"/>
        <v>9.3762956342666008E-3</v>
      </c>
      <c r="F87" s="167"/>
      <c r="G87" s="168"/>
    </row>
    <row r="88" spans="2:7" x14ac:dyDescent="0.3">
      <c r="B88" s="187" t="str">
        <f t="shared" ca="1" si="5"/>
        <v>79M</v>
      </c>
      <c r="C88" s="224">
        <f t="shared" ca="1" si="4"/>
        <v>6.6410958904109592</v>
      </c>
      <c r="D88" s="172">
        <f ca="1">IF(NOT($C$6),"",IF(GetConvertDate(CDSRollDate,B88)&lt;Parameter_Date,0,GetGetDefaultprob($I$6,B88)))</f>
        <v>4.8563935338769348E-2</v>
      </c>
      <c r="E88" s="181">
        <f t="shared" ca="1" si="6"/>
        <v>9.3358304723898684E-3</v>
      </c>
      <c r="F88" s="167"/>
      <c r="G88" s="168"/>
    </row>
    <row r="89" spans="2:7" x14ac:dyDescent="0.3">
      <c r="B89" s="187" t="str">
        <f t="shared" ca="1" si="5"/>
        <v>80M</v>
      </c>
      <c r="C89" s="224">
        <f t="shared" ca="1" si="4"/>
        <v>6.7260273972602738</v>
      </c>
      <c r="D89" s="172">
        <f ca="1">IF(NOT($C$6),"",IF(GetConvertDate(CDSRollDate,B89)&lt;Parameter_Date,0,GetGetDefaultprob($I$6,B89)))</f>
        <v>4.9318035840523633E-2</v>
      </c>
      <c r="E89" s="181">
        <f t="shared" ca="1" si="6"/>
        <v>9.335830472389119E-3</v>
      </c>
      <c r="F89" s="167"/>
      <c r="G89" s="168"/>
    </row>
    <row r="90" spans="2:7" x14ac:dyDescent="0.3">
      <c r="B90" s="187" t="str">
        <f t="shared" ca="1" si="5"/>
        <v>81M</v>
      </c>
      <c r="C90" s="224">
        <f t="shared" ca="1" si="4"/>
        <v>6.8082191780821919</v>
      </c>
      <c r="D90" s="172">
        <f ca="1">IF(NOT($C$6),"",IF(GetConvertDate(CDSRollDate,B90)&lt;Parameter_Date,0,GetGetDefaultprob($I$6,B90)))</f>
        <v>5.0047241430552614E-2</v>
      </c>
      <c r="E90" s="181">
        <f t="shared" ca="1" si="6"/>
        <v>9.3358304723898684E-3</v>
      </c>
      <c r="F90" s="167"/>
      <c r="G90" s="168"/>
    </row>
    <row r="91" spans="2:7" x14ac:dyDescent="0.3">
      <c r="B91" s="187" t="str">
        <f t="shared" ca="1" si="5"/>
        <v>82M</v>
      </c>
      <c r="C91" s="224">
        <f t="shared" ca="1" si="4"/>
        <v>6.8931506849315065</v>
      </c>
      <c r="D91" s="172">
        <f ca="1">IF(NOT($C$6),"",IF(GetConvertDate(CDSRollDate,B91)&lt;Parameter_Date,0,GetGetDefaultprob($I$6,B91)))</f>
        <v>5.0796904091504058E-2</v>
      </c>
      <c r="E91" s="181">
        <f t="shared" ca="1" si="6"/>
        <v>9.295365310512985E-3</v>
      </c>
      <c r="F91" s="167"/>
      <c r="G91" s="168"/>
    </row>
    <row r="92" spans="2:7" x14ac:dyDescent="0.3">
      <c r="B92" s="187" t="str">
        <f t="shared" ca="1" si="5"/>
        <v>83M</v>
      </c>
      <c r="C92" s="224">
        <f t="shared" ca="1" si="4"/>
        <v>6.978082191780822</v>
      </c>
      <c r="D92" s="172">
        <f ca="1">IF(NOT($C$6),"",IF(GetConvertDate(CDSRollDate,B92)&lt;Parameter_Date,0,GetGetDefaultprob($I$6,B92)))</f>
        <v>5.1545975150294132E-2</v>
      </c>
      <c r="E92" s="181">
        <f t="shared" ca="1" si="6"/>
        <v>9.2953653105128878E-3</v>
      </c>
      <c r="F92" s="167"/>
      <c r="G92" s="168"/>
    </row>
    <row r="93" spans="2:7" x14ac:dyDescent="0.3">
      <c r="B93" s="187" t="str">
        <f t="shared" ca="1" si="5"/>
        <v>84M</v>
      </c>
      <c r="C93" s="224">
        <f t="shared" ca="1" si="4"/>
        <v>7.0547945205479454</v>
      </c>
      <c r="D93" s="172">
        <f ca="1">IF(NOT($C$6),"",IF(GetConvertDate(CDSRollDate,B93)&lt;Parameter_Date,0,GetGetDefaultprob($I$6,B93)))</f>
        <v>5.2222047355126922E-2</v>
      </c>
      <c r="E93" s="181">
        <f t="shared" ca="1" si="6"/>
        <v>9.2953653105124698E-3</v>
      </c>
      <c r="F93" s="167"/>
      <c r="G93" s="168"/>
    </row>
    <row r="94" spans="2:7" x14ac:dyDescent="0.3">
      <c r="B94" s="187" t="str">
        <f t="shared" ca="1" si="5"/>
        <v>85M</v>
      </c>
      <c r="C94" s="224">
        <f t="shared" ca="1" si="4"/>
        <v>7.13972602739726</v>
      </c>
      <c r="D94" s="172">
        <f ca="1">IF(NOT($C$6),"",IF(GetConvertDate(CDSRollDate,B94)&lt;Parameter_Date,0,GetGetDefaultprob($I$6,B94)))</f>
        <v>5.2980725100681525E-2</v>
      </c>
      <c r="E94" s="181">
        <f t="shared" ca="1" si="6"/>
        <v>9.4287863255567757E-3</v>
      </c>
      <c r="F94" s="167"/>
      <c r="G94" s="168"/>
    </row>
    <row r="95" spans="2:7" x14ac:dyDescent="0.3">
      <c r="B95" s="187" t="str">
        <f t="shared" ca="1" si="5"/>
        <v>86M</v>
      </c>
      <c r="C95" s="224">
        <f t="shared" ca="1" si="4"/>
        <v>7.2219178082191782</v>
      </c>
      <c r="D95" s="172">
        <f ca="1">IF(NOT($C$6),"",IF(GetConvertDate(CDSRollDate,B95)&lt;Parameter_Date,0,GetGetDefaultprob($I$6,B95)))</f>
        <v>5.3714351128705595E-2</v>
      </c>
      <c r="E95" s="181">
        <f t="shared" ca="1" si="6"/>
        <v>9.4287863255559327E-3</v>
      </c>
      <c r="F95" s="167"/>
      <c r="G95" s="168"/>
    </row>
    <row r="96" spans="2:7" x14ac:dyDescent="0.3">
      <c r="B96" s="187" t="str">
        <f t="shared" ca="1" si="5"/>
        <v>87M</v>
      </c>
      <c r="C96" s="224">
        <f t="shared" ca="1" si="4"/>
        <v>7.3068493150684928</v>
      </c>
      <c r="D96" s="172">
        <f ca="1">IF(NOT($C$6),"",IF(GetConvertDate(CDSRollDate,B96)&lt;Parameter_Date,0,GetGetDefaultprob($I$6,B96)))</f>
        <v>5.4471834314226975E-2</v>
      </c>
      <c r="E96" s="181">
        <f t="shared" ca="1" si="6"/>
        <v>9.4287863255567757E-3</v>
      </c>
      <c r="F96" s="167"/>
      <c r="G96" s="168"/>
    </row>
    <row r="97" spans="2:7" x14ac:dyDescent="0.3">
      <c r="B97" s="187" t="str">
        <f t="shared" ca="1" si="5"/>
        <v>88M</v>
      </c>
      <c r="C97" s="224">
        <f t="shared" ca="1" si="4"/>
        <v>7.3890410958904109</v>
      </c>
      <c r="D97" s="172">
        <f ca="1">IF(NOT($C$6),"",IF(GetConvertDate(CDSRollDate,B97)&lt;Parameter_Date,0,GetGetDefaultprob($I$6,B97)))</f>
        <v>5.5214665904359084E-2</v>
      </c>
      <c r="E97" s="181">
        <f t="shared" ca="1" si="6"/>
        <v>9.5622073406001259E-3</v>
      </c>
      <c r="F97" s="167"/>
      <c r="G97" s="168"/>
    </row>
    <row r="98" spans="2:7" x14ac:dyDescent="0.3">
      <c r="B98" s="187" t="str">
        <f t="shared" ca="1" si="5"/>
        <v>89M</v>
      </c>
      <c r="C98" s="224">
        <f t="shared" ca="1" si="4"/>
        <v>7.4739726027397264</v>
      </c>
      <c r="D98" s="172">
        <f ca="1">IF(NOT($C$6),"",IF(GetConvertDate(CDSRollDate,B98)&lt;Parameter_Date,0,GetGetDefaultprob($I$6,B98)))</f>
        <v>5.5981645461366081E-2</v>
      </c>
      <c r="E98" s="181">
        <f t="shared" ca="1" si="6"/>
        <v>9.5622073406001987E-3</v>
      </c>
      <c r="F98" s="167"/>
      <c r="G98" s="168"/>
    </row>
    <row r="99" spans="2:7" x14ac:dyDescent="0.3">
      <c r="B99" s="187" t="str">
        <f t="shared" ca="1" si="5"/>
        <v>90M</v>
      </c>
      <c r="C99" s="224">
        <f t="shared" ca="1" si="4"/>
        <v>7.558904109589041</v>
      </c>
      <c r="D99" s="172">
        <f ca="1">IF(NOT($C$6),"",IF(GetConvertDate(CDSRollDate,B99)&lt;Parameter_Date,0,GetGetDefaultprob($I$6,B99)))</f>
        <v>5.6748002382077112E-2</v>
      </c>
      <c r="E99" s="181">
        <f t="shared" ca="1" si="6"/>
        <v>9.5622073406002994E-3</v>
      </c>
      <c r="F99" s="167"/>
      <c r="G99" s="168"/>
    </row>
    <row r="100" spans="2:7" x14ac:dyDescent="0.3">
      <c r="B100" s="187" t="str">
        <f t="shared" ca="1" si="5"/>
        <v>91M</v>
      </c>
      <c r="C100" s="224">
        <f t="shared" ca="1" si="4"/>
        <v>7.6410958904109592</v>
      </c>
      <c r="D100" s="172">
        <f ca="1">IF(NOT($C$6),"",IF(GetConvertDate(CDSRollDate,B100)&lt;Parameter_Date,0,GetGetDefaultprob($I$6,B100)))</f>
        <v>5.749938137811117E-2</v>
      </c>
      <c r="E100" s="181">
        <f t="shared" ca="1" si="6"/>
        <v>9.6956283556444076E-3</v>
      </c>
      <c r="F100" s="167"/>
      <c r="G100" s="168"/>
    </row>
    <row r="101" spans="2:7" x14ac:dyDescent="0.3">
      <c r="B101" s="187" t="str">
        <f t="shared" ca="1" si="5"/>
        <v>92M</v>
      </c>
      <c r="C101" s="224">
        <f t="shared" ca="1" si="4"/>
        <v>7.7260273972602738</v>
      </c>
      <c r="D101" s="172">
        <f ca="1">IF(NOT($C$6),"",IF(GetConvertDate(CDSRollDate,B101)&lt;Parameter_Date,0,GetGetDefaultprob($I$6,B101)))</f>
        <v>5.827517755079481E-2</v>
      </c>
      <c r="E101" s="181">
        <f t="shared" ca="1" si="6"/>
        <v>9.6956283556447389E-3</v>
      </c>
      <c r="F101" s="167"/>
      <c r="G101" s="168"/>
    </row>
    <row r="102" spans="2:7" x14ac:dyDescent="0.3">
      <c r="B102" s="187" t="str">
        <f t="shared" ca="1" si="5"/>
        <v>93M</v>
      </c>
      <c r="C102" s="224">
        <f t="shared" ca="1" si="4"/>
        <v>7.8082191780821919</v>
      </c>
      <c r="D102" s="172">
        <f ca="1">IF(NOT($C$6),"",IF(GetConvertDate(CDSRollDate,B102)&lt;Parameter_Date,0,GetGetDefaultprob($I$6,B102)))</f>
        <v>5.9025340024258077E-2</v>
      </c>
      <c r="E102" s="181">
        <f t="shared" ca="1" si="6"/>
        <v>9.6956283556444076E-3</v>
      </c>
      <c r="F102" s="167"/>
      <c r="G102" s="168"/>
    </row>
    <row r="103" spans="2:7" x14ac:dyDescent="0.3">
      <c r="B103" s="187" t="str">
        <f t="shared" ca="1" si="5"/>
        <v>94M</v>
      </c>
      <c r="C103" s="224">
        <f t="shared" ca="1" si="4"/>
        <v>7.8931506849315065</v>
      </c>
      <c r="D103" s="172">
        <f ca="1">IF(NOT($C$6),"",IF(GetConvertDate(CDSRollDate,B103)&lt;Parameter_Date,0,GetGetDefaultprob($I$6,B103)))</f>
        <v>5.9810534097968882E-2</v>
      </c>
      <c r="E103" s="181">
        <f t="shared" ca="1" si="6"/>
        <v>9.829049370688665E-3</v>
      </c>
      <c r="F103" s="167"/>
      <c r="G103" s="168"/>
    </row>
    <row r="104" spans="2:7" x14ac:dyDescent="0.3">
      <c r="B104" s="187" t="str">
        <f t="shared" ca="1" si="5"/>
        <v>95M</v>
      </c>
      <c r="C104" s="224">
        <f t="shared" ca="1" si="4"/>
        <v>7.978082191780822</v>
      </c>
      <c r="D104" s="172">
        <f ca="1">IF(NOT($C$6),"",IF(GetConvertDate(CDSRollDate,B104)&lt;Parameter_Date,0,GetGetDefaultprob($I$6,B104)))</f>
        <v>6.0595072968346764E-2</v>
      </c>
      <c r="E104" s="181">
        <f t="shared" ca="1" si="6"/>
        <v>9.8290493706885626E-3</v>
      </c>
      <c r="F104" s="167"/>
      <c r="G104" s="168"/>
    </row>
    <row r="105" spans="2:7" x14ac:dyDescent="0.3">
      <c r="B105" s="187" t="str">
        <f t="shared" ca="1" si="5"/>
        <v>96M</v>
      </c>
      <c r="C105" s="224">
        <f t="shared" ca="1" si="4"/>
        <v>8.0575342465753419</v>
      </c>
      <c r="D105" s="172">
        <f ca="1">IF(NOT($C$6),"",IF(GetConvertDate(CDSRollDate,B105)&lt;Parameter_Date,0,GetGetDefaultprob($I$6,B105)))</f>
        <v>6.132840375191051E-2</v>
      </c>
      <c r="E105" s="181">
        <f t="shared" ca="1" si="6"/>
        <v>9.8290493706882087E-3</v>
      </c>
      <c r="F105" s="167"/>
      <c r="G105" s="168"/>
    </row>
    <row r="106" spans="2:7" x14ac:dyDescent="0.3">
      <c r="B106" s="187" t="str">
        <f t="shared" ca="1" si="5"/>
        <v>97M</v>
      </c>
      <c r="C106" s="224">
        <f t="shared" ref="C106:C129" ca="1" si="7">MAX(0,(DATE(YEAR(CDSRollDate),MONTH(CDSRollDate)+ROW()-ROW($B$9),DAY(CDSRollDate))-Parameter_Date)/365)</f>
        <v>8.1424657534246574</v>
      </c>
      <c r="D106" s="172">
        <f ca="1">IF(NOT($C$6),"",IF(GetConvertDate(CDSRollDate,B106)&lt;Parameter_Date,0,GetGetDefaultprob($I$6,B106)))</f>
        <v>6.2122303799552414E-2</v>
      </c>
      <c r="E106" s="181">
        <f t="shared" ca="1" si="6"/>
        <v>9.9624703857318468E-3</v>
      </c>
      <c r="F106" s="167"/>
      <c r="G106" s="168"/>
    </row>
    <row r="107" spans="2:7" x14ac:dyDescent="0.3">
      <c r="B107" s="187" t="str">
        <f t="shared" ca="1" si="5"/>
        <v>98M</v>
      </c>
      <c r="C107" s="224">
        <f t="shared" ca="1" si="7"/>
        <v>8.2246575342465746</v>
      </c>
      <c r="D107" s="172">
        <f ca="1">IF(NOT($C$6),"",IF(GetConvertDate(CDSRollDate,B107)&lt;Parameter_Date,0,GetGetDefaultprob($I$6,B107)))</f>
        <v>6.2889954846257368E-2</v>
      </c>
      <c r="E107" s="181">
        <f t="shared" ca="1" si="6"/>
        <v>9.9624703857327107E-3</v>
      </c>
      <c r="F107" s="167"/>
      <c r="G107" s="168"/>
    </row>
    <row r="108" spans="2:7" x14ac:dyDescent="0.3">
      <c r="B108" s="187" t="str">
        <f t="shared" ca="1" si="5"/>
        <v>99M</v>
      </c>
      <c r="C108" s="224">
        <f t="shared" ca="1" si="7"/>
        <v>8.3095890410958901</v>
      </c>
      <c r="D108" s="172">
        <f ca="1">IF(NOT($C$6),"",IF(GetConvertDate(CDSRollDate,B108)&lt;Parameter_Date,0,GetGetDefaultprob($I$6,B108)))</f>
        <v>6.368253418121006E-2</v>
      </c>
      <c r="E108" s="181">
        <f t="shared" ca="1" si="6"/>
        <v>9.9624703857331548E-3</v>
      </c>
      <c r="F108" s="167"/>
      <c r="G108" s="168"/>
    </row>
    <row r="109" spans="2:7" x14ac:dyDescent="0.3">
      <c r="B109" s="187" t="str">
        <f t="shared" ca="1" si="5"/>
        <v>100M</v>
      </c>
      <c r="C109" s="224">
        <f t="shared" ca="1" si="7"/>
        <v>8.3917808219178074</v>
      </c>
      <c r="D109" s="172">
        <f ca="1">IF(NOT($C$6),"",IF(GetConvertDate(CDSRollDate,B109)&lt;Parameter_Date,0,GetGetDefaultprob($I$6,B109)))</f>
        <v>6.4459167483124635E-2</v>
      </c>
      <c r="E109" s="181">
        <f t="shared" ca="1" si="6"/>
        <v>1.0095891400775627E-2</v>
      </c>
      <c r="F109" s="167"/>
      <c r="G109" s="168"/>
    </row>
    <row r="110" spans="2:7" x14ac:dyDescent="0.3">
      <c r="B110" s="187" t="str">
        <f t="shared" ca="1" si="5"/>
        <v>101M</v>
      </c>
      <c r="C110" s="224">
        <f t="shared" ca="1" si="7"/>
        <v>8.4767123287671229</v>
      </c>
      <c r="D110" s="172">
        <f ca="1">IF(NOT($C$6),"",IF(GetConvertDate(CDSRollDate,B110)&lt;Parameter_Date,0,GetGetDefaultprob($I$6,B110)))</f>
        <v>6.5261011818549042E-2</v>
      </c>
      <c r="E110" s="181">
        <f t="shared" ca="1" si="6"/>
        <v>1.0095891400775676E-2</v>
      </c>
      <c r="F110" s="167"/>
      <c r="G110" s="168"/>
    </row>
    <row r="111" spans="2:7" x14ac:dyDescent="0.3">
      <c r="B111" s="187" t="str">
        <f t="shared" ca="1" si="5"/>
        <v>102M</v>
      </c>
      <c r="C111" s="224">
        <f t="shared" ca="1" si="7"/>
        <v>8.5616438356164384</v>
      </c>
      <c r="D111" s="172">
        <f ca="1">IF(NOT($C$6),"",IF(GetConvertDate(CDSRollDate,B111)&lt;Parameter_Date,0,GetGetDefaultprob($I$6,B111)))</f>
        <v>6.6062168899803542E-2</v>
      </c>
      <c r="E111" s="181">
        <f t="shared" ca="1" si="6"/>
        <v>1.0095891400775676E-2</v>
      </c>
      <c r="F111" s="167"/>
      <c r="G111" s="168"/>
    </row>
    <row r="112" spans="2:7" x14ac:dyDescent="0.3">
      <c r="B112" s="187" t="str">
        <f t="shared" ca="1" si="5"/>
        <v>103M</v>
      </c>
      <c r="C112" s="224">
        <f t="shared" ca="1" si="7"/>
        <v>8.6438356164383556</v>
      </c>
      <c r="D112" s="172">
        <f ca="1">IF(NOT($C$6),"",IF(GetConvertDate(CDSRollDate,B112)&lt;Parameter_Date,0,GetGetDefaultprob($I$6,B112)))</f>
        <v>6.6847061516202011E-2</v>
      </c>
      <c r="E112" s="181">
        <f t="shared" ca="1" si="6"/>
        <v>1.0229312415819347E-2</v>
      </c>
      <c r="F112" s="167"/>
      <c r="G112" s="168"/>
    </row>
    <row r="113" spans="2:7" x14ac:dyDescent="0.3">
      <c r="B113" s="187" t="str">
        <f t="shared" ca="1" si="5"/>
        <v>104M</v>
      </c>
      <c r="C113" s="224">
        <f t="shared" ca="1" si="7"/>
        <v>8.7287671232876711</v>
      </c>
      <c r="D113" s="172">
        <f ca="1">IF(NOT($C$6),"",IF(GetConvertDate(CDSRollDate,B113)&lt;Parameter_Date,0,GetGetDefaultprob($I$6,B113)))</f>
        <v>6.76574242449417E-2</v>
      </c>
      <c r="E113" s="181">
        <f t="shared" ca="1" si="6"/>
        <v>1.0229312415819923E-2</v>
      </c>
      <c r="F113" s="167"/>
      <c r="G113" s="168"/>
    </row>
    <row r="114" spans="2:7" x14ac:dyDescent="0.3">
      <c r="B114" s="187" t="str">
        <f t="shared" ca="1" si="5"/>
        <v>105M</v>
      </c>
      <c r="C114" s="224">
        <f t="shared" ca="1" si="7"/>
        <v>8.8109589041095884</v>
      </c>
      <c r="D114" s="172">
        <f ca="1">IF(NOT($C$6),"",IF(GetConvertDate(CDSRollDate,B114)&lt;Parameter_Date,0,GetGetDefaultprob($I$6,B114)))</f>
        <v>6.8440976189509506E-2</v>
      </c>
      <c r="E114" s="181">
        <f t="shared" ca="1" si="6"/>
        <v>1.0229312415819347E-2</v>
      </c>
      <c r="F114" s="167"/>
      <c r="G114" s="168"/>
    </row>
    <row r="115" spans="2:7" x14ac:dyDescent="0.3">
      <c r="B115" s="187" t="str">
        <f t="shared" ca="1" si="5"/>
        <v>106M</v>
      </c>
      <c r="C115" s="224">
        <f t="shared" ca="1" si="7"/>
        <v>8.8958904109589039</v>
      </c>
      <c r="D115" s="172">
        <f ca="1">IF(NOT($C$6),"",IF(GetConvertDate(CDSRollDate,B115)&lt;Parameter_Date,0,GetGetDefaultprob($I$6,B115)))</f>
        <v>6.926050161302022E-2</v>
      </c>
      <c r="E115" s="181">
        <f t="shared" ca="1" si="6"/>
        <v>1.036273343086316E-2</v>
      </c>
      <c r="F115" s="167"/>
      <c r="G115" s="168"/>
    </row>
    <row r="116" spans="2:7" x14ac:dyDescent="0.3">
      <c r="B116" s="187" t="str">
        <f t="shared" ca="1" si="5"/>
        <v>107M</v>
      </c>
      <c r="C116" s="224">
        <f t="shared" ca="1" si="7"/>
        <v>8.9808219178082194</v>
      </c>
      <c r="D116" s="172">
        <f ca="1">IF(NOT($C$6),"",IF(GetConvertDate(CDSRollDate,B116)&lt;Parameter_Date,0,GetGetDefaultprob($I$6,B116)))</f>
        <v>7.0079306071028413E-2</v>
      </c>
      <c r="E116" s="181">
        <f t="shared" ca="1" si="6"/>
        <v>1.036273343086316E-2</v>
      </c>
      <c r="F116" s="167"/>
      <c r="G116" s="168"/>
    </row>
    <row r="117" spans="2:7" x14ac:dyDescent="0.3">
      <c r="B117" s="187" t="str">
        <f t="shared" ca="1" si="5"/>
        <v>108M</v>
      </c>
      <c r="C117" s="224">
        <f t="shared" ca="1" si="7"/>
        <v>9.0575342465753419</v>
      </c>
      <c r="D117" s="172">
        <f ca="1">IF(NOT($C$6),"",IF(GetConvertDate(CDSRollDate,B117)&lt;Parameter_Date,0,GetGetDefaultprob($I$6,B117)))</f>
        <v>7.0818252230294476E-2</v>
      </c>
      <c r="E117" s="181">
        <f t="shared" ca="1" si="6"/>
        <v>1.0362733430863694E-2</v>
      </c>
      <c r="F117" s="167"/>
      <c r="G117" s="168"/>
    </row>
    <row r="118" spans="2:7" x14ac:dyDescent="0.3">
      <c r="B118" s="187" t="str">
        <f t="shared" ca="1" si="5"/>
        <v>109M</v>
      </c>
      <c r="C118" s="224">
        <f t="shared" ca="1" si="7"/>
        <v>9.1424657534246574</v>
      </c>
      <c r="D118" s="172">
        <f ca="1">IF(NOT($C$6),"",IF(GetConvertDate(CDSRollDate,B118)&lt;Parameter_Date,0,GetGetDefaultprob($I$6,B118)))</f>
        <v>7.1646206117864097E-2</v>
      </c>
      <c r="E118" s="181">
        <f t="shared" ca="1" si="6"/>
        <v>1.0496154445907879E-2</v>
      </c>
      <c r="F118" s="167"/>
      <c r="G118" s="168"/>
    </row>
    <row r="119" spans="2:7" x14ac:dyDescent="0.3">
      <c r="B119" s="187" t="str">
        <f t="shared" ca="1" si="5"/>
        <v>110M</v>
      </c>
      <c r="C119" s="224">
        <f t="shared" ca="1" si="7"/>
        <v>9.2246575342465746</v>
      </c>
      <c r="D119" s="172">
        <f ca="1">IF(NOT($C$6),"",IF(GetConvertDate(CDSRollDate,B119)&lt;Parameter_Date,0,GetGetDefaultprob($I$6,B119)))</f>
        <v>7.2446749368616392E-2</v>
      </c>
      <c r="E119" s="181">
        <f t="shared" ca="1" si="6"/>
        <v>1.0496154445907197E-2</v>
      </c>
      <c r="F119" s="167"/>
      <c r="G119" s="168"/>
    </row>
    <row r="120" spans="2:7" x14ac:dyDescent="0.3">
      <c r="B120" s="187" t="str">
        <f t="shared" ca="1" si="5"/>
        <v>111M</v>
      </c>
      <c r="C120" s="224">
        <f t="shared" ca="1" si="7"/>
        <v>9.3095890410958901</v>
      </c>
      <c r="D120" s="172">
        <f ca="1">IF(NOT($C$6),"",IF(GetConvertDate(CDSRollDate,B120)&lt;Parameter_Date,0,GetGetDefaultprob($I$6,B120)))</f>
        <v>7.32732521724343E-2</v>
      </c>
      <c r="E120" s="181">
        <f t="shared" ca="1" si="6"/>
        <v>1.0496154445907879E-2</v>
      </c>
      <c r="F120" s="167"/>
      <c r="G120" s="168"/>
    </row>
    <row r="121" spans="2:7" x14ac:dyDescent="0.3">
      <c r="B121" s="187" t="str">
        <f t="shared" ca="1" si="5"/>
        <v>112M</v>
      </c>
      <c r="C121" s="224">
        <f t="shared" ca="1" si="7"/>
        <v>9.3917808219178074</v>
      </c>
      <c r="D121" s="172">
        <f ca="1">IF(NOT($C$6),"",IF(GetConvertDate(CDSRollDate,B121)&lt;Parameter_Date,0,GetGetDefaultprob($I$6,B121)))</f>
        <v>7.4082546148794504E-2</v>
      </c>
      <c r="E121" s="181">
        <f t="shared" ca="1" si="6"/>
        <v>1.0629575460951684E-2</v>
      </c>
      <c r="F121" s="167"/>
      <c r="G121" s="168"/>
    </row>
    <row r="122" spans="2:7" x14ac:dyDescent="0.3">
      <c r="B122" s="187" t="str">
        <f t="shared" ca="1" si="5"/>
        <v>113M</v>
      </c>
      <c r="C122" s="224">
        <f t="shared" ca="1" si="7"/>
        <v>9.4767123287671229</v>
      </c>
      <c r="D122" s="172">
        <f ca="1">IF(NOT($C$6),"",IF(GetConvertDate(CDSRollDate,B122)&lt;Parameter_Date,0,GetGetDefaultprob($I$6,B122)))</f>
        <v>7.4918074126476442E-2</v>
      </c>
      <c r="E122" s="181">
        <f t="shared" ca="1" si="6"/>
        <v>1.0629575460951337E-2</v>
      </c>
      <c r="F122" s="167"/>
      <c r="G122" s="168"/>
    </row>
    <row r="123" spans="2:7" x14ac:dyDescent="0.3">
      <c r="B123" s="187" t="str">
        <f t="shared" ca="1" si="5"/>
        <v>114M</v>
      </c>
      <c r="C123" s="224">
        <f t="shared" ca="1" si="7"/>
        <v>9.5616438356164384</v>
      </c>
      <c r="D123" s="172">
        <f ca="1">IF(NOT($C$6),"",IF(GetConvertDate(CDSRollDate,B123)&lt;Parameter_Date,0,GetGetDefaultprob($I$6,B123)))</f>
        <v>7.5752848141698137E-2</v>
      </c>
      <c r="E123" s="181">
        <f t="shared" ca="1" si="6"/>
        <v>1.0629575460951337E-2</v>
      </c>
      <c r="F123" s="167"/>
      <c r="G123" s="168"/>
    </row>
    <row r="124" spans="2:7" x14ac:dyDescent="0.3">
      <c r="B124" s="187" t="str">
        <f t="shared" ca="1" si="5"/>
        <v>115M</v>
      </c>
      <c r="C124" s="224">
        <f t="shared" ca="1" si="7"/>
        <v>9.6438356164383556</v>
      </c>
      <c r="D124" s="172">
        <f ca="1">IF(NOT($C$6),"",IF(GetConvertDate(CDSRollDate,B124)&lt;Parameter_Date,0,GetGetDefaultprob($I$6,B124)))</f>
        <v>7.6570103221138219E-2</v>
      </c>
      <c r="E124" s="181">
        <f t="shared" ca="1" si="6"/>
        <v>1.0762996475994985E-2</v>
      </c>
      <c r="F124" s="167"/>
      <c r="G124" s="168"/>
    </row>
    <row r="125" spans="2:7" x14ac:dyDescent="0.3">
      <c r="B125" s="187" t="str">
        <f t="shared" ca="1" si="5"/>
        <v>116M</v>
      </c>
      <c r="C125" s="224">
        <f t="shared" ca="1" si="7"/>
        <v>9.7287671232876711</v>
      </c>
      <c r="D125" s="172">
        <f ca="1">IF(NOT($C$6),"",IF(GetConvertDate(CDSRollDate,B125)&lt;Parameter_Date,0,GetGetDefaultprob($I$6,B125)))</f>
        <v>7.7413840961570446E-2</v>
      </c>
      <c r="E125" s="181">
        <f t="shared" ca="1" si="6"/>
        <v>1.0762996475996029E-2</v>
      </c>
      <c r="F125" s="167"/>
      <c r="G125" s="168"/>
    </row>
    <row r="126" spans="2:7" x14ac:dyDescent="0.3">
      <c r="B126" s="187" t="str">
        <f t="shared" ca="1" si="5"/>
        <v>117M</v>
      </c>
      <c r="C126" s="224">
        <f t="shared" ca="1" si="7"/>
        <v>9.8109589041095884</v>
      </c>
      <c r="D126" s="172">
        <f ca="1">IF(NOT($C$6),"",IF(GetConvertDate(CDSRollDate,B126)&lt;Parameter_Date,0,GetGetDefaultprob($I$6,B126)))</f>
        <v>7.8229627326915741E-2</v>
      </c>
      <c r="E126" s="181">
        <f t="shared" ca="1" si="6"/>
        <v>1.0762996475994985E-2</v>
      </c>
      <c r="F126" s="167"/>
      <c r="G126" s="168"/>
    </row>
    <row r="127" spans="2:7" x14ac:dyDescent="0.3">
      <c r="B127" s="187" t="str">
        <f t="shared" ca="1" si="5"/>
        <v>118M</v>
      </c>
      <c r="C127" s="224">
        <f t="shared" ca="1" si="7"/>
        <v>9.8958904109589039</v>
      </c>
      <c r="D127" s="172">
        <f ca="1">IF(NOT($C$6),"",IF(GetConvertDate(CDSRollDate,B127)&lt;Parameter_Date,0,GetGetDefaultprob($I$6,B127)))</f>
        <v>7.9082284334834774E-2</v>
      </c>
      <c r="E127" s="181">
        <f t="shared" ca="1" si="6"/>
        <v>1.0896417491039216E-2</v>
      </c>
      <c r="F127" s="167"/>
      <c r="G127" s="168"/>
    </row>
    <row r="128" spans="2:7" x14ac:dyDescent="0.3">
      <c r="B128" s="187" t="str">
        <f t="shared" ca="1" si="5"/>
        <v>119M</v>
      </c>
      <c r="C128" s="224">
        <f t="shared" ca="1" si="7"/>
        <v>9.9808219178082194</v>
      </c>
      <c r="D128" s="172">
        <f ca="1">IF(NOT($C$6),"",IF(GetConvertDate(CDSRollDate,B128)&lt;Parameter_Date,0,GetGetDefaultprob($I$6,B128)))</f>
        <v>7.9934152617063936E-2</v>
      </c>
      <c r="E128" s="181">
        <f t="shared" ca="1" si="6"/>
        <v>1.0896417491040524E-2</v>
      </c>
      <c r="F128" s="167"/>
      <c r="G128" s="168"/>
    </row>
    <row r="129" spans="2:7" ht="15" thickBot="1" x14ac:dyDescent="0.35">
      <c r="B129" s="188" t="str">
        <f t="shared" ca="1" si="5"/>
        <v>120M</v>
      </c>
      <c r="C129" s="225">
        <f t="shared" ca="1" si="7"/>
        <v>10.057534246575342</v>
      </c>
      <c r="D129" s="182">
        <f ca="1">IF(NOT($C$6),"",IF(GetConvertDate(CDSRollDate,B129)&lt;Parameter_Date,0,GetGetDefaultprob($I$6,B129)))</f>
        <v>8.0702904713596424E-2</v>
      </c>
      <c r="E129" s="226">
        <f t="shared" ca="1" si="6"/>
        <v>1.0896417491040198E-2</v>
      </c>
      <c r="F129" s="167"/>
      <c r="G129" s="168"/>
    </row>
    <row r="130" spans="2:7" x14ac:dyDescent="0.3">
      <c r="B130" s="179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601980</xdr:colOff>
                    <xdr:row>3</xdr:row>
                    <xdr:rowOff>30480</xdr:rowOff>
                  </from>
                  <to>
                    <xdr:col>6</xdr:col>
                    <xdr:colOff>190500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6:K31"/>
  <sheetViews>
    <sheetView showGridLines="0" workbookViewId="0">
      <selection activeCell="H15" sqref="H15"/>
    </sheetView>
  </sheetViews>
  <sheetFormatPr baseColWidth="10" defaultRowHeight="14.4" x14ac:dyDescent="0.3"/>
  <cols>
    <col min="2" max="2" width="15.33203125" bestFit="1" customWidth="1"/>
    <col min="3" max="3" width="18.33203125" bestFit="1" customWidth="1"/>
    <col min="6" max="6" width="18.33203125" bestFit="1" customWidth="1"/>
    <col min="7" max="7" width="16.109375" bestFit="1" customWidth="1"/>
    <col min="8" max="8" width="17.88671875" bestFit="1" customWidth="1"/>
    <col min="9" max="9" width="17.6640625" bestFit="1" customWidth="1"/>
    <col min="10" max="10" width="14.88671875" bestFit="1" customWidth="1"/>
    <col min="11" max="11" width="18.33203125" bestFit="1" customWidth="1"/>
  </cols>
  <sheetData>
    <row r="6" spans="2:11" ht="15" thickBot="1" x14ac:dyDescent="0.35"/>
    <row r="7" spans="2:11" ht="16.2" thickBot="1" x14ac:dyDescent="0.35">
      <c r="B7" s="283" t="s">
        <v>454</v>
      </c>
      <c r="C7" s="284"/>
      <c r="D7" s="79"/>
      <c r="E7" s="283" t="s">
        <v>455</v>
      </c>
      <c r="F7" s="284"/>
      <c r="G7" s="79"/>
      <c r="H7" s="79"/>
      <c r="I7" s="79"/>
      <c r="J7" s="79"/>
      <c r="K7" s="79"/>
    </row>
    <row r="8" spans="2:11" ht="15" thickBot="1" x14ac:dyDescent="0.35">
      <c r="B8" s="85"/>
      <c r="C8" s="62" t="s">
        <v>86</v>
      </c>
      <c r="D8" s="79"/>
      <c r="E8" s="79"/>
      <c r="F8" s="79"/>
      <c r="G8" s="79"/>
      <c r="H8" s="79"/>
      <c r="I8" s="79"/>
      <c r="J8" s="79"/>
      <c r="K8" s="79"/>
    </row>
    <row r="9" spans="2:11" ht="15" thickBot="1" x14ac:dyDescent="0.35">
      <c r="B9" s="212" t="s">
        <v>431</v>
      </c>
      <c r="C9" s="229">
        <v>1</v>
      </c>
      <c r="D9" s="79"/>
      <c r="E9" s="212" t="s">
        <v>453</v>
      </c>
      <c r="F9" s="216" t="b">
        <v>1</v>
      </c>
      <c r="I9" s="79"/>
      <c r="J9" s="79"/>
      <c r="K9" s="79"/>
    </row>
    <row r="10" spans="2:11" x14ac:dyDescent="0.3">
      <c r="B10" s="213" t="s">
        <v>432</v>
      </c>
      <c r="C10" s="197" t="s">
        <v>57</v>
      </c>
      <c r="D10" s="79"/>
      <c r="E10" s="213" t="s">
        <v>433</v>
      </c>
      <c r="F10" s="217">
        <f ca="1">GetConvertDate(CDSRollDate,C10)</f>
        <v>47197</v>
      </c>
      <c r="I10" s="79"/>
      <c r="J10" s="79"/>
      <c r="K10" s="79"/>
    </row>
    <row r="11" spans="2:11" ht="15" thickBot="1" x14ac:dyDescent="0.35">
      <c r="B11" s="213" t="s">
        <v>434</v>
      </c>
      <c r="C11" s="198">
        <v>0.01</v>
      </c>
      <c r="D11" s="79"/>
      <c r="E11" s="214" t="s">
        <v>425</v>
      </c>
      <c r="F11" s="218" t="str">
        <f ca="1">GetGetCDSName(C9)</f>
        <v>ABNAMRO_MMR.EUR.SU</v>
      </c>
      <c r="I11" s="79"/>
      <c r="J11" s="79"/>
      <c r="K11" s="79"/>
    </row>
    <row r="12" spans="2:11" ht="15" thickBot="1" x14ac:dyDescent="0.35">
      <c r="B12" s="214" t="s">
        <v>85</v>
      </c>
      <c r="C12" s="199">
        <v>0.4</v>
      </c>
      <c r="D12" s="79"/>
      <c r="E12" s="79"/>
      <c r="F12" s="79"/>
      <c r="G12" s="254">
        <f ca="1">F14-F15</f>
        <v>-2.7069490848155596E-2</v>
      </c>
      <c r="H12" s="79"/>
      <c r="I12" s="79"/>
      <c r="J12" s="79"/>
      <c r="K12" s="79"/>
    </row>
    <row r="13" spans="2:11" ht="15" thickBot="1" x14ac:dyDescent="0.35">
      <c r="B13" s="207"/>
      <c r="C13" s="79"/>
      <c r="D13" s="79"/>
      <c r="E13" s="215" t="s">
        <v>435</v>
      </c>
      <c r="F13" s="251" t="str">
        <f t="array" aca="1" ref="F13:K21" ca="1">IF(NOT($F$9),"",GetCDS(C8, C10, C11,C12, C18, C19,C20,C14,C15,C16,C22,C23,C25,C27:C29,C31))</f>
        <v>-0,0270694908481556</v>
      </c>
      <c r="G13" s="231" t="str">
        <f ca="1"/>
        <v>0</v>
      </c>
      <c r="H13" s="232" t="str">
        <f ca="1"/>
        <v>0</v>
      </c>
      <c r="I13" s="233" t="str">
        <f ca="1"/>
        <v>0</v>
      </c>
      <c r="J13" s="233" t="str">
        <f ca="1"/>
        <v>0</v>
      </c>
      <c r="K13" s="234" t="str">
        <f ca="1"/>
        <v>0</v>
      </c>
    </row>
    <row r="14" spans="2:11" x14ac:dyDescent="0.3">
      <c r="B14" s="212" t="s">
        <v>82</v>
      </c>
      <c r="C14" s="63" t="s">
        <v>66</v>
      </c>
      <c r="D14" s="79"/>
      <c r="E14" s="219" t="s">
        <v>436</v>
      </c>
      <c r="F14" s="252" t="str">
        <f ca="1"/>
        <v>0,0180370906357067</v>
      </c>
      <c r="G14" s="235" t="str">
        <f ca="1"/>
        <v>0</v>
      </c>
      <c r="H14" s="236" t="str">
        <f ca="1"/>
        <v>0</v>
      </c>
      <c r="I14" s="237" t="str">
        <f ca="1"/>
        <v>0</v>
      </c>
      <c r="J14" s="237" t="str">
        <f ca="1"/>
        <v>0</v>
      </c>
      <c r="K14" s="238" t="str">
        <f ca="1"/>
        <v>0</v>
      </c>
    </row>
    <row r="15" spans="2:11" x14ac:dyDescent="0.3">
      <c r="B15" s="213" t="s">
        <v>437</v>
      </c>
      <c r="C15" s="98">
        <v>0</v>
      </c>
      <c r="D15" s="79"/>
      <c r="E15" s="219" t="s">
        <v>438</v>
      </c>
      <c r="F15" s="252" t="str">
        <f ca="1"/>
        <v>0,0451065814838623</v>
      </c>
      <c r="G15" s="235" t="str">
        <f ca="1"/>
        <v>0</v>
      </c>
      <c r="H15" s="236" t="str">
        <f ca="1"/>
        <v>0</v>
      </c>
      <c r="I15" s="237" t="str">
        <f ca="1"/>
        <v>0</v>
      </c>
      <c r="J15" s="237" t="str">
        <f ca="1"/>
        <v>0</v>
      </c>
      <c r="K15" s="238" t="str">
        <f ca="1"/>
        <v>0</v>
      </c>
    </row>
    <row r="16" spans="2:11" ht="15" thickBot="1" x14ac:dyDescent="0.35">
      <c r="B16" s="214" t="s">
        <v>439</v>
      </c>
      <c r="C16" s="200">
        <v>0</v>
      </c>
      <c r="D16" s="85"/>
      <c r="E16" s="219" t="s">
        <v>440</v>
      </c>
      <c r="F16" s="252" t="str">
        <f ca="1"/>
        <v>0,0039987713638108</v>
      </c>
      <c r="G16" s="235" t="str">
        <f ca="1"/>
        <v>0</v>
      </c>
      <c r="H16" s="236" t="str">
        <f ca="1"/>
        <v>0</v>
      </c>
      <c r="I16" s="237" t="str">
        <f ca="1"/>
        <v>0</v>
      </c>
      <c r="J16" s="237" t="str">
        <f ca="1"/>
        <v>0</v>
      </c>
      <c r="K16" s="238" t="str">
        <f ca="1"/>
        <v>0</v>
      </c>
    </row>
    <row r="17" spans="2:11" ht="15" thickBot="1" x14ac:dyDescent="0.35">
      <c r="B17" s="207"/>
      <c r="C17" s="79"/>
      <c r="D17" s="85"/>
      <c r="E17" s="219" t="s">
        <v>441</v>
      </c>
      <c r="F17" s="252" t="str">
        <f ca="1"/>
        <v>4,51065814838623</v>
      </c>
      <c r="G17" s="239" t="str">
        <f ca="1"/>
        <v>0</v>
      </c>
      <c r="H17" s="236" t="str">
        <f ca="1"/>
        <v>0</v>
      </c>
      <c r="I17" s="237" t="str">
        <f ca="1"/>
        <v>0</v>
      </c>
      <c r="J17" s="237" t="str">
        <f ca="1"/>
        <v>0</v>
      </c>
      <c r="K17" s="238" t="str">
        <f ca="1"/>
        <v>0</v>
      </c>
    </row>
    <row r="18" spans="2:11" ht="15" thickBot="1" x14ac:dyDescent="0.35">
      <c r="B18" s="212" t="s">
        <v>442</v>
      </c>
      <c r="C18" s="63" t="s">
        <v>83</v>
      </c>
      <c r="D18" s="85"/>
      <c r="E18" s="219" t="s">
        <v>443</v>
      </c>
      <c r="F18" s="253" t="str">
        <f ca="1"/>
        <v>00:00:00.0107551</v>
      </c>
      <c r="G18" s="240" t="str">
        <f ca="1"/>
        <v>0</v>
      </c>
      <c r="H18" s="236" t="str">
        <f ca="1"/>
        <v>0</v>
      </c>
      <c r="I18" s="237" t="str">
        <f ca="1"/>
        <v>0</v>
      </c>
      <c r="J18" s="237" t="str">
        <f ca="1"/>
        <v>0</v>
      </c>
      <c r="K18" s="238" t="str">
        <f ca="1"/>
        <v>0</v>
      </c>
    </row>
    <row r="19" spans="2:11" ht="15" thickBot="1" x14ac:dyDescent="0.35">
      <c r="B19" s="213" t="s">
        <v>444</v>
      </c>
      <c r="C19" s="69" t="s">
        <v>445</v>
      </c>
      <c r="D19" s="85"/>
      <c r="E19" s="221"/>
      <c r="F19" s="241" t="str">
        <f ca="1"/>
        <v>dPV</v>
      </c>
      <c r="G19" s="241" t="str">
        <f ca="1"/>
        <v>dHedge</v>
      </c>
      <c r="H19" s="242" t="str">
        <f ca="1"/>
        <v>delta not. (Hedge Crncy)</v>
      </c>
      <c r="I19" s="241" t="str">
        <f ca="1"/>
        <v>delta not. (Product CCY)</v>
      </c>
      <c r="J19" s="241" t="str">
        <f ca="1"/>
        <v>dPV(dBeta)</v>
      </c>
      <c r="K19" s="242" t="str">
        <f ca="1"/>
        <v>Name</v>
      </c>
    </row>
    <row r="20" spans="2:11" ht="15" thickBot="1" x14ac:dyDescent="0.35">
      <c r="B20" s="214" t="s">
        <v>446</v>
      </c>
      <c r="C20" s="228"/>
      <c r="D20" s="85"/>
      <c r="E20" s="220"/>
      <c r="F20" s="247" t="str">
        <f ca="1"/>
        <v>0,000919784935464237</v>
      </c>
      <c r="G20" s="243" t="str">
        <f ca="1"/>
        <v>0,000810812754723899</v>
      </c>
      <c r="H20" s="244" t="str">
        <f ca="1"/>
        <v>1,13439870069317</v>
      </c>
      <c r="I20" s="245" t="str">
        <f ca="1"/>
        <v>1,13439870069317</v>
      </c>
      <c r="J20" s="245" t="str">
        <f ca="1"/>
        <v>-0,0180370906357067</v>
      </c>
      <c r="K20" s="246" t="str">
        <f ca="1"/>
        <v>ABNAMRO_MMR.EUR.SU</v>
      </c>
    </row>
    <row r="21" spans="2:11" ht="15" thickBot="1" x14ac:dyDescent="0.35">
      <c r="B21" s="207"/>
      <c r="C21" s="79"/>
      <c r="D21" s="85"/>
      <c r="E21" s="201"/>
      <c r="F21" s="79" t="str">
        <f ca="1"/>
        <v/>
      </c>
      <c r="G21" s="79" t="str">
        <f ca="1"/>
        <v/>
      </c>
      <c r="H21" s="79" t="str">
        <f ca="1"/>
        <v/>
      </c>
      <c r="I21" s="79" t="str">
        <f ca="1"/>
        <v/>
      </c>
      <c r="J21" s="79" t="str">
        <f ca="1"/>
        <v/>
      </c>
      <c r="K21" s="79" t="str">
        <f ca="1"/>
        <v/>
      </c>
    </row>
    <row r="22" spans="2:11" x14ac:dyDescent="0.3">
      <c r="B22" s="215" t="s">
        <v>447</v>
      </c>
      <c r="C22" s="202" t="b">
        <v>1</v>
      </c>
      <c r="D22" s="85"/>
    </row>
    <row r="23" spans="2:11" ht="15" thickBot="1" x14ac:dyDescent="0.35">
      <c r="B23" s="214" t="s">
        <v>448</v>
      </c>
      <c r="C23" s="203" t="b">
        <v>1</v>
      </c>
      <c r="D23" s="85"/>
    </row>
    <row r="24" spans="2:11" ht="15" thickBot="1" x14ac:dyDescent="0.35">
      <c r="B24" s="208"/>
      <c r="C24" s="85"/>
      <c r="D24" s="204"/>
    </row>
    <row r="25" spans="2:11" ht="15" thickBot="1" x14ac:dyDescent="0.35">
      <c r="B25" s="183" t="s">
        <v>449</v>
      </c>
      <c r="C25" s="202" t="b">
        <v>1</v>
      </c>
      <c r="D25" s="85"/>
    </row>
    <row r="26" spans="2:11" ht="15" thickBot="1" x14ac:dyDescent="0.35">
      <c r="B26" s="210" t="s">
        <v>450</v>
      </c>
      <c r="C26" s="227"/>
      <c r="D26" s="85"/>
    </row>
    <row r="27" spans="2:11" x14ac:dyDescent="0.3">
      <c r="B27" s="210" t="s">
        <v>434</v>
      </c>
      <c r="C27" s="255"/>
      <c r="D27" s="85"/>
    </row>
    <row r="28" spans="2:11" x14ac:dyDescent="0.3">
      <c r="B28" s="210" t="s">
        <v>447</v>
      </c>
      <c r="C28" s="205" t="b">
        <v>1</v>
      </c>
      <c r="D28" s="85">
        <v>1</v>
      </c>
    </row>
    <row r="29" spans="2:11" ht="15" thickBot="1" x14ac:dyDescent="0.35">
      <c r="B29" s="211" t="s">
        <v>448</v>
      </c>
      <c r="C29" s="206" t="b">
        <v>1</v>
      </c>
      <c r="D29" s="85">
        <v>1</v>
      </c>
    </row>
    <row r="30" spans="2:11" ht="15" thickBot="1" x14ac:dyDescent="0.35">
      <c r="B30" s="209"/>
      <c r="C30" s="79"/>
      <c r="D30" s="85"/>
    </row>
    <row r="31" spans="2:11" ht="15" thickBot="1" x14ac:dyDescent="0.35">
      <c r="B31" s="183" t="s">
        <v>451</v>
      </c>
      <c r="C31" s="189" t="s">
        <v>452</v>
      </c>
      <c r="D31" s="85"/>
    </row>
  </sheetData>
  <mergeCells count="2">
    <mergeCell ref="B7:C7"/>
    <mergeCell ref="E7:F7"/>
  </mergeCells>
  <conditionalFormatting sqref="F20 G19:H20 I17:I18">
    <cfRule type="cellIs" dxfId="1" priority="3" stopIfTrue="1" operator="equal">
      <formula>#N/A</formula>
    </cfRule>
  </conditionalFormatting>
  <conditionalFormatting sqref="F19">
    <cfRule type="cellIs" dxfId="0" priority="4" stopIfTrue="1" operator="equal">
      <formula>"""#N/A"""</formula>
    </cfRule>
  </conditionalFormatting>
  <dataValidations count="5">
    <dataValidation type="list" allowBlank="1" showInputMessage="1" showErrorMessage="1" sqref="C31" xr:uid="{0C13862A-39AD-47FA-89AF-93F59AB662F7}">
      <formula1>"1m,3m"</formula1>
    </dataValidation>
    <dataValidation type="list" allowBlank="1" showInputMessage="1" showErrorMessage="1" sqref="F9 C22:C23 C25 C28:C29" xr:uid="{8ACA7841-144A-4E6F-BDE6-8069CD41B739}">
      <formula1>TrueFalseList</formula1>
    </dataValidation>
    <dataValidation type="list" allowBlank="1" showInputMessage="1" showErrorMessage="1" sqref="C14" xr:uid="{C2CB3166-7190-428D-B805-63B52A169A71}">
      <formula1>"EUR,JPY,USD"</formula1>
    </dataValidation>
    <dataValidation type="list" allowBlank="1" showInputMessage="1" showErrorMessage="1" sqref="C18" xr:uid="{0FE05A52-D66F-4DEF-985C-5E70A623C8DE}">
      <formula1>"3M,6M,1Y,1M"</formula1>
    </dataValidation>
    <dataValidation type="list" allowBlank="1" showInputMessage="1" showErrorMessage="1" sqref="C19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205740</xdr:colOff>
                    <xdr:row>6</xdr:row>
                    <xdr:rowOff>30480</xdr:rowOff>
                  </from>
                  <to>
                    <xdr:col>9</xdr:col>
                    <xdr:colOff>586740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9</vt:i4>
      </vt:variant>
    </vt:vector>
  </HeadingPairs>
  <TitlesOfParts>
    <vt:vector size="15" baseType="lpstr">
      <vt:lpstr>Parametres</vt:lpstr>
      <vt:lpstr>Option</vt:lpstr>
      <vt:lpstr>IRS Strip</vt:lpstr>
      <vt:lpstr>CDS Strip</vt:lpstr>
      <vt:lpstr>Fwd Intensity</vt:lpstr>
      <vt:lpstr>CDS</vt:lpstr>
      <vt:lpstr>CDSRollDate</vt:lpstr>
      <vt:lpstr>CurvePointsList</vt:lpstr>
      <vt:lpstr>optionFlag</vt:lpstr>
      <vt:lpstr>optionPosition</vt:lpstr>
      <vt:lpstr>Parameter_Date</vt:lpstr>
      <vt:lpstr>SpreadCurveMaturities</vt:lpstr>
      <vt:lpstr>Swap_Convention</vt:lpstr>
      <vt:lpstr>TrueFalseList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2024-03-25T16:45:31Z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