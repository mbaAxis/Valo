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F194588F-7A6A-4588-B414-5B16151D5FD7}" xr6:coauthVersionLast="47" xr6:coauthVersionMax="47" xr10:uidLastSave="{00000000-0000-0000-0000-000000000000}"/>
  <bookViews>
    <workbookView xWindow="-108" yWindow="-108" windowWidth="23256" windowHeight="12456" activeTab="1" xr2:uid="{71AFAE33-16CD-4F47-AB4E-C8D72A89D700}"/>
  </bookViews>
  <sheets>
    <sheet name="Parametres" sheetId="3" r:id="rId1"/>
    <sheet name="Option" sheetId="2" r:id="rId2"/>
    <sheet name="StrippIRS" sheetId="4" r:id="rId3"/>
    <sheet name="Feuil2" sheetId="5" r:id="rId4"/>
  </sheets>
  <functionGroups builtInGroupCount="19"/>
  <externalReferences>
    <externalReference r:id="rId5"/>
  </externalReferences>
  <definedNames>
    <definedName name="BeSpokeStrike">#REF!</definedName>
    <definedName name="CDSRollDate">'[1]CDS Strip'!$C$6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Parametres!$E$6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'[1]CDS Strip'!$E$9:$M$9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#REF!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2" l="1" a="1"/>
  <c r="G10" i="2"/>
  <c r="M24" i="2" a="1"/>
  <c r="M24" i="2"/>
  <c r="M25" i="2" a="1"/>
  <c r="M25" i="2"/>
  <c r="M26" i="2" a="1"/>
  <c r="M26" i="2"/>
  <c r="M27" i="2" a="1"/>
  <c r="M27" i="2"/>
  <c r="M22" i="2" a="1"/>
  <c r="M22" i="2"/>
  <c r="AA22" i="2" a="1"/>
  <c r="AA22" i="2"/>
  <c r="AA27" i="2" a="1"/>
  <c r="AA27" i="2"/>
  <c r="AA26" i="2" a="1"/>
  <c r="AA26" i="2"/>
  <c r="AA25" i="2" a="1"/>
  <c r="AA25" i="2"/>
  <c r="AA24" i="2" a="1"/>
  <c r="AA24" i="2"/>
  <c r="P22" i="2" a="1"/>
  <c r="P22" i="2"/>
  <c r="J8" i="2" a="1"/>
  <c r="J8" i="2"/>
  <c r="V9" i="2" a="1"/>
  <c r="V9" i="2"/>
  <c r="V7" i="2" a="1"/>
  <c r="V7" i="2"/>
  <c r="G8" i="2" a="1"/>
  <c r="G8" i="2"/>
  <c r="F14" i="4" a="1"/>
  <c r="F14" i="4"/>
  <c r="F22" i="4"/>
  <c r="C7" i="4"/>
  <c r="E6" i="3" l="1"/>
  <c r="D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<sst xmlns="http://schemas.openxmlformats.org/spreadsheetml/2006/main" count="230" uniqueCount="96">
  <si>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</si>
  <si>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</si>
  <si>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</si>
  <si>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</si>
  <si>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</si>
  <si>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</si>
  <si>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</si>
  <si>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</si>
  <si>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</si>
  <si>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</si>
  <si>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</si>
  <si>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</si>
  <si>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</si>
  <si>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</si>
  <si>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</si>
  <si>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</si>
  <si>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</si>
  <si>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</si>
  <si>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</si>
  <si>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</si>
  <si>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</si>
  <si>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</si>
  <si>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</si>
  <si>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</si>
  <si>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</si>
  <si>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</si>
  <si>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</si>
  <si>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</si>
  <si>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</si>
  <si>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</si>
  <si>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</si>
  <si>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</si>
  <si>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</si>
  <si>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</si>
  <si>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</si>
  <si>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</si>
  <si>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</si>
  <si>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</si>
  <si>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</si>
  <si>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</si>
  <si>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</si>
  <si>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</si>
  <si>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</si>
  <si>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</si>
  <si>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</si>
  <si>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</si>
  <si>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</si>
  <si>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</si>
  <si>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</si>
  <si>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</si>
  <si>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</si>
  <si>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</si>
  <si>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</si>
  <si>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</si>
  <si>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</si>
  <si>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</si>
  <si>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</si>
  <si>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</si>
  <si>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</si>
  <si>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</si>
  <si>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</si>
  <si>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</si>
  <si>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</si>
  <si>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</si>
  <si>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</si>
  <si>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</si>
  <si>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</si>
  <si>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</si>
  <si>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</si>
  <si>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</si>
  <si>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</si>
  <si>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</si>
  <si>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</si>
  <si>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</si>
  <si>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</si>
  <si>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</si>
  <si>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</si>
  <si>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>Curve Points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</si>
  <si>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</si>
  <si>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</si>
  <si>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</si>
  <si>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</si>
  <si>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</si>
  <si>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</si>
  <si>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</si>
  <si>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</si>
  <si>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</si>
  <si>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</si>
  <si>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#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</si>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</sst>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%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sz val="8"/>
      <color indexed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18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2" borderId="7" xfId="2" applyFont="1" applyFill="1" applyBorder="1" applyAlignment="1">
      <alignment horizontal="left"/>
    </xf>
    <xf numFmtId="0" fontId="8" fillId="0" borderId="0" xfId="0" applyFont="1"/>
    <xf numFmtId="0" fontId="9" fillId="3" borderId="5" xfId="0" applyFont="1" applyFill="1" applyBorder="1"/>
    <xf numFmtId="164" fontId="10" fillId="4" borderId="6" xfId="0" applyNumberFormat="1" applyFont="1" applyFill="1" applyBorder="1" applyAlignment="1">
      <alignment horizontal="center"/>
    </xf>
    <xf numFmtId="0" fontId="9" fillId="3" borderId="7" xfId="0" applyFont="1" applyFill="1" applyBorder="1"/>
    <xf numFmtId="0" fontId="9" fillId="3" borderId="1" xfId="0" applyFont="1" applyFill="1" applyBorder="1"/>
    <xf numFmtId="9" fontId="11" fillId="0" borderId="2" xfId="1" applyFont="1" applyBorder="1" applyAlignment="1">
      <alignment horizontal="center"/>
    </xf>
    <xf numFmtId="0" fontId="9" fillId="3" borderId="3" xfId="0" applyFont="1" applyFill="1" applyBorder="1"/>
    <xf numFmtId="0" fontId="8" fillId="0" borderId="0" xfId="0" applyFont="1" applyAlignment="1">
      <alignment horizontal="center"/>
    </xf>
    <xf numFmtId="0" fontId="7" fillId="2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164" fontId="10" fillId="4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15" fontId="23" fillId="2" borderId="12" xfId="0" applyNumberFormat="1" applyFont="1" applyFill="1" applyBorder="1"/>
    <xf numFmtId="15" fontId="24" fillId="0" borderId="10" xfId="0" applyNumberFormat="1" applyFont="1" applyBorder="1"/>
    <xf numFmtId="0" fontId="24" fillId="0" borderId="10" xfId="0" applyFont="1" applyBorder="1"/>
    <xf numFmtId="0" fontId="24" fillId="0" borderId="11" xfId="0" applyFont="1" applyBorder="1"/>
    <xf numFmtId="0" fontId="23" fillId="2" borderId="7" xfId="0" applyFont="1" applyFill="1" applyBorder="1"/>
    <xf numFmtId="15" fontId="25" fillId="5" borderId="14" xfId="0" applyNumberFormat="1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3" fillId="2" borderId="5" xfId="0" applyFont="1" applyFill="1" applyBorder="1"/>
    <xf numFmtId="0" fontId="23" fillId="2" borderId="14" xfId="0" applyFont="1" applyFill="1" applyBorder="1"/>
    <xf numFmtId="0" fontId="23" fillId="2" borderId="6" xfId="0" applyFont="1" applyFill="1" applyBorder="1"/>
    <xf numFmtId="0" fontId="23" fillId="2" borderId="7" xfId="0" applyFont="1" applyFill="1" applyBorder="1" applyAlignment="1">
      <alignment horizontal="center" wrapText="1"/>
    </xf>
    <xf numFmtId="0" fontId="23" fillId="2" borderId="23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 wrapText="1"/>
    </xf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23" xfId="0" applyFont="1" applyBorder="1"/>
    <xf numFmtId="0" fontId="28" fillId="0" borderId="8" xfId="0" applyFont="1" applyBorder="1" applyAlignment="1">
      <alignment horizontal="center"/>
    </xf>
    <xf numFmtId="10" fontId="28" fillId="0" borderId="24" xfId="3" applyNumberFormat="1" applyFont="1" applyBorder="1" applyAlignment="1">
      <alignment horizontal="center"/>
    </xf>
    <xf numFmtId="10" fontId="28" fillId="0" borderId="25" xfId="3" applyNumberFormat="1" applyFont="1" applyBorder="1" applyAlignment="1">
      <alignment horizontal="center"/>
    </xf>
    <xf numFmtId="10" fontId="28" fillId="0" borderId="8" xfId="3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0" xfId="0" applyFont="1"/>
    <xf numFmtId="0" fontId="28" fillId="0" borderId="2" xfId="0" applyFont="1" applyBorder="1" applyAlignment="1">
      <alignment horizontal="center"/>
    </xf>
    <xf numFmtId="10" fontId="28" fillId="0" borderId="26" xfId="3" applyNumberFormat="1" applyFont="1" applyBorder="1" applyAlignment="1">
      <alignment horizontal="center"/>
    </xf>
    <xf numFmtId="10" fontId="28" fillId="0" borderId="27" xfId="3" applyNumberFormat="1" applyFont="1" applyBorder="1" applyAlignment="1">
      <alignment horizontal="center"/>
    </xf>
    <xf numFmtId="10" fontId="28" fillId="0" borderId="2" xfId="3" applyNumberFormat="1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28" xfId="0" applyFont="1" applyBorder="1"/>
    <xf numFmtId="0" fontId="28" fillId="0" borderId="4" xfId="0" applyFont="1" applyBorder="1" applyAlignment="1">
      <alignment horizontal="center"/>
    </xf>
    <xf numFmtId="10" fontId="28" fillId="0" borderId="18" xfId="3" applyNumberFormat="1" applyFont="1" applyBorder="1" applyAlignment="1">
      <alignment horizontal="center"/>
    </xf>
    <xf numFmtId="10" fontId="28" fillId="0" borderId="19" xfId="3" applyNumberFormat="1" applyFont="1" applyBorder="1" applyAlignment="1">
      <alignment horizontal="center"/>
    </xf>
    <xf numFmtId="10" fontId="28" fillId="0" borderId="4" xfId="3" applyNumberFormat="1" applyFont="1" applyBorder="1" applyAlignment="1">
      <alignment horizontal="center"/>
    </xf>
    <xf numFmtId="0" fontId="26" fillId="0" borderId="0" xfId="0" applyFont="1"/>
    <xf numFmtId="0" fontId="23" fillId="2" borderId="8" xfId="0" applyFont="1" applyFill="1" applyBorder="1" applyAlignment="1">
      <alignment horizontal="center"/>
    </xf>
    <xf numFmtId="0" fontId="29" fillId="0" borderId="7" xfId="0" applyFont="1" applyBorder="1" applyAlignment="1">
      <alignment horizontal="center"/>
    </xf>
    <xf numFmtId="0" fontId="26" fillId="0" borderId="23" xfId="0" applyFont="1" applyBorder="1"/>
    <xf numFmtId="0" fontId="26" fillId="0" borderId="23" xfId="0" applyFont="1" applyBorder="1" applyAlignment="1">
      <alignment horizontal="center"/>
    </xf>
    <xf numFmtId="10" fontId="30" fillId="0" borderId="24" xfId="3" applyNumberFormat="1" applyFont="1" applyBorder="1" applyAlignment="1">
      <alignment horizontal="center"/>
    </xf>
    <xf numFmtId="10" fontId="30" fillId="0" borderId="25" xfId="3" applyNumberFormat="1" applyFont="1" applyBorder="1" applyAlignment="1">
      <alignment horizontal="center"/>
    </xf>
    <xf numFmtId="10" fontId="30" fillId="0" borderId="29" xfId="3" applyNumberFormat="1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10" fontId="30" fillId="0" borderId="26" xfId="3" applyNumberFormat="1" applyFont="1" applyBorder="1" applyAlignment="1">
      <alignment horizontal="center"/>
    </xf>
    <xf numFmtId="10" fontId="30" fillId="0" borderId="27" xfId="3" applyNumberFormat="1" applyFont="1" applyBorder="1" applyAlignment="1">
      <alignment horizontal="center"/>
    </xf>
    <xf numFmtId="10" fontId="30" fillId="0" borderId="30" xfId="3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6" fillId="0" borderId="28" xfId="0" applyFont="1" applyBorder="1"/>
    <xf numFmtId="0" fontId="26" fillId="0" borderId="28" xfId="0" applyFont="1" applyBorder="1" applyAlignment="1">
      <alignment horizontal="center"/>
    </xf>
    <xf numFmtId="10" fontId="30" fillId="0" borderId="18" xfId="3" applyNumberFormat="1" applyFont="1" applyBorder="1" applyAlignment="1">
      <alignment horizontal="center"/>
    </xf>
    <xf numFmtId="10" fontId="30" fillId="0" borderId="19" xfId="3" applyNumberFormat="1" applyFont="1" applyBorder="1" applyAlignment="1">
      <alignment horizontal="center"/>
    </xf>
    <xf numFmtId="10" fontId="30" fillId="0" borderId="20" xfId="3" applyNumberFormat="1" applyFont="1" applyBorder="1" applyAlignment="1">
      <alignment horizontal="center"/>
    </xf>
    <xf numFmtId="15" fontId="23" fillId="2" borderId="5" xfId="0" applyNumberFormat="1" applyFont="1" applyFill="1" applyBorder="1"/>
    <xf numFmtId="15" fontId="24" fillId="0" borderId="31" xfId="0" applyNumberFormat="1" applyFont="1" applyBorder="1"/>
    <xf numFmtId="0" fontId="26" fillId="0" borderId="0" xfId="0" quotePrefix="1" applyFont="1" applyAlignment="1">
      <alignment horizontal="center"/>
    </xf>
    <xf numFmtId="0" fontId="23" fillId="2" borderId="3" xfId="0" applyFont="1" applyFill="1" applyBorder="1"/>
    <xf numFmtId="15" fontId="26" fillId="0" borderId="0" xfId="0" applyNumberFormat="1" applyFont="1" applyAlignment="1">
      <alignment horizontal="center"/>
    </xf>
    <xf numFmtId="0" fontId="28" fillId="0" borderId="6" xfId="0" applyFont="1" applyBorder="1"/>
    <xf numFmtId="0" fontId="28" fillId="0" borderId="6" xfId="0" applyFont="1" applyBorder="1" applyAlignment="1">
      <alignment horizontal="center"/>
    </xf>
    <xf numFmtId="0" fontId="31" fillId="2" borderId="7" xfId="0" applyFont="1" applyFill="1" applyBorder="1"/>
    <xf numFmtId="0" fontId="31" fillId="2" borderId="23" xfId="0" applyFont="1" applyFill="1" applyBorder="1"/>
    <xf numFmtId="0" fontId="31" fillId="2" borderId="8" xfId="0" applyFont="1" applyFill="1" applyBorder="1"/>
    <xf numFmtId="0" fontId="23" fillId="2" borderId="7" xfId="0" applyFont="1" applyFill="1" applyBorder="1" applyAlignment="1">
      <alignment horizontal="left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left"/>
    </xf>
    <xf numFmtId="0" fontId="31" fillId="2" borderId="7" xfId="0" applyFont="1" applyFill="1" applyBorder="1" applyAlignment="1">
      <alignment horizontal="center" wrapText="1"/>
    </xf>
    <xf numFmtId="0" fontId="31" fillId="2" borderId="8" xfId="0" applyFont="1" applyFill="1" applyBorder="1" applyAlignment="1">
      <alignment horizontal="center" wrapText="1"/>
    </xf>
    <xf numFmtId="0" fontId="31" fillId="2" borderId="1" xfId="0" applyFont="1" applyFill="1" applyBorder="1" applyAlignment="1">
      <alignment horizontal="center"/>
    </xf>
    <xf numFmtId="0" fontId="31" fillId="2" borderId="0" xfId="0" applyFont="1" applyFill="1" applyAlignment="1">
      <alignment horizontal="center"/>
    </xf>
    <xf numFmtId="0" fontId="31" fillId="2" borderId="34" xfId="0" applyFont="1" applyFill="1" applyBorder="1" applyAlignment="1">
      <alignment horizontal="center"/>
    </xf>
    <xf numFmtId="0" fontId="31" fillId="2" borderId="2" xfId="0" applyFont="1" applyFill="1" applyBorder="1" applyAlignment="1">
      <alignment horizontal="center"/>
    </xf>
    <xf numFmtId="15" fontId="32" fillId="2" borderId="1" xfId="0" applyNumberFormat="1" applyFont="1" applyFill="1" applyBorder="1" applyAlignment="1">
      <alignment horizontal="center"/>
    </xf>
    <xf numFmtId="15" fontId="32" fillId="2" borderId="0" xfId="0" applyNumberFormat="1" applyFont="1" applyFill="1" applyAlignment="1">
      <alignment horizontal="center"/>
    </xf>
    <xf numFmtId="15" fontId="32" fillId="2" borderId="34" xfId="0" applyNumberFormat="1" applyFont="1" applyFill="1" applyBorder="1" applyAlignment="1">
      <alignment horizontal="center"/>
    </xf>
    <xf numFmtId="0" fontId="26" fillId="0" borderId="7" xfId="0" applyFont="1" applyBorder="1" applyAlignment="1">
      <alignment horizontal="center"/>
    </xf>
    <xf numFmtId="9" fontId="28" fillId="0" borderId="8" xfId="0" applyNumberFormat="1" applyFont="1" applyBorder="1" applyAlignment="1">
      <alignment horizontal="center"/>
    </xf>
    <xf numFmtId="10" fontId="28" fillId="0" borderId="7" xfId="3" applyNumberFormat="1" applyFont="1" applyBorder="1" applyAlignment="1">
      <alignment horizontal="center"/>
    </xf>
    <xf numFmtId="10" fontId="28" fillId="0" borderId="23" xfId="3" applyNumberFormat="1" applyFont="1" applyBorder="1" applyAlignment="1">
      <alignment horizontal="center"/>
    </xf>
    <xf numFmtId="165" fontId="28" fillId="0" borderId="23" xfId="3" applyNumberFormat="1" applyFont="1" applyBorder="1" applyAlignment="1">
      <alignment horizontal="center"/>
    </xf>
    <xf numFmtId="10" fontId="30" fillId="0" borderId="7" xfId="3" applyNumberFormat="1" applyFont="1" applyBorder="1"/>
    <xf numFmtId="10" fontId="30" fillId="0" borderId="23" xfId="3" applyNumberFormat="1" applyFont="1" applyBorder="1"/>
    <xf numFmtId="10" fontId="30" fillId="0" borderId="8" xfId="3" applyNumberFormat="1" applyFont="1" applyBorder="1"/>
    <xf numFmtId="0" fontId="26" fillId="0" borderId="1" xfId="0" applyFont="1" applyBorder="1" applyAlignment="1">
      <alignment horizontal="center"/>
    </xf>
    <xf numFmtId="9" fontId="28" fillId="0" borderId="2" xfId="0" applyNumberFormat="1" applyFont="1" applyBorder="1" applyAlignment="1">
      <alignment horizontal="center"/>
    </xf>
    <xf numFmtId="10" fontId="28" fillId="0" borderId="1" xfId="3" applyNumberFormat="1" applyFont="1" applyBorder="1" applyAlignment="1">
      <alignment horizontal="center"/>
    </xf>
    <xf numFmtId="10" fontId="28" fillId="0" borderId="0" xfId="3" applyNumberFormat="1" applyFont="1" applyAlignment="1">
      <alignment horizontal="center"/>
    </xf>
    <xf numFmtId="10" fontId="30" fillId="0" borderId="1" xfId="3" applyNumberFormat="1" applyFont="1" applyBorder="1"/>
    <xf numFmtId="10" fontId="30" fillId="0" borderId="0" xfId="3" applyNumberFormat="1" applyFont="1"/>
    <xf numFmtId="10" fontId="30" fillId="0" borderId="2" xfId="3" applyNumberFormat="1" applyFont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1" fillId="0" borderId="9" xfId="2" applyFont="1" applyBorder="1" applyAlignment="1">
      <alignment horizontal="center"/>
    </xf>
    <xf numFmtId="0" fontId="19" fillId="3" borderId="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3" fillId="2" borderId="7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8" xfId="0" applyFont="1" applyBorder="1" applyAlignment="1">
      <alignment horizontal="center"/>
    </xf>
    <xf numFmtId="15" fontId="28" fillId="5" borderId="28" xfId="0" applyNumberFormat="1" applyFont="1" applyFill="1" applyBorder="1" applyAlignment="1">
      <alignment horizontal="center"/>
    </xf>
    <xf numFmtId="15" fontId="28" fillId="5" borderId="4" xfId="0" applyNumberFormat="1" applyFont="1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23" fillId="2" borderId="14" xfId="0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3" fillId="2" borderId="6" xfId="0" applyFont="1" applyFill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11</xdr:row>
          <xdr:rowOff>76200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>
        <row r="16">
          <cell r="H16" t="str">
            <v>US (NASD) 30/360</v>
          </cell>
        </row>
      </sheetData>
      <sheetData sheetId="1"/>
      <sheetData sheetId="2">
        <row r="6">
          <cell r="C6">
            <v>45371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1.2097732365761171E-3</v>
          </cell>
          <cell r="P11">
            <v>3.4934285216857708E-3</v>
          </cell>
          <cell r="Q11">
            <v>8.9211308332199923E-3</v>
          </cell>
          <cell r="R11">
            <v>1.6196450816232111E-2</v>
          </cell>
          <cell r="S11" t="str">
            <v/>
          </cell>
          <cell r="T11">
            <v>3.4053120580619822E-2</v>
          </cell>
          <cell r="U11">
            <v>5.2090780118823843E-2</v>
          </cell>
          <cell r="V11">
            <v>8.0512767402816099E-2</v>
          </cell>
          <cell r="W11" t="str">
            <v/>
          </cell>
          <cell r="X11">
            <v>1.2930022875429215E-3</v>
          </cell>
          <cell r="Y11">
            <v>3.6594991106708719E-3</v>
          </cell>
          <cell r="Z11">
            <v>9.350505305327772E-3</v>
          </cell>
          <cell r="AA11">
            <v>1.700081578627799E-2</v>
          </cell>
          <cell r="AB11" t="str">
            <v/>
          </cell>
          <cell r="AC11">
            <v>3.5728528299768025E-2</v>
          </cell>
          <cell r="AD11">
            <v>5.4632579463672171E-2</v>
          </cell>
          <cell r="AE11">
            <v>8.4378634611709136E-2</v>
          </cell>
        </row>
        <row r="12">
          <cell r="D12" t="str">
            <v>EUR</v>
          </cell>
          <cell r="N12" t="str">
            <v/>
          </cell>
          <cell r="O12">
            <v>7.2785822158416558E-4</v>
          </cell>
          <cell r="P12">
            <v>1.9210954044108774E-3</v>
          </cell>
          <cell r="Q12">
            <v>5.5063578023649695E-3</v>
          </cell>
          <cell r="R12">
            <v>1.1884705436899679E-2</v>
          </cell>
          <cell r="S12" t="str">
            <v/>
          </cell>
          <cell r="T12">
            <v>3.1089687978344327E-2</v>
          </cell>
          <cell r="U12">
            <v>5.1774222307277906E-2</v>
          </cell>
          <cell r="V12">
            <v>9.1178802467290487E-2</v>
          </cell>
          <cell r="W12" t="str">
            <v/>
          </cell>
          <cell r="X12">
            <v>8.1112743046984903E-4</v>
          </cell>
          <cell r="Y12">
            <v>2.0874280270694046E-3</v>
          </cell>
          <cell r="Z12">
            <v>5.8378004395733818E-3</v>
          </cell>
          <cell r="AA12">
            <v>1.2452708414755431E-2</v>
          </cell>
          <cell r="AB12" t="str">
            <v/>
          </cell>
          <cell r="AC12">
            <v>3.2617367422235199E-2</v>
          </cell>
          <cell r="AD12">
            <v>5.4300816242691785E-2</v>
          </cell>
          <cell r="AE12">
            <v>9.5543962728230514E-2</v>
          </cell>
        </row>
        <row r="13">
          <cell r="D13" t="str">
            <v>EUR</v>
          </cell>
          <cell r="N13" t="str">
            <v/>
          </cell>
          <cell r="O13">
            <v>5.4594323121426314E-4</v>
          </cell>
          <cell r="P13">
            <v>1.7494169585348107E-3</v>
          </cell>
          <cell r="Q13">
            <v>6.214556435516827E-3</v>
          </cell>
          <cell r="R13">
            <v>1.3980901535377011E-2</v>
          </cell>
          <cell r="S13" t="str">
            <v/>
          </cell>
          <cell r="T13">
            <v>3.4461686778176404E-2</v>
          </cell>
          <cell r="U13">
            <v>6.1506914708782556E-2</v>
          </cell>
          <cell r="V13">
            <v>0.10612486553264233</v>
          </cell>
          <cell r="W13" t="str">
            <v/>
          </cell>
          <cell r="X13">
            <v>6.2922759904748826E-4</v>
          </cell>
          <cell r="Y13">
            <v>1.9157781918792693E-3</v>
          </cell>
          <cell r="Z13">
            <v>6.5457630458530813E-3</v>
          </cell>
          <cell r="AA13">
            <v>1.4670548097620029E-2</v>
          </cell>
          <cell r="AB13" t="str">
            <v/>
          </cell>
          <cell r="AC13">
            <v>3.615287547154078E-2</v>
          </cell>
          <cell r="AD13">
            <v>6.4498009477011786E-2</v>
          </cell>
          <cell r="AE13">
            <v>0.11120347820496479</v>
          </cell>
        </row>
        <row r="14">
          <cell r="D14" t="str">
            <v>EUR</v>
          </cell>
          <cell r="N14" t="str">
            <v/>
          </cell>
          <cell r="O14">
            <v>1.1461373716102896E-3</v>
          </cell>
          <cell r="P14">
            <v>3.0902962713841298E-3</v>
          </cell>
          <cell r="Q14">
            <v>8.241348134218951E-3</v>
          </cell>
          <cell r="R14">
            <v>1.4925721179537832E-2</v>
          </cell>
          <cell r="S14" t="str">
            <v/>
          </cell>
          <cell r="T14">
            <v>3.2430433068463715E-2</v>
          </cell>
          <cell r="U14">
            <v>5.0629438006189909E-2</v>
          </cell>
          <cell r="V14">
            <v>7.7295869470929035E-2</v>
          </cell>
          <cell r="W14" t="str">
            <v/>
          </cell>
          <cell r="X14">
            <v>1.2293717253490932E-3</v>
          </cell>
          <cell r="Y14">
            <v>3.2564340434825256E-3</v>
          </cell>
          <cell r="Z14">
            <v>8.6379722648687318E-3</v>
          </cell>
          <cell r="AA14">
            <v>1.5666538051201662E-2</v>
          </cell>
          <cell r="AB14" t="str">
            <v/>
          </cell>
          <cell r="AC14">
            <v>3.4026637141478022E-2</v>
          </cell>
          <cell r="AD14">
            <v>5.3101846440223976E-2</v>
          </cell>
          <cell r="AE14">
            <v>8.1013501695818779E-2</v>
          </cell>
        </row>
        <row r="15">
          <cell r="D15" t="str">
            <v>EUR</v>
          </cell>
          <cell r="N15" t="str">
            <v/>
          </cell>
          <cell r="O15">
            <v>4.5497334759936336E-4</v>
          </cell>
          <cell r="P15">
            <v>1.0468631450375465E-3</v>
          </cell>
          <cell r="Q15">
            <v>3.7988489935746328E-3</v>
          </cell>
          <cell r="R15">
            <v>7.7611056355625374E-3</v>
          </cell>
          <cell r="S15" t="str">
            <v/>
          </cell>
          <cell r="T15">
            <v>2.1713136515577047E-2</v>
          </cell>
          <cell r="U15">
            <v>3.9000479896582285E-2</v>
          </cell>
          <cell r="V15">
            <v>6.7881677795304185E-2</v>
          </cell>
          <cell r="W15" t="str">
            <v/>
          </cell>
          <cell r="X15">
            <v>5.3826529594969141E-4</v>
          </cell>
          <cell r="Y15">
            <v>1.2133414609432069E-3</v>
          </cell>
          <cell r="Z15">
            <v>4.13086070555857E-3</v>
          </cell>
          <cell r="AA15">
            <v>8.2571010735466022E-3</v>
          </cell>
          <cell r="AB15" t="str">
            <v/>
          </cell>
          <cell r="AC15">
            <v>2.2767050791879684E-2</v>
          </cell>
          <cell r="AD15">
            <v>4.0897940335740235E-2</v>
          </cell>
          <cell r="AE15">
            <v>7.1152571050652536E-2</v>
          </cell>
        </row>
        <row r="16">
          <cell r="D16" t="str">
            <v>EUR</v>
          </cell>
          <cell r="N16" t="str">
            <v/>
          </cell>
          <cell r="O16">
            <v>1.1188636202652535E-3</v>
          </cell>
          <cell r="P16">
            <v>2.7741662475643247E-3</v>
          </cell>
          <cell r="Q16">
            <v>7.5918644557023685E-3</v>
          </cell>
          <cell r="R16">
            <v>1.2907033210865393E-2</v>
          </cell>
          <cell r="S16" t="str">
            <v/>
          </cell>
          <cell r="T16">
            <v>2.7295782486677189E-2</v>
          </cell>
          <cell r="U16">
            <v>4.3258282847865592E-2</v>
          </cell>
          <cell r="V16">
            <v>6.9632461847284E-2</v>
          </cell>
          <cell r="W16" t="str">
            <v/>
          </cell>
          <cell r="X16">
            <v>1.2021002467269559E-3</v>
          </cell>
          <cell r="Y16">
            <v>2.9403567036020428E-3</v>
          </cell>
          <cell r="Z16">
            <v>7.9573341408427645E-3</v>
          </cell>
          <cell r="AA16">
            <v>1.3547368722276798E-2</v>
          </cell>
          <cell r="AB16" t="str">
            <v/>
          </cell>
          <cell r="AC16">
            <v>2.8641522474605607E-2</v>
          </cell>
          <cell r="AD16">
            <v>4.5377135060839624E-2</v>
          </cell>
          <cell r="AE16">
            <v>7.2996392495283891E-2</v>
          </cell>
        </row>
        <row r="17">
          <cell r="D17" t="str">
            <v>EUR</v>
          </cell>
          <cell r="N17" t="str">
            <v/>
          </cell>
          <cell r="O17">
            <v>4.5497334759936336E-4</v>
          </cell>
          <cell r="P17">
            <v>2.4561942082753641E-3</v>
          </cell>
          <cell r="Q17">
            <v>8.2825480497696891E-3</v>
          </cell>
          <cell r="R17">
            <v>1.8085997102995632E-2</v>
          </cell>
          <cell r="S17" t="str">
            <v/>
          </cell>
          <cell r="T17">
            <v>4.9041704443203771E-2</v>
          </cell>
          <cell r="U17">
            <v>8.3623600334491788E-2</v>
          </cell>
          <cell r="V17">
            <v>0.14321779911119348</v>
          </cell>
          <cell r="W17" t="str">
            <v/>
          </cell>
          <cell r="X17">
            <v>5.3826529594969141E-4</v>
          </cell>
          <cell r="Y17">
            <v>2.6224376552265172E-3</v>
          </cell>
          <cell r="Z17">
            <v>8.6791557037404488E-3</v>
          </cell>
          <cell r="AA17">
            <v>1.8981238719376847E-2</v>
          </cell>
          <cell r="AB17" t="str">
            <v/>
          </cell>
          <cell r="AC17">
            <v>5.1438336565219123E-2</v>
          </cell>
          <cell r="AD17">
            <v>8.7655936359025466E-2</v>
          </cell>
          <cell r="AE17">
            <v>0.14996599619556295</v>
          </cell>
        </row>
        <row r="18">
          <cell r="D18" t="str">
            <v>EUR</v>
          </cell>
          <cell r="N18" t="str">
            <v/>
          </cell>
          <cell r="O18">
            <v>1.1825012181198025E-3</v>
          </cell>
          <cell r="P18">
            <v>2.4381160183138961E-3</v>
          </cell>
          <cell r="Q18">
            <v>8.9601608943382649E-3</v>
          </cell>
          <cell r="R18">
            <v>1.6975721373186259E-2</v>
          </cell>
          <cell r="S18" t="str">
            <v/>
          </cell>
          <cell r="T18">
            <v>4.4657137065839958E-2</v>
          </cell>
          <cell r="U18">
            <v>7.9070414531581479E-2</v>
          </cell>
          <cell r="V18">
            <v>0.13342519450121804</v>
          </cell>
          <cell r="W18" t="str">
            <v/>
          </cell>
          <cell r="X18">
            <v>1.2657325416649545E-3</v>
          </cell>
          <cell r="Y18">
            <v>2.6043624780491825E-3</v>
          </cell>
          <cell r="Z18">
            <v>9.3895184570955692E-3</v>
          </cell>
          <cell r="AA18">
            <v>1.7816864427046331E-2</v>
          </cell>
          <cell r="AB18" t="str">
            <v/>
          </cell>
          <cell r="AC18">
            <v>4.6843746953628917E-2</v>
          </cell>
          <cell r="AD18">
            <v>8.2891759760151618E-2</v>
          </cell>
          <cell r="AE18">
            <v>0.13973747288659033</v>
          </cell>
        </row>
        <row r="19">
          <cell r="D19" t="str">
            <v>EUR</v>
          </cell>
          <cell r="N19" t="str">
            <v/>
          </cell>
          <cell r="O19">
            <v>2.7300879781333443E-4</v>
          </cell>
          <cell r="P19">
            <v>1.0512575945389457E-3</v>
          </cell>
          <cell r="Q19">
            <v>3.8033174080542853E-3</v>
          </cell>
          <cell r="R19">
            <v>8.296604741187541E-3</v>
          </cell>
          <cell r="S19" t="str">
            <v/>
          </cell>
          <cell r="T19">
            <v>1.9889630927399815E-2</v>
          </cell>
          <cell r="U19">
            <v>3.3945530667263246E-2</v>
          </cell>
          <cell r="V19">
            <v>6.4893521841106194E-2</v>
          </cell>
          <cell r="W19" t="str">
            <v/>
          </cell>
          <cell r="X19">
            <v>3.5631590924090073E-4</v>
          </cell>
          <cell r="Y19">
            <v>1.2177351780808809E-3</v>
          </cell>
          <cell r="Z19">
            <v>4.1353276307973807E-3</v>
          </cell>
          <cell r="AA19">
            <v>8.7923324965399896E-3</v>
          </cell>
          <cell r="AB19" t="str">
            <v/>
          </cell>
          <cell r="AC19">
            <v>2.0855656446274073E-2</v>
          </cell>
          <cell r="AD19">
            <v>3.5598659454389336E-2</v>
          </cell>
          <cell r="AE19">
            <v>6.8025652863848651E-2</v>
          </cell>
        </row>
        <row r="20">
          <cell r="D20" t="str">
            <v>EUR</v>
          </cell>
          <cell r="N20" t="str">
            <v/>
          </cell>
          <cell r="O20">
            <v>1.0824974631862272E-3</v>
          </cell>
          <cell r="P20">
            <v>2.493416445884078E-3</v>
          </cell>
          <cell r="Q20">
            <v>6.557700622374818E-3</v>
          </cell>
          <cell r="R20">
            <v>1.1909312629609925E-2</v>
          </cell>
          <cell r="S20" t="str">
            <v/>
          </cell>
          <cell r="T20">
            <v>2.6545793718598443E-2</v>
          </cell>
          <cell r="U20">
            <v>4.1938858161149728E-2</v>
          </cell>
          <cell r="V20">
            <v>6.6243512406457983E-2</v>
          </cell>
          <cell r="W20" t="str">
            <v/>
          </cell>
          <cell r="X20">
            <v>1.1657371200340938E-3</v>
          </cell>
          <cell r="Y20">
            <v>2.6596536896519307E-3</v>
          </cell>
          <cell r="Z20">
            <v>6.8887928703894596E-3</v>
          </cell>
          <cell r="AA20">
            <v>1.2482239063538403E-2</v>
          </cell>
          <cell r="AB20" t="str">
            <v/>
          </cell>
          <cell r="AC20">
            <v>2.7855245434884046E-2</v>
          </cell>
          <cell r="AD20">
            <v>4.3994788213444935E-2</v>
          </cell>
          <cell r="AE20">
            <v>6.9449006217710663E-2</v>
          </cell>
        </row>
        <row r="21">
          <cell r="D21" t="str">
            <v>EUR</v>
          </cell>
          <cell r="N21" t="str">
            <v/>
          </cell>
          <cell r="O21">
            <v>1.137046203671388E-3</v>
          </cell>
          <cell r="P21">
            <v>2.8441185373755395E-3</v>
          </cell>
          <cell r="Q21">
            <v>7.7630010863392052E-3</v>
          </cell>
          <cell r="R21">
            <v>1.3530582594944662E-2</v>
          </cell>
          <cell r="S21" t="str">
            <v/>
          </cell>
          <cell r="T21">
            <v>2.9016649226020763E-2</v>
          </cell>
          <cell r="U21">
            <v>4.5856898240887012E-2</v>
          </cell>
          <cell r="V21">
            <v>7.2821770400505303E-2</v>
          </cell>
          <cell r="W21" t="str">
            <v/>
          </cell>
          <cell r="X21">
            <v>1.2202813149703173E-3</v>
          </cell>
          <cell r="Y21">
            <v>3.0102973356620488E-3</v>
          </cell>
          <cell r="Z21">
            <v>8.1366733098922062E-3</v>
          </cell>
          <cell r="AA21">
            <v>1.4201937924953834E-2</v>
          </cell>
          <cell r="AB21" t="str">
            <v/>
          </cell>
          <cell r="AC21">
            <v>3.0446431562482501E-2</v>
          </cell>
          <cell r="AD21">
            <v>4.8100716167969071E-2</v>
          </cell>
          <cell r="AE21">
            <v>7.6333876797122446E-2</v>
          </cell>
        </row>
        <row r="22">
          <cell r="D22" t="str">
            <v>EUR</v>
          </cell>
          <cell r="N22" t="str">
            <v/>
          </cell>
          <cell r="O22">
            <v>9.5520551445549273E-4</v>
          </cell>
          <cell r="P22">
            <v>3.5878740301338308E-3</v>
          </cell>
          <cell r="Q22">
            <v>1.0698319493405717E-2</v>
          </cell>
          <cell r="R22">
            <v>1.8910036694558485E-2</v>
          </cell>
          <cell r="S22" t="str">
            <v/>
          </cell>
          <cell r="T22">
            <v>3.8180048292045909E-2</v>
          </cell>
          <cell r="U22">
            <v>5.9659800888807291E-2</v>
          </cell>
          <cell r="V22">
            <v>9.2770080262687848E-2</v>
          </cell>
          <cell r="W22" t="str">
            <v/>
          </cell>
          <cell r="X22">
            <v>1.038455778510472E-3</v>
          </cell>
          <cell r="Y22">
            <v>3.7580798961506234E-3</v>
          </cell>
          <cell r="Z22">
            <v>1.1230047344652383E-2</v>
          </cell>
          <cell r="AA22">
            <v>1.984703014033018E-2</v>
          </cell>
          <cell r="AB22" t="str">
            <v/>
          </cell>
          <cell r="AC22">
            <v>4.0053252551105145E-2</v>
          </cell>
          <cell r="AD22">
            <v>6.2559278223453196E-2</v>
          </cell>
          <cell r="AE22">
            <v>9.719555714039485E-2</v>
          </cell>
        </row>
        <row r="23">
          <cell r="D23" t="str">
            <v>EUR</v>
          </cell>
          <cell r="N23" t="str">
            <v/>
          </cell>
          <cell r="O23">
            <v>1.4006565747575195E-3</v>
          </cell>
          <cell r="P23">
            <v>4.1218672635487952E-3</v>
          </cell>
          <cell r="Q23">
            <v>1.0562228928115092E-2</v>
          </cell>
          <cell r="R23">
            <v>1.7247463864810464E-2</v>
          </cell>
          <cell r="S23" t="str">
            <v/>
          </cell>
          <cell r="T23">
            <v>3.3852379699911728E-2</v>
          </cell>
          <cell r="U23">
            <v>5.1890504811482274E-2</v>
          </cell>
          <cell r="V23">
            <v>8.4116972780619692E-2</v>
          </cell>
          <cell r="W23" t="str">
            <v/>
          </cell>
          <cell r="X23">
            <v>1.4838697194510253E-3</v>
          </cell>
          <cell r="Y23">
            <v>4.3177040384045906E-3</v>
          </cell>
          <cell r="Z23">
            <v>1.1070009975640338E-2</v>
          </cell>
          <cell r="AA23">
            <v>1.8103705963551597E-2</v>
          </cell>
          <cell r="AB23" t="str">
            <v/>
          </cell>
          <cell r="AC23">
            <v>3.5517419355730384E-2</v>
          </cell>
          <cell r="AD23">
            <v>5.4421564325961347E-2</v>
          </cell>
          <cell r="AE23">
            <v>8.814962898695522E-2</v>
          </cell>
        </row>
        <row r="24">
          <cell r="D24" t="str">
            <v>EUR</v>
          </cell>
          <cell r="N24" t="str">
            <v/>
          </cell>
          <cell r="O24">
            <v>4.5497334759936336E-4</v>
          </cell>
          <cell r="P24">
            <v>1.0468631450375465E-3</v>
          </cell>
          <cell r="Q24">
            <v>2.7510313672685083E-3</v>
          </cell>
          <cell r="R24">
            <v>6.2156561456440107E-3</v>
          </cell>
          <cell r="S24" t="str">
            <v/>
          </cell>
          <cell r="T24">
            <v>1.6502694702977383E-2</v>
          </cell>
          <cell r="U24">
            <v>2.9291035412695177E-2</v>
          </cell>
          <cell r="V24">
            <v>5.4564818457260245E-2</v>
          </cell>
          <cell r="W24" t="str">
            <v/>
          </cell>
          <cell r="X24">
            <v>5.3826529594969141E-4</v>
          </cell>
          <cell r="Y24">
            <v>1.2133414609432069E-3</v>
          </cell>
          <cell r="Z24">
            <v>3.083392293561138E-3</v>
          </cell>
          <cell r="AA24">
            <v>6.7124241152325403E-3</v>
          </cell>
          <cell r="AB24" t="str">
            <v/>
          </cell>
          <cell r="AC24">
            <v>1.7321934393446203E-2</v>
          </cell>
          <cell r="AD24">
            <v>3.0705536920233256E-2</v>
          </cell>
          <cell r="AE24">
            <v>5.7195760214440949E-2</v>
          </cell>
        </row>
        <row r="25">
          <cell r="D25" t="str">
            <v>EUR</v>
          </cell>
          <cell r="N25" t="str">
            <v/>
          </cell>
          <cell r="O25">
            <v>2.7300879781333443E-4</v>
          </cell>
          <cell r="P25">
            <v>1.5799139583937416E-3</v>
          </cell>
          <cell r="Q25">
            <v>5.181191906571736E-3</v>
          </cell>
          <cell r="R25">
            <v>1.0335094455867666E-2</v>
          </cell>
          <cell r="S25" t="str">
            <v/>
          </cell>
          <cell r="T25">
            <v>2.8579320199637603E-2</v>
          </cell>
          <cell r="U25">
            <v>4.9638757637926911E-2</v>
          </cell>
          <cell r="V25">
            <v>9.0073953234885984E-2</v>
          </cell>
          <cell r="W25" t="str">
            <v/>
          </cell>
          <cell r="X25">
            <v>3.5631590924090073E-4</v>
          </cell>
          <cell r="Y25">
            <v>1.7463034398864652E-3</v>
          </cell>
          <cell r="Z25">
            <v>5.5127429143683182E-3</v>
          </cell>
          <cell r="AA25">
            <v>1.0829803221134582E-2</v>
          </cell>
          <cell r="AB25" t="str">
            <v/>
          </cell>
          <cell r="AC25">
            <v>2.9982493989267889E-2</v>
          </cell>
          <cell r="AD25">
            <v>5.2061957979781526E-2</v>
          </cell>
          <cell r="AE25">
            <v>9.4414966949036505E-2</v>
          </cell>
        </row>
        <row r="26">
          <cell r="D26" t="str">
            <v>EUR</v>
          </cell>
          <cell r="N26" t="str">
            <v/>
          </cell>
          <cell r="O26">
            <v>5.4594323121426314E-4</v>
          </cell>
          <cell r="P26">
            <v>1.0446661685874492E-3</v>
          </cell>
          <cell r="Q26">
            <v>3.7966149877642907E-3</v>
          </cell>
          <cell r="R26">
            <v>7.7588442933870239E-3</v>
          </cell>
          <cell r="S26" t="str">
            <v/>
          </cell>
          <cell r="T26">
            <v>2.1710810665616753E-2</v>
          </cell>
          <cell r="U26">
            <v>4.0297902755733972E-2</v>
          </cell>
          <cell r="V26">
            <v>7.5390231460192747E-2</v>
          </cell>
          <cell r="W26" t="str">
            <v/>
          </cell>
          <cell r="X26">
            <v>6.2922759904748826E-4</v>
          </cell>
          <cell r="Y26">
            <v>1.2111448506226807E-3</v>
          </cell>
          <cell r="Z26">
            <v>4.1286274442705606E-3</v>
          </cell>
          <cell r="AA26">
            <v>8.2548408617612035E-3</v>
          </cell>
          <cell r="AB26" t="str">
            <v/>
          </cell>
          <cell r="AC26">
            <v>2.2764715670153812E-2</v>
          </cell>
          <cell r="AD26">
            <v>4.2258548471097557E-2</v>
          </cell>
          <cell r="AE26">
            <v>7.9015292556477212E-2</v>
          </cell>
        </row>
        <row r="27">
          <cell r="D27" t="str">
            <v>EUR</v>
          </cell>
          <cell r="N27" t="str">
            <v/>
          </cell>
          <cell r="O27">
            <v>1.0279457517016199E-3</v>
          </cell>
          <cell r="P27">
            <v>3.1988711607446874E-3</v>
          </cell>
          <cell r="Q27">
            <v>9.0410761394333905E-3</v>
          </cell>
          <cell r="R27">
            <v>1.4833127198884855E-2</v>
          </cell>
          <cell r="S27" t="str">
            <v/>
          </cell>
          <cell r="T27">
            <v>2.7951370792482E-2</v>
          </cell>
          <cell r="U27">
            <v>4.3189572854932079E-2</v>
          </cell>
          <cell r="V27">
            <v>6.9270557320612935E-2</v>
          </cell>
          <cell r="W27" t="str">
            <v/>
          </cell>
          <cell r="X27">
            <v>1.1111899543241321E-3</v>
          </cell>
          <cell r="Y27">
            <v>3.3649908385338101E-3</v>
          </cell>
          <cell r="Z27">
            <v>9.4753512821403874E-3</v>
          </cell>
          <cell r="AA27">
            <v>1.5569332680694936E-2</v>
          </cell>
          <cell r="AB27" t="str">
            <v/>
          </cell>
          <cell r="AC27">
            <v>2.9329064053555176E-2</v>
          </cell>
          <cell r="AD27">
            <v>4.5304032986384524E-2</v>
          </cell>
          <cell r="AE27">
            <v>7.2615688399075617E-2</v>
          </cell>
        </row>
        <row r="28">
          <cell r="D28" t="str">
            <v>EUR</v>
          </cell>
          <cell r="N28" t="str">
            <v/>
          </cell>
          <cell r="O28">
            <v>6.3690485549472431E-4</v>
          </cell>
          <cell r="P28">
            <v>1.3948581478229194E-3</v>
          </cell>
          <cell r="Q28">
            <v>4.8293652543733856E-3</v>
          </cell>
          <cell r="R28">
            <v>9.8182156257848874E-3</v>
          </cell>
          <cell r="S28" t="str">
            <v/>
          </cell>
          <cell r="T28">
            <v>2.6849378312817529E-2</v>
          </cell>
          <cell r="U28">
            <v>4.7294561605297991E-2</v>
          </cell>
          <cell r="V28">
            <v>9.2591327935122036E-2</v>
          </cell>
          <cell r="W28" t="str">
            <v/>
          </cell>
          <cell r="X28">
            <v>7.2018164349907376E-4</v>
          </cell>
          <cell r="Y28">
            <v>1.5612784693798121E-3</v>
          </cell>
          <cell r="Z28">
            <v>5.1610335181753175E-3</v>
          </cell>
          <cell r="AA28">
            <v>1.031318276586024E-2</v>
          </cell>
          <cell r="AB28" t="str">
            <v/>
          </cell>
          <cell r="AC28">
            <v>2.816548842760036E-2</v>
          </cell>
          <cell r="AD28">
            <v>4.9602707886440056E-2</v>
          </cell>
          <cell r="AE28">
            <v>9.7054667301305519E-2</v>
          </cell>
        </row>
        <row r="29">
          <cell r="D29" t="str">
            <v>EUR</v>
          </cell>
          <cell r="N29" t="str">
            <v/>
          </cell>
          <cell r="O29">
            <v>4.5497334759936336E-4</v>
          </cell>
          <cell r="P29">
            <v>1.3992836384263407E-3</v>
          </cell>
          <cell r="Q29">
            <v>4.1358284162490433E-3</v>
          </cell>
          <cell r="R29">
            <v>8.2635274722652197E-3</v>
          </cell>
          <cell r="S29" t="str">
            <v/>
          </cell>
          <cell r="T29">
            <v>2.2539472720640163E-2</v>
          </cell>
          <cell r="U29">
            <v>3.883933690179997E-2</v>
          </cell>
          <cell r="V29">
            <v>6.1942140614012375E-2</v>
          </cell>
          <cell r="W29" t="str">
            <v/>
          </cell>
          <cell r="X29">
            <v>5.3826529594969141E-4</v>
          </cell>
          <cell r="Y29">
            <v>1.5657032224634104E-3</v>
          </cell>
          <cell r="Z29">
            <v>4.4677278204747761E-3</v>
          </cell>
          <cell r="AA29">
            <v>8.7592717621126637E-3</v>
          </cell>
          <cell r="AB29" t="str">
            <v/>
          </cell>
          <cell r="AC29">
            <v>2.3637127424469107E-2</v>
          </cell>
          <cell r="AD29">
            <v>4.0731755235325351E-2</v>
          </cell>
          <cell r="AE29">
            <v>6.4933475420183795E-2</v>
          </cell>
        </row>
        <row r="30">
          <cell r="D30" t="str">
            <v>EUR</v>
          </cell>
          <cell r="N30" t="str">
            <v/>
          </cell>
          <cell r="O30">
            <v>5.8232887199149985E-4</v>
          </cell>
          <cell r="P30">
            <v>2.0655813650071186E-3</v>
          </cell>
          <cell r="Q30">
            <v>5.7142961046711127E-3</v>
          </cell>
          <cell r="R30">
            <v>1.0866563658184614E-2</v>
          </cell>
          <cell r="S30" t="str">
            <v/>
          </cell>
          <cell r="T30">
            <v>2.5807962989541355E-2</v>
          </cell>
          <cell r="U30">
            <v>4.3352180177922861E-2</v>
          </cell>
          <cell r="V30">
            <v>6.4407512212216522E-2</v>
          </cell>
          <cell r="W30" t="str">
            <v/>
          </cell>
          <cell r="X30">
            <v>6.656102078149706E-4</v>
          </cell>
          <cell r="Y30">
            <v>2.2318899086841704E-3</v>
          </cell>
          <cell r="Z30">
            <v>6.0456694406660905E-3</v>
          </cell>
          <cell r="AA30">
            <v>1.1388193953755787E-2</v>
          </cell>
          <cell r="AB30" t="str">
            <v/>
          </cell>
          <cell r="AC30">
            <v>2.7078048829710211E-2</v>
          </cell>
          <cell r="AD30">
            <v>4.547412568912379E-2</v>
          </cell>
          <cell r="AE30">
            <v>6.7523628278057579E-2</v>
          </cell>
        </row>
        <row r="31">
          <cell r="D31" t="str">
            <v>EUR</v>
          </cell>
          <cell r="N31" t="str">
            <v/>
          </cell>
          <cell r="O31">
            <v>1.0006687817649684E-3</v>
          </cell>
          <cell r="P31">
            <v>2.7947261130725209E-3</v>
          </cell>
          <cell r="Q31">
            <v>7.2111077393919309E-3</v>
          </cell>
          <cell r="R31">
            <v>1.5467238879111833E-2</v>
          </cell>
          <cell r="S31" t="str">
            <v/>
          </cell>
          <cell r="T31">
            <v>3.3348910436248769E-2</v>
          </cell>
          <cell r="U31">
            <v>5.4944225160039606E-2</v>
          </cell>
          <cell r="V31">
            <v>9.7482385614446887E-2</v>
          </cell>
          <cell r="W31" t="str">
            <v/>
          </cell>
          <cell r="X31">
            <v>1.0839152573786093E-3</v>
          </cell>
          <cell r="Y31">
            <v>2.9609131427482671E-3</v>
          </cell>
          <cell r="Z31">
            <v>7.5585230504505718E-3</v>
          </cell>
          <cell r="AA31">
            <v>1.6234277091737748E-2</v>
          </cell>
          <cell r="AB31" t="str">
            <v/>
          </cell>
          <cell r="AC31">
            <v>3.4989302908546072E-2</v>
          </cell>
          <cell r="AD31">
            <v>5.7623328968287701E-2</v>
          </cell>
          <cell r="AE31">
            <v>0.10216407859452792</v>
          </cell>
        </row>
        <row r="32">
          <cell r="D32" t="str">
            <v>EUR</v>
          </cell>
          <cell r="N32" t="str">
            <v/>
          </cell>
          <cell r="O32">
            <v>7.0966820896456451E-4</v>
          </cell>
          <cell r="P32">
            <v>2.3970392244803129E-3</v>
          </cell>
          <cell r="Q32">
            <v>7.9296522055524177E-3</v>
          </cell>
          <cell r="R32">
            <v>1.38688765300925E-2</v>
          </cell>
          <cell r="S32" t="str">
            <v/>
          </cell>
          <cell r="T32">
            <v>2.8124372732021508E-2</v>
          </cell>
          <cell r="U32">
            <v>4.4009015483154168E-2</v>
          </cell>
          <cell r="V32">
            <v>6.7436704849241802E-2</v>
          </cell>
          <cell r="W32" t="str">
            <v/>
          </cell>
          <cell r="X32">
            <v>7.9293893361020995E-4</v>
          </cell>
          <cell r="Y32">
            <v>2.5632925297894849E-3</v>
          </cell>
          <cell r="Z32">
            <v>8.3098729585614484E-3</v>
          </cell>
          <cell r="AA32">
            <v>1.4555732590385562E-2</v>
          </cell>
          <cell r="AB32" t="str">
            <v/>
          </cell>
          <cell r="AC32">
            <v>2.9509268173051328E-2</v>
          </cell>
          <cell r="AD32">
            <v>4.6162283054634323E-2</v>
          </cell>
          <cell r="AE32">
            <v>7.069433145298909E-2</v>
          </cell>
        </row>
        <row r="33">
          <cell r="D33" t="str">
            <v>EUR</v>
          </cell>
          <cell r="N33" t="str">
            <v/>
          </cell>
          <cell r="O33">
            <v>4.5497334759936336E-4</v>
          </cell>
          <cell r="P33">
            <v>1.5754719486696933E-3</v>
          </cell>
          <cell r="Q33">
            <v>5.525520950825924E-3</v>
          </cell>
          <cell r="R33">
            <v>1.2434173717397634E-2</v>
          </cell>
          <cell r="S33" t="str">
            <v/>
          </cell>
          <cell r="T33">
            <v>3.1069977814155214E-2</v>
          </cell>
          <cell r="U33">
            <v>5.5624245067170675E-2</v>
          </cell>
          <cell r="V33">
            <v>0.10006135867923516</v>
          </cell>
          <cell r="W33" t="str">
            <v/>
          </cell>
          <cell r="X33">
            <v>5.3826529594969141E-4</v>
          </cell>
          <cell r="Y33">
            <v>1.7418621704494708E-3</v>
          </cell>
          <cell r="Z33">
            <v>5.8569572014125493E-3</v>
          </cell>
          <cell r="AA33">
            <v>1.3045227367390777E-2</v>
          </cell>
          <cell r="AB33" t="str">
            <v/>
          </cell>
          <cell r="AC33">
            <v>3.2594471728871977E-2</v>
          </cell>
          <cell r="AD33">
            <v>5.8333714624984712E-2</v>
          </cell>
          <cell r="AE33">
            <v>0.10486500847187663</v>
          </cell>
        </row>
        <row r="34">
          <cell r="D34" t="str">
            <v>EUR</v>
          </cell>
          <cell r="N34" t="str">
            <v/>
          </cell>
          <cell r="O34">
            <v>1.0461299856532325E-3</v>
          </cell>
          <cell r="P34">
            <v>3.1632134609318463E-3</v>
          </cell>
          <cell r="Q34">
            <v>9.6333708743353563E-3</v>
          </cell>
          <cell r="R34">
            <v>1.7974371832573444E-2</v>
          </cell>
          <cell r="S34" t="str">
            <v/>
          </cell>
          <cell r="T34">
            <v>3.9210781126717165E-2</v>
          </cell>
          <cell r="U34">
            <v>6.1631576143808986E-2</v>
          </cell>
          <cell r="V34">
            <v>9.5374207524688837E-2</v>
          </cell>
          <cell r="W34" t="str">
            <v/>
          </cell>
          <cell r="X34">
            <v>1.1293726729973974E-3</v>
          </cell>
          <cell r="Y34">
            <v>3.3293390811747203E-3</v>
          </cell>
          <cell r="Z34">
            <v>1.0095434144791526E-2</v>
          </cell>
          <cell r="AA34">
            <v>1.8865817303261312E-2</v>
          </cell>
          <cell r="AB34" t="str">
            <v/>
          </cell>
          <cell r="AC34">
            <v>4.1135004707086309E-2</v>
          </cell>
          <cell r="AD34">
            <v>6.462660081609406E-2</v>
          </cell>
          <cell r="AE34">
            <v>9.992030998266932E-2</v>
          </cell>
        </row>
        <row r="35">
          <cell r="D35" t="str">
            <v>EUR</v>
          </cell>
          <cell r="N35" t="str">
            <v/>
          </cell>
          <cell r="O35">
            <v>4.5497334759936336E-4</v>
          </cell>
          <cell r="P35">
            <v>1.22308070448085E-3</v>
          </cell>
          <cell r="Q35">
            <v>3.7927823407388761E-3</v>
          </cell>
          <cell r="R35">
            <v>8.2859042324988641E-3</v>
          </cell>
          <cell r="S35" t="str">
            <v/>
          </cell>
          <cell r="T35">
            <v>1.9878731060564148E-2</v>
          </cell>
          <cell r="U35">
            <v>3.5236478943504235E-2</v>
          </cell>
          <cell r="V35">
            <v>6.4703833634608743E-2</v>
          </cell>
          <cell r="W35" t="str">
            <v/>
          </cell>
          <cell r="X35">
            <v>5.3826529594969141E-4</v>
          </cell>
          <cell r="Y35">
            <v>1.3895296532399071E-3</v>
          </cell>
          <cell r="Z35">
            <v>4.124796074582493E-3</v>
          </cell>
          <cell r="AA35">
            <v>8.7816373367883838E-3</v>
          </cell>
          <cell r="AB35" t="str">
            <v/>
          </cell>
          <cell r="AC35">
            <v>2.084471629135054E-2</v>
          </cell>
          <cell r="AD35">
            <v>3.6953075360384835E-2</v>
          </cell>
          <cell r="AE35">
            <v>6.7827522129052076E-2</v>
          </cell>
        </row>
        <row r="36">
          <cell r="D36" t="str">
            <v>EUR</v>
          </cell>
          <cell r="N36" t="str">
            <v/>
          </cell>
          <cell r="O36">
            <v>8.1880333056005838E-4</v>
          </cell>
          <cell r="P36">
            <v>3.8552962201567897E-3</v>
          </cell>
          <cell r="Q36">
            <v>1.1352557429629706E-2</v>
          </cell>
          <cell r="R36">
            <v>2.3139978930085126E-2</v>
          </cell>
          <cell r="S36" t="str">
            <v/>
          </cell>
          <cell r="T36">
            <v>5.8046686224654032E-2</v>
          </cell>
          <cell r="U36">
            <v>9.951996128383811E-2</v>
          </cell>
          <cell r="V36">
            <v>0.16794297561895999</v>
          </cell>
          <cell r="W36" t="str">
            <v/>
          </cell>
          <cell r="X36">
            <v>9.0206496099309863E-4</v>
          </cell>
          <cell r="Y36">
            <v>4.0379060094440922E-3</v>
          </cell>
          <cell r="Z36">
            <v>1.1916540730114944E-2</v>
          </cell>
          <cell r="AA36">
            <v>2.4285142542896931E-2</v>
          </cell>
          <cell r="AB36" t="str">
            <v/>
          </cell>
          <cell r="AC36">
            <v>6.0871854647292278E-2</v>
          </cell>
          <cell r="AD36">
            <v>0.10428314252574489</v>
          </cell>
          <cell r="AE36">
            <v>0.17576377808950894</v>
          </cell>
        </row>
        <row r="37">
          <cell r="D37" t="str">
            <v>EUR</v>
          </cell>
          <cell r="N37" t="str">
            <v/>
          </cell>
          <cell r="O37">
            <v>4.5497334759936336E-4</v>
          </cell>
          <cell r="P37">
            <v>1.0468631450375465E-3</v>
          </cell>
          <cell r="Q37">
            <v>4.1480051453959277E-3</v>
          </cell>
          <cell r="R37">
            <v>8.2758480360302089E-3</v>
          </cell>
          <cell r="S37" t="str">
            <v/>
          </cell>
          <cell r="T37">
            <v>1.9868489015620661E-2</v>
          </cell>
          <cell r="U37">
            <v>3.2621847597286258E-2</v>
          </cell>
          <cell r="V37">
            <v>5.7323262221941729E-2</v>
          </cell>
          <cell r="W37" t="str">
            <v/>
          </cell>
          <cell r="X37">
            <v>5.3826529594969141E-4</v>
          </cell>
          <cell r="Y37">
            <v>1.2133414609432069E-3</v>
          </cell>
          <cell r="Z37">
            <v>4.4799004913916862E-3</v>
          </cell>
          <cell r="AA37">
            <v>8.7715861671472384E-3</v>
          </cell>
          <cell r="AB37" t="str">
            <v/>
          </cell>
          <cell r="AC37">
            <v>2.083443770740312E-2</v>
          </cell>
          <cell r="AD37">
            <v>3.4211302515329001E-2</v>
          </cell>
          <cell r="AE37">
            <v>6.0096335129151357E-2</v>
          </cell>
        </row>
        <row r="38">
          <cell r="D38" t="str">
            <v>EUR</v>
          </cell>
          <cell r="N38" t="str">
            <v/>
          </cell>
          <cell r="O38">
            <v>9.0974018358735975E-4</v>
          </cell>
          <cell r="P38">
            <v>2.2688184468088179E-3</v>
          </cell>
          <cell r="Q38">
            <v>7.9289656868778424E-3</v>
          </cell>
          <cell r="R38">
            <v>1.7569404102357966E-2</v>
          </cell>
          <cell r="S38" t="str">
            <v/>
          </cell>
          <cell r="T38">
            <v>4.3800100845637679E-2</v>
          </cell>
          <cell r="U38">
            <v>7.7924378492666757E-2</v>
          </cell>
          <cell r="V38">
            <v>0.12817193182544928</v>
          </cell>
          <cell r="W38" t="str">
            <v/>
          </cell>
          <cell r="X38">
            <v>9.9299423627774441E-4</v>
          </cell>
          <cell r="Y38">
            <v>2.4350931204583093E-3</v>
          </cell>
          <cell r="Z38">
            <v>8.3091867030128386E-3</v>
          </cell>
          <cell r="AA38">
            <v>1.8439389113530491E-2</v>
          </cell>
          <cell r="AB38" t="str">
            <v/>
          </cell>
          <cell r="AC38">
            <v>4.5945087615335112E-2</v>
          </cell>
          <cell r="AD38">
            <v>8.1691386767981267E-2</v>
          </cell>
          <cell r="AE38">
            <v>0.13424305991243224</v>
          </cell>
        </row>
        <row r="39">
          <cell r="D39" t="str">
            <v>EUR</v>
          </cell>
          <cell r="N39" t="str">
            <v/>
          </cell>
          <cell r="O39">
            <v>1.7368863343264485E-3</v>
          </cell>
          <cell r="P39">
            <v>3.796665556997092E-3</v>
          </cell>
          <cell r="Q39">
            <v>9.9741272488907962E-3</v>
          </cell>
          <cell r="R39">
            <v>1.7807357394513113E-2</v>
          </cell>
          <cell r="S39" t="str">
            <v/>
          </cell>
          <cell r="T39">
            <v>3.6501573356131356E-2</v>
          </cell>
          <cell r="U39">
            <v>5.6094513963189763E-2</v>
          </cell>
          <cell r="V39">
            <v>8.5082667437420101E-2</v>
          </cell>
          <cell r="W39" t="str">
            <v/>
          </cell>
          <cell r="X39">
            <v>1.8200714610301372E-3</v>
          </cell>
          <cell r="Y39">
            <v>3.9776260583517242E-3</v>
          </cell>
          <cell r="Z39">
            <v>1.0454173376568399E-2</v>
          </cell>
          <cell r="AA39">
            <v>1.8691785719074261E-2</v>
          </cell>
          <cell r="AB39" t="str">
            <v/>
          </cell>
          <cell r="AC39">
            <v>3.8295701213610256E-2</v>
          </cell>
          <cell r="AD39">
            <v>5.8826710095371548E-2</v>
          </cell>
          <cell r="AE39">
            <v>8.9157122626988494E-2</v>
          </cell>
        </row>
        <row r="40">
          <cell r="D40" t="str">
            <v>EUR</v>
          </cell>
          <cell r="N40" t="str">
            <v/>
          </cell>
          <cell r="O40">
            <v>3.6399520350638426E-4</v>
          </cell>
          <cell r="P40">
            <v>1.2252857733764388E-3</v>
          </cell>
          <cell r="Q40">
            <v>4.14415820314884E-3</v>
          </cell>
          <cell r="R40">
            <v>9.8640896694566216E-3</v>
          </cell>
          <cell r="S40" t="str">
            <v/>
          </cell>
          <cell r="T40">
            <v>2.4218797781871082E-2</v>
          </cell>
          <cell r="U40">
            <v>4.3737137337015008E-2</v>
          </cell>
          <cell r="V40">
            <v>7.6304917747906598E-2</v>
          </cell>
          <cell r="W40" t="str">
            <v/>
          </cell>
          <cell r="X40">
            <v>4.4729473304006007E-4</v>
          </cell>
          <cell r="Y40">
            <v>1.3917343546390182E-3</v>
          </cell>
          <cell r="Z40">
            <v>4.4760548312168247E-3</v>
          </cell>
          <cell r="AA40">
            <v>1.0359033878251878E-2</v>
          </cell>
          <cell r="AB40" t="str">
            <v/>
          </cell>
          <cell r="AC40">
            <v>2.5404044300488704E-2</v>
          </cell>
          <cell r="AD40">
            <v>4.5871713486373311E-2</v>
          </cell>
          <cell r="AE40">
            <v>7.9978146717757936E-2</v>
          </cell>
        </row>
        <row r="41">
          <cell r="D41" t="str">
            <v>EUR</v>
          </cell>
          <cell r="N41" t="str">
            <v/>
          </cell>
          <cell r="O41">
            <v>8.1880333056005838E-4</v>
          </cell>
          <cell r="P41">
            <v>3.1513418086189793E-3</v>
          </cell>
          <cell r="Q41">
            <v>1.2073836081437195E-2</v>
          </cell>
          <cell r="R41">
            <v>2.1023894173628044E-2</v>
          </cell>
          <cell r="S41" t="str">
            <v/>
          </cell>
          <cell r="T41">
            <v>5.0307695747634162E-2</v>
          </cell>
          <cell r="U41">
            <v>8.5454729082509173E-2</v>
          </cell>
          <cell r="V41">
            <v>0.1421159909823666</v>
          </cell>
          <cell r="W41" t="str">
            <v/>
          </cell>
          <cell r="X41">
            <v>9.0206496099309863E-4</v>
          </cell>
          <cell r="Y41">
            <v>3.3174694073021538E-3</v>
          </cell>
          <cell r="Z41">
            <v>1.2672965363681787E-2</v>
          </cell>
          <cell r="AA41">
            <v>2.2064079220928678E-2</v>
          </cell>
          <cell r="AB41" t="str">
            <v/>
          </cell>
          <cell r="AC41">
            <v>5.2763099044438433E-2</v>
          </cell>
          <cell r="AD41">
            <v>8.9567298695792386E-2</v>
          </cell>
          <cell r="AE41">
            <v>0.14880095065230736</v>
          </cell>
        </row>
        <row r="42">
          <cell r="D42" t="str">
            <v>EUR</v>
          </cell>
          <cell r="N42" t="str">
            <v/>
          </cell>
          <cell r="O42">
            <v>3.0030558705684829E-4</v>
          </cell>
          <cell r="P42">
            <v>1.596866988454515E-3</v>
          </cell>
          <cell r="Q42">
            <v>5.6682974491331084E-3</v>
          </cell>
          <cell r="R42">
            <v>1.1264968708774803E-2</v>
          </cell>
          <cell r="S42" t="str">
            <v/>
          </cell>
          <cell r="T42">
            <v>2.5808507296589012E-2</v>
          </cell>
          <cell r="U42">
            <v>4.1408979658676071E-2</v>
          </cell>
          <cell r="V42">
            <v>6.4675554956267312E-2</v>
          </cell>
          <cell r="W42" t="str">
            <v/>
          </cell>
          <cell r="X42">
            <v>3.836104238418292E-4</v>
          </cell>
          <cell r="Y42">
            <v>1.7632536446817726E-3</v>
          </cell>
          <cell r="Z42">
            <v>5.9996861154508752E-3</v>
          </cell>
          <cell r="AA42">
            <v>1.1803682487969591E-2</v>
          </cell>
          <cell r="AB42" t="str">
            <v/>
          </cell>
          <cell r="AC42">
            <v>2.7077422473698931E-2</v>
          </cell>
          <cell r="AD42">
            <v>4.3435303815706816E-2</v>
          </cell>
          <cell r="AE42">
            <v>6.7803475265220681E-2</v>
          </cell>
        </row>
        <row r="43">
          <cell r="D43" t="str">
            <v>EUR</v>
          </cell>
          <cell r="N43" t="str">
            <v/>
          </cell>
          <cell r="O43">
            <v>7.5514262122422515E-4</v>
          </cell>
          <cell r="P43">
            <v>3.0825353567680569E-3</v>
          </cell>
          <cell r="Q43">
            <v>9.7485177859601979E-3</v>
          </cell>
          <cell r="R43">
            <v>1.8032952842390038E-2</v>
          </cell>
          <cell r="S43" t="str">
            <v/>
          </cell>
          <cell r="T43">
            <v>4.0981178403409424E-2</v>
          </cell>
          <cell r="U43">
            <v>6.2719439644113195E-2</v>
          </cell>
          <cell r="V43">
            <v>9.499816934762717E-2</v>
          </cell>
          <cell r="W43" t="str">
            <v/>
          </cell>
          <cell r="X43">
            <v>8.384095564997196E-4</v>
          </cell>
          <cell r="Y43">
            <v>3.2486744222285369E-3</v>
          </cell>
          <cell r="Z43">
            <v>1.0215476268697343E-2</v>
          </cell>
          <cell r="AA43">
            <v>1.8926800156382151E-2</v>
          </cell>
          <cell r="AB43" t="str">
            <v/>
          </cell>
          <cell r="AC43">
            <v>4.2990491991359181E-2</v>
          </cell>
          <cell r="AD43">
            <v>6.5765055488747781E-2</v>
          </cell>
          <cell r="AE43">
            <v>9.9524153163218831E-2</v>
          </cell>
        </row>
        <row r="44">
          <cell r="D44" t="str">
            <v>EUR</v>
          </cell>
          <cell r="N44" t="str">
            <v/>
          </cell>
          <cell r="O44">
            <v>1.091589126235637E-3</v>
          </cell>
          <cell r="P44">
            <v>2.4403751962409626E-3</v>
          </cell>
          <cell r="Q44">
            <v>6.1759743229057307E-3</v>
          </cell>
          <cell r="R44">
            <v>1.182331345228449E-2</v>
          </cell>
          <cell r="S44" t="str">
            <v/>
          </cell>
          <cell r="T44">
            <v>2.3006925330789962E-2</v>
          </cell>
          <cell r="U44">
            <v>3.9615615112190361E-2</v>
          </cell>
          <cell r="V44">
            <v>7.0858973190475516E-2</v>
          </cell>
          <cell r="W44" t="str">
            <v/>
          </cell>
          <cell r="X44">
            <v>1.1748280254821886E-3</v>
          </cell>
          <cell r="Y44">
            <v>2.6066212794906285E-3</v>
          </cell>
          <cell r="Z44">
            <v>6.5071937918369516E-3</v>
          </cell>
          <cell r="AA44">
            <v>1.2391351720379862E-2</v>
          </cell>
          <cell r="AB44" t="str">
            <v/>
          </cell>
          <cell r="AC44">
            <v>2.4142098903175979E-2</v>
          </cell>
          <cell r="AD44">
            <v>4.155896419709193E-2</v>
          </cell>
          <cell r="AE44">
            <v>7.4284813520103188E-2</v>
          </cell>
        </row>
        <row r="45">
          <cell r="D45" t="str">
            <v>EUR</v>
          </cell>
          <cell r="N45" t="str">
            <v/>
          </cell>
          <cell r="O45">
            <v>3.6399520350638426E-4</v>
          </cell>
          <cell r="P45">
            <v>1.5776928696848991E-3</v>
          </cell>
          <cell r="Q45">
            <v>4.8300036012460801E-3</v>
          </cell>
          <cell r="R45">
            <v>9.2884024454689129E-3</v>
          </cell>
          <cell r="S45" t="str">
            <v/>
          </cell>
          <cell r="T45">
            <v>2.3318205393211722E-2</v>
          </cell>
          <cell r="U45">
            <v>4.1227922052438193E-2</v>
          </cell>
          <cell r="V45">
            <v>7.0995920051109107E-2</v>
          </cell>
          <cell r="W45" t="str">
            <v/>
          </cell>
          <cell r="X45">
            <v>4.4729473304006007E-4</v>
          </cell>
          <cell r="Y45">
            <v>1.7440827213339727E-3</v>
          </cell>
          <cell r="Z45">
            <v>5.161671652306743E-3</v>
          </cell>
          <cell r="AA45">
            <v>9.7836344259344399E-3</v>
          </cell>
          <cell r="AB45" t="str">
            <v/>
          </cell>
          <cell r="AC45">
            <v>2.4459491485208651E-2</v>
          </cell>
          <cell r="AD45">
            <v>4.3241309958970908E-2</v>
          </cell>
          <cell r="AE45">
            <v>7.4420355272975192E-2</v>
          </cell>
        </row>
        <row r="46">
          <cell r="D46" t="str">
            <v>EUR</v>
          </cell>
          <cell r="N46" t="str">
            <v/>
          </cell>
          <cell r="O46">
            <v>1.6823702585243572E-3</v>
          </cell>
          <cell r="P46">
            <v>3.6045727340642264E-3</v>
          </cell>
          <cell r="Q46">
            <v>9.634907095922185E-3</v>
          </cell>
          <cell r="R46">
            <v>1.6671781665576368E-2</v>
          </cell>
          <cell r="S46" t="str">
            <v/>
          </cell>
          <cell r="T46">
            <v>3.4845552987327388E-2</v>
          </cell>
          <cell r="U46">
            <v>5.4474159079863083E-2</v>
          </cell>
          <cell r="V46">
            <v>8.376227017791249E-2</v>
          </cell>
          <cell r="W46" t="str">
            <v/>
          </cell>
          <cell r="X46">
            <v>1.7655599280550494E-3</v>
          </cell>
          <cell r="Y46">
            <v>3.7764361216300335E-3</v>
          </cell>
          <cell r="Z46">
            <v>1.0098619486633931E-2</v>
          </cell>
          <cell r="AA46">
            <v>1.7500104353354362E-2</v>
          </cell>
          <cell r="AB46" t="str">
            <v/>
          </cell>
          <cell r="AC46">
            <v>3.6559669790598881E-2</v>
          </cell>
          <cell r="AD46">
            <v>5.7130193277003749E-2</v>
          </cell>
          <cell r="AE46">
            <v>8.7778327178414051E-2</v>
          </cell>
        </row>
        <row r="47">
          <cell r="D47" t="str">
            <v>EUR</v>
          </cell>
          <cell r="N47" t="str">
            <v/>
          </cell>
          <cell r="O47">
            <v>4.5497334759936336E-4</v>
          </cell>
          <cell r="P47">
            <v>1.22308070448085E-3</v>
          </cell>
          <cell r="Q47">
            <v>3.7927823407388761E-3</v>
          </cell>
          <cell r="R47">
            <v>7.7549655934833206E-3</v>
          </cell>
          <cell r="S47" t="str">
            <v/>
          </cell>
          <cell r="T47">
            <v>2.0812092459711939E-2</v>
          </cell>
          <cell r="U47">
            <v>3.7785960948203301E-2</v>
          </cell>
          <cell r="V47">
            <v>7.00726223555318E-2</v>
          </cell>
          <cell r="W47" t="str">
            <v/>
          </cell>
          <cell r="X47">
            <v>5.3826529594969141E-4</v>
          </cell>
          <cell r="Y47">
            <v>1.3895296532399071E-3</v>
          </cell>
          <cell r="Z47">
            <v>4.124796074582493E-3</v>
          </cell>
          <cell r="AA47">
            <v>8.2509641007361134E-3</v>
          </cell>
          <cell r="AB47" t="str">
            <v/>
          </cell>
          <cell r="AC47">
            <v>2.1822062752955174E-2</v>
          </cell>
          <cell r="AD47">
            <v>3.9624826189818441E-2</v>
          </cell>
          <cell r="AE47">
            <v>7.3448030243814966E-2</v>
          </cell>
        </row>
        <row r="48">
          <cell r="D48" t="str">
            <v>EUR</v>
          </cell>
          <cell r="N48" t="str">
            <v/>
          </cell>
          <cell r="O48">
            <v>1.0006687817649684E-3</v>
          </cell>
          <cell r="P48">
            <v>2.7947261130725209E-3</v>
          </cell>
          <cell r="Q48">
            <v>6.8627399723123483E-3</v>
          </cell>
          <cell r="R48">
            <v>1.4426279597449798E-2</v>
          </cell>
          <cell r="S48" t="str">
            <v/>
          </cell>
          <cell r="T48">
            <v>3.3446830042253239E-2</v>
          </cell>
          <cell r="U48">
            <v>5.5042694798059455E-2</v>
          </cell>
          <cell r="V48">
            <v>9.5689283925012969E-2</v>
          </cell>
          <cell r="W48" t="str">
            <v/>
          </cell>
          <cell r="X48">
            <v>1.0839152573786093E-3</v>
          </cell>
          <cell r="Y48">
            <v>2.9609131427482671E-3</v>
          </cell>
          <cell r="Z48">
            <v>7.1937305574995003E-3</v>
          </cell>
          <cell r="AA48">
            <v>1.5141808937246259E-2</v>
          </cell>
          <cell r="AB48" t="str">
            <v/>
          </cell>
          <cell r="AC48">
            <v>3.5092281328373387E-2</v>
          </cell>
          <cell r="AD48">
            <v>5.7727329848833109E-2</v>
          </cell>
          <cell r="AE48">
            <v>0.10028691265730771</v>
          </cell>
        </row>
        <row r="49">
          <cell r="D49" t="str">
            <v>EUR</v>
          </cell>
          <cell r="N49" t="str">
            <v/>
          </cell>
          <cell r="O49">
            <v>6.3690485549472431E-4</v>
          </cell>
          <cell r="P49">
            <v>1.5710306083301928E-3</v>
          </cell>
          <cell r="Q49">
            <v>4.4742758268462302E-3</v>
          </cell>
          <cell r="R49">
            <v>9.2978809822560349E-3</v>
          </cell>
          <cell r="S49" t="str">
            <v/>
          </cell>
          <cell r="T49">
            <v>2.5114176488660989E-2</v>
          </cell>
          <cell r="U49">
            <v>4.3646006655868264E-2</v>
          </cell>
          <cell r="V49">
            <v>7.6213532312441767E-2</v>
          </cell>
          <cell r="W49" t="str">
            <v/>
          </cell>
          <cell r="X49">
            <v>7.2018164349907376E-4</v>
          </cell>
          <cell r="Y49">
            <v>1.7374215702635754E-3</v>
          </cell>
          <cell r="Z49">
            <v>4.806062434074998E-3</v>
          </cell>
          <cell r="AA49">
            <v>9.7931082246366374E-3</v>
          </cell>
          <cell r="AB49" t="str">
            <v/>
          </cell>
          <cell r="AC49">
            <v>2.634301941017192E-2</v>
          </cell>
          <cell r="AD49">
            <v>4.5775805220933607E-2</v>
          </cell>
          <cell r="AE49">
            <v>7.9881565756046213E-2</v>
          </cell>
        </row>
        <row r="50">
          <cell r="D50" t="str">
            <v>EUR</v>
          </cell>
          <cell r="N50" t="str">
            <v/>
          </cell>
          <cell r="O50">
            <v>1.091589126235637E-3</v>
          </cell>
          <cell r="P50">
            <v>4.2001698315580205E-3</v>
          </cell>
          <cell r="Q50">
            <v>1.3068870024125601E-2</v>
          </cell>
          <cell r="R50">
            <v>2.7763502399817952E-2</v>
          </cell>
          <cell r="S50" t="str">
            <v/>
          </cell>
          <cell r="T50">
            <v>6.8016892681860397E-2</v>
          </cell>
          <cell r="U50">
            <v>0.11274648055444325</v>
          </cell>
          <cell r="V50">
            <v>0.18360889151904602</v>
          </cell>
          <cell r="W50" t="str">
            <v/>
          </cell>
          <cell r="X50">
            <v>1.1748280254821886E-3</v>
          </cell>
          <cell r="Y50">
            <v>4.3993098829216981E-3</v>
          </cell>
          <cell r="Z50">
            <v>1.3718142650883225E-2</v>
          </cell>
          <cell r="AA50">
            <v>2.9135686797522653E-2</v>
          </cell>
          <cell r="AB50" t="str">
            <v/>
          </cell>
          <cell r="AC50">
            <v>7.1311842645118362E-2</v>
          </cell>
          <cell r="AD50">
            <v>0.11812911269853743</v>
          </cell>
          <cell r="AE50">
            <v>0.1920711868703221</v>
          </cell>
        </row>
        <row r="51">
          <cell r="D51" t="str">
            <v>EUR</v>
          </cell>
          <cell r="N51" t="str">
            <v/>
          </cell>
          <cell r="O51">
            <v>5.4594323121426314E-4</v>
          </cell>
          <cell r="P51">
            <v>1.2208758015412879E-3</v>
          </cell>
          <cell r="Q51">
            <v>4.1396751096509643E-3</v>
          </cell>
          <cell r="R51">
            <v>9.3288988610895629E-3</v>
          </cell>
          <cell r="S51" t="str">
            <v/>
          </cell>
          <cell r="T51">
            <v>2.4253086792053069E-2</v>
          </cell>
          <cell r="U51">
            <v>4.2474741666260529E-2</v>
          </cell>
          <cell r="V51">
            <v>7.6521608597956869E-2</v>
          </cell>
          <cell r="W51" t="str">
            <v/>
          </cell>
          <cell r="X51">
            <v>6.2922759904748826E-4</v>
          </cell>
          <cell r="Y51">
            <v>1.3873251177468626E-3</v>
          </cell>
          <cell r="Z51">
            <v>4.471573231844661E-3</v>
          </cell>
          <cell r="AA51">
            <v>9.8241105984022692E-3</v>
          </cell>
          <cell r="AB51" t="str">
            <v/>
          </cell>
          <cell r="AC51">
            <v>2.5438335363284215E-2</v>
          </cell>
          <cell r="AD51">
            <v>4.4546570276533193E-2</v>
          </cell>
          <cell r="AE51">
            <v>8.0203523225932272E-2</v>
          </cell>
        </row>
        <row r="52">
          <cell r="D52" t="str">
            <v>EUR</v>
          </cell>
          <cell r="N52" t="str">
            <v/>
          </cell>
          <cell r="O52">
            <v>6.3690485549472431E-4</v>
          </cell>
          <cell r="P52">
            <v>1.3948581478229194E-3</v>
          </cell>
          <cell r="Q52">
            <v>3.7822495418606827E-3</v>
          </cell>
          <cell r="R52">
            <v>8.8060186156978526E-3</v>
          </cell>
          <cell r="S52" t="str">
            <v/>
          </cell>
          <cell r="T52">
            <v>2.430013823796684E-2</v>
          </cell>
          <cell r="U52">
            <v>4.3819616029275199E-2</v>
          </cell>
          <cell r="V52">
            <v>7.830462618312195E-2</v>
          </cell>
          <cell r="W52" t="str">
            <v/>
          </cell>
          <cell r="X52">
            <v>7.2018164349907376E-4</v>
          </cell>
          <cell r="Y52">
            <v>1.5612784693798121E-3</v>
          </cell>
          <cell r="Z52">
            <v>4.1142667860674109E-3</v>
          </cell>
          <cell r="AA52">
            <v>9.3014917277863818E-3</v>
          </cell>
          <cell r="AB52" t="str">
            <v/>
          </cell>
          <cell r="AC52">
            <v>2.5485439191089809E-2</v>
          </cell>
          <cell r="AD52">
            <v>4.5954611780388732E-2</v>
          </cell>
          <cell r="AE52">
            <v>8.2068216850219144E-2</v>
          </cell>
        </row>
        <row r="53">
          <cell r="D53" t="str">
            <v>EUR</v>
          </cell>
          <cell r="N53" t="str">
            <v/>
          </cell>
          <cell r="O53">
            <v>3.6399520350638426E-4</v>
          </cell>
          <cell r="P53">
            <v>1.049060286898551E-3</v>
          </cell>
          <cell r="Q53">
            <v>3.4518609824072399E-3</v>
          </cell>
          <cell r="R53">
            <v>7.2484136290769108E-3</v>
          </cell>
          <cell r="S53" t="str">
            <v/>
          </cell>
          <cell r="T53">
            <v>1.818919910151906E-2</v>
          </cell>
          <cell r="U53">
            <v>2.9003784463356164E-2</v>
          </cell>
          <cell r="V53">
            <v>5.0396665974648425E-2</v>
          </cell>
          <cell r="W53" t="str">
            <v/>
          </cell>
          <cell r="X53">
            <v>4.4729473304006007E-4</v>
          </cell>
          <cell r="Y53">
            <v>1.2155382366452194E-3</v>
          </cell>
          <cell r="Z53">
            <v>3.7839883377916994E-3</v>
          </cell>
          <cell r="AA53">
            <v>7.7446653490090833E-3</v>
          </cell>
          <cell r="AB53" t="str">
            <v/>
          </cell>
          <cell r="AC53">
            <v>1.9047907812442699E-2</v>
          </cell>
          <cell r="AD53">
            <v>3.0413606826250938E-2</v>
          </cell>
          <cell r="AE53">
            <v>5.2836538853544446E-2</v>
          </cell>
        </row>
        <row r="54">
          <cell r="D54" t="str">
            <v>EUR</v>
          </cell>
          <cell r="N54" t="str">
            <v/>
          </cell>
          <cell r="O54">
            <v>5.4594323121426314E-4</v>
          </cell>
          <cell r="P54">
            <v>1.9255681029851646E-3</v>
          </cell>
          <cell r="Q54">
            <v>6.2083384455808854E-3</v>
          </cell>
          <cell r="R54">
            <v>1.2915495504465024E-2</v>
          </cell>
          <cell r="S54" t="str">
            <v/>
          </cell>
          <cell r="T54">
            <v>2.9200488811569114E-2</v>
          </cell>
          <cell r="U54">
            <v>5.0563243889938492E-2</v>
          </cell>
          <cell r="V54">
            <v>8.573277785548572E-2</v>
          </cell>
          <cell r="W54" t="str">
            <v/>
          </cell>
          <cell r="X54">
            <v>6.2922759904748826E-4</v>
          </cell>
          <cell r="Y54">
            <v>2.0918999802571614E-3</v>
          </cell>
          <cell r="Z54">
            <v>6.5395471282390094E-3</v>
          </cell>
          <cell r="AA54">
            <v>1.3552649121470695E-2</v>
          </cell>
          <cell r="AB54" t="str">
            <v/>
          </cell>
          <cell r="AC54">
            <v>3.0635872746199277E-2</v>
          </cell>
          <cell r="AD54">
            <v>5.3031418239175676E-2</v>
          </cell>
          <cell r="AE54">
            <v>8.9846138559902311E-2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2.4539338382131293E-3</v>
          </cell>
          <cell r="Q55">
            <v>7.2352121625699484E-3</v>
          </cell>
          <cell r="R55">
            <v>1.390484410560977E-2</v>
          </cell>
          <cell r="S55" t="str">
            <v/>
          </cell>
          <cell r="T55">
            <v>3.082919296450648E-2</v>
          </cell>
          <cell r="U55">
            <v>5.2801218963714702E-2</v>
          </cell>
          <cell r="V55">
            <v>8.8827471414386849E-2</v>
          </cell>
          <cell r="W55" t="str">
            <v/>
          </cell>
          <cell r="X55">
            <v>6.2922759904748826E-4</v>
          </cell>
          <cell r="Y55">
            <v>2.6201776618682837E-3</v>
          </cell>
          <cell r="Z55">
            <v>7.5826190385611669E-3</v>
          </cell>
          <cell r="AA55">
            <v>1.4593421326407063E-2</v>
          </cell>
          <cell r="AB55" t="str">
            <v/>
          </cell>
          <cell r="AC55">
            <v>3.2346110119797933E-2</v>
          </cell>
          <cell r="AD55">
            <v>5.5378194218872467E-2</v>
          </cell>
          <cell r="AE55">
            <v>9.3084071555003867E-2</v>
          </cell>
        </row>
        <row r="56">
          <cell r="D56" t="str">
            <v>EUR</v>
          </cell>
          <cell r="N56" t="str">
            <v/>
          </cell>
          <cell r="O56">
            <v>4.5497334759936336E-4</v>
          </cell>
          <cell r="P56">
            <v>1.3992836384263407E-3</v>
          </cell>
          <cell r="Q56">
            <v>4.8338786310909709E-3</v>
          </cell>
          <cell r="R56">
            <v>1.1413695955712733E-2</v>
          </cell>
          <cell r="S56" t="str">
            <v/>
          </cell>
          <cell r="T56">
            <v>3.0300515873449063E-2</v>
          </cell>
          <cell r="U56">
            <v>5.1971616231201723E-2</v>
          </cell>
          <cell r="V56">
            <v>9.13775850537627E-2</v>
          </cell>
          <cell r="W56" t="str">
            <v/>
          </cell>
          <cell r="X56">
            <v>5.3826529594969141E-4</v>
          </cell>
          <cell r="Y56">
            <v>1.5657032224634104E-3</v>
          </cell>
          <cell r="Z56">
            <v>5.1655453906920279E-3</v>
          </cell>
          <cell r="AA56">
            <v>1.1957268926647835E-2</v>
          </cell>
          <cell r="AB56" t="str">
            <v/>
          </cell>
          <cell r="AC56">
            <v>3.1787008413523887E-2</v>
          </cell>
          <cell r="AD56">
            <v>5.4505617864190392E-2</v>
          </cell>
          <cell r="AE56">
            <v>9.5750677601859735E-2</v>
          </cell>
        </row>
        <row r="57">
          <cell r="D57" t="str">
            <v>EUR</v>
          </cell>
          <cell r="N57" t="str">
            <v/>
          </cell>
          <cell r="O57">
            <v>1.091589126235637E-3</v>
          </cell>
          <cell r="P57">
            <v>2.9684668899444544E-3</v>
          </cell>
          <cell r="Q57">
            <v>9.639264859510388E-3</v>
          </cell>
          <cell r="R57">
            <v>1.7980368078696074E-2</v>
          </cell>
          <cell r="S57" t="str">
            <v/>
          </cell>
          <cell r="T57">
            <v>3.8332173058903574E-2</v>
          </cell>
          <cell r="U57">
            <v>6.1735106566651488E-2</v>
          </cell>
          <cell r="V57">
            <v>0.10487890499540853</v>
          </cell>
          <cell r="W57" t="str">
            <v/>
          </cell>
          <cell r="X57">
            <v>1.1748280254821886E-3</v>
          </cell>
          <cell r="Y57">
            <v>3.1346249652464131E-3</v>
          </cell>
          <cell r="Z57">
            <v>1.0101325380074133E-2</v>
          </cell>
          <cell r="AA57">
            <v>1.8871846988310681E-2</v>
          </cell>
          <cell r="AB57" t="str">
            <v/>
          </cell>
          <cell r="AC57">
            <v>4.021360636905269E-2</v>
          </cell>
          <cell r="AD57">
            <v>6.4735240209967682E-2</v>
          </cell>
          <cell r="AE57">
            <v>0.10989174721493034</v>
          </cell>
        </row>
        <row r="58">
          <cell r="D58" t="str">
            <v>EUR</v>
          </cell>
          <cell r="N58" t="str">
            <v/>
          </cell>
          <cell r="O58">
            <v>7.2785822158416558E-4</v>
          </cell>
          <cell r="P58">
            <v>2.2733221545981896E-3</v>
          </cell>
          <cell r="Q58">
            <v>7.9336151113674758E-3</v>
          </cell>
          <cell r="R58">
            <v>1.4930837204146341E-2</v>
          </cell>
          <cell r="S58" t="str">
            <v/>
          </cell>
          <cell r="T58">
            <v>3.2493565565214988E-2</v>
          </cell>
          <cell r="U58">
            <v>5.3785072093279429E-2</v>
          </cell>
          <cell r="V58">
            <v>9.400978733948262E-2</v>
          </cell>
          <cell r="W58" t="str">
            <v/>
          </cell>
          <cell r="X58">
            <v>8.1112743046984903E-4</v>
          </cell>
          <cell r="Y58">
            <v>2.4395960776882886E-3</v>
          </cell>
          <cell r="Z58">
            <v>8.3138343455818609E-3</v>
          </cell>
          <cell r="AA58">
            <v>1.5670094314722882E-2</v>
          </cell>
          <cell r="AB58" t="str">
            <v/>
          </cell>
          <cell r="AC58">
            <v>3.4091122963668896E-2</v>
          </cell>
          <cell r="AD58">
            <v>5.6407790087924625E-2</v>
          </cell>
          <cell r="AE58">
            <v>9.8528367103767778E-2</v>
          </cell>
        </row>
        <row r="59">
          <cell r="D59" t="str">
            <v>EUR</v>
          </cell>
          <cell r="N59" t="str">
            <v/>
          </cell>
          <cell r="O59">
            <v>5.4594323121426314E-4</v>
          </cell>
          <cell r="P59">
            <v>1.5732511946792149E-3</v>
          </cell>
          <cell r="Q59">
            <v>4.4765243018008993E-3</v>
          </cell>
          <cell r="R59">
            <v>8.7695701861891795E-3</v>
          </cell>
          <cell r="S59" t="str">
            <v/>
          </cell>
          <cell r="T59">
            <v>1.8897620666418646E-2</v>
          </cell>
          <cell r="U59">
            <v>3.1333570999939941E-2</v>
          </cell>
          <cell r="V59">
            <v>5.557937210502184E-2</v>
          </cell>
          <cell r="W59" t="str">
            <v/>
          </cell>
          <cell r="X59">
            <v>6.2922759904748826E-4</v>
          </cell>
          <cell r="Y59">
            <v>1.7396417865397362E-3</v>
          </cell>
          <cell r="Z59">
            <v>4.8083101596323452E-3</v>
          </cell>
          <cell r="AA59">
            <v>9.2650615179205031E-3</v>
          </cell>
          <cell r="AB59" t="str">
            <v/>
          </cell>
          <cell r="AC59">
            <v>1.9819398729613691E-2</v>
          </cell>
          <cell r="AD59">
            <v>3.2863730245054956E-2</v>
          </cell>
          <cell r="AE59">
            <v>5.8273162104088172E-2</v>
          </cell>
        </row>
        <row r="60">
          <cell r="D60" t="str">
            <v>EUR</v>
          </cell>
          <cell r="N60" t="str">
            <v/>
          </cell>
          <cell r="O60">
            <v>7.2785822158416558E-4</v>
          </cell>
          <cell r="P60">
            <v>1.9210954044108774E-3</v>
          </cell>
          <cell r="Q60">
            <v>5.5063578023649695E-3</v>
          </cell>
          <cell r="R60">
            <v>9.2342335366527584E-3</v>
          </cell>
          <cell r="S60" t="str">
            <v/>
          </cell>
          <cell r="T60">
            <v>2.0581768758713315E-2</v>
          </cell>
          <cell r="U60">
            <v>3.3650610908335432E-2</v>
          </cell>
          <cell r="V60">
            <v>6.0735416676911291E-2</v>
          </cell>
          <cell r="W60" t="str">
            <v/>
          </cell>
          <cell r="X60">
            <v>8.1112743046984903E-4</v>
          </cell>
          <cell r="Y60">
            <v>2.0874280270694046E-3</v>
          </cell>
          <cell r="Z60">
            <v>5.8378004395733818E-3</v>
          </cell>
          <cell r="AA60">
            <v>9.7294925947858379E-3</v>
          </cell>
          <cell r="AB60" t="str">
            <v/>
          </cell>
          <cell r="AC60">
            <v>2.1591233130506593E-2</v>
          </cell>
          <cell r="AD60">
            <v>3.5298248323500592E-2</v>
          </cell>
          <cell r="AE60">
            <v>6.3678380588906847E-2</v>
          </cell>
        </row>
        <row r="61">
          <cell r="D61" t="str">
            <v>EUR</v>
          </cell>
          <cell r="N61" t="str">
            <v/>
          </cell>
          <cell r="O61">
            <v>4.5497334759936336E-4</v>
          </cell>
          <cell r="P61">
            <v>1.0468631450375465E-3</v>
          </cell>
          <cell r="Q61">
            <v>4.1480051453959277E-3</v>
          </cell>
          <cell r="R61">
            <v>8.8066616088201544E-3</v>
          </cell>
          <cell r="S61" t="str">
            <v/>
          </cell>
          <cell r="T61">
            <v>2.3407259258605095E-2</v>
          </cell>
          <cell r="U61">
            <v>4.0019686370160512E-2</v>
          </cell>
          <cell r="V61">
            <v>6.9344711569797934E-2</v>
          </cell>
          <cell r="W61" t="str">
            <v/>
          </cell>
          <cell r="X61">
            <v>5.3826529594969141E-4</v>
          </cell>
          <cell r="Y61">
            <v>1.2133414609432069E-3</v>
          </cell>
          <cell r="Z61">
            <v>4.4799004913916862E-3</v>
          </cell>
          <cell r="AA61">
            <v>9.3021343994812433E-3</v>
          </cell>
          <cell r="AB61" t="str">
            <v/>
          </cell>
          <cell r="AC61">
            <v>2.4548779384484631E-2</v>
          </cell>
          <cell r="AD61">
            <v>4.1970416001016697E-2</v>
          </cell>
          <cell r="AE61">
            <v>7.2687382407809142E-2</v>
          </cell>
        </row>
        <row r="62">
          <cell r="D62" t="str">
            <v>EUR</v>
          </cell>
          <cell r="N62" t="str">
            <v/>
          </cell>
          <cell r="O62">
            <v>9.0974018358735975E-4</v>
          </cell>
          <cell r="P62">
            <v>2.0927282198391906E-3</v>
          </cell>
          <cell r="Q62">
            <v>5.1468903608948846E-3</v>
          </cell>
          <cell r="R62">
            <v>1.1360432066579995E-2</v>
          </cell>
          <cell r="S62" t="str">
            <v/>
          </cell>
          <cell r="T62">
            <v>2.5789918585153226E-2</v>
          </cell>
          <cell r="U62">
            <v>4.3334101110806933E-2</v>
          </cell>
          <cell r="V62">
            <v>7.9728837003111841E-2</v>
          </cell>
          <cell r="W62" t="str">
            <v/>
          </cell>
          <cell r="X62">
            <v>9.9299423627774441E-4</v>
          </cell>
          <cell r="Y62">
            <v>2.2590322394089313E-3</v>
          </cell>
          <cell r="Z62">
            <v>5.4784528006507349E-3</v>
          </cell>
          <cell r="AA62">
            <v>1.1904034324636936E-2</v>
          </cell>
          <cell r="AB62" t="str">
            <v/>
          </cell>
          <cell r="AC62">
            <v>2.7058408924371946E-2</v>
          </cell>
          <cell r="AD62">
            <v>4.5454292558026799E-2</v>
          </cell>
          <cell r="AE62">
            <v>8.3566198709026818E-2</v>
          </cell>
        </row>
        <row r="63">
          <cell r="D63" t="str">
            <v>EUR</v>
          </cell>
          <cell r="N63" t="str">
            <v/>
          </cell>
          <cell r="O63">
            <v>2.7300879781333443E-4</v>
          </cell>
          <cell r="P63">
            <v>8.7500955172725714E-4</v>
          </cell>
          <cell r="Q63">
            <v>3.4601332404350371E-3</v>
          </cell>
          <cell r="R63">
            <v>7.787933144613457E-3</v>
          </cell>
          <cell r="S63" t="str">
            <v/>
          </cell>
          <cell r="T63">
            <v>1.9950789385299261E-2</v>
          </cell>
          <cell r="U63">
            <v>3.53093489898475E-2</v>
          </cell>
          <cell r="V63">
            <v>5.8986005842569411E-2</v>
          </cell>
          <cell r="W63" t="str">
            <v/>
          </cell>
          <cell r="X63">
            <v>3.5631590924090073E-4</v>
          </cell>
          <cell r="Y63">
            <v>1.0415165074959543E-3</v>
          </cell>
          <cell r="Z63">
            <v>3.7922578388287498E-3</v>
          </cell>
          <cell r="AA63">
            <v>8.2839151722193805E-3</v>
          </cell>
          <cell r="AB63" t="str">
            <v/>
          </cell>
          <cell r="AC63">
            <v>2.0916918588414601E-2</v>
          </cell>
          <cell r="AD63">
            <v>3.7026248151619368E-2</v>
          </cell>
          <cell r="AE63">
            <v>6.1834621281873225E-2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6.725555080222434E-3</v>
          </cell>
          <cell r="S64" t="str">
            <v/>
          </cell>
          <cell r="T64">
            <v>1.7339559318780173E-2</v>
          </cell>
          <cell r="U64">
            <v>2.9140602970117779E-2</v>
          </cell>
          <cell r="V64">
            <v>5.0533927407309553E-2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7.2220681640683404E-3</v>
          </cell>
          <cell r="AB64" t="str">
            <v/>
          </cell>
          <cell r="AC64">
            <v>1.8158101912592928E-2</v>
          </cell>
          <cell r="AD64">
            <v>3.0554806770112908E-2</v>
          </cell>
          <cell r="AE64">
            <v>5.2978428138551026E-2</v>
          </cell>
        </row>
        <row r="65">
          <cell r="D65" t="str">
            <v>EUR</v>
          </cell>
          <cell r="N65" t="str">
            <v/>
          </cell>
          <cell r="O65">
            <v>1.820141294202049E-4</v>
          </cell>
          <cell r="P65">
            <v>8.771990960207976E-4</v>
          </cell>
          <cell r="Q65">
            <v>3.8116198631693576E-3</v>
          </cell>
          <cell r="R65">
            <v>7.2429375975269217E-3</v>
          </cell>
          <cell r="S65" t="str">
            <v/>
          </cell>
          <cell r="T65">
            <v>1.8183613296618106E-2</v>
          </cell>
          <cell r="U65">
            <v>3.0302758921314177E-2</v>
          </cell>
          <cell r="V65">
            <v>5.2155428470148757E-2</v>
          </cell>
          <cell r="W65" t="str">
            <v/>
          </cell>
          <cell r="X65">
            <v>2.6532882340812858E-4</v>
          </cell>
          <cell r="Y65">
            <v>1.0437056869131434E-3</v>
          </cell>
          <cell r="Z65">
            <v>4.1436273189109363E-3</v>
          </cell>
          <cell r="AA65">
            <v>7.73919205476159E-3</v>
          </cell>
          <cell r="AB65" t="str">
            <v/>
          </cell>
          <cell r="AC65">
            <v>1.9042326893026651E-2</v>
          </cell>
          <cell r="AD65">
            <v>3.1776415762290844E-2</v>
          </cell>
          <cell r="AE65">
            <v>5.4679844950740408E-2</v>
          </cell>
        </row>
        <row r="66">
          <cell r="D66" t="str">
            <v>EUR</v>
          </cell>
          <cell r="N66" t="str">
            <v/>
          </cell>
          <cell r="O66">
            <v>7.8242627775704232E-4</v>
          </cell>
          <cell r="P66">
            <v>2.2719709708909352E-3</v>
          </cell>
          <cell r="Q66">
            <v>6.8173408130354218E-3</v>
          </cell>
          <cell r="R66">
            <v>1.2390122317736063E-2</v>
          </cell>
          <cell r="S66" t="str">
            <v/>
          </cell>
          <cell r="T66">
            <v>2.6514724999349371E-2</v>
          </cell>
          <cell r="U66">
            <v>4.2296304451328148E-2</v>
          </cell>
          <cell r="V66">
            <v>6.8078235575103507E-2</v>
          </cell>
          <cell r="W66" t="str">
            <v/>
          </cell>
          <cell r="X66">
            <v>8.6569093948418718E-4</v>
          </cell>
          <cell r="Y66">
            <v>2.4382451191656829E-3</v>
          </cell>
          <cell r="Z66">
            <v>7.1483465287274228E-3</v>
          </cell>
          <cell r="AA66">
            <v>1.2984978050737284E-2</v>
          </cell>
          <cell r="AB66" t="str">
            <v/>
          </cell>
          <cell r="AC66">
            <v>2.7822512504040442E-2</v>
          </cell>
          <cell r="AD66">
            <v>4.4369281250891013E-2</v>
          </cell>
          <cell r="AE66">
            <v>7.1370178577984222E-2</v>
          </cell>
        </row>
        <row r="67">
          <cell r="D67" t="str">
            <v>EUR</v>
          </cell>
          <cell r="N67" t="str">
            <v/>
          </cell>
          <cell r="O67">
            <v>9.0974018358735975E-4</v>
          </cell>
          <cell r="P67">
            <v>3.1490504485182091E-3</v>
          </cell>
          <cell r="Q67">
            <v>8.5936040204396269E-3</v>
          </cell>
          <cell r="R67">
            <v>1.9086543818467749E-2</v>
          </cell>
          <cell r="S67" t="str">
            <v/>
          </cell>
          <cell r="T67">
            <v>4.713463040638588E-2</v>
          </cell>
          <cell r="U67">
            <v>8.2410936273714763E-2</v>
          </cell>
          <cell r="V67">
            <v>0.13977440893517779</v>
          </cell>
          <cell r="W67" t="str">
            <v/>
          </cell>
          <cell r="X67">
            <v>9.9299423627774441E-4</v>
          </cell>
          <cell r="Y67">
            <v>3.3151784290570419E-3</v>
          </cell>
          <cell r="Z67">
            <v>9.0066039711234058E-3</v>
          </cell>
          <cell r="AA67">
            <v>2.0032851202350765E-2</v>
          </cell>
          <cell r="AB67" t="str">
            <v/>
          </cell>
          <cell r="AC67">
            <v>4.9440954646172264E-2</v>
          </cell>
          <cell r="AD67">
            <v>8.6387413233379062E-2</v>
          </cell>
          <cell r="AE67">
            <v>0.14636887138789334</v>
          </cell>
        </row>
        <row r="68">
          <cell r="D68" t="str">
            <v>EUR</v>
          </cell>
          <cell r="N68" t="str">
            <v/>
          </cell>
          <cell r="O68">
            <v>1.5460670821495492E-3</v>
          </cell>
          <cell r="P68">
            <v>3.6608135448706891E-3</v>
          </cell>
          <cell r="Q68">
            <v>9.9494895916775183E-3</v>
          </cell>
          <cell r="R68">
            <v>2.2671330235220832E-2</v>
          </cell>
          <cell r="S68" t="str">
            <v/>
          </cell>
          <cell r="T68">
            <v>5.1127611209701218E-2</v>
          </cell>
          <cell r="U68">
            <v>8.9094048405005011E-2</v>
          </cell>
          <cell r="V68">
            <v>0.15424030285963597</v>
          </cell>
          <cell r="W68" t="str">
            <v/>
          </cell>
          <cell r="X68">
            <v>1.6292681098082351E-3</v>
          </cell>
          <cell r="Y68">
            <v>3.8351576469478621E-3</v>
          </cell>
          <cell r="Z68">
            <v>1.0427898380283018E-2</v>
          </cell>
          <cell r="AA68">
            <v>2.3795558275221063E-2</v>
          </cell>
          <cell r="AB68" t="str">
            <v/>
          </cell>
          <cell r="AC68">
            <v>5.3625281410297654E-2</v>
          </cell>
          <cell r="AD68">
            <v>9.3378589051343663E-2</v>
          </cell>
          <cell r="AE68">
            <v>0.16147528478373419</v>
          </cell>
        </row>
        <row r="69">
          <cell r="D69" t="str">
            <v>EUR</v>
          </cell>
          <cell r="N69" t="str">
            <v/>
          </cell>
          <cell r="O69">
            <v>3.6399520350638426E-4</v>
          </cell>
          <cell r="P69">
            <v>1.5776928696848991E-3</v>
          </cell>
          <cell r="Q69">
            <v>5.1789274143090314E-3</v>
          </cell>
          <cell r="R69">
            <v>1.1393162836942361E-2</v>
          </cell>
          <cell r="S69" t="str">
            <v/>
          </cell>
          <cell r="T69">
            <v>3.0279236395014841E-2</v>
          </cell>
          <cell r="U69">
            <v>5.4531517711678967E-2</v>
          </cell>
          <cell r="V69">
            <v>9.6657308062521041E-2</v>
          </cell>
          <cell r="W69" t="str">
            <v/>
          </cell>
          <cell r="X69">
            <v>4.4729473304006007E-4</v>
          </cell>
          <cell r="Y69">
            <v>1.7440827213339727E-3</v>
          </cell>
          <cell r="Z69">
            <v>5.5104791767930372E-3</v>
          </cell>
          <cell r="AA69">
            <v>1.1936747098001743E-2</v>
          </cell>
          <cell r="AB69" t="str">
            <v/>
          </cell>
          <cell r="AC69">
            <v>3.1765613676495219E-2</v>
          </cell>
          <cell r="AD69">
            <v>5.7189744163863354E-2</v>
          </cell>
          <cell r="AE69">
            <v>0.10130319354670014</v>
          </cell>
        </row>
        <row r="70">
          <cell r="D70" t="str">
            <v>EUR</v>
          </cell>
          <cell r="N70" t="str">
            <v/>
          </cell>
          <cell r="O70">
            <v>1.0461299856532325E-3</v>
          </cell>
          <cell r="P70">
            <v>2.5119262536406062E-3</v>
          </cell>
          <cell r="Q70">
            <v>6.9064452125766618E-3</v>
          </cell>
          <cell r="R70">
            <v>1.2104800199357779E-2</v>
          </cell>
          <cell r="S70" t="str">
            <v/>
          </cell>
          <cell r="T70">
            <v>2.562235794911305E-2</v>
          </cell>
          <cell r="U70">
            <v>4.0963013988627117E-2</v>
          </cell>
          <cell r="V70">
            <v>6.6446447981879708E-2</v>
          </cell>
          <cell r="W70" t="str">
            <v/>
          </cell>
          <cell r="X70">
            <v>1.1293726729973974E-3</v>
          </cell>
          <cell r="Y70">
            <v>2.6781604127020797E-3</v>
          </cell>
          <cell r="Z70">
            <v>7.2390758346858597E-3</v>
          </cell>
          <cell r="AA70">
            <v>1.2687486457871211E-2</v>
          </cell>
          <cell r="AB70" t="str">
            <v/>
          </cell>
          <cell r="AC70">
            <v>2.6887283305251475E-2</v>
          </cell>
          <cell r="AD70">
            <v>4.2972458532456015E-2</v>
          </cell>
          <cell r="AE70">
            <v>6.9662945149016164E-2</v>
          </cell>
        </row>
        <row r="71">
          <cell r="D71" t="str">
            <v>EUR</v>
          </cell>
          <cell r="N71" t="str">
            <v/>
          </cell>
          <cell r="O71">
            <v>6.3690485549472431E-4</v>
          </cell>
          <cell r="P71">
            <v>2.0994602738400037E-3</v>
          </cell>
          <cell r="Q71">
            <v>8.29057853893167E-3</v>
          </cell>
          <cell r="R71">
            <v>1.6508878449327913E-2</v>
          </cell>
          <cell r="S71" t="str">
            <v/>
          </cell>
          <cell r="T71">
            <v>4.0342172031943568E-2</v>
          </cell>
          <cell r="U71">
            <v>6.6904999612623528E-2</v>
          </cell>
          <cell r="V71">
            <v>0.12105373466674663</v>
          </cell>
          <cell r="W71" t="str">
            <v/>
          </cell>
          <cell r="X71">
            <v>7.2018164349907376E-4</v>
          </cell>
          <cell r="Y71">
            <v>2.2657631715060633E-3</v>
          </cell>
          <cell r="Z71">
            <v>8.6871829813273127E-3</v>
          </cell>
          <cell r="AA71">
            <v>1.7325792201715373E-2</v>
          </cell>
          <cell r="AB71" t="str">
            <v/>
          </cell>
          <cell r="AC71">
            <v>4.2319708266551181E-2</v>
          </cell>
          <cell r="AD71">
            <v>7.0150894735711122E-2</v>
          </cell>
          <cell r="AE71">
            <v>0.12681605304300803</v>
          </cell>
        </row>
        <row r="72">
          <cell r="D72" t="str">
            <v>EUR</v>
          </cell>
          <cell r="N72" t="str">
            <v/>
          </cell>
          <cell r="O72">
            <v>3.6399520350638426E-4</v>
          </cell>
          <cell r="P72">
            <v>1.049060286898551E-3</v>
          </cell>
          <cell r="Q72">
            <v>3.8010831333065154E-3</v>
          </cell>
          <cell r="R72">
            <v>7.2323104235898494E-3</v>
          </cell>
          <cell r="S72" t="str">
            <v/>
          </cell>
          <cell r="T72">
            <v>2.0859194367127021E-2</v>
          </cell>
          <cell r="U72">
            <v>3.9134327449110162E-2</v>
          </cell>
          <cell r="V72">
            <v>7.186498170609279E-2</v>
          </cell>
          <cell r="W72" t="str">
            <v/>
          </cell>
          <cell r="X72">
            <v>4.4729473304006007E-4</v>
          </cell>
          <cell r="Y72">
            <v>1.2155382366452194E-3</v>
          </cell>
          <cell r="Z72">
            <v>4.1330941006814115E-3</v>
          </cell>
          <cell r="AA72">
            <v>7.7285701930812634E-3</v>
          </cell>
          <cell r="AB72" t="str">
            <v/>
          </cell>
          <cell r="AC72">
            <v>2.1869210805171124E-2</v>
          </cell>
          <cell r="AD72">
            <v>4.1036690995483904E-2</v>
          </cell>
          <cell r="AE72">
            <v>7.5322965556477661E-2</v>
          </cell>
        </row>
        <row r="73">
          <cell r="D73" t="str">
            <v>EUR</v>
          </cell>
          <cell r="N73" t="str">
            <v/>
          </cell>
          <cell r="O73">
            <v>5.4594323121426314E-4</v>
          </cell>
          <cell r="P73">
            <v>1.9255681029851646E-3</v>
          </cell>
          <cell r="Q73">
            <v>6.9055445682626448E-3</v>
          </cell>
          <cell r="R73">
            <v>1.3411486810679274E-2</v>
          </cell>
          <cell r="S73" t="str">
            <v/>
          </cell>
          <cell r="T73">
            <v>2.9126659298966628E-2</v>
          </cell>
          <cell r="U73">
            <v>4.9197218168044454E-2</v>
          </cell>
          <cell r="V73">
            <v>8.3935762048204188E-2</v>
          </cell>
          <cell r="W73" t="str">
            <v/>
          </cell>
          <cell r="X73">
            <v>6.2922759904748826E-4</v>
          </cell>
          <cell r="Y73">
            <v>2.0918999802571614E-3</v>
          </cell>
          <cell r="Z73">
            <v>7.2365208876083997E-3</v>
          </cell>
          <cell r="AA73">
            <v>1.4074778700198576E-2</v>
          </cell>
          <cell r="AB73" t="str">
            <v/>
          </cell>
          <cell r="AC73">
            <v>3.0559839347729767E-2</v>
          </cell>
          <cell r="AD73">
            <v>5.1600637064358135E-2</v>
          </cell>
          <cell r="AE73">
            <v>8.7966500852328267E-2</v>
          </cell>
        </row>
        <row r="74">
          <cell r="D74" t="str">
            <v>EUR</v>
          </cell>
          <cell r="N74" t="str">
            <v/>
          </cell>
          <cell r="O74">
            <v>1.820141294202049E-4</v>
          </cell>
          <cell r="P74">
            <v>5.2464325736389927E-4</v>
          </cell>
          <cell r="Q74">
            <v>2.0766572004125017E-3</v>
          </cell>
          <cell r="R74">
            <v>4.6772561677747015E-3</v>
          </cell>
          <cell r="S74" t="str">
            <v/>
          </cell>
          <cell r="T74">
            <v>1.1283949410554439E-2</v>
          </cell>
          <cell r="U74">
            <v>2.2149443140687897E-2</v>
          </cell>
          <cell r="V74">
            <v>4.4660071680580171E-2</v>
          </cell>
          <cell r="W74" t="str">
            <v/>
          </cell>
          <cell r="X74">
            <v>2.6532882340812858E-4</v>
          </cell>
          <cell r="Y74">
            <v>6.9120860266258521E-4</v>
          </cell>
          <cell r="Z74">
            <v>2.4092428806611332E-3</v>
          </cell>
          <cell r="AA74">
            <v>5.1747931450948359E-3</v>
          </cell>
          <cell r="AB74" t="str">
            <v/>
          </cell>
          <cell r="AC74">
            <v>1.2107536243861849E-2</v>
          </cell>
          <cell r="AD74">
            <v>2.3289603567435258E-2</v>
          </cell>
          <cell r="AE74">
            <v>4.6768928682261235E-2</v>
          </cell>
        </row>
        <row r="75">
          <cell r="D75" t="str">
            <v>EUR</v>
          </cell>
          <cell r="N75" t="str">
            <v/>
          </cell>
          <cell r="O75">
            <v>8.3699136160342302E-4</v>
          </cell>
          <cell r="P75">
            <v>2.4290942620034395E-3</v>
          </cell>
          <cell r="Q75">
            <v>7.1587706365939807E-3</v>
          </cell>
          <cell r="R75">
            <v>1.2789886515199411E-2</v>
          </cell>
          <cell r="S75" t="str">
            <v/>
          </cell>
          <cell r="T75">
            <v>2.5568271010102284E-2</v>
          </cell>
          <cell r="U75">
            <v>3.9872305823506538E-2</v>
          </cell>
          <cell r="V75">
            <v>6.2691854766758537E-2</v>
          </cell>
          <cell r="W75" t="str">
            <v/>
          </cell>
          <cell r="X75">
            <v>9.2025147644170247E-4</v>
          </cell>
          <cell r="Y75">
            <v>2.5953422252410485E-3</v>
          </cell>
          <cell r="Z75">
            <v>7.502895944260235E-3</v>
          </cell>
          <cell r="AA75">
            <v>1.3423536230496858E-2</v>
          </cell>
          <cell r="AB75" t="str">
            <v/>
          </cell>
          <cell r="AC75">
            <v>2.6828713877645183E-2</v>
          </cell>
          <cell r="AD75">
            <v>4.1826722305969288E-2</v>
          </cell>
          <cell r="AE75">
            <v>6.5728363936027212E-2</v>
          </cell>
        </row>
        <row r="76">
          <cell r="D76" t="str">
            <v>EUR</v>
          </cell>
          <cell r="N76" t="str">
            <v/>
          </cell>
          <cell r="O76">
            <v>2.1819898788055792E-3</v>
          </cell>
          <cell r="P76">
            <v>5.578147893211427E-3</v>
          </cell>
          <cell r="Q76">
            <v>1.6798990526525337E-2</v>
          </cell>
          <cell r="R76">
            <v>3.428933165952408E-2</v>
          </cell>
          <cell r="S76" t="str">
            <v/>
          </cell>
          <cell r="T76">
            <v>8.701196092974639E-2</v>
          </cell>
          <cell r="U76">
            <v>0.1427168712652146</v>
          </cell>
          <cell r="V76">
            <v>0.2277434455915669</v>
          </cell>
          <cell r="W76" t="str">
            <v/>
          </cell>
          <cell r="X76">
            <v>2.2909539277581326E-3</v>
          </cell>
          <cell r="Y76">
            <v>5.843291699695996E-3</v>
          </cell>
          <cell r="Z76">
            <v>1.7632976979662152E-2</v>
          </cell>
          <cell r="AA76">
            <v>3.5979757327312401E-2</v>
          </cell>
          <cell r="AB76" t="str">
            <v/>
          </cell>
          <cell r="AC76">
            <v>9.1218248372817001E-2</v>
          </cell>
          <cell r="AD76">
            <v>0.14943898054058014</v>
          </cell>
          <cell r="AE76">
            <v>0.23799821863066994</v>
          </cell>
        </row>
        <row r="77">
          <cell r="D77" t="str">
            <v>EUR</v>
          </cell>
          <cell r="N77" t="str">
            <v/>
          </cell>
          <cell r="O77">
            <v>5.4594323121426314E-4</v>
          </cell>
          <cell r="P77">
            <v>1.9255681029851646E-3</v>
          </cell>
          <cell r="Q77">
            <v>7.254060569530707E-3</v>
          </cell>
          <cell r="R77">
            <v>1.4453199477767686E-2</v>
          </cell>
          <cell r="S77" t="str">
            <v/>
          </cell>
          <cell r="T77">
            <v>3.436243648487558E-2</v>
          </cell>
          <cell r="U77">
            <v>5.7548334771735266E-2</v>
          </cell>
          <cell r="V77">
            <v>0.10469899063129007</v>
          </cell>
          <cell r="W77" t="str">
            <v/>
          </cell>
          <cell r="X77">
            <v>6.2922759904748826E-4</v>
          </cell>
          <cell r="Y77">
            <v>2.0918999802571614E-3</v>
          </cell>
          <cell r="Z77">
            <v>7.6014608497201319E-3</v>
          </cell>
          <cell r="AA77">
            <v>1.5168069467143441E-2</v>
          </cell>
          <cell r="AB77" t="str">
            <v/>
          </cell>
          <cell r="AC77">
            <v>3.605039110109054E-2</v>
          </cell>
          <cell r="AD77">
            <v>6.0350964126403173E-2</v>
          </cell>
          <cell r="AE77">
            <v>0.10971662942454874</v>
          </cell>
        </row>
        <row r="78">
          <cell r="D78" t="str">
            <v>EUR</v>
          </cell>
          <cell r="N78" t="str">
            <v/>
          </cell>
          <cell r="O78">
            <v>9.0974018358735975E-4</v>
          </cell>
          <cell r="P78">
            <v>2.4448940624895998E-3</v>
          </cell>
          <cell r="Q78">
            <v>7.5743377107447829E-3</v>
          </cell>
          <cell r="R78">
            <v>1.7051586809435415E-2</v>
          </cell>
          <cell r="S78" t="str">
            <v/>
          </cell>
          <cell r="T78">
            <v>4.3853077970212095E-2</v>
          </cell>
          <cell r="U78">
            <v>7.5427026809902875E-2</v>
          </cell>
          <cell r="V78">
            <v>0.12861205673693377</v>
          </cell>
          <cell r="W78" t="str">
            <v/>
          </cell>
          <cell r="X78">
            <v>9.9299423627774441E-4</v>
          </cell>
          <cell r="Y78">
            <v>2.6111393926411264E-3</v>
          </cell>
          <cell r="Z78">
            <v>7.938160415329909E-3</v>
          </cell>
          <cell r="AA78">
            <v>1.7896290573306106E-2</v>
          </cell>
          <cell r="AB78" t="str">
            <v/>
          </cell>
          <cell r="AC78">
            <v>4.6001124837710128E-2</v>
          </cell>
          <cell r="AD78">
            <v>7.907682648018588E-2</v>
          </cell>
          <cell r="AE78">
            <v>0.13470875264578097</v>
          </cell>
        </row>
        <row r="79">
          <cell r="D79" t="str">
            <v>EUR</v>
          </cell>
          <cell r="N79" t="str">
            <v/>
          </cell>
          <cell r="O79">
            <v>4.5497334759936336E-4</v>
          </cell>
          <cell r="P79">
            <v>8.7063095825812287E-4</v>
          </cell>
          <cell r="Q79">
            <v>3.4556797820997076E-3</v>
          </cell>
          <cell r="R79">
            <v>9.376265614280066E-3</v>
          </cell>
          <cell r="S79" t="str">
            <v/>
          </cell>
          <cell r="T79">
            <v>2.3408237842192481E-2</v>
          </cell>
          <cell r="U79">
            <v>4.2617308118326869E-2</v>
          </cell>
          <cell r="V79">
            <v>7.8582759132184932E-2</v>
          </cell>
          <cell r="W79" t="str">
            <v/>
          </cell>
          <cell r="X79">
            <v>5.3826529594969141E-4</v>
          </cell>
          <cell r="Y79">
            <v>1.0371386437357799E-3</v>
          </cell>
          <cell r="Z79">
            <v>3.7878058647371482E-3</v>
          </cell>
          <cell r="AA79">
            <v>9.8714536741485448E-3</v>
          </cell>
          <cell r="AB79" t="str">
            <v/>
          </cell>
          <cell r="AC79">
            <v>2.4549906581165959E-2</v>
          </cell>
          <cell r="AD79">
            <v>4.4694152425726053E-2</v>
          </cell>
          <cell r="AE79">
            <v>8.2360063031269748E-2</v>
          </cell>
        </row>
        <row r="80">
          <cell r="D80" t="str">
            <v>EUR</v>
          </cell>
          <cell r="N80" t="str">
            <v/>
          </cell>
          <cell r="O80">
            <v>9.0974018358735975E-4</v>
          </cell>
          <cell r="P80">
            <v>1.7405039246949361E-3</v>
          </cell>
          <cell r="Q80">
            <v>6.205408693567116E-3</v>
          </cell>
          <cell r="R80">
            <v>1.5030146356442398E-2</v>
          </cell>
          <cell r="S80" t="str">
            <v/>
          </cell>
          <cell r="T80">
            <v>3.7033293015781399E-2</v>
          </cell>
          <cell r="U80">
            <v>6.497368558177874E-2</v>
          </cell>
          <cell r="V80">
            <v>0.11832928029983047</v>
          </cell>
          <cell r="W80" t="str">
            <v/>
          </cell>
          <cell r="X80">
            <v>9.9299423627774441E-4</v>
          </cell>
          <cell r="Y80">
            <v>1.9068666434343129E-3</v>
          </cell>
          <cell r="Z80">
            <v>6.5366183526510691E-3</v>
          </cell>
          <cell r="AA80">
            <v>1.5772168824794819E-2</v>
          </cell>
          <cell r="AB80" t="str">
            <v/>
          </cell>
          <cell r="AC80">
            <v>3.8849566373336364E-2</v>
          </cell>
          <cell r="AD80">
            <v>6.8129049931901942E-2</v>
          </cell>
          <cell r="AE80">
            <v>0.12397270534238425</v>
          </cell>
        </row>
        <row r="81">
          <cell r="D81" t="str">
            <v>EUR</v>
          </cell>
          <cell r="N81" t="str">
            <v/>
          </cell>
          <cell r="O81">
            <v>3.6399520350638426E-4</v>
          </cell>
          <cell r="P81">
            <v>1.5776928696848991E-3</v>
          </cell>
          <cell r="Q81">
            <v>4.4810216560415839E-3</v>
          </cell>
          <cell r="R81">
            <v>9.3047296835042648E-3</v>
          </cell>
          <cell r="S81" t="str">
            <v/>
          </cell>
          <cell r="T81">
            <v>2.4228231729191863E-2</v>
          </cell>
          <cell r="U81">
            <v>4.244952888463227E-2</v>
          </cell>
          <cell r="V81">
            <v>7.4578300271456843E-2</v>
          </cell>
          <cell r="W81" t="str">
            <v/>
          </cell>
          <cell r="X81">
            <v>4.4729473304006007E-4</v>
          </cell>
          <cell r="Y81">
            <v>1.7440827213339727E-3</v>
          </cell>
          <cell r="Z81">
            <v>4.8128060150419705E-3</v>
          </cell>
          <cell r="AA81">
            <v>9.7999535023785E-3</v>
          </cell>
          <cell r="AB81" t="str">
            <v/>
          </cell>
          <cell r="AC81">
            <v>2.5413370722653927E-2</v>
          </cell>
          <cell r="AD81">
            <v>4.4521232185952719E-2</v>
          </cell>
          <cell r="AE81">
            <v>7.8169983013952615E-2</v>
          </cell>
        </row>
        <row r="82">
          <cell r="D82" t="str">
            <v>EUR</v>
          </cell>
          <cell r="N82" t="str">
            <v/>
          </cell>
          <cell r="O82">
            <v>5.4594323121426314E-4</v>
          </cell>
          <cell r="P82">
            <v>2.2778265410077214E-3</v>
          </cell>
          <cell r="Q82">
            <v>6.5444919874567686E-3</v>
          </cell>
          <cell r="R82">
            <v>1.2886083485589062E-2</v>
          </cell>
          <cell r="S82" t="str">
            <v/>
          </cell>
          <cell r="T82">
            <v>3.4505388110501412E-2</v>
          </cell>
          <cell r="U82">
            <v>6.1551122012739379E-2</v>
          </cell>
          <cell r="V82">
            <v>0.10616942060537249</v>
          </cell>
          <cell r="W82" t="str">
            <v/>
          </cell>
          <cell r="X82">
            <v>6.2922759904748826E-4</v>
          </cell>
          <cell r="Y82">
            <v>2.4440997134252962E-3</v>
          </cell>
          <cell r="Z82">
            <v>6.8755886376197228E-3</v>
          </cell>
          <cell r="AA82">
            <v>1.3523136903082933E-2</v>
          </cell>
          <cell r="AB82" t="str">
            <v/>
          </cell>
          <cell r="AC82">
            <v>3.62004699596572E-2</v>
          </cell>
          <cell r="AD82">
            <v>6.4546688902082816E-2</v>
          </cell>
          <cell r="AE82">
            <v>0.11125254195030643</v>
          </cell>
        </row>
        <row r="83">
          <cell r="D83" t="str">
            <v>EUR</v>
          </cell>
          <cell r="N83" t="str">
            <v/>
          </cell>
          <cell r="O83">
            <v>2.7300879781333443E-4</v>
          </cell>
          <cell r="P83">
            <v>1.5799139583937416E-3</v>
          </cell>
          <cell r="Q83">
            <v>5.181191906571736E-3</v>
          </cell>
          <cell r="R83">
            <v>1.1395476326936604E-2</v>
          </cell>
          <cell r="S83" t="str">
            <v/>
          </cell>
          <cell r="T83">
            <v>2.6717425658045246E-2</v>
          </cell>
          <cell r="U83">
            <v>4.8454801876623654E-2</v>
          </cell>
          <cell r="V83">
            <v>8.8487144380147265E-2</v>
          </cell>
          <cell r="W83" t="str">
            <v/>
          </cell>
          <cell r="X83">
            <v>3.5631590924090073E-4</v>
          </cell>
          <cell r="Y83">
            <v>1.7463034398864652E-3</v>
          </cell>
          <cell r="Z83">
            <v>5.5127429143683182E-3</v>
          </cell>
          <cell r="AA83">
            <v>1.1939059315941303E-2</v>
          </cell>
          <cell r="AB83" t="str">
            <v/>
          </cell>
          <cell r="AC83">
            <v>2.8029723671689433E-2</v>
          </cell>
          <cell r="AD83">
            <v>5.0821034060979375E-2</v>
          </cell>
          <cell r="AE83">
            <v>9.2730572572805259E-2</v>
          </cell>
        </row>
        <row r="84">
          <cell r="D84" t="str">
            <v>EUR</v>
          </cell>
          <cell r="N84" t="str">
            <v/>
          </cell>
          <cell r="O84">
            <v>9.0974018358735975E-4</v>
          </cell>
          <cell r="P84">
            <v>1.9166233797315302E-3</v>
          </cell>
          <cell r="Q84">
            <v>6.5477929881894159E-3</v>
          </cell>
          <cell r="R84">
            <v>1.2889436731533088E-2</v>
          </cell>
          <cell r="S84" t="str">
            <v/>
          </cell>
          <cell r="T84">
            <v>3.4508896700973013E-2</v>
          </cell>
          <cell r="U84">
            <v>6.0268884830894986E-2</v>
          </cell>
          <cell r="V84">
            <v>9.5047438712174581E-2</v>
          </cell>
          <cell r="W84" t="str">
            <v/>
          </cell>
          <cell r="X84">
            <v>9.9299423627774441E-4</v>
          </cell>
          <cell r="Y84">
            <v>2.0829567476645661E-3</v>
          </cell>
          <cell r="Z84">
            <v>6.8788885382086162E-3</v>
          </cell>
          <cell r="AA84">
            <v>1.3526504004571005E-2</v>
          </cell>
          <cell r="AB84" t="str">
            <v/>
          </cell>
          <cell r="AC84">
            <v>3.6203999673800724E-2</v>
          </cell>
          <cell r="AD84">
            <v>6.3202892906027319E-2</v>
          </cell>
          <cell r="AE84">
            <v>9.9587402402432912E-2</v>
          </cell>
        </row>
        <row r="85">
          <cell r="D85" t="str">
            <v>EUR</v>
          </cell>
          <cell r="N85" t="str">
            <v/>
          </cell>
          <cell r="O85">
            <v>1.6005905791771635E-3</v>
          </cell>
          <cell r="P85">
            <v>3.6418346279978309E-3</v>
          </cell>
          <cell r="Q85">
            <v>9.3575114931813141E-3</v>
          </cell>
          <cell r="R85">
            <v>1.5841289211032894E-2</v>
          </cell>
          <cell r="S85" t="str">
            <v/>
          </cell>
          <cell r="T85">
            <v>3.1376811925831527E-2</v>
          </cell>
          <cell r="U85">
            <v>4.7851180057260634E-2</v>
          </cell>
          <cell r="V85">
            <v>7.3789605742392794E-2</v>
          </cell>
          <cell r="W85" t="str">
            <v/>
          </cell>
          <cell r="X85">
            <v>1.6837870633903407E-3</v>
          </cell>
          <cell r="Y85">
            <v>3.8153518975708733E-3</v>
          </cell>
          <cell r="Z85">
            <v>9.8081512971357476E-3</v>
          </cell>
          <cell r="AA85">
            <v>1.6628469523382705E-2</v>
          </cell>
          <cell r="AB85" t="str">
            <v/>
          </cell>
          <cell r="AC85">
            <v>3.2922381644810761E-2</v>
          </cell>
          <cell r="AD85">
            <v>5.0190162732474675E-2</v>
          </cell>
          <cell r="AE85">
            <v>7.7344085980955213E-2</v>
          </cell>
        </row>
        <row r="86">
          <cell r="D86" t="str">
            <v>EUR</v>
          </cell>
          <cell r="N86" t="str">
            <v/>
          </cell>
          <cell r="O86">
            <v>1.0552219788206862E-3</v>
          </cell>
          <cell r="P86">
            <v>2.6349312827362859E-3</v>
          </cell>
          <cell r="Q86">
            <v>6.9715129129324094E-3</v>
          </cell>
          <cell r="R86">
            <v>1.2202713971308676E-2</v>
          </cell>
          <cell r="S86" t="str">
            <v/>
          </cell>
          <cell r="T86">
            <v>2.4715090561909014E-2</v>
          </cell>
          <cell r="U86">
            <v>3.9225050128337102E-2</v>
          </cell>
          <cell r="V86">
            <v>6.292814240174649E-2</v>
          </cell>
          <cell r="W86" t="str">
            <v/>
          </cell>
          <cell r="X86">
            <v>1.1384639085358916E-3</v>
          </cell>
          <cell r="Y86">
            <v>2.8011449426721402E-3</v>
          </cell>
          <cell r="Z86">
            <v>7.307430721766095E-3</v>
          </cell>
          <cell r="AA86">
            <v>1.2790278538708733E-2</v>
          </cell>
          <cell r="AB86" t="str">
            <v/>
          </cell>
          <cell r="AC86">
            <v>2.5935777080825839E-2</v>
          </cell>
          <cell r="AD86">
            <v>4.1150499376110261E-2</v>
          </cell>
          <cell r="AE86">
            <v>6.5978855854495699E-2</v>
          </cell>
        </row>
        <row r="87">
          <cell r="D87" t="str">
            <v>EUR</v>
          </cell>
          <cell r="N87" t="str">
            <v/>
          </cell>
          <cell r="O87">
            <v>6.3690485549472431E-4</v>
          </cell>
          <cell r="P87">
            <v>1.7471884482904709E-3</v>
          </cell>
          <cell r="Q87">
            <v>5.5148027586187087E-3</v>
          </cell>
          <cell r="R87">
            <v>1.0833347538365956E-2</v>
          </cell>
          <cell r="S87" t="str">
            <v/>
          </cell>
          <cell r="T87">
            <v>2.8506675491326017E-2</v>
          </cell>
          <cell r="U87">
            <v>4.8272343001782625E-2</v>
          </cell>
          <cell r="V87">
            <v>8.2580231160876649E-2</v>
          </cell>
          <cell r="W87" t="str">
            <v/>
          </cell>
          <cell r="X87">
            <v>7.2018164349907376E-4</v>
          </cell>
          <cell r="Y87">
            <v>1.9135500530244043E-3</v>
          </cell>
          <cell r="Z87">
            <v>5.8462425813439189E-3</v>
          </cell>
          <cell r="AA87">
            <v>1.1352523735223441E-2</v>
          </cell>
          <cell r="AB87" t="str">
            <v/>
          </cell>
          <cell r="AC87">
            <v>2.9907813320626864E-2</v>
          </cell>
          <cell r="AD87">
            <v>5.063077530986404E-2</v>
          </cell>
          <cell r="AE87">
            <v>8.6548484610133758E-2</v>
          </cell>
        </row>
        <row r="88">
          <cell r="D88" t="str">
            <v>EUR</v>
          </cell>
          <cell r="N88" t="str">
            <v/>
          </cell>
          <cell r="O88">
            <v>1.5460670821495492E-3</v>
          </cell>
          <cell r="P88">
            <v>3.1330157615230281E-3</v>
          </cell>
          <cell r="Q88">
            <v>9.2731561642234173E-3</v>
          </cell>
          <cell r="R88">
            <v>2.0090196783860592E-2</v>
          </cell>
          <cell r="S88" t="str">
            <v/>
          </cell>
          <cell r="T88">
            <v>5.1399832991588901E-2</v>
          </cell>
          <cell r="U88">
            <v>8.5567232170741581E-2</v>
          </cell>
          <cell r="V88">
            <v>0.14591688165505801</v>
          </cell>
          <cell r="W88" t="str">
            <v/>
          </cell>
          <cell r="X88">
            <v>1.6292681098082351E-3</v>
          </cell>
          <cell r="Y88">
            <v>3.299146414298848E-3</v>
          </cell>
          <cell r="Z88">
            <v>9.7188829478886962E-3</v>
          </cell>
          <cell r="AA88">
            <v>2.1086709621949695E-2</v>
          </cell>
          <cell r="AB88" t="str">
            <v/>
          </cell>
          <cell r="AC88">
            <v>5.3910977162387685E-2</v>
          </cell>
          <cell r="AD88">
            <v>8.968916491285972E-2</v>
          </cell>
          <cell r="AE88">
            <v>0.15278007239158675</v>
          </cell>
        </row>
        <row r="89">
          <cell r="D89" t="str">
            <v>EUR</v>
          </cell>
          <cell r="N89" t="str">
            <v/>
          </cell>
          <cell r="O89">
            <v>3.6399520350638426E-4</v>
          </cell>
          <cell r="P89">
            <v>1.2252857733764388E-3</v>
          </cell>
          <cell r="Q89">
            <v>5.1912354274938899E-3</v>
          </cell>
          <cell r="R89">
            <v>1.1405736164489033E-2</v>
          </cell>
          <cell r="S89" t="str">
            <v/>
          </cell>
          <cell r="T89">
            <v>2.940162285024106E-2</v>
          </cell>
          <cell r="U89">
            <v>5.0766836941785853E-2</v>
          </cell>
          <cell r="V89">
            <v>9.5424992314393053E-2</v>
          </cell>
          <cell r="W89" t="str">
            <v/>
          </cell>
          <cell r="X89">
            <v>4.4729473304006007E-4</v>
          </cell>
          <cell r="Y89">
            <v>1.3917343546390182E-3</v>
          </cell>
          <cell r="Z89">
            <v>5.5227830880192341E-3</v>
          </cell>
          <cell r="AA89">
            <v>1.1949313512110926E-2</v>
          </cell>
          <cell r="AB89" t="str">
            <v/>
          </cell>
          <cell r="AC89">
            <v>3.0844616145261128E-2</v>
          </cell>
          <cell r="AD89">
            <v>5.3243388831790583E-2</v>
          </cell>
          <cell r="AE89">
            <v>0.10001736690194885</v>
          </cell>
        </row>
        <row r="90">
          <cell r="D90" t="str">
            <v>EUR</v>
          </cell>
          <cell r="N90" t="str">
            <v/>
          </cell>
          <cell r="O90">
            <v>1.0006687817649684E-3</v>
          </cell>
          <cell r="P90">
            <v>1.9143876201054288E-3</v>
          </cell>
          <cell r="Q90">
            <v>5.499545431723929E-3</v>
          </cell>
          <cell r="R90">
            <v>1.1877747415419693E-2</v>
          </cell>
          <cell r="S90" t="str">
            <v/>
          </cell>
          <cell r="T90">
            <v>3.1972226584576102E-2</v>
          </cell>
          <cell r="U90">
            <v>5.1671715547433328E-2</v>
          </cell>
          <cell r="V90">
            <v>9.2951371900018787E-2</v>
          </cell>
          <cell r="W90" t="str">
            <v/>
          </cell>
          <cell r="X90">
            <v>1.0839152573786093E-3</v>
          </cell>
          <cell r="Y90">
            <v>2.0807213606326425E-3</v>
          </cell>
          <cell r="Z90">
            <v>5.8309903393635176E-3</v>
          </cell>
          <cell r="AA90">
            <v>1.2445754393001773E-2</v>
          </cell>
          <cell r="AB90" t="str">
            <v/>
          </cell>
          <cell r="AC90">
            <v>3.3543216024687572E-2</v>
          </cell>
          <cell r="AD90">
            <v>5.4193336446687446E-2</v>
          </cell>
          <cell r="AE90">
            <v>9.7424327802114852E-2</v>
          </cell>
        </row>
        <row r="91">
          <cell r="D91" t="str">
            <v>EUR</v>
          </cell>
          <cell r="N91" t="str">
            <v/>
          </cell>
          <cell r="O91">
            <v>5.4594323121426314E-4</v>
          </cell>
          <cell r="P91">
            <v>1.2208758015412879E-3</v>
          </cell>
          <cell r="Q91">
            <v>4.1396751096509643E-3</v>
          </cell>
          <cell r="R91">
            <v>8.798203266675797E-3</v>
          </cell>
          <cell r="S91" t="str">
            <v/>
          </cell>
          <cell r="T91">
            <v>2.3398560041828165E-2</v>
          </cell>
          <cell r="U91">
            <v>4.2607313031998828E-2</v>
          </cell>
          <cell r="V91">
            <v>8.0489045192361552E-2</v>
          </cell>
          <cell r="W91" t="str">
            <v/>
          </cell>
          <cell r="X91">
            <v>6.2922759904748826E-4</v>
          </cell>
          <cell r="Y91">
            <v>1.3873251177468626E-3</v>
          </cell>
          <cell r="Z91">
            <v>4.471573231844661E-3</v>
          </cell>
          <cell r="AA91">
            <v>9.2936802854770573E-3</v>
          </cell>
          <cell r="AB91" t="str">
            <v/>
          </cell>
          <cell r="AC91">
            <v>2.454004281251676E-2</v>
          </cell>
          <cell r="AD91">
            <v>4.4684107248175731E-2</v>
          </cell>
          <cell r="AE91">
            <v>8.4355976084544704E-2</v>
          </cell>
        </row>
        <row r="92">
          <cell r="D92" t="str">
            <v>EUR</v>
          </cell>
          <cell r="N92" t="str">
            <v/>
          </cell>
          <cell r="O92">
            <v>8.1880333056005838E-4</v>
          </cell>
          <cell r="P92">
            <v>4.2071858450489774E-3</v>
          </cell>
          <cell r="Q92">
            <v>1.203433293295908E-2</v>
          </cell>
          <cell r="R92">
            <v>2.3090804824646982E-2</v>
          </cell>
          <cell r="S92" t="str">
            <v/>
          </cell>
          <cell r="T92">
            <v>5.7994814483914414E-2</v>
          </cell>
          <cell r="U92">
            <v>9.6945875579857343E-2</v>
          </cell>
          <cell r="V92">
            <v>0.16465033692073983</v>
          </cell>
          <cell r="W92" t="str">
            <v/>
          </cell>
          <cell r="X92">
            <v>9.0206496099309863E-4</v>
          </cell>
          <cell r="Y92">
            <v>4.4063244933553181E-3</v>
          </cell>
          <cell r="Z92">
            <v>1.2632071103079623E-2</v>
          </cell>
          <cell r="AA92">
            <v>2.4233271034812542E-2</v>
          </cell>
          <cell r="AB92" t="str">
            <v/>
          </cell>
          <cell r="AC92">
            <v>6.0816943849694827E-2</v>
          </cell>
          <cell r="AD92">
            <v>0.10158882508180656</v>
          </cell>
          <cell r="AE92">
            <v>0.17232627854247629</v>
          </cell>
        </row>
        <row r="93">
          <cell r="D93" t="str">
            <v>EUR</v>
          </cell>
          <cell r="N93" t="str">
            <v/>
          </cell>
          <cell r="O93">
            <v>6.3690485549472431E-4</v>
          </cell>
          <cell r="P93">
            <v>1.7471884482904709E-3</v>
          </cell>
          <cell r="Q93">
            <v>6.9095035615924782E-3</v>
          </cell>
          <cell r="R93">
            <v>1.6061436711826915E-2</v>
          </cell>
          <cell r="S93" t="str">
            <v/>
          </cell>
          <cell r="T93">
            <v>4.1353334357717153E-2</v>
          </cell>
          <cell r="U93">
            <v>7.0772774391985926E-2</v>
          </cell>
          <cell r="V93">
            <v>0.124246980705634</v>
          </cell>
          <cell r="W93" t="str">
            <v/>
          </cell>
          <cell r="X93">
            <v>7.2018164349907376E-4</v>
          </cell>
          <cell r="Y93">
            <v>1.9135500530244043E-3</v>
          </cell>
          <cell r="Z93">
            <v>7.2404785615145517E-3</v>
          </cell>
          <cell r="AA93">
            <v>1.6855753085763481E-2</v>
          </cell>
          <cell r="AB93" t="str">
            <v/>
          </cell>
          <cell r="AC93">
            <v>4.3379727684677793E-2</v>
          </cell>
          <cell r="AD93">
            <v>7.4202780499159404E-2</v>
          </cell>
          <cell r="AE93">
            <v>0.13015196476705837</v>
          </cell>
        </row>
        <row r="94">
          <cell r="D94" t="str">
            <v>EUR</v>
          </cell>
          <cell r="N94" t="str">
            <v/>
          </cell>
          <cell r="O94">
            <v>4.5497334759936336E-4</v>
          </cell>
          <cell r="P94">
            <v>1.0468631450375465E-3</v>
          </cell>
          <cell r="Q94">
            <v>4.8461429509855103E-3</v>
          </cell>
          <cell r="R94">
            <v>9.8352420499794313E-3</v>
          </cell>
          <cell r="S94" t="str">
            <v/>
          </cell>
          <cell r="T94">
            <v>2.597470599033902E-2</v>
          </cell>
          <cell r="U94">
            <v>4.6111659285171358E-2</v>
          </cell>
          <cell r="V94">
            <v>8.7173261055529361E-2</v>
          </cell>
          <cell r="W94" t="str">
            <v/>
          </cell>
          <cell r="X94">
            <v>5.3826529594969141E-4</v>
          </cell>
          <cell r="Y94">
            <v>1.2133414609432069E-3</v>
          </cell>
          <cell r="Z94">
            <v>5.1778056231679415E-3</v>
          </cell>
          <cell r="AA94">
            <v>1.0330200678976054E-2</v>
          </cell>
          <cell r="AB94" t="str">
            <v/>
          </cell>
          <cell r="AC94">
            <v>2.7247255250252289E-2</v>
          </cell>
          <cell r="AD94">
            <v>4.8362065363106721E-2</v>
          </cell>
          <cell r="AE94">
            <v>9.1379661023856862E-2</v>
          </cell>
        </row>
        <row r="95">
          <cell r="D95" t="str">
            <v>EUR</v>
          </cell>
          <cell r="N95" t="str">
            <v/>
          </cell>
          <cell r="O95">
            <v>8.1880333056005838E-4</v>
          </cell>
          <cell r="P95">
            <v>1.5665899374458503E-3</v>
          </cell>
          <cell r="Q95">
            <v>6.2139127688000118E-3</v>
          </cell>
          <cell r="R95">
            <v>1.1861773504699746E-2</v>
          </cell>
          <cell r="S95" t="str">
            <v/>
          </cell>
          <cell r="T95">
            <v>3.1955625367104612E-2</v>
          </cell>
          <cell r="U95">
            <v>5.1654982160065699E-2</v>
          </cell>
          <cell r="V95">
            <v>9.1058886813918716E-2</v>
          </cell>
          <cell r="W95" t="str">
            <v/>
          </cell>
          <cell r="X95">
            <v>9.0206496099309863E-4</v>
          </cell>
          <cell r="Y95">
            <v>1.732981639423592E-3</v>
          </cell>
          <cell r="Z95">
            <v>6.5451195936672146E-3</v>
          </cell>
          <cell r="AA95">
            <v>1.2429789664646917E-2</v>
          </cell>
          <cell r="AB95" t="str">
            <v/>
          </cell>
          <cell r="AC95">
            <v>3.3526521335011217E-2</v>
          </cell>
          <cell r="AD95">
            <v>5.417650481307057E-2</v>
          </cell>
          <cell r="AE95">
            <v>9.541850550731279E-2</v>
          </cell>
        </row>
        <row r="96">
          <cell r="D96" t="str">
            <v>EUR</v>
          </cell>
          <cell r="N96" t="str">
            <v/>
          </cell>
          <cell r="O96">
            <v>6.3690485549472431E-4</v>
          </cell>
          <cell r="P96">
            <v>2.9798841053704228E-3</v>
          </cell>
          <cell r="Q96">
            <v>9.3031041357577449E-3</v>
          </cell>
          <cell r="R96">
            <v>1.8009674103833584E-2</v>
          </cell>
          <cell r="S96" t="str">
            <v/>
          </cell>
          <cell r="T96">
            <v>4.1015694703361083E-2</v>
          </cell>
          <cell r="U96">
            <v>6.7873038361055182E-2</v>
          </cell>
          <cell r="V96">
            <v>0.11493522657390387</v>
          </cell>
          <cell r="W96" t="str">
            <v/>
          </cell>
          <cell r="X96">
            <v>7.2018164349907376E-4</v>
          </cell>
          <cell r="Y96">
            <v>3.1460402779561747E-3</v>
          </cell>
          <cell r="Z96">
            <v>9.748817445875968E-3</v>
          </cell>
          <cell r="AA96">
            <v>1.8902110662522786E-2</v>
          </cell>
          <cell r="AB96" t="str">
            <v/>
          </cell>
          <cell r="AC96">
            <v>4.302652702749088E-2</v>
          </cell>
          <cell r="AD96">
            <v>7.1164336069355127E-2</v>
          </cell>
          <cell r="AE96">
            <v>0.12040775081539934</v>
          </cell>
        </row>
        <row r="97">
          <cell r="D97" t="str">
            <v>EUR</v>
          </cell>
          <cell r="N97" t="str">
            <v/>
          </cell>
          <cell r="O97">
            <v>2.7300879781333443E-4</v>
          </cell>
          <cell r="P97">
            <v>8.7500955172725714E-4</v>
          </cell>
          <cell r="Q97">
            <v>3.1108231577661183E-3</v>
          </cell>
          <cell r="R97">
            <v>6.7416033755676175E-3</v>
          </cell>
          <cell r="S97" t="str">
            <v/>
          </cell>
          <cell r="T97">
            <v>1.8252267651842846E-2</v>
          </cell>
          <cell r="U97">
            <v>3.2980139891199078E-2</v>
          </cell>
          <cell r="V97">
            <v>5.9617673928796133E-2</v>
          </cell>
          <cell r="W97" t="str">
            <v/>
          </cell>
          <cell r="X97">
            <v>3.5631590924090073E-4</v>
          </cell>
          <cell r="Y97">
            <v>1.0415165074959543E-3</v>
          </cell>
          <cell r="Z97">
            <v>3.443064173448751E-3</v>
          </cell>
          <cell r="AA97">
            <v>7.2381084372733495E-3</v>
          </cell>
          <cell r="AB97" t="str">
            <v/>
          </cell>
          <cell r="AC97">
            <v>1.9110921201918041E-2</v>
          </cell>
          <cell r="AD97">
            <v>3.4581562293729329E-2</v>
          </cell>
          <cell r="AE97">
            <v>6.2495611273053808E-2</v>
          </cell>
        </row>
        <row r="98">
          <cell r="D98" t="str">
            <v>EUR</v>
          </cell>
          <cell r="N98" t="str">
            <v/>
          </cell>
          <cell r="O98">
            <v>1.5006285667249486E-3</v>
          </cell>
          <cell r="P98">
            <v>4.4182686145607386E-3</v>
          </cell>
          <cell r="Q98">
            <v>1.1069803763835817E-2</v>
          </cell>
          <cell r="R98">
            <v>1.8052033723615857E-2</v>
          </cell>
          <cell r="S98" t="str">
            <v/>
          </cell>
          <cell r="T98">
            <v>3.5519194590963421E-2</v>
          </cell>
          <cell r="U98">
            <v>5.4166762774260468E-2</v>
          </cell>
          <cell r="V98">
            <v>8.3458438819112968E-2</v>
          </cell>
          <cell r="W98" t="str">
            <v/>
          </cell>
          <cell r="X98">
            <v>1.5838333807624005E-3</v>
          </cell>
          <cell r="Y98">
            <v>4.6281483039986027E-3</v>
          </cell>
          <cell r="Z98">
            <v>1.162054228056264E-2</v>
          </cell>
          <cell r="AA98">
            <v>1.8947082541980742E-2</v>
          </cell>
          <cell r="AB98" t="str">
            <v/>
          </cell>
          <cell r="AC98">
            <v>3.726393313724341E-2</v>
          </cell>
          <cell r="AD98">
            <v>5.6804911884540399E-2</v>
          </cell>
          <cell r="AE98">
            <v>8.7456622839623854E-2</v>
          </cell>
        </row>
        <row r="99">
          <cell r="D99" t="str">
            <v>EUR</v>
          </cell>
          <cell r="N99" t="str">
            <v/>
          </cell>
          <cell r="O99">
            <v>3.6399520350638426E-4</v>
          </cell>
          <cell r="P99">
            <v>1.2252857733764388E-3</v>
          </cell>
          <cell r="Q99">
            <v>4.14415820314884E-3</v>
          </cell>
          <cell r="R99">
            <v>7.2100918954982607E-3</v>
          </cell>
          <cell r="S99" t="str">
            <v/>
          </cell>
          <cell r="T99">
            <v>1.8150120947181492E-2</v>
          </cell>
          <cell r="U99">
            <v>3.0269036667314397E-2</v>
          </cell>
          <cell r="V99">
            <v>5.2121559144953977E-2</v>
          </cell>
          <cell r="W99" t="str">
            <v/>
          </cell>
          <cell r="X99">
            <v>4.4729473304006007E-4</v>
          </cell>
          <cell r="Y99">
            <v>1.3917343546390182E-3</v>
          </cell>
          <cell r="Z99">
            <v>4.4760548312168247E-3</v>
          </cell>
          <cell r="AA99">
            <v>7.7063627714937244E-3</v>
          </cell>
          <cell r="AB99" t="str">
            <v/>
          </cell>
          <cell r="AC99">
            <v>1.9008863836553536E-2</v>
          </cell>
          <cell r="AD99">
            <v>3.1742557334008548E-2</v>
          </cell>
          <cell r="AE99">
            <v>5.4645835634262618E-2</v>
          </cell>
        </row>
        <row r="100">
          <cell r="D100" t="str">
            <v>EUR</v>
          </cell>
          <cell r="N100" t="str">
            <v/>
          </cell>
          <cell r="O100">
            <v>5.4594323121426314E-4</v>
          </cell>
          <cell r="P100">
            <v>2.6300265232999109E-3</v>
          </cell>
          <cell r="Q100">
            <v>7.9256132638849675E-3</v>
          </cell>
          <cell r="R100">
            <v>1.756594285738966E-2</v>
          </cell>
          <cell r="S100" t="str">
            <v/>
          </cell>
          <cell r="T100">
            <v>4.556317703312962E-2</v>
          </cell>
          <cell r="U100">
            <v>7.8992705273699393E-2</v>
          </cell>
          <cell r="V100">
            <v>0.13891191075447384</v>
          </cell>
          <cell r="W100" t="str">
            <v/>
          </cell>
          <cell r="X100">
            <v>6.2922759904748826E-4</v>
          </cell>
          <cell r="Y100">
            <v>2.7962410006150407E-3</v>
          </cell>
          <cell r="Z100">
            <v>8.3058355648802928E-3</v>
          </cell>
          <cell r="AA100">
            <v>1.8435908659315881E-2</v>
          </cell>
          <cell r="AB100" t="str">
            <v/>
          </cell>
          <cell r="AC100">
            <v>4.7793247674854711E-2</v>
          </cell>
          <cell r="AD100">
            <v>8.2809516130359584E-2</v>
          </cell>
          <cell r="AE100">
            <v>0.14547664022731999</v>
          </cell>
        </row>
        <row r="101">
          <cell r="D101" t="str">
            <v>EUR</v>
          </cell>
          <cell r="N101" t="str">
            <v/>
          </cell>
          <cell r="O101">
            <v>3.6399520350638426E-4</v>
          </cell>
          <cell r="P101">
            <v>8.728201724156337E-4</v>
          </cell>
          <cell r="Q101">
            <v>3.1086041784720297E-3</v>
          </cell>
          <cell r="R101">
            <v>6.2079837368382851E-3</v>
          </cell>
          <cell r="S101" t="str">
            <v/>
          </cell>
          <cell r="T101">
            <v>1.7391619350680565E-2</v>
          </cell>
          <cell r="U101">
            <v>3.0498186153993467E-2</v>
          </cell>
          <cell r="V101">
            <v>5.8164596157407322E-2</v>
          </cell>
          <cell r="W101" t="str">
            <v/>
          </cell>
          <cell r="X101">
            <v>4.4729473304006007E-4</v>
          </cell>
          <cell r="Y101">
            <v>1.0393274930516894E-3</v>
          </cell>
          <cell r="Z101">
            <v>3.4408459337169628E-3</v>
          </cell>
          <cell r="AA101">
            <v>6.7047555416595017E-3</v>
          </cell>
          <cell r="AB101" t="str">
            <v/>
          </cell>
          <cell r="AC101">
            <v>1.8210118579164214E-2</v>
          </cell>
          <cell r="AD101">
            <v>3.1976456873183068E-2</v>
          </cell>
          <cell r="AE101">
            <v>6.0971822487001948E-2</v>
          </cell>
        </row>
        <row r="102">
          <cell r="D102" t="str">
            <v>EUR</v>
          </cell>
          <cell r="N102" t="str">
            <v/>
          </cell>
          <cell r="O102">
            <v>4.5497334759936336E-4</v>
          </cell>
          <cell r="P102">
            <v>8.7063095825812287E-4</v>
          </cell>
          <cell r="Q102">
            <v>3.1063853322998991E-3</v>
          </cell>
          <cell r="R102">
            <v>6.7371092801036259E-3</v>
          </cell>
          <cell r="S102" t="str">
            <v/>
          </cell>
          <cell r="T102">
            <v>1.7351349621736234E-2</v>
          </cell>
          <cell r="U102">
            <v>3.0457589722358347E-2</v>
          </cell>
          <cell r="V102">
            <v>4.8430815919560777E-2</v>
          </cell>
          <cell r="W102" t="str">
            <v/>
          </cell>
          <cell r="X102">
            <v>5.3826529594969141E-4</v>
          </cell>
          <cell r="Y102">
            <v>1.0371386437357799E-3</v>
          </cell>
          <cell r="Z102">
            <v>3.4386278270243098E-3</v>
          </cell>
          <cell r="AA102">
            <v>7.2336165882755932E-3</v>
          </cell>
          <cell r="AB102" t="str">
            <v/>
          </cell>
          <cell r="AC102">
            <v>1.8169882394376002E-2</v>
          </cell>
          <cell r="AD102">
            <v>3.193570911254906E-2</v>
          </cell>
          <cell r="AE102">
            <v>5.0773604550349849E-2</v>
          </cell>
        </row>
        <row r="103">
          <cell r="D103" t="str">
            <v>EUR</v>
          </cell>
          <cell r="N103" t="str">
            <v/>
          </cell>
          <cell r="O103">
            <v>2.7300879781333443E-4</v>
          </cell>
          <cell r="P103">
            <v>1.9322784153437134E-3</v>
          </cell>
          <cell r="Q103">
            <v>5.1688847607316291E-3</v>
          </cell>
          <cell r="R103">
            <v>1.0322608067131034E-2</v>
          </cell>
          <cell r="S103" t="str">
            <v/>
          </cell>
          <cell r="T103">
            <v>2.499893541830156E-2</v>
          </cell>
          <cell r="U103">
            <v>4.3529473532226137E-2</v>
          </cell>
          <cell r="V103">
            <v>7.8011746643757984E-2</v>
          </cell>
          <cell r="W103" t="str">
            <v/>
          </cell>
          <cell r="X103">
            <v>3.5631590924090073E-4</v>
          </cell>
          <cell r="Y103">
            <v>2.0986091743264712E-3</v>
          </cell>
          <cell r="Z103">
            <v>5.500439870238738E-3</v>
          </cell>
          <cell r="AA103">
            <v>1.0817323074053364E-2</v>
          </cell>
          <cell r="AB103" t="str">
            <v/>
          </cell>
          <cell r="AC103">
            <v>2.6227564779387147E-2</v>
          </cell>
          <cell r="AD103">
            <v>4.565868028189668E-2</v>
          </cell>
          <cell r="AE103">
            <v>8.1769034891154613E-2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8.7500955172725714E-4</v>
          </cell>
          <cell r="Q104">
            <v>3.1108231577661183E-3</v>
          </cell>
          <cell r="R104">
            <v>6.7416033755676175E-3</v>
          </cell>
          <cell r="S104" t="str">
            <v/>
          </cell>
          <cell r="T104">
            <v>1.8252267651842846E-2</v>
          </cell>
          <cell r="U104">
            <v>3.2980139891199078E-2</v>
          </cell>
          <cell r="V104">
            <v>5.9617673928796133E-2</v>
          </cell>
          <cell r="W104" t="str">
            <v/>
          </cell>
          <cell r="X104">
            <v>3.5631590924090073E-4</v>
          </cell>
          <cell r="Y104">
            <v>1.0415165074959543E-3</v>
          </cell>
          <cell r="Z104">
            <v>3.443064173448751E-3</v>
          </cell>
          <cell r="AA104">
            <v>7.2381084372733495E-3</v>
          </cell>
          <cell r="AB104" t="str">
            <v/>
          </cell>
          <cell r="AC104">
            <v>1.9110921201918041E-2</v>
          </cell>
          <cell r="AD104">
            <v>3.4581562293729329E-2</v>
          </cell>
          <cell r="AE104">
            <v>6.2495611273053808E-2</v>
          </cell>
        </row>
        <row r="105">
          <cell r="D105" t="str">
            <v>EUR</v>
          </cell>
          <cell r="N105" t="str">
            <v/>
          </cell>
          <cell r="O105">
            <v>8.1880333056005838E-4</v>
          </cell>
          <cell r="P105">
            <v>1.5665899374458503E-3</v>
          </cell>
          <cell r="Q105">
            <v>6.2139127688000118E-3</v>
          </cell>
          <cell r="R105">
            <v>1.3450755339839193E-2</v>
          </cell>
          <cell r="S105" t="str">
            <v/>
          </cell>
          <cell r="T105">
            <v>3.7164964361995012E-2</v>
          </cell>
          <cell r="U105">
            <v>6.5107292070126666E-2</v>
          </cell>
          <cell r="V105">
            <v>0.10907420872491902</v>
          </cell>
          <cell r="W105" t="str">
            <v/>
          </cell>
          <cell r="X105">
            <v>9.0206496099309863E-4</v>
          </cell>
          <cell r="Y105">
            <v>1.732981639423592E-3</v>
          </cell>
          <cell r="Z105">
            <v>6.5451195936672146E-3</v>
          </cell>
          <cell r="AA105">
            <v>1.4114171582807034E-2</v>
          </cell>
          <cell r="AB105" t="str">
            <v/>
          </cell>
          <cell r="AC105">
            <v>3.8987506923284454E-2</v>
          </cell>
          <cell r="AD105">
            <v>6.8269902701745266E-2</v>
          </cell>
          <cell r="AE105">
            <v>0.11428393268806536</v>
          </cell>
        </row>
        <row r="106">
          <cell r="D106" t="str">
            <v>EUR</v>
          </cell>
          <cell r="N106" t="str">
            <v/>
          </cell>
          <cell r="O106">
            <v>2.7300879781333443E-4</v>
          </cell>
          <cell r="P106">
            <v>8.7500955172725714E-4</v>
          </cell>
          <cell r="Q106">
            <v>4.1585788015882086E-3</v>
          </cell>
          <cell r="R106">
            <v>8.2865471124773382E-3</v>
          </cell>
          <cell r="S106" t="str">
            <v/>
          </cell>
          <cell r="T106">
            <v>2.2563160810736282E-2</v>
          </cell>
          <cell r="U106">
            <v>4.14615489121124E-2</v>
          </cell>
          <cell r="V106">
            <v>7.6991141043958322E-2</v>
          </cell>
          <cell r="W106" t="str">
            <v/>
          </cell>
          <cell r="X106">
            <v>3.5631590924090073E-4</v>
          </cell>
          <cell r="Y106">
            <v>1.0415165074959543E-3</v>
          </cell>
          <cell r="Z106">
            <v>4.490470623601861E-3</v>
          </cell>
          <cell r="AA106">
            <v>8.7822798954131365E-3</v>
          </cell>
          <cell r="AB106" t="str">
            <v/>
          </cell>
          <cell r="AC106">
            <v>2.3660913759846802E-2</v>
          </cell>
          <cell r="AD106">
            <v>4.3480368056037499E-2</v>
          </cell>
          <cell r="AE106">
            <v>8.0692468527198802E-2</v>
          </cell>
        </row>
        <row r="107">
          <cell r="D107" t="str">
            <v>EUR</v>
          </cell>
          <cell r="N107" t="str">
            <v/>
          </cell>
          <cell r="O107">
            <v>6.3690485549472431E-4</v>
          </cell>
          <cell r="P107">
            <v>1.923331669516859E-3</v>
          </cell>
          <cell r="Q107">
            <v>6.9032421808277178E-3</v>
          </cell>
          <cell r="R107">
            <v>1.4996900424032678E-2</v>
          </cell>
          <cell r="S107" t="str">
            <v/>
          </cell>
          <cell r="T107">
            <v>4.2314780791213424E-2</v>
          </cell>
          <cell r="U107">
            <v>7.2029052176790564E-2</v>
          </cell>
          <cell r="V107">
            <v>0.12216569178247572</v>
          </cell>
          <cell r="W107" t="str">
            <v/>
          </cell>
          <cell r="X107">
            <v>7.2018164349907376E-4</v>
          </cell>
          <cell r="Y107">
            <v>2.0896639194951661E-3</v>
          </cell>
          <cell r="Z107">
            <v>7.2342192675115546E-3</v>
          </cell>
          <cell r="AA107">
            <v>1.5738818758722628E-2</v>
          </cell>
          <cell r="AB107" t="str">
            <v/>
          </cell>
          <cell r="AC107">
            <v>4.4388074889345486E-2</v>
          </cell>
          <cell r="AD107">
            <v>7.5519551108685246E-2</v>
          </cell>
          <cell r="AE107">
            <v>0.12797164354408619</v>
          </cell>
        </row>
        <row r="108">
          <cell r="D108" t="str">
            <v>EUR</v>
          </cell>
          <cell r="N108" t="str">
            <v/>
          </cell>
          <cell r="O108">
            <v>3.6399520350638426E-4</v>
          </cell>
          <cell r="P108">
            <v>1.5776928696848991E-3</v>
          </cell>
          <cell r="Q108">
            <v>4.8300036012460801E-3</v>
          </cell>
          <cell r="R108">
            <v>8.7578517722344262E-3</v>
          </cell>
          <cell r="S108" t="str">
            <v/>
          </cell>
          <cell r="T108">
            <v>2.156941971103199E-2</v>
          </cell>
          <cell r="U108">
            <v>3.4954312096123541E-2</v>
          </cell>
          <cell r="V108">
            <v>5.8630790834494517E-2</v>
          </cell>
          <cell r="W108" t="str">
            <v/>
          </cell>
          <cell r="X108">
            <v>4.4729473304006007E-4</v>
          </cell>
          <cell r="Y108">
            <v>1.7440827213339727E-3</v>
          </cell>
          <cell r="Z108">
            <v>5.161671652306743E-3</v>
          </cell>
          <cell r="AA108">
            <v>9.2533489617411258E-3</v>
          </cell>
          <cell r="AB108" t="str">
            <v/>
          </cell>
          <cell r="AC108">
            <v>2.2623035431614147E-2</v>
          </cell>
          <cell r="AD108">
            <v>3.6661117150498357E-2</v>
          </cell>
          <cell r="AE108">
            <v>6.146876160227055E-2</v>
          </cell>
        </row>
        <row r="109">
          <cell r="D109" t="str">
            <v>EUR</v>
          </cell>
          <cell r="N109" t="str">
            <v/>
          </cell>
          <cell r="O109">
            <v>7.2785822158416558E-4</v>
          </cell>
          <cell r="P109">
            <v>1.3926456526700548E-3</v>
          </cell>
          <cell r="Q109">
            <v>5.8736778859322936E-3</v>
          </cell>
          <cell r="R109">
            <v>1.1887007381752746E-2</v>
          </cell>
          <cell r="S109" t="str">
            <v/>
          </cell>
          <cell r="T109">
            <v>3.6426278175076598E-2</v>
          </cell>
          <cell r="U109">
            <v>6.4072825977876446E-2</v>
          </cell>
          <cell r="V109">
            <v>0.11139413074854643</v>
          </cell>
          <cell r="W109" t="str">
            <v/>
          </cell>
          <cell r="X109">
            <v>8.1112743046984903E-4</v>
          </cell>
          <cell r="Y109">
            <v>1.559066342956994E-3</v>
          </cell>
          <cell r="Z109">
            <v>6.2049981035311452E-3</v>
          </cell>
          <cell r="AA109">
            <v>1.2455009036394404E-2</v>
          </cell>
          <cell r="AB109" t="str">
            <v/>
          </cell>
          <cell r="AC109">
            <v>3.8213375228570712E-2</v>
          </cell>
          <cell r="AD109">
            <v>6.7187808052849074E-2</v>
          </cell>
          <cell r="AE109">
            <v>0.11671738283544819</v>
          </cell>
        </row>
        <row r="110">
          <cell r="D110" t="str">
            <v>EUR</v>
          </cell>
          <cell r="N110" t="str">
            <v/>
          </cell>
          <cell r="O110">
            <v>1.4551879894108E-3</v>
          </cell>
          <cell r="P110">
            <v>3.3112610151497801E-3</v>
          </cell>
          <cell r="Q110">
            <v>8.2251805402145939E-3</v>
          </cell>
          <cell r="R110">
            <v>1.3799020835194242E-2</v>
          </cell>
          <cell r="S110" t="str">
            <v/>
          </cell>
          <cell r="T110">
            <v>2.805377384705865E-2</v>
          </cell>
          <cell r="U110">
            <v>4.3291779259459151E-2</v>
          </cell>
          <cell r="V110">
            <v>6.9372419203202362E-2</v>
          </cell>
          <cell r="W110" t="str">
            <v/>
          </cell>
          <cell r="X110">
            <v>1.5383965899991026E-3</v>
          </cell>
          <cell r="Y110">
            <v>3.477361962851977E-3</v>
          </cell>
          <cell r="Z110">
            <v>8.6218111365963246E-3</v>
          </cell>
          <cell r="AA110">
            <v>1.4484787646105612E-2</v>
          </cell>
          <cell r="AB110" t="str">
            <v/>
          </cell>
          <cell r="AC110">
            <v>2.943752043557657E-2</v>
          </cell>
          <cell r="AD110">
            <v>4.5412573939614398E-2</v>
          </cell>
          <cell r="AE110">
            <v>7.2723829317179467E-2</v>
          </cell>
        </row>
        <row r="111">
          <cell r="D111" t="str">
            <v>EUR</v>
          </cell>
          <cell r="N111" t="str">
            <v/>
          </cell>
          <cell r="O111">
            <v>6.3690485549472431E-4</v>
          </cell>
          <cell r="P111">
            <v>2.4516736389891269E-3</v>
          </cell>
          <cell r="Q111">
            <v>8.6260935930545513E-3</v>
          </cell>
          <cell r="R111">
            <v>1.8592082683634992E-2</v>
          </cell>
          <cell r="S111" t="str">
            <v/>
          </cell>
          <cell r="T111">
            <v>4.809405868603589E-2</v>
          </cell>
          <cell r="U111">
            <v>8.3659137962235341E-2</v>
          </cell>
          <cell r="V111">
            <v>0.14509939247422043</v>
          </cell>
          <cell r="W111" t="str">
            <v/>
          </cell>
          <cell r="X111">
            <v>7.2018164349907376E-4</v>
          </cell>
          <cell r="Y111">
            <v>2.617917839319861E-3</v>
          </cell>
          <cell r="Z111">
            <v>9.0390800092465806E-3</v>
          </cell>
          <cell r="AA111">
            <v>1.9512503821599969E-2</v>
          </cell>
          <cell r="AB111" t="str">
            <v/>
          </cell>
          <cell r="AC111">
            <v>5.0445165824277827E-2</v>
          </cell>
          <cell r="AD111">
            <v>8.7693069362573706E-2</v>
          </cell>
          <cell r="AE111">
            <v>0.15193509632039537</v>
          </cell>
        </row>
        <row r="112">
          <cell r="D112" t="str">
            <v>EUR</v>
          </cell>
          <cell r="N112" t="str">
            <v/>
          </cell>
          <cell r="O112">
            <v>1.091589126235637E-3</v>
          </cell>
          <cell r="P112">
            <v>2.9684668899444544E-3</v>
          </cell>
          <cell r="Q112">
            <v>1.0682715075234772E-2</v>
          </cell>
          <cell r="R112">
            <v>2.109367145122254E-2</v>
          </cell>
          <cell r="S112" t="str">
            <v/>
          </cell>
          <cell r="T112">
            <v>4.3331989401742099E-2</v>
          </cell>
          <cell r="U112">
            <v>7.2347892246412138E-2</v>
          </cell>
          <cell r="V112">
            <v>0.13032522371301092</v>
          </cell>
          <cell r="W112" t="str">
            <v/>
          </cell>
          <cell r="X112">
            <v>1.1748280254821886E-3</v>
          </cell>
          <cell r="Y112">
            <v>3.1346249652464131E-3</v>
          </cell>
          <cell r="Z112">
            <v>1.1212930526961151E-2</v>
          </cell>
          <cell r="AA112">
            <v>2.2137718863374456E-2</v>
          </cell>
          <cell r="AB112" t="str">
            <v/>
          </cell>
          <cell r="AC112">
            <v>4.5452899452584572E-2</v>
          </cell>
          <cell r="AD112">
            <v>7.5846740274256197E-2</v>
          </cell>
          <cell r="AE112">
            <v>0.13650009953722131</v>
          </cell>
        </row>
        <row r="113">
          <cell r="D113" t="str">
            <v>EUR</v>
          </cell>
          <cell r="N113" t="str">
            <v/>
          </cell>
          <cell r="O113">
            <v>1.6369379279012053E-3</v>
          </cell>
          <cell r="P113">
            <v>3.6584998327878759E-3</v>
          </cell>
          <cell r="Q113">
            <v>7.8598095114118527E-3</v>
          </cell>
          <cell r="R113">
            <v>1.3798394770760725E-2</v>
          </cell>
          <cell r="S113" t="str">
            <v/>
          </cell>
          <cell r="T113">
            <v>3.2497406653071326E-2</v>
          </cell>
          <cell r="U113">
            <v>5.5076403398969687E-2</v>
          </cell>
          <cell r="V113">
            <v>9.7615497599739198E-2</v>
          </cell>
          <cell r="W113" t="str">
            <v/>
          </cell>
          <cell r="X113">
            <v>1.720131383295409E-3</v>
          </cell>
          <cell r="Y113">
            <v>3.83284433973341E-3</v>
          </cell>
          <cell r="Z113">
            <v>8.2400570323377664E-3</v>
          </cell>
          <cell r="AA113">
            <v>1.4484624687851611E-2</v>
          </cell>
          <cell r="AB113" t="str">
            <v/>
          </cell>
          <cell r="AC113">
            <v>3.4098333818241566E-2</v>
          </cell>
          <cell r="AD113">
            <v>5.7764848089356113E-2</v>
          </cell>
          <cell r="AE113">
            <v>0.10230710771905749</v>
          </cell>
        </row>
        <row r="114">
          <cell r="D114" t="str">
            <v>EUR</v>
          </cell>
          <cell r="N114" t="str">
            <v/>
          </cell>
          <cell r="O114">
            <v>5.4594323121426314E-4</v>
          </cell>
          <cell r="P114">
            <v>1.3970708096262552E-3</v>
          </cell>
          <cell r="Q114">
            <v>4.8316218745174666E-3</v>
          </cell>
          <cell r="R114">
            <v>9.8205061333527244E-3</v>
          </cell>
          <cell r="S114" t="str">
            <v/>
          </cell>
          <cell r="T114">
            <v>2.5959512728266465E-2</v>
          </cell>
          <cell r="U114">
            <v>4.4800784949898698E-2</v>
          </cell>
          <cell r="V114">
            <v>8.5432329440192856E-2</v>
          </cell>
          <cell r="W114" t="str">
            <v/>
          </cell>
          <cell r="X114">
            <v>6.2922759904748826E-4</v>
          </cell>
          <cell r="Y114">
            <v>1.5634907624471062E-3</v>
          </cell>
          <cell r="Z114">
            <v>5.1632893862315621E-3</v>
          </cell>
          <cell r="AA114">
            <v>1.0315472128474723E-2</v>
          </cell>
          <cell r="AB114" t="str">
            <v/>
          </cell>
          <cell r="AC114">
            <v>2.7231990028239839E-2</v>
          </cell>
          <cell r="AD114">
            <v>4.6988362680224882E-2</v>
          </cell>
          <cell r="AE114">
            <v>8.955760358019671E-2</v>
          </cell>
        </row>
        <row r="115">
          <cell r="D115" t="str">
            <v>EUR</v>
          </cell>
          <cell r="N115" t="str">
            <v/>
          </cell>
          <cell r="O115">
            <v>8.1880333056005838E-4</v>
          </cell>
          <cell r="P115">
            <v>1.7427319313876311E-3</v>
          </cell>
          <cell r="Q115">
            <v>6.207695422293491E-3</v>
          </cell>
          <cell r="R115">
            <v>1.0795753038604028E-2</v>
          </cell>
          <cell r="S115" t="str">
            <v/>
          </cell>
          <cell r="T115">
            <v>2.8467828115225857E-2</v>
          </cell>
          <cell r="U115">
            <v>4.9525752126872713E-2</v>
          </cell>
          <cell r="V115">
            <v>8.9959389463476036E-2</v>
          </cell>
          <cell r="W115" t="str">
            <v/>
          </cell>
          <cell r="X115">
            <v>9.0206496099309863E-4</v>
          </cell>
          <cell r="Y115">
            <v>1.9090942788192455E-3</v>
          </cell>
          <cell r="Z115">
            <v>6.5389043192886076E-3</v>
          </cell>
          <cell r="AA115">
            <v>1.1314948967392824E-2</v>
          </cell>
          <cell r="AB115" t="str">
            <v/>
          </cell>
          <cell r="AC115">
            <v>2.9868767218389713E-2</v>
          </cell>
          <cell r="AD115">
            <v>5.1946430447913694E-2</v>
          </cell>
          <cell r="AE115">
            <v>9.4297801941785053E-2</v>
          </cell>
        </row>
        <row r="116">
          <cell r="D116" t="str">
            <v>EUR</v>
          </cell>
          <cell r="N116" t="str">
            <v/>
          </cell>
          <cell r="O116">
            <v>4.5497334759936336E-4</v>
          </cell>
          <cell r="P116">
            <v>1.22308070448085E-3</v>
          </cell>
          <cell r="Q116">
            <v>4.1419165886716902E-3</v>
          </cell>
          <cell r="R116">
            <v>9.331182816700756E-3</v>
          </cell>
          <cell r="S116" t="str">
            <v/>
          </cell>
          <cell r="T116">
            <v>2.5148525599997584E-2</v>
          </cell>
          <cell r="U116">
            <v>4.2383969088484852E-2</v>
          </cell>
          <cell r="V116">
            <v>8.2177422439858039E-2</v>
          </cell>
          <cell r="W116" t="str">
            <v/>
          </cell>
          <cell r="X116">
            <v>5.3826529594969141E-4</v>
          </cell>
          <cell r="Y116">
            <v>1.3895296532399071E-3</v>
          </cell>
          <cell r="Z116">
            <v>4.4738139638563768E-3</v>
          </cell>
          <cell r="AA116">
            <v>9.8263934123316021E-3</v>
          </cell>
          <cell r="AB116" t="str">
            <v/>
          </cell>
          <cell r="AC116">
            <v>2.6377525112739941E-2</v>
          </cell>
          <cell r="AD116">
            <v>4.4451024007545636E-2</v>
          </cell>
          <cell r="AE116">
            <v>8.6123001423043744E-2</v>
          </cell>
        </row>
        <row r="117">
          <cell r="D117" t="str">
            <v>EUR</v>
          </cell>
          <cell r="N117" t="str">
            <v/>
          </cell>
          <cell r="O117">
            <v>1.820141294202049E-4</v>
          </cell>
          <cell r="P117">
            <v>8.771990960207976E-4</v>
          </cell>
          <cell r="Q117">
            <v>3.4623601708850815E-3</v>
          </cell>
          <cell r="R117">
            <v>7.7901955991001026E-3</v>
          </cell>
          <cell r="S117" t="str">
            <v/>
          </cell>
          <cell r="T117">
            <v>1.9953101357247482E-2</v>
          </cell>
          <cell r="U117">
            <v>3.4009491114034729E-2</v>
          </cell>
          <cell r="V117">
            <v>6.1097318594132255E-2</v>
          </cell>
          <cell r="W117" t="str">
            <v/>
          </cell>
          <cell r="X117">
            <v>2.6532882340812858E-4</v>
          </cell>
          <cell r="Y117">
            <v>1.0437056869131434E-3</v>
          </cell>
          <cell r="Z117">
            <v>3.7944840271290081E-3</v>
          </cell>
          <cell r="AA117">
            <v>8.2861764957382622E-3</v>
          </cell>
          <cell r="AB117" t="str">
            <v/>
          </cell>
          <cell r="AC117">
            <v>2.0919239099150055E-2</v>
          </cell>
          <cell r="AD117">
            <v>3.5662875732787147E-2</v>
          </cell>
          <cell r="AE117">
            <v>6.4046437710694404E-2</v>
          </cell>
        </row>
        <row r="118">
          <cell r="D118" t="str">
            <v>EUR</v>
          </cell>
          <cell r="N118" t="str">
            <v/>
          </cell>
          <cell r="O118">
            <v>5.4594323121426314E-4</v>
          </cell>
          <cell r="P118">
            <v>1.5732511946792149E-3</v>
          </cell>
          <cell r="Q118">
            <v>5.8720409162813514E-3</v>
          </cell>
          <cell r="R118">
            <v>1.2415173920080624E-2</v>
          </cell>
          <cell r="S118" t="str">
            <v/>
          </cell>
          <cell r="T118">
            <v>3.2829344315967068E-2</v>
          </cell>
          <cell r="U118">
            <v>5.9276045111150255E-2</v>
          </cell>
          <cell r="V118">
            <v>0.11061604073705478</v>
          </cell>
          <cell r="W118" t="str">
            <v/>
          </cell>
          <cell r="X118">
            <v>6.2922759904748826E-4</v>
          </cell>
          <cell r="Y118">
            <v>1.7396417865397362E-3</v>
          </cell>
          <cell r="Z118">
            <v>6.2033616794492374E-3</v>
          </cell>
          <cell r="AA118">
            <v>1.3026173444875999E-2</v>
          </cell>
          <cell r="AB118" t="str">
            <v/>
          </cell>
          <cell r="AC118">
            <v>3.4440375902160092E-2</v>
          </cell>
          <cell r="AD118">
            <v>6.2161061272974827E-2</v>
          </cell>
          <cell r="AE118">
            <v>0.11591226237866614</v>
          </cell>
        </row>
        <row r="119">
          <cell r="D119" t="str">
            <v>EUR</v>
          </cell>
          <cell r="N119" t="str">
            <v/>
          </cell>
          <cell r="O119">
            <v>1.0370379099325922E-3</v>
          </cell>
          <cell r="P119">
            <v>2.8642260557074639E-3</v>
          </cell>
          <cell r="Q119">
            <v>8.1131268404998069E-3</v>
          </cell>
          <cell r="R119">
            <v>1.4996555393353428E-2</v>
          </cell>
          <cell r="S119" t="str">
            <v/>
          </cell>
          <cell r="T119">
            <v>3.4220034929788423E-2</v>
          </cell>
          <cell r="U119">
            <v>5.2257166435812907E-2</v>
          </cell>
          <cell r="V119">
            <v>7.8773799474637696E-2</v>
          </cell>
          <cell r="W119" t="str">
            <v/>
          </cell>
          <cell r="X119">
            <v>1.120281354912378E-3</v>
          </cell>
          <cell r="Y119">
            <v>3.0304015030199194E-3</v>
          </cell>
          <cell r="Z119">
            <v>8.503192292706796E-3</v>
          </cell>
          <cell r="AA119">
            <v>1.5740388031233787E-2</v>
          </cell>
          <cell r="AB119" t="str">
            <v/>
          </cell>
          <cell r="AC119">
            <v>3.5902811398058398E-2</v>
          </cell>
          <cell r="AD119">
            <v>5.4806782207309834E-2</v>
          </cell>
          <cell r="AE119">
            <v>8.2558219619120576E-2</v>
          </cell>
        </row>
        <row r="120">
          <cell r="D120" t="str">
            <v>EUR</v>
          </cell>
          <cell r="N120" t="str">
            <v/>
          </cell>
          <cell r="O120">
            <v>1.0461299856532325E-3</v>
          </cell>
          <cell r="P120">
            <v>3.1632134609318463E-3</v>
          </cell>
          <cell r="Q120">
            <v>9.6333708743353563E-3</v>
          </cell>
          <cell r="R120">
            <v>1.7974371832573444E-2</v>
          </cell>
          <cell r="S120" t="str">
            <v/>
          </cell>
          <cell r="T120">
            <v>3.9210781126717165E-2</v>
          </cell>
          <cell r="U120">
            <v>6.1631576143808986E-2</v>
          </cell>
          <cell r="V120">
            <v>9.5374207524688837E-2</v>
          </cell>
          <cell r="W120" t="str">
            <v/>
          </cell>
          <cell r="X120">
            <v>1.1293726729973974E-3</v>
          </cell>
          <cell r="Y120">
            <v>3.3293390811747203E-3</v>
          </cell>
          <cell r="Z120">
            <v>1.0095434144791526E-2</v>
          </cell>
          <cell r="AA120">
            <v>1.8865817303261312E-2</v>
          </cell>
          <cell r="AB120" t="str">
            <v/>
          </cell>
          <cell r="AC120">
            <v>4.1135004707086309E-2</v>
          </cell>
          <cell r="AD120">
            <v>6.462660081609406E-2</v>
          </cell>
          <cell r="AE120">
            <v>9.992030998266932E-2</v>
          </cell>
        </row>
        <row r="121">
          <cell r="D121" t="str">
            <v>EUR</v>
          </cell>
          <cell r="N121" t="str">
            <v/>
          </cell>
          <cell r="O121">
            <v>2.7300879781333443E-4</v>
          </cell>
          <cell r="P121">
            <v>5.2246957288426543E-4</v>
          </cell>
          <cell r="Q121">
            <v>2.423989529563686E-3</v>
          </cell>
          <cell r="R121">
            <v>5.1910229610637737E-3</v>
          </cell>
          <cell r="S121" t="str">
            <v/>
          </cell>
          <cell r="T121">
            <v>1.4822689414550227E-2</v>
          </cell>
          <cell r="U121">
            <v>2.6973440267887172E-2</v>
          </cell>
          <cell r="V121">
            <v>4.9389084116352122E-2</v>
          </cell>
          <cell r="W121" t="str">
            <v/>
          </cell>
          <cell r="X121">
            <v>3.5631590924090073E-4</v>
          </cell>
          <cell r="Y121">
            <v>6.8903528042396633E-4</v>
          </cell>
          <cell r="Z121">
            <v>2.7564594516580332E-3</v>
          </cell>
          <cell r="AA121">
            <v>5.6883031192032085E-3</v>
          </cell>
          <cell r="AB121" t="str">
            <v/>
          </cell>
          <cell r="AC121">
            <v>1.5643328526233402E-2</v>
          </cell>
          <cell r="AD121">
            <v>2.8260501801887772E-2</v>
          </cell>
          <cell r="AE121">
            <v>5.1758745622153768E-2</v>
          </cell>
        </row>
        <row r="122">
          <cell r="D122" t="str">
            <v>EUR</v>
          </cell>
          <cell r="N122" t="str">
            <v/>
          </cell>
          <cell r="O122">
            <v>6.3690485549472431E-4</v>
          </cell>
          <cell r="P122">
            <v>2.0994602738400037E-3</v>
          </cell>
          <cell r="Q122">
            <v>6.5484368162540552E-3</v>
          </cell>
          <cell r="R122">
            <v>1.3419558551839073E-2</v>
          </cell>
          <cell r="S122" t="str">
            <v/>
          </cell>
          <cell r="T122">
            <v>3.2692197762761888E-2</v>
          </cell>
          <cell r="U122">
            <v>5.5273520852263336E-2</v>
          </cell>
          <cell r="V122">
            <v>9.4049443523542609E-2</v>
          </cell>
          <cell r="W122" t="str">
            <v/>
          </cell>
          <cell r="X122">
            <v>7.2018164349907376E-4</v>
          </cell>
          <cell r="Y122">
            <v>2.2657631715060633E-3</v>
          </cell>
          <cell r="Z122">
            <v>6.8795321517071129E-3</v>
          </cell>
          <cell r="AA122">
            <v>1.4082864005925289E-2</v>
          </cell>
          <cell r="AB122" t="str">
            <v/>
          </cell>
          <cell r="AC122">
            <v>3.4298827509011476E-2</v>
          </cell>
          <cell r="AD122">
            <v>5.7968034510056721E-2</v>
          </cell>
          <cell r="AE122">
            <v>9.8545194686271098E-2</v>
          </cell>
        </row>
        <row r="123">
          <cell r="D123" t="str">
            <v>EUR</v>
          </cell>
          <cell r="N123" t="str">
            <v/>
          </cell>
          <cell r="O123">
            <v>5.4594323121426314E-4</v>
          </cell>
          <cell r="P123">
            <v>1.3970708096262552E-3</v>
          </cell>
          <cell r="Q123">
            <v>4.8316218745174666E-3</v>
          </cell>
          <cell r="R123">
            <v>1.035088639451387E-2</v>
          </cell>
          <cell r="S123" t="str">
            <v/>
          </cell>
          <cell r="T123">
            <v>2.6812391090289545E-2</v>
          </cell>
          <cell r="U123">
            <v>4.7257143490811226E-2</v>
          </cell>
          <cell r="V123">
            <v>8.1132308738468328E-2</v>
          </cell>
          <cell r="W123" t="str">
            <v/>
          </cell>
          <cell r="X123">
            <v>6.2922759904748826E-4</v>
          </cell>
          <cell r="Y123">
            <v>1.5634907624471062E-3</v>
          </cell>
          <cell r="Z123">
            <v>5.1632893862315621E-3</v>
          </cell>
          <cell r="AA123">
            <v>1.0845587265799872E-2</v>
          </cell>
          <cell r="AB123" t="str">
            <v/>
          </cell>
          <cell r="AC123">
            <v>2.8128493389712017E-2</v>
          </cell>
          <cell r="AD123">
            <v>4.9565084696422068E-2</v>
          </cell>
          <cell r="AE123">
            <v>8.5032817118908199E-2</v>
          </cell>
        </row>
        <row r="124">
          <cell r="D124" t="str">
            <v>EUR</v>
          </cell>
          <cell r="N124" t="str">
            <v/>
          </cell>
          <cell r="O124">
            <v>1.9095009945562236E-3</v>
          </cell>
          <cell r="P124">
            <v>3.6515597423353308E-3</v>
          </cell>
          <cell r="Q124">
            <v>1.3066876626733004E-2</v>
          </cell>
          <cell r="R124">
            <v>3.6683331101901251E-2</v>
          </cell>
          <cell r="S124" t="str">
            <v/>
          </cell>
          <cell r="T124">
            <v>8.1100304588341832E-2</v>
          </cell>
          <cell r="U124">
            <v>0.13378669175409796</v>
          </cell>
          <cell r="V124">
            <v>0.21277453829098236</v>
          </cell>
          <cell r="W124" t="str">
            <v/>
          </cell>
          <cell r="X124">
            <v>1.9968300925197191E-3</v>
          </cell>
          <cell r="Y124">
            <v>3.8259054636848866E-3</v>
          </cell>
          <cell r="Z124">
            <v>1.37169244105253E-2</v>
          </cell>
          <cell r="AA124">
            <v>3.8493322360746651E-2</v>
          </cell>
          <cell r="AB124" t="str">
            <v/>
          </cell>
          <cell r="AC124">
            <v>8.5027733719889698E-2</v>
          </cell>
          <cell r="AD124">
            <v>0.14011136690166492</v>
          </cell>
          <cell r="AE124">
            <v>0.22242282650306966</v>
          </cell>
        </row>
        <row r="125">
          <cell r="D125" t="str">
            <v>EUR</v>
          </cell>
          <cell r="N125" t="str">
            <v/>
          </cell>
          <cell r="O125">
            <v>1.2734050585156975E-3</v>
          </cell>
          <cell r="P125">
            <v>2.963901207762798E-3</v>
          </cell>
          <cell r="Q125">
            <v>1.1025630665352559E-2</v>
          </cell>
          <cell r="R125">
            <v>2.2652312260101226E-2</v>
          </cell>
          <cell r="S125" t="str">
            <v/>
          </cell>
          <cell r="T125">
            <v>5.4622290529526163E-2</v>
          </cell>
          <cell r="U125">
            <v>9.4981299794288154E-2</v>
          </cell>
          <cell r="V125">
            <v>0.15464328644700531</v>
          </cell>
          <cell r="W125" t="str">
            <v/>
          </cell>
          <cell r="X125">
            <v>1.3566288070471222E-3</v>
          </cell>
          <cell r="Y125">
            <v>3.1300600439404525E-3</v>
          </cell>
          <cell r="Z125">
            <v>1.1573056601427933E-2</v>
          </cell>
          <cell r="AA125">
            <v>2.3773292678996305E-2</v>
          </cell>
          <cell r="AB125" t="str">
            <v/>
          </cell>
          <cell r="AC125">
            <v>5.7284441189375035E-2</v>
          </cell>
          <cell r="AD125">
            <v>9.9536115189613694E-2</v>
          </cell>
          <cell r="AE125">
            <v>0.16187585405353566</v>
          </cell>
        </row>
        <row r="126">
          <cell r="D126" t="str">
            <v>EUR</v>
          </cell>
          <cell r="N126" t="str">
            <v/>
          </cell>
          <cell r="O126">
            <v>2.7300879781333443E-4</v>
          </cell>
          <cell r="P126">
            <v>1.0512575945389457E-3</v>
          </cell>
          <cell r="Q126">
            <v>3.8033174080542853E-3</v>
          </cell>
          <cell r="R126">
            <v>7.2345642601338023E-3</v>
          </cell>
          <cell r="S126" t="str">
            <v/>
          </cell>
          <cell r="T126">
            <v>1.9070850575711562E-2</v>
          </cell>
          <cell r="U126">
            <v>3.1507614881115198E-2</v>
          </cell>
          <cell r="V126">
            <v>5.3818447107337297E-2</v>
          </cell>
          <cell r="W126" t="str">
            <v/>
          </cell>
          <cell r="X126">
            <v>3.5631590924090073E-4</v>
          </cell>
          <cell r="Y126">
            <v>1.2177351780808809E-3</v>
          </cell>
          <cell r="Z126">
            <v>4.1353276307973807E-3</v>
          </cell>
          <cell r="AA126">
            <v>7.7308229030035314E-3</v>
          </cell>
          <cell r="AB126" t="str">
            <v/>
          </cell>
          <cell r="AC126">
            <v>1.9992903153255082E-2</v>
          </cell>
          <cell r="AD126">
            <v>3.3038419490919235E-2</v>
          </cell>
          <cell r="AE126">
            <v>5.6420325495721846E-2</v>
          </cell>
        </row>
        <row r="127">
          <cell r="D127" t="str">
            <v>EUR</v>
          </cell>
          <cell r="N127" t="str">
            <v/>
          </cell>
          <cell r="O127">
            <v>4.5497334759936336E-4</v>
          </cell>
          <cell r="P127">
            <v>1.9278047053625791E-3</v>
          </cell>
          <cell r="Q127">
            <v>6.5592652631388804E-3</v>
          </cell>
          <cell r="R127">
            <v>1.2901106729871992E-2</v>
          </cell>
          <cell r="S127" t="str">
            <v/>
          </cell>
          <cell r="T127">
            <v>3.274379074852074E-2</v>
          </cell>
          <cell r="U127">
            <v>5.5325578898474004E-2</v>
          </cell>
          <cell r="V127">
            <v>9.5973809331030613E-2</v>
          </cell>
          <cell r="W127" t="str">
            <v/>
          </cell>
          <cell r="X127">
            <v>5.3826529594969141E-4</v>
          </cell>
          <cell r="Y127">
            <v>2.094136209900177E-3</v>
          </cell>
          <cell r="Z127">
            <v>6.8903569897027506E-3</v>
          </cell>
          <cell r="AA127">
            <v>1.3538221601976597E-2</v>
          </cell>
          <cell r="AB127" t="str">
            <v/>
          </cell>
          <cell r="AC127">
            <v>3.4352529236707952E-2</v>
          </cell>
          <cell r="AD127">
            <v>5.8022461432181482E-2</v>
          </cell>
          <cell r="AE127">
            <v>0.1005842496976368</v>
          </cell>
        </row>
        <row r="128">
          <cell r="D128" t="str">
            <v>EUR</v>
          </cell>
          <cell r="N128" t="str">
            <v/>
          </cell>
          <cell r="O128">
            <v>9.0974018358735975E-4</v>
          </cell>
          <cell r="P128">
            <v>2.7970014672076271E-3</v>
          </cell>
          <cell r="Q128">
            <v>8.2581943532946678E-3</v>
          </cell>
          <cell r="R128">
            <v>1.5947238663102103E-2</v>
          </cell>
          <cell r="S128" t="str">
            <v/>
          </cell>
          <cell r="T128">
            <v>4.477092933673843E-2</v>
          </cell>
          <cell r="U128">
            <v>7.5360539986676689E-2</v>
          </cell>
          <cell r="V128">
            <v>0.12109344447539128</v>
          </cell>
          <cell r="W128" t="str">
            <v/>
          </cell>
          <cell r="X128">
            <v>9.9299423627774441E-4</v>
          </cell>
          <cell r="Y128">
            <v>2.9631881176895858E-3</v>
          </cell>
          <cell r="Z128">
            <v>8.6548117467698527E-3</v>
          </cell>
          <cell r="AA128">
            <v>1.6737839472473315E-2</v>
          </cell>
          <cell r="AB128" t="str">
            <v/>
          </cell>
          <cell r="AC128">
            <v>4.6963705460402405E-2</v>
          </cell>
          <cell r="AD128">
            <v>7.9007991125429111E-2</v>
          </cell>
          <cell r="AE128">
            <v>0.12684009781984307</v>
          </cell>
        </row>
        <row r="129">
          <cell r="D129" t="str">
            <v>EUR</v>
          </cell>
          <cell r="N129" t="str">
            <v/>
          </cell>
          <cell r="O129">
            <v>6.3690485549472431E-4</v>
          </cell>
          <cell r="P129">
            <v>1.7471884482904709E-3</v>
          </cell>
          <cell r="Q129">
            <v>5.8635650664877748E-3</v>
          </cell>
          <cell r="R129">
            <v>1.240652024510347E-2</v>
          </cell>
          <cell r="S129" t="str">
            <v/>
          </cell>
          <cell r="T129">
            <v>3.2820358938562832E-2</v>
          </cell>
          <cell r="U129">
            <v>5.7979315402498011E-2</v>
          </cell>
          <cell r="V129">
            <v>0.10324679274699833</v>
          </cell>
          <cell r="W129" t="str">
            <v/>
          </cell>
          <cell r="X129">
            <v>7.2018164349907376E-4</v>
          </cell>
          <cell r="Y129">
            <v>1.9135500530244043E-3</v>
          </cell>
          <cell r="Z129">
            <v>6.1948886544578308E-3</v>
          </cell>
          <cell r="AA129">
            <v>1.3017485727207068E-2</v>
          </cell>
          <cell r="AB129" t="str">
            <v/>
          </cell>
          <cell r="AC129">
            <v>3.4431340851010073E-2</v>
          </cell>
          <cell r="AD129">
            <v>6.0802503707572231E-2</v>
          </cell>
          <cell r="AE129">
            <v>0.10819720290985746</v>
          </cell>
        </row>
        <row r="130">
          <cell r="D130" t="str">
            <v>EUR</v>
          </cell>
          <cell r="N130" t="str">
            <v/>
          </cell>
          <cell r="O130">
            <v>1.0006687817649684E-3</v>
          </cell>
          <cell r="P130">
            <v>2.6186876321401265E-3</v>
          </cell>
          <cell r="Q130">
            <v>6.5205503597596248E-3</v>
          </cell>
          <cell r="R130">
            <v>1.33911010642499E-2</v>
          </cell>
          <cell r="S130" t="str">
            <v/>
          </cell>
          <cell r="T130">
            <v>3.2662866552734204E-2</v>
          </cell>
          <cell r="U130">
            <v>5.6531715302251651E-2</v>
          </cell>
          <cell r="V130">
            <v>9.7599269559602964E-2</v>
          </cell>
          <cell r="W130" t="str">
            <v/>
          </cell>
          <cell r="X130">
            <v>1.0839152573786093E-3</v>
          </cell>
          <cell r="Y130">
            <v>2.78490399911413E-3</v>
          </cell>
          <cell r="Z130">
            <v>6.8516549891473044E-3</v>
          </cell>
          <cell r="AA130">
            <v>1.4054285805512934E-2</v>
          </cell>
          <cell r="AB130" t="str">
            <v/>
          </cell>
          <cell r="AC130">
            <v>3.4269334910502325E-2</v>
          </cell>
          <cell r="AD130">
            <v>5.9287947336480351E-2</v>
          </cell>
          <cell r="AE130">
            <v>0.10228649222826824</v>
          </cell>
        </row>
        <row r="131">
          <cell r="D131" t="str">
            <v>EUR</v>
          </cell>
          <cell r="N131" t="str">
            <v/>
          </cell>
          <cell r="O131">
            <v>7.2785822158416558E-4</v>
          </cell>
          <cell r="P131">
            <v>1.744960105844795E-3</v>
          </cell>
          <cell r="Q131">
            <v>6.5586206526362378E-3</v>
          </cell>
          <cell r="R131">
            <v>1.2370859980084248E-2</v>
          </cell>
          <cell r="S131" t="str">
            <v/>
          </cell>
          <cell r="T131">
            <v>3.2783329141084838E-2</v>
          </cell>
          <cell r="U131">
            <v>5.4076735890140726E-2</v>
          </cell>
          <cell r="V131">
            <v>9.2429670483917259E-2</v>
          </cell>
          <cell r="W131" t="str">
            <v/>
          </cell>
          <cell r="X131">
            <v>8.1112743046984903E-4</v>
          </cell>
          <cell r="Y131">
            <v>1.9113220819424459E-3</v>
          </cell>
          <cell r="Z131">
            <v>6.8897125940247106E-3</v>
          </cell>
          <cell r="AA131">
            <v>1.2963259726413878E-2</v>
          </cell>
          <cell r="AB131" t="str">
            <v/>
          </cell>
          <cell r="AC131">
            <v>3.4395508550795983E-2</v>
          </cell>
          <cell r="AD131">
            <v>5.6715328089780859E-2</v>
          </cell>
          <cell r="AE131">
            <v>9.6852402932293691E-2</v>
          </cell>
        </row>
        <row r="132">
          <cell r="D132" t="str">
            <v>EUR</v>
          </cell>
          <cell r="N132" t="str">
            <v/>
          </cell>
          <cell r="O132">
            <v>6.3690485549472431E-4</v>
          </cell>
          <cell r="P132">
            <v>1.3948581478229194E-3</v>
          </cell>
          <cell r="Q132">
            <v>4.4803848348143882E-3</v>
          </cell>
          <cell r="R132">
            <v>8.7734748813398378E-3</v>
          </cell>
          <cell r="S132" t="str">
            <v/>
          </cell>
          <cell r="T132">
            <v>2.3373124735235562E-2</v>
          </cell>
          <cell r="U132">
            <v>3.7387212017802818E-2</v>
          </cell>
          <cell r="V132">
            <v>6.7745367232942111E-2</v>
          </cell>
          <cell r="W132" t="str">
            <v/>
          </cell>
          <cell r="X132">
            <v>7.2018164349907376E-4</v>
          </cell>
          <cell r="Y132">
            <v>1.5612784693798121E-3</v>
          </cell>
          <cell r="Z132">
            <v>4.812169406048783E-3</v>
          </cell>
          <cell r="AA132">
            <v>9.2689642612319156E-3</v>
          </cell>
          <cell r="AB132" t="str">
            <v/>
          </cell>
          <cell r="AC132">
            <v>2.4514499352385921E-2</v>
          </cell>
          <cell r="AD132">
            <v>3.9211367521341356E-2</v>
          </cell>
          <cell r="AE132">
            <v>7.1013938880104877E-2</v>
          </cell>
        </row>
        <row r="133">
          <cell r="D133" t="str">
            <v>EUR</v>
          </cell>
          <cell r="N133" t="str">
            <v/>
          </cell>
          <cell r="O133">
            <v>2.7300879781333443E-4</v>
          </cell>
          <cell r="P133">
            <v>1.0512575945389457E-3</v>
          </cell>
          <cell r="Q133">
            <v>4.5016027887184729E-3</v>
          </cell>
          <cell r="R133">
            <v>9.3256218506686528E-3</v>
          </cell>
          <cell r="S133" t="str">
            <v/>
          </cell>
          <cell r="T133">
            <v>2.5142785420706582E-2</v>
          </cell>
          <cell r="U133">
            <v>4.2378159904398416E-2</v>
          </cell>
          <cell r="V133">
            <v>7.8340968265681155E-2</v>
          </cell>
          <cell r="W133" t="str">
            <v/>
          </cell>
          <cell r="X133">
            <v>3.5631590924090073E-4</v>
          </cell>
          <cell r="Y133">
            <v>1.2177351780808809E-3</v>
          </cell>
          <cell r="Z133">
            <v>4.8333802884625854E-3</v>
          </cell>
          <cell r="AA133">
            <v>9.8208352260754639E-3</v>
          </cell>
          <cell r="AB133" t="str">
            <v/>
          </cell>
          <cell r="AC133">
            <v>2.6371759508249437E-2</v>
          </cell>
          <cell r="AD133">
            <v>4.4445186482142129E-2</v>
          </cell>
          <cell r="AE133">
            <v>8.2107499795573746E-2</v>
          </cell>
        </row>
        <row r="134">
          <cell r="D134" t="str">
            <v>EUR</v>
          </cell>
          <cell r="N134" t="str">
            <v/>
          </cell>
          <cell r="O134">
            <v>5.4594323121426314E-4</v>
          </cell>
          <cell r="P134">
            <v>1.5732511946792149E-3</v>
          </cell>
          <cell r="Q134">
            <v>6.2207748185563183E-3</v>
          </cell>
          <cell r="R134">
            <v>1.292818812011276E-2</v>
          </cell>
          <cell r="S134" t="str">
            <v/>
          </cell>
          <cell r="T134">
            <v>3.366067248634852E-2</v>
          </cell>
          <cell r="U134">
            <v>5.7833393624994844E-2</v>
          </cell>
          <cell r="V134">
            <v>0.10876125295028838</v>
          </cell>
          <cell r="W134" t="str">
            <v/>
          </cell>
          <cell r="X134">
            <v>6.2922759904748826E-4</v>
          </cell>
          <cell r="Y134">
            <v>1.7396417865397362E-3</v>
          </cell>
          <cell r="Z134">
            <v>6.5519793564798867E-3</v>
          </cell>
          <cell r="AA134">
            <v>1.3565393683712124E-2</v>
          </cell>
          <cell r="AB134" t="str">
            <v/>
          </cell>
          <cell r="AC134">
            <v>3.5312811369475616E-2</v>
          </cell>
          <cell r="AD134">
            <v>6.0649230090923711E-2</v>
          </cell>
          <cell r="AE134">
            <v>0.11397102457958364</v>
          </cell>
        </row>
        <row r="135">
          <cell r="D135" t="str">
            <v>EUR</v>
          </cell>
          <cell r="N135" t="str">
            <v/>
          </cell>
          <cell r="O135">
            <v>1.0734057175864065E-3</v>
          </cell>
          <cell r="P135">
            <v>2.6696849839024095E-3</v>
          </cell>
          <cell r="Q135">
            <v>7.1091502464659673E-3</v>
          </cell>
          <cell r="R135">
            <v>1.2776624107392442E-2</v>
          </cell>
          <cell r="S135" t="str">
            <v/>
          </cell>
          <cell r="T135">
            <v>2.733637709428427E-2</v>
          </cell>
          <cell r="U135">
            <v>4.3169579725446328E-2</v>
          </cell>
          <cell r="V135">
            <v>6.7773629557425163E-2</v>
          </cell>
          <cell r="W135" t="str">
            <v/>
          </cell>
          <cell r="X135">
            <v>1.1566461320424715E-3</v>
          </cell>
          <cell r="Y135">
            <v>2.8358928520327842E-3</v>
          </cell>
          <cell r="Z135">
            <v>7.4516385070125812E-3</v>
          </cell>
          <cell r="AA135">
            <v>1.3410297648045466E-2</v>
          </cell>
          <cell r="AB135" t="str">
            <v/>
          </cell>
          <cell r="AC135">
            <v>2.8683991104670459E-2</v>
          </cell>
          <cell r="AD135">
            <v>4.5284087662056716E-2</v>
          </cell>
          <cell r="AE135">
            <v>7.1049737625763609E-2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1.2447929071296437E-3</v>
          </cell>
          <cell r="Q136" t="str">
            <v/>
          </cell>
          <cell r="R136">
            <v>9.3506776630444266E-3</v>
          </cell>
          <cell r="S136" t="str">
            <v/>
          </cell>
          <cell r="T136">
            <v>2.3776874189456287E-2</v>
          </cell>
          <cell r="U136">
            <v>3.7089339485033457E-2</v>
          </cell>
          <cell r="V136">
            <v>6.2782934730373774E-2</v>
          </cell>
          <cell r="W136" t="str">
            <v/>
          </cell>
          <cell r="X136" t="str">
            <v/>
          </cell>
          <cell r="Y136">
            <v>1.4112382374846799E-3</v>
          </cell>
          <cell r="Z136" t="str">
            <v/>
          </cell>
          <cell r="AA136">
            <v>9.8458785137166549E-3</v>
          </cell>
          <cell r="AB136" t="str">
            <v/>
          </cell>
          <cell r="AC136">
            <v>2.4941003117541216E-2</v>
          </cell>
          <cell r="AD136">
            <v>3.8901707481254433E-2</v>
          </cell>
          <cell r="AE136">
            <v>6.5818079061830015E-2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2.4741458840724651E-3</v>
          </cell>
          <cell r="Q137" t="str">
            <v/>
          </cell>
          <cell r="R137">
            <v>1.3533589798424672E-2</v>
          </cell>
          <cell r="S137" t="str">
            <v/>
          </cell>
          <cell r="T137">
            <v>3.3147968117997584E-2</v>
          </cell>
          <cell r="U137">
            <v>5.7528142573739505E-2</v>
          </cell>
          <cell r="V137">
            <v>9.766831710565016E-2</v>
          </cell>
          <cell r="W137" t="str">
            <v/>
          </cell>
          <cell r="X137" t="str">
            <v/>
          </cell>
          <cell r="Y137">
            <v>2.6403863393338334E-3</v>
          </cell>
          <cell r="Z137" t="str">
            <v/>
          </cell>
          <cell r="AA137">
            <v>1.4184689277878526E-2</v>
          </cell>
          <cell r="AB137" t="str">
            <v/>
          </cell>
          <cell r="AC137">
            <v>3.4778403845987405E-2</v>
          </cell>
          <cell r="AD137">
            <v>6.0332051277701804E-2</v>
          </cell>
          <cell r="AE137">
            <v>0.10235837996539221</v>
          </cell>
        </row>
        <row r="138">
          <cell r="D138" t="str">
            <v>USD</v>
          </cell>
          <cell r="N138" t="str">
            <v/>
          </cell>
          <cell r="O138">
            <v>1.2188824510293017E-3</v>
          </cell>
          <cell r="P138">
            <v>3.6339720499689587E-3</v>
          </cell>
          <cell r="Q138">
            <v>1.0480688632767188E-2</v>
          </cell>
          <cell r="R138">
            <v>1.8119827201183436E-2</v>
          </cell>
          <cell r="S138" t="str">
            <v/>
          </cell>
          <cell r="T138">
            <v>3.6229829252400036E-2</v>
          </cell>
          <cell r="U138">
            <v>5.4758275426606828E-2</v>
          </cell>
          <cell r="V138">
            <v>8.3804781795728478E-2</v>
          </cell>
          <cell r="W138" t="str">
            <v/>
          </cell>
          <cell r="X138">
            <v>1.3021107429398437E-3</v>
          </cell>
          <cell r="Y138">
            <v>3.8066605280486776E-3</v>
          </cell>
          <cell r="Z138">
            <v>1.1001933432927768E-2</v>
          </cell>
          <cell r="AA138">
            <v>1.9018143846343816E-2</v>
          </cell>
          <cell r="AB138" t="str">
            <v/>
          </cell>
          <cell r="AC138">
            <v>3.8008774060655282E-2</v>
          </cell>
          <cell r="AD138">
            <v>5.7424367103765528E-2</v>
          </cell>
          <cell r="AE138">
            <v>8.7817439179784018E-2</v>
          </cell>
        </row>
        <row r="139">
          <cell r="D139" t="str">
            <v>USD</v>
          </cell>
          <cell r="N139" t="str">
            <v/>
          </cell>
          <cell r="O139" t="str">
            <v/>
          </cell>
          <cell r="P139">
            <v>1.3526604913148832E-3</v>
          </cell>
          <cell r="Q139" t="str">
            <v/>
          </cell>
          <cell r="R139">
            <v>7.6883722233259677E-3</v>
          </cell>
          <cell r="S139" t="str">
            <v/>
          </cell>
          <cell r="T139">
            <v>1.8742656356136145E-2</v>
          </cell>
          <cell r="U139">
            <v>3.0332840046010778E-2</v>
          </cell>
          <cell r="V139">
            <v>6.1658555512821511E-2</v>
          </cell>
          <cell r="W139" t="str">
            <v/>
          </cell>
          <cell r="X139" t="str">
            <v/>
          </cell>
          <cell r="Y139">
            <v>1.5190878452285839E-3</v>
          </cell>
          <cell r="Z139" t="str">
            <v/>
          </cell>
          <cell r="AA139">
            <v>8.184404018919178E-3</v>
          </cell>
          <cell r="AB139" t="str">
            <v/>
          </cell>
          <cell r="AC139">
            <v>1.9651585456804788E-2</v>
          </cell>
          <cell r="AD139">
            <v>3.1809161577680101E-2</v>
          </cell>
          <cell r="AE139">
            <v>6.4635852496682467E-2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1.6414103355083531E-3</v>
          </cell>
          <cell r="Q140" t="str">
            <v/>
          </cell>
          <cell r="R140">
            <v>1.3911817055039299E-2</v>
          </cell>
          <cell r="S140" t="str">
            <v/>
          </cell>
          <cell r="T140">
            <v>3.3605935397596154E-2</v>
          </cell>
          <cell r="U140">
            <v>5.565254927765062E-2</v>
          </cell>
          <cell r="V140">
            <v>9.8065167450972046E-2</v>
          </cell>
          <cell r="W140" t="str">
            <v/>
          </cell>
          <cell r="X140" t="str">
            <v/>
          </cell>
          <cell r="Y140">
            <v>1.8077895684687206E-3</v>
          </cell>
          <cell r="Z140" t="str">
            <v/>
          </cell>
          <cell r="AA140">
            <v>1.4577694697156862E-2</v>
          </cell>
          <cell r="AB140" t="str">
            <v/>
          </cell>
          <cell r="AC140">
            <v>3.5255842473326582E-2</v>
          </cell>
          <cell r="AD140">
            <v>5.8363400513410268E-2</v>
          </cell>
          <cell r="AE140">
            <v>0.1027729201567823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2.0987179082332386E-3</v>
          </cell>
          <cell r="Q141" t="str">
            <v/>
          </cell>
          <cell r="R141">
            <v>9.8266486249940499E-3</v>
          </cell>
          <cell r="S141" t="str">
            <v/>
          </cell>
          <cell r="T141">
            <v>2.0629239047427528E-2</v>
          </cell>
          <cell r="U141">
            <v>3.2062430848398549E-2</v>
          </cell>
          <cell r="V141">
            <v>5.5673638349171495E-2</v>
          </cell>
          <cell r="W141" t="str">
            <v/>
          </cell>
          <cell r="X141" t="str">
            <v/>
          </cell>
          <cell r="Y141">
            <v>2.2650209296275481E-3</v>
          </cell>
          <cell r="Z141" t="str">
            <v/>
          </cell>
          <cell r="AA141">
            <v>1.0321611549645726E-2</v>
          </cell>
          <cell r="AB141" t="str">
            <v/>
          </cell>
          <cell r="AC141">
            <v>2.1644627893846136E-2</v>
          </cell>
          <cell r="AD141">
            <v>3.3635921197798568E-2</v>
          </cell>
          <cell r="AE141">
            <v>5.8378014126842959E-2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2.0500410574152417E-3</v>
          </cell>
          <cell r="Q142" t="str">
            <v/>
          </cell>
          <cell r="R142">
            <v>1.1807707588654348E-2</v>
          </cell>
          <cell r="S142" t="str">
            <v/>
          </cell>
          <cell r="T142">
            <v>2.9068610910760073E-2</v>
          </cell>
          <cell r="U142">
            <v>5.2826377542974479E-2</v>
          </cell>
          <cell r="V142">
            <v>9.2468493835141885E-2</v>
          </cell>
          <cell r="W142" t="str">
            <v/>
          </cell>
          <cell r="X142" t="str">
            <v/>
          </cell>
          <cell r="Y142">
            <v>2.2163521909092099E-3</v>
          </cell>
          <cell r="Z142" t="str">
            <v/>
          </cell>
          <cell r="AA142">
            <v>1.2376001733589326E-2</v>
          </cell>
          <cell r="AB142" t="str">
            <v/>
          </cell>
          <cell r="AC142">
            <v>3.0499084201434545E-2</v>
          </cell>
          <cell r="AD142">
            <v>5.5405444743345633E-2</v>
          </cell>
          <cell r="AE142">
            <v>9.6922423949325154E-2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2.0709028533263396E-3</v>
          </cell>
          <cell r="Q143" t="str">
            <v/>
          </cell>
          <cell r="R143">
            <v>1.2457848377123382E-2</v>
          </cell>
          <cell r="S143" t="str">
            <v/>
          </cell>
          <cell r="T143">
            <v>3.0282901097456905E-2</v>
          </cell>
          <cell r="U143">
            <v>4.3547145282777699E-2</v>
          </cell>
          <cell r="V143">
            <v>6.4785350561814892E-2</v>
          </cell>
          <cell r="W143" t="str">
            <v/>
          </cell>
          <cell r="X143" t="str">
            <v/>
          </cell>
          <cell r="Y143">
            <v>2.2372105101641226E-3</v>
          </cell>
          <cell r="Z143" t="str">
            <v/>
          </cell>
          <cell r="AA143">
            <v>1.3056857834771729E-2</v>
          </cell>
          <cell r="AB143" t="str">
            <v/>
          </cell>
          <cell r="AC143">
            <v>3.1772620868964818E-2</v>
          </cell>
          <cell r="AD143">
            <v>4.5677471832602068E-2</v>
          </cell>
          <cell r="AE143">
            <v>6.7915806116818911E-2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1.9196450297898071E-3</v>
          </cell>
          <cell r="Q144" t="str">
            <v/>
          </cell>
          <cell r="R144">
            <v>9.2492150627133674E-3</v>
          </cell>
          <cell r="S144" t="str">
            <v/>
          </cell>
          <cell r="T144">
            <v>2.1999104366447364E-2</v>
          </cell>
          <cell r="U144">
            <v>4.2250656324916536E-2</v>
          </cell>
          <cell r="V144">
            <v>7.4592546792852432E-2</v>
          </cell>
          <cell r="W144" t="str">
            <v/>
          </cell>
          <cell r="X144" t="str">
            <v/>
          </cell>
          <cell r="Y144">
            <v>2.0859778941660911E-3</v>
          </cell>
          <cell r="Z144" t="str">
            <v/>
          </cell>
          <cell r="AA144">
            <v>9.744466631994908E-3</v>
          </cell>
          <cell r="AB144" t="str">
            <v/>
          </cell>
          <cell r="AC144">
            <v>2.307809524192872E-2</v>
          </cell>
          <cell r="AD144">
            <v>4.4316175987050954E-2</v>
          </cell>
          <cell r="AE144">
            <v>7.8188704649759133E-2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2.0396099972084247E-3</v>
          </cell>
          <cell r="Q145" t="str">
            <v/>
          </cell>
          <cell r="R145">
            <v>1.5926265603397161E-2</v>
          </cell>
          <cell r="S145" t="str">
            <v/>
          </cell>
          <cell r="T145">
            <v>3.334595367808213E-2</v>
          </cell>
          <cell r="U145">
            <v>5.7764442095641355E-2</v>
          </cell>
          <cell r="V145">
            <v>0.10618854650438403</v>
          </cell>
          <cell r="W145" t="str">
            <v/>
          </cell>
          <cell r="X145" t="str">
            <v/>
          </cell>
          <cell r="Y145">
            <v>2.2059228690995969E-3</v>
          </cell>
          <cell r="Z145" t="str">
            <v/>
          </cell>
          <cell r="AA145">
            <v>1.6710750062367108E-2</v>
          </cell>
          <cell r="AB145" t="str">
            <v/>
          </cell>
          <cell r="AC145">
            <v>3.4981858095125995E-2</v>
          </cell>
          <cell r="AD145">
            <v>6.0573955521038503E-2</v>
          </cell>
          <cell r="AE145">
            <v>0.11127455793747931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1.8066214655855228E-3</v>
          </cell>
          <cell r="Q146" t="str">
            <v/>
          </cell>
          <cell r="R146">
            <v>1.4648353877763753E-2</v>
          </cell>
          <cell r="S146" t="str">
            <v/>
          </cell>
          <cell r="T146">
            <v>3.7387620872978755E-2</v>
          </cell>
          <cell r="U146">
            <v>6.5753368031064574E-2</v>
          </cell>
          <cell r="V146">
            <v>0.12450316976446407</v>
          </cell>
          <cell r="W146" t="str">
            <v/>
          </cell>
          <cell r="X146" t="str">
            <v/>
          </cell>
          <cell r="Y146">
            <v>1.9729731656353833E-3</v>
          </cell>
          <cell r="Z146" t="str">
            <v/>
          </cell>
          <cell r="AA146">
            <v>1.5369180035513574E-2</v>
          </cell>
          <cell r="AB146" t="str">
            <v/>
          </cell>
          <cell r="AC146">
            <v>3.9219206907140647E-2</v>
          </cell>
          <cell r="AD146">
            <v>6.8943718417558419E-2</v>
          </cell>
          <cell r="AE146">
            <v>0.13043414626973349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1.6622806069246376E-3</v>
          </cell>
          <cell r="Q147" t="str">
            <v/>
          </cell>
          <cell r="R147">
            <v>9.2836890770342517E-3</v>
          </cell>
          <cell r="S147" t="str">
            <v/>
          </cell>
          <cell r="T147">
            <v>3.0239223190937303E-2</v>
          </cell>
          <cell r="U147">
            <v>5.768196085719568E-2</v>
          </cell>
          <cell r="V147">
            <v>0.11211494297338365</v>
          </cell>
          <cell r="W147" t="str">
            <v/>
          </cell>
          <cell r="X147" t="str">
            <v/>
          </cell>
          <cell r="Y147">
            <v>1.8286563617743168E-3</v>
          </cell>
          <cell r="Z147" t="str">
            <v/>
          </cell>
          <cell r="AA147">
            <v>9.7789234135656766E-3</v>
          </cell>
          <cell r="AB147" t="str">
            <v/>
          </cell>
          <cell r="AC147">
            <v>3.1720214914026101E-2</v>
          </cell>
          <cell r="AD147">
            <v>6.0489078253941231E-2</v>
          </cell>
          <cell r="AE147">
            <v>0.11748856468622448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1.098631281780782E-3</v>
          </cell>
          <cell r="Q148" t="str">
            <v/>
          </cell>
          <cell r="R148">
            <v>9.6620733669479097E-3</v>
          </cell>
          <cell r="S148" t="str">
            <v/>
          </cell>
          <cell r="T148">
            <v>2.9815672895977641E-2</v>
          </cell>
          <cell r="U148">
            <v>5.2873604098409466E-2</v>
          </cell>
          <cell r="V148">
            <v>0.10182740795280198</v>
          </cell>
          <cell r="W148" t="str">
            <v/>
          </cell>
          <cell r="X148" t="str">
            <v/>
          </cell>
          <cell r="Y148">
            <v>1.2651009703629201E-3</v>
          </cell>
          <cell r="Z148" t="str">
            <v/>
          </cell>
          <cell r="AA148">
            <v>1.0157118558647427E-2</v>
          </cell>
          <cell r="AB148" t="str">
            <v/>
          </cell>
          <cell r="AC148">
            <v>3.1275930297053445E-2</v>
          </cell>
          <cell r="AD148">
            <v>5.5449510770520738E-2</v>
          </cell>
          <cell r="AE148">
            <v>0.10672068191964879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5.7122897326666866E-4</v>
          </cell>
          <cell r="Q149" t="str">
            <v/>
          </cell>
          <cell r="R149">
            <v>5.085291880474796E-3</v>
          </cell>
          <cell r="S149" t="str">
            <v/>
          </cell>
          <cell r="T149">
            <v>1.4303832773260083E-2</v>
          </cell>
          <cell r="U149">
            <v>2.7172247633156954E-2</v>
          </cell>
          <cell r="V149">
            <v>5.2851796365302461E-2</v>
          </cell>
          <cell r="W149" t="str">
            <v/>
          </cell>
          <cell r="X149" t="str">
            <v/>
          </cell>
          <cell r="Y149">
            <v>7.3778655492984235E-4</v>
          </cell>
          <cell r="Z149" t="str">
            <v/>
          </cell>
          <cell r="AA149">
            <v>5.5826248909025544E-3</v>
          </cell>
          <cell r="AB149" t="str">
            <v/>
          </cell>
          <cell r="AC149">
            <v>1.5124904085395685E-2</v>
          </cell>
          <cell r="AD149">
            <v>2.8462284466911902E-2</v>
          </cell>
          <cell r="AE149">
            <v>5.5380232743552305E-2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5.2472707603408164E-3</v>
          </cell>
          <cell r="Q150" t="str">
            <v/>
          </cell>
          <cell r="R150">
            <v>4.7598855227608428E-2</v>
          </cell>
          <cell r="S150" t="str">
            <v/>
          </cell>
          <cell r="T150">
            <v>0.12619627711057035</v>
          </cell>
          <cell r="U150">
            <v>0.19686403740828351</v>
          </cell>
          <cell r="V150">
            <v>0.30148883105488244</v>
          </cell>
          <cell r="W150" t="str">
            <v/>
          </cell>
          <cell r="X150" t="str">
            <v/>
          </cell>
          <cell r="Y150">
            <v>5.4975853646216377E-3</v>
          </cell>
          <cell r="Z150" t="str">
            <v/>
          </cell>
          <cell r="AA150">
            <v>4.9933978593332928E-2</v>
          </cell>
          <cell r="AB150" t="str">
            <v/>
          </cell>
          <cell r="AC150">
            <v>0.13220461694346375</v>
          </cell>
          <cell r="AD150">
            <v>0.20589189682417819</v>
          </cell>
          <cell r="AE150">
            <v>0.31447564127352678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9.2460166473706806E-4</v>
          </cell>
          <cell r="Q151" t="str">
            <v/>
          </cell>
          <cell r="R151">
            <v>3.4580234219174777E-3</v>
          </cell>
          <cell r="S151" t="str">
            <v/>
          </cell>
          <cell r="T151">
            <v>1.008067743612473E-2</v>
          </cell>
          <cell r="U151">
            <v>1.8418926946348946E-2</v>
          </cell>
          <cell r="V151">
            <v>3.545885646480984E-2</v>
          </cell>
          <cell r="W151" t="str">
            <v/>
          </cell>
          <cell r="X151" t="str">
            <v/>
          </cell>
          <cell r="Y151">
            <v>1.0911003558539134E-3</v>
          </cell>
          <cell r="Z151" t="str">
            <v/>
          </cell>
          <cell r="AA151">
            <v>3.9561698632063491E-3</v>
          </cell>
          <cell r="AB151" t="str">
            <v/>
          </cell>
          <cell r="AC151">
            <v>1.090526657841806E-2</v>
          </cell>
          <cell r="AD151">
            <v>1.9563437104142434E-2</v>
          </cell>
          <cell r="AE151">
            <v>3.7094658860433949E-2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8.340943702173087E-4</v>
          </cell>
          <cell r="Q152" t="str">
            <v/>
          </cell>
          <cell r="R152">
            <v>6.4228372224643948E-3</v>
          </cell>
          <cell r="S152" t="str">
            <v/>
          </cell>
          <cell r="T152">
            <v>1.8054799281657319E-2</v>
          </cell>
          <cell r="U152">
            <v>3.1561999244036687E-2</v>
          </cell>
          <cell r="V152">
            <v>5.4124256014959959E-2</v>
          </cell>
          <cell r="W152" t="str">
            <v/>
          </cell>
          <cell r="X152" t="str">
            <v/>
          </cell>
          <cell r="Y152">
            <v>1.0006081446377602E-3</v>
          </cell>
          <cell r="Z152" t="str">
            <v/>
          </cell>
          <cell r="AA152">
            <v>6.9195016274212762E-3</v>
          </cell>
          <cell r="AB152" t="str">
            <v/>
          </cell>
          <cell r="AC152">
            <v>1.8903405838031628E-2</v>
          </cell>
          <cell r="AD152">
            <v>3.3092598403416384E-2</v>
          </cell>
          <cell r="AE152">
            <v>5.6737980296451829E-2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1.5961899289322901E-3</v>
          </cell>
          <cell r="Q153" t="str">
            <v/>
          </cell>
          <cell r="R153">
            <v>8.6716634523497094E-3</v>
          </cell>
          <cell r="S153" t="str">
            <v/>
          </cell>
          <cell r="T153">
            <v>2.1225436764350736E-2</v>
          </cell>
          <cell r="U153">
            <v>4.2246251919678568E-2</v>
          </cell>
          <cell r="V153">
            <v>8.2899150577147362E-2</v>
          </cell>
          <cell r="W153" t="str">
            <v/>
          </cell>
          <cell r="X153" t="str">
            <v/>
          </cell>
          <cell r="Y153">
            <v>1.762576697983631E-3</v>
          </cell>
          <cell r="Z153" t="str">
            <v/>
          </cell>
          <cell r="AA153">
            <v>9.1672037252547023E-3</v>
          </cell>
          <cell r="AB153" t="str">
            <v/>
          </cell>
          <cell r="AC153">
            <v>2.2262279381029759E-2</v>
          </cell>
          <cell r="AD153">
            <v>4.4307749021993525E-2</v>
          </cell>
          <cell r="AE153">
            <v>8.690850807669126E-2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7.1224477434472799E-4</v>
          </cell>
          <cell r="Q154" t="str">
            <v/>
          </cell>
          <cell r="R154">
            <v>6.5666835549522684E-3</v>
          </cell>
          <cell r="S154" t="str">
            <v/>
          </cell>
          <cell r="T154">
            <v>1.6310760231267984E-2</v>
          </cell>
          <cell r="U154">
            <v>3.3266025495976126E-2</v>
          </cell>
          <cell r="V154">
            <v>5.8428269897682794E-2</v>
          </cell>
          <cell r="W154" t="str">
            <v/>
          </cell>
          <cell r="X154" t="str">
            <v/>
          </cell>
          <cell r="Y154">
            <v>8.7877885532050559E-4</v>
          </cell>
          <cell r="Z154" t="str">
            <v/>
          </cell>
          <cell r="AA154">
            <v>7.0632760546838202E-3</v>
          </cell>
          <cell r="AB154" t="str">
            <v/>
          </cell>
          <cell r="AC154">
            <v>1.7130159800532452E-2</v>
          </cell>
          <cell r="AD154">
            <v>3.4873765700496717E-2</v>
          </cell>
          <cell r="AE154">
            <v>6.1242330424628344E-2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7.8364665219988749E-3</v>
          </cell>
          <cell r="Q155" t="str">
            <v/>
          </cell>
          <cell r="R155">
            <v>2.8087794881320738E-2</v>
          </cell>
          <cell r="S155" t="str">
            <v/>
          </cell>
          <cell r="T155">
            <v>5.8287112837872024E-2</v>
          </cell>
          <cell r="U155">
            <v>7.9980502621488148E-2</v>
          </cell>
          <cell r="V155">
            <v>0.11164901643247116</v>
          </cell>
          <cell r="W155" t="str">
            <v/>
          </cell>
          <cell r="X155" t="str">
            <v/>
          </cell>
          <cell r="Y155">
            <v>8.2097804821331666E-3</v>
          </cell>
          <cell r="Z155" t="str">
            <v/>
          </cell>
          <cell r="AA155">
            <v>2.9470252345121684E-2</v>
          </cell>
          <cell r="AB155" t="str">
            <v/>
          </cell>
          <cell r="AC155">
            <v>6.1116517915279944E-2</v>
          </cell>
          <cell r="AD155">
            <v>8.3818577058353161E-2</v>
          </cell>
          <cell r="AE155">
            <v>0.11689084850106002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1.1925947635552658E-3</v>
          </cell>
          <cell r="Q156" t="str">
            <v/>
          </cell>
          <cell r="R156">
            <v>9.73807074790356E-3</v>
          </cell>
          <cell r="S156" t="str">
            <v/>
          </cell>
          <cell r="T156">
            <v>2.2877688818708664E-2</v>
          </cell>
          <cell r="U156">
            <v>4.3969995213903212E-2</v>
          </cell>
          <cell r="V156">
            <v>8.0604431475048588E-2</v>
          </cell>
          <cell r="W156" t="str">
            <v/>
          </cell>
          <cell r="X156" t="str">
            <v/>
          </cell>
          <cell r="Y156">
            <v>1.3590487928679673E-3</v>
          </cell>
          <cell r="Z156" t="str">
            <v/>
          </cell>
          <cell r="AA156">
            <v>1.0233077950445701E-2</v>
          </cell>
          <cell r="AB156" t="str">
            <v/>
          </cell>
          <cell r="AC156">
            <v>2.3999563209558539E-2</v>
          </cell>
          <cell r="AD156">
            <v>4.6118320143360925E-2</v>
          </cell>
          <cell r="AE156">
            <v>8.4481126993207201E-2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1.5701003083273823E-3</v>
          </cell>
          <cell r="Q157" t="str">
            <v/>
          </cell>
          <cell r="R157">
            <v>1.1243232519911439E-2</v>
          </cell>
          <cell r="S157" t="str">
            <v/>
          </cell>
          <cell r="T157">
            <v>2.9601128634811014E-2</v>
          </cell>
          <cell r="U157">
            <v>5.2394418163271173E-2</v>
          </cell>
          <cell r="V157">
            <v>8.9277068711946184E-2</v>
          </cell>
          <cell r="W157" t="str">
            <v/>
          </cell>
          <cell r="X157" t="str">
            <v/>
          </cell>
          <cell r="Y157">
            <v>1.7364914252825381E-3</v>
          </cell>
          <cell r="Z157" t="str">
            <v/>
          </cell>
          <cell r="AA157">
            <v>1.1783193413901216E-2</v>
          </cell>
          <cell r="AB157" t="str">
            <v/>
          </cell>
          <cell r="AC157">
            <v>3.1055977993196038E-2</v>
          </cell>
          <cell r="AD157">
            <v>5.4951360876231758E-2</v>
          </cell>
          <cell r="AE157">
            <v>9.3554478820673803E-2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1.0951509843343255E-3</v>
          </cell>
          <cell r="Q158" t="str">
            <v/>
          </cell>
          <cell r="R158">
            <v>9.2839223569847196E-3</v>
          </cell>
          <cell r="S158" t="str">
            <v/>
          </cell>
          <cell r="T158">
            <v>2.250367684330834E-2</v>
          </cell>
          <cell r="U158">
            <v>3.9750330332928074E-2</v>
          </cell>
          <cell r="V158">
            <v>6.7589492820743002E-2</v>
          </cell>
          <cell r="W158" t="str">
            <v/>
          </cell>
          <cell r="X158" t="str">
            <v/>
          </cell>
          <cell r="Y158">
            <v>1.2616212529423798E-3</v>
          </cell>
          <cell r="Z158" t="str">
            <v/>
          </cell>
          <cell r="AA158">
            <v>9.7791565769326239E-3</v>
          </cell>
          <cell r="AB158" t="str">
            <v/>
          </cell>
          <cell r="AC158">
            <v>2.3604503034093005E-2</v>
          </cell>
          <cell r="AD158">
            <v>4.169154747240611E-2</v>
          </cell>
          <cell r="AE158">
            <v>7.0852412920664243E-2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2.154345710658867E-3</v>
          </cell>
          <cell r="Q159" t="str">
            <v/>
          </cell>
          <cell r="R159">
            <v>2.0837088365850742E-2</v>
          </cell>
          <cell r="S159" t="str">
            <v/>
          </cell>
          <cell r="T159">
            <v>4.8636097575237569E-2</v>
          </cell>
          <cell r="U159">
            <v>8.9029532176837622E-2</v>
          </cell>
          <cell r="V159">
            <v>0.15895615519206197</v>
          </cell>
          <cell r="W159" t="str">
            <v/>
          </cell>
          <cell r="X159" t="str">
            <v/>
          </cell>
          <cell r="Y159">
            <v>2.3206394615087333E-3</v>
          </cell>
          <cell r="Z159" t="str">
            <v/>
          </cell>
          <cell r="AA159">
            <v>2.1862530187656715E-2</v>
          </cell>
          <cell r="AB159" t="str">
            <v/>
          </cell>
          <cell r="AC159">
            <v>5.1008296783543239E-2</v>
          </cell>
          <cell r="AD159">
            <v>9.3306890496322348E-2</v>
          </cell>
          <cell r="AE159">
            <v>0.16641177200494184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5.821741553109705E-2</v>
          </cell>
          <cell r="Q160" t="str">
            <v/>
          </cell>
          <cell r="R160">
            <v>0.15874818102622612</v>
          </cell>
          <cell r="S160" t="str">
            <v/>
          </cell>
          <cell r="T160">
            <v>0.2201260414531192</v>
          </cell>
          <cell r="U160">
            <v>0.27397554793238499</v>
          </cell>
          <cell r="V160">
            <v>0.35510824860983914</v>
          </cell>
          <cell r="W160" t="str">
            <v/>
          </cell>
          <cell r="X160" t="str">
            <v/>
          </cell>
          <cell r="Y160">
            <v>6.1037570856607548E-2</v>
          </cell>
          <cell r="Z160" t="str">
            <v/>
          </cell>
          <cell r="AA160">
            <v>0.16598417161747736</v>
          </cell>
          <cell r="AB160" t="str">
            <v/>
          </cell>
          <cell r="AC160">
            <v>0.22962911954920995</v>
          </cell>
          <cell r="AD160">
            <v>0.28525265752528317</v>
          </cell>
          <cell r="AE160">
            <v>0.36874990003375785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1.884869900930175E-3</v>
          </cell>
          <cell r="Q161" t="str">
            <v/>
          </cell>
          <cell r="R161">
            <v>1.5669789897249209E-2</v>
          </cell>
          <cell r="S161" t="str">
            <v/>
          </cell>
          <cell r="T161">
            <v>4.1980963584316688E-2</v>
          </cell>
          <cell r="U161">
            <v>7.8591607863886415E-2</v>
          </cell>
          <cell r="V161">
            <v>0.1488906151642948</v>
          </cell>
          <cell r="W161" t="str">
            <v/>
          </cell>
          <cell r="X161" t="str">
            <v/>
          </cell>
          <cell r="Y161">
            <v>2.0512085606729791E-3</v>
          </cell>
          <cell r="Z161" t="str">
            <v/>
          </cell>
          <cell r="AA161">
            <v>1.6441110351531729E-2</v>
          </cell>
          <cell r="AB161" t="str">
            <v/>
          </cell>
          <cell r="AC161">
            <v>4.4034383128201515E-2</v>
          </cell>
          <cell r="AD161">
            <v>8.238788878657588E-2</v>
          </cell>
          <cell r="AE161">
            <v>0.15592501050698182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1.9092126173561041E-3</v>
          </cell>
          <cell r="Q162" t="str">
            <v/>
          </cell>
          <cell r="R162">
            <v>8.4206163972679882E-3</v>
          </cell>
          <cell r="S162" t="str">
            <v/>
          </cell>
          <cell r="T162">
            <v>2.0795157387961449E-2</v>
          </cell>
          <cell r="U162">
            <v>3.2069747883377242E-2</v>
          </cell>
          <cell r="V162">
            <v>5.7210306135425881E-2</v>
          </cell>
          <cell r="W162" t="str">
            <v/>
          </cell>
          <cell r="X162" t="str">
            <v/>
          </cell>
          <cell r="Y162">
            <v>2.0755472203127789E-3</v>
          </cell>
          <cell r="Z162" t="str">
            <v/>
          </cell>
          <cell r="AA162">
            <v>8.9162821623092192E-3</v>
          </cell>
          <cell r="AB162" t="str">
            <v/>
          </cell>
          <cell r="AC162">
            <v>2.1810762393258298E-2</v>
          </cell>
          <cell r="AD162">
            <v>3.3636079736861224E-2</v>
          </cell>
          <cell r="AE162">
            <v>5.9980558344039925E-2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2.6183702964491795E-3</v>
          </cell>
          <cell r="Q163" t="str">
            <v/>
          </cell>
          <cell r="R163">
            <v>1.3357356780943741E-2</v>
          </cell>
          <cell r="S163" t="str">
            <v/>
          </cell>
          <cell r="T163">
            <v>3.2298219002403372E-2</v>
          </cell>
          <cell r="U163">
            <v>5.8202299161579818E-2</v>
          </cell>
          <cell r="V163">
            <v>0.10026348702190813</v>
          </cell>
          <cell r="W163" t="str">
            <v/>
          </cell>
          <cell r="X163" t="str">
            <v/>
          </cell>
          <cell r="Y163">
            <v>2.7845867163173166E-3</v>
          </cell>
          <cell r="Z163" t="str">
            <v/>
          </cell>
          <cell r="AA163">
            <v>1.4000684616909287E-2</v>
          </cell>
          <cell r="AB163" t="str">
            <v/>
          </cell>
          <cell r="AC163">
            <v>3.3887828692784838E-2</v>
          </cell>
          <cell r="AD163">
            <v>6.1039353672193708E-2</v>
          </cell>
          <cell r="AE163">
            <v>0.1050772366226238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9.2460166473706806E-4</v>
          </cell>
          <cell r="Q164" t="str">
            <v/>
          </cell>
          <cell r="R164">
            <v>7.470381583691732E-3</v>
          </cell>
          <cell r="S164" t="str">
            <v/>
          </cell>
          <cell r="T164">
            <v>1.8368735344553078E-2</v>
          </cell>
          <cell r="U164">
            <v>3.4273021749911092E-2</v>
          </cell>
          <cell r="V164">
            <v>7.0712543952203055E-2</v>
          </cell>
          <cell r="W164" t="str">
            <v/>
          </cell>
          <cell r="X164" t="str">
            <v/>
          </cell>
          <cell r="Y164">
            <v>1.0911003558539134E-3</v>
          </cell>
          <cell r="Z164" t="str">
            <v/>
          </cell>
          <cell r="AA164">
            <v>7.9665223473627256E-3</v>
          </cell>
          <cell r="AB164" t="str">
            <v/>
          </cell>
          <cell r="AC164">
            <v>1.9236686056810059E-2</v>
          </cell>
          <cell r="AD164">
            <v>3.5941475122733491E-2</v>
          </cell>
          <cell r="AE164">
            <v>7.4118402187968724E-2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5.119270003759846E-2</v>
          </cell>
          <cell r="Q165" t="str">
            <v/>
          </cell>
          <cell r="R165">
            <v>0.10405072873309884</v>
          </cell>
          <cell r="S165" t="str">
            <v/>
          </cell>
          <cell r="T165">
            <v>0.13885399366509332</v>
          </cell>
          <cell r="U165">
            <v>0.17146261438115917</v>
          </cell>
          <cell r="V165">
            <v>0.22235300798901358</v>
          </cell>
          <cell r="W165" t="str">
            <v/>
          </cell>
          <cell r="X165" t="str">
            <v/>
          </cell>
          <cell r="Y165">
            <v>5.3682351336240997E-2</v>
          </cell>
          <cell r="Z165" t="str">
            <v/>
          </cell>
          <cell r="AA165">
            <v>0.10891796013633714</v>
          </cell>
          <cell r="AB165" t="str">
            <v/>
          </cell>
          <cell r="AC165">
            <v>0.14514193257005248</v>
          </cell>
          <cell r="AD165">
            <v>0.17904101841295417</v>
          </cell>
          <cell r="AE165">
            <v>0.23185153536789604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1.4344233748667667E-3</v>
          </cell>
          <cell r="Q166" t="str">
            <v/>
          </cell>
          <cell r="R166">
            <v>1.3038342816423021E-2</v>
          </cell>
          <cell r="S166" t="str">
            <v/>
          </cell>
          <cell r="T166">
            <v>3.0272966438632865E-2</v>
          </cell>
          <cell r="U166">
            <v>5.5565743981242477E-2</v>
          </cell>
          <cell r="V166">
            <v>0.10337723918102348</v>
          </cell>
          <cell r="W166" t="str">
            <v/>
          </cell>
          <cell r="X166" t="str">
            <v/>
          </cell>
          <cell r="Y166">
            <v>1.6008371027559365E-3</v>
          </cell>
          <cell r="Z166" t="str">
            <v/>
          </cell>
          <cell r="AA166">
            <v>1.366239868610919E-2</v>
          </cell>
          <cell r="AB166" t="str">
            <v/>
          </cell>
          <cell r="AC166">
            <v>3.1760059409167374E-2</v>
          </cell>
          <cell r="AD166">
            <v>5.8273349565457488E-2</v>
          </cell>
          <cell r="AE166">
            <v>0.10834103742582712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1.1925947635552658E-3</v>
          </cell>
          <cell r="Q167" t="str">
            <v/>
          </cell>
          <cell r="R167">
            <v>1.1695845056667875E-2</v>
          </cell>
          <cell r="S167" t="str">
            <v/>
          </cell>
          <cell r="T167">
            <v>2.958330780401941E-2</v>
          </cell>
          <cell r="U167">
            <v>5.9803637455722702E-2</v>
          </cell>
          <cell r="V167">
            <v>0.11195603642452412</v>
          </cell>
          <cell r="W167" t="str">
            <v/>
          </cell>
          <cell r="X167" t="str">
            <v/>
          </cell>
          <cell r="Y167">
            <v>1.3590487928679673E-3</v>
          </cell>
          <cell r="Z167" t="str">
            <v/>
          </cell>
          <cell r="AA167">
            <v>1.225580774207502E-2</v>
          </cell>
          <cell r="AB167" t="str">
            <v/>
          </cell>
          <cell r="AC167">
            <v>3.1036021044992701E-2</v>
          </cell>
          <cell r="AD167">
            <v>6.2714669456472416E-2</v>
          </cell>
          <cell r="AE167">
            <v>0.11732145397522875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7.9057835069185067E-4</v>
          </cell>
          <cell r="Q168" t="str">
            <v/>
          </cell>
          <cell r="R168">
            <v>8.0406524492514508E-3</v>
          </cell>
          <cell r="S168" t="str">
            <v/>
          </cell>
          <cell r="T168">
            <v>1.9623897878129459E-2</v>
          </cell>
          <cell r="U168">
            <v>3.6446200688994512E-2</v>
          </cell>
          <cell r="V168">
            <v>6.3995539865183915E-2</v>
          </cell>
          <cell r="W168" t="str">
            <v/>
          </cell>
          <cell r="X168" t="str">
            <v/>
          </cell>
          <cell r="Y168">
            <v>9.5709937717136651E-4</v>
          </cell>
          <cell r="Z168" t="str">
            <v/>
          </cell>
          <cell r="AA168">
            <v>8.5365081487481786E-3</v>
          </cell>
          <cell r="AB168" t="str">
            <v/>
          </cell>
          <cell r="AC168">
            <v>2.0575833178585912E-2</v>
          </cell>
          <cell r="AD168">
            <v>3.8220231990660491E-2</v>
          </cell>
          <cell r="AE168">
            <v>6.7083602051609903E-2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1.2848096503803585E-3</v>
          </cell>
          <cell r="Q169" t="str">
            <v/>
          </cell>
          <cell r="R169">
            <v>1.0399644455154178E-2</v>
          </cell>
          <cell r="S169" t="str">
            <v/>
          </cell>
          <cell r="T169">
            <v>2.1066086325637778E-2</v>
          </cell>
          <cell r="U169">
            <v>3.3653592399698562E-2</v>
          </cell>
          <cell r="V169">
            <v>6.2807423920585692E-2</v>
          </cell>
          <cell r="W169" t="str">
            <v/>
          </cell>
          <cell r="X169" t="str">
            <v/>
          </cell>
          <cell r="Y169">
            <v>1.4512483118231945E-3</v>
          </cell>
          <cell r="Z169" t="str">
            <v/>
          </cell>
          <cell r="AA169">
            <v>1.0898771919055195E-2</v>
          </cell>
          <cell r="AB169" t="str">
            <v/>
          </cell>
          <cell r="AC169">
            <v>2.2102336341621842E-2</v>
          </cell>
          <cell r="AD169">
            <v>3.5303922656579889E-2</v>
          </cell>
          <cell r="AE169">
            <v>6.5849955670386762E-2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1.6970634305609744E-3</v>
          </cell>
          <cell r="Q170" t="str">
            <v/>
          </cell>
          <cell r="R170">
            <v>1.5921595357134888E-2</v>
          </cell>
          <cell r="S170" t="str">
            <v/>
          </cell>
          <cell r="T170">
            <v>4.1968655930352816E-2</v>
          </cell>
          <cell r="U170">
            <v>7.246794512805943E-2</v>
          </cell>
          <cell r="V170">
            <v>0.12030738887942405</v>
          </cell>
          <cell r="W170" t="str">
            <v/>
          </cell>
          <cell r="X170" t="str">
            <v/>
          </cell>
          <cell r="Y170">
            <v>1.863433388761937E-3</v>
          </cell>
          <cell r="Z170" t="str">
            <v/>
          </cell>
          <cell r="AA170">
            <v>1.6704597660024634E-2</v>
          </cell>
          <cell r="AB170" t="str">
            <v/>
          </cell>
          <cell r="AC170">
            <v>4.402078214058891E-2</v>
          </cell>
          <cell r="AD170">
            <v>7.5973914059089376E-2</v>
          </cell>
          <cell r="AE170">
            <v>0.1260228188110506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0.13807484687210114</v>
          </cell>
          <cell r="Q171" t="str">
            <v/>
          </cell>
          <cell r="R171">
            <v>0.22515415972382491</v>
          </cell>
          <cell r="S171" t="str">
            <v/>
          </cell>
          <cell r="T171">
            <v>0.26183627527810038</v>
          </cell>
          <cell r="U171">
            <v>0.2877553619599611</v>
          </cell>
          <cell r="V171">
            <v>0.34335420373512016</v>
          </cell>
          <cell r="W171" t="str">
            <v/>
          </cell>
          <cell r="X171" t="str">
            <v/>
          </cell>
          <cell r="Y171">
            <v>0.14445442238797079</v>
          </cell>
          <cell r="Z171" t="str">
            <v/>
          </cell>
          <cell r="AA171">
            <v>0.23462725458681144</v>
          </cell>
          <cell r="AB171" t="str">
            <v/>
          </cell>
          <cell r="AC171">
            <v>0.27225021612502287</v>
          </cell>
          <cell r="AD171">
            <v>0.2987385073407387</v>
          </cell>
          <cell r="AE171">
            <v>0.35582335695145795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1.7092371347555702E-3</v>
          </cell>
          <cell r="Q172" t="str">
            <v/>
          </cell>
          <cell r="R172">
            <v>1.6400537160739304E-2</v>
          </cell>
          <cell r="S172" t="str">
            <v/>
          </cell>
          <cell r="T172">
            <v>3.9342377916388727E-2</v>
          </cell>
          <cell r="U172">
            <v>7.0936827671697511E-2</v>
          </cell>
          <cell r="V172">
            <v>0.12585237432359386</v>
          </cell>
          <cell r="W172" t="str">
            <v/>
          </cell>
          <cell r="X172" t="str">
            <v/>
          </cell>
          <cell r="Y172">
            <v>1.8756050641933752E-3</v>
          </cell>
          <cell r="Z172" t="str">
            <v/>
          </cell>
          <cell r="AA172">
            <v>1.7207099081474664E-2</v>
          </cell>
          <cell r="AB172" t="str">
            <v/>
          </cell>
          <cell r="AC172">
            <v>4.1267610856316028E-2</v>
          </cell>
          <cell r="AD172">
            <v>7.4370570339190367E-2</v>
          </cell>
          <cell r="AE172">
            <v>0.13183234630387985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2.0987179082332386E-3</v>
          </cell>
          <cell r="Q173" t="str">
            <v/>
          </cell>
          <cell r="R173">
            <v>1.4626114585749139E-2</v>
          </cell>
          <cell r="S173" t="str">
            <v/>
          </cell>
          <cell r="T173">
            <v>4.0365201089771818E-2</v>
          </cell>
          <cell r="U173">
            <v>7.6197572972166783E-2</v>
          </cell>
          <cell r="V173">
            <v>0.12852712383817055</v>
          </cell>
          <cell r="W173" t="str">
            <v/>
          </cell>
          <cell r="X173" t="str">
            <v/>
          </cell>
          <cell r="Y173">
            <v>2.2650209296275481E-3</v>
          </cell>
          <cell r="Z173" t="str">
            <v/>
          </cell>
          <cell r="AA173">
            <v>1.5346908690983874E-2</v>
          </cell>
          <cell r="AB173" t="str">
            <v/>
          </cell>
          <cell r="AC173">
            <v>4.2341709982690823E-2</v>
          </cell>
          <cell r="AD173">
            <v>7.9883379854032044E-2</v>
          </cell>
          <cell r="AE173">
            <v>0.13462598698001715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8.7586797898520086E-4</v>
          </cell>
          <cell r="Q174" t="str">
            <v/>
          </cell>
          <cell r="R174">
            <v>1.1087795107708742E-2</v>
          </cell>
          <cell r="S174" t="str">
            <v/>
          </cell>
          <cell r="T174">
            <v>2.5350666798997223E-2</v>
          </cell>
          <cell r="U174">
            <v>4.6730057726042884E-2</v>
          </cell>
          <cell r="V174">
            <v>8.7475405910012793E-2</v>
          </cell>
          <cell r="W174" t="str">
            <v/>
          </cell>
          <cell r="X174" t="str">
            <v/>
          </cell>
          <cell r="Y174">
            <v>1.0423747917156501E-3</v>
          </cell>
          <cell r="Z174" t="str">
            <v/>
          </cell>
          <cell r="AA174">
            <v>1.1617957115166111E-2</v>
          </cell>
          <cell r="AB174" t="str">
            <v/>
          </cell>
          <cell r="AC174">
            <v>2.6595582210331203E-2</v>
          </cell>
          <cell r="AD174">
            <v>4.9012688360244416E-2</v>
          </cell>
          <cell r="AE174">
            <v>9.169925325572037E-2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2.6583324377572604E-3</v>
          </cell>
          <cell r="Q175" t="str">
            <v/>
          </cell>
          <cell r="R175">
            <v>1.5166764449205505E-2</v>
          </cell>
          <cell r="S175" t="str">
            <v/>
          </cell>
          <cell r="T175">
            <v>3.9399652196188684E-2</v>
          </cell>
          <cell r="U175">
            <v>6.7711340148443599E-2</v>
          </cell>
          <cell r="V175">
            <v>0.12774779669881087</v>
          </cell>
          <cell r="W175" t="str">
            <v/>
          </cell>
          <cell r="X175" t="str">
            <v/>
          </cell>
          <cell r="Y175">
            <v>2.8245421978129182E-3</v>
          </cell>
          <cell r="Z175" t="str">
            <v/>
          </cell>
          <cell r="AA175">
            <v>1.591617966654868E-2</v>
          </cell>
          <cell r="AB175" t="str">
            <v/>
          </cell>
          <cell r="AC175">
            <v>4.1331193276634592E-2</v>
          </cell>
          <cell r="AD175">
            <v>7.0996314731168519E-2</v>
          </cell>
          <cell r="AE175">
            <v>0.13382592182969355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9.3852514155678968E-4</v>
          </cell>
          <cell r="Q176" t="str">
            <v/>
          </cell>
          <cell r="R176">
            <v>9.2954370810863773E-3</v>
          </cell>
          <cell r="S176" t="str">
            <v/>
          </cell>
          <cell r="T176">
            <v>2.2515417526552395E-2</v>
          </cell>
          <cell r="U176">
            <v>3.9762234227864734E-2</v>
          </cell>
          <cell r="V176">
            <v>6.7601449343038467E-2</v>
          </cell>
          <cell r="W176" t="str">
            <v/>
          </cell>
          <cell r="X176" t="str">
            <v/>
          </cell>
          <cell r="Y176">
            <v>1.1050215122728746E-3</v>
          </cell>
          <cell r="Z176" t="str">
            <v/>
          </cell>
          <cell r="AA176">
            <v>9.7906655451526214E-3</v>
          </cell>
          <cell r="AB176" t="str">
            <v/>
          </cell>
          <cell r="AC176">
            <v>2.3616292111189874E-2</v>
          </cell>
          <cell r="AD176">
            <v>4.1703506935052981E-2</v>
          </cell>
          <cell r="AE176">
            <v>7.0864425736262282E-2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1.0794894968995106E-3</v>
          </cell>
          <cell r="Q177" t="str">
            <v/>
          </cell>
          <cell r="R177">
            <v>8.0662846369292662E-3</v>
          </cell>
          <cell r="S177" t="str">
            <v/>
          </cell>
          <cell r="T177">
            <v>1.8724885265075986E-2</v>
          </cell>
          <cell r="U177">
            <v>3.4528739405951803E-2</v>
          </cell>
          <cell r="V177">
            <v>6.4185559391692792E-2</v>
          </cell>
          <cell r="W177" t="str">
            <v/>
          </cell>
          <cell r="X177" t="str">
            <v/>
          </cell>
          <cell r="Y177">
            <v>1.2459623755439742E-3</v>
          </cell>
          <cell r="Z177" t="str">
            <v/>
          </cell>
          <cell r="AA177">
            <v>8.562127523572105E-3</v>
          </cell>
          <cell r="AB177" t="str">
            <v/>
          </cell>
          <cell r="AC177">
            <v>1.9633850888337911E-2</v>
          </cell>
          <cell r="AD177">
            <v>3.6210717213762678E-2</v>
          </cell>
          <cell r="AE177">
            <v>6.7284203534102027E-2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1.8292271942728089E-3</v>
          </cell>
          <cell r="Q178" t="str">
            <v/>
          </cell>
          <cell r="R178">
            <v>1.1291216581762353E-2</v>
          </cell>
          <cell r="S178" t="str">
            <v/>
          </cell>
          <cell r="T178">
            <v>2.7846363325093493E-2</v>
          </cell>
          <cell r="U178">
            <v>5.1896319389173606E-2</v>
          </cell>
          <cell r="V178">
            <v>8.9745295800385483E-2</v>
          </cell>
          <cell r="W178" t="str">
            <v/>
          </cell>
          <cell r="X178" t="str">
            <v/>
          </cell>
          <cell r="Y178">
            <v>1.9955751270438471E-3</v>
          </cell>
          <cell r="Z178" t="str">
            <v/>
          </cell>
          <cell r="AA178">
            <v>1.1834362815151378E-2</v>
          </cell>
          <cell r="AB178" t="str">
            <v/>
          </cell>
          <cell r="AC178">
            <v>2.9216461833706076E-2</v>
          </cell>
          <cell r="AD178">
            <v>5.4430539628843033E-2</v>
          </cell>
          <cell r="AE178">
            <v>9.4046961940635887E-2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6.3564604936616753E-4</v>
          </cell>
          <cell r="Q179" t="str">
            <v/>
          </cell>
          <cell r="R179">
            <v>1.232755895740989E-2</v>
          </cell>
          <cell r="S179" t="str">
            <v/>
          </cell>
          <cell r="T179">
            <v>2.6105103251375161E-2</v>
          </cell>
          <cell r="U179">
            <v>4.7296286091603523E-2</v>
          </cell>
          <cell r="V179">
            <v>8.5686462834950849E-2</v>
          </cell>
          <cell r="W179" t="str">
            <v/>
          </cell>
          <cell r="X179" t="str">
            <v/>
          </cell>
          <cell r="Y179">
            <v>8.0219289572902586E-4</v>
          </cell>
          <cell r="Z179" t="str">
            <v/>
          </cell>
          <cell r="AA179">
            <v>1.2915296035349244E-2</v>
          </cell>
          <cell r="AB179" t="str">
            <v/>
          </cell>
          <cell r="AC179">
            <v>2.7386096002532501E-2</v>
          </cell>
          <cell r="AD179">
            <v>4.9604653599749859E-2</v>
          </cell>
          <cell r="AE179">
            <v>8.979639725196964E-2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2.3855158044079339E-3</v>
          </cell>
          <cell r="Q180" t="str">
            <v/>
          </cell>
          <cell r="R180">
            <v>9.9038741877984782E-3</v>
          </cell>
          <cell r="S180" t="str">
            <v/>
          </cell>
          <cell r="T180">
            <v>2.8811116035990514E-2</v>
          </cell>
          <cell r="U180">
            <v>5.3927610573568763E-2</v>
          </cell>
          <cell r="V180">
            <v>9.2241299365523055E-2</v>
          </cell>
          <cell r="W180" t="str">
            <v/>
          </cell>
          <cell r="X180" t="str">
            <v/>
          </cell>
          <cell r="Y180">
            <v>2.5517710301382612E-3</v>
          </cell>
          <cell r="Z180" t="str">
            <v/>
          </cell>
          <cell r="AA180">
            <v>1.0398798509320129E-2</v>
          </cell>
          <cell r="AB180" t="str">
            <v/>
          </cell>
          <cell r="AC180">
            <v>3.0228478614932608E-2</v>
          </cell>
          <cell r="AD180">
            <v>5.6560302783526084E-2</v>
          </cell>
          <cell r="AE180">
            <v>9.6658908516762176E-2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7.67949277032276E-4</v>
          </cell>
          <cell r="Q181" t="str">
            <v/>
          </cell>
          <cell r="R181">
            <v>7.4817602052102972E-3</v>
          </cell>
          <cell r="S181" t="str">
            <v/>
          </cell>
          <cell r="T181">
            <v>1.7516019693057716E-2</v>
          </cell>
          <cell r="U181">
            <v>3.3738299442808928E-2</v>
          </cell>
          <cell r="V181">
            <v>6.4252704547707373E-2</v>
          </cell>
          <cell r="W181" t="str">
            <v/>
          </cell>
          <cell r="X181" t="str">
            <v/>
          </cell>
          <cell r="Y181">
            <v>9.3447407468105759E-4</v>
          </cell>
          <cell r="Z181" t="str">
            <v/>
          </cell>
          <cell r="AA181">
            <v>7.9778952809627102E-3</v>
          </cell>
          <cell r="AB181" t="str">
            <v/>
          </cell>
          <cell r="AC181">
            <v>1.8345458973513251E-2</v>
          </cell>
          <cell r="AD181">
            <v>3.5379829489916248E-2</v>
          </cell>
          <cell r="AE181">
            <v>6.7353371649799043E-2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1.3335235378534316E-3</v>
          </cell>
          <cell r="Q182" t="str">
            <v/>
          </cell>
          <cell r="R182">
            <v>1.2911486846757914E-2</v>
          </cell>
          <cell r="S182" t="str">
            <v/>
          </cell>
          <cell r="T182">
            <v>2.7710532102136254E-2</v>
          </cell>
          <cell r="U182">
            <v>5.1326265395358783E-2</v>
          </cell>
          <cell r="V182">
            <v>8.9150795987418485E-2</v>
          </cell>
          <cell r="W182" t="str">
            <v/>
          </cell>
          <cell r="X182" t="str">
            <v/>
          </cell>
          <cell r="Y182">
            <v>1.4999540809821355E-3</v>
          </cell>
          <cell r="Z182" t="str">
            <v/>
          </cell>
          <cell r="AA182">
            <v>1.3529210888179266E-2</v>
          </cell>
          <cell r="AB182" t="str">
            <v/>
          </cell>
          <cell r="AC182">
            <v>2.9072293782059999E-2</v>
          </cell>
          <cell r="AD182">
            <v>5.3830485640520065E-2</v>
          </cell>
          <cell r="AE182">
            <v>9.3422036898548444E-2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2.9467077640770167E-3</v>
          </cell>
          <cell r="Q183" t="str">
            <v/>
          </cell>
          <cell r="R183">
            <v>2.2228721814604113E-2</v>
          </cell>
          <cell r="S183" t="str">
            <v/>
          </cell>
          <cell r="T183">
            <v>6.3283998830446553E-2</v>
          </cell>
          <cell r="U183">
            <v>0.11447534485411792</v>
          </cell>
          <cell r="V183">
            <v>0.21540000250751379</v>
          </cell>
          <cell r="W183" t="str">
            <v/>
          </cell>
          <cell r="X183" t="str">
            <v/>
          </cell>
          <cell r="Y183">
            <v>3.1128694655947475E-3</v>
          </cell>
          <cell r="Z183" t="str">
            <v/>
          </cell>
          <cell r="AA183">
            <v>2.3325053174066968E-2</v>
          </cell>
          <cell r="AB183" t="str">
            <v/>
          </cell>
          <cell r="AC183">
            <v>6.6354937288158555E-2</v>
          </cell>
          <cell r="AD183">
            <v>0.11995649737550118</v>
          </cell>
          <cell r="AE183">
            <v>0.22530078910064089</v>
          </cell>
        </row>
        <row r="184">
          <cell r="D184" t="str">
            <v>USD</v>
          </cell>
          <cell r="N184" t="str">
            <v/>
          </cell>
          <cell r="O184">
            <v>5.0956409427971305E-4</v>
          </cell>
          <cell r="P184">
            <v>1.2217681881586673E-3</v>
          </cell>
          <cell r="Q184">
            <v>3.8612116642110506E-3</v>
          </cell>
          <cell r="R184">
            <v>7.9638237288336411E-3</v>
          </cell>
          <cell r="S184" t="str">
            <v/>
          </cell>
          <cell r="T184">
            <v>2.0556849465119487E-2</v>
          </cell>
          <cell r="U184">
            <v>3.2012154635213674E-2</v>
          </cell>
          <cell r="V184">
            <v>5.3185442104132674E-2</v>
          </cell>
          <cell r="W184" t="str">
            <v/>
          </cell>
          <cell r="X184">
            <v>5.9285149358401235E-4</v>
          </cell>
          <cell r="Y184">
            <v>1.3882173556362121E-3</v>
          </cell>
          <cell r="Z184">
            <v>4.1932025920988769E-3</v>
          </cell>
          <cell r="AA184">
            <v>8.4597178331005107E-3</v>
          </cell>
          <cell r="AB184" t="str">
            <v/>
          </cell>
          <cell r="AC184">
            <v>2.1553977208563335E-2</v>
          </cell>
          <cell r="AD184">
            <v>3.356917145257432E-2</v>
          </cell>
          <cell r="AE184">
            <v>5.5757432847580501E-2</v>
          </cell>
        </row>
        <row r="185">
          <cell r="D185" t="str">
            <v>USD</v>
          </cell>
          <cell r="N185" t="str">
            <v/>
          </cell>
          <cell r="O185" t="str">
            <v/>
          </cell>
          <cell r="P185">
            <v>6.1445532387988111E-3</v>
          </cell>
          <cell r="Q185" t="str">
            <v/>
          </cell>
          <cell r="R185">
            <v>3.2630202903910277E-2</v>
          </cell>
          <cell r="S185" t="str">
            <v/>
          </cell>
          <cell r="T185">
            <v>8.9795919230626686E-2</v>
          </cell>
          <cell r="U185">
            <v>0.14298434146429828</v>
          </cell>
          <cell r="V185">
            <v>0.2319081995259874</v>
          </cell>
          <cell r="W185" t="str">
            <v/>
          </cell>
          <cell r="X185" t="str">
            <v/>
          </cell>
          <cell r="Y185">
            <v>6.4375317609799421E-3</v>
          </cell>
          <cell r="Z185" t="str">
            <v/>
          </cell>
          <cell r="AA185">
            <v>3.4232359643475374E-2</v>
          </cell>
          <cell r="AB185" t="str">
            <v/>
          </cell>
          <cell r="AC185">
            <v>9.4134350670694533E-2</v>
          </cell>
          <cell r="AD185">
            <v>0.14971317277380458</v>
          </cell>
          <cell r="AE185">
            <v>0.24233832014917522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1.8413992993355777E-3</v>
          </cell>
          <cell r="Q186" t="str">
            <v/>
          </cell>
          <cell r="R186">
            <v>1.0026947904386851E-2</v>
          </cell>
          <cell r="S186" t="str">
            <v/>
          </cell>
          <cell r="T186">
            <v>2.2361908116912299E-2</v>
          </cell>
          <cell r="U186">
            <v>3.3007732771448972E-2</v>
          </cell>
          <cell r="V186">
            <v>5.4463589051522709E-2</v>
          </cell>
          <cell r="W186" t="str">
            <v/>
          </cell>
          <cell r="X186" t="str">
            <v/>
          </cell>
          <cell r="Y186">
            <v>2.0077452035682786E-3</v>
          </cell>
          <cell r="Z186" t="str">
            <v/>
          </cell>
          <cell r="AA186">
            <v>1.0521810704441359E-2</v>
          </cell>
          <cell r="AB186" t="str">
            <v/>
          </cell>
          <cell r="AC186">
            <v>2.3462409270894824E-2</v>
          </cell>
          <cell r="AD186">
            <v>3.462694837725544E-2</v>
          </cell>
          <cell r="AE186">
            <v>5.7109111488965247E-2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2.0987179082332386E-3</v>
          </cell>
          <cell r="Q187" t="str">
            <v/>
          </cell>
          <cell r="R187">
            <v>1.5591474265663985E-2</v>
          </cell>
          <cell r="S187" t="str">
            <v/>
          </cell>
          <cell r="T187">
            <v>4.1544201790343571E-2</v>
          </cell>
          <cell r="U187">
            <v>6.9854138929514864E-2</v>
          </cell>
          <cell r="V187">
            <v>0.11585365084993848</v>
          </cell>
          <cell r="W187" t="str">
            <v/>
          </cell>
          <cell r="X187" t="str">
            <v/>
          </cell>
          <cell r="Y187">
            <v>2.2650209296275481E-3</v>
          </cell>
          <cell r="Z187" t="str">
            <v/>
          </cell>
          <cell r="AA187">
            <v>1.6359727588895701E-2</v>
          </cell>
          <cell r="AB187" t="str">
            <v/>
          </cell>
          <cell r="AC187">
            <v>4.3577289316249934E-2</v>
          </cell>
          <cell r="AD187">
            <v>7.323792239676763E-2</v>
          </cell>
          <cell r="AE187">
            <v>0.12136688332567813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4.6041294298003743E-3</v>
          </cell>
          <cell r="Q188" t="str">
            <v/>
          </cell>
          <cell r="R188">
            <v>2.4768128967365577E-2</v>
          </cell>
          <cell r="S188" t="str">
            <v/>
          </cell>
          <cell r="T188">
            <v>6.1968538733281009E-2</v>
          </cell>
          <cell r="U188">
            <v>9.9058703301854734E-2</v>
          </cell>
          <cell r="V188">
            <v>0.15680343714665734</v>
          </cell>
          <cell r="W188" t="str">
            <v/>
          </cell>
          <cell r="X188" t="str">
            <v/>
          </cell>
          <cell r="Y188">
            <v>4.8238388169017377E-3</v>
          </cell>
          <cell r="Z188" t="str">
            <v/>
          </cell>
          <cell r="AA188">
            <v>2.599002169512088E-2</v>
          </cell>
          <cell r="AB188" t="str">
            <v/>
          </cell>
          <cell r="AC188">
            <v>6.4976843306802756E-2</v>
          </cell>
          <cell r="AD188">
            <v>0.10379313033160598</v>
          </cell>
          <cell r="AE188">
            <v>0.16410886549086157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2.5245398971295296E-3</v>
          </cell>
          <cell r="Q189" t="str">
            <v/>
          </cell>
          <cell r="R189">
            <v>2.2544975018212177E-2</v>
          </cell>
          <cell r="S189" t="str">
            <v/>
          </cell>
          <cell r="T189">
            <v>5.8188998391559776E-2</v>
          </cell>
          <cell r="U189">
            <v>9.6747976642017841E-2</v>
          </cell>
          <cell r="V189">
            <v>0.16659820578902029</v>
          </cell>
          <cell r="W189" t="str">
            <v/>
          </cell>
          <cell r="X189" t="str">
            <v/>
          </cell>
          <cell r="Y189">
            <v>2.6907719540882891E-3</v>
          </cell>
          <cell r="Z189" t="str">
            <v/>
          </cell>
          <cell r="AA189">
            <v>2.3655143832326475E-2</v>
          </cell>
          <cell r="AB189" t="str">
            <v/>
          </cell>
          <cell r="AC189">
            <v>6.1017254185844139E-2</v>
          </cell>
          <cell r="AD189">
            <v>0.10137928456480449</v>
          </cell>
          <cell r="AE189">
            <v>0.17436511399508314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2.9380229682006709E-3</v>
          </cell>
          <cell r="Q190" t="str">
            <v/>
          </cell>
          <cell r="R190">
            <v>1.3565654644807745E-2</v>
          </cell>
          <cell r="S190" t="str">
            <v/>
          </cell>
          <cell r="T190">
            <v>2.7932331581100311E-2</v>
          </cell>
          <cell r="U190">
            <v>3.9203023097560741E-2</v>
          </cell>
          <cell r="V190">
            <v>5.8045290714519027E-2</v>
          </cell>
          <cell r="W190" t="str">
            <v/>
          </cell>
          <cell r="X190" t="str">
            <v/>
          </cell>
          <cell r="Y190">
            <v>3.1041861170625351E-3</v>
          </cell>
          <cell r="Z190" t="str">
            <v/>
          </cell>
          <cell r="AA190">
            <v>1.4219936750851203E-2</v>
          </cell>
          <cell r="AB190" t="str">
            <v/>
          </cell>
          <cell r="AC190">
            <v>2.9310243413954495E-2</v>
          </cell>
          <cell r="AD190">
            <v>4.1125747557282155E-2</v>
          </cell>
          <cell r="AE190">
            <v>6.0860299056013312E-2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8.9849462655067214E-4</v>
          </cell>
          <cell r="Q191" t="str">
            <v/>
          </cell>
          <cell r="R191">
            <v>9.8167724865746431E-3</v>
          </cell>
          <cell r="S191" t="str">
            <v/>
          </cell>
          <cell r="T191">
            <v>2.3755343872902679E-2</v>
          </cell>
          <cell r="U191">
            <v>4.3252337741155999E-2</v>
          </cell>
          <cell r="V191">
            <v>8.0854161357199916E-2</v>
          </cell>
          <cell r="W191" t="str">
            <v/>
          </cell>
          <cell r="X191" t="str">
            <v/>
          </cell>
          <cell r="Y191">
            <v>1.0649976684740103E-3</v>
          </cell>
          <cell r="Z191" t="str">
            <v/>
          </cell>
          <cell r="AA191">
            <v>1.0311740348047715E-2</v>
          </cell>
          <cell r="AB191" t="str">
            <v/>
          </cell>
          <cell r="AC191">
            <v>2.4919537047213391E-2</v>
          </cell>
          <cell r="AD191">
            <v>4.5365014651413738E-2</v>
          </cell>
          <cell r="AE191">
            <v>8.4740798152348473E-2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8.340943702173087E-4</v>
          </cell>
          <cell r="Q192" t="str">
            <v/>
          </cell>
          <cell r="R192">
            <v>6.9733517073625739E-3</v>
          </cell>
          <cell r="S192" t="str">
            <v/>
          </cell>
          <cell r="T192">
            <v>1.7996581348687424E-2</v>
          </cell>
          <cell r="U192">
            <v>3.5652271200990904E-2</v>
          </cell>
          <cell r="V192">
            <v>7.0625675922175501E-2</v>
          </cell>
          <cell r="W192" t="str">
            <v/>
          </cell>
          <cell r="X192" t="str">
            <v/>
          </cell>
          <cell r="Y192">
            <v>1.0006081446377602E-3</v>
          </cell>
          <cell r="Z192" t="str">
            <v/>
          </cell>
          <cell r="AA192">
            <v>7.4697409238421164E-3</v>
          </cell>
          <cell r="AB192" t="str">
            <v/>
          </cell>
          <cell r="AC192">
            <v>1.8845238217586768E-2</v>
          </cell>
          <cell r="AD192">
            <v>3.7385047161339613E-2</v>
          </cell>
          <cell r="AE192">
            <v>7.4025351165623809E-2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7.3990893366129296E-3</v>
          </cell>
          <cell r="S193" t="str">
            <v/>
          </cell>
          <cell r="T193">
            <v>1.7951555138388309E-2</v>
          </cell>
          <cell r="U193">
            <v>3.3902683729384875E-2</v>
          </cell>
          <cell r="V193">
            <v>6.2946548088095855E-2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7.895265737484447E-3</v>
          </cell>
          <cell r="AB193" t="str">
            <v/>
          </cell>
          <cell r="AC193">
            <v>1.8800250919372985E-2</v>
          </cell>
          <cell r="AD193">
            <v>3.5552240154605008E-2</v>
          </cell>
          <cell r="AE193">
            <v>6.5985118733183246E-2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1.4883484493611876E-3</v>
          </cell>
          <cell r="Q194" t="str">
            <v/>
          </cell>
          <cell r="R194">
            <v>9.4726983287772848E-3</v>
          </cell>
          <cell r="S194" t="str">
            <v/>
          </cell>
          <cell r="T194">
            <v>2.5044392759242529E-2</v>
          </cell>
          <cell r="U194">
            <v>3.7929307850952387E-2</v>
          </cell>
          <cell r="V194">
            <v>6.5588745100657264E-2</v>
          </cell>
          <cell r="W194" t="str">
            <v/>
          </cell>
          <cell r="X194" t="str">
            <v/>
          </cell>
          <cell r="Y194">
            <v>1.6547531905035662E-3</v>
          </cell>
          <cell r="Z194" t="str">
            <v/>
          </cell>
          <cell r="AA194">
            <v>9.9678381843559816E-3</v>
          </cell>
          <cell r="AB194" t="str">
            <v/>
          </cell>
          <cell r="AC194">
            <v>2.6272120715070013E-2</v>
          </cell>
          <cell r="AD194">
            <v>3.9783686046639066E-2</v>
          </cell>
          <cell r="AE194">
            <v>6.8757222728744627E-2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7.2268960342369848E-4</v>
          </cell>
          <cell r="Q195" t="str">
            <v/>
          </cell>
          <cell r="R195">
            <v>8.2324089538440282E-3</v>
          </cell>
          <cell r="S195" t="str">
            <v/>
          </cell>
          <cell r="T195">
            <v>1.7872485011310113E-2</v>
          </cell>
          <cell r="U195">
            <v>3.3611263053472507E-2</v>
          </cell>
          <cell r="V195">
            <v>6.2206564631552386E-2</v>
          </cell>
          <cell r="W195" t="str">
            <v/>
          </cell>
          <cell r="X195" t="str">
            <v/>
          </cell>
          <cell r="Y195">
            <v>8.892219437496296E-4</v>
          </cell>
          <cell r="Z195" t="str">
            <v/>
          </cell>
          <cell r="AA195">
            <v>8.7281687990516943E-3</v>
          </cell>
          <cell r="AB195" t="str">
            <v/>
          </cell>
          <cell r="AC195">
            <v>1.8721249125450368E-2</v>
          </cell>
          <cell r="AD195">
            <v>3.5250212279623994E-2</v>
          </cell>
          <cell r="AE195">
            <v>6.5213516014638317E-2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3.8304276381747604E-3</v>
          </cell>
          <cell r="Q196" t="str">
            <v/>
          </cell>
          <cell r="R196">
            <v>1.9532259378244765E-2</v>
          </cell>
          <cell r="S196" t="str">
            <v/>
          </cell>
          <cell r="T196">
            <v>4.478546192376931E-2</v>
          </cell>
          <cell r="U196">
            <v>7.2011185239735598E-2</v>
          </cell>
          <cell r="V196">
            <v>0.12194746415245261</v>
          </cell>
          <cell r="W196" t="str">
            <v/>
          </cell>
          <cell r="X196" t="str">
            <v/>
          </cell>
          <cell r="Y196">
            <v>4.0132909829764252E-3</v>
          </cell>
          <cell r="Z196" t="str">
            <v/>
          </cell>
          <cell r="AA196">
            <v>2.0498794774103102E-2</v>
          </cell>
          <cell r="AB196" t="str">
            <v/>
          </cell>
          <cell r="AC196">
            <v>4.6977459046123715E-2</v>
          </cell>
          <cell r="AD196">
            <v>7.5495279349106603E-2</v>
          </cell>
          <cell r="AE196">
            <v>0.12773503908834538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8.5324082278470659E-4</v>
          </cell>
          <cell r="Q197" t="str">
            <v/>
          </cell>
          <cell r="R197">
            <v>7.9738139552305576E-3</v>
          </cell>
          <cell r="S197" t="str">
            <v/>
          </cell>
          <cell r="T197">
            <v>1.8321228060347972E-2</v>
          </cell>
          <cell r="U197">
            <v>3.4224942018445614E-2</v>
          </cell>
          <cell r="V197">
            <v>6.493782292883965E-2</v>
          </cell>
          <cell r="W197" t="str">
            <v/>
          </cell>
          <cell r="X197" t="str">
            <v/>
          </cell>
          <cell r="Y197">
            <v>1.0197514063650104E-3</v>
          </cell>
          <cell r="Z197" t="str">
            <v/>
          </cell>
          <cell r="AA197">
            <v>8.4697030656818439E-3</v>
          </cell>
          <cell r="AB197" t="str">
            <v/>
          </cell>
          <cell r="AC197">
            <v>1.918922077817542E-2</v>
          </cell>
          <cell r="AD197">
            <v>3.5893213266249169E-2</v>
          </cell>
          <cell r="AE197">
            <v>6.8073432245266408E-2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1.4187671667675872E-3</v>
          </cell>
          <cell r="Q198" t="str">
            <v/>
          </cell>
          <cell r="R198">
            <v>8.0778524452811418E-3</v>
          </cell>
          <cell r="S198" t="str">
            <v/>
          </cell>
          <cell r="T198">
            <v>1.6959081369407603E-2</v>
          </cell>
          <cell r="U198">
            <v>3.1518117943552415E-2</v>
          </cell>
          <cell r="V198">
            <v>5.8149407383109919E-2</v>
          </cell>
          <cell r="W198" t="str">
            <v/>
          </cell>
          <cell r="X198" t="str">
            <v/>
          </cell>
          <cell r="Y198">
            <v>1.5851835038134254E-3</v>
          </cell>
          <cell r="Z198" t="str">
            <v/>
          </cell>
          <cell r="AA198">
            <v>8.5736895494186172E-3</v>
          </cell>
          <cell r="AB198" t="str">
            <v/>
          </cell>
          <cell r="AC198">
            <v>1.7777940896092082E-2</v>
          </cell>
          <cell r="AD198">
            <v>3.3055345691418658E-2</v>
          </cell>
          <cell r="AE198">
            <v>6.0964129211192208E-2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8.5672195685559949E-4</v>
          </cell>
          <cell r="Q199" t="str">
            <v/>
          </cell>
          <cell r="R199">
            <v>8.782877073494566E-3</v>
          </cell>
          <cell r="S199" t="str">
            <v/>
          </cell>
          <cell r="T199">
            <v>2.1274525942205358E-2</v>
          </cell>
          <cell r="U199">
            <v>3.6987664828815214E-2</v>
          </cell>
          <cell r="V199">
            <v>6.5785305770100222E-2</v>
          </cell>
          <cell r="W199" t="str">
            <v/>
          </cell>
          <cell r="X199" t="str">
            <v/>
          </cell>
          <cell r="Y199">
            <v>1.0232319603122875E-3</v>
          </cell>
          <cell r="Z199" t="str">
            <v/>
          </cell>
          <cell r="AA199">
            <v>9.2783617534522023E-3</v>
          </cell>
          <cell r="AB199" t="str">
            <v/>
          </cell>
          <cell r="AC199">
            <v>2.2311578187668601E-2</v>
          </cell>
          <cell r="AD199">
            <v>3.8791535740067773E-2</v>
          </cell>
          <cell r="AE199">
            <v>6.896053343314279E-2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4.6127998406324533E-3</v>
          </cell>
          <cell r="Q200" t="str">
            <v/>
          </cell>
          <cell r="R200">
            <v>3.5113713347814768E-2</v>
          </cell>
          <cell r="S200" t="str">
            <v/>
          </cell>
          <cell r="T200">
            <v>8.9624970332019993E-2</v>
          </cell>
          <cell r="U200">
            <v>0.1420535679463707</v>
          </cell>
          <cell r="V200">
            <v>0.24316563401032565</v>
          </cell>
          <cell r="W200" t="str">
            <v/>
          </cell>
          <cell r="X200" t="str">
            <v/>
          </cell>
          <cell r="Y200">
            <v>4.8329219669998036E-3</v>
          </cell>
          <cell r="Z200" t="str">
            <v/>
          </cell>
          <cell r="AA200">
            <v>3.6835565810131587E-2</v>
          </cell>
          <cell r="AB200" t="str">
            <v/>
          </cell>
          <cell r="AC200">
            <v>9.3952913910856029E-2</v>
          </cell>
          <cell r="AD200">
            <v>0.148736985458233</v>
          </cell>
          <cell r="AE200">
            <v>0.25408174670484762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2.9380229682006709E-3</v>
          </cell>
          <cell r="Q201" t="str">
            <v/>
          </cell>
          <cell r="R201">
            <v>1.6053273798310785E-2</v>
          </cell>
          <cell r="S201" t="str">
            <v/>
          </cell>
          <cell r="T201">
            <v>3.4974125250559429E-2</v>
          </cell>
          <cell r="U201">
            <v>5.3196387321540417E-2</v>
          </cell>
          <cell r="V201">
            <v>8.0020341222774016E-2</v>
          </cell>
          <cell r="W201" t="str">
            <v/>
          </cell>
          <cell r="X201" t="str">
            <v/>
          </cell>
          <cell r="Y201">
            <v>3.1041861170625351E-3</v>
          </cell>
          <cell r="Z201" t="str">
            <v/>
          </cell>
          <cell r="AA201">
            <v>1.6847274780237287E-2</v>
          </cell>
          <cell r="AB201" t="str">
            <v/>
          </cell>
          <cell r="AC201">
            <v>3.6692007474531274E-2</v>
          </cell>
          <cell r="AD201">
            <v>5.5788903031331549E-2</v>
          </cell>
          <cell r="AE201">
            <v>8.3859388270394519E-2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2.5262775766737855E-3</v>
          </cell>
          <cell r="Q202" t="str">
            <v/>
          </cell>
          <cell r="R202">
            <v>9.7277592879345676E-3</v>
          </cell>
          <cell r="S202" t="str">
            <v/>
          </cell>
          <cell r="T202">
            <v>3.3139739606582563E-2</v>
          </cell>
          <cell r="U202">
            <v>6.4400425295793151E-2</v>
          </cell>
          <cell r="V202">
            <v>0.11256912099266714</v>
          </cell>
          <cell r="W202" t="str">
            <v/>
          </cell>
          <cell r="X202" t="str">
            <v/>
          </cell>
          <cell r="Y202">
            <v>2.6925093440520742E-3</v>
          </cell>
          <cell r="Z202" t="str">
            <v/>
          </cell>
          <cell r="AA202">
            <v>1.0222771644877615E-2</v>
          </cell>
          <cell r="AB202" t="str">
            <v/>
          </cell>
          <cell r="AC202">
            <v>3.4767421769627105E-2</v>
          </cell>
          <cell r="AD202">
            <v>6.753348021179173E-2</v>
          </cell>
          <cell r="AE202">
            <v>0.11795581501845032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7.9216678478439384E-2</v>
          </cell>
          <cell r="Q203" t="str">
            <v/>
          </cell>
          <cell r="R203">
            <v>0.18614379248715274</v>
          </cell>
          <cell r="S203" t="str">
            <v/>
          </cell>
          <cell r="T203">
            <v>0.24268135326536222</v>
          </cell>
          <cell r="U203">
            <v>0.29057091910928423</v>
          </cell>
          <cell r="V203">
            <v>0.34430261795283379</v>
          </cell>
          <cell r="W203" t="str">
            <v/>
          </cell>
          <cell r="X203" t="str">
            <v/>
          </cell>
          <cell r="Y203">
            <v>8.3008386087430996E-2</v>
          </cell>
          <cell r="Z203" t="str">
            <v/>
          </cell>
          <cell r="AA203">
            <v>0.19442435550478543</v>
          </cell>
          <cell r="AB203" t="str">
            <v/>
          </cell>
          <cell r="AC203">
            <v>0.25285412404779406</v>
          </cell>
          <cell r="AD203">
            <v>0.30216859457387957</v>
          </cell>
          <cell r="AE203">
            <v>0.3571862726979157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4.8971478413708525E-3</v>
          </cell>
          <cell r="Q204" t="str">
            <v/>
          </cell>
          <cell r="R204">
            <v>2.7477650347708771E-2</v>
          </cell>
          <cell r="S204" t="str">
            <v/>
          </cell>
          <cell r="T204">
            <v>7.5268157321391804E-2</v>
          </cell>
          <cell r="U204">
            <v>0.12416160405673049</v>
          </cell>
          <cell r="V204">
            <v>0.21062336640269186</v>
          </cell>
          <cell r="W204" t="str">
            <v/>
          </cell>
          <cell r="X204" t="str">
            <v/>
          </cell>
          <cell r="Y204">
            <v>5.1308037250034078E-3</v>
          </cell>
          <cell r="Z204" t="str">
            <v/>
          </cell>
          <cell r="AA204">
            <v>2.8831060677649289E-2</v>
          </cell>
          <cell r="AB204" t="str">
            <v/>
          </cell>
          <cell r="AC204">
            <v>7.8925689099610175E-2</v>
          </cell>
          <cell r="AD204">
            <v>0.13006136874866348</v>
          </cell>
          <cell r="AE204">
            <v>0.22023613586465829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1.1542457216366375E-2</v>
          </cell>
          <cell r="Q205" t="str">
            <v/>
          </cell>
          <cell r="R205">
            <v>6.0158124541064728E-2</v>
          </cell>
          <cell r="S205" t="str">
            <v/>
          </cell>
          <cell r="T205">
            <v>0.14505175834300454</v>
          </cell>
          <cell r="U205">
            <v>0.21926841352248161</v>
          </cell>
          <cell r="V205">
            <v>0.33588990605960556</v>
          </cell>
          <cell r="W205" t="str">
            <v/>
          </cell>
          <cell r="X205" t="str">
            <v/>
          </cell>
          <cell r="Y205">
            <v>1.2115400479655536E-2</v>
          </cell>
          <cell r="Z205" t="str">
            <v/>
          </cell>
          <cell r="AA205">
            <v>6.3084635771112896E-2</v>
          </cell>
          <cell r="AB205" t="str">
            <v/>
          </cell>
          <cell r="AC205">
            <v>0.15187203079053824</v>
          </cell>
          <cell r="AD205">
            <v>0.22915627358962887</v>
          </cell>
          <cell r="AE205">
            <v>0.3500076483260709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8.2016944864349295E-4</v>
          </cell>
          <cell r="Q206" t="str">
            <v/>
          </cell>
          <cell r="R206">
            <v>9.7292486480800022E-3</v>
          </cell>
          <cell r="S206" t="str">
            <v/>
          </cell>
          <cell r="T206">
            <v>2.2038519214811703E-2</v>
          </cell>
          <cell r="U206">
            <v>4.1843742709897214E-2</v>
          </cell>
          <cell r="V206">
            <v>7.7238674675388252E-2</v>
          </cell>
          <cell r="W206" t="str">
            <v/>
          </cell>
          <cell r="X206" t="str">
            <v/>
          </cell>
          <cell r="Y206">
            <v>9.8668554366354577E-4</v>
          </cell>
          <cell r="Z206" t="str">
            <v/>
          </cell>
          <cell r="AA206">
            <v>1.0224260260576878E-2</v>
          </cell>
          <cell r="AB206" t="str">
            <v/>
          </cell>
          <cell r="AC206">
            <v>2.3117796914109756E-2</v>
          </cell>
          <cell r="AD206">
            <v>4.3887788756298063E-2</v>
          </cell>
          <cell r="AE206">
            <v>8.0957083031642951E-2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1.9526802887469552E-3</v>
          </cell>
          <cell r="Q207" t="str">
            <v/>
          </cell>
          <cell r="R207">
            <v>9.9254890985825961E-3</v>
          </cell>
          <cell r="S207" t="str">
            <v/>
          </cell>
          <cell r="T207">
            <v>2.5826099865312924E-2</v>
          </cell>
          <cell r="U207">
            <v>4.8261935739770112E-2</v>
          </cell>
          <cell r="V207">
            <v>8.9433331013118122E-2</v>
          </cell>
          <cell r="W207" t="str">
            <v/>
          </cell>
          <cell r="X207" t="str">
            <v/>
          </cell>
          <cell r="Y207">
            <v>2.1190076477021202E-3</v>
          </cell>
          <cell r="Z207" t="str">
            <v/>
          </cell>
          <cell r="AA207">
            <v>1.0420402615326063E-2</v>
          </cell>
          <cell r="AB207" t="str">
            <v/>
          </cell>
          <cell r="AC207">
            <v>2.7096163867710965E-2</v>
          </cell>
          <cell r="AD207">
            <v>5.0620836627854993E-2</v>
          </cell>
          <cell r="AE207">
            <v>9.3751005902081297E-2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6.6010447658070182E-2</v>
          </cell>
          <cell r="Q208" t="str">
            <v/>
          </cell>
          <cell r="R208">
            <v>0.18189105398654948</v>
          </cell>
          <cell r="S208" t="str">
            <v/>
          </cell>
          <cell r="T208">
            <v>0.24714076951760733</v>
          </cell>
          <cell r="U208">
            <v>0.30352540610325784</v>
          </cell>
          <cell r="V208">
            <v>0.37821115991793797</v>
          </cell>
          <cell r="W208" t="str">
            <v/>
          </cell>
          <cell r="X208" t="str">
            <v/>
          </cell>
          <cell r="Y208">
            <v>6.919404437411425E-2</v>
          </cell>
          <cell r="Z208" t="str">
            <v/>
          </cell>
          <cell r="AA208">
            <v>0.19006354345283472</v>
          </cell>
          <cell r="AB208" t="str">
            <v/>
          </cell>
          <cell r="AC208">
            <v>0.25756908517846511</v>
          </cell>
          <cell r="AD208">
            <v>0.31565948227771223</v>
          </cell>
          <cell r="AE208">
            <v>0.39223250032281065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7.4198079234544245E-3</v>
          </cell>
          <cell r="Q209" t="str">
            <v/>
          </cell>
          <cell r="R209">
            <v>3.8405566314867801E-2</v>
          </cell>
          <cell r="S209" t="str">
            <v/>
          </cell>
          <cell r="T209">
            <v>0.10010882655450914</v>
          </cell>
          <cell r="U209">
            <v>0.16189569716225471</v>
          </cell>
          <cell r="V209">
            <v>0.27037798100372168</v>
          </cell>
          <cell r="W209" t="str">
            <v/>
          </cell>
          <cell r="X209" t="str">
            <v/>
          </cell>
          <cell r="Y209">
            <v>7.7733516381675027E-3</v>
          </cell>
          <cell r="Z209" t="str">
            <v/>
          </cell>
          <cell r="AA209">
            <v>4.0284551227686149E-2</v>
          </cell>
          <cell r="AB209" t="str">
            <v/>
          </cell>
          <cell r="AC209">
            <v>0.10492061327354651</v>
          </cell>
          <cell r="AD209">
            <v>0.16944912286219949</v>
          </cell>
          <cell r="AE209">
            <v>0.28233422962996135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6.2951765008028016E-3</v>
          </cell>
          <cell r="Q210" t="str">
            <v/>
          </cell>
          <cell r="R210">
            <v>3.9721716796188522E-2</v>
          </cell>
          <cell r="S210" t="str">
            <v/>
          </cell>
          <cell r="T210">
            <v>0.10129362832254085</v>
          </cell>
          <cell r="U210">
            <v>0.15639605346099172</v>
          </cell>
          <cell r="V210">
            <v>0.25140151031880942</v>
          </cell>
          <cell r="W210" t="str">
            <v/>
          </cell>
          <cell r="X210" t="str">
            <v/>
          </cell>
          <cell r="Y210">
            <v>6.5953128308493536E-3</v>
          </cell>
          <cell r="Z210" t="str">
            <v/>
          </cell>
          <cell r="AA210">
            <v>4.1663809481011449E-2</v>
          </cell>
          <cell r="AB210" t="str">
            <v/>
          </cell>
          <cell r="AC210">
            <v>0.10616018997800514</v>
          </cell>
          <cell r="AD210">
            <v>0.16369490044881496</v>
          </cell>
          <cell r="AE210">
            <v>0.26256813033120818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1.1769347925223439E-3</v>
          </cell>
          <cell r="Q211" t="str">
            <v/>
          </cell>
          <cell r="R211">
            <v>5.9462016420491759E-3</v>
          </cell>
          <cell r="S211" t="str">
            <v/>
          </cell>
          <cell r="T211">
            <v>1.6770938002698355E-2</v>
          </cell>
          <cell r="U211">
            <v>3.014855662638205E-2</v>
          </cell>
          <cell r="V211">
            <v>6.4135689821288921E-2</v>
          </cell>
          <cell r="W211" t="str">
            <v/>
          </cell>
          <cell r="X211" t="str">
            <v/>
          </cell>
          <cell r="Y211">
            <v>1.3433914316186568E-3</v>
          </cell>
          <cell r="Z211" t="str">
            <v/>
          </cell>
          <cell r="AA211">
            <v>6.4431043052430859E-3</v>
          </cell>
          <cell r="AB211" t="str">
            <v/>
          </cell>
          <cell r="AC211">
            <v>1.758995425021681E-2</v>
          </cell>
          <cell r="AD211">
            <v>3.1605241478776969E-2</v>
          </cell>
          <cell r="AE211">
            <v>6.7220949837572319E-2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9.002351168498901E-4</v>
          </cell>
          <cell r="Q212" t="str">
            <v/>
          </cell>
          <cell r="R212">
            <v>5.5711718706833446E-3</v>
          </cell>
          <cell r="S212" t="str">
            <v/>
          </cell>
          <cell r="T212">
            <v>1.6400169643322138E-2</v>
          </cell>
          <cell r="U212">
            <v>2.6646204735497947E-2</v>
          </cell>
          <cell r="V212">
            <v>4.8654774164822223E-2</v>
          </cell>
          <cell r="W212" t="str">
            <v/>
          </cell>
          <cell r="X212" t="str">
            <v/>
          </cell>
          <cell r="Y212">
            <v>1.0667378687243545E-3</v>
          </cell>
          <cell r="Z212" t="str">
            <v/>
          </cell>
          <cell r="AA212">
            <v>6.0682620018508437E-3</v>
          </cell>
          <cell r="AB212" t="str">
            <v/>
          </cell>
          <cell r="AC212">
            <v>1.72194947357307E-2</v>
          </cell>
          <cell r="AD212">
            <v>2.7926201465065414E-2</v>
          </cell>
          <cell r="AE212">
            <v>5.0996976738384547E-2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9.9595744750413662E-4</v>
          </cell>
          <cell r="Q213" t="str">
            <v/>
          </cell>
          <cell r="R213">
            <v>1.1953810278833799E-2</v>
          </cell>
          <cell r="S213" t="str">
            <v/>
          </cell>
          <cell r="T213">
            <v>3.5604514507080687E-2</v>
          </cell>
          <cell r="U213">
            <v>7.0454044358481016E-2</v>
          </cell>
          <cell r="V213">
            <v>0.12003572900629111</v>
          </cell>
          <cell r="W213" t="str">
            <v/>
          </cell>
          <cell r="X213" t="str">
            <v/>
          </cell>
          <cell r="Y213">
            <v>1.1624442469587715E-3</v>
          </cell>
          <cell r="Z213" t="str">
            <v/>
          </cell>
          <cell r="AA213">
            <v>1.2525229700609208E-2</v>
          </cell>
          <cell r="AB213" t="str">
            <v/>
          </cell>
          <cell r="AC213">
            <v>3.7349360390748432E-2</v>
          </cell>
          <cell r="AD213">
            <v>7.3870534408793098E-2</v>
          </cell>
          <cell r="AE213">
            <v>0.12575660753167006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2.3629225740556814E-3</v>
          </cell>
          <cell r="Q214" t="str">
            <v/>
          </cell>
          <cell r="R214">
            <v>1.3056248460229902E-2</v>
          </cell>
          <cell r="S214" t="str">
            <v/>
          </cell>
          <cell r="T214">
            <v>3.9666748617545045E-2</v>
          </cell>
          <cell r="U214">
            <v>6.9552775497292108E-2</v>
          </cell>
          <cell r="V214">
            <v>0.14008522197849627</v>
          </cell>
          <cell r="W214" t="str">
            <v/>
          </cell>
          <cell r="X214" t="str">
            <v/>
          </cell>
          <cell r="Y214">
            <v>2.5291815649819416E-3</v>
          </cell>
          <cell r="Z214" t="str">
            <v/>
          </cell>
          <cell r="AA214">
            <v>1.368448485806395E-2</v>
          </cell>
          <cell r="AB214" t="str">
            <v/>
          </cell>
          <cell r="AC214">
            <v>4.1612722766677601E-2</v>
          </cell>
          <cell r="AD214">
            <v>7.2928614727450825E-2</v>
          </cell>
          <cell r="AE214">
            <v>0.14673954619499585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5.0883575161808636E-2</v>
          </cell>
          <cell r="Q215" t="str">
            <v/>
          </cell>
          <cell r="R215">
            <v>0.13188193306411056</v>
          </cell>
          <cell r="S215" t="str">
            <v/>
          </cell>
          <cell r="T215">
            <v>0.18792113399108057</v>
          </cell>
          <cell r="U215">
            <v>0.21276344173383088</v>
          </cell>
          <cell r="V215">
            <v>0.24329257741924193</v>
          </cell>
          <cell r="W215" t="str">
            <v/>
          </cell>
          <cell r="X215" t="str">
            <v/>
          </cell>
          <cell r="Y215">
            <v>5.3358619801526119E-2</v>
          </cell>
          <cell r="Z215" t="str">
            <v/>
          </cell>
          <cell r="AA215">
            <v>0.13798559803444566</v>
          </cell>
          <cell r="AB215" t="str">
            <v/>
          </cell>
          <cell r="AC215">
            <v>0.19624026553487228</v>
          </cell>
          <cell r="AD215">
            <v>0.22183572726436407</v>
          </cell>
          <cell r="AE215">
            <v>0.25325995370945387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2.0483025549112854E-3</v>
          </cell>
          <cell r="Q216" t="str">
            <v/>
          </cell>
          <cell r="R216">
            <v>1.0141132236745065E-2</v>
          </cell>
          <cell r="S216" t="str">
            <v/>
          </cell>
          <cell r="T216">
            <v>2.1030803418900068E-2</v>
          </cell>
          <cell r="U216">
            <v>3.8954375271899822E-2</v>
          </cell>
          <cell r="V216">
            <v>7.0192202830046346E-2</v>
          </cell>
          <cell r="W216" t="str">
            <v/>
          </cell>
          <cell r="X216" t="str">
            <v/>
          </cell>
          <cell r="Y216">
            <v>2.2146139781649143E-3</v>
          </cell>
          <cell r="Z216" t="str">
            <v/>
          </cell>
          <cell r="AA216">
            <v>1.0635937958919706E-2</v>
          </cell>
          <cell r="AB216" t="str">
            <v/>
          </cell>
          <cell r="AC216">
            <v>2.2067336293385642E-2</v>
          </cell>
          <cell r="AD216">
            <v>4.0864846220807549E-2</v>
          </cell>
          <cell r="AE216">
            <v>7.3586349706232679E-2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1.0586071345272119E-3</v>
          </cell>
          <cell r="Q217" t="str">
            <v/>
          </cell>
          <cell r="R217">
            <v>8.7058512324148518E-3</v>
          </cell>
          <cell r="S217" t="str">
            <v/>
          </cell>
          <cell r="T217">
            <v>2.1697449717626771E-2</v>
          </cell>
          <cell r="U217">
            <v>4.1130816791174918E-2</v>
          </cell>
          <cell r="V217">
            <v>7.4021348920084384E-2</v>
          </cell>
          <cell r="W217" t="str">
            <v/>
          </cell>
          <cell r="X217" t="str">
            <v/>
          </cell>
          <cell r="Y217">
            <v>1.2250834932553412E-3</v>
          </cell>
          <cell r="Z217" t="str">
            <v/>
          </cell>
          <cell r="AA217">
            <v>9.2013744157193322E-3</v>
          </cell>
          <cell r="AB217" t="str">
            <v/>
          </cell>
          <cell r="AC217">
            <v>2.2755612926443458E-2</v>
          </cell>
          <cell r="AD217">
            <v>4.3136320508225245E-2</v>
          </cell>
          <cell r="AE217">
            <v>7.7585276101683531E-2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4.9560879648484768E-3</v>
          </cell>
          <cell r="Q218" t="str">
            <v/>
          </cell>
          <cell r="R218">
            <v>2.0589652166647321E-2</v>
          </cell>
          <cell r="S218" t="str">
            <v/>
          </cell>
          <cell r="T218">
            <v>5.9052538423907452E-2</v>
          </cell>
          <cell r="U218">
            <v>9.8838004457281192E-2</v>
          </cell>
          <cell r="V218">
            <v>0.16773704072803586</v>
          </cell>
          <cell r="W218" t="str">
            <v/>
          </cell>
          <cell r="X218" t="str">
            <v/>
          </cell>
          <cell r="Y218">
            <v>5.1925486340939075E-3</v>
          </cell>
          <cell r="Z218" t="str">
            <v/>
          </cell>
          <cell r="AA218">
            <v>2.1607791596273795E-2</v>
          </cell>
          <cell r="AB218" t="str">
            <v/>
          </cell>
          <cell r="AC218">
            <v>6.1924321696172457E-2</v>
          </cell>
          <cell r="AD218">
            <v>0.10357030434939518</v>
          </cell>
          <cell r="AE218">
            <v>0.17555401410226779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2.0378714766647876E-3</v>
          </cell>
          <cell r="Q219" t="str">
            <v/>
          </cell>
          <cell r="R219">
            <v>1.1068649349536774E-2</v>
          </cell>
          <cell r="S219" t="str">
            <v/>
          </cell>
          <cell r="T219">
            <v>2.871251736379099E-2</v>
          </cell>
          <cell r="U219">
            <v>4.1914270667368192E-2</v>
          </cell>
          <cell r="V219">
            <v>6.8933153931498348E-2</v>
          </cell>
          <cell r="W219" t="str">
            <v/>
          </cell>
          <cell r="X219" t="str">
            <v/>
          </cell>
          <cell r="Y219">
            <v>2.2041846382765407E-3</v>
          </cell>
          <cell r="Z219" t="str">
            <v/>
          </cell>
          <cell r="AA219">
            <v>1.1602033919749566E-2</v>
          </cell>
          <cell r="AB219" t="str">
            <v/>
          </cell>
          <cell r="AC219">
            <v>3.0125592573910231E-2</v>
          </cell>
          <cell r="AD219">
            <v>4.3966520446166113E-2</v>
          </cell>
          <cell r="AE219">
            <v>7.2261702409335826E-2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1.4744325777467093E-3</v>
          </cell>
          <cell r="Q220" t="str">
            <v/>
          </cell>
          <cell r="R220">
            <v>1.2306063919504284E-2</v>
          </cell>
          <cell r="S220" t="str">
            <v/>
          </cell>
          <cell r="T220">
            <v>3.2942631565636704E-2</v>
          </cell>
          <cell r="U220">
            <v>6.182605546436748E-2</v>
          </cell>
          <cell r="V220">
            <v>0.12480340155497727</v>
          </cell>
          <cell r="W220" t="str">
            <v/>
          </cell>
          <cell r="X220" t="str">
            <v/>
          </cell>
          <cell r="Y220">
            <v>1.6408396380223067E-3</v>
          </cell>
          <cell r="Z220" t="str">
            <v/>
          </cell>
          <cell r="AA220">
            <v>1.2895787998960739E-2</v>
          </cell>
          <cell r="AB220" t="str">
            <v/>
          </cell>
          <cell r="AC220">
            <v>3.4559814626281327E-2</v>
          </cell>
          <cell r="AD220">
            <v>6.4833452358715071E-2</v>
          </cell>
          <cell r="AE220">
            <v>0.13076565246033733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1.6831504453922452E-3</v>
          </cell>
          <cell r="Q221" t="str">
            <v/>
          </cell>
          <cell r="R221">
            <v>1.1131283750257626E-2</v>
          </cell>
          <cell r="S221" t="str">
            <v/>
          </cell>
          <cell r="T221">
            <v>2.3987386287448675E-2</v>
          </cell>
          <cell r="U221">
            <v>4.4211407718108608E-2</v>
          </cell>
          <cell r="V221">
            <v>8.0274164263399728E-2</v>
          </cell>
          <cell r="W221" t="str">
            <v/>
          </cell>
          <cell r="X221" t="str">
            <v/>
          </cell>
          <cell r="Y221">
            <v>1.8495227222452559E-3</v>
          </cell>
          <cell r="Z221" t="str">
            <v/>
          </cell>
          <cell r="AA221">
            <v>1.1666364123775974E-2</v>
          </cell>
          <cell r="AB221" t="str">
            <v/>
          </cell>
          <cell r="AC221">
            <v>2.516826004993844E-2</v>
          </cell>
          <cell r="AD221">
            <v>4.6375140127911996E-2</v>
          </cell>
          <cell r="AE221">
            <v>8.4137909211121187E-2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8.8631111032944077E-4</v>
          </cell>
          <cell r="Q222" t="str">
            <v/>
          </cell>
          <cell r="R222">
            <v>9.3925994829057169E-3</v>
          </cell>
          <cell r="S222" t="str">
            <v/>
          </cell>
          <cell r="T222">
            <v>2.3802192362657904E-2</v>
          </cell>
          <cell r="U222">
            <v>4.1984621114067866E-2</v>
          </cell>
          <cell r="V222">
            <v>7.8170722543425164E-2</v>
          </cell>
          <cell r="W222" t="str">
            <v/>
          </cell>
          <cell r="X222" t="str">
            <v/>
          </cell>
          <cell r="Y222">
            <v>1.0528161826509619E-3</v>
          </cell>
          <cell r="Z222" t="str">
            <v/>
          </cell>
          <cell r="AA222">
            <v>9.8877793779081902E-3</v>
          </cell>
          <cell r="AB222" t="str">
            <v/>
          </cell>
          <cell r="AC222">
            <v>2.4966436685155524E-2</v>
          </cell>
          <cell r="AD222">
            <v>4.4033755195087121E-2</v>
          </cell>
          <cell r="AE222">
            <v>8.1929785898571472E-2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6.5131444456578702E-4</v>
          </cell>
          <cell r="Q223" t="str">
            <v/>
          </cell>
          <cell r="R223">
            <v>8.7408670960301693E-3</v>
          </cell>
          <cell r="S223" t="str">
            <v/>
          </cell>
          <cell r="T223">
            <v>2.3030040659537288E-2</v>
          </cell>
          <cell r="U223">
            <v>4.6939084477635173E-2</v>
          </cell>
          <cell r="V223">
            <v>8.963693594035782E-2</v>
          </cell>
          <cell r="W223" t="str">
            <v/>
          </cell>
          <cell r="X223" t="str">
            <v/>
          </cell>
          <cell r="Y223">
            <v>8.1785867974115689E-4</v>
          </cell>
          <cell r="Z223" t="str">
            <v/>
          </cell>
          <cell r="AA223">
            <v>9.2363727757418523E-3</v>
          </cell>
          <cell r="AB223" t="str">
            <v/>
          </cell>
          <cell r="AC223">
            <v>2.41521958819233E-2</v>
          </cell>
          <cell r="AD223">
            <v>4.9224256205728234E-2</v>
          </cell>
          <cell r="AE223">
            <v>9.3958989408839844E-2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1.0829698485161909E-3</v>
          </cell>
          <cell r="Q224" t="str">
            <v/>
          </cell>
          <cell r="R224">
            <v>1.2097385319976728E-2</v>
          </cell>
          <cell r="S224" t="str">
            <v/>
          </cell>
          <cell r="T224">
            <v>2.7821027641382501E-2</v>
          </cell>
          <cell r="U224">
            <v>5.1216070968107652E-2</v>
          </cell>
          <cell r="V224">
            <v>8.9475663546089157E-2</v>
          </cell>
          <cell r="W224" t="str">
            <v/>
          </cell>
          <cell r="X224" t="str">
            <v/>
          </cell>
          <cell r="Y224">
            <v>1.2494421471256345E-3</v>
          </cell>
          <cell r="Z224" t="str">
            <v/>
          </cell>
          <cell r="AA224">
            <v>1.2675879833422887E-2</v>
          </cell>
          <cell r="AB224" t="str">
            <v/>
          </cell>
          <cell r="AC224">
            <v>2.9187377003528026E-2</v>
          </cell>
          <cell r="AD224">
            <v>5.3714636275642214E-2</v>
          </cell>
          <cell r="AE224">
            <v>9.3761761160904511E-2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1.2604518222725236E-3</v>
          </cell>
          <cell r="Q225" t="str">
            <v/>
          </cell>
          <cell r="R225">
            <v>8.193153691007482E-3</v>
          </cell>
          <cell r="S225" t="str">
            <v/>
          </cell>
          <cell r="T225">
            <v>2.2167062660479075E-2</v>
          </cell>
          <cell r="U225">
            <v>3.5967077361893196E-2</v>
          </cell>
          <cell r="V225">
            <v>7.0653228848735927E-2</v>
          </cell>
          <cell r="W225" t="str">
            <v/>
          </cell>
          <cell r="X225" t="str">
            <v/>
          </cell>
          <cell r="Y225">
            <v>1.4268945430198077E-3</v>
          </cell>
          <cell r="Z225" t="str">
            <v/>
          </cell>
          <cell r="AA225">
            <v>8.6889331589486973E-3</v>
          </cell>
          <cell r="AB225" t="str">
            <v/>
          </cell>
          <cell r="AC225">
            <v>2.3246363350551413E-2</v>
          </cell>
          <cell r="AD225">
            <v>3.7719705020803684E-2</v>
          </cell>
          <cell r="AE225">
            <v>7.4055752904431227E-2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7.8361561299300497E-4</v>
          </cell>
          <cell r="Q226" t="str">
            <v/>
          </cell>
          <cell r="R226">
            <v>5.974485887130232E-3</v>
          </cell>
          <cell r="S226" t="str">
            <v/>
          </cell>
          <cell r="T226">
            <v>1.7673903397979585E-2</v>
          </cell>
          <cell r="U226">
            <v>3.2629361635032716E-2</v>
          </cell>
          <cell r="V226">
            <v>6.3664099929978013E-2</v>
          </cell>
          <cell r="W226" t="str">
            <v/>
          </cell>
          <cell r="X226" t="str">
            <v/>
          </cell>
          <cell r="Y226">
            <v>9.5013779983943447E-4</v>
          </cell>
          <cell r="Z226" t="str">
            <v/>
          </cell>
          <cell r="AA226">
            <v>6.4713744117087524E-3</v>
          </cell>
          <cell r="AB226" t="str">
            <v/>
          </cell>
          <cell r="AC226">
            <v>1.8503209388774811E-2</v>
          </cell>
          <cell r="AD226">
            <v>3.4209578214508318E-2</v>
          </cell>
          <cell r="AE226">
            <v>6.6729635785537811E-2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9.2460166473706806E-4</v>
          </cell>
          <cell r="Q227" t="str">
            <v/>
          </cell>
          <cell r="R227">
            <v>8.4718749631914614E-3</v>
          </cell>
          <cell r="S227" t="str">
            <v/>
          </cell>
          <cell r="T227">
            <v>2.3036331995369363E-2</v>
          </cell>
          <cell r="U227">
            <v>4.6314440451993844E-2</v>
          </cell>
          <cell r="V227">
            <v>8.5060246025798314E-2</v>
          </cell>
          <cell r="W227" t="str">
            <v/>
          </cell>
          <cell r="X227" t="str">
            <v/>
          </cell>
          <cell r="Y227">
            <v>1.0911003558539134E-3</v>
          </cell>
          <cell r="Z227" t="str">
            <v/>
          </cell>
          <cell r="AA227">
            <v>8.967515105320234E-3</v>
          </cell>
          <cell r="AB227" t="str">
            <v/>
          </cell>
          <cell r="AC227">
            <v>2.4158424137438295E-2</v>
          </cell>
          <cell r="AD227">
            <v>4.8569140532918831E-2</v>
          </cell>
          <cell r="AE227">
            <v>8.9138193647228969E-2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2.6861312516496261E-3</v>
          </cell>
          <cell r="Q228" t="str">
            <v/>
          </cell>
          <cell r="R228">
            <v>1.1341171741377054E-2</v>
          </cell>
          <cell r="S228" t="str">
            <v/>
          </cell>
          <cell r="T228">
            <v>2.5610433723943338E-2</v>
          </cell>
          <cell r="U228">
            <v>4.8016114498597107E-2</v>
          </cell>
          <cell r="V228">
            <v>9.131909293414997E-2</v>
          </cell>
          <cell r="W228" t="str">
            <v/>
          </cell>
          <cell r="X228" t="str">
            <v/>
          </cell>
          <cell r="Y228">
            <v>2.8523363789685341E-3</v>
          </cell>
          <cell r="Z228" t="str">
            <v/>
          </cell>
          <cell r="AA228">
            <v>1.1889725153445219E-2</v>
          </cell>
          <cell r="AB228" t="str">
            <v/>
          </cell>
          <cell r="AC228">
            <v>2.687412305040493E-2</v>
          </cell>
          <cell r="AD228">
            <v>5.0366553508266687E-2</v>
          </cell>
          <cell r="AE228">
            <v>9.572996976742798E-2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1.7196716210956531E-3</v>
          </cell>
          <cell r="Q229" t="str">
            <v/>
          </cell>
          <cell r="R229">
            <v>1.0496905725687622E-2</v>
          </cell>
          <cell r="S229" t="str">
            <v/>
          </cell>
          <cell r="T229">
            <v>2.6213656096558235E-2</v>
          </cell>
          <cell r="U229">
            <v>4.7878165789302596E-2</v>
          </cell>
          <cell r="V229">
            <v>8.6091828915201285E-2</v>
          </cell>
          <cell r="W229" t="str">
            <v/>
          </cell>
          <cell r="X229" t="str">
            <v/>
          </cell>
          <cell r="Y229">
            <v>1.886037811607344E-3</v>
          </cell>
          <cell r="Z229" t="str">
            <v/>
          </cell>
          <cell r="AA229">
            <v>1.1002165389409124E-2</v>
          </cell>
          <cell r="AB229" t="str">
            <v/>
          </cell>
          <cell r="AC229">
            <v>2.7503618217882719E-2</v>
          </cell>
          <cell r="AD229">
            <v>5.0219128051085304E-2</v>
          </cell>
          <cell r="AE229">
            <v>9.0225462347941932E-2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6.3705433652815113E-2</v>
          </cell>
          <cell r="Q230" t="str">
            <v/>
          </cell>
          <cell r="R230">
            <v>0.17230983101470176</v>
          </cell>
          <cell r="S230" t="str">
            <v/>
          </cell>
          <cell r="T230">
            <v>0.23403986844399138</v>
          </cell>
          <cell r="U230">
            <v>0.28247983044323122</v>
          </cell>
          <cell r="V230">
            <v>0.36016771387077939</v>
          </cell>
          <cell r="W230" t="str">
            <v/>
          </cell>
          <cell r="X230" t="str">
            <v/>
          </cell>
          <cell r="Y230">
            <v>6.6781885321132495E-2</v>
          </cell>
          <cell r="Z230" t="str">
            <v/>
          </cell>
          <cell r="AA230">
            <v>0.18009404196171319</v>
          </cell>
          <cell r="AB230" t="str">
            <v/>
          </cell>
          <cell r="AC230">
            <v>0.24401136527797507</v>
          </cell>
          <cell r="AD230">
            <v>0.29393546062027809</v>
          </cell>
          <cell r="AE230">
            <v>0.37380005785297421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1.9109513602653116E-3</v>
          </cell>
          <cell r="Q231" t="str">
            <v/>
          </cell>
          <cell r="R231">
            <v>1.1269600169542038E-2</v>
          </cell>
          <cell r="S231" t="str">
            <v/>
          </cell>
          <cell r="T231">
            <v>3.8189783631834784E-2</v>
          </cell>
          <cell r="U231">
            <v>6.8315450067625738E-2</v>
          </cell>
          <cell r="V231">
            <v>0.11905056685569904</v>
          </cell>
          <cell r="W231" t="str">
            <v/>
          </cell>
          <cell r="X231" t="str">
            <v/>
          </cell>
          <cell r="Y231">
            <v>2.0772856734643241E-3</v>
          </cell>
          <cell r="Z231" t="str">
            <v/>
          </cell>
          <cell r="AA231">
            <v>1.1812017137188824E-2</v>
          </cell>
          <cell r="AB231" t="str">
            <v/>
          </cell>
          <cell r="AC231">
            <v>4.0062887889413257E-2</v>
          </cell>
          <cell r="AD231">
            <v>7.1633110267740885E-2</v>
          </cell>
          <cell r="AE231">
            <v>0.12472814452781777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0.20078879439970199</v>
          </cell>
          <cell r="Q232" t="str">
            <v/>
          </cell>
          <cell r="R232">
            <v>0.35487583743272866</v>
          </cell>
          <cell r="S232" t="str">
            <v/>
          </cell>
          <cell r="T232">
            <v>0.38598095450811531</v>
          </cell>
          <cell r="U232">
            <v>0.45911815153407975</v>
          </cell>
          <cell r="V232">
            <v>0.53929091875340684</v>
          </cell>
          <cell r="W232" t="str">
            <v/>
          </cell>
          <cell r="X232" t="str">
            <v/>
          </cell>
          <cell r="Y232">
            <v>0.20969482186425314</v>
          </cell>
          <cell r="Z232" t="str">
            <v/>
          </cell>
          <cell r="AA232">
            <v>0.36823991182338445</v>
          </cell>
          <cell r="AB232" t="str">
            <v/>
          </cell>
          <cell r="AC232">
            <v>0.39912035104154109</v>
          </cell>
          <cell r="AD232">
            <v>0.47363649353056059</v>
          </cell>
          <cell r="AE232">
            <v>0.55450755319268885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9.8725579359904003E-4</v>
          </cell>
          <cell r="Q233" t="str">
            <v/>
          </cell>
          <cell r="R233">
            <v>6.4637295889488078E-3</v>
          </cell>
          <cell r="S233" t="str">
            <v/>
          </cell>
          <cell r="T233">
            <v>1.7605685105666291E-2</v>
          </cell>
          <cell r="U233">
            <v>3.3829188649336928E-2</v>
          </cell>
          <cell r="V233">
            <v>6.5293716068102081E-2</v>
          </cell>
          <cell r="W233" t="str">
            <v/>
          </cell>
          <cell r="X233" t="str">
            <v/>
          </cell>
          <cell r="Y233">
            <v>1.1537440432072277E-3</v>
          </cell>
          <cell r="Z233" t="str">
            <v/>
          </cell>
          <cell r="AA233">
            <v>6.9603735528124266E-3</v>
          </cell>
          <cell r="AB233" t="str">
            <v/>
          </cell>
          <cell r="AC233">
            <v>1.8435048688180689E-2</v>
          </cell>
          <cell r="AD233">
            <v>3.5471052798188185E-2</v>
          </cell>
          <cell r="AE233">
            <v>6.8439665447277642E-2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1.3230850461797283E-3</v>
          </cell>
          <cell r="Q234" t="str">
            <v/>
          </cell>
          <cell r="R234">
            <v>1.069204160540238E-2</v>
          </cell>
          <cell r="S234" t="str">
            <v/>
          </cell>
          <cell r="T234">
            <v>2.3194780259568892E-2</v>
          </cell>
          <cell r="U234">
            <v>4.4078850461690466E-2</v>
          </cell>
          <cell r="V234">
            <v>8.2194048776386031E-2</v>
          </cell>
          <cell r="W234" t="str">
            <v/>
          </cell>
          <cell r="X234" t="str">
            <v/>
          </cell>
          <cell r="Y234">
            <v>1.4895173289440899E-3</v>
          </cell>
          <cell r="Z234" t="str">
            <v/>
          </cell>
          <cell r="AA234">
            <v>1.1205112019712193E-2</v>
          </cell>
          <cell r="AB234" t="str">
            <v/>
          </cell>
          <cell r="AC234">
            <v>2.4335606491082129E-2</v>
          </cell>
          <cell r="AD234">
            <v>4.6235373204148944E-2</v>
          </cell>
          <cell r="AE234">
            <v>8.6147260684383276E-2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2.0152704360608675E-3</v>
          </cell>
          <cell r="Q235" t="str">
            <v/>
          </cell>
          <cell r="R235">
            <v>1.7016491718667814E-2</v>
          </cell>
          <cell r="S235" t="str">
            <v/>
          </cell>
          <cell r="T235">
            <v>3.9671901811929366E-2</v>
          </cell>
          <cell r="U235">
            <v>7.3505145671454941E-2</v>
          </cell>
          <cell r="V235">
            <v>0.12869113811436617</v>
          </cell>
          <cell r="W235" t="str">
            <v/>
          </cell>
          <cell r="X235" t="str">
            <v/>
          </cell>
          <cell r="Y235">
            <v>2.1815873642121453E-3</v>
          </cell>
          <cell r="Z235" t="str">
            <v/>
          </cell>
          <cell r="AA235">
            <v>1.7854401813319765E-2</v>
          </cell>
          <cell r="AB235" t="str">
            <v/>
          </cell>
          <cell r="AC235">
            <v>4.161384316339567E-2</v>
          </cell>
          <cell r="AD235">
            <v>7.7060626408592792E-2</v>
          </cell>
          <cell r="AE235">
            <v>0.13479881193961973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1.8483547218300922E-3</v>
          </cell>
          <cell r="Q236" t="str">
            <v/>
          </cell>
          <cell r="R236">
            <v>1.0150743548876129E-2</v>
          </cell>
          <cell r="S236" t="str">
            <v/>
          </cell>
          <cell r="T236">
            <v>2.667075050628398E-2</v>
          </cell>
          <cell r="U236">
            <v>4.5583517779346883E-2</v>
          </cell>
          <cell r="V236">
            <v>9.5589893705675832E-2</v>
          </cell>
          <cell r="W236" t="str">
            <v/>
          </cell>
          <cell r="X236" t="str">
            <v/>
          </cell>
          <cell r="Y236">
            <v>2.0146994669147933E-3</v>
          </cell>
          <cell r="Z236" t="str">
            <v/>
          </cell>
          <cell r="AA236">
            <v>1.0645544466598378E-2</v>
          </cell>
          <cell r="AB236" t="str">
            <v/>
          </cell>
          <cell r="AC236">
            <v>2.7982894729301488E-2</v>
          </cell>
          <cell r="AD236">
            <v>4.7813435178404196E-2</v>
          </cell>
          <cell r="AE236">
            <v>0.10020387532178232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1.7961878810252019E-3</v>
          </cell>
          <cell r="Q237" t="str">
            <v/>
          </cell>
          <cell r="R237">
            <v>9.3152997035989005E-3</v>
          </cell>
          <cell r="S237" t="str">
            <v/>
          </cell>
          <cell r="T237">
            <v>2.287312778403694E-2</v>
          </cell>
          <cell r="U237">
            <v>4.2571173821221886E-2</v>
          </cell>
          <cell r="V237">
            <v>7.7586149811123883E-2</v>
          </cell>
          <cell r="W237" t="str">
            <v/>
          </cell>
          <cell r="X237" t="str">
            <v/>
          </cell>
          <cell r="Y237">
            <v>1.9625413198929298E-3</v>
          </cell>
          <cell r="Z237" t="str">
            <v/>
          </cell>
          <cell r="AA237">
            <v>9.8105182388066314E-3</v>
          </cell>
          <cell r="AB237" t="str">
            <v/>
          </cell>
          <cell r="AC237">
            <v>2.3994855168960383E-2</v>
          </cell>
          <cell r="AD237">
            <v>4.465191989668793E-2</v>
          </cell>
          <cell r="AE237">
            <v>8.1321712913688837E-2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1.0481657908470998E-3</v>
          </cell>
          <cell r="Q238" t="str">
            <v/>
          </cell>
          <cell r="R238">
            <v>1.0463796475521758E-2</v>
          </cell>
          <cell r="S238" t="str">
            <v/>
          </cell>
          <cell r="T238">
            <v>2.1509775594588776E-2</v>
          </cell>
          <cell r="U238">
            <v>4.2427047412398111E-2</v>
          </cell>
          <cell r="V238">
            <v>7.8030811850218651E-2</v>
          </cell>
          <cell r="W238" t="str">
            <v/>
          </cell>
          <cell r="X238" t="str">
            <v/>
          </cell>
          <cell r="Y238">
            <v>1.2146438896442069E-3</v>
          </cell>
          <cell r="Z238" t="str">
            <v/>
          </cell>
          <cell r="AA238">
            <v>1.0965116913841833E-2</v>
          </cell>
          <cell r="AB238" t="str">
            <v/>
          </cell>
          <cell r="AC238">
            <v>2.2567014519290995E-2</v>
          </cell>
          <cell r="AD238">
            <v>4.450309391919105E-2</v>
          </cell>
          <cell r="AE238">
            <v>8.1790315816430814E-2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1.6379319148577265E-3</v>
          </cell>
          <cell r="Q239" t="str">
            <v/>
          </cell>
          <cell r="R239">
            <v>1.0492607495367179E-2</v>
          </cell>
          <cell r="S239" t="str">
            <v/>
          </cell>
          <cell r="T239">
            <v>2.7081218582012512E-2</v>
          </cell>
          <cell r="U239">
            <v>4.9027686654934954E-2</v>
          </cell>
          <cell r="V239">
            <v>8.7648707143187621E-2</v>
          </cell>
          <cell r="W239" t="str">
            <v/>
          </cell>
          <cell r="X239" t="str">
            <v/>
          </cell>
          <cell r="Y239">
            <v>1.8043117274891829E-3</v>
          </cell>
          <cell r="Z239" t="str">
            <v/>
          </cell>
          <cell r="AA239">
            <v>1.0997374852653397E-2</v>
          </cell>
          <cell r="AB239" t="str">
            <v/>
          </cell>
          <cell r="AC239">
            <v>2.8413311460891322E-2</v>
          </cell>
          <cell r="AD239">
            <v>5.1423672665927844E-2</v>
          </cell>
          <cell r="AE239">
            <v>9.1853643933782814E-2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1.7527134472333783E-3</v>
          </cell>
          <cell r="Q240" t="str">
            <v/>
          </cell>
          <cell r="R240">
            <v>1.259551998773667E-2</v>
          </cell>
          <cell r="S240" t="str">
            <v/>
          </cell>
          <cell r="T240">
            <v>2.3823090776985634E-2</v>
          </cell>
          <cell r="U240">
            <v>4.0694858841227588E-2</v>
          </cell>
          <cell r="V240">
            <v>6.4656841329798542E-2</v>
          </cell>
          <cell r="W240" t="str">
            <v/>
          </cell>
          <cell r="X240" t="str">
            <v/>
          </cell>
          <cell r="Y240">
            <v>1.9190741312296034E-3</v>
          </cell>
          <cell r="Z240" t="str">
            <v/>
          </cell>
          <cell r="AA240">
            <v>1.3199873354073799E-2</v>
          </cell>
          <cell r="AB240" t="str">
            <v/>
          </cell>
          <cell r="AC240">
            <v>2.4996107561538028E-2</v>
          </cell>
          <cell r="AD240">
            <v>4.268777689359482E-2</v>
          </cell>
          <cell r="AE240">
            <v>6.7785471573646561E-2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3.6152118509024112E-3</v>
          </cell>
          <cell r="Q241" t="str">
            <v/>
          </cell>
          <cell r="R241">
            <v>1.7948696570403655E-2</v>
          </cell>
          <cell r="S241" t="str">
            <v/>
          </cell>
          <cell r="T241">
            <v>4.4137962319723556E-2</v>
          </cell>
          <cell r="U241">
            <v>7.2763924391964996E-2</v>
          </cell>
          <cell r="V241">
            <v>0.1178875560812721</v>
          </cell>
          <cell r="W241" t="str">
            <v/>
          </cell>
          <cell r="X241" t="str">
            <v/>
          </cell>
          <cell r="Y241">
            <v>3.7878205627903672E-3</v>
          </cell>
          <cell r="Z241" t="str">
            <v/>
          </cell>
          <cell r="AA241">
            <v>1.883768154309573E-2</v>
          </cell>
          <cell r="AB241" t="str">
            <v/>
          </cell>
          <cell r="AC241">
            <v>4.6299581724328132E-2</v>
          </cell>
          <cell r="AD241">
            <v>7.6286052249558978E-2</v>
          </cell>
          <cell r="AE241">
            <v>0.12348818216038537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1.203034608874054E-3</v>
          </cell>
          <cell r="Q242" t="str">
            <v/>
          </cell>
          <cell r="R242">
            <v>1.4942263168856162E-2</v>
          </cell>
          <cell r="S242" t="str">
            <v/>
          </cell>
          <cell r="T242">
            <v>3.6114810198556446E-2</v>
          </cell>
          <cell r="U242">
            <v>6.4062662253452474E-2</v>
          </cell>
          <cell r="V242">
            <v>0.11296476983159598</v>
          </cell>
          <cell r="W242" t="str">
            <v/>
          </cell>
          <cell r="X242" t="str">
            <v/>
          </cell>
          <cell r="Y242">
            <v>1.3694868983674668E-3</v>
          </cell>
          <cell r="Z242" t="str">
            <v/>
          </cell>
          <cell r="AA242">
            <v>1.5675340905263679E-2</v>
          </cell>
          <cell r="AB242" t="str">
            <v/>
          </cell>
          <cell r="AC242">
            <v>3.7882653519485499E-2</v>
          </cell>
          <cell r="AD242">
            <v>6.7170611753491594E-2</v>
          </cell>
          <cell r="AE242">
            <v>0.11835665955451113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4.3526549618452259E-3</v>
          </cell>
          <cell r="Q243" t="str">
            <v/>
          </cell>
          <cell r="R243">
            <v>3.1772776945687475E-2</v>
          </cell>
          <cell r="S243" t="str">
            <v/>
          </cell>
          <cell r="T243">
            <v>7.0407553306513493E-2</v>
          </cell>
          <cell r="U243">
            <v>0.11669181150169006</v>
          </cell>
          <cell r="V243">
            <v>0.20181151970558342</v>
          </cell>
          <cell r="W243" t="str">
            <v/>
          </cell>
          <cell r="X243" t="str">
            <v/>
          </cell>
          <cell r="Y243">
            <v>4.5603916998854244E-3</v>
          </cell>
          <cell r="Z243" t="str">
            <v/>
          </cell>
          <cell r="AA243">
            <v>3.3333921766823149E-2</v>
          </cell>
          <cell r="AB243" t="str">
            <v/>
          </cell>
          <cell r="AC243">
            <v>7.3809706233309624E-2</v>
          </cell>
          <cell r="AD243">
            <v>0.12224674944997227</v>
          </cell>
          <cell r="AE243">
            <v>0.21105992351537073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5.4413457335917848E-3</v>
          </cell>
          <cell r="Q244" t="str">
            <v/>
          </cell>
          <cell r="R244">
            <v>3.6105321830091075E-2</v>
          </cell>
          <cell r="S244" t="str">
            <v/>
          </cell>
          <cell r="T244">
            <v>9.7470028596337022E-2</v>
          </cell>
          <cell r="U244">
            <v>0.15441414471634862</v>
          </cell>
          <cell r="V244">
            <v>0.24747232853017287</v>
          </cell>
          <cell r="W244" t="str">
            <v/>
          </cell>
          <cell r="X244" t="str">
            <v/>
          </cell>
          <cell r="Y244">
            <v>5.7008916701415391E-3</v>
          </cell>
          <cell r="Z244" t="str">
            <v/>
          </cell>
          <cell r="AA244">
            <v>3.7874604082240637E-2</v>
          </cell>
          <cell r="AB244" t="str">
            <v/>
          </cell>
          <cell r="AC244">
            <v>0.10216543054060478</v>
          </cell>
          <cell r="AD244">
            <v>0.16164257412813343</v>
          </cell>
          <cell r="AE244">
            <v>0.25850313431873706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1.112552351217988E-3</v>
          </cell>
          <cell r="Q245" t="str">
            <v/>
          </cell>
          <cell r="R245">
            <v>7.4567292917206984E-3</v>
          </cell>
          <cell r="S245" t="str">
            <v/>
          </cell>
          <cell r="T245">
            <v>2.2258376719602402E-2</v>
          </cell>
          <cell r="U245">
            <v>4.0789662154852246E-2</v>
          </cell>
          <cell r="V245">
            <v>7.6725402498749373E-2</v>
          </cell>
          <cell r="W245" t="str">
            <v/>
          </cell>
          <cell r="X245" t="str">
            <v/>
          </cell>
          <cell r="Y245">
            <v>1.2790197198424558E-3</v>
          </cell>
          <cell r="Z245" t="str">
            <v/>
          </cell>
          <cell r="AA245">
            <v>7.9528768798032834E-3</v>
          </cell>
          <cell r="AB245" t="str">
            <v/>
          </cell>
          <cell r="AC245">
            <v>2.3337781387756773E-2</v>
          </cell>
          <cell r="AD245">
            <v>4.2772719911814083E-2</v>
          </cell>
          <cell r="AE245">
            <v>8.0409989805390047E-2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1.0620875583301492E-3</v>
          </cell>
          <cell r="Q246" t="str">
            <v/>
          </cell>
          <cell r="R246">
            <v>1.1959214879353475E-2</v>
          </cell>
          <cell r="S246" t="str">
            <v/>
          </cell>
          <cell r="T246">
            <v>2.3079714171175825E-2</v>
          </cell>
          <cell r="U246">
            <v>4.3331166388317799E-2</v>
          </cell>
          <cell r="V246">
            <v>8.4988194299987718E-2</v>
          </cell>
          <cell r="W246" t="str">
            <v/>
          </cell>
          <cell r="X246" t="str">
            <v/>
          </cell>
          <cell r="Y246">
            <v>1.2285633370533455E-3</v>
          </cell>
          <cell r="Z246" t="str">
            <v/>
          </cell>
          <cell r="AA246">
            <v>1.2531124909979541E-2</v>
          </cell>
          <cell r="AB246" t="str">
            <v/>
          </cell>
          <cell r="AC246">
            <v>2.421400148930708E-2</v>
          </cell>
          <cell r="AD246">
            <v>4.5450056432038366E-2</v>
          </cell>
          <cell r="AE246">
            <v>8.9098933449573203E-2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4.143682557061934E-2</v>
          </cell>
          <cell r="Q247" t="str">
            <v/>
          </cell>
          <cell r="R247">
            <v>0.11572777208412199</v>
          </cell>
          <cell r="S247" t="str">
            <v/>
          </cell>
          <cell r="T247">
            <v>0.16647978982436162</v>
          </cell>
          <cell r="U247">
            <v>0.21499508689583247</v>
          </cell>
          <cell r="V247">
            <v>0.27865749482157376</v>
          </cell>
          <cell r="W247" t="str">
            <v/>
          </cell>
          <cell r="X247" t="str">
            <v/>
          </cell>
          <cell r="Y247">
            <v>4.3449765714579258E-2</v>
          </cell>
          <cell r="Z247" t="str">
            <v/>
          </cell>
          <cell r="AA247">
            <v>0.12114970319933915</v>
          </cell>
          <cell r="AB247" t="str">
            <v/>
          </cell>
          <cell r="AC247">
            <v>0.17397792121717615</v>
          </cell>
          <cell r="AD247">
            <v>0.2243364061311689</v>
          </cell>
          <cell r="AE247">
            <v>0.2901514089301942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2.7243533659855323E-3</v>
          </cell>
          <cell r="Q248" t="str">
            <v/>
          </cell>
          <cell r="R248">
            <v>1.2015844733272218E-2</v>
          </cell>
          <cell r="S248" t="str">
            <v/>
          </cell>
          <cell r="T248">
            <v>2.3365695280031296E-2</v>
          </cell>
          <cell r="U248">
            <v>4.2843753866060319E-2</v>
          </cell>
          <cell r="V248">
            <v>7.3748772426812548E-2</v>
          </cell>
          <cell r="W248" t="str">
            <v/>
          </cell>
          <cell r="X248" t="str">
            <v/>
          </cell>
          <cell r="Y248">
            <v>2.8905521234636744E-3</v>
          </cell>
          <cell r="Z248" t="str">
            <v/>
          </cell>
          <cell r="AA248">
            <v>1.2596361804383838E-2</v>
          </cell>
          <cell r="AB248" t="str">
            <v/>
          </cell>
          <cell r="AC248">
            <v>2.4519578354023408E-2</v>
          </cell>
          <cell r="AD248">
            <v>4.4944383054942083E-2</v>
          </cell>
          <cell r="AE248">
            <v>7.7310046182019643E-2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1.2152142915468067E-3</v>
          </cell>
          <cell r="Q249" t="str">
            <v/>
          </cell>
          <cell r="R249">
            <v>8.3883834797301438E-3</v>
          </cell>
          <cell r="S249" t="str">
            <v/>
          </cell>
          <cell r="T249">
            <v>2.3021199403802539E-2</v>
          </cell>
          <cell r="U249">
            <v>4.4628987167698808E-2</v>
          </cell>
          <cell r="V249">
            <v>8.6069364778022961E-2</v>
          </cell>
          <cell r="W249" t="str">
            <v/>
          </cell>
          <cell r="X249" t="str">
            <v/>
          </cell>
          <cell r="Y249">
            <v>1.3816645512390036E-3</v>
          </cell>
          <cell r="Z249" t="str">
            <v/>
          </cell>
          <cell r="AA249">
            <v>8.8840653571865547E-3</v>
          </cell>
          <cell r="AB249" t="str">
            <v/>
          </cell>
          <cell r="AC249">
            <v>2.4143205558857961E-2</v>
          </cell>
          <cell r="AD249">
            <v>4.6802827248623058E-2</v>
          </cell>
          <cell r="AE249">
            <v>9.0223682451361698E-2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3.3530723222413572E-3</v>
          </cell>
          <cell r="Q250" t="str">
            <v/>
          </cell>
          <cell r="R250">
            <v>2.4013227584184449E-2</v>
          </cell>
          <cell r="S250" t="str">
            <v/>
          </cell>
          <cell r="T250">
            <v>5.7087137027170276E-2</v>
          </cell>
          <cell r="U250">
            <v>9.9695622139966966E-2</v>
          </cell>
          <cell r="V250">
            <v>0.16574710109698243</v>
          </cell>
          <cell r="W250" t="str">
            <v/>
          </cell>
          <cell r="X250" t="str">
            <v/>
          </cell>
          <cell r="Y250">
            <v>3.5191663019898956E-3</v>
          </cell>
          <cell r="Z250" t="str">
            <v/>
          </cell>
          <cell r="AA250">
            <v>2.5198043700001338E-2</v>
          </cell>
          <cell r="AB250" t="str">
            <v/>
          </cell>
          <cell r="AC250">
            <v>5.9865048714901947E-2</v>
          </cell>
          <cell r="AD250">
            <v>0.10446403667024151</v>
          </cell>
          <cell r="AE250">
            <v>0.17347051203456576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1.0481657908470998E-3</v>
          </cell>
          <cell r="Q251" t="str">
            <v/>
          </cell>
          <cell r="R251">
            <v>1.4830089090980159E-2</v>
          </cell>
          <cell r="S251" t="str">
            <v/>
          </cell>
          <cell r="T251">
            <v>3.2697499658286056E-2</v>
          </cell>
          <cell r="U251">
            <v>5.5445238693095811E-2</v>
          </cell>
          <cell r="V251">
            <v>9.7250824148170767E-2</v>
          </cell>
          <cell r="W251" t="str">
            <v/>
          </cell>
          <cell r="X251" t="str">
            <v/>
          </cell>
          <cell r="Y251">
            <v>1.2146438896442069E-3</v>
          </cell>
          <cell r="Z251" t="str">
            <v/>
          </cell>
          <cell r="AA251">
            <v>1.5557086892530103E-2</v>
          </cell>
          <cell r="AB251" t="str">
            <v/>
          </cell>
          <cell r="AC251">
            <v>3.4298972517262216E-2</v>
          </cell>
          <cell r="AD251">
            <v>5.8141636280326314E-2</v>
          </cell>
          <cell r="AE251">
            <v>0.10191633958223945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6.5131444456578702E-4</v>
          </cell>
          <cell r="Q252" t="str">
            <v/>
          </cell>
          <cell r="R252">
            <v>6.4879687917723805E-3</v>
          </cell>
          <cell r="S252" t="str">
            <v/>
          </cell>
          <cell r="T252">
            <v>1.675652435193753E-2</v>
          </cell>
          <cell r="U252">
            <v>3.7154004213593494E-2</v>
          </cell>
          <cell r="V252">
            <v>6.1105722860879785E-2</v>
          </cell>
          <cell r="W252" t="str">
            <v/>
          </cell>
          <cell r="X252" t="str">
            <v/>
          </cell>
          <cell r="Y252">
            <v>8.1785867974115689E-4</v>
          </cell>
          <cell r="Z252" t="str">
            <v/>
          </cell>
          <cell r="AA252">
            <v>6.9846006390484883E-3</v>
          </cell>
          <cell r="AB252" t="str">
            <v/>
          </cell>
          <cell r="AC252">
            <v>1.7575552605826106E-2</v>
          </cell>
          <cell r="AD252">
            <v>3.8952969469226995E-2</v>
          </cell>
          <cell r="AE252">
            <v>6.4049110936439835E-2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1.8900862468907986E-3</v>
          </cell>
          <cell r="Q253" t="str">
            <v/>
          </cell>
          <cell r="R253">
            <v>6.6477611369843981E-3</v>
          </cell>
          <cell r="S253" t="str">
            <v/>
          </cell>
          <cell r="T253">
            <v>1.8809105975434504E-2</v>
          </cell>
          <cell r="U253">
            <v>3.5498292539145493E-2</v>
          </cell>
          <cell r="V253">
            <v>5.9032738935987261E-2</v>
          </cell>
          <cell r="W253" t="str">
            <v/>
          </cell>
          <cell r="X253" t="str">
            <v/>
          </cell>
          <cell r="Y253">
            <v>2.0564240372989984E-3</v>
          </cell>
          <cell r="Z253" t="str">
            <v/>
          </cell>
          <cell r="AA253">
            <v>7.14431310805963E-3</v>
          </cell>
          <cell r="AB253" t="str">
            <v/>
          </cell>
          <cell r="AC253">
            <v>1.9717976114162594E-2</v>
          </cell>
          <cell r="AD253">
            <v>3.7223665318544374E-2</v>
          </cell>
          <cell r="AE253">
            <v>6.1883009898745955E-2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1.2099944455987721E-3</v>
          </cell>
          <cell r="Q254" t="str">
            <v/>
          </cell>
          <cell r="R254">
            <v>7.9478145394911159E-3</v>
          </cell>
          <cell r="S254" t="str">
            <v/>
          </cell>
          <cell r="T254">
            <v>2.0031102743440332E-2</v>
          </cell>
          <cell r="U254">
            <v>3.9087060093143999E-2</v>
          </cell>
          <cell r="V254">
            <v>8.0028202413173877E-2</v>
          </cell>
          <cell r="W254" t="str">
            <v/>
          </cell>
          <cell r="X254" t="str">
            <v/>
          </cell>
          <cell r="Y254">
            <v>1.3764455752087734E-3</v>
          </cell>
          <cell r="Z254" t="str">
            <v/>
          </cell>
          <cell r="AA254">
            <v>8.4437166463575686E-3</v>
          </cell>
          <cell r="AB254" t="str">
            <v/>
          </cell>
          <cell r="AC254">
            <v>2.100413688258207E-2</v>
          </cell>
          <cell r="AD254">
            <v>4.099055430019416E-2</v>
          </cell>
          <cell r="AE254">
            <v>8.3899425720779131E-2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3.5737004768623848E-2</v>
          </cell>
          <cell r="Q255" t="str">
            <v/>
          </cell>
          <cell r="R255">
            <v>9.2153130352152779E-2</v>
          </cell>
          <cell r="S255" t="str">
            <v/>
          </cell>
          <cell r="T255">
            <v>0.1232664209877139</v>
          </cell>
          <cell r="U255">
            <v>0.161666920014372</v>
          </cell>
          <cell r="V255">
            <v>0.20808698150809002</v>
          </cell>
          <cell r="W255" t="str">
            <v/>
          </cell>
          <cell r="X255" t="str">
            <v/>
          </cell>
          <cell r="Y255">
            <v>3.7480760981361549E-2</v>
          </cell>
          <cell r="Z255" t="str">
            <v/>
          </cell>
          <cell r="AA255">
            <v>9.6523906593006914E-2</v>
          </cell>
          <cell r="AB255" t="str">
            <v/>
          </cell>
          <cell r="AC255">
            <v>0.12893769714950221</v>
          </cell>
          <cell r="AD255">
            <v>0.16894490724548061</v>
          </cell>
          <cell r="AE255">
            <v>0.2171230416822475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2.3351148245822628E-3</v>
          </cell>
          <cell r="Q256" t="str">
            <v/>
          </cell>
          <cell r="R256">
            <v>1.2991153641574993E-2</v>
          </cell>
          <cell r="S256" t="str">
            <v/>
          </cell>
          <cell r="T256">
            <v>2.8475817968110051E-2</v>
          </cell>
          <cell r="U256">
            <v>4.0577434092570308E-2</v>
          </cell>
          <cell r="V256">
            <v>5.8965233929088701E-2</v>
          </cell>
          <cell r="W256" t="str">
            <v/>
          </cell>
          <cell r="X256" t="str">
            <v/>
          </cell>
          <cell r="Y256">
            <v>2.5013784497766034E-3</v>
          </cell>
          <cell r="Z256" t="str">
            <v/>
          </cell>
          <cell r="AA256">
            <v>1.361622573326926E-2</v>
          </cell>
          <cell r="AB256" t="str">
            <v/>
          </cell>
          <cell r="AC256">
            <v>2.987827833599066E-2</v>
          </cell>
          <cell r="AD256">
            <v>4.2564985114995846E-2</v>
          </cell>
          <cell r="AE256">
            <v>6.1821791590287778E-2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4.9456870178985479E-3</v>
          </cell>
          <cell r="Q257" t="str">
            <v/>
          </cell>
          <cell r="R257">
            <v>2.2325657964697543E-2</v>
          </cell>
          <cell r="S257" t="str">
            <v/>
          </cell>
          <cell r="T257">
            <v>6.0539965011224273E-2</v>
          </cell>
          <cell r="U257">
            <v>0.10111383297728826</v>
          </cell>
          <cell r="V257">
            <v>0.17123825323779607</v>
          </cell>
          <cell r="W257" t="str">
            <v/>
          </cell>
          <cell r="X257" t="str">
            <v/>
          </cell>
          <cell r="Y257">
            <v>5.1816527497575704E-3</v>
          </cell>
          <cell r="Z257" t="str">
            <v/>
          </cell>
          <cell r="AA257">
            <v>2.3428553006568431E-2</v>
          </cell>
          <cell r="AB257" t="str">
            <v/>
          </cell>
          <cell r="AC257">
            <v>6.3481483981889575E-2</v>
          </cell>
          <cell r="AD257">
            <v>0.10594786228135677</v>
          </cell>
          <cell r="AE257">
            <v>0.17920223390292656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2.0517795569404695E-3</v>
          </cell>
          <cell r="Q258" t="str">
            <v/>
          </cell>
          <cell r="R258">
            <v>1.3110720763673589E-2</v>
          </cell>
          <cell r="S258" t="str">
            <v/>
          </cell>
          <cell r="T258">
            <v>3.9687977415613029E-2</v>
          </cell>
          <cell r="U258">
            <v>6.8145816198330267E-2</v>
          </cell>
          <cell r="V258">
            <v>0.11286053657585082</v>
          </cell>
          <cell r="W258" t="str">
            <v/>
          </cell>
          <cell r="X258" t="str">
            <v/>
          </cell>
          <cell r="Y258">
            <v>2.2180904007174096E-3</v>
          </cell>
          <cell r="Z258" t="str">
            <v/>
          </cell>
          <cell r="AA258">
            <v>1.3740401877812447E-2</v>
          </cell>
          <cell r="AB258" t="str">
            <v/>
          </cell>
          <cell r="AC258">
            <v>4.1633948907216056E-2</v>
          </cell>
          <cell r="AD258">
            <v>7.1453703819798209E-2</v>
          </cell>
          <cell r="AE258">
            <v>0.11824389445261552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1.0046590261097998E-3</v>
          </cell>
          <cell r="Q259" t="str">
            <v/>
          </cell>
          <cell r="R259">
            <v>5.9170258498700834E-3</v>
          </cell>
          <cell r="S259" t="str">
            <v/>
          </cell>
          <cell r="T259">
            <v>1.7220513189955544E-2</v>
          </cell>
          <cell r="U259">
            <v>3.1637072038113279E-2</v>
          </cell>
          <cell r="V259">
            <v>5.9647563736833997E-2</v>
          </cell>
          <cell r="W259" t="str">
            <v/>
          </cell>
          <cell r="X259" t="str">
            <v/>
          </cell>
          <cell r="Y259">
            <v>1.1711443754235384E-3</v>
          </cell>
          <cell r="Z259" t="str">
            <v/>
          </cell>
          <cell r="AA259">
            <v>6.4139430973210176E-3</v>
          </cell>
          <cell r="AB259" t="str">
            <v/>
          </cell>
          <cell r="AC259">
            <v>1.8039154947515512E-2</v>
          </cell>
          <cell r="AD259">
            <v>3.3168158864546715E-2</v>
          </cell>
          <cell r="AE259">
            <v>6.252188821928395E-2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4.4324398858736069E-3</v>
          </cell>
          <cell r="Q260" t="str">
            <v/>
          </cell>
          <cell r="R260">
            <v>1.9654610719653909E-2</v>
          </cell>
          <cell r="S260" t="str">
            <v/>
          </cell>
          <cell r="T260">
            <v>4.2155518817052151E-2</v>
          </cell>
          <cell r="U260">
            <v>6.5616755678902794E-2</v>
          </cell>
          <cell r="V260">
            <v>0.10652739475932282</v>
          </cell>
          <cell r="W260" t="str">
            <v/>
          </cell>
          <cell r="X260" t="str">
            <v/>
          </cell>
          <cell r="Y260">
            <v>4.6439755159600749E-3</v>
          </cell>
          <cell r="Z260" t="str">
            <v/>
          </cell>
          <cell r="AA260">
            <v>2.0627080720485136E-2</v>
          </cell>
          <cell r="AB260" t="str">
            <v/>
          </cell>
          <cell r="AC260">
            <v>4.4220515244822289E-2</v>
          </cell>
          <cell r="AD260">
            <v>6.879783924562155E-2</v>
          </cell>
          <cell r="AE260">
            <v>0.11160572954652437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4.2907963039173436E-2</v>
          </cell>
          <cell r="Q261" t="str">
            <v/>
          </cell>
          <cell r="R261">
            <v>0.11966122072014296</v>
          </cell>
          <cell r="S261" t="str">
            <v/>
          </cell>
          <cell r="T261">
            <v>0.17192730175758208</v>
          </cell>
          <cell r="U261">
            <v>0.22177373541730627</v>
          </cell>
          <cell r="V261">
            <v>0.28702115262479821</v>
          </cell>
          <cell r="W261" t="str">
            <v/>
          </cell>
          <cell r="X261" t="str">
            <v/>
          </cell>
          <cell r="Y261">
            <v>4.4989935837374873E-2</v>
          </cell>
          <cell r="Z261" t="str">
            <v/>
          </cell>
          <cell r="AA261">
            <v>0.12525415946705454</v>
          </cell>
          <cell r="AB261" t="str">
            <v/>
          </cell>
          <cell r="AC261">
            <v>0.17964114581480262</v>
          </cell>
          <cell r="AD261">
            <v>0.23135986486717053</v>
          </cell>
          <cell r="AE261">
            <v>0.29877603176151968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7.6878032297238441E-3</v>
          </cell>
          <cell r="Q262" t="str">
            <v/>
          </cell>
          <cell r="R262">
            <v>3.9775840101949678E-2</v>
          </cell>
          <cell r="S262" t="str">
            <v/>
          </cell>
          <cell r="T262">
            <v>0.10359662085942267</v>
          </cell>
          <cell r="U262">
            <v>0.16737765818506556</v>
          </cell>
          <cell r="V262">
            <v>0.27906436054773065</v>
          </cell>
          <cell r="W262" t="str">
            <v/>
          </cell>
          <cell r="X262" t="str">
            <v/>
          </cell>
          <cell r="Y262">
            <v>8.0540642058828382E-3</v>
          </cell>
          <cell r="Z262" t="str">
            <v/>
          </cell>
          <cell r="AA262">
            <v>4.1720198012267784E-2</v>
          </cell>
          <cell r="AB262" t="str">
            <v/>
          </cell>
          <cell r="AC262">
            <v>0.10856883047373611</v>
          </cell>
          <cell r="AD262">
            <v>0.17516688251439805</v>
          </cell>
          <cell r="AE262">
            <v>0.29134795141073033</v>
          </cell>
        </row>
        <row r="263">
          <cell r="D263" t="str">
            <v>EUR</v>
          </cell>
          <cell r="N263" t="str">
            <v/>
          </cell>
          <cell r="O263">
            <v>2.0003388636156139E-3</v>
          </cell>
          <cell r="P263">
            <v>5.0557493205841686E-3</v>
          </cell>
          <cell r="Q263">
            <v>1.6478282126811572E-2</v>
          </cell>
          <cell r="R263">
            <v>3.5382407368177549E-2</v>
          </cell>
          <cell r="S263">
            <v>6.6268746393113309E-2</v>
          </cell>
          <cell r="T263">
            <v>0.10175851452983742</v>
          </cell>
          <cell r="U263">
            <v>0.17503141435887093</v>
          </cell>
          <cell r="V263">
            <v>0.27503174799680108</v>
          </cell>
          <cell r="W263" t="str">
            <v/>
          </cell>
          <cell r="X263">
            <v>2.0918179730214925E-3</v>
          </cell>
          <cell r="Y263">
            <v>5.2961651297561696E-3</v>
          </cell>
          <cell r="Z263">
            <v>1.729679624977698E-2</v>
          </cell>
          <cell r="AA263">
            <v>3.7126884083906075E-2</v>
          </cell>
          <cell r="AB263">
            <v>6.9501228435110862E-2</v>
          </cell>
          <cell r="AC263">
            <v>0.10665773816160795</v>
          </cell>
          <cell r="AD263">
            <v>0.18319960223110676</v>
          </cell>
          <cell r="AE263">
            <v>0.28715190948501623</v>
          </cell>
        </row>
        <row r="264">
          <cell r="D264" t="str">
            <v>EUR</v>
          </cell>
          <cell r="N264" t="str">
            <v/>
          </cell>
          <cell r="O264">
            <v>4.9028053432799146E-3</v>
          </cell>
          <cell r="P264">
            <v>9.3628090256328012E-3</v>
          </cell>
          <cell r="Q264">
            <v>2.7601327562253308E-2</v>
          </cell>
          <cell r="R264">
            <v>4.9555044894668443E-2</v>
          </cell>
          <cell r="S264" t="str">
            <v/>
          </cell>
          <cell r="T264">
            <v>0.10339349989408952</v>
          </cell>
          <cell r="U264">
            <v>0.16811682071746969</v>
          </cell>
          <cell r="V264">
            <v>0.2485927527379036</v>
          </cell>
          <cell r="W264" t="str">
            <v/>
          </cell>
          <cell r="X264">
            <v>5.147254376008159E-3</v>
          </cell>
          <cell r="Y264">
            <v>9.8285965881006465E-3</v>
          </cell>
          <cell r="Z264">
            <v>2.8963130634478307E-2</v>
          </cell>
          <cell r="AA264">
            <v>5.1977266667548983E-2</v>
          </cell>
          <cell r="AB264" t="str">
            <v/>
          </cell>
          <cell r="AC264">
            <v>0.10833078066209911</v>
          </cell>
          <cell r="AD264">
            <v>0.17590825824641798</v>
          </cell>
          <cell r="AE264">
            <v>0.25955014236988627</v>
          </cell>
        </row>
        <row r="265">
          <cell r="D265" t="str">
            <v>USD</v>
          </cell>
          <cell r="N265" t="str">
            <v/>
          </cell>
          <cell r="O265" t="str">
            <v/>
          </cell>
          <cell r="P265">
            <v>6.5236651938989088E-3</v>
          </cell>
          <cell r="Q265" t="str">
            <v/>
          </cell>
          <cell r="R265">
            <v>4.114060857184143E-2</v>
          </cell>
          <cell r="S265" t="str">
            <v/>
          </cell>
          <cell r="T265">
            <v>0.10481866171578369</v>
          </cell>
          <cell r="U265">
            <v>0.16168646119100782</v>
          </cell>
          <cell r="V265">
            <v>0.25951173288988294</v>
          </cell>
          <cell r="W265" t="str">
            <v/>
          </cell>
          <cell r="X265" t="str">
            <v/>
          </cell>
          <cell r="Y265">
            <v>6.834657390599963E-3</v>
          </cell>
          <cell r="Z265" t="str">
            <v/>
          </cell>
          <cell r="AA265">
            <v>4.3150292669675405E-2</v>
          </cell>
          <cell r="AB265" t="str">
            <v/>
          </cell>
          <cell r="AC265">
            <v>0.10984720401509462</v>
          </cell>
          <cell r="AD265">
            <v>0.16921301886020368</v>
          </cell>
          <cell r="AE265">
            <v>0.2709876837477937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4.7705882440045588E-3</v>
          </cell>
          <cell r="Q266" t="str">
            <v/>
          </cell>
          <cell r="R266">
            <v>2.5656067613036071E-2</v>
          </cell>
          <cell r="S266" t="str">
            <v/>
          </cell>
          <cell r="T266">
            <v>6.4160093086633285E-2</v>
          </cell>
          <cell r="U266">
            <v>0.10250219905241031</v>
          </cell>
          <cell r="V266">
            <v>0.16210995998684197</v>
          </cell>
          <cell r="W266" t="str">
            <v/>
          </cell>
          <cell r="X266" t="str">
            <v/>
          </cell>
          <cell r="Y266">
            <v>4.998220935480191E-3</v>
          </cell>
          <cell r="Z266" t="str">
            <v/>
          </cell>
          <cell r="AA266">
            <v>2.6921099085368438E-2</v>
          </cell>
          <cell r="AB266" t="str">
            <v/>
          </cell>
          <cell r="AC266">
            <v>6.727128972641705E-2</v>
          </cell>
          <cell r="AD266">
            <v>0.10739298167398414</v>
          </cell>
          <cell r="AE266">
            <v>0.1696430194014783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2.2325671032447092E-3</v>
          </cell>
          <cell r="Q267" t="str">
            <v/>
          </cell>
          <cell r="R267">
            <v>2.1586761926472464E-2</v>
          </cell>
          <cell r="S267" t="str">
            <v/>
          </cell>
          <cell r="T267">
            <v>5.0362178193736784E-2</v>
          </cell>
          <cell r="U267">
            <v>9.2145043757653977E-2</v>
          </cell>
          <cell r="V267">
            <v>0.16436083170744142</v>
          </cell>
          <cell r="W267" t="str">
            <v/>
          </cell>
          <cell r="X267" t="str">
            <v/>
          </cell>
          <cell r="Y267">
            <v>2.3988478182942474E-3</v>
          </cell>
          <cell r="Z267" t="str">
            <v/>
          </cell>
          <cell r="AA267">
            <v>2.2649096927830348E-2</v>
          </cell>
          <cell r="AB267" t="str">
            <v/>
          </cell>
          <cell r="AC267">
            <v>5.2816944291123935E-2</v>
          </cell>
          <cell r="AD267">
            <v>9.656614620269488E-2</v>
          </cell>
          <cell r="AE267">
            <v>0.17205252570010909</v>
          </cell>
        </row>
        <row r="268">
          <cell r="D268" t="str">
            <v>EUR</v>
          </cell>
          <cell r="N268" t="str">
            <v/>
          </cell>
          <cell r="O268">
            <v>6.3690485549472431E-4</v>
          </cell>
          <cell r="P268">
            <v>2.4516736389891269E-3</v>
          </cell>
          <cell r="Q268">
            <v>8.6260935930545513E-3</v>
          </cell>
          <cell r="R268">
            <v>1.8592082683634992E-2</v>
          </cell>
          <cell r="S268" t="str">
            <v/>
          </cell>
          <cell r="T268">
            <v>4.809405868603589E-2</v>
          </cell>
          <cell r="U268">
            <v>8.3659137962235341E-2</v>
          </cell>
          <cell r="V268">
            <v>0.14509939247422043</v>
          </cell>
          <cell r="W268" t="str">
            <v/>
          </cell>
          <cell r="X268">
            <v>7.2018164349907376E-4</v>
          </cell>
          <cell r="Y268">
            <v>2.617917839319861E-3</v>
          </cell>
          <cell r="Z268">
            <v>9.0390800092465806E-3</v>
          </cell>
          <cell r="AA268">
            <v>1.9512503821599969E-2</v>
          </cell>
          <cell r="AB268" t="str">
            <v/>
          </cell>
          <cell r="AC268">
            <v>5.0445165824277827E-2</v>
          </cell>
          <cell r="AD268">
            <v>8.7693069362573706E-2</v>
          </cell>
          <cell r="AE268">
            <v>0.15193509632039537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4.9959572638563765E-3</v>
          </cell>
          <cell r="Q269" t="str">
            <v/>
          </cell>
          <cell r="R269">
            <v>5.7373010232402044E-2</v>
          </cell>
          <cell r="S269" t="str">
            <v/>
          </cell>
          <cell r="T269">
            <v>9.420491261924846E-2</v>
          </cell>
          <cell r="U269">
            <v>0.12188336674348932</v>
          </cell>
          <cell r="V269">
            <v>0.16325852889602732</v>
          </cell>
          <cell r="W269" t="str">
            <v/>
          </cell>
          <cell r="X269" t="str">
            <v/>
          </cell>
          <cell r="Y269">
            <v>5.2343150946835282E-3</v>
          </cell>
          <cell r="Z269" t="str">
            <v/>
          </cell>
          <cell r="AA269">
            <v>6.0177931693889186E-2</v>
          </cell>
          <cell r="AB269" t="str">
            <v/>
          </cell>
          <cell r="AC269">
            <v>9.8684434185102643E-2</v>
          </cell>
          <cell r="AD269">
            <v>0.12757048608550803</v>
          </cell>
          <cell r="AE269">
            <v>0.1706503712421249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3.4138392266730433E-3</v>
          </cell>
          <cell r="Q270" t="str">
            <v/>
          </cell>
          <cell r="R270">
            <v>2.2093846057268385E-2</v>
          </cell>
          <cell r="S270" t="str">
            <v/>
          </cell>
          <cell r="T270">
            <v>6.1215338118948193E-2</v>
          </cell>
          <cell r="U270">
            <v>9.4720946221699132E-2</v>
          </cell>
          <cell r="V270">
            <v>0.15335564052563411</v>
          </cell>
          <cell r="W270" t="str">
            <v/>
          </cell>
          <cell r="X270" t="str">
            <v/>
          </cell>
          <cell r="Y270">
            <v>3.5799230794156811E-3</v>
          </cell>
          <cell r="Z270" t="str">
            <v/>
          </cell>
          <cell r="AA270">
            <v>2.3185345352790376E-2</v>
          </cell>
          <cell r="AB270" t="str">
            <v/>
          </cell>
          <cell r="AC270">
            <v>6.419004800340522E-2</v>
          </cell>
          <cell r="AD270">
            <v>9.9259870973754993E-2</v>
          </cell>
          <cell r="AE270">
            <v>0.16052077595484127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3.4780745316533856E-3</v>
          </cell>
          <cell r="Q271" t="str">
            <v/>
          </cell>
          <cell r="R271">
            <v>1.7887276892422976E-2</v>
          </cell>
          <cell r="S271" t="str">
            <v/>
          </cell>
          <cell r="T271">
            <v>4.2711142016253478E-2</v>
          </cell>
          <cell r="U271">
            <v>8.1938251170082577E-2</v>
          </cell>
          <cell r="V271">
            <v>0.14896866193720026</v>
          </cell>
          <cell r="W271" t="str">
            <v/>
          </cell>
          <cell r="X271" t="str">
            <v/>
          </cell>
          <cell r="Y271">
            <v>3.6441476794308869E-3</v>
          </cell>
          <cell r="Z271" t="str">
            <v/>
          </cell>
          <cell r="AA271">
            <v>1.8773259438974232E-2</v>
          </cell>
          <cell r="AB271" t="str">
            <v/>
          </cell>
          <cell r="AC271">
            <v>4.480417988286256E-2</v>
          </cell>
          <cell r="AD271">
            <v>8.5893716598362535E-2</v>
          </cell>
          <cell r="AE271">
            <v>0.15599936302747597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3.7922475547043089E-3</v>
          </cell>
          <cell r="Q272" t="str">
            <v/>
          </cell>
          <cell r="R272">
            <v>2.0347667227677668E-2</v>
          </cell>
          <cell r="S272" t="str">
            <v/>
          </cell>
          <cell r="T272">
            <v>4.682795985358823E-2</v>
          </cell>
          <cell r="U272">
            <v>7.1607853968425395E-2</v>
          </cell>
          <cell r="V272">
            <v>0.11771700010323582</v>
          </cell>
          <cell r="W272" t="str">
            <v/>
          </cell>
          <cell r="X272" t="str">
            <v/>
          </cell>
          <cell r="Y272">
            <v>3.9732918607967571E-3</v>
          </cell>
          <cell r="Z272" t="str">
            <v/>
          </cell>
          <cell r="AA272">
            <v>2.1354090867726327E-2</v>
          </cell>
          <cell r="AB272" t="str">
            <v/>
          </cell>
          <cell r="AC272">
            <v>4.911774578474537E-2</v>
          </cell>
          <cell r="AD272">
            <v>7.5070936310689396E-2</v>
          </cell>
          <cell r="AE272">
            <v>0.12330370864951845</v>
          </cell>
        </row>
        <row r="273">
          <cell r="D273" t="str">
            <v>EUR</v>
          </cell>
          <cell r="N273" t="str">
            <v/>
          </cell>
          <cell r="O273">
            <v>9.0974018358735975E-4</v>
          </cell>
          <cell r="P273">
            <v>2.7970014672076271E-3</v>
          </cell>
          <cell r="Q273">
            <v>8.2581943532946678E-3</v>
          </cell>
          <cell r="R273">
            <v>1.5947238663102103E-2</v>
          </cell>
          <cell r="S273" t="str">
            <v/>
          </cell>
          <cell r="T273">
            <v>4.477092933673843E-2</v>
          </cell>
          <cell r="U273">
            <v>7.5360539986676689E-2</v>
          </cell>
          <cell r="V273">
            <v>0.12109344447539128</v>
          </cell>
          <cell r="W273" t="str">
            <v/>
          </cell>
          <cell r="X273">
            <v>9.9299423627774441E-4</v>
          </cell>
          <cell r="Y273">
            <v>2.9631881176895858E-3</v>
          </cell>
          <cell r="Z273">
            <v>8.6548117467698527E-3</v>
          </cell>
          <cell r="AA273">
            <v>1.6737839472473315E-2</v>
          </cell>
          <cell r="AB273" t="str">
            <v/>
          </cell>
          <cell r="AC273">
            <v>4.6963705460402405E-2</v>
          </cell>
          <cell r="AD273">
            <v>7.9007991125429111E-2</v>
          </cell>
          <cell r="AE273">
            <v>0.12684009781984307</v>
          </cell>
        </row>
        <row r="274">
          <cell r="D274" t="str">
            <v>USD</v>
          </cell>
          <cell r="N274" t="str">
            <v/>
          </cell>
          <cell r="O274" t="str">
            <v/>
          </cell>
          <cell r="P274">
            <v>6.5115496751835256E-3</v>
          </cell>
          <cell r="Q274" t="str">
            <v/>
          </cell>
          <cell r="R274">
            <v>3.8084515825709597E-2</v>
          </cell>
          <cell r="S274" t="str">
            <v/>
          </cell>
          <cell r="T274">
            <v>0.12657911193037774</v>
          </cell>
          <cell r="U274">
            <v>0.19680021966510075</v>
          </cell>
          <cell r="V274">
            <v>0.29374338531930366</v>
          </cell>
          <cell r="W274" t="str">
            <v/>
          </cell>
          <cell r="X274" t="str">
            <v/>
          </cell>
          <cell r="Y274">
            <v>6.8358186109854779E-3</v>
          </cell>
          <cell r="Z274" t="str">
            <v/>
          </cell>
          <cell r="AA274">
            <v>3.994713709112141E-2</v>
          </cell>
          <cell r="AB274" t="str">
            <v/>
          </cell>
          <cell r="AC274">
            <v>0.13262843607503916</v>
          </cell>
          <cell r="AD274">
            <v>0.20585195848979787</v>
          </cell>
          <cell r="AE274">
            <v>0.30644460476896318</v>
          </cell>
        </row>
        <row r="275">
          <cell r="D275" t="str">
            <v>EUR</v>
          </cell>
          <cell r="N275" t="str">
            <v/>
          </cell>
          <cell r="O275">
            <v>1.6921298729330014E-2</v>
          </cell>
          <cell r="P275">
            <v>3.2135482130428605E-2</v>
          </cell>
          <cell r="Q275">
            <v>5.7104538934130145E-2</v>
          </cell>
          <cell r="R275">
            <v>8.0236384606258704E-2</v>
          </cell>
          <cell r="S275" t="str">
            <v/>
          </cell>
          <cell r="T275">
            <v>0.11751827836205064</v>
          </cell>
          <cell r="U275">
            <v>0.16084775526465922</v>
          </cell>
          <cell r="V275">
            <v>0.22198356514582462</v>
          </cell>
          <cell r="W275" t="str">
            <v/>
          </cell>
          <cell r="X275">
            <v>1.775879663604174E-2</v>
          </cell>
          <cell r="Y275">
            <v>3.3714132149227805E-2</v>
          </cell>
          <cell r="Z275">
            <v>5.9864546664976315E-2</v>
          </cell>
          <cell r="AA275">
            <v>8.4062019115649367E-2</v>
          </cell>
          <cell r="AB275" t="str">
            <v/>
          </cell>
          <cell r="AC275">
            <v>0.12296554695173179</v>
          </cell>
          <cell r="AD275">
            <v>0.1681583070990379</v>
          </cell>
          <cell r="AE275">
            <v>0.23164824051862998</v>
          </cell>
        </row>
        <row r="276">
          <cell r="D276" t="str">
            <v>EUR</v>
          </cell>
          <cell r="N276" t="str">
            <v/>
          </cell>
          <cell r="O276">
            <v>7.7968692927326E-3</v>
          </cell>
          <cell r="P276">
            <v>1.4869737486252088E-2</v>
          </cell>
          <cell r="Q276">
            <v>2.8985871656954876E-2</v>
          </cell>
          <cell r="R276">
            <v>4.4351590478119207E-2</v>
          </cell>
          <cell r="S276" t="str">
            <v/>
          </cell>
          <cell r="T276">
            <v>7.7795893655950632E-2</v>
          </cell>
          <cell r="U276">
            <v>0.10674625551589934</v>
          </cell>
          <cell r="V276">
            <v>0.14851969855926683</v>
          </cell>
          <cell r="W276" t="str">
            <v/>
          </cell>
          <cell r="X276">
            <v>8.1849471306780774E-3</v>
          </cell>
          <cell r="Y276">
            <v>1.5607268258654328E-2</v>
          </cell>
          <cell r="Z276">
            <v>3.0411909147507354E-2</v>
          </cell>
          <cell r="AA276">
            <v>4.6516844184765316E-2</v>
          </cell>
          <cell r="AB276" t="str">
            <v/>
          </cell>
          <cell r="AC276">
            <v>8.1519368524181512E-2</v>
          </cell>
          <cell r="AD276">
            <v>0.11177416492781311</v>
          </cell>
          <cell r="AE276">
            <v>0.15534848920462219</v>
          </cell>
        </row>
        <row r="277">
          <cell r="D277" t="str">
            <v>USD</v>
          </cell>
          <cell r="N277" t="str">
            <v/>
          </cell>
          <cell r="O277" t="str">
            <v/>
          </cell>
          <cell r="P277">
            <v>4.593724838084734E-3</v>
          </cell>
          <cell r="Q277" t="str">
            <v/>
          </cell>
          <cell r="R277">
            <v>2.0361441328594077E-2</v>
          </cell>
          <cell r="S277" t="str">
            <v/>
          </cell>
          <cell r="T277">
            <v>4.3654640106644771E-2</v>
          </cell>
          <cell r="U277">
            <v>6.7934158136783274E-2</v>
          </cell>
          <cell r="V277">
            <v>0.11020962728569583</v>
          </cell>
          <cell r="W277" t="str">
            <v/>
          </cell>
          <cell r="X277" t="str">
            <v/>
          </cell>
          <cell r="Y277">
            <v>4.8129389283677604E-3</v>
          </cell>
          <cell r="Z277" t="str">
            <v/>
          </cell>
          <cell r="AA277">
            <v>2.1368464063322046E-2</v>
          </cell>
          <cell r="AB277" t="str">
            <v/>
          </cell>
          <cell r="AC277">
            <v>4.5791423102570228E-2</v>
          </cell>
          <cell r="AD277">
            <v>7.1223820642675739E-2</v>
          </cell>
          <cell r="AE277">
            <v>0.11545431391870908</v>
          </cell>
        </row>
        <row r="278">
          <cell r="D278" t="str">
            <v>EUR</v>
          </cell>
          <cell r="N278" t="str">
            <v/>
          </cell>
          <cell r="O278">
            <v>1.091589126235637E-3</v>
          </cell>
          <cell r="P278">
            <v>2.9684668899444544E-3</v>
          </cell>
          <cell r="Q278">
            <v>9.639264859510388E-3</v>
          </cell>
          <cell r="R278">
            <v>1.7980368078696074E-2</v>
          </cell>
          <cell r="S278" t="str">
            <v/>
          </cell>
          <cell r="T278">
            <v>3.8332173058903574E-2</v>
          </cell>
          <cell r="U278">
            <v>6.1735106566651488E-2</v>
          </cell>
          <cell r="V278">
            <v>0.10487890499540853</v>
          </cell>
          <cell r="W278" t="str">
            <v/>
          </cell>
          <cell r="X278">
            <v>1.1748280254821886E-3</v>
          </cell>
          <cell r="Y278">
            <v>3.1346249652464131E-3</v>
          </cell>
          <cell r="Z278">
            <v>1.0101325380074133E-2</v>
          </cell>
          <cell r="AA278">
            <v>1.8871846988310681E-2</v>
          </cell>
          <cell r="AB278" t="str">
            <v/>
          </cell>
          <cell r="AC278">
            <v>4.021360636905269E-2</v>
          </cell>
          <cell r="AD278">
            <v>6.4735240209967682E-2</v>
          </cell>
          <cell r="AE278">
            <v>0.10989174721493034</v>
          </cell>
        </row>
        <row r="279">
          <cell r="D279" t="str">
            <v>EUR</v>
          </cell>
          <cell r="N279" t="str">
            <v/>
          </cell>
          <cell r="O279">
            <v>1.0006687817649684E-3</v>
          </cell>
          <cell r="P279">
            <v>2.6186876321401265E-3</v>
          </cell>
          <cell r="Q279">
            <v>6.5205503597596248E-3</v>
          </cell>
          <cell r="R279">
            <v>1.33911010642499E-2</v>
          </cell>
          <cell r="S279" t="str">
            <v/>
          </cell>
          <cell r="T279">
            <v>3.2662866552734204E-2</v>
          </cell>
          <cell r="U279">
            <v>5.6531715302251651E-2</v>
          </cell>
          <cell r="V279">
            <v>9.7599269559602964E-2</v>
          </cell>
          <cell r="W279" t="str">
            <v/>
          </cell>
          <cell r="X279">
            <v>1.0839152573786093E-3</v>
          </cell>
          <cell r="Y279">
            <v>2.78490399911413E-3</v>
          </cell>
          <cell r="Z279">
            <v>6.8516549891473044E-3</v>
          </cell>
          <cell r="AA279">
            <v>1.4054285805512934E-2</v>
          </cell>
          <cell r="AB279" t="str">
            <v/>
          </cell>
          <cell r="AC279">
            <v>3.4269334910502325E-2</v>
          </cell>
          <cell r="AD279">
            <v>5.9287947336480351E-2</v>
          </cell>
          <cell r="AE279">
            <v>0.10228649222826824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2.7947261130725209E-3</v>
          </cell>
          <cell r="Q280">
            <v>6.8627399723123483E-3</v>
          </cell>
          <cell r="R280">
            <v>1.4426279597449798E-2</v>
          </cell>
          <cell r="S280" t="str">
            <v/>
          </cell>
          <cell r="T280">
            <v>3.3446830042253239E-2</v>
          </cell>
          <cell r="U280">
            <v>5.5042694798059455E-2</v>
          </cell>
          <cell r="V280">
            <v>9.5689283925012969E-2</v>
          </cell>
          <cell r="W280" t="str">
            <v/>
          </cell>
          <cell r="X280">
            <v>1.0839152573786093E-3</v>
          </cell>
          <cell r="Y280">
            <v>2.9609131427482671E-3</v>
          </cell>
          <cell r="Z280">
            <v>7.1937305574995003E-3</v>
          </cell>
          <cell r="AA280">
            <v>1.5141808937246259E-2</v>
          </cell>
          <cell r="AB280" t="str">
            <v/>
          </cell>
          <cell r="AC280">
            <v>3.5092281328373387E-2</v>
          </cell>
          <cell r="AD280">
            <v>5.7727329848833109E-2</v>
          </cell>
          <cell r="AE280">
            <v>0.10028691265730771</v>
          </cell>
        </row>
        <row r="281">
          <cell r="D281" t="str">
            <v>USD</v>
          </cell>
          <cell r="N281" t="str">
            <v/>
          </cell>
          <cell r="O281" t="str">
            <v/>
          </cell>
          <cell r="P281">
            <v>1.6257573478757337E-3</v>
          </cell>
          <cell r="Q281" t="str">
            <v/>
          </cell>
          <cell r="R281">
            <v>1.1647968571919742E-2</v>
          </cell>
          <cell r="S281" t="str">
            <v/>
          </cell>
          <cell r="T281">
            <v>3.066092984490687E-2</v>
          </cell>
          <cell r="U281">
            <v>5.4262706079094447E-2</v>
          </cell>
          <cell r="V281">
            <v>9.241656925459274E-2</v>
          </cell>
          <cell r="W281" t="str">
            <v/>
          </cell>
          <cell r="X281" t="str">
            <v/>
          </cell>
          <cell r="Y281">
            <v>1.7921391894559768E-3</v>
          </cell>
          <cell r="Z281" t="str">
            <v/>
          </cell>
          <cell r="AA281">
            <v>1.220721753934606E-2</v>
          </cell>
          <cell r="AB281" t="str">
            <v/>
          </cell>
          <cell r="AC281">
            <v>3.2167603911811726E-2</v>
          </cell>
          <cell r="AD281">
            <v>5.6909154855963373E-2</v>
          </cell>
          <cell r="AE281">
            <v>9.6838032001359986E-2</v>
          </cell>
        </row>
        <row r="282">
          <cell r="D282" t="str">
            <v>EUR</v>
          </cell>
          <cell r="N282" t="str">
            <v/>
          </cell>
          <cell r="O282">
            <v>7.2785822158416558E-4</v>
          </cell>
          <cell r="P282">
            <v>1.744960105844795E-3</v>
          </cell>
          <cell r="Q282">
            <v>6.5586206526362378E-3</v>
          </cell>
          <cell r="R282">
            <v>1.2370859980084248E-2</v>
          </cell>
          <cell r="S282" t="str">
            <v/>
          </cell>
          <cell r="T282">
            <v>3.2783329141084838E-2</v>
          </cell>
          <cell r="U282">
            <v>5.4076735890140726E-2</v>
          </cell>
          <cell r="V282">
            <v>9.2429670483917259E-2</v>
          </cell>
          <cell r="W282" t="str">
            <v/>
          </cell>
          <cell r="X282">
            <v>8.1112743046984903E-4</v>
          </cell>
          <cell r="Y282">
            <v>1.9113220819424459E-3</v>
          </cell>
          <cell r="Z282">
            <v>6.8897125940247106E-3</v>
          </cell>
          <cell r="AA282">
            <v>1.2963259726413878E-2</v>
          </cell>
          <cell r="AB282" t="str">
            <v/>
          </cell>
          <cell r="AC282">
            <v>3.4395508550795983E-2</v>
          </cell>
          <cell r="AD282">
            <v>5.6715328089780859E-2</v>
          </cell>
          <cell r="AE282">
            <v>9.6852402932293691E-2</v>
          </cell>
        </row>
        <row r="283">
          <cell r="D283" t="str">
            <v>USD</v>
          </cell>
          <cell r="N283">
            <v>3.6550255007605781E-4</v>
          </cell>
          <cell r="O283">
            <v>6.8239077215204169E-4</v>
          </cell>
          <cell r="P283">
            <v>1.7020487620984515E-3</v>
          </cell>
          <cell r="Q283">
            <v>4.1195084281823169E-3</v>
          </cell>
          <cell r="R283">
            <v>8.9119589537577371E-3</v>
          </cell>
          <cell r="S283">
            <v>1.44936577205933E-2</v>
          </cell>
          <cell r="T283">
            <v>2.1422650209496186E-2</v>
          </cell>
          <cell r="U283">
            <v>4.0396371633247052E-2</v>
          </cell>
          <cell r="V283">
            <v>7.1011494928382657E-2</v>
          </cell>
          <cell r="W283">
            <v>4.0204532991361397E-4</v>
          </cell>
          <cell r="X283">
            <v>7.4484617097292372E-4</v>
          </cell>
          <cell r="Y283">
            <v>1.8268282071220998E-3</v>
          </cell>
          <cell r="Z283">
            <v>4.3684474323992806E-3</v>
          </cell>
          <cell r="AA283">
            <v>9.3392735251309755E-3</v>
          </cell>
          <cell r="AB283">
            <v>1.521033796802318E-2</v>
          </cell>
          <cell r="AC283">
            <v>2.2480990043793225E-2</v>
          </cell>
          <cell r="AD283">
            <v>4.2378784488215859E-2</v>
          </cell>
          <cell r="AE283">
            <v>7.4446676607047513E-2</v>
          </cell>
        </row>
        <row r="284">
          <cell r="D284" t="str">
            <v>USD</v>
          </cell>
          <cell r="N284" t="str">
            <v/>
          </cell>
          <cell r="O284" t="str">
            <v/>
          </cell>
          <cell r="P284">
            <v>1.5127007615369781E-3</v>
          </cell>
          <cell r="Q284" t="str">
            <v/>
          </cell>
          <cell r="R284">
            <v>1.1687463341525706E-2</v>
          </cell>
          <cell r="S284" t="str">
            <v/>
          </cell>
          <cell r="T284">
            <v>2.7981858636325851E-2</v>
          </cell>
          <cell r="U284">
            <v>5.137641741026433E-2</v>
          </cell>
          <cell r="V284">
            <v>9.1516047332793393E-2</v>
          </cell>
          <cell r="W284" t="str">
            <v/>
          </cell>
          <cell r="X284" t="str">
            <v/>
          </cell>
          <cell r="Y284">
            <v>1.6791014442941732E-3</v>
          </cell>
          <cell r="Z284" t="str">
            <v/>
          </cell>
          <cell r="AA284">
            <v>1.2248171590085621E-2</v>
          </cell>
          <cell r="AB284" t="str">
            <v/>
          </cell>
          <cell r="AC284">
            <v>2.9357506965901337E-2</v>
          </cell>
          <cell r="AD284">
            <v>5.3884303073263085E-2</v>
          </cell>
          <cell r="AE284">
            <v>9.592600543151375E-2</v>
          </cell>
        </row>
        <row r="285">
          <cell r="D285" t="str">
            <v>EUR</v>
          </cell>
          <cell r="N285" t="str">
            <v/>
          </cell>
          <cell r="O285">
            <v>5.4594323121426314E-4</v>
          </cell>
          <cell r="P285">
            <v>1.3970708096262552E-3</v>
          </cell>
          <cell r="Q285">
            <v>4.4826336485552787E-3</v>
          </cell>
          <cell r="R285">
            <v>9.8368925804999119E-3</v>
          </cell>
          <cell r="S285" t="str">
            <v/>
          </cell>
          <cell r="T285">
            <v>2.6868695804797782E-2</v>
          </cell>
          <cell r="U285">
            <v>4.8608536359821319E-2</v>
          </cell>
          <cell r="V285">
            <v>8.6735451740949765E-2</v>
          </cell>
          <cell r="W285" t="str">
            <v/>
          </cell>
          <cell r="X285">
            <v>6.2922759904748826E-4</v>
          </cell>
          <cell r="Y285">
            <v>1.5634907624471062E-3</v>
          </cell>
          <cell r="Z285">
            <v>4.8144174702994258E-3</v>
          </cell>
          <cell r="AA285">
            <v>1.0331850384464603E-2</v>
          </cell>
          <cell r="AB285" t="str">
            <v/>
          </cell>
          <cell r="AC285">
            <v>2.8184899172631117E-2</v>
          </cell>
          <cell r="AD285">
            <v>5.0979375149059147E-2</v>
          </cell>
          <cell r="AE285">
            <v>9.0894971412324055E-2</v>
          </cell>
        </row>
        <row r="286">
          <cell r="D286" t="str">
            <v>EUR</v>
          </cell>
          <cell r="N286" t="str">
            <v/>
          </cell>
          <cell r="O286">
            <v>4.5497334759936336E-4</v>
          </cell>
          <cell r="P286">
            <v>1.22308070448085E-3</v>
          </cell>
          <cell r="Q286">
            <v>4.4909926693761371E-3</v>
          </cell>
          <cell r="R286">
            <v>8.7842062050439429E-3</v>
          </cell>
          <cell r="S286" t="str">
            <v/>
          </cell>
          <cell r="T286">
            <v>2.5170788196888894E-2</v>
          </cell>
          <cell r="U286">
            <v>4.7591449245198869E-2</v>
          </cell>
          <cell r="V286">
            <v>8.5290388882915735E-2</v>
          </cell>
          <cell r="W286" t="str">
            <v/>
          </cell>
          <cell r="X286">
            <v>5.3826529594969141E-4</v>
          </cell>
          <cell r="Y286">
            <v>1.3895296532399071E-3</v>
          </cell>
          <cell r="Z286">
            <v>4.8227737052365383E-3</v>
          </cell>
          <cell r="AA286">
            <v>9.2796902206341292E-3</v>
          </cell>
          <cell r="AB286" t="str">
            <v/>
          </cell>
          <cell r="AC286">
            <v>2.6399726099024634E-2</v>
          </cell>
          <cell r="AD286">
            <v>4.9909835663019875E-2</v>
          </cell>
          <cell r="AE286">
            <v>8.9380731886426701E-2</v>
          </cell>
        </row>
        <row r="287">
          <cell r="D287" t="str">
            <v>EUR</v>
          </cell>
          <cell r="N287" t="str">
            <v/>
          </cell>
          <cell r="O287">
            <v>6.3690485549472431E-4</v>
          </cell>
          <cell r="P287">
            <v>1.3948581478229194E-3</v>
          </cell>
          <cell r="Q287">
            <v>4.4803848348143882E-3</v>
          </cell>
          <cell r="R287">
            <v>1.0365032606175939E-2</v>
          </cell>
          <cell r="S287" t="str">
            <v/>
          </cell>
          <cell r="T287">
            <v>2.8610388966135769E-2</v>
          </cell>
          <cell r="U287">
            <v>4.8377129495374982E-2</v>
          </cell>
          <cell r="V287">
            <v>8.4594441190191216E-2</v>
          </cell>
          <cell r="W287" t="str">
            <v/>
          </cell>
          <cell r="X287">
            <v>7.2018164349907376E-4</v>
          </cell>
          <cell r="Y287">
            <v>1.5612784693798121E-3</v>
          </cell>
          <cell r="Z287">
            <v>4.812169406048783E-3</v>
          </cell>
          <cell r="AA287">
            <v>1.0859726406114656E-2</v>
          </cell>
          <cell r="AB287" t="str">
            <v/>
          </cell>
          <cell r="AC287">
            <v>3.0013721983514818E-2</v>
          </cell>
          <cell r="AD287">
            <v>5.0738017597179663E-2</v>
          </cell>
          <cell r="AE287">
            <v>8.8654204452493501E-2</v>
          </cell>
        </row>
        <row r="288">
          <cell r="D288" t="str">
            <v>USD</v>
          </cell>
          <cell r="N288" t="str">
            <v/>
          </cell>
          <cell r="O288" t="str">
            <v/>
          </cell>
          <cell r="P288">
            <v>9.5766960767240672E-4</v>
          </cell>
          <cell r="Q288" t="str">
            <v/>
          </cell>
          <cell r="R288">
            <v>8.7754809770623776E-3</v>
          </cell>
          <cell r="S288" t="str">
            <v/>
          </cell>
          <cell r="T288">
            <v>2.3862927715873505E-2</v>
          </cell>
          <cell r="U288">
            <v>4.7961659086694253E-2</v>
          </cell>
          <cell r="V288">
            <v>8.8027256894966599E-2</v>
          </cell>
          <cell r="W288" t="str">
            <v/>
          </cell>
          <cell r="X288" t="str">
            <v/>
          </cell>
          <cell r="Y288">
            <v>1.1241627879213789E-3</v>
          </cell>
          <cell r="Z288" t="str">
            <v/>
          </cell>
          <cell r="AA288">
            <v>9.2709693541190852E-3</v>
          </cell>
          <cell r="AB288" t="str">
            <v/>
          </cell>
          <cell r="AC288">
            <v>2.5027209567237807E-2</v>
          </cell>
          <cell r="AD288">
            <v>5.0297358776325685E-2</v>
          </cell>
          <cell r="AE288">
            <v>9.2271620107897467E-2</v>
          </cell>
        </row>
        <row r="289">
          <cell r="D289" t="str">
            <v>EUR</v>
          </cell>
          <cell r="N289" t="str">
            <v/>
          </cell>
          <cell r="O289">
            <v>6.3690485549472431E-4</v>
          </cell>
          <cell r="P289">
            <v>1.5710306083301928E-3</v>
          </cell>
          <cell r="Q289">
            <v>4.4742758268462302E-3</v>
          </cell>
          <cell r="R289">
            <v>9.2978809822560349E-3</v>
          </cell>
          <cell r="S289" t="str">
            <v/>
          </cell>
          <cell r="T289">
            <v>2.5114176488660989E-2</v>
          </cell>
          <cell r="U289">
            <v>4.3646006655868264E-2</v>
          </cell>
          <cell r="V289">
            <v>7.6213532312441767E-2</v>
          </cell>
          <cell r="W289" t="str">
            <v/>
          </cell>
          <cell r="X289">
            <v>7.2018164349907376E-4</v>
          </cell>
          <cell r="Y289">
            <v>1.7374215702635754E-3</v>
          </cell>
          <cell r="Z289">
            <v>4.806062434074998E-3</v>
          </cell>
          <cell r="AA289">
            <v>9.7931082246366374E-3</v>
          </cell>
          <cell r="AB289" t="str">
            <v/>
          </cell>
          <cell r="AC289">
            <v>2.634301941017192E-2</v>
          </cell>
          <cell r="AD289">
            <v>4.5775805220933607E-2</v>
          </cell>
          <cell r="AE289">
            <v>7.9881565756046213E-2</v>
          </cell>
        </row>
        <row r="290">
          <cell r="D290" t="str">
            <v>EUR</v>
          </cell>
          <cell r="N290" t="str">
            <v/>
          </cell>
          <cell r="O290">
            <v>5.4594323121426314E-4</v>
          </cell>
          <cell r="P290">
            <v>1.2208758015412879E-3</v>
          </cell>
          <cell r="Q290">
            <v>4.1396751096509643E-3</v>
          </cell>
          <cell r="R290">
            <v>9.3288988610895629E-3</v>
          </cell>
          <cell r="S290" t="str">
            <v/>
          </cell>
          <cell r="T290">
            <v>2.4253086792053069E-2</v>
          </cell>
          <cell r="U290">
            <v>4.2474741666260529E-2</v>
          </cell>
          <cell r="V290">
            <v>7.6521608597956869E-2</v>
          </cell>
          <cell r="W290" t="str">
            <v/>
          </cell>
          <cell r="X290">
            <v>6.2922759904748826E-4</v>
          </cell>
          <cell r="Y290">
            <v>1.3873251177468626E-3</v>
          </cell>
          <cell r="Z290">
            <v>4.471573231844661E-3</v>
          </cell>
          <cell r="AA290">
            <v>9.8241105984022692E-3</v>
          </cell>
          <cell r="AB290" t="str">
            <v/>
          </cell>
          <cell r="AC290">
            <v>2.5438335363284215E-2</v>
          </cell>
          <cell r="AD290">
            <v>4.4546570276533193E-2</v>
          </cell>
          <cell r="AE290">
            <v>8.0203523225932272E-2</v>
          </cell>
        </row>
        <row r="291">
          <cell r="D291" t="str">
            <v>USD</v>
          </cell>
          <cell r="N291" t="str">
            <v/>
          </cell>
          <cell r="O291" t="str">
            <v/>
          </cell>
          <cell r="P291">
            <v>5.2999145576424822E-2</v>
          </cell>
          <cell r="Q291" t="str">
            <v/>
          </cell>
          <cell r="R291">
            <v>0.10758481376337914</v>
          </cell>
          <cell r="S291" t="str">
            <v/>
          </cell>
          <cell r="T291">
            <v>0.14343511989884705</v>
          </cell>
          <cell r="U291">
            <v>0.17698071553947037</v>
          </cell>
          <cell r="V291">
            <v>0.22923993498423201</v>
          </cell>
          <cell r="W291" t="str">
            <v/>
          </cell>
          <cell r="X291" t="str">
            <v/>
          </cell>
          <cell r="Y291">
            <v>5.5574048848817892E-2</v>
          </cell>
          <cell r="Z291" t="str">
            <v/>
          </cell>
          <cell r="AA291">
            <v>0.11260513312677178</v>
          </cell>
          <cell r="AB291" t="str">
            <v/>
          </cell>
          <cell r="AC291">
            <v>0.14990681516438065</v>
          </cell>
          <cell r="AD291">
            <v>0.1847677205448609</v>
          </cell>
          <cell r="AE291">
            <v>0.23897656462191064</v>
          </cell>
        </row>
        <row r="292">
          <cell r="D292" t="str">
            <v>EUR</v>
          </cell>
          <cell r="N292" t="str">
            <v/>
          </cell>
          <cell r="O292">
            <v>4.132658722621585E-3</v>
          </cell>
          <cell r="P292">
            <v>9.8751569359432079E-3</v>
          </cell>
          <cell r="Q292">
            <v>2.7087888839807617E-2</v>
          </cell>
          <cell r="R292">
            <v>4.9692166631712165E-2</v>
          </cell>
          <cell r="S292" t="str">
            <v/>
          </cell>
          <cell r="T292">
            <v>0.10341805946251215</v>
          </cell>
          <cell r="U292">
            <v>0.14635122295753855</v>
          </cell>
          <cell r="V292">
            <v>0.20926109774944079</v>
          </cell>
          <cell r="W292" t="str">
            <v/>
          </cell>
          <cell r="X292">
            <v>4.3388018993406607E-3</v>
          </cell>
          <cell r="Y292">
            <v>1.0366543612558288E-2</v>
          </cell>
          <cell r="Z292">
            <v>2.8424715037713377E-2</v>
          </cell>
          <cell r="AA292">
            <v>5.2121352377813013E-2</v>
          </cell>
          <cell r="AB292" t="str">
            <v/>
          </cell>
          <cell r="AC292">
            <v>0.10835689784092983</v>
          </cell>
          <cell r="AD292">
            <v>0.15315657037248809</v>
          </cell>
          <cell r="AE292">
            <v>0.21860898433892173</v>
          </cell>
        </row>
        <row r="293">
          <cell r="D293" t="str">
            <v>EUR</v>
          </cell>
          <cell r="N293" t="str">
            <v/>
          </cell>
          <cell r="O293">
            <v>9.2110670977973985E-4</v>
          </cell>
          <cell r="P293">
            <v>3.0431560735831864E-3</v>
          </cell>
          <cell r="Q293">
            <v>9.9455190630729495E-3</v>
          </cell>
          <cell r="R293">
            <v>2.0631985352393523E-2</v>
          </cell>
          <cell r="S293" t="str">
            <v/>
          </cell>
          <cell r="T293">
            <v>4.6057717704412804E-2</v>
          </cell>
          <cell r="U293">
            <v>7.0854188517419647E-2</v>
          </cell>
          <cell r="V293">
            <v>0.10488620432818285</v>
          </cell>
          <cell r="W293" t="str">
            <v/>
          </cell>
          <cell r="X293">
            <v>9.8354718933602037E-4</v>
          </cell>
          <cell r="Y293">
            <v>3.1877043359580526E-3</v>
          </cell>
          <cell r="Z293">
            <v>1.0440457371482692E-2</v>
          </cell>
          <cell r="AA293">
            <v>2.1654783466459104E-2</v>
          </cell>
          <cell r="AB293" t="str">
            <v/>
          </cell>
          <cell r="AC293">
            <v>4.8311763473719571E-2</v>
          </cell>
          <cell r="AD293">
            <v>7.428300342404115E-2</v>
          </cell>
          <cell r="AE293">
            <v>0.10985616379329843</v>
          </cell>
        </row>
        <row r="294">
          <cell r="D294" t="str">
            <v>EUR</v>
          </cell>
          <cell r="N294" t="str">
            <v/>
          </cell>
          <cell r="O294">
            <v>5.1865313340326846E-4</v>
          </cell>
          <cell r="P294">
            <v>2.1728294388565494E-3</v>
          </cell>
          <cell r="Q294">
            <v>6.7232037803609535E-3</v>
          </cell>
          <cell r="R294">
            <v>1.3782220335361695E-2</v>
          </cell>
          <cell r="S294" t="str">
            <v/>
          </cell>
          <cell r="T294">
            <v>3.4432597515647645E-2</v>
          </cell>
          <cell r="U294">
            <v>5.9034141008521335E-2</v>
          </cell>
          <cell r="V294">
            <v>0.10814779851252376</v>
          </cell>
          <cell r="W294" t="str">
            <v/>
          </cell>
          <cell r="X294">
            <v>6.0193977532152498E-4</v>
          </cell>
          <cell r="Y294">
            <v>2.3391201093502234E-3</v>
          </cell>
          <cell r="Z294">
            <v>7.0542408698676118E-3</v>
          </cell>
          <cell r="AA294">
            <v>1.446386032797442E-2</v>
          </cell>
          <cell r="AB294" t="str">
            <v/>
          </cell>
          <cell r="AC294">
            <v>3.6124164751780263E-2</v>
          </cell>
          <cell r="AD294">
            <v>6.1908631533080904E-2</v>
          </cell>
          <cell r="AE294">
            <v>0.11332695446794694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1.1212529218074252E-3</v>
          </cell>
          <cell r="Q295" t="str">
            <v/>
          </cell>
          <cell r="R295">
            <v>1.2534328478737367E-2</v>
          </cell>
          <cell r="S295" t="str">
            <v/>
          </cell>
          <cell r="T295">
            <v>2.8816920547930835E-2</v>
          </cell>
          <cell r="U295">
            <v>5.3039374066115474E-2</v>
          </cell>
          <cell r="V295">
            <v>9.2585364910251156E-2</v>
          </cell>
          <cell r="W295" t="str">
            <v/>
          </cell>
          <cell r="X295" t="str">
            <v/>
          </cell>
          <cell r="Y295">
            <v>1.2877188404590845E-3</v>
          </cell>
          <cell r="Z295" t="str">
            <v/>
          </cell>
          <cell r="AA295">
            <v>1.3133538262760869E-2</v>
          </cell>
          <cell r="AB295" t="str">
            <v/>
          </cell>
          <cell r="AC295">
            <v>3.0231994509713478E-2</v>
          </cell>
          <cell r="AD295">
            <v>5.562529445190556E-2</v>
          </cell>
          <cell r="AE295">
            <v>9.7041409350864916E-2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1.0864501880809563E-3</v>
          </cell>
          <cell r="Q296" t="str">
            <v/>
          </cell>
          <cell r="R296">
            <v>1.0839086242467433E-2</v>
          </cell>
          <cell r="S296" t="str">
            <v/>
          </cell>
          <cell r="T296">
            <v>2.2283241639454276E-2</v>
          </cell>
          <cell r="U296">
            <v>4.3942381207787706E-2</v>
          </cell>
          <cell r="V296">
            <v>8.0780490072087985E-2</v>
          </cell>
          <cell r="W296" t="str">
            <v/>
          </cell>
          <cell r="X296" t="str">
            <v/>
          </cell>
          <cell r="Y296">
            <v>1.2529219066996777E-3</v>
          </cell>
          <cell r="Z296" t="str">
            <v/>
          </cell>
          <cell r="AA296">
            <v>1.1358259427295403E-2</v>
          </cell>
          <cell r="AB296" t="str">
            <v/>
          </cell>
          <cell r="AC296">
            <v>2.3378567292613672E-2</v>
          </cell>
          <cell r="AD296">
            <v>4.6091632470970145E-2</v>
          </cell>
          <cell r="AE296">
            <v>8.4667853631394063E-2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2.0882873527908741E-3</v>
          </cell>
          <cell r="Q297" t="str">
            <v/>
          </cell>
          <cell r="R297">
            <v>1.024692441098729E-2</v>
          </cell>
          <cell r="S297" t="str">
            <v/>
          </cell>
          <cell r="T297">
            <v>2.585143283779423E-2</v>
          </cell>
          <cell r="U297">
            <v>4.8743901296733338E-2</v>
          </cell>
          <cell r="V297">
            <v>9.7020655069939399E-2</v>
          </cell>
          <cell r="W297" t="str">
            <v/>
          </cell>
          <cell r="X297" t="str">
            <v/>
          </cell>
          <cell r="Y297">
            <v>2.2545921124562662E-3</v>
          </cell>
          <cell r="Z297" t="str">
            <v/>
          </cell>
          <cell r="AA297">
            <v>1.0741677250240445E-2</v>
          </cell>
          <cell r="AB297" t="str">
            <v/>
          </cell>
          <cell r="AC297">
            <v>2.7124917913048385E-2</v>
          </cell>
          <cell r="AD297">
            <v>5.1128084737356749E-2</v>
          </cell>
          <cell r="AE297">
            <v>0.10170126492620657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8.4975967665934515E-4</v>
          </cell>
          <cell r="Q299" t="str">
            <v/>
          </cell>
          <cell r="R299">
            <v>1.0079505722001114E-2</v>
          </cell>
          <cell r="S299" t="str">
            <v/>
          </cell>
          <cell r="T299">
            <v>2.2833446286305126E-2</v>
          </cell>
          <cell r="U299">
            <v>4.3334757122374001E-2</v>
          </cell>
          <cell r="V299">
            <v>7.9956530891261091E-2</v>
          </cell>
          <cell r="W299" t="str">
            <v/>
          </cell>
          <cell r="X299" t="str">
            <v/>
          </cell>
          <cell r="Y299">
            <v>1.0162708404068965E-3</v>
          </cell>
          <cell r="Z299" t="str">
            <v/>
          </cell>
          <cell r="AA299">
            <v>1.0574342249696111E-2</v>
          </cell>
          <cell r="AB299" t="str">
            <v/>
          </cell>
          <cell r="AC299">
            <v>2.3953629461721304E-2</v>
          </cell>
          <cell r="AD299">
            <v>4.5452699960103593E-2</v>
          </cell>
          <cell r="AE299">
            <v>8.380324314926757E-2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1.2569720844100019E-3</v>
          </cell>
          <cell r="Q300" t="str">
            <v/>
          </cell>
          <cell r="R300">
            <v>9.1942652724509299E-3</v>
          </cell>
          <cell r="S300" t="str">
            <v/>
          </cell>
          <cell r="T300">
            <v>2.1996969895597074E-2</v>
          </cell>
          <cell r="U300">
            <v>4.2478069850777067E-2</v>
          </cell>
          <cell r="V300">
            <v>7.6169670835067205E-2</v>
          </cell>
          <cell r="W300" t="str">
            <v/>
          </cell>
          <cell r="X300" t="str">
            <v/>
          </cell>
          <cell r="Y300">
            <v>1.4234153850898323E-3</v>
          </cell>
          <cell r="Z300" t="str">
            <v/>
          </cell>
          <cell r="AA300">
            <v>9.6895443097742007E-3</v>
          </cell>
          <cell r="AB300" t="str">
            <v/>
          </cell>
          <cell r="AC300">
            <v>2.3073089107243705E-2</v>
          </cell>
          <cell r="AD300">
            <v>4.4551920535900957E-2</v>
          </cell>
          <cell r="AE300">
            <v>7.9837270008437211E-2</v>
          </cell>
        </row>
        <row r="301">
          <cell r="D301" t="str">
            <v>EUR</v>
          </cell>
          <cell r="N301" t="str">
            <v/>
          </cell>
          <cell r="O301">
            <v>5.4594323121426314E-4</v>
          </cell>
          <cell r="P301">
            <v>1.0446661685874492E-3</v>
          </cell>
          <cell r="Q301">
            <v>4.1457633276648087E-3</v>
          </cell>
          <cell r="R301">
            <v>9.3351024819504635E-3</v>
          </cell>
          <cell r="S301" t="str">
            <v/>
          </cell>
          <cell r="T301">
            <v>2.5152572652900607E-2</v>
          </cell>
          <cell r="U301">
            <v>4.2388059230664465E-2</v>
          </cell>
          <cell r="V301">
            <v>7.8351029680674422E-2</v>
          </cell>
          <cell r="W301" t="str">
            <v/>
          </cell>
          <cell r="X301">
            <v>6.2922759904748826E-4</v>
          </cell>
          <cell r="Y301">
            <v>1.2111448506226807E-3</v>
          </cell>
          <cell r="Z301">
            <v>4.4776594207824871E-3</v>
          </cell>
          <cell r="AA301">
            <v>9.8303111182469483E-3</v>
          </cell>
          <cell r="AB301" t="str">
            <v/>
          </cell>
          <cell r="AC301">
            <v>2.638159083724545E-2</v>
          </cell>
          <cell r="AD301">
            <v>4.4455134658189399E-2</v>
          </cell>
          <cell r="AE301">
            <v>8.2117615838468438E-2</v>
          </cell>
        </row>
        <row r="302">
          <cell r="D302" t="str">
            <v>USD</v>
          </cell>
          <cell r="N302" t="str">
            <v/>
          </cell>
          <cell r="O302" t="str">
            <v/>
          </cell>
          <cell r="P302">
            <v>1.1351736783257182E-3</v>
          </cell>
          <cell r="Q302" t="str">
            <v/>
          </cell>
          <cell r="R302">
            <v>9.6179160955335297E-3</v>
          </cell>
          <cell r="S302" t="str">
            <v/>
          </cell>
          <cell r="T302">
            <v>2.3308344232192635E-2</v>
          </cell>
          <cell r="U302">
            <v>4.1163621774345405E-2</v>
          </cell>
          <cell r="V302">
            <v>6.995998584516383E-2</v>
          </cell>
          <cell r="W302" t="str">
            <v/>
          </cell>
          <cell r="X302" t="str">
            <v/>
          </cell>
          <cell r="Y302">
            <v>1.3016372770298101E-3</v>
          </cell>
          <cell r="Z302" t="str">
            <v/>
          </cell>
          <cell r="AA302">
            <v>1.0112983360338612E-2</v>
          </cell>
          <cell r="AB302" t="str">
            <v/>
          </cell>
          <cell r="AC302">
            <v>2.4450491702461608E-2</v>
          </cell>
          <cell r="AD302">
            <v>4.3175025602657735E-2</v>
          </cell>
          <cell r="AE302">
            <v>7.3335880198426073E-2</v>
          </cell>
        </row>
        <row r="303">
          <cell r="D303" t="str">
            <v>EUR</v>
          </cell>
          <cell r="N303" t="str">
            <v/>
          </cell>
          <cell r="O303">
            <v>4.5497334759936336E-4</v>
          </cell>
          <cell r="P303">
            <v>8.7063095825812287E-4</v>
          </cell>
          <cell r="Q303">
            <v>3.4556797820997076E-3</v>
          </cell>
          <cell r="R303">
            <v>7.7834086460574214E-3</v>
          </cell>
          <cell r="S303" t="str">
            <v/>
          </cell>
          <cell r="T303">
            <v>2.2630626801622866E-2</v>
          </cell>
          <cell r="U303">
            <v>4.0230982194373377E-2</v>
          </cell>
          <cell r="V303">
            <v>6.9556971171860882E-2</v>
          </cell>
          <cell r="W303" t="str">
            <v/>
          </cell>
          <cell r="X303">
            <v>5.3826529594969141E-4</v>
          </cell>
          <cell r="Y303">
            <v>1.0371386437357799E-3</v>
          </cell>
          <cell r="Z303">
            <v>3.7878058647371482E-3</v>
          </cell>
          <cell r="AA303">
            <v>8.2793929353108808E-3</v>
          </cell>
          <cell r="AB303" t="str">
            <v/>
          </cell>
          <cell r="AC303">
            <v>2.3728509373894036E-2</v>
          </cell>
          <cell r="AD303">
            <v>4.2187016399201749E-2</v>
          </cell>
          <cell r="AE303">
            <v>7.2905332113767707E-2</v>
          </cell>
        </row>
        <row r="304">
          <cell r="D304" t="str">
            <v>EUR</v>
          </cell>
          <cell r="N304" t="str">
            <v/>
          </cell>
          <cell r="O304">
            <v>3.6399520350638426E-4</v>
          </cell>
          <cell r="P304">
            <v>1.049060286898551E-3</v>
          </cell>
          <cell r="Q304">
            <v>3.8010831333065154E-3</v>
          </cell>
          <cell r="R304">
            <v>7.2323104235898494E-3</v>
          </cell>
          <cell r="S304" t="str">
            <v/>
          </cell>
          <cell r="T304">
            <v>2.0859194367127021E-2</v>
          </cell>
          <cell r="U304">
            <v>3.9134327449110162E-2</v>
          </cell>
          <cell r="V304">
            <v>7.186498170609279E-2</v>
          </cell>
          <cell r="W304" t="str">
            <v/>
          </cell>
          <cell r="X304">
            <v>4.4729473304006007E-4</v>
          </cell>
          <cell r="Y304">
            <v>1.2155382366452194E-3</v>
          </cell>
          <cell r="Z304">
            <v>4.1330941006814115E-3</v>
          </cell>
          <cell r="AA304">
            <v>7.7285701930812634E-3</v>
          </cell>
          <cell r="AB304" t="str">
            <v/>
          </cell>
          <cell r="AC304">
            <v>2.1869210805171124E-2</v>
          </cell>
          <cell r="AD304">
            <v>4.1036690995483904E-2</v>
          </cell>
          <cell r="AE304">
            <v>7.5322965556477661E-2</v>
          </cell>
        </row>
        <row r="305">
          <cell r="D305" t="str">
            <v>USD</v>
          </cell>
          <cell r="N305" t="str">
            <v/>
          </cell>
          <cell r="O305" t="str">
            <v/>
          </cell>
          <cell r="P305">
            <v>6.7394614047022738E-4</v>
          </cell>
          <cell r="Q305" t="str">
            <v/>
          </cell>
          <cell r="R305">
            <v>6.7200786941882251E-3</v>
          </cell>
          <cell r="S305" t="str">
            <v/>
          </cell>
          <cell r="T305">
            <v>1.7360891285542634E-2</v>
          </cell>
          <cell r="U305">
            <v>3.8479001619805553E-2</v>
          </cell>
          <cell r="V305">
            <v>6.3272643623229707E-2</v>
          </cell>
          <cell r="W305" t="str">
            <v/>
          </cell>
          <cell r="X305" t="str">
            <v/>
          </cell>
          <cell r="Y305">
            <v>8.404866040392367E-4</v>
          </cell>
          <cell r="Z305" t="str">
            <v/>
          </cell>
          <cell r="AA305">
            <v>7.2165945155356903E-3</v>
          </cell>
          <cell r="AB305" t="str">
            <v/>
          </cell>
          <cell r="AC305">
            <v>1.8179416110110536E-2</v>
          </cell>
          <cell r="AD305">
            <v>4.0347219810654034E-2</v>
          </cell>
          <cell r="AE305">
            <v>6.6323498112879298E-2</v>
          </cell>
        </row>
        <row r="306">
          <cell r="D306" t="str">
            <v>EUR</v>
          </cell>
          <cell r="N306" t="str">
            <v/>
          </cell>
          <cell r="O306">
            <v>3.6399520350638426E-4</v>
          </cell>
          <cell r="P306">
            <v>1.5776928696848991E-3</v>
          </cell>
          <cell r="Q306">
            <v>4.8300036012460801E-3</v>
          </cell>
          <cell r="R306">
            <v>8.7578517722344262E-3</v>
          </cell>
          <cell r="S306" t="str">
            <v/>
          </cell>
          <cell r="T306">
            <v>2.156941971103199E-2</v>
          </cell>
          <cell r="U306">
            <v>3.4954312096123541E-2</v>
          </cell>
          <cell r="V306">
            <v>5.8630790834494517E-2</v>
          </cell>
          <cell r="W306" t="str">
            <v/>
          </cell>
          <cell r="X306">
            <v>4.4729473304006007E-4</v>
          </cell>
          <cell r="Y306">
            <v>1.7440827213339727E-3</v>
          </cell>
          <cell r="Z306">
            <v>5.161671652306743E-3</v>
          </cell>
          <cell r="AA306">
            <v>9.2533489617411258E-3</v>
          </cell>
          <cell r="AB306" t="str">
            <v/>
          </cell>
          <cell r="AC306">
            <v>2.2623035431614147E-2</v>
          </cell>
          <cell r="AD306">
            <v>3.6661117150498357E-2</v>
          </cell>
          <cell r="AE306">
            <v>6.146876160227055E-2</v>
          </cell>
        </row>
        <row r="307">
          <cell r="D307" t="str">
            <v>EUR</v>
          </cell>
          <cell r="N307" t="str">
            <v/>
          </cell>
          <cell r="O307">
            <v>4.5497334759936336E-4</v>
          </cell>
          <cell r="P307">
            <v>1.22308070448085E-3</v>
          </cell>
          <cell r="Q307">
            <v>3.7927823407388761E-3</v>
          </cell>
          <cell r="R307">
            <v>8.2859042324988641E-3</v>
          </cell>
          <cell r="S307" t="str">
            <v/>
          </cell>
          <cell r="T307">
            <v>1.9878731060564148E-2</v>
          </cell>
          <cell r="U307">
            <v>3.5236478943504235E-2</v>
          </cell>
          <cell r="V307">
            <v>6.4703833634608743E-2</v>
          </cell>
          <cell r="W307" t="str">
            <v/>
          </cell>
          <cell r="X307">
            <v>5.3826529594969141E-4</v>
          </cell>
          <cell r="Y307">
            <v>1.3895296532399071E-3</v>
          </cell>
          <cell r="Z307">
            <v>4.124796074582493E-3</v>
          </cell>
          <cell r="AA307">
            <v>8.7816373367883838E-3</v>
          </cell>
          <cell r="AB307" t="str">
            <v/>
          </cell>
          <cell r="AC307">
            <v>2.084471629135054E-2</v>
          </cell>
          <cell r="AD307">
            <v>3.6953075360384835E-2</v>
          </cell>
          <cell r="AE307">
            <v>6.7827522129052076E-2</v>
          </cell>
        </row>
        <row r="308">
          <cell r="D308" t="str">
            <v>EUR</v>
          </cell>
          <cell r="N308" t="str">
            <v/>
          </cell>
          <cell r="O308">
            <v>3.6399520350638426E-4</v>
          </cell>
          <cell r="P308">
            <v>8.728201724156337E-4</v>
          </cell>
          <cell r="Q308">
            <v>3.1086041784720297E-3</v>
          </cell>
          <cell r="R308">
            <v>7.2706402611258936E-3</v>
          </cell>
          <cell r="S308" t="str">
            <v/>
          </cell>
          <cell r="T308">
            <v>1.8211863196228584E-2</v>
          </cell>
          <cell r="U308">
            <v>3.4242684874590257E-2</v>
          </cell>
          <cell r="V308">
            <v>5.9399270821817951E-2</v>
          </cell>
          <cell r="W308" t="str">
            <v/>
          </cell>
          <cell r="X308">
            <v>4.4729473304006007E-4</v>
          </cell>
          <cell r="Y308">
            <v>1.0393274930516894E-3</v>
          </cell>
          <cell r="Z308">
            <v>3.4408459337169628E-3</v>
          </cell>
          <cell r="AA308">
            <v>7.7668808705068093E-3</v>
          </cell>
          <cell r="AB308" t="str">
            <v/>
          </cell>
          <cell r="AC308">
            <v>1.907055208476105E-2</v>
          </cell>
          <cell r="AD308">
            <v>3.590756999842637E-2</v>
          </cell>
          <cell r="AE308">
            <v>6.2268569571166332E-2</v>
          </cell>
        </row>
        <row r="309">
          <cell r="D309" t="str">
            <v>EUR</v>
          </cell>
          <cell r="N309" t="str">
            <v/>
          </cell>
          <cell r="O309">
            <v>4.5497334759936336E-4</v>
          </cell>
          <cell r="P309">
            <v>1.0468631450375465E-3</v>
          </cell>
          <cell r="Q309">
            <v>4.1480051453959277E-3</v>
          </cell>
          <cell r="R309">
            <v>8.2758480360302089E-3</v>
          </cell>
          <cell r="S309" t="str">
            <v/>
          </cell>
          <cell r="T309">
            <v>1.9868489015620661E-2</v>
          </cell>
          <cell r="U309">
            <v>3.2621847597286258E-2</v>
          </cell>
          <cell r="V309">
            <v>5.7323262221941729E-2</v>
          </cell>
          <cell r="W309" t="str">
            <v/>
          </cell>
          <cell r="X309">
            <v>5.3826529594969141E-4</v>
          </cell>
          <cell r="Y309">
            <v>1.2133414609432069E-3</v>
          </cell>
          <cell r="Z309">
            <v>4.4799004913916862E-3</v>
          </cell>
          <cell r="AA309">
            <v>8.7715861671472384E-3</v>
          </cell>
          <cell r="AB309" t="str">
            <v/>
          </cell>
          <cell r="AC309">
            <v>2.083443770740312E-2</v>
          </cell>
          <cell r="AD309">
            <v>3.4211302515329001E-2</v>
          </cell>
          <cell r="AE309">
            <v>6.0096335129151357E-2</v>
          </cell>
        </row>
        <row r="310">
          <cell r="D310" t="str">
            <v>EUR</v>
          </cell>
          <cell r="N310" t="str">
            <v/>
          </cell>
          <cell r="O310">
            <v>2.7300879781333443E-4</v>
          </cell>
          <cell r="P310">
            <v>8.7500955172725714E-4</v>
          </cell>
          <cell r="Q310">
            <v>3.1108231577661183E-3</v>
          </cell>
          <cell r="R310">
            <v>6.7416033755676175E-3</v>
          </cell>
          <cell r="S310" t="str">
            <v/>
          </cell>
          <cell r="T310">
            <v>1.8252267651842846E-2</v>
          </cell>
          <cell r="U310">
            <v>3.2980139891199078E-2</v>
          </cell>
          <cell r="V310">
            <v>5.9617673928796133E-2</v>
          </cell>
          <cell r="W310" t="str">
            <v/>
          </cell>
          <cell r="X310">
            <v>3.5631590924090073E-4</v>
          </cell>
          <cell r="Y310">
            <v>1.0415165074959543E-3</v>
          </cell>
          <cell r="Z310">
            <v>3.443064173448751E-3</v>
          </cell>
          <cell r="AA310">
            <v>7.2381084372733495E-3</v>
          </cell>
          <cell r="AB310" t="str">
            <v/>
          </cell>
          <cell r="AC310">
            <v>1.9110921201918041E-2</v>
          </cell>
          <cell r="AD310">
            <v>3.4581562293729329E-2</v>
          </cell>
          <cell r="AE310">
            <v>6.2495611273053808E-2</v>
          </cell>
        </row>
      </sheetData>
      <sheetData sheetId="3"/>
      <sheetData sheetId="4">
        <row r="8">
          <cell r="C8">
            <v>0.3</v>
          </cell>
        </row>
      </sheetData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1"/>
  <sheetViews>
    <sheetView showGridLines="0" topLeftCell="A3" workbookViewId="0">
      <selection activeCell="G13" sqref="G13"/>
    </sheetView>
  </sheetViews>
  <sheetFormatPr baseColWidth="10" defaultRowHeight="14.4" x14ac:dyDescent="0.3"/>
  <cols>
    <col min="2" max="2" width="14.109375" bestFit="1" customWidth="1"/>
    <col min="5" max="5" width="8" bestFit="1" customWidth="1"/>
  </cols>
  <sheetData>
    <row r="1" spans="2:6" ht="15" thickBot="1" x14ac:dyDescent="0.35"/>
    <row r="2" spans="2:6" ht="15" thickBot="1" x14ac:dyDescent="0.35">
      <c r="B2" s="54" t="s">
        <v>34</v>
      </c>
      <c r="D2" s="54" t="s">
        <v>33</v>
      </c>
      <c r="F2" s="54" t="s">
        <v>35</v>
      </c>
    </row>
    <row r="3" spans="2:6" x14ac:dyDescent="0.3">
      <c r="B3" s="50" t="s">
        <v>7</v>
      </c>
      <c r="D3" s="50" t="s">
        <v>32</v>
      </c>
      <c r="F3" s="49" t="s">
        <v>0</v>
      </c>
    </row>
    <row r="4" spans="2:6" ht="15" thickBot="1" x14ac:dyDescent="0.35">
      <c r="B4" s="53" t="s">
        <v>30</v>
      </c>
      <c r="D4" s="53" t="s">
        <v>31</v>
      </c>
      <c r="F4" s="50" t="s">
        <v>2</v>
      </c>
    </row>
    <row r="5" spans="2:6" ht="15" thickBot="1" x14ac:dyDescent="0.35">
      <c r="F5" s="53" t="s">
        <v>1</v>
      </c>
    </row>
    <row r="6" spans="2:6" ht="15" thickBot="1" x14ac:dyDescent="0.35">
      <c r="B6" s="69" t="s">
        <v>46</v>
      </c>
      <c r="D6" s="122" t="s">
        <v>46</v>
      </c>
      <c r="E6" s="123">
        <f ca="1">TODAY()</f>
        <v>45357</v>
      </c>
    </row>
    <row r="7" spans="2:6" x14ac:dyDescent="0.3">
      <c r="B7" s="70" t="s">
        <v>47</v>
      </c>
    </row>
    <row r="8" spans="2:6" x14ac:dyDescent="0.3">
      <c r="B8" s="71" t="s">
        <v>48</v>
      </c>
    </row>
    <row r="9" spans="2:6" x14ac:dyDescent="0.3">
      <c r="B9" s="71" t="s">
        <v>45</v>
      </c>
    </row>
    <row r="10" spans="2:6" x14ac:dyDescent="0.3">
      <c r="B10" s="71" t="s">
        <v>43</v>
      </c>
    </row>
    <row r="11" spans="2:6" ht="15" thickBot="1" x14ac:dyDescent="0.35">
      <c r="B11" s="72" t="s">
        <v>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abSelected="1" topLeftCell="A7" zoomScale="97" zoomScaleNormal="400" workbookViewId="0">
      <selection activeCell="K18" sqref="K18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60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65" t="s">
        <v>38</v>
      </c>
      <c r="I2" s="65" t="s">
        <v>15</v>
      </c>
      <c r="T2" s="65" t="s">
        <v>37</v>
      </c>
    </row>
    <row r="3" spans="1:23" s="2" customFormat="1" x14ac:dyDescent="0.3">
      <c r="D3" s="64">
        <f ca="1">SQRT(2*PI()/D14)*0.16/D10</f>
        <v>4.0106052394096002E-3</v>
      </c>
      <c r="Q3" s="61"/>
    </row>
    <row r="4" spans="1:23" ht="28.5" customHeight="1" thickBot="1" x14ac:dyDescent="0.35"/>
    <row r="5" spans="1:23" ht="15" thickBot="1" x14ac:dyDescent="0.35">
      <c r="A5" s="66" t="s">
        <v>17</v>
      </c>
      <c r="C5" s="165" t="s">
        <v>21</v>
      </c>
      <c r="D5" s="166"/>
      <c r="F5" s="163" t="s">
        <v>23</v>
      </c>
      <c r="G5" s="164"/>
      <c r="I5" s="163" t="s">
        <v>22</v>
      </c>
      <c r="J5" s="164"/>
      <c r="R5" s="165" t="s">
        <v>41</v>
      </c>
      <c r="S5" s="166"/>
      <c r="U5" s="163" t="s">
        <v>42</v>
      </c>
      <c r="V5" s="164"/>
    </row>
    <row r="6" spans="1:23" ht="15" thickBot="1" x14ac:dyDescent="0.35">
      <c r="A6" s="66"/>
      <c r="C6" s="159"/>
      <c r="D6" s="159"/>
      <c r="F6" s="160"/>
      <c r="G6" s="160"/>
      <c r="I6" s="160"/>
      <c r="J6" s="160"/>
      <c r="R6" s="159"/>
      <c r="S6" s="159"/>
      <c r="U6" s="160"/>
      <c r="V6" s="160"/>
    </row>
    <row r="7" spans="1:23" ht="15" thickBot="1" x14ac:dyDescent="0.35">
      <c r="A7" s="67" t="s">
        <v>18</v>
      </c>
      <c r="C7" s="13" t="s">
        <v>95</v>
      </c>
      <c r="D7" s="161">
        <v>1</v>
      </c>
      <c r="R7" s="13" t="s">
        <v>95</v>
      </c>
      <c r="S7" s="161">
        <v>1</v>
      </c>
      <c r="U7" s="6" t="s">
        <v>24</v>
      </c>
      <c r="V7" s="7" cm="1">
        <f t="array" aca="1" ref="V7" ca="1">GetOptionPrice(S7,S8,S9,S10,S11,S12,S14)</f>
        <v>61.985324987694256</v>
      </c>
    </row>
    <row r="8" spans="1:23" ht="15" thickBot="1" x14ac:dyDescent="0.35">
      <c r="A8" s="68" t="s">
        <v>19</v>
      </c>
      <c r="C8" s="4" t="s">
        <v>14</v>
      </c>
      <c r="D8" s="42" t="s">
        <v>7</v>
      </c>
      <c r="E8" s="5"/>
      <c r="F8" s="6" t="s">
        <v>24</v>
      </c>
      <c r="G8" s="7" cm="1">
        <f t="array" aca="1" ref="G8" ca="1">GetBSOptionPrice(D7,D8,D9,D10,D11,D12,D13,D14,D16)</f>
        <v>10.450575415435083</v>
      </c>
      <c r="I8" s="6" t="s">
        <v>24</v>
      </c>
      <c r="J8" s="7" cm="1">
        <f t="array" aca="1" ref="J8" ca="1">GetMCEurOptionPrice(D7,D8,D9,D10,D11,D12,D13,D14,D16)</f>
        <v>10.39375453952362</v>
      </c>
      <c r="K8" s="1"/>
      <c r="R8" s="4" t="s">
        <v>14</v>
      </c>
      <c r="S8" s="42" t="s">
        <v>7</v>
      </c>
      <c r="T8" s="5"/>
      <c r="U8" s="5"/>
      <c r="V8" s="5"/>
      <c r="W8" s="5"/>
    </row>
    <row r="9" spans="1:23" ht="15" thickBot="1" x14ac:dyDescent="0.35">
      <c r="C9" s="4" t="s">
        <v>27</v>
      </c>
      <c r="D9" s="42" t="s">
        <v>32</v>
      </c>
      <c r="E9" s="5"/>
      <c r="F9" s="5"/>
      <c r="I9" s="5"/>
      <c r="K9" s="1"/>
      <c r="R9" s="8" t="s">
        <v>27</v>
      </c>
      <c r="S9" s="42" t="s">
        <v>29</v>
      </c>
      <c r="T9" s="5"/>
      <c r="U9" s="8" t="s">
        <v>4</v>
      </c>
      <c r="V9" s="22" cm="1">
        <f t="array" aca="1" ref="V9:V12" ca="1">GetSensiOption(S7,S8,S9,S10,S11,S12,S14)</f>
        <v>1</v>
      </c>
      <c r="W9" s="5"/>
    </row>
    <row r="10" spans="1:23" x14ac:dyDescent="0.3">
      <c r="C10" s="8" t="s">
        <v>11</v>
      </c>
      <c r="D10" s="42">
        <v>100</v>
      </c>
      <c r="E10" s="5"/>
      <c r="F10" s="8" t="s">
        <v>4</v>
      </c>
      <c r="G10" s="22" cm="1">
        <f t="array" aca="1" ref="G10:G13" ca="1">GetSensiOptionBS(D7,D8,D9,D10,D11,D12,D13,D14,D16)</f>
        <v>0.63683058600703024</v>
      </c>
      <c r="R10" s="8" t="s">
        <v>9</v>
      </c>
      <c r="S10" s="42">
        <v>100</v>
      </c>
      <c r="T10" s="5"/>
      <c r="U10" s="9" t="s">
        <v>5</v>
      </c>
      <c r="V10" s="23">
        <f ca="1"/>
        <v>0</v>
      </c>
      <c r="W10" s="5"/>
    </row>
    <row r="11" spans="1:23" x14ac:dyDescent="0.3">
      <c r="C11" s="9" t="s">
        <v>3</v>
      </c>
      <c r="D11" s="51">
        <v>0.2</v>
      </c>
      <c r="E11" s="5"/>
      <c r="F11" s="9" t="s">
        <v>5</v>
      </c>
      <c r="G11" s="23">
        <f ca="1"/>
        <v>1.8762017345846895E-2</v>
      </c>
      <c r="R11" s="9" t="s">
        <v>10</v>
      </c>
      <c r="S11" s="58">
        <v>44989</v>
      </c>
      <c r="T11" s="5"/>
      <c r="U11" s="9" t="s">
        <v>6</v>
      </c>
      <c r="V11" s="23">
        <f ca="1"/>
        <v>-36.767714459864607</v>
      </c>
      <c r="W11" s="5"/>
    </row>
    <row r="12" spans="1:23" ht="15" thickBot="1" x14ac:dyDescent="0.35">
      <c r="C12" s="9" t="s">
        <v>8</v>
      </c>
      <c r="D12" s="51">
        <v>0.05</v>
      </c>
      <c r="E12" s="5"/>
      <c r="F12" s="9" t="s">
        <v>6</v>
      </c>
      <c r="G12" s="23">
        <f ca="1"/>
        <v>1.090779309905983</v>
      </c>
      <c r="R12" s="11" t="s">
        <v>13</v>
      </c>
      <c r="S12" s="52" t="s">
        <v>0</v>
      </c>
      <c r="T12" s="5"/>
      <c r="U12" s="11" t="s">
        <v>26</v>
      </c>
      <c r="V12" s="24">
        <f ca="1"/>
        <v>0</v>
      </c>
      <c r="W12" s="5"/>
    </row>
    <row r="13" spans="1:23" ht="15" thickBot="1" x14ac:dyDescent="0.35">
      <c r="C13" s="9" t="s">
        <v>9</v>
      </c>
      <c r="D13" s="42">
        <v>100</v>
      </c>
      <c r="E13" s="5"/>
      <c r="F13" s="11" t="s">
        <v>26</v>
      </c>
      <c r="G13" s="24">
        <f ca="1"/>
        <v>37.524034691693792</v>
      </c>
      <c r="R13" s="5"/>
      <c r="S13" s="5"/>
      <c r="T13" s="5"/>
      <c r="W13" s="5"/>
    </row>
    <row r="14" spans="1:23" ht="15" thickBot="1" x14ac:dyDescent="0.35">
      <c r="C14" s="11" t="s">
        <v>10</v>
      </c>
      <c r="D14" s="43">
        <v>1</v>
      </c>
      <c r="E14" s="5"/>
      <c r="R14" s="13" t="s">
        <v>12</v>
      </c>
      <c r="S14" s="21">
        <v>0</v>
      </c>
      <c r="T14" s="5"/>
      <c r="W14" s="5"/>
    </row>
    <row r="15" spans="1:23" ht="15" thickBot="1" x14ac:dyDescent="0.35">
      <c r="C15" s="5"/>
      <c r="D15" s="12"/>
      <c r="E15" s="5"/>
      <c r="F15" s="5"/>
      <c r="R15" s="5"/>
      <c r="S15" s="12"/>
      <c r="T15" s="5"/>
      <c r="U15" s="5"/>
      <c r="V15" s="5"/>
      <c r="W15" s="5"/>
    </row>
    <row r="16" spans="1:23" ht="15" thickBot="1" x14ac:dyDescent="0.35">
      <c r="C16" s="13" t="s">
        <v>12</v>
      </c>
      <c r="D16" s="14">
        <v>0</v>
      </c>
      <c r="E16" s="5"/>
      <c r="F16" s="5"/>
      <c r="G16" s="5"/>
      <c r="T16" s="5"/>
      <c r="U16" s="5"/>
      <c r="V16" s="5"/>
      <c r="W16" s="5"/>
    </row>
    <row r="17" spans="2:27" x14ac:dyDescent="0.3">
      <c r="P17" s="5"/>
      <c r="Q17" s="62"/>
      <c r="R17" s="5"/>
      <c r="S17" s="5"/>
      <c r="T17" s="5"/>
      <c r="U17" s="5"/>
      <c r="V17" s="5"/>
      <c r="W17" s="5"/>
    </row>
    <row r="18" spans="2:27" s="2" customFormat="1" ht="28.2" customHeight="1" x14ac:dyDescent="0.6">
      <c r="E18" s="3" t="s">
        <v>39</v>
      </c>
      <c r="P18" s="25"/>
      <c r="Q18" s="63"/>
      <c r="R18" s="25"/>
      <c r="S18" s="25"/>
      <c r="T18" s="3" t="s">
        <v>40</v>
      </c>
      <c r="U18" s="25"/>
      <c r="V18" s="25"/>
      <c r="W18" s="25"/>
    </row>
    <row r="19" spans="2:27" ht="15" thickBot="1" x14ac:dyDescent="0.35">
      <c r="P19" s="5"/>
      <c r="Q19" s="62"/>
      <c r="R19" s="5"/>
      <c r="S19" s="5"/>
      <c r="T19" s="5"/>
      <c r="U19" s="5"/>
      <c r="V19" s="5"/>
      <c r="W19" s="5"/>
    </row>
    <row r="20" spans="2:27" ht="15" thickBot="1" x14ac:dyDescent="0.35">
      <c r="B20" s="165" t="s">
        <v>21</v>
      </c>
      <c r="C20" s="167"/>
      <c r="D20" s="167"/>
      <c r="E20" s="167"/>
      <c r="F20" s="167"/>
      <c r="G20" s="167"/>
      <c r="H20" s="167"/>
      <c r="I20" s="167"/>
      <c r="J20" s="166"/>
      <c r="L20" s="165" t="s">
        <v>23</v>
      </c>
      <c r="M20" s="166"/>
      <c r="O20" s="165" t="s">
        <v>22</v>
      </c>
      <c r="P20" s="166"/>
      <c r="R20" s="168" t="s">
        <v>41</v>
      </c>
      <c r="S20" s="169"/>
      <c r="T20" s="169"/>
      <c r="U20" s="169"/>
      <c r="V20" s="169"/>
      <c r="W20" s="169"/>
      <c r="X20" s="170"/>
      <c r="Z20" s="163" t="s">
        <v>42</v>
      </c>
      <c r="AA20" s="164"/>
    </row>
    <row r="21" spans="2:27" ht="15" thickBot="1" x14ac:dyDescent="0.35">
      <c r="B21" s="162" t="s">
        <v>95</v>
      </c>
      <c r="C21" s="15" t="s">
        <v>14</v>
      </c>
      <c r="D21" s="16" t="s">
        <v>27</v>
      </c>
      <c r="E21" s="16" t="s">
        <v>11</v>
      </c>
      <c r="F21" s="16" t="s">
        <v>3</v>
      </c>
      <c r="G21" s="16" t="s">
        <v>8</v>
      </c>
      <c r="H21" s="16" t="s">
        <v>9</v>
      </c>
      <c r="I21" s="16" t="s">
        <v>10</v>
      </c>
      <c r="J21" s="17" t="s">
        <v>12</v>
      </c>
      <c r="R21" s="162" t="s">
        <v>95</v>
      </c>
      <c r="S21" s="29" t="s">
        <v>14</v>
      </c>
      <c r="T21" s="29" t="s">
        <v>36</v>
      </c>
      <c r="U21" s="30" t="s">
        <v>9</v>
      </c>
      <c r="V21" s="30" t="s">
        <v>10</v>
      </c>
      <c r="W21" s="31" t="s">
        <v>13</v>
      </c>
      <c r="X21" s="31" t="s">
        <v>12</v>
      </c>
    </row>
    <row r="22" spans="2:27" ht="15" thickBot="1" x14ac:dyDescent="0.35">
      <c r="B22" s="18">
        <v>2</v>
      </c>
      <c r="C22" s="32" t="s">
        <v>7</v>
      </c>
      <c r="D22" s="32" t="s">
        <v>32</v>
      </c>
      <c r="E22" s="32">
        <v>100</v>
      </c>
      <c r="F22" s="33">
        <v>0.2</v>
      </c>
      <c r="G22" s="33">
        <v>0.05</v>
      </c>
      <c r="H22" s="32">
        <v>100</v>
      </c>
      <c r="I22" s="32">
        <v>1</v>
      </c>
      <c r="J22" s="34">
        <v>0</v>
      </c>
      <c r="L22" s="6" t="s">
        <v>25</v>
      </c>
      <c r="M22" s="7" cm="1">
        <f t="array" aca="1" ref="M22" ca="1">GetBSOptionPortfolioPrice(B22:J26)</f>
        <v>20.901150830870165</v>
      </c>
      <c r="O22" s="6" t="s">
        <v>25</v>
      </c>
      <c r="P22" s="59" cm="1">
        <f t="array" aca="1" ref="P22" ca="1">GetMCEurOptionPortfolioPrice(B22:J26)</f>
        <v>10.436318004723057</v>
      </c>
      <c r="R22" s="26">
        <v>1</v>
      </c>
      <c r="S22" s="41" t="s">
        <v>16</v>
      </c>
      <c r="T22" s="41" t="s">
        <v>29</v>
      </c>
      <c r="U22" s="41">
        <v>100</v>
      </c>
      <c r="V22" s="55">
        <v>44989</v>
      </c>
      <c r="W22" s="44" t="s">
        <v>0</v>
      </c>
      <c r="X22" s="46">
        <v>0</v>
      </c>
      <c r="Z22" s="6" t="s">
        <v>25</v>
      </c>
      <c r="AA22" s="7" cm="1">
        <f t="array" aca="1" ref="AA22" ca="1">GetOptionPortfolioPrice(R22:X26)</f>
        <v>61.985324987694256</v>
      </c>
    </row>
    <row r="23" spans="2:27" ht="15" thickBot="1" x14ac:dyDescent="0.35">
      <c r="B23" s="19">
        <v>0</v>
      </c>
      <c r="C23" s="35" t="s">
        <v>7</v>
      </c>
      <c r="D23" s="35" t="s">
        <v>31</v>
      </c>
      <c r="E23" s="35">
        <v>100</v>
      </c>
      <c r="F23" s="36">
        <v>0.2</v>
      </c>
      <c r="G23" s="36">
        <v>0.05</v>
      </c>
      <c r="H23" s="35">
        <v>100</v>
      </c>
      <c r="I23" s="35">
        <v>2</v>
      </c>
      <c r="J23" s="37">
        <v>0</v>
      </c>
      <c r="R23" s="27">
        <v>0</v>
      </c>
      <c r="S23" s="42" t="s">
        <v>20</v>
      </c>
      <c r="T23" s="42" t="s">
        <v>28</v>
      </c>
      <c r="U23" s="42">
        <v>100</v>
      </c>
      <c r="V23" s="56">
        <v>44989</v>
      </c>
      <c r="W23" s="10" t="s">
        <v>2</v>
      </c>
      <c r="X23" s="47">
        <v>0</v>
      </c>
    </row>
    <row r="24" spans="2:27" x14ac:dyDescent="0.3">
      <c r="B24" s="19">
        <v>0</v>
      </c>
      <c r="C24" s="35" t="s">
        <v>7</v>
      </c>
      <c r="D24" s="35" t="s">
        <v>31</v>
      </c>
      <c r="E24" s="35">
        <v>100</v>
      </c>
      <c r="F24" s="36">
        <v>0.2</v>
      </c>
      <c r="G24" s="36">
        <v>0.05</v>
      </c>
      <c r="H24" s="35">
        <v>100</v>
      </c>
      <c r="I24" s="35">
        <v>1</v>
      </c>
      <c r="J24" s="37">
        <v>0</v>
      </c>
      <c r="L24" s="8" t="s">
        <v>4</v>
      </c>
      <c r="M24" s="22" cm="1">
        <f t="array" aca="1" ref="M24" ca="1">GetDeltaOptionPortfolioBS(B22:J26)</f>
        <v>1.2736611720140605</v>
      </c>
      <c r="R24" s="27">
        <v>0</v>
      </c>
      <c r="S24" s="42" t="s">
        <v>16</v>
      </c>
      <c r="T24" s="42" t="s">
        <v>29</v>
      </c>
      <c r="U24" s="42">
        <v>100</v>
      </c>
      <c r="V24" s="56">
        <v>44989</v>
      </c>
      <c r="W24" s="10" t="s">
        <v>0</v>
      </c>
      <c r="X24" s="47">
        <v>0</v>
      </c>
      <c r="Z24" s="8" t="s">
        <v>4</v>
      </c>
      <c r="AA24" s="22" cm="1">
        <f t="array" aca="1" ref="AA24" ca="1">GetDeltaOptionPortfolio(R22:X26)</f>
        <v>1</v>
      </c>
    </row>
    <row r="25" spans="2:27" x14ac:dyDescent="0.3">
      <c r="B25" s="19">
        <v>0</v>
      </c>
      <c r="C25" s="35" t="s">
        <v>7</v>
      </c>
      <c r="D25" s="35" t="s">
        <v>32</v>
      </c>
      <c r="E25" s="35">
        <v>100</v>
      </c>
      <c r="F25" s="36">
        <v>0.01</v>
      </c>
      <c r="G25" s="36">
        <v>0.97</v>
      </c>
      <c r="H25" s="35">
        <v>100</v>
      </c>
      <c r="I25" s="35">
        <v>3</v>
      </c>
      <c r="J25" s="37">
        <v>0</v>
      </c>
      <c r="L25" s="9" t="s">
        <v>5</v>
      </c>
      <c r="M25" s="23" cm="1">
        <f t="array" aca="1" ref="M25" ca="1">GetGammaOptionPortfolioBS(B22:J26)</f>
        <v>3.752403469169379E-2</v>
      </c>
      <c r="R25" s="27">
        <v>0</v>
      </c>
      <c r="S25" s="42" t="s">
        <v>20</v>
      </c>
      <c r="T25" s="42" t="s">
        <v>28</v>
      </c>
      <c r="U25" s="42">
        <v>100</v>
      </c>
      <c r="V25" s="56">
        <v>44989</v>
      </c>
      <c r="W25" s="10" t="s">
        <v>2</v>
      </c>
      <c r="X25" s="47">
        <v>0</v>
      </c>
      <c r="Z25" s="9" t="s">
        <v>5</v>
      </c>
      <c r="AA25" s="23" cm="1">
        <f t="array" aca="1" ref="AA25" ca="1">GetGammaOptionPortfolio(R22:X26)</f>
        <v>0</v>
      </c>
    </row>
    <row r="26" spans="2:27" ht="15" thickBot="1" x14ac:dyDescent="0.35">
      <c r="B26" s="20">
        <v>0</v>
      </c>
      <c r="C26" s="38" t="s">
        <v>7</v>
      </c>
      <c r="D26" s="38" t="s">
        <v>32</v>
      </c>
      <c r="E26" s="38">
        <v>100</v>
      </c>
      <c r="F26" s="39">
        <v>0.01</v>
      </c>
      <c r="G26" s="39">
        <v>0.97</v>
      </c>
      <c r="H26" s="38">
        <v>100</v>
      </c>
      <c r="I26" s="38">
        <v>1</v>
      </c>
      <c r="J26" s="40">
        <v>0</v>
      </c>
      <c r="L26" s="9" t="s">
        <v>6</v>
      </c>
      <c r="M26" s="23" cm="1">
        <f t="array" aca="1" ref="M26" ca="1">GetThetaOptionPortfolioBS(B22:J26)</f>
        <v>2.1815586198119661</v>
      </c>
      <c r="R26" s="28">
        <v>0</v>
      </c>
      <c r="S26" s="43" t="s">
        <v>16</v>
      </c>
      <c r="T26" s="43" t="s">
        <v>29</v>
      </c>
      <c r="U26" s="43">
        <v>100</v>
      </c>
      <c r="V26" s="57">
        <v>44989</v>
      </c>
      <c r="W26" s="45" t="s">
        <v>0</v>
      </c>
      <c r="X26" s="48">
        <v>0</v>
      </c>
      <c r="Z26" s="9" t="s">
        <v>6</v>
      </c>
      <c r="AA26" s="23" cm="1">
        <f t="array" aca="1" ref="AA26" ca="1">GetThetaOptionPortfolio(R22:X26)</f>
        <v>-36.767714459864607</v>
      </c>
    </row>
    <row r="27" spans="2:27" ht="15" thickBot="1" x14ac:dyDescent="0.35">
      <c r="L27" s="11" t="s">
        <v>26</v>
      </c>
      <c r="M27" s="24" cm="1">
        <f t="array" aca="1" ref="M27" ca="1">GetVegaOptionPortfolioBS(B22:J26)</f>
        <v>75.048069383387585</v>
      </c>
      <c r="Z27" s="11" t="s">
        <v>26</v>
      </c>
      <c r="AA27" s="24" cm="1">
        <f t="array" aca="1" ref="AA27" ca="1">GetVegaOptionPortfolio(R22:X26)</f>
        <v>0</v>
      </c>
    </row>
  </sheetData>
  <mergeCells count="10">
    <mergeCell ref="I5:J5"/>
    <mergeCell ref="C5:D5"/>
    <mergeCell ref="F5:G5"/>
    <mergeCell ref="B20:J20"/>
    <mergeCell ref="R20:X20"/>
    <mergeCell ref="U5:V5"/>
    <mergeCell ref="Z20:AA20"/>
    <mergeCell ref="L20:M20"/>
    <mergeCell ref="O20:P20"/>
    <mergeCell ref="R5:S5"/>
  </mergeCells>
  <dataValidations disablePrompts="1" count="1">
    <dataValidation allowBlank="1" showDropDown="1" showInputMessage="1" showErrorMessage="1" sqref="D16 S14 D7 S7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urrentRegionCalculate">
                <anchor moveWithCells="1" sizeWithCells="1">
                  <from>
                    <xdr:col>12</xdr:col>
                    <xdr:colOff>45720</xdr:colOff>
                    <xdr:row>11</xdr:row>
                    <xdr:rowOff>76200</xdr:rowOff>
                  </from>
                  <to>
                    <xdr:col>15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2"/>
  <sheetViews>
    <sheetView showGridLines="0" topLeftCell="B2" workbookViewId="0">
      <selection activeCell="E18" sqref="E18"/>
    </sheetView>
  </sheetViews>
  <sheetFormatPr baseColWidth="10" defaultRowHeight="14.4" x14ac:dyDescent="0.3"/>
  <sheetData>
    <row r="6" spans="2:17" ht="15" thickBot="1" x14ac:dyDescent="0.35"/>
    <row r="7" spans="2:17" ht="15" thickBot="1" x14ac:dyDescent="0.35">
      <c r="B7" s="73" t="s">
        <v>49</v>
      </c>
      <c r="C7" s="74">
        <f ca="1">TODAY()</f>
        <v>45357</v>
      </c>
      <c r="D7" s="75"/>
      <c r="E7" s="75"/>
      <c r="F7" s="76"/>
      <c r="G7" s="77"/>
      <c r="H7" s="77"/>
      <c r="I7" s="77"/>
      <c r="J7" s="77"/>
      <c r="K7" s="76" t="s">
        <v>50</v>
      </c>
      <c r="L7" s="77"/>
      <c r="M7" s="77"/>
      <c r="N7" s="77"/>
      <c r="O7" s="77"/>
      <c r="P7" s="77"/>
      <c r="Q7" s="78"/>
    </row>
    <row r="8" spans="2:17" ht="22.2" thickBot="1" x14ac:dyDescent="0.35">
      <c r="B8" s="79" t="s">
        <v>51</v>
      </c>
      <c r="C8" s="80" t="s">
        <v>52</v>
      </c>
      <c r="D8" s="81" t="s">
        <v>53</v>
      </c>
      <c r="E8" s="81" t="s">
        <v>54</v>
      </c>
      <c r="F8" s="82" t="s">
        <v>55</v>
      </c>
      <c r="G8" s="83" t="s">
        <v>56</v>
      </c>
      <c r="H8" s="83" t="s">
        <v>57</v>
      </c>
      <c r="I8" s="83" t="s">
        <v>58</v>
      </c>
      <c r="J8" s="83" t="s">
        <v>59</v>
      </c>
      <c r="K8" s="83" t="s">
        <v>60</v>
      </c>
      <c r="L8" s="83" t="s">
        <v>61</v>
      </c>
      <c r="M8" s="83" t="s">
        <v>62</v>
      </c>
      <c r="N8" s="83" t="s">
        <v>63</v>
      </c>
      <c r="O8" s="83" t="s">
        <v>64</v>
      </c>
      <c r="P8" s="83" t="s">
        <v>65</v>
      </c>
      <c r="Q8" s="84" t="s">
        <v>66</v>
      </c>
    </row>
    <row r="9" spans="2:17" x14ac:dyDescent="0.3">
      <c r="B9" s="85" t="s">
        <v>67</v>
      </c>
      <c r="C9" s="86" t="s">
        <v>43</v>
      </c>
      <c r="D9" s="86">
        <v>165.5616</v>
      </c>
      <c r="E9" s="87">
        <v>6</v>
      </c>
      <c r="F9" s="88">
        <v>9.7800000000000005E-3</v>
      </c>
      <c r="G9" s="89">
        <v>1.034E-2</v>
      </c>
      <c r="H9" s="89">
        <v>1.1040000000000001E-2</v>
      </c>
      <c r="I9" s="89">
        <v>1.2070000000000001E-2</v>
      </c>
      <c r="J9" s="89">
        <v>1.3089999999999999E-2</v>
      </c>
      <c r="K9" s="89">
        <v>1.41E-2</v>
      </c>
      <c r="L9" s="89">
        <v>1.5089999999999999E-2</v>
      </c>
      <c r="M9" s="89">
        <v>1.6040000000000002E-2</v>
      </c>
      <c r="N9" s="89">
        <v>1.6979999999999999E-2</v>
      </c>
      <c r="O9" s="89">
        <v>1.787E-2</v>
      </c>
      <c r="P9" s="89">
        <v>2.1237499999999999E-2</v>
      </c>
      <c r="Q9" s="90">
        <v>2.3387500000000002E-2</v>
      </c>
    </row>
    <row r="10" spans="2:17" x14ac:dyDescent="0.3">
      <c r="B10" s="91" t="s">
        <v>68</v>
      </c>
      <c r="C10" s="92" t="s">
        <v>44</v>
      </c>
      <c r="D10" s="92">
        <v>1</v>
      </c>
      <c r="E10" s="93">
        <v>12</v>
      </c>
      <c r="F10" s="94">
        <v>4.6260000000000003E-2</v>
      </c>
      <c r="G10" s="95">
        <v>4.5110000000000004E-2</v>
      </c>
      <c r="H10" s="95">
        <v>4.4720000000000003E-2</v>
      </c>
      <c r="I10" s="95">
        <v>4.4595000000000003E-2</v>
      </c>
      <c r="J10" s="95">
        <v>4.4637900000000001E-2</v>
      </c>
      <c r="K10" s="95">
        <v>4.4790000000000003E-2</v>
      </c>
      <c r="L10" s="95">
        <v>4.5034999999999999E-2</v>
      </c>
      <c r="M10" s="95">
        <v>4.5289999999999997E-2</v>
      </c>
      <c r="N10" s="95">
        <v>4.5590099999999995E-2</v>
      </c>
      <c r="O10" s="95">
        <v>4.5885599999999999E-2</v>
      </c>
      <c r="P10" s="95">
        <v>4.7114099999999999E-2</v>
      </c>
      <c r="Q10" s="96">
        <v>4.7579999999999997E-2</v>
      </c>
    </row>
    <row r="11" spans="2:17" ht="15" thickBot="1" x14ac:dyDescent="0.35">
      <c r="B11" s="97" t="s">
        <v>69</v>
      </c>
      <c r="C11" s="98" t="s">
        <v>45</v>
      </c>
      <c r="D11" s="98">
        <v>1.4422999999999999</v>
      </c>
      <c r="E11" s="99">
        <v>12</v>
      </c>
      <c r="F11" s="100">
        <v>4.5525000000000003E-2</v>
      </c>
      <c r="G11" s="101">
        <v>4.4480000000000006E-2</v>
      </c>
      <c r="H11" s="101">
        <v>4.5114999999999995E-2</v>
      </c>
      <c r="I11" s="101">
        <v>4.6085000000000001E-2</v>
      </c>
      <c r="J11" s="101">
        <v>4.7004999999999998E-2</v>
      </c>
      <c r="K11" s="101">
        <v>4.7800000000000002E-2</v>
      </c>
      <c r="L11" s="101">
        <v>4.8494999999999996E-2</v>
      </c>
      <c r="M11" s="101">
        <v>4.9075000000000001E-2</v>
      </c>
      <c r="N11" s="101">
        <v>4.9610000000000001E-2</v>
      </c>
      <c r="O11" s="101">
        <v>5.008E-2</v>
      </c>
      <c r="P11" s="101">
        <v>5.1595000000000002E-2</v>
      </c>
      <c r="Q11" s="102">
        <v>5.2305000000000004E-2</v>
      </c>
    </row>
    <row r="12" spans="2:17" ht="15" thickBot="1" x14ac:dyDescent="0.3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</row>
    <row r="13" spans="2:17" ht="15" thickBot="1" x14ac:dyDescent="0.35">
      <c r="B13" s="103"/>
      <c r="C13" s="103"/>
      <c r="D13" s="103"/>
      <c r="E13" s="103"/>
      <c r="F13" s="171" t="s">
        <v>70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3"/>
    </row>
    <row r="14" spans="2:17" x14ac:dyDescent="0.3">
      <c r="B14" s="105" t="s">
        <v>67</v>
      </c>
      <c r="C14" s="106" t="s">
        <v>71</v>
      </c>
      <c r="D14" s="106" t="s">
        <v>71</v>
      </c>
      <c r="E14" s="107" t="s">
        <v>71</v>
      </c>
      <c r="F14" s="108" cm="1">
        <f t="array" aca="1" ref="F14" ca="1">GetStripZC(C7,B9,F9:Q9,$F$8:$Q$8,E9,MATCH(C9,Swap_Convention,0)-1,D9)</f>
        <v>0</v>
      </c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10"/>
    </row>
    <row r="15" spans="2:17" x14ac:dyDescent="0.3">
      <c r="B15" s="111" t="s">
        <v>68</v>
      </c>
      <c r="C15" s="103" t="s">
        <v>71</v>
      </c>
      <c r="D15" s="103" t="s">
        <v>71</v>
      </c>
      <c r="E15" s="112" t="s">
        <v>71</v>
      </c>
      <c r="F15" s="113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5"/>
    </row>
    <row r="16" spans="2:17" ht="15" thickBot="1" x14ac:dyDescent="0.35">
      <c r="B16" s="116" t="s">
        <v>69</v>
      </c>
      <c r="C16" s="117" t="s">
        <v>71</v>
      </c>
      <c r="D16" s="117" t="s">
        <v>71</v>
      </c>
      <c r="E16" s="118" t="s">
        <v>71</v>
      </c>
      <c r="F16" s="119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1"/>
    </row>
    <row r="22" spans="6:6" x14ac:dyDescent="0.3">
      <c r="F22">
        <f ca="1">Parameter_Date</f>
        <v>45357</v>
      </c>
    </row>
  </sheetData>
  <mergeCells count="1">
    <mergeCell ref="F13:Q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1941-CF55-4CA0-927F-8D159A42E1E5}">
  <sheetPr codeName="Feuil4"/>
  <dimension ref="A4:AE14"/>
  <sheetViews>
    <sheetView workbookViewId="0">
      <selection activeCell="J24" sqref="J24"/>
    </sheetView>
  </sheetViews>
  <sheetFormatPr baseColWidth="10" defaultRowHeight="14.4" x14ac:dyDescent="0.3"/>
  <sheetData>
    <row r="4" spans="1:31" ht="15" thickBot="1" x14ac:dyDescent="0.35">
      <c r="A4" s="103"/>
      <c r="B4" s="103"/>
      <c r="C4" s="103"/>
      <c r="D4" s="103"/>
      <c r="E4" s="112"/>
      <c r="F4" s="112"/>
      <c r="G4" s="112"/>
      <c r="H4" s="112"/>
      <c r="I4" s="112"/>
      <c r="J4" s="112"/>
      <c r="K4" s="112"/>
      <c r="L4" s="124"/>
      <c r="M4" s="112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</row>
    <row r="5" spans="1:31" ht="15" thickBot="1" x14ac:dyDescent="0.35">
      <c r="A5" s="103"/>
      <c r="B5" s="73" t="s">
        <v>72</v>
      </c>
      <c r="C5" s="174" t="b">
        <v>1</v>
      </c>
      <c r="D5" s="175"/>
      <c r="E5" s="112"/>
      <c r="F5" s="112"/>
      <c r="G5" s="112"/>
      <c r="H5" s="112"/>
      <c r="I5" s="112"/>
      <c r="J5" s="112"/>
      <c r="K5" s="112"/>
      <c r="L5" s="124"/>
      <c r="M5" s="112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1" ht="15" thickBot="1" x14ac:dyDescent="0.35">
      <c r="A6" s="103"/>
      <c r="B6" s="125" t="s">
        <v>73</v>
      </c>
      <c r="C6" s="176">
        <v>43636</v>
      </c>
      <c r="D6" s="177"/>
      <c r="E6" s="112"/>
      <c r="F6" s="112"/>
      <c r="G6" s="178" t="s">
        <v>74</v>
      </c>
      <c r="H6" s="179"/>
      <c r="I6" s="179"/>
      <c r="J6" s="180" t="b">
        <v>1</v>
      </c>
      <c r="K6" s="181"/>
      <c r="L6" s="126"/>
      <c r="M6" s="112"/>
      <c r="N6" s="178" t="s">
        <v>75</v>
      </c>
      <c r="O6" s="179"/>
      <c r="P6" s="182"/>
      <c r="Q6" s="127" t="b">
        <v>0</v>
      </c>
      <c r="R6" s="103"/>
      <c r="S6" s="103"/>
      <c r="T6" s="178" t="s">
        <v>76</v>
      </c>
      <c r="U6" s="179"/>
      <c r="V6" s="182"/>
      <c r="W6" s="128" t="s">
        <v>77</v>
      </c>
      <c r="X6" s="103"/>
      <c r="Y6" s="103"/>
      <c r="Z6" s="103"/>
      <c r="AA6" s="103"/>
      <c r="AB6" s="103"/>
      <c r="AC6" s="103"/>
      <c r="AD6" s="103"/>
      <c r="AE6" s="103"/>
    </row>
    <row r="7" spans="1:31" ht="15" thickBot="1" x14ac:dyDescent="0.35">
      <c r="A7" s="103"/>
      <c r="B7" s="103" t="s">
        <v>78</v>
      </c>
      <c r="C7" s="103"/>
      <c r="D7" s="103"/>
      <c r="E7" s="112"/>
      <c r="F7" s="112"/>
      <c r="G7" s="112"/>
      <c r="H7" s="112"/>
      <c r="I7" s="112"/>
      <c r="J7" s="112"/>
      <c r="K7" s="112"/>
      <c r="L7" s="112"/>
      <c r="M7" s="112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1" ht="15" thickBot="1" x14ac:dyDescent="0.35">
      <c r="A8" s="129"/>
      <c r="B8" s="130"/>
      <c r="C8" s="131"/>
      <c r="D8" s="131"/>
      <c r="E8" s="132" t="s">
        <v>79</v>
      </c>
      <c r="F8" s="80"/>
      <c r="G8" s="80"/>
      <c r="H8" s="80"/>
      <c r="I8" s="80"/>
      <c r="J8" s="80"/>
      <c r="K8" s="80"/>
      <c r="L8" s="80"/>
      <c r="M8" s="133"/>
      <c r="N8" s="134" t="s">
        <v>80</v>
      </c>
      <c r="O8" s="80"/>
      <c r="P8" s="80"/>
      <c r="Q8" s="80"/>
      <c r="R8" s="80"/>
      <c r="S8" s="80"/>
      <c r="T8" s="80"/>
      <c r="U8" s="80"/>
      <c r="V8" s="104"/>
      <c r="W8" s="171" t="s">
        <v>81</v>
      </c>
      <c r="X8" s="172"/>
      <c r="Y8" s="172"/>
      <c r="Z8" s="172"/>
      <c r="AA8" s="172"/>
      <c r="AB8" s="172"/>
      <c r="AC8" s="172"/>
      <c r="AD8" s="172"/>
      <c r="AE8" s="173"/>
    </row>
    <row r="9" spans="1:31" ht="15" thickBot="1" x14ac:dyDescent="0.35">
      <c r="A9" s="135" t="s">
        <v>82</v>
      </c>
      <c r="B9" s="130" t="s">
        <v>83</v>
      </c>
      <c r="C9" s="136" t="s">
        <v>84</v>
      </c>
      <c r="D9" s="136" t="s">
        <v>85</v>
      </c>
      <c r="E9" s="137" t="s">
        <v>86</v>
      </c>
      <c r="F9" s="138" t="s">
        <v>87</v>
      </c>
      <c r="G9" s="138" t="s">
        <v>55</v>
      </c>
      <c r="H9" s="138" t="s">
        <v>56</v>
      </c>
      <c r="I9" s="138" t="s">
        <v>57</v>
      </c>
      <c r="J9" s="138" t="s">
        <v>58</v>
      </c>
      <c r="K9" s="138" t="s">
        <v>59</v>
      </c>
      <c r="L9" s="138" t="s">
        <v>61</v>
      </c>
      <c r="M9" s="139" t="s">
        <v>64</v>
      </c>
      <c r="N9" s="138" t="s">
        <v>86</v>
      </c>
      <c r="O9" s="138" t="s">
        <v>87</v>
      </c>
      <c r="P9" s="138" t="s">
        <v>55</v>
      </c>
      <c r="Q9" s="138" t="s">
        <v>56</v>
      </c>
      <c r="R9" s="138" t="s">
        <v>57</v>
      </c>
      <c r="S9" s="138" t="s">
        <v>58</v>
      </c>
      <c r="T9" s="138" t="s">
        <v>59</v>
      </c>
      <c r="U9" s="138" t="s">
        <v>61</v>
      </c>
      <c r="V9" s="138" t="s">
        <v>64</v>
      </c>
      <c r="W9" s="137" t="s">
        <v>86</v>
      </c>
      <c r="X9" s="138" t="s">
        <v>87</v>
      </c>
      <c r="Y9" s="138" t="s">
        <v>55</v>
      </c>
      <c r="Z9" s="138" t="s">
        <v>56</v>
      </c>
      <c r="AA9" s="138" t="s">
        <v>57</v>
      </c>
      <c r="AB9" s="138" t="s">
        <v>58</v>
      </c>
      <c r="AC9" s="138" t="s">
        <v>59</v>
      </c>
      <c r="AD9" s="138" t="s">
        <v>61</v>
      </c>
      <c r="AE9" s="140" t="s">
        <v>64</v>
      </c>
    </row>
    <row r="10" spans="1:31" ht="15" thickBot="1" x14ac:dyDescent="0.35">
      <c r="A10" s="135" t="s">
        <v>88</v>
      </c>
      <c r="B10" s="130"/>
      <c r="C10" s="136" t="s">
        <v>89</v>
      </c>
      <c r="D10" s="136"/>
      <c r="E10" s="141">
        <v>43728</v>
      </c>
      <c r="F10" s="142">
        <v>43819</v>
      </c>
      <c r="G10" s="142">
        <v>44002</v>
      </c>
      <c r="H10" s="142">
        <v>44367</v>
      </c>
      <c r="I10" s="142">
        <v>44732</v>
      </c>
      <c r="J10" s="142">
        <v>45097</v>
      </c>
      <c r="K10" s="142">
        <v>45463</v>
      </c>
      <c r="L10" s="142">
        <v>46193</v>
      </c>
      <c r="M10" s="143">
        <v>47289</v>
      </c>
      <c r="N10" s="138"/>
      <c r="O10" s="138"/>
      <c r="P10" s="138"/>
      <c r="Q10" s="138"/>
      <c r="R10" s="138"/>
      <c r="S10" s="138"/>
      <c r="T10" s="138"/>
      <c r="U10" s="138"/>
      <c r="V10" s="138"/>
      <c r="W10" s="137"/>
      <c r="X10" s="138"/>
      <c r="Y10" s="138"/>
      <c r="Z10" s="138"/>
      <c r="AA10" s="138"/>
      <c r="AB10" s="138"/>
      <c r="AC10" s="138"/>
      <c r="AD10" s="138"/>
      <c r="AE10" s="140"/>
    </row>
    <row r="11" spans="1:31" x14ac:dyDescent="0.3">
      <c r="A11" s="144">
        <v>1</v>
      </c>
      <c r="B11" s="86" t="s">
        <v>90</v>
      </c>
      <c r="C11" s="145">
        <v>0.4</v>
      </c>
      <c r="D11" s="87" t="s">
        <v>68</v>
      </c>
      <c r="E11" s="146"/>
      <c r="F11" s="147">
        <v>1.33E-3</v>
      </c>
      <c r="G11" s="147">
        <v>2E-3</v>
      </c>
      <c r="H11" s="147">
        <v>2.5999999999999999E-3</v>
      </c>
      <c r="I11" s="147">
        <v>3.16E-3</v>
      </c>
      <c r="J11" s="147" t="s">
        <v>91</v>
      </c>
      <c r="K11" s="148">
        <v>4.0000000000000001E-3</v>
      </c>
      <c r="L11" s="147">
        <v>4.4000000000000003E-3</v>
      </c>
      <c r="M11" s="147">
        <v>4.7999999999999996E-3</v>
      </c>
      <c r="N11" s="149" t="s">
        <v>91</v>
      </c>
      <c r="O11" s="150">
        <v>1.5639376191282084E-3</v>
      </c>
      <c r="P11" s="150">
        <v>4.0508177176392657E-3</v>
      </c>
      <c r="Q11" s="150">
        <v>9.6527215061271709E-3</v>
      </c>
      <c r="R11" s="150">
        <v>1.7095534568900783E-2</v>
      </c>
      <c r="S11" s="150" t="s">
        <v>91</v>
      </c>
      <c r="T11" s="150">
        <v>3.5212823352670397E-2</v>
      </c>
      <c r="U11" s="150">
        <v>5.3374612505374674E-2</v>
      </c>
      <c r="V11" s="151">
        <v>8.192423179788122E-2</v>
      </c>
      <c r="W11" s="149" t="s">
        <v>91</v>
      </c>
      <c r="X11" s="150">
        <v>1.6814212966349551E-3</v>
      </c>
      <c r="Y11" s="150">
        <v>4.251843120349208E-3</v>
      </c>
      <c r="Z11" s="150">
        <v>1.013203268313223E-2</v>
      </c>
      <c r="AA11" s="150">
        <v>1.7942708512716954E-2</v>
      </c>
      <c r="AB11" s="150" t="s">
        <v>91</v>
      </c>
      <c r="AC11" s="150">
        <v>3.6943091924499849E-2</v>
      </c>
      <c r="AD11" s="150">
        <v>5.5976448512620736E-2</v>
      </c>
      <c r="AE11" s="151">
        <v>8.5854542459613103E-2</v>
      </c>
    </row>
    <row r="12" spans="1:31" x14ac:dyDescent="0.3">
      <c r="A12" s="152">
        <v>2</v>
      </c>
      <c r="B12" s="92" t="s">
        <v>92</v>
      </c>
      <c r="C12" s="153">
        <v>0.4</v>
      </c>
      <c r="D12" s="93" t="s">
        <v>68</v>
      </c>
      <c r="E12" s="154" t="s">
        <v>91</v>
      </c>
      <c r="F12" s="155">
        <v>8.0000000000000004E-4</v>
      </c>
      <c r="G12" s="155">
        <v>1.1000000000000001E-3</v>
      </c>
      <c r="H12" s="155">
        <v>1.6000000000000001E-3</v>
      </c>
      <c r="I12" s="155">
        <v>2.3E-3</v>
      </c>
      <c r="J12" s="155" t="s">
        <v>91</v>
      </c>
      <c r="K12" s="155">
        <v>3.5999999999999999E-3</v>
      </c>
      <c r="L12" s="155">
        <v>4.3E-3</v>
      </c>
      <c r="M12" s="155">
        <v>5.3E-3</v>
      </c>
      <c r="N12" s="156" t="s">
        <v>91</v>
      </c>
      <c r="O12" s="157">
        <v>9.4100633706173387E-4</v>
      </c>
      <c r="P12" s="157">
        <v>2.228284751959464E-3</v>
      </c>
      <c r="Q12" s="157">
        <v>5.9639435030418575E-3</v>
      </c>
      <c r="R12" s="157">
        <v>1.2569096459324469E-2</v>
      </c>
      <c r="S12" s="157" t="s">
        <v>91</v>
      </c>
      <c r="T12" s="157">
        <v>3.2230673549960009E-2</v>
      </c>
      <c r="U12" s="157">
        <v>5.3132562507917758E-2</v>
      </c>
      <c r="V12" s="158">
        <v>9.3172742526791419E-2</v>
      </c>
      <c r="W12" s="156" t="s">
        <v>91</v>
      </c>
      <c r="X12" s="157">
        <v>1.0585674487949559E-3</v>
      </c>
      <c r="Y12" s="157">
        <v>2.4296489701292057E-3</v>
      </c>
      <c r="Z12" s="157">
        <v>6.3315368536315253E-3</v>
      </c>
      <c r="AA12" s="157">
        <v>1.3185108428036885E-2</v>
      </c>
      <c r="AB12" s="157" t="s">
        <v>91</v>
      </c>
      <c r="AC12" s="157">
        <v>3.3817903070479827E-2</v>
      </c>
      <c r="AD12" s="157">
        <v>5.5722730143630494E-2</v>
      </c>
      <c r="AE12" s="158">
        <v>9.7660002994953365E-2</v>
      </c>
    </row>
    <row r="13" spans="1:31" x14ac:dyDescent="0.3">
      <c r="A13" s="152">
        <v>3</v>
      </c>
      <c r="B13" s="92" t="s">
        <v>93</v>
      </c>
      <c r="C13" s="153">
        <v>0.4</v>
      </c>
      <c r="D13" s="93" t="s">
        <v>68</v>
      </c>
      <c r="E13" s="154" t="s">
        <v>91</v>
      </c>
      <c r="F13" s="155">
        <v>5.9999999999999995E-4</v>
      </c>
      <c r="G13" s="155">
        <v>1E-3</v>
      </c>
      <c r="H13" s="155">
        <v>1.8E-3</v>
      </c>
      <c r="I13" s="155">
        <v>2.7000000000000001E-3</v>
      </c>
      <c r="J13" s="155" t="s">
        <v>91</v>
      </c>
      <c r="K13" s="155">
        <v>4.0000000000000001E-3</v>
      </c>
      <c r="L13" s="155">
        <v>5.1000000000000004E-3</v>
      </c>
      <c r="M13" s="155">
        <v>6.1999999999999998E-3</v>
      </c>
      <c r="N13" s="156" t="s">
        <v>91</v>
      </c>
      <c r="O13" s="157">
        <v>7.0583742388907744E-4</v>
      </c>
      <c r="P13" s="157">
        <v>2.0304567700080156E-3</v>
      </c>
      <c r="Q13" s="157">
        <v>6.7391246623260681E-3</v>
      </c>
      <c r="R13" s="157">
        <v>1.4794385971696467E-2</v>
      </c>
      <c r="S13" s="157" t="s">
        <v>91</v>
      </c>
      <c r="T13" s="157">
        <v>3.5716665736367115E-2</v>
      </c>
      <c r="U13" s="157">
        <v>6.3208699467098395E-2</v>
      </c>
      <c r="V13" s="158">
        <v>0.10820435355782332</v>
      </c>
      <c r="W13" s="156" t="s">
        <v>91</v>
      </c>
      <c r="X13" s="157">
        <v>8.2342719960870614E-4</v>
      </c>
      <c r="Y13" s="157">
        <v>2.2318745001562723E-3</v>
      </c>
      <c r="Z13" s="157">
        <v>7.1065788038230382E-3</v>
      </c>
      <c r="AA13" s="157">
        <v>1.5522087675874041E-2</v>
      </c>
      <c r="AB13" s="157" t="s">
        <v>91</v>
      </c>
      <c r="AC13" s="157">
        <v>3.747079792266006E-2</v>
      </c>
      <c r="AD13" s="157">
        <v>6.6286832132582907E-2</v>
      </c>
      <c r="AE13" s="158">
        <v>0.11337775693919061</v>
      </c>
    </row>
    <row r="14" spans="1:31" x14ac:dyDescent="0.3">
      <c r="A14" s="152">
        <v>4</v>
      </c>
      <c r="B14" s="92" t="s">
        <v>94</v>
      </c>
      <c r="C14" s="153">
        <v>0.4</v>
      </c>
      <c r="D14" s="93" t="s">
        <v>68</v>
      </c>
      <c r="E14" s="154" t="s">
        <v>91</v>
      </c>
      <c r="F14" s="155">
        <v>1.2600000000000001E-3</v>
      </c>
      <c r="G14" s="155">
        <v>1.7700000000000001E-3</v>
      </c>
      <c r="H14" s="155">
        <v>2.3999999999999998E-3</v>
      </c>
      <c r="I14" s="155">
        <v>2.9099999999999998E-3</v>
      </c>
      <c r="J14" s="155" t="s">
        <v>91</v>
      </c>
      <c r="K14" s="155">
        <v>3.8E-3</v>
      </c>
      <c r="L14" s="155">
        <v>4.2599999999999999E-3</v>
      </c>
      <c r="M14" s="155">
        <v>4.5999999999999999E-3</v>
      </c>
      <c r="N14" s="156" t="s">
        <v>91</v>
      </c>
      <c r="O14" s="157">
        <v>1.4816858337847183E-3</v>
      </c>
      <c r="P14" s="157">
        <v>3.584320117853701E-3</v>
      </c>
      <c r="Q14" s="157">
        <v>8.9177451639731453E-3</v>
      </c>
      <c r="R14" s="157">
        <v>1.5766880570418973E-2</v>
      </c>
      <c r="S14" s="157" t="s">
        <v>91</v>
      </c>
      <c r="T14" s="157">
        <v>3.3586872644830734E-2</v>
      </c>
      <c r="U14" s="157">
        <v>5.1907613002356467E-2</v>
      </c>
      <c r="V14" s="158">
        <v>7.8707926653956539E-2</v>
      </c>
      <c r="W14" s="156" t="s">
        <v>91</v>
      </c>
      <c r="X14" s="157">
        <v>1.5991798639143351E-3</v>
      </c>
      <c r="Y14" s="157">
        <v>3.7854391165837997E-3</v>
      </c>
      <c r="Z14" s="157">
        <v>9.3604601351430228E-3</v>
      </c>
      <c r="AA14" s="157">
        <v>1.6548053443376842E-2</v>
      </c>
      <c r="AB14" s="157" t="s">
        <v>91</v>
      </c>
      <c r="AC14" s="157">
        <v>3.5241256859172898E-2</v>
      </c>
      <c r="AD14" s="157">
        <v>5.4442658950080602E-2</v>
      </c>
      <c r="AE14" s="158">
        <v>8.2500837596500398E-2</v>
      </c>
    </row>
  </sheetData>
  <mergeCells count="7">
    <mergeCell ref="W8:AE8"/>
    <mergeCell ref="C5:D5"/>
    <mergeCell ref="C6:D6"/>
    <mergeCell ref="G6:I6"/>
    <mergeCell ref="J6:K6"/>
    <mergeCell ref="N6:P6"/>
    <mergeCell ref="T6:V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Parametres</vt:lpstr>
      <vt:lpstr>Option</vt:lpstr>
      <vt:lpstr>StrippIRS</vt:lpstr>
      <vt:lpstr>Feuil2</vt:lpstr>
      <vt:lpstr>optionFlag</vt:lpstr>
      <vt:lpstr>optionPosition</vt:lpstr>
      <vt:lpstr>Parameter_Date</vt:lpstr>
      <vt:lpstr>Swap_Convention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2024-03-07T13:37:33Z</dcterms:modified>
</cp:coreProperties>
</file>