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.baduet\OneDrive - AXIS ALTERNATIVES\Documents\mon pricing\projet\Valo\common\"/>
    </mc:Choice>
  </mc:AlternateContent>
  <xr:revisionPtr revIDLastSave="0" documentId="13_ncr:1_{B4091B79-B55E-42B1-9A1A-940ACA2FA9FD}" xr6:coauthVersionLast="47" xr6:coauthVersionMax="47" xr10:uidLastSave="{00000000-0000-0000-0000-000000000000}"/>
  <bookViews>
    <workbookView xWindow="-108" yWindow="-108" windowWidth="23256" windowHeight="12456" xr2:uid="{71AFAE33-16CD-4F47-AB4E-C8D72A89D700}"/>
  </bookViews>
  <sheets>
    <sheet name="Option" sheetId="2" r:id="rId1"/>
    <sheet name="Parametres" sheetId="3" r:id="rId2"/>
  </sheets>
  <functionGroups builtInGroupCount="19"/>
  <definedNames>
    <definedName name="optionFlag">Parametres!$B$3:$B$4</definedName>
    <definedName name="optionPosition">Parametres!$D$3:$D$4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2" l="1" a="1"/>
  <c r="M21" i="2"/>
  <c r="P21" i="2" a="1"/>
  <c r="P21" i="2"/>
  <c r="G9" i="2" a="1"/>
  <c r="G9" i="2"/>
  <c r="G7" i="2" a="1"/>
  <c r="G7" i="2"/>
  <c r="J7" i="2" a="1"/>
  <c r="J7" i="2"/>
  <c r="M23" i="2" a="1"/>
  <c r="M23" i="2"/>
  <c r="M24" i="2" a="1"/>
  <c r="M24" i="2"/>
  <c r="M25" i="2" a="1"/>
  <c r="M25" i="2"/>
  <c r="M26" i="2" a="1"/>
  <c r="M26" i="2"/>
  <c r="AA21" i="2" a="1"/>
  <c r="AA21" i="2"/>
  <c r="AA23" i="2" a="1"/>
  <c r="AA23" i="2"/>
  <c r="AA24" i="2" a="1"/>
  <c r="AA24" i="2"/>
  <c r="AA25" i="2" a="1"/>
  <c r="AA25" i="2"/>
  <c r="AA26" i="2" a="1"/>
  <c r="AA26" i="2"/>
  <c r="V9" i="2" a="1"/>
  <c r="V9" i="2"/>
  <c r="V7" i="2" a="1"/>
  <c r="V7" i="2"/>
  <c r="D3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<sst xmlns="http://schemas.openxmlformats.org/spreadsheetml/2006/main" count="112" uniqueCount="45">
  <si>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</si>
  <si>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</si>
  <si>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</si>
  <si>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</si>
  <si>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</si>
  <si>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</si>
  <si>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</si>
  <si>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</si>
  <si>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</si>
  <si>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</si>
  <si>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</si>
  <si>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</si>
  <si>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</si>
  <si>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rho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</si>
  <si>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</si>
  <si>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</si>
  <si>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</si>
  <si>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</si>
  <si>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</si>
  <si>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</si>
  <si>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</si>
  <si>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</si>
  <si>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</si>
  <si>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</si>
  <si>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</si>
  <si>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</si>
  <si>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</si>
  <si>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nbr of option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</si>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</sst>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</cellStyleXfs>
  <cellXfs count="7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2" borderId="7" xfId="2" applyFont="1" applyFill="1" applyBorder="1" applyAlignment="1">
      <alignment horizontal="left"/>
    </xf>
    <xf numFmtId="0" fontId="8" fillId="0" borderId="0" xfId="0" applyFont="1"/>
    <xf numFmtId="0" fontId="9" fillId="3" borderId="5" xfId="0" applyFont="1" applyFill="1" applyBorder="1"/>
    <xf numFmtId="164" fontId="10" fillId="4" borderId="6" xfId="0" applyNumberFormat="1" applyFont="1" applyFill="1" applyBorder="1" applyAlignment="1">
      <alignment horizontal="center"/>
    </xf>
    <xf numFmtId="0" fontId="9" fillId="3" borderId="7" xfId="0" applyFont="1" applyFill="1" applyBorder="1"/>
    <xf numFmtId="0" fontId="9" fillId="3" borderId="1" xfId="0" applyFont="1" applyFill="1" applyBorder="1"/>
    <xf numFmtId="9" fontId="11" fillId="0" borderId="2" xfId="1" applyFont="1" applyBorder="1" applyAlignment="1">
      <alignment horizontal="center"/>
    </xf>
    <xf numFmtId="0" fontId="9" fillId="3" borderId="3" xfId="0" applyFont="1" applyFill="1" applyBorder="1"/>
    <xf numFmtId="0" fontId="8" fillId="0" borderId="0" xfId="0" applyFont="1" applyAlignment="1">
      <alignment horizontal="center"/>
    </xf>
    <xf numFmtId="0" fontId="7" fillId="2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3" fillId="0" borderId="0" xfId="0" applyFont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0" fontId="19" fillId="3" borderId="5" xfId="0" applyFont="1" applyFill="1" applyBorder="1"/>
    <xf numFmtId="164" fontId="10" fillId="4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</cellXfs>
  <cellStyles count="4">
    <cellStyle name="Normal" xfId="0" builtinId="0"/>
    <cellStyle name="Normal 2" xfId="2" xr:uid="{43EB118B-06AD-4387-B81B-417ECB34FEB0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10</xdr:row>
          <xdr:rowOff>121920</xdr:rowOff>
        </xdr:from>
        <xdr:to>
          <xdr:col>15</xdr:col>
          <xdr:colOff>342900</xdr:colOff>
          <xdr:row>12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6"/>
  <sheetViews>
    <sheetView showGridLines="0" tabSelected="1" topLeftCell="A4" zoomScale="97" zoomScaleNormal="400" workbookViewId="0">
      <selection activeCell="O28" sqref="O28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62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67" t="s">
        <v>40</v>
      </c>
      <c r="I2" s="67" t="s">
        <v>16</v>
      </c>
      <c r="T2" s="67" t="s">
        <v>39</v>
      </c>
    </row>
    <row r="3" spans="1:23" s="2" customFormat="1" x14ac:dyDescent="0.3">
      <c r="D3" s="66">
        <f ca="1">SQRT(2*PI()/D13)*0.16/D9</f>
        <v>4.0106052394096002E-3</v>
      </c>
      <c r="Q3" s="63"/>
    </row>
    <row r="4" spans="1:23" ht="28.5" customHeight="1" thickBot="1" x14ac:dyDescent="0.35"/>
    <row r="5" spans="1:23" ht="15" thickBot="1" x14ac:dyDescent="0.35">
      <c r="A5" s="68" t="s">
        <v>18</v>
      </c>
      <c r="C5" s="73" t="s">
        <v>22</v>
      </c>
      <c r="D5" s="75"/>
      <c r="F5" s="71" t="s">
        <v>24</v>
      </c>
      <c r="G5" s="72"/>
      <c r="I5" s="71" t="s">
        <v>23</v>
      </c>
      <c r="J5" s="72"/>
      <c r="R5" s="73" t="s">
        <v>43</v>
      </c>
      <c r="S5" s="75"/>
      <c r="U5" s="71" t="s">
        <v>44</v>
      </c>
      <c r="V5" s="72"/>
    </row>
    <row r="6" spans="1:23" ht="15" thickBot="1" x14ac:dyDescent="0.35">
      <c r="A6" s="69" t="s">
        <v>19</v>
      </c>
    </row>
    <row r="7" spans="1:23" ht="15" thickBot="1" x14ac:dyDescent="0.35">
      <c r="A7" s="70" t="s">
        <v>20</v>
      </c>
      <c r="C7" s="4" t="s">
        <v>15</v>
      </c>
      <c r="D7" s="42" t="s">
        <v>7</v>
      </c>
      <c r="E7" s="5"/>
      <c r="F7" s="6" t="s">
        <v>25</v>
      </c>
      <c r="G7" s="7" cm="1">
        <f t="array" aca="1" ref="G7" ca="1">GetBSOptionPrice(D7,D8,D9,D10,D11,D12,D13,D15)</f>
        <v>10.450575415435083</v>
      </c>
      <c r="I7" s="6" t="s">
        <v>25</v>
      </c>
      <c r="J7" s="7" cm="1">
        <f t="array" aca="1" ref="J7" ca="1">GetMCEurOptionPrice(D7,D8,D9,D10,D11,D12,D13,D15)</f>
        <v>10.378400232948485</v>
      </c>
      <c r="K7" s="1"/>
      <c r="R7" s="4" t="s">
        <v>15</v>
      </c>
      <c r="S7" s="42" t="s">
        <v>7</v>
      </c>
      <c r="T7" s="5"/>
      <c r="U7" s="6" t="s">
        <v>25</v>
      </c>
      <c r="V7" s="7" cm="1">
        <f t="array" aca="1" ref="V7" ca="1">GetOptionPrice(S7,S8,S9,S10,S11,S15)</f>
        <v>61.985324987694256</v>
      </c>
      <c r="W7" s="5"/>
    </row>
    <row r="8" spans="1:23" ht="15" thickBot="1" x14ac:dyDescent="0.35">
      <c r="C8" s="4" t="s">
        <v>29</v>
      </c>
      <c r="D8" s="43" t="s">
        <v>34</v>
      </c>
      <c r="E8" s="5"/>
      <c r="F8" s="5"/>
      <c r="I8" s="5"/>
      <c r="K8" s="1"/>
      <c r="R8" s="8" t="s">
        <v>29</v>
      </c>
      <c r="S8" s="43" t="s">
        <v>31</v>
      </c>
      <c r="T8" s="5"/>
      <c r="U8" s="5"/>
      <c r="V8" s="5"/>
      <c r="W8" s="5"/>
    </row>
    <row r="9" spans="1:23" x14ac:dyDescent="0.3">
      <c r="C9" s="8" t="s">
        <v>11</v>
      </c>
      <c r="D9" s="43">
        <v>100</v>
      </c>
      <c r="E9" s="5"/>
      <c r="F9" s="8" t="s">
        <v>4</v>
      </c>
      <c r="G9" s="23" cm="1">
        <f t="array" aca="1" ref="G9:G13" ca="1">GetSensiOptionBS(D7,D8,D9,D10,D11,D12,D13,D15)</f>
        <v>0.63683058600703024</v>
      </c>
      <c r="R9" s="8" t="s">
        <v>9</v>
      </c>
      <c r="S9" s="43">
        <v>100</v>
      </c>
      <c r="T9" s="5"/>
      <c r="U9" s="8" t="s">
        <v>4</v>
      </c>
      <c r="V9" s="23" cm="1">
        <f t="array" aca="1" ref="V9:V13" ca="1">GetSensiOption(S7,S8,S9,S10,S11,S15)</f>
        <v>1</v>
      </c>
      <c r="W9" s="5"/>
    </row>
    <row r="10" spans="1:23" x14ac:dyDescent="0.3">
      <c r="C10" s="9" t="s">
        <v>3</v>
      </c>
      <c r="D10" s="52">
        <v>0.2</v>
      </c>
      <c r="E10" s="5"/>
      <c r="F10" s="9" t="s">
        <v>5</v>
      </c>
      <c r="G10" s="24">
        <f ca="1"/>
        <v>1.8762017345846895E-2</v>
      </c>
      <c r="R10" s="9" t="s">
        <v>10</v>
      </c>
      <c r="S10" s="59">
        <v>44989</v>
      </c>
      <c r="T10" s="5"/>
      <c r="U10" s="9" t="s">
        <v>5</v>
      </c>
      <c r="V10" s="24">
        <f ca="1"/>
        <v>0</v>
      </c>
      <c r="W10" s="5"/>
    </row>
    <row r="11" spans="1:23" ht="15" thickBot="1" x14ac:dyDescent="0.35">
      <c r="C11" s="9" t="s">
        <v>8</v>
      </c>
      <c r="D11" s="52">
        <v>0.05</v>
      </c>
      <c r="E11" s="5"/>
      <c r="F11" s="9" t="s">
        <v>6</v>
      </c>
      <c r="G11" s="24">
        <f ca="1"/>
        <v>1.090779309905983</v>
      </c>
      <c r="R11" s="11" t="s">
        <v>14</v>
      </c>
      <c r="S11" s="53" t="s">
        <v>0</v>
      </c>
      <c r="T11" s="5"/>
      <c r="U11" s="9" t="s">
        <v>6</v>
      </c>
      <c r="V11" s="24">
        <f ca="1"/>
        <v>-36.767714459864607</v>
      </c>
      <c r="W11" s="5"/>
    </row>
    <row r="12" spans="1:23" ht="15" thickBot="1" x14ac:dyDescent="0.35">
      <c r="C12" s="9" t="s">
        <v>9</v>
      </c>
      <c r="D12" s="43">
        <v>100</v>
      </c>
      <c r="E12" s="5"/>
      <c r="F12" s="11" t="s">
        <v>28</v>
      </c>
      <c r="G12" s="24">
        <f ca="1"/>
        <v>37.524034691693792</v>
      </c>
      <c r="R12" s="5"/>
      <c r="S12" s="5"/>
      <c r="T12" s="5"/>
      <c r="U12" s="11" t="s">
        <v>28</v>
      </c>
      <c r="V12" s="24">
        <f ca="1"/>
        <v>0</v>
      </c>
      <c r="W12" s="5"/>
    </row>
    <row r="13" spans="1:23" ht="15" thickBot="1" x14ac:dyDescent="0.35">
      <c r="C13" s="11" t="s">
        <v>10</v>
      </c>
      <c r="D13" s="44">
        <v>1</v>
      </c>
      <c r="E13" s="5"/>
      <c r="F13" s="11" t="s">
        <v>13</v>
      </c>
      <c r="G13" s="25">
        <f ca="1"/>
        <v>0</v>
      </c>
      <c r="R13" s="5"/>
      <c r="S13" s="5"/>
      <c r="T13" s="5"/>
      <c r="U13" s="11" t="s">
        <v>13</v>
      </c>
      <c r="V13" s="25">
        <f ca="1"/>
        <v>0</v>
      </c>
      <c r="W13" s="5"/>
    </row>
    <row r="14" spans="1:23" ht="15" thickBot="1" x14ac:dyDescent="0.35">
      <c r="C14" s="5"/>
      <c r="D14" s="12"/>
      <c r="E14" s="5"/>
      <c r="F14" s="5"/>
      <c r="R14" s="5"/>
      <c r="S14" s="12"/>
      <c r="T14" s="5"/>
      <c r="U14" s="5"/>
      <c r="V14" s="5"/>
      <c r="W14" s="5"/>
    </row>
    <row r="15" spans="1:23" ht="15" thickBot="1" x14ac:dyDescent="0.35">
      <c r="C15" s="13" t="s">
        <v>12</v>
      </c>
      <c r="D15" s="14">
        <v>0</v>
      </c>
      <c r="E15" s="5"/>
      <c r="F15" s="5"/>
      <c r="G15" s="5"/>
      <c r="R15" s="13" t="s">
        <v>12</v>
      </c>
      <c r="S15" s="22">
        <v>0</v>
      </c>
      <c r="T15" s="5"/>
      <c r="U15" s="5"/>
      <c r="V15" s="5"/>
      <c r="W15" s="5"/>
    </row>
    <row r="16" spans="1:23" x14ac:dyDescent="0.3">
      <c r="P16" s="5"/>
      <c r="Q16" s="64"/>
      <c r="R16" s="5"/>
      <c r="S16" s="5"/>
      <c r="T16" s="5"/>
      <c r="U16" s="5"/>
      <c r="V16" s="5"/>
      <c r="W16" s="5"/>
    </row>
    <row r="17" spans="2:27" s="2" customFormat="1" ht="28.2" customHeight="1" x14ac:dyDescent="0.6">
      <c r="E17" s="3" t="s">
        <v>41</v>
      </c>
      <c r="P17" s="26"/>
      <c r="Q17" s="65"/>
      <c r="R17" s="26"/>
      <c r="S17" s="26"/>
      <c r="T17" s="3" t="s">
        <v>42</v>
      </c>
      <c r="U17" s="26"/>
      <c r="V17" s="26"/>
      <c r="W17" s="26"/>
    </row>
    <row r="18" spans="2:27" ht="15" thickBot="1" x14ac:dyDescent="0.35">
      <c r="P18" s="5"/>
      <c r="Q18" s="64"/>
      <c r="R18" s="5"/>
      <c r="S18" s="5"/>
      <c r="T18" s="5"/>
      <c r="U18" s="5"/>
      <c r="V18" s="5"/>
      <c r="W18" s="5"/>
    </row>
    <row r="19" spans="2:27" ht="15" thickBot="1" x14ac:dyDescent="0.35">
      <c r="B19" s="15"/>
      <c r="C19" s="73" t="s">
        <v>22</v>
      </c>
      <c r="D19" s="74"/>
      <c r="E19" s="74"/>
      <c r="F19" s="74"/>
      <c r="G19" s="74"/>
      <c r="H19" s="74"/>
      <c r="I19" s="74"/>
      <c r="J19" s="75"/>
      <c r="L19" s="73" t="s">
        <v>24</v>
      </c>
      <c r="M19" s="75"/>
      <c r="O19" s="73" t="s">
        <v>23</v>
      </c>
      <c r="P19" s="75"/>
      <c r="R19" s="5"/>
      <c r="S19" s="76" t="s">
        <v>43</v>
      </c>
      <c r="T19" s="77"/>
      <c r="U19" s="77"/>
      <c r="V19" s="77"/>
      <c r="W19" s="77"/>
      <c r="X19" s="78"/>
      <c r="Z19" s="71" t="s">
        <v>44</v>
      </c>
      <c r="AA19" s="72"/>
    </row>
    <row r="20" spans="2:27" ht="15" thickBot="1" x14ac:dyDescent="0.35">
      <c r="B20" s="60" t="s">
        <v>27</v>
      </c>
      <c r="C20" s="16" t="s">
        <v>15</v>
      </c>
      <c r="D20" s="17" t="s">
        <v>29</v>
      </c>
      <c r="E20" s="17" t="s">
        <v>11</v>
      </c>
      <c r="F20" s="17" t="s">
        <v>3</v>
      </c>
      <c r="G20" s="17" t="s">
        <v>8</v>
      </c>
      <c r="H20" s="17" t="s">
        <v>9</v>
      </c>
      <c r="I20" s="17" t="s">
        <v>10</v>
      </c>
      <c r="J20" s="18" t="s">
        <v>12</v>
      </c>
      <c r="R20" s="60" t="s">
        <v>27</v>
      </c>
      <c r="S20" s="30" t="s">
        <v>15</v>
      </c>
      <c r="T20" s="30" t="s">
        <v>38</v>
      </c>
      <c r="U20" s="31" t="s">
        <v>9</v>
      </c>
      <c r="V20" s="31" t="s">
        <v>10</v>
      </c>
      <c r="W20" s="32" t="s">
        <v>14</v>
      </c>
      <c r="X20" s="32" t="s">
        <v>12</v>
      </c>
    </row>
    <row r="21" spans="2:27" ht="15" thickBot="1" x14ac:dyDescent="0.35">
      <c r="B21" s="19">
        <v>1</v>
      </c>
      <c r="C21" s="33" t="s">
        <v>7</v>
      </c>
      <c r="D21" s="33" t="s">
        <v>34</v>
      </c>
      <c r="E21" s="33">
        <v>100</v>
      </c>
      <c r="F21" s="34">
        <v>0.2</v>
      </c>
      <c r="G21" s="34">
        <v>0.05</v>
      </c>
      <c r="H21" s="33">
        <v>100</v>
      </c>
      <c r="I21" s="33">
        <v>1</v>
      </c>
      <c r="J21" s="35">
        <v>0</v>
      </c>
      <c r="L21" s="6" t="s">
        <v>26</v>
      </c>
      <c r="M21" s="7" cm="1">
        <f t="array" aca="1" ref="M21" ca="1">GetBSOptionPortfolioPrice(B23,C21:J23)</f>
        <v>-16.126782634522961</v>
      </c>
      <c r="O21" s="6" t="s">
        <v>26</v>
      </c>
      <c r="P21" s="61" cm="1">
        <f t="array" aca="1" ref="P21" ca="1">GetMCEurOptionPortfolioPrice(B25,C21:J25)</f>
        <v>140.59796285712036</v>
      </c>
      <c r="R21" s="27">
        <v>1</v>
      </c>
      <c r="S21" s="42" t="s">
        <v>17</v>
      </c>
      <c r="T21" s="42" t="s">
        <v>31</v>
      </c>
      <c r="U21" s="42">
        <v>100</v>
      </c>
      <c r="V21" s="56">
        <v>44989</v>
      </c>
      <c r="W21" s="45" t="s">
        <v>0</v>
      </c>
      <c r="X21" s="47">
        <v>0</v>
      </c>
      <c r="Z21" s="6" t="s">
        <v>26</v>
      </c>
      <c r="AA21" s="7" cm="1">
        <f t="array" aca="1" ref="AA21" ca="1">GetOptionPortfolioPrice(R25,S21:X25)</f>
        <v>185.95597496308278</v>
      </c>
    </row>
    <row r="22" spans="2:27" ht="15" thickBot="1" x14ac:dyDescent="0.35">
      <c r="B22" s="20">
        <v>2</v>
      </c>
      <c r="C22" s="36" t="s">
        <v>7</v>
      </c>
      <c r="D22" s="36" t="s">
        <v>33</v>
      </c>
      <c r="E22" s="36">
        <v>100</v>
      </c>
      <c r="F22" s="37">
        <v>0.2</v>
      </c>
      <c r="G22" s="37">
        <v>0.05</v>
      </c>
      <c r="H22" s="36">
        <v>100</v>
      </c>
      <c r="I22" s="36">
        <v>2</v>
      </c>
      <c r="J22" s="38">
        <v>0</v>
      </c>
      <c r="R22" s="28">
        <v>2</v>
      </c>
      <c r="S22" s="43" t="s">
        <v>21</v>
      </c>
      <c r="T22" s="43" t="s">
        <v>30</v>
      </c>
      <c r="U22" s="43">
        <v>100</v>
      </c>
      <c r="V22" s="57">
        <v>44989</v>
      </c>
      <c r="W22" s="10" t="s">
        <v>2</v>
      </c>
      <c r="X22" s="48">
        <v>0</v>
      </c>
    </row>
    <row r="23" spans="2:27" x14ac:dyDescent="0.3">
      <c r="B23" s="20">
        <v>3</v>
      </c>
      <c r="C23" s="36" t="s">
        <v>7</v>
      </c>
      <c r="D23" s="36" t="s">
        <v>33</v>
      </c>
      <c r="E23" s="36">
        <v>100</v>
      </c>
      <c r="F23" s="37">
        <v>0.2</v>
      </c>
      <c r="G23" s="37">
        <v>0.05</v>
      </c>
      <c r="H23" s="36">
        <v>100</v>
      </c>
      <c r="I23" s="36">
        <v>1</v>
      </c>
      <c r="J23" s="38">
        <v>0</v>
      </c>
      <c r="L23" s="8" t="s">
        <v>4</v>
      </c>
      <c r="M23" s="23" cm="1">
        <f t="array" aca="1" ref="M23" ca="1">GetDeltaOptionPortfolioBS(B25,C21:J25)</f>
        <v>1.3103089744737009</v>
      </c>
      <c r="R23" s="28">
        <v>3</v>
      </c>
      <c r="S23" s="43" t="s">
        <v>17</v>
      </c>
      <c r="T23" s="43" t="s">
        <v>31</v>
      </c>
      <c r="U23" s="43">
        <v>100</v>
      </c>
      <c r="V23" s="57">
        <v>44989</v>
      </c>
      <c r="W23" s="10" t="s">
        <v>0</v>
      </c>
      <c r="X23" s="48">
        <v>0</v>
      </c>
      <c r="Z23" s="8" t="s">
        <v>4</v>
      </c>
      <c r="AA23" s="23" cm="1">
        <f t="array" aca="1" ref="AA23" ca="1">GetDeltaOptionPortfolio(R25,S21:X25)</f>
        <v>3</v>
      </c>
    </row>
    <row r="24" spans="2:27" x14ac:dyDescent="0.3">
      <c r="B24" s="20">
        <v>4</v>
      </c>
      <c r="C24" s="36" t="s">
        <v>7</v>
      </c>
      <c r="D24" s="36" t="s">
        <v>34</v>
      </c>
      <c r="E24" s="36">
        <v>100</v>
      </c>
      <c r="F24" s="37">
        <v>0.01</v>
      </c>
      <c r="G24" s="37">
        <v>0.97</v>
      </c>
      <c r="H24" s="36">
        <v>100</v>
      </c>
      <c r="I24" s="36">
        <v>3</v>
      </c>
      <c r="J24" s="38">
        <v>0</v>
      </c>
      <c r="L24" s="9" t="s">
        <v>5</v>
      </c>
      <c r="M24" s="24" cm="1">
        <f t="array" aca="1" ref="M24" ca="1">GetGammaOptionPortfolioBS(B25,C21:J25)</f>
        <v>-1.2478546401807622E-2</v>
      </c>
      <c r="R24" s="28">
        <v>4</v>
      </c>
      <c r="S24" s="43" t="s">
        <v>21</v>
      </c>
      <c r="T24" s="43" t="s">
        <v>30</v>
      </c>
      <c r="U24" s="43">
        <v>100</v>
      </c>
      <c r="V24" s="57">
        <v>44989</v>
      </c>
      <c r="W24" s="10" t="s">
        <v>2</v>
      </c>
      <c r="X24" s="48">
        <v>0</v>
      </c>
      <c r="Z24" s="9" t="s">
        <v>5</v>
      </c>
      <c r="AA24" s="24" cm="1">
        <f t="array" aca="1" ref="AA24" ca="1">GetGammaOptionPortfolio(R25,S21:X25)</f>
        <v>0</v>
      </c>
    </row>
    <row r="25" spans="2:27" ht="15" thickBot="1" x14ac:dyDescent="0.35">
      <c r="B25" s="21">
        <v>5</v>
      </c>
      <c r="C25" s="39" t="s">
        <v>7</v>
      </c>
      <c r="D25" s="39" t="s">
        <v>34</v>
      </c>
      <c r="E25" s="39">
        <v>100</v>
      </c>
      <c r="F25" s="40">
        <v>0.01</v>
      </c>
      <c r="G25" s="40">
        <v>0.97</v>
      </c>
      <c r="H25" s="39">
        <v>100</v>
      </c>
      <c r="I25" s="39">
        <v>1</v>
      </c>
      <c r="J25" s="41">
        <v>0</v>
      </c>
      <c r="L25" s="9" t="s">
        <v>6</v>
      </c>
      <c r="M25" s="24" cm="1">
        <f t="array" aca="1" ref="M25" ca="1">GetThetaOptionPortfolioBS(B25,C21:J25)</f>
        <v>-41.908793777797278</v>
      </c>
      <c r="R25" s="29">
        <v>5</v>
      </c>
      <c r="S25" s="44" t="s">
        <v>17</v>
      </c>
      <c r="T25" s="44" t="s">
        <v>31</v>
      </c>
      <c r="U25" s="44">
        <v>100</v>
      </c>
      <c r="V25" s="58">
        <v>44989</v>
      </c>
      <c r="W25" s="46" t="s">
        <v>0</v>
      </c>
      <c r="X25" s="49">
        <v>0</v>
      </c>
      <c r="Z25" s="9" t="s">
        <v>6</v>
      </c>
      <c r="AA25" s="24" cm="1">
        <f t="array" aca="1" ref="AA25" ca="1">GetThetaOptionPortfolio(R25,S21:X25)</f>
        <v>-183.83857229932303</v>
      </c>
    </row>
    <row r="26" spans="2:27" ht="15" thickBot="1" x14ac:dyDescent="0.35">
      <c r="L26" s="11" t="s">
        <v>28</v>
      </c>
      <c r="M26" s="25" cm="1">
        <f t="array" aca="1" ref="M26" ca="1">GetVegaOptionPortfolioBS(B25,C21:J25)</f>
        <v>-49.914185607230493</v>
      </c>
      <c r="Z26" s="11" t="s">
        <v>28</v>
      </c>
      <c r="AA26" s="25" cm="1">
        <f t="array" aca="1" ref="AA26" ca="1">GetVegaOptionPortfolio(R25,S21:X25)</f>
        <v>0</v>
      </c>
    </row>
  </sheetData>
  <mergeCells count="10">
    <mergeCell ref="U5:V5"/>
    <mergeCell ref="Z19:AA19"/>
    <mergeCell ref="C19:J19"/>
    <mergeCell ref="L19:M19"/>
    <mergeCell ref="O19:P19"/>
    <mergeCell ref="S19:X19"/>
    <mergeCell ref="R5:S5"/>
    <mergeCell ref="I5:J5"/>
    <mergeCell ref="C5:D5"/>
    <mergeCell ref="F5:G5"/>
  </mergeCells>
  <dataValidations disablePrompts="1" count="1">
    <dataValidation allowBlank="1" showDropDown="1" showInputMessage="1" showErrorMessage="1" sqref="D15 S15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rrentRegionCalculate">
                <anchor moveWithCells="1" sizeWithCells="1">
                  <from>
                    <xdr:col>12</xdr:col>
                    <xdr:colOff>281940</xdr:colOff>
                    <xdr:row>10</xdr:row>
                    <xdr:rowOff>121920</xdr:rowOff>
                  </from>
                  <to>
                    <xdr:col>15</xdr:col>
                    <xdr:colOff>342900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5"/>
  <sheetViews>
    <sheetView showGridLines="0" workbookViewId="0">
      <selection activeCell="E13" sqref="E13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55" t="s">
        <v>36</v>
      </c>
      <c r="D2" s="55" t="s">
        <v>35</v>
      </c>
      <c r="F2" s="55" t="s">
        <v>37</v>
      </c>
    </row>
    <row r="3" spans="2:6" x14ac:dyDescent="0.3">
      <c r="B3" s="51" t="s">
        <v>7</v>
      </c>
      <c r="D3" s="51" t="s">
        <v>34</v>
      </c>
      <c r="F3" s="50" t="s">
        <v>0</v>
      </c>
    </row>
    <row r="4" spans="2:6" ht="15" thickBot="1" x14ac:dyDescent="0.35">
      <c r="B4" s="54" t="s">
        <v>32</v>
      </c>
      <c r="D4" s="54" t="s">
        <v>33</v>
      </c>
      <c r="F4" s="51" t="s">
        <v>2</v>
      </c>
    </row>
    <row r="5" spans="2:6" ht="15" thickBot="1" x14ac:dyDescent="0.35">
      <c r="F5" s="54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Option</vt:lpstr>
      <vt:lpstr>Parametres</vt:lpstr>
      <vt:lpstr>optionFlag</vt:lpstr>
      <vt:lpstr>optionPosition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2024-03-06T09:35:15Z</dcterms:modified>
</cp:coreProperties>
</file>