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Bureau/"/>
    </mc:Choice>
  </mc:AlternateContent>
  <xr:revisionPtr revIDLastSave="1079" documentId="8_{71B1D04F-3B68-4654-9019-9D010146E2F6}" xr6:coauthVersionLast="47" xr6:coauthVersionMax="47" xr10:uidLastSave="{206AEED6-5E41-4E46-9D97-C490F10F9A50}"/>
  <bookViews>
    <workbookView xWindow="-108" yWindow="-108" windowWidth="23256" windowHeight="12456" activeTab="1" xr2:uid="{71AFAE33-16CD-4F47-AB4E-C8D72A89D700}"/>
  </bookViews>
  <sheets>
    <sheet name="Inputs" sheetId="1" r:id="rId1"/>
    <sheet name="Option" sheetId="2" r:id="rId2"/>
    <sheet name="Parametres" sheetId="3" r:id="rId3"/>
  </sheets>
  <functionGroups builtInGroupCount="19"/>
  <definedNames>
    <definedName name="optionFlag">Parametres!$B$3:$B$4</definedName>
    <definedName name="optionPosition">Parametres!$D$3:$D$4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" l="1" a="1"/>
  <c r="G7" i="2"/>
  <c r="M21" i="2" a="1"/>
  <c r="M21" i="2"/>
  <c r="M23" i="2" a="1"/>
  <c r="M23" i="2"/>
  <c r="M24" i="2" a="1"/>
  <c r="M24" i="2"/>
  <c r="M25" i="2" a="1"/>
  <c r="M25" i="2"/>
  <c r="M26" i="2" a="1"/>
  <c r="M26" i="2"/>
  <c r="G9" i="2" a="1"/>
  <c r="G9" i="2"/>
  <c r="X9" i="2" a="1"/>
  <c r="X9" i="2"/>
  <c r="P21" i="2" a="1"/>
  <c r="P21" i="2"/>
  <c r="AA21" i="2" a="1"/>
  <c r="AA21" i="2"/>
  <c r="AA23" i="2" a="1"/>
  <c r="AA23" i="2"/>
  <c r="AA24" i="2" a="1"/>
  <c r="AA24" i="2"/>
  <c r="AA25" i="2" a="1"/>
  <c r="AA25" i="2"/>
  <c r="AA26" i="2" a="1"/>
  <c r="AA26" i="2"/>
  <c r="J7" i="2" a="1"/>
  <c r="J7" i="2"/>
  <c r="V9" i="2" a="1"/>
  <c r="V9" i="2"/>
  <c r="V7" i="2" a="1"/>
  <c r="V7" i="2"/>
  <c r="D3" i="2" l="1"/>
  <c r="D2" i="1" l="1"/>
  <c r="C2" i="1"/>
  <c r="F35" i="1"/>
  <c r="B27" i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C26" i="1"/>
  <c r="D26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7" i="1"/>
  <c r="A6" i="1"/>
  <c r="A5" i="1"/>
  <c r="E26" i="1" l="1"/>
  <c r="D27" i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F26" i="1" l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G26" i="1" l="1"/>
  <c r="F27" i="1"/>
  <c r="F28" i="1" s="1"/>
  <c r="F29" i="1" s="1"/>
  <c r="F30" i="1" s="1"/>
  <c r="F31" i="1" s="1"/>
  <c r="F32" i="1" s="1"/>
  <c r="F33" i="1" s="1"/>
  <c r="F34" i="1" s="1"/>
  <c r="F36" i="1" s="1"/>
  <c r="F37" i="1" s="1"/>
  <c r="F38" i="1" s="1"/>
  <c r="F39" i="1" s="1"/>
  <c r="F40" i="1" s="1"/>
  <c r="F41" i="1" s="1"/>
  <c r="H26" i="1" l="1"/>
  <c r="G27" i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I26" i="1" l="1"/>
  <c r="H27" i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I27" i="1" l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J26" i="1"/>
  <c r="K26" i="1" l="1"/>
  <c r="J27" i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L26" i="1" l="1"/>
  <c r="K27" i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M26" i="1" l="1"/>
  <c r="L27" i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N26" i="1" l="1"/>
  <c r="M27" i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O26" i="1" l="1"/>
  <c r="N27" i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P26" i="1" l="1"/>
  <c r="O27" i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Q26" i="1" l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P27" i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<sst xmlns="http://schemas.openxmlformats.org/spreadsheetml/2006/main" count="131" uniqueCount="50">
  <si>
    <t>DATE</t>
  </si>
  <si>
    <t>CAC40</t>
  </si>
  <si>
    <t>Date</t>
  </si>
  <si>
    <t>Repo</t>
  </si>
  <si>
    <t>Dividende</t>
  </si>
  <si>
    <t>FTSE</t>
  </si>
  <si>
    <t>SP500</t>
  </si>
  <si>
    <t>sigma</t>
  </si>
  <si>
    <t>delta</t>
  </si>
  <si>
    <t>gamma</t>
  </si>
  <si>
    <t>theta</t>
  </si>
  <si>
    <t xml:space="preserve"> </t>
  </si>
  <si>
    <t>Call</t>
  </si>
  <si>
    <t>rate</t>
  </si>
  <si>
    <t>strike</t>
  </si>
  <si>
    <t>maturity</t>
  </si>
  <si>
    <t>spot</t>
  </si>
  <si>
    <t>dividend ?</t>
  </si>
  <si>
    <t>rho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</si>
  <si>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</si>
  <si>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</si>
  <si>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</si>
  <si>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</si>
  <si>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</si>
  <si>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</si>
  <si>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</si>
  <si>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</si>
  <si>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</si>
  <si>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</si>
  <si>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</si>
  <si>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</si>
  <si>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</si>
  <si>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nbr of option</t>
  </si>
  <si>
    <t>vega</t>
  </si>
  <si>
    <t>option position</t>
  </si>
  <si>
    <t>short</t>
  </si>
  <si>
    <t>long</t>
  </si>
  <si>
    <t>Put</t>
  </si>
  <si>
    <t>Short</t>
  </si>
  <si>
    <t>Long</t>
  </si>
  <si>
    <t>Position</t>
  </si>
  <si>
    <t>Option Flag</t>
  </si>
  <si>
    <t>Underlying</t>
  </si>
  <si>
    <t xml:space="preserve">option position </t>
  </si>
  <si>
    <t>Black Scholes</t>
  </si>
  <si>
    <t>Black Scholes BS</t>
  </si>
  <si>
    <t>Portefeuille Option BS</t>
  </si>
  <si>
    <t>Portefeuille Option</t>
  </si>
  <si>
    <t>BS MD Parameters</t>
  </si>
  <si>
    <t>BS MD Outputs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</si>
</sst>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0"/>
      <color theme="0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</cellStyleXfs>
  <cellXfs count="92">
    <xf numFmtId="0" fontId="0" fillId="0" borderId="0" xfId="0"/>
    <xf numFmtId="2" fontId="1" fillId="2" borderId="0" xfId="0" applyNumberFormat="1" applyFont="1" applyFill="1"/>
    <xf numFmtId="2" fontId="1" fillId="3" borderId="0" xfId="0" applyNumberFormat="1" applyFont="1" applyFill="1"/>
    <xf numFmtId="2" fontId="0" fillId="0" borderId="0" xfId="0" applyNumberFormat="1"/>
    <xf numFmtId="2" fontId="0" fillId="4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0" fontId="0" fillId="6" borderId="0" xfId="0" applyFill="1"/>
    <xf numFmtId="0" fontId="0" fillId="5" borderId="0" xfId="0" applyFill="1"/>
    <xf numFmtId="14" fontId="0" fillId="4" borderId="0" xfId="0" applyNumberFormat="1" applyFill="1"/>
    <xf numFmtId="14" fontId="0" fillId="6" borderId="0" xfId="0" applyNumberFormat="1" applyFill="1"/>
    <xf numFmtId="14" fontId="1" fillId="2" borderId="0" xfId="0" applyNumberFormat="1" applyFont="1" applyFill="1"/>
    <xf numFmtId="0" fontId="1" fillId="2" borderId="0" xfId="0" applyFont="1" applyFill="1"/>
    <xf numFmtId="14" fontId="1" fillId="3" borderId="0" xfId="0" applyNumberFormat="1" applyFont="1" applyFill="1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7" borderId="7" xfId="2" applyFont="1" applyFill="1" applyBorder="1" applyAlignment="1">
      <alignment horizontal="left"/>
    </xf>
    <xf numFmtId="0" fontId="8" fillId="0" borderId="0" xfId="0" applyFont="1"/>
    <xf numFmtId="0" fontId="9" fillId="8" borderId="5" xfId="0" applyFont="1" applyFill="1" applyBorder="1"/>
    <xf numFmtId="164" fontId="10" fillId="9" borderId="6" xfId="0" applyNumberFormat="1" applyFont="1" applyFill="1" applyBorder="1" applyAlignment="1">
      <alignment horizontal="center"/>
    </xf>
    <xf numFmtId="0" fontId="9" fillId="8" borderId="7" xfId="0" applyFont="1" applyFill="1" applyBorder="1"/>
    <xf numFmtId="0" fontId="9" fillId="8" borderId="1" xfId="0" applyFont="1" applyFill="1" applyBorder="1"/>
    <xf numFmtId="9" fontId="11" fillId="0" borderId="2" xfId="1" applyFont="1" applyBorder="1" applyAlignment="1">
      <alignment horizontal="center"/>
    </xf>
    <xf numFmtId="0" fontId="9" fillId="8" borderId="3" xfId="0" applyFont="1" applyFill="1" applyBorder="1"/>
    <xf numFmtId="0" fontId="8" fillId="0" borderId="0" xfId="0" applyFont="1" applyAlignment="1">
      <alignment horizontal="center"/>
    </xf>
    <xf numFmtId="0" fontId="7" fillId="7" borderId="9" xfId="2" applyFont="1" applyFill="1" applyBorder="1" applyAlignment="1">
      <alignment horizontal="left"/>
    </xf>
    <xf numFmtId="9" fontId="12" fillId="0" borderId="12" xfId="2" applyNumberFormat="1" applyFont="1" applyBorder="1" applyAlignment="1">
      <alignment horizontal="center"/>
    </xf>
    <xf numFmtId="0" fontId="13" fillId="0" borderId="0" xfId="0" applyFont="1"/>
    <xf numFmtId="0" fontId="14" fillId="8" borderId="15" xfId="0" applyFont="1" applyFill="1" applyBorder="1" applyAlignment="1">
      <alignment horizontal="center"/>
    </xf>
    <xf numFmtId="0" fontId="14" fillId="8" borderId="16" xfId="0" applyFont="1" applyFill="1" applyBorder="1" applyAlignment="1">
      <alignment horizontal="center"/>
    </xf>
    <xf numFmtId="0" fontId="14" fillId="8" borderId="17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12" fillId="0" borderId="12" xfId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/>
    </xf>
    <xf numFmtId="164" fontId="10" fillId="0" borderId="10" xfId="0" applyNumberFormat="1" applyFont="1" applyBorder="1" applyAlignment="1">
      <alignment horizontal="center"/>
    </xf>
    <xf numFmtId="164" fontId="10" fillId="0" borderId="11" xfId="0" applyNumberFormat="1" applyFont="1" applyBorder="1" applyAlignment="1">
      <alignment horizontal="center"/>
    </xf>
    <xf numFmtId="0" fontId="8" fillId="0" borderId="13" xfId="0" applyFont="1" applyBorder="1"/>
    <xf numFmtId="0" fontId="8" fillId="0" borderId="7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9" fillId="8" borderId="18" xfId="0" applyFont="1" applyFill="1" applyBorder="1" applyAlignment="1">
      <alignment horizontal="center"/>
    </xf>
    <xf numFmtId="0" fontId="9" fillId="8" borderId="19" xfId="0" applyFont="1" applyFill="1" applyBorder="1" applyAlignment="1">
      <alignment horizontal="center"/>
    </xf>
    <xf numFmtId="0" fontId="9" fillId="8" borderId="20" xfId="0" applyFont="1" applyFill="1" applyBorder="1" applyAlignment="1">
      <alignment horizontal="center"/>
    </xf>
    <xf numFmtId="0" fontId="16" fillId="0" borderId="9" xfId="0" applyFont="1" applyBorder="1" applyAlignment="1">
      <alignment horizontal="center"/>
    </xf>
    <xf numFmtId="9" fontId="16" fillId="0" borderId="9" xfId="1" applyFont="1" applyBorder="1" applyAlignment="1">
      <alignment horizontal="center"/>
    </xf>
    <xf numFmtId="9" fontId="17" fillId="0" borderId="8" xfId="1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9" fontId="16" fillId="0" borderId="10" xfId="1" applyFont="1" applyBorder="1" applyAlignment="1">
      <alignment horizontal="center"/>
    </xf>
    <xf numFmtId="9" fontId="17" fillId="0" borderId="2" xfId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9" fontId="16" fillId="0" borderId="11" xfId="1" applyFont="1" applyBorder="1" applyAlignment="1">
      <alignment horizontal="center"/>
    </xf>
    <xf numFmtId="9" fontId="17" fillId="0" borderId="4" xfId="1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9" fontId="11" fillId="0" borderId="8" xfId="1" applyFont="1" applyBorder="1" applyAlignment="1">
      <alignment horizontal="center"/>
    </xf>
    <xf numFmtId="9" fontId="11" fillId="0" borderId="4" xfId="1" applyFont="1" applyBorder="1" applyAlignment="1">
      <alignment horizontal="center"/>
    </xf>
    <xf numFmtId="9" fontId="12" fillId="0" borderId="8" xfId="1" applyFont="1" applyBorder="1" applyAlignment="1">
      <alignment horizontal="center"/>
    </xf>
    <xf numFmtId="9" fontId="12" fillId="0" borderId="2" xfId="1" applyFont="1" applyBorder="1" applyAlignment="1">
      <alignment horizontal="center"/>
    </xf>
    <xf numFmtId="9" fontId="12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11" fillId="0" borderId="10" xfId="1" applyFont="1" applyBorder="1" applyAlignment="1">
      <alignment horizontal="center"/>
    </xf>
    <xf numFmtId="0" fontId="11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11" fillId="0" borderId="2" xfId="1" applyNumberFormat="1" applyFont="1" applyBorder="1" applyAlignment="1">
      <alignment horizontal="center"/>
    </xf>
    <xf numFmtId="14" fontId="11" fillId="0" borderId="10" xfId="0" applyNumberFormat="1" applyFont="1" applyBorder="1" applyAlignment="1">
      <alignment horizontal="center"/>
    </xf>
    <xf numFmtId="14" fontId="11" fillId="0" borderId="11" xfId="0" applyNumberFormat="1" applyFont="1" applyBorder="1" applyAlignment="1">
      <alignment horizontal="center"/>
    </xf>
    <xf numFmtId="14" fontId="11" fillId="0" borderId="10" xfId="1" applyNumberFormat="1" applyFont="1" applyBorder="1" applyAlignment="1">
      <alignment horizontal="center"/>
    </xf>
    <xf numFmtId="0" fontId="19" fillId="8" borderId="5" xfId="0" applyFont="1" applyFill="1" applyBorder="1"/>
    <xf numFmtId="164" fontId="10" fillId="9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8" fillId="0" borderId="21" xfId="0" applyFont="1" applyBorder="1"/>
    <xf numFmtId="0" fontId="8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</cellXfs>
  <cellStyles count="4">
    <cellStyle name="Normal" xfId="0" builtinId="0"/>
    <cellStyle name="Normal 2" xfId="2" xr:uid="{43EB118B-06AD-4387-B81B-417ECB34FEB0}"/>
    <cellStyle name="Pourcentage" xfId="1" builtinId="5"/>
    <cellStyle name="Pourcentage 2" xfId="3" xr:uid="{F7D3DB99-EE94-4E9D-955A-FA3CDEDC71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281940</xdr:colOff>
          <xdr:row>10</xdr:row>
          <xdr:rowOff>121920</xdr:rowOff>
        </xdr:from>
        <xdr:to>
          <xdr:col>15</xdr:col>
          <xdr:colOff>342900</xdr:colOff>
          <xdr:row>12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CurrentSelectCalculation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239A5-F69F-4312-8DB8-190EDD6F1DDA}">
  <sheetPr codeName="Feuil1"/>
  <dimension ref="A1:AB70"/>
  <sheetViews>
    <sheetView workbookViewId="0">
      <selection activeCell="W8" sqref="W8"/>
    </sheetView>
  </sheetViews>
  <sheetFormatPr baseColWidth="10" defaultColWidth="8.77734375" defaultRowHeight="14.4" x14ac:dyDescent="0.3"/>
  <cols>
    <col min="1" max="1" width="15.6640625" style="3" customWidth="1"/>
    <col min="2" max="2" width="10.77734375" style="3" bestFit="1" customWidth="1"/>
    <col min="3" max="18" width="8.77734375" style="3"/>
    <col min="19" max="19" width="10.44140625" style="3" bestFit="1" customWidth="1"/>
    <col min="20" max="21" width="8.77734375" style="3"/>
    <col min="22" max="22" width="10.44140625" style="3" bestFit="1" customWidth="1"/>
    <col min="23" max="23" width="8.77734375" style="3"/>
  </cols>
  <sheetData>
    <row r="1" spans="1:23" x14ac:dyDescent="0.3">
      <c r="A1" s="1" t="s">
        <v>0</v>
      </c>
      <c r="B1" s="13">
        <v>44624</v>
      </c>
    </row>
    <row r="2" spans="1:23" x14ac:dyDescent="0.3">
      <c r="A2" s="1" t="s">
        <v>1</v>
      </c>
      <c r="B2" s="2">
        <v>100</v>
      </c>
      <c r="C2" s="3">
        <f>NETWORKDAYS(B1,A8)</f>
        <v>261</v>
      </c>
      <c r="D2" s="3">
        <f>B1-A8</f>
        <v>-365</v>
      </c>
    </row>
    <row r="3" spans="1:23" x14ac:dyDescent="0.3">
      <c r="S3" s="1" t="s">
        <v>2</v>
      </c>
      <c r="T3" s="1" t="s">
        <v>3</v>
      </c>
      <c r="V3" s="1" t="s">
        <v>2</v>
      </c>
      <c r="W3" s="1" t="s">
        <v>4</v>
      </c>
    </row>
    <row r="4" spans="1:23" x14ac:dyDescent="0.3">
      <c r="B4" s="1">
        <v>50</v>
      </c>
      <c r="C4" s="1">
        <v>60</v>
      </c>
      <c r="D4" s="1">
        <v>70</v>
      </c>
      <c r="E4" s="1">
        <v>80</v>
      </c>
      <c r="F4" s="1">
        <v>90</v>
      </c>
      <c r="G4" s="1">
        <v>100</v>
      </c>
      <c r="H4" s="1">
        <v>110</v>
      </c>
      <c r="I4" s="1">
        <v>120</v>
      </c>
      <c r="J4" s="1">
        <v>130</v>
      </c>
      <c r="K4" s="1">
        <v>140</v>
      </c>
      <c r="L4" s="1">
        <v>150</v>
      </c>
      <c r="M4" s="1">
        <v>160</v>
      </c>
      <c r="N4" s="1">
        <v>170</v>
      </c>
      <c r="O4" s="1">
        <v>180</v>
      </c>
      <c r="P4" s="1">
        <v>190</v>
      </c>
      <c r="Q4" s="1">
        <v>200</v>
      </c>
      <c r="S4" s="3">
        <v>44716</v>
      </c>
      <c r="T4" s="3">
        <v>0.7089893287268495</v>
      </c>
      <c r="V4" s="3">
        <v>44716</v>
      </c>
      <c r="W4" s="3">
        <v>0.32351016124943066</v>
      </c>
    </row>
    <row r="5" spans="1:23" x14ac:dyDescent="0.3">
      <c r="A5" s="12">
        <f>EDATE(B1,3)</f>
        <v>44716</v>
      </c>
      <c r="B5" s="3">
        <v>1</v>
      </c>
      <c r="C5" s="3">
        <v>0.67505725053933696</v>
      </c>
      <c r="D5" s="3">
        <v>0.2866810854803773</v>
      </c>
      <c r="E5" s="3">
        <v>0.76120355676952922</v>
      </c>
      <c r="F5" s="3">
        <v>0.49107242996003064</v>
      </c>
      <c r="G5" s="3">
        <v>0.1687233163416979</v>
      </c>
      <c r="H5" s="3">
        <v>0.46131022117771014</v>
      </c>
      <c r="I5" s="3">
        <v>0.53113391363910345</v>
      </c>
      <c r="J5" s="3">
        <v>0.45420355800577106</v>
      </c>
      <c r="K5" s="3">
        <v>0.28251102645629178</v>
      </c>
      <c r="L5" s="3">
        <v>0.37638399154152524</v>
      </c>
      <c r="M5" s="3">
        <v>0.69615200763892349</v>
      </c>
      <c r="N5" s="3">
        <v>3.7947529748440401E-2</v>
      </c>
      <c r="O5" s="3">
        <v>0.9962179273929942</v>
      </c>
      <c r="P5" s="3">
        <v>0.75575870153618852</v>
      </c>
      <c r="Q5" s="3">
        <v>0.22825382480555112</v>
      </c>
      <c r="S5" s="3">
        <v>44808</v>
      </c>
      <c r="T5" s="3">
        <v>0.61005116867312614</v>
      </c>
      <c r="V5" s="3">
        <v>44808</v>
      </c>
      <c r="W5" s="3">
        <v>0.89268134591081361</v>
      </c>
    </row>
    <row r="6" spans="1:23" x14ac:dyDescent="0.3">
      <c r="A6" s="12">
        <f>EDATE(B1,6)</f>
        <v>44808</v>
      </c>
      <c r="B6" s="3">
        <v>0.73098973526290845</v>
      </c>
      <c r="C6" s="3">
        <v>0.84687704570910904</v>
      </c>
      <c r="D6" s="3">
        <v>7.4636248313663667E-2</v>
      </c>
      <c r="E6" s="3">
        <v>0.60997289028216606</v>
      </c>
      <c r="F6" s="3">
        <v>2.1748283378360211E-2</v>
      </c>
      <c r="G6" s="3">
        <v>0.79284621398206023</v>
      </c>
      <c r="H6" s="3">
        <v>0.65365044626167246</v>
      </c>
      <c r="I6" s="3">
        <v>2.1494027908884217E-2</v>
      </c>
      <c r="J6" s="3">
        <v>0.74058431973689254</v>
      </c>
      <c r="K6" s="3">
        <v>0.73378327983401093</v>
      </c>
      <c r="L6" s="3">
        <v>0.12461288898736522</v>
      </c>
      <c r="M6" s="3">
        <v>0.70346207595521781</v>
      </c>
      <c r="N6" s="3">
        <v>0.64726238874090436</v>
      </c>
      <c r="O6" s="3">
        <v>0.69152625810990542</v>
      </c>
      <c r="P6" s="3">
        <v>0.77247672150067148</v>
      </c>
      <c r="Q6" s="3">
        <v>0.82489932245686914</v>
      </c>
      <c r="S6" s="3">
        <v>44899</v>
      </c>
      <c r="T6" s="3">
        <v>0.60149980689503169</v>
      </c>
      <c r="V6" s="3">
        <v>44899</v>
      </c>
      <c r="W6" s="3">
        <v>0.90808954790632046</v>
      </c>
    </row>
    <row r="7" spans="1:23" x14ac:dyDescent="0.3">
      <c r="A7" s="11">
        <f>EDATE(B1,9)</f>
        <v>44899</v>
      </c>
      <c r="B7" s="3">
        <v>0.16090280753263619</v>
      </c>
      <c r="C7" s="3">
        <v>0.78144554461782934</v>
      </c>
      <c r="D7" s="3">
        <v>0.32346196578786368</v>
      </c>
      <c r="E7" s="3">
        <v>0.584209294331968</v>
      </c>
      <c r="F7" s="3">
        <v>0.19192958311630792</v>
      </c>
      <c r="G7" s="3">
        <v>0.60579693083815689</v>
      </c>
      <c r="H7" s="3">
        <v>0.68383016514316208</v>
      </c>
      <c r="I7" s="3">
        <v>0.27960676697085685</v>
      </c>
      <c r="J7" s="3">
        <v>0.1861830356526305</v>
      </c>
      <c r="K7" s="3">
        <v>0.66978234472544418</v>
      </c>
      <c r="L7" s="3">
        <v>0.17187390810078851</v>
      </c>
      <c r="M7" s="3">
        <v>0.60790955139101388</v>
      </c>
      <c r="N7" s="3">
        <v>4.3642637109265303E-2</v>
      </c>
      <c r="O7" s="3">
        <v>0.70494022691346436</v>
      </c>
      <c r="P7" s="3">
        <v>0.76728802649838679</v>
      </c>
      <c r="Q7" s="3">
        <v>0.56020390465008552</v>
      </c>
      <c r="S7" s="3">
        <v>44989</v>
      </c>
      <c r="T7" s="3">
        <v>0.96719791627739804</v>
      </c>
      <c r="V7" s="3">
        <v>44989</v>
      </c>
      <c r="W7" s="3">
        <v>0.30684569790143301</v>
      </c>
    </row>
    <row r="8" spans="1:23" x14ac:dyDescent="0.3">
      <c r="A8" s="12">
        <f>EDATE(B1,12)</f>
        <v>44989</v>
      </c>
      <c r="B8" s="3">
        <v>0.29101841852939581</v>
      </c>
      <c r="C8" s="3">
        <v>0.78618346367961967</v>
      </c>
      <c r="D8" s="3">
        <v>8.7595213503307345E-2</v>
      </c>
      <c r="E8" s="3">
        <v>0.88037017228273118</v>
      </c>
      <c r="F8" s="3">
        <v>0.3738642887604996</v>
      </c>
      <c r="G8" s="3">
        <v>0.1584261980635191</v>
      </c>
      <c r="H8" s="3">
        <v>0.22738369047031781</v>
      </c>
      <c r="I8" s="3">
        <v>0.15194347712958378</v>
      </c>
      <c r="J8" s="3">
        <v>0.1683732478350326</v>
      </c>
      <c r="K8" s="3">
        <v>0.37486718249002959</v>
      </c>
      <c r="L8" s="3">
        <v>0.32124136074199594</v>
      </c>
      <c r="M8" s="3">
        <v>0.51991572741488024</v>
      </c>
      <c r="N8" s="3">
        <v>0.15552383055839569</v>
      </c>
      <c r="O8" s="3">
        <v>0.75603402934257757</v>
      </c>
      <c r="P8" s="3">
        <v>0.74560815166910066</v>
      </c>
      <c r="Q8" s="3">
        <v>0.96174476355134342</v>
      </c>
      <c r="S8" s="3">
        <v>45355</v>
      </c>
      <c r="T8" s="3">
        <v>0.34306077988430828</v>
      </c>
      <c r="V8" s="3">
        <v>45355</v>
      </c>
      <c r="W8" s="3">
        <v>0.80195731831366035</v>
      </c>
    </row>
    <row r="9" spans="1:23" x14ac:dyDescent="0.3">
      <c r="A9" s="11">
        <f>EDATE(A8,12)</f>
        <v>45355</v>
      </c>
      <c r="B9" s="3">
        <v>0.50284707768105785</v>
      </c>
      <c r="C9" s="3">
        <v>0.44652082747780875</v>
      </c>
      <c r="D9" s="3">
        <v>0.90034754227557856</v>
      </c>
      <c r="E9" s="3">
        <v>0.93549821132897504</v>
      </c>
      <c r="F9" s="3">
        <v>0.62229544255891001</v>
      </c>
      <c r="G9" s="3">
        <v>0.83694099430646607</v>
      </c>
      <c r="H9" s="3">
        <v>0.24388557298030089</v>
      </c>
      <c r="I9" s="3">
        <v>0.47538092741184557</v>
      </c>
      <c r="J9" s="3">
        <v>0.59424974715789225</v>
      </c>
      <c r="K9" s="3">
        <v>0.85309030881884196</v>
      </c>
      <c r="L9" s="3">
        <v>0.6981141152931577</v>
      </c>
      <c r="M9" s="3">
        <v>0.6022359856119639</v>
      </c>
      <c r="N9" s="3">
        <v>8.8756234989093574E-2</v>
      </c>
      <c r="O9" s="3">
        <v>0.1641765219765613</v>
      </c>
      <c r="P9" s="3">
        <v>0.91325546001079139</v>
      </c>
      <c r="Q9" s="3">
        <v>0.24237835085758153</v>
      </c>
      <c r="S9" s="3">
        <v>45720</v>
      </c>
      <c r="T9" s="3">
        <v>0.43228296653859399</v>
      </c>
      <c r="V9" s="3">
        <v>45720</v>
      </c>
      <c r="W9" s="3">
        <v>0.82559280505821664</v>
      </c>
    </row>
    <row r="10" spans="1:23" x14ac:dyDescent="0.3">
      <c r="A10" s="11">
        <f t="shared" ref="A10:A20" si="0">EDATE(A9,12)</f>
        <v>45720</v>
      </c>
      <c r="B10" s="3">
        <v>0.90624649341312979</v>
      </c>
      <c r="C10" s="3">
        <v>0.76313053613909076</v>
      </c>
      <c r="D10" s="3">
        <v>0.60367523781573285</v>
      </c>
      <c r="E10" s="3">
        <v>0.53165420428779075</v>
      </c>
      <c r="F10" s="3">
        <v>0.67738594902767046</v>
      </c>
      <c r="G10" s="3">
        <v>0.15985195009538267</v>
      </c>
      <c r="H10" s="3">
        <v>0.81742678006175584</v>
      </c>
      <c r="I10" s="3">
        <v>0.41100741570494004</v>
      </c>
      <c r="J10" s="3">
        <v>0.34249143441210417</v>
      </c>
      <c r="K10" s="3">
        <v>0.72424517490996987</v>
      </c>
      <c r="L10" s="3">
        <v>0.54404856093612897</v>
      </c>
      <c r="M10" s="3">
        <v>0.87568428999103809</v>
      </c>
      <c r="N10" s="3">
        <v>8.790915219933948E-2</v>
      </c>
      <c r="O10" s="3">
        <v>0.78432094773737759</v>
      </c>
      <c r="P10" s="3">
        <v>0.73072459938858192</v>
      </c>
      <c r="Q10" s="3">
        <v>0.39159556896829806</v>
      </c>
      <c r="S10" s="3">
        <v>46085</v>
      </c>
      <c r="T10" s="3">
        <v>0.1755614386541452</v>
      </c>
      <c r="V10" s="3">
        <v>46085</v>
      </c>
      <c r="W10" s="3">
        <v>0.4518058844796653</v>
      </c>
    </row>
    <row r="11" spans="1:23" x14ac:dyDescent="0.3">
      <c r="A11" s="11">
        <f t="shared" si="0"/>
        <v>46085</v>
      </c>
      <c r="B11" s="3">
        <v>0.90619715316161809</v>
      </c>
      <c r="C11" s="3">
        <v>0.76313053613909076</v>
      </c>
      <c r="D11" s="3">
        <v>0.8747466579943417</v>
      </c>
      <c r="E11" s="3">
        <v>0.29757432342413248</v>
      </c>
      <c r="F11" s="3">
        <v>0.23685476795478222</v>
      </c>
      <c r="G11" s="3">
        <v>0.71955653807257736</v>
      </c>
      <c r="H11" s="3">
        <v>1.2098609304554198E-2</v>
      </c>
      <c r="I11" s="3">
        <v>0.3945203994499008</v>
      </c>
      <c r="J11" s="3">
        <v>0.71565859928355724</v>
      </c>
      <c r="K11" s="3">
        <v>0.23048859557633583</v>
      </c>
      <c r="L11" s="3">
        <v>0.98939321816127601</v>
      </c>
      <c r="M11" s="3">
        <v>0.47032028970982331</v>
      </c>
      <c r="N11" s="3">
        <v>0.15128879880812041</v>
      </c>
      <c r="O11" s="3">
        <v>0.64281531763516575</v>
      </c>
      <c r="P11" s="3">
        <v>0.28509176199677322</v>
      </c>
      <c r="Q11" s="3">
        <v>0.19490139152657404</v>
      </c>
      <c r="S11" s="3">
        <v>46450</v>
      </c>
      <c r="T11" s="3">
        <v>0.61742129631177334</v>
      </c>
      <c r="V11" s="3">
        <v>46450</v>
      </c>
      <c r="W11" s="3">
        <v>0.60798906477199643</v>
      </c>
    </row>
    <row r="12" spans="1:23" x14ac:dyDescent="0.3">
      <c r="A12" s="11">
        <f t="shared" si="0"/>
        <v>46450</v>
      </c>
      <c r="B12" s="3">
        <v>4.3673808334895647E-2</v>
      </c>
      <c r="C12" s="3">
        <v>0.76313053613909076</v>
      </c>
      <c r="D12" s="3">
        <v>0.51097944349035618</v>
      </c>
      <c r="E12" s="3">
        <v>0.28346096056602021</v>
      </c>
      <c r="F12" s="3">
        <v>0.70156706646368527</v>
      </c>
      <c r="G12" s="3">
        <v>0.27559664672985784</v>
      </c>
      <c r="H12" s="3">
        <v>0.42922646802325626</v>
      </c>
      <c r="I12" s="3">
        <v>0.63426588406711848</v>
      </c>
      <c r="J12" s="3">
        <v>3.3573572745304259E-2</v>
      </c>
      <c r="K12" s="3">
        <v>0.15943534571300588</v>
      </c>
      <c r="L12" s="3">
        <v>0.73897908101071486</v>
      </c>
      <c r="M12" s="3">
        <v>0.56101077731702897</v>
      </c>
      <c r="N12" s="3">
        <v>0.84878053796450637</v>
      </c>
      <c r="O12" s="3">
        <v>0.8532975824031247</v>
      </c>
      <c r="P12" s="3">
        <v>0.16750915189238613</v>
      </c>
      <c r="Q12" s="3">
        <v>0.36051514633941806</v>
      </c>
      <c r="S12" s="3">
        <v>46816</v>
      </c>
      <c r="T12" s="3">
        <v>0.15826323993928426</v>
      </c>
      <c r="V12" s="3">
        <v>46816</v>
      </c>
      <c r="W12" s="3">
        <v>0.89794714230654826</v>
      </c>
    </row>
    <row r="13" spans="1:23" x14ac:dyDescent="0.3">
      <c r="A13" s="11">
        <f t="shared" si="0"/>
        <v>46816</v>
      </c>
      <c r="B13" s="3">
        <v>0.14350057770469482</v>
      </c>
      <c r="C13" s="3">
        <v>0.76313053613909076</v>
      </c>
      <c r="D13" s="3">
        <v>0.80139349321354103</v>
      </c>
      <c r="E13" s="3">
        <v>0.74715318688993337</v>
      </c>
      <c r="F13" s="3">
        <v>6.6489149084369203E-2</v>
      </c>
      <c r="G13" s="3">
        <v>0.79409086889246161</v>
      </c>
      <c r="H13" s="3">
        <v>0.2389870300947472</v>
      </c>
      <c r="I13" s="3">
        <v>0.13505351942633459</v>
      </c>
      <c r="J13" s="3">
        <v>0.19960110174373213</v>
      </c>
      <c r="K13" s="3">
        <v>0.65593273034054544</v>
      </c>
      <c r="L13" s="3">
        <v>0.19439380680275864</v>
      </c>
      <c r="M13" s="3">
        <v>0.2230430609700802</v>
      </c>
      <c r="N13" s="3">
        <v>0.56744843816338142</v>
      </c>
      <c r="O13" s="3">
        <v>0.61138516914640606</v>
      </c>
      <c r="P13" s="3">
        <v>0.75295279546192084</v>
      </c>
      <c r="Q13" s="3">
        <v>0.15334673539908528</v>
      </c>
      <c r="S13" s="3">
        <v>47181</v>
      </c>
      <c r="T13" s="3">
        <v>0.32943752715968322</v>
      </c>
      <c r="V13" s="3">
        <v>47181</v>
      </c>
      <c r="W13" s="3">
        <v>0.43140805594248599</v>
      </c>
    </row>
    <row r="14" spans="1:23" x14ac:dyDescent="0.3">
      <c r="A14" s="11">
        <f t="shared" si="0"/>
        <v>47181</v>
      </c>
      <c r="B14" s="3">
        <v>0.90856009993644904</v>
      </c>
      <c r="C14" s="3">
        <v>0.76313053613909076</v>
      </c>
      <c r="D14" s="3">
        <v>0.12908261840757806</v>
      </c>
      <c r="E14" s="3">
        <v>0.14927532028912138</v>
      </c>
      <c r="F14" s="3">
        <v>0.783326148863697</v>
      </c>
      <c r="G14" s="3">
        <v>0.3125912694574744</v>
      </c>
      <c r="H14" s="3">
        <v>0.98284238172817562</v>
      </c>
      <c r="I14" s="3">
        <v>0.79129880485873316</v>
      </c>
      <c r="J14" s="3">
        <v>0.96493434500960151</v>
      </c>
      <c r="K14" s="3">
        <v>0.59248047021827566</v>
      </c>
      <c r="L14" s="3">
        <v>0.64974543338975133</v>
      </c>
      <c r="M14" s="3">
        <v>0.75501976469303023</v>
      </c>
      <c r="N14" s="3">
        <v>0.35743195382422532</v>
      </c>
      <c r="O14" s="3">
        <v>0.64114262666337929</v>
      </c>
      <c r="P14" s="3">
        <v>0.7192052500817343</v>
      </c>
      <c r="Q14" s="3">
        <v>0.75861972398171373</v>
      </c>
      <c r="S14" s="3">
        <v>47546</v>
      </c>
      <c r="T14" s="3">
        <v>0.77975005057087576</v>
      </c>
      <c r="V14" s="3">
        <v>47546</v>
      </c>
      <c r="W14" s="3">
        <v>0.63115516124099935</v>
      </c>
    </row>
    <row r="15" spans="1:23" x14ac:dyDescent="0.3">
      <c r="A15" s="11">
        <f t="shared" si="0"/>
        <v>47546</v>
      </c>
      <c r="B15" s="3">
        <v>0.4683775041386482</v>
      </c>
      <c r="C15" s="3">
        <v>0.76313053613909076</v>
      </c>
      <c r="D15" s="3">
        <v>8.4440323289366015E-2</v>
      </c>
      <c r="E15" s="3">
        <v>2.8706945520683202E-2</v>
      </c>
      <c r="F15" s="3">
        <v>0.53949691360868057</v>
      </c>
      <c r="G15" s="3">
        <v>0.49323928430974551</v>
      </c>
      <c r="H15" s="3">
        <v>0.32162069460953868</v>
      </c>
      <c r="I15" s="3">
        <v>0.15508498863093212</v>
      </c>
      <c r="J15" s="3">
        <v>0.86406808884784903</v>
      </c>
      <c r="K15" s="3">
        <v>0.80542420884867671</v>
      </c>
      <c r="L15" s="3">
        <v>0.9650328845418209</v>
      </c>
      <c r="M15" s="3">
        <v>0.11709401030906741</v>
      </c>
      <c r="N15" s="3">
        <v>0.17998505345490745</v>
      </c>
      <c r="O15" s="3">
        <v>9.4350002834578617E-2</v>
      </c>
      <c r="P15" s="3">
        <v>5.4692343253395115E-2</v>
      </c>
      <c r="Q15" s="3">
        <v>0.23156059767228854</v>
      </c>
      <c r="S15" s="3">
        <v>47911</v>
      </c>
      <c r="T15" s="3">
        <v>0.72901298182875596</v>
      </c>
      <c r="V15" s="3">
        <v>47911</v>
      </c>
      <c r="W15" s="3">
        <v>0.87997006848486958</v>
      </c>
    </row>
    <row r="16" spans="1:23" x14ac:dyDescent="0.3">
      <c r="A16" s="11">
        <f t="shared" si="0"/>
        <v>47911</v>
      </c>
      <c r="B16" s="3">
        <v>3.2584811668802338E-2</v>
      </c>
      <c r="C16" s="3">
        <v>0.76313053613909076</v>
      </c>
      <c r="D16" s="3">
        <v>0.27432978634857386</v>
      </c>
      <c r="E16" s="3">
        <v>0.8148812790311224</v>
      </c>
      <c r="F16" s="3">
        <v>0.28525000595510175</v>
      </c>
      <c r="G16" s="3">
        <v>0.8457649971110196</v>
      </c>
      <c r="H16" s="3">
        <v>0.9224353571341577</v>
      </c>
      <c r="I16" s="3">
        <v>0.19481636210364262</v>
      </c>
      <c r="J16" s="3">
        <v>0.10694969325835113</v>
      </c>
      <c r="K16" s="3">
        <v>0.79057803247795244</v>
      </c>
      <c r="L16" s="3">
        <v>0.10062802899262113</v>
      </c>
      <c r="M16" s="3">
        <v>0.66788400661685887</v>
      </c>
      <c r="N16" s="3">
        <v>0.27948722943642479</v>
      </c>
      <c r="O16" s="3">
        <v>0.32669100375016402</v>
      </c>
      <c r="P16" s="3">
        <v>0.73251446517257102</v>
      </c>
      <c r="Q16" s="3">
        <v>0.47067811864427622</v>
      </c>
      <c r="S16" s="3">
        <v>48277</v>
      </c>
      <c r="T16" s="3">
        <v>0.63942883530635497</v>
      </c>
      <c r="V16" s="3">
        <v>48277</v>
      </c>
      <c r="W16" s="3">
        <v>0.81901022289130709</v>
      </c>
    </row>
    <row r="17" spans="1:28" x14ac:dyDescent="0.3">
      <c r="A17" s="11">
        <f t="shared" si="0"/>
        <v>48277</v>
      </c>
      <c r="B17" s="3">
        <v>0.67158212585941346</v>
      </c>
      <c r="C17" s="3">
        <v>0.76313053613909076</v>
      </c>
      <c r="D17" s="3">
        <v>0.98331340117396515</v>
      </c>
      <c r="E17" s="3">
        <v>0.79772936573240105</v>
      </c>
      <c r="F17" s="3">
        <v>0.31693815062307396</v>
      </c>
      <c r="G17" s="3">
        <v>0.33402723435253212</v>
      </c>
      <c r="H17" s="3">
        <v>0.1920023815261287</v>
      </c>
      <c r="I17" s="3">
        <v>9.1823426589648816E-2</v>
      </c>
      <c r="J17" s="3">
        <v>0.1837218954140476</v>
      </c>
      <c r="K17" s="3">
        <v>0.61402978231813876</v>
      </c>
      <c r="L17" s="3">
        <v>0.90870322127165548</v>
      </c>
      <c r="M17" s="3">
        <v>0.54741973401147992</v>
      </c>
      <c r="N17" s="3">
        <v>0.10677734970681318</v>
      </c>
      <c r="O17" s="3">
        <v>0.43048251979478902</v>
      </c>
      <c r="P17" s="3">
        <v>6.4674224634026056E-2</v>
      </c>
      <c r="Q17" s="3">
        <v>0.95859753249029866</v>
      </c>
      <c r="S17" s="3">
        <v>48642</v>
      </c>
      <c r="T17" s="3">
        <v>0.25209220278698818</v>
      </c>
      <c r="V17" s="3">
        <v>48642</v>
      </c>
      <c r="W17" s="3">
        <v>0.71744752493135822</v>
      </c>
    </row>
    <row r="18" spans="1:28" x14ac:dyDescent="0.3">
      <c r="A18" s="11">
        <f t="shared" si="0"/>
        <v>48642</v>
      </c>
      <c r="B18" s="3">
        <v>0.91037897101168663</v>
      </c>
      <c r="C18" s="3">
        <v>0.76313053613909076</v>
      </c>
      <c r="D18" s="3">
        <v>0.58241812755772349</v>
      </c>
      <c r="E18" s="3">
        <v>0.83349965089529621</v>
      </c>
      <c r="F18" s="3">
        <v>0.32759933687310272</v>
      </c>
      <c r="G18" s="3">
        <v>0.68027779356190332</v>
      </c>
      <c r="H18" s="3">
        <v>0.70650756230774192</v>
      </c>
      <c r="I18" s="3">
        <v>0.1850102991462711</v>
      </c>
      <c r="J18" s="3">
        <v>0.79379820433200943</v>
      </c>
      <c r="K18" s="3">
        <v>0.82881267354358379</v>
      </c>
      <c r="L18" s="3">
        <v>0.61817122155033566</v>
      </c>
      <c r="M18" s="3">
        <v>0.68525455172883964</v>
      </c>
      <c r="N18" s="3">
        <v>0.55564187743457494</v>
      </c>
      <c r="O18" s="3">
        <v>3.7114945585850267E-2</v>
      </c>
      <c r="P18" s="3">
        <v>0.67510101413971746</v>
      </c>
      <c r="Q18" s="3">
        <v>0.282885217356033</v>
      </c>
      <c r="S18" s="3">
        <v>49007</v>
      </c>
      <c r="T18" s="3">
        <v>0.75409063551871247</v>
      </c>
      <c r="V18" s="3">
        <v>49007</v>
      </c>
      <c r="W18" s="3">
        <v>0.56076446738737895</v>
      </c>
    </row>
    <row r="19" spans="1:28" x14ac:dyDescent="0.3">
      <c r="A19" s="11">
        <f t="shared" si="0"/>
        <v>49007</v>
      </c>
      <c r="B19" s="3">
        <v>0.19263422197307345</v>
      </c>
      <c r="C19" s="3">
        <v>0.76313053613909076</v>
      </c>
      <c r="D19" s="3">
        <v>0.51530764977197119</v>
      </c>
      <c r="E19" s="3">
        <v>0.27566313670698728</v>
      </c>
      <c r="F19" s="3">
        <v>7.8451178265791732E-2</v>
      </c>
      <c r="G19" s="3">
        <v>0.79565584234833198</v>
      </c>
      <c r="H19" s="3">
        <v>0.80201805173430074</v>
      </c>
      <c r="I19" s="3">
        <v>0.50077348930318077</v>
      </c>
      <c r="J19" s="3">
        <v>0.89213680213486435</v>
      </c>
      <c r="K19" s="3">
        <v>0.52436802282991613</v>
      </c>
      <c r="L19" s="3">
        <v>0.39224202805753827</v>
      </c>
      <c r="M19" s="3">
        <v>0.64237604727600184</v>
      </c>
      <c r="N19" s="3">
        <v>0.64561241977566253</v>
      </c>
      <c r="O19" s="3">
        <v>0.23696883094369203</v>
      </c>
      <c r="P19" s="3">
        <v>0.75235554742106048</v>
      </c>
      <c r="Q19" s="3">
        <v>0.60723987103269772</v>
      </c>
      <c r="S19" s="3">
        <v>49372</v>
      </c>
      <c r="T19" s="3">
        <v>0.38312509356304159</v>
      </c>
      <c r="V19" s="3">
        <v>49372</v>
      </c>
      <c r="W19" s="3">
        <v>0.23149367144436395</v>
      </c>
    </row>
    <row r="20" spans="1:28" x14ac:dyDescent="0.3">
      <c r="A20" s="11">
        <f t="shared" si="0"/>
        <v>49372</v>
      </c>
      <c r="B20" s="3">
        <v>0.28417939893387201</v>
      </c>
      <c r="C20" s="3">
        <v>0.76313053613909076</v>
      </c>
      <c r="D20" s="3">
        <v>0.56892036998539186</v>
      </c>
      <c r="E20" s="3">
        <v>0.95903242773320663</v>
      </c>
      <c r="F20" s="3">
        <v>0.15081874539094831</v>
      </c>
      <c r="G20" s="3">
        <v>0.41350651206253275</v>
      </c>
      <c r="H20" s="3">
        <v>0.13406185524224268</v>
      </c>
      <c r="I20" s="3">
        <v>0.84153245621974426</v>
      </c>
      <c r="J20" s="3">
        <v>7.8964554637989126E-2</v>
      </c>
      <c r="K20" s="3">
        <v>0.54308154565985856</v>
      </c>
      <c r="L20" s="3">
        <v>0.41097422682105933</v>
      </c>
      <c r="M20" s="3">
        <v>0.24715356346598216</v>
      </c>
      <c r="N20" s="3">
        <v>0.77832964332861743</v>
      </c>
      <c r="O20" s="3">
        <v>0.98881263139853914</v>
      </c>
      <c r="P20" s="3">
        <v>0.96679795121644874</v>
      </c>
      <c r="Q20" s="3">
        <v>0.40815507907771931</v>
      </c>
      <c r="S20" s="3">
        <v>49738</v>
      </c>
      <c r="T20" s="3">
        <v>0.79347798323888619</v>
      </c>
      <c r="V20" s="3">
        <v>49738</v>
      </c>
      <c r="W20" s="3">
        <v>0.66459564944319793</v>
      </c>
    </row>
    <row r="22" spans="1:28" x14ac:dyDescent="0.3">
      <c r="A22" s="4" t="s">
        <v>0</v>
      </c>
      <c r="B22" s="8">
        <v>44624</v>
      </c>
    </row>
    <row r="23" spans="1:28" x14ac:dyDescent="0.3">
      <c r="A23" s="4" t="s">
        <v>5</v>
      </c>
      <c r="B23" s="5">
        <v>150</v>
      </c>
    </row>
    <row r="24" spans="1:28" x14ac:dyDescent="0.3">
      <c r="S24" s="4" t="s">
        <v>2</v>
      </c>
      <c r="T24" s="4" t="s">
        <v>3</v>
      </c>
      <c r="V24" s="4" t="s">
        <v>2</v>
      </c>
      <c r="W24" s="4" t="s">
        <v>4</v>
      </c>
    </row>
    <row r="25" spans="1:28" x14ac:dyDescent="0.3">
      <c r="B25" s="4">
        <v>50</v>
      </c>
      <c r="C25" s="4">
        <v>60</v>
      </c>
      <c r="D25" s="4">
        <v>70</v>
      </c>
      <c r="E25" s="4">
        <v>80</v>
      </c>
      <c r="F25" s="4">
        <v>90</v>
      </c>
      <c r="G25" s="4">
        <v>100</v>
      </c>
      <c r="H25" s="4">
        <v>110</v>
      </c>
      <c r="I25" s="4">
        <v>120</v>
      </c>
      <c r="J25" s="4">
        <v>130</v>
      </c>
      <c r="K25" s="4">
        <v>140</v>
      </c>
      <c r="L25" s="4">
        <v>150</v>
      </c>
      <c r="M25" s="4">
        <v>160</v>
      </c>
      <c r="N25" s="4">
        <v>170</v>
      </c>
      <c r="O25" s="4">
        <v>180</v>
      </c>
      <c r="P25" s="4">
        <v>190</v>
      </c>
      <c r="Q25" s="4">
        <v>200</v>
      </c>
      <c r="S25" s="3">
        <v>44716</v>
      </c>
      <c r="T25" s="3">
        <v>0.7089893287268495</v>
      </c>
      <c r="V25" s="3">
        <v>44716</v>
      </c>
      <c r="W25" s="3">
        <v>0.32351016124943066</v>
      </c>
    </row>
    <row r="26" spans="1:28" x14ac:dyDescent="0.3">
      <c r="A26" s="9">
        <v>44716</v>
      </c>
      <c r="B26" s="3">
        <v>2</v>
      </c>
      <c r="C26" s="3">
        <f>B26+1</f>
        <v>3</v>
      </c>
      <c r="D26" s="3">
        <f t="shared" ref="D26:Q26" si="1">C26+1</f>
        <v>4</v>
      </c>
      <c r="E26" s="3">
        <f t="shared" si="1"/>
        <v>5</v>
      </c>
      <c r="F26" s="3">
        <f t="shared" si="1"/>
        <v>6</v>
      </c>
      <c r="G26" s="3">
        <f t="shared" si="1"/>
        <v>7</v>
      </c>
      <c r="H26" s="3">
        <f t="shared" si="1"/>
        <v>8</v>
      </c>
      <c r="I26" s="3">
        <f t="shared" si="1"/>
        <v>9</v>
      </c>
      <c r="J26" s="3">
        <f t="shared" si="1"/>
        <v>10</v>
      </c>
      <c r="K26" s="3">
        <f t="shared" si="1"/>
        <v>11</v>
      </c>
      <c r="L26" s="3">
        <f t="shared" si="1"/>
        <v>12</v>
      </c>
      <c r="M26" s="3">
        <f t="shared" si="1"/>
        <v>13</v>
      </c>
      <c r="N26" s="3">
        <f t="shared" si="1"/>
        <v>14</v>
      </c>
      <c r="O26" s="3">
        <f t="shared" si="1"/>
        <v>15</v>
      </c>
      <c r="P26" s="3">
        <f t="shared" si="1"/>
        <v>16</v>
      </c>
      <c r="Q26" s="3">
        <f t="shared" si="1"/>
        <v>17</v>
      </c>
      <c r="S26" s="3">
        <v>44808</v>
      </c>
      <c r="T26" s="3">
        <v>0.61005116867312614</v>
      </c>
      <c r="V26" s="3">
        <v>44808</v>
      </c>
      <c r="W26" s="3">
        <v>0.89268134591081361</v>
      </c>
      <c r="Z26" s="3"/>
    </row>
    <row r="27" spans="1:28" x14ac:dyDescent="0.3">
      <c r="A27" s="9">
        <v>44808</v>
      </c>
      <c r="B27" s="3">
        <f>B26+16</f>
        <v>18</v>
      </c>
      <c r="C27" s="3">
        <f t="shared" ref="C27:Q41" si="2">C26+16</f>
        <v>19</v>
      </c>
      <c r="D27" s="3">
        <f t="shared" si="2"/>
        <v>20</v>
      </c>
      <c r="E27" s="3">
        <f t="shared" si="2"/>
        <v>21</v>
      </c>
      <c r="F27" s="3">
        <f t="shared" si="2"/>
        <v>22</v>
      </c>
      <c r="G27" s="3">
        <f t="shared" si="2"/>
        <v>23</v>
      </c>
      <c r="H27" s="3">
        <f t="shared" si="2"/>
        <v>24</v>
      </c>
      <c r="I27" s="3">
        <f t="shared" si="2"/>
        <v>25</v>
      </c>
      <c r="J27" s="3">
        <f t="shared" si="2"/>
        <v>26</v>
      </c>
      <c r="K27" s="3">
        <f t="shared" si="2"/>
        <v>27</v>
      </c>
      <c r="L27" s="3">
        <f t="shared" si="2"/>
        <v>28</v>
      </c>
      <c r="M27" s="3">
        <f t="shared" si="2"/>
        <v>29</v>
      </c>
      <c r="N27" s="3">
        <f t="shared" si="2"/>
        <v>30</v>
      </c>
      <c r="O27" s="3">
        <f t="shared" si="2"/>
        <v>31</v>
      </c>
      <c r="P27" s="3">
        <f t="shared" si="2"/>
        <v>32</v>
      </c>
      <c r="Q27" s="3">
        <f t="shared" si="2"/>
        <v>33</v>
      </c>
      <c r="S27" s="3">
        <v>44899</v>
      </c>
      <c r="T27" s="3">
        <v>0.60149980689503169</v>
      </c>
      <c r="V27" s="3">
        <v>44899</v>
      </c>
      <c r="W27" s="3">
        <v>0.90808954790632046</v>
      </c>
      <c r="Y27" s="3"/>
      <c r="Z27" s="3"/>
    </row>
    <row r="28" spans="1:28" x14ac:dyDescent="0.3">
      <c r="A28" s="9">
        <v>44899</v>
      </c>
      <c r="B28" s="3">
        <f t="shared" ref="B28:B41" si="3">B27+16</f>
        <v>34</v>
      </c>
      <c r="C28" s="3">
        <f t="shared" si="2"/>
        <v>35</v>
      </c>
      <c r="D28" s="3">
        <f t="shared" si="2"/>
        <v>36</v>
      </c>
      <c r="E28" s="3">
        <f t="shared" si="2"/>
        <v>37</v>
      </c>
      <c r="F28" s="3">
        <f t="shared" si="2"/>
        <v>38</v>
      </c>
      <c r="G28" s="3">
        <f t="shared" si="2"/>
        <v>39</v>
      </c>
      <c r="H28" s="3">
        <f t="shared" si="2"/>
        <v>40</v>
      </c>
      <c r="I28" s="3">
        <f t="shared" si="2"/>
        <v>41</v>
      </c>
      <c r="J28" s="3">
        <f t="shared" si="2"/>
        <v>42</v>
      </c>
      <c r="K28" s="3">
        <f t="shared" si="2"/>
        <v>43</v>
      </c>
      <c r="L28" s="3">
        <f t="shared" si="2"/>
        <v>44</v>
      </c>
      <c r="M28" s="3">
        <f t="shared" si="2"/>
        <v>45</v>
      </c>
      <c r="N28" s="3">
        <f t="shared" si="2"/>
        <v>46</v>
      </c>
      <c r="O28" s="3">
        <f t="shared" si="2"/>
        <v>47</v>
      </c>
      <c r="P28" s="3">
        <f t="shared" si="2"/>
        <v>48</v>
      </c>
      <c r="Q28" s="3">
        <f t="shared" si="2"/>
        <v>49</v>
      </c>
      <c r="S28" s="3">
        <v>44989</v>
      </c>
      <c r="T28" s="3">
        <v>0.96719791627739804</v>
      </c>
      <c r="V28" s="3">
        <v>44989</v>
      </c>
      <c r="W28" s="3">
        <v>0.30684569790143257</v>
      </c>
    </row>
    <row r="29" spans="1:28" s="7" customFormat="1" x14ac:dyDescent="0.3">
      <c r="A29" s="10">
        <v>44989</v>
      </c>
      <c r="B29" s="6">
        <f t="shared" si="3"/>
        <v>50</v>
      </c>
      <c r="C29" s="6">
        <f t="shared" si="2"/>
        <v>51</v>
      </c>
      <c r="D29" s="6">
        <f t="shared" si="2"/>
        <v>52</v>
      </c>
      <c r="E29" s="6">
        <f t="shared" si="2"/>
        <v>53</v>
      </c>
      <c r="F29" s="6">
        <f t="shared" si="2"/>
        <v>54</v>
      </c>
      <c r="G29" s="6">
        <f t="shared" si="2"/>
        <v>55</v>
      </c>
      <c r="H29" s="6">
        <f t="shared" si="2"/>
        <v>56</v>
      </c>
      <c r="I29" s="6">
        <f t="shared" si="2"/>
        <v>57</v>
      </c>
      <c r="J29" s="6">
        <f t="shared" si="2"/>
        <v>58</v>
      </c>
      <c r="K29" s="6">
        <f t="shared" si="2"/>
        <v>59</v>
      </c>
      <c r="L29" s="6">
        <f t="shared" si="2"/>
        <v>60</v>
      </c>
      <c r="M29" s="6">
        <f t="shared" si="2"/>
        <v>61</v>
      </c>
      <c r="N29" s="6">
        <f t="shared" si="2"/>
        <v>62</v>
      </c>
      <c r="O29" s="6">
        <f t="shared" si="2"/>
        <v>63</v>
      </c>
      <c r="P29" s="6">
        <f t="shared" si="2"/>
        <v>64</v>
      </c>
      <c r="Q29" s="6">
        <f t="shared" si="2"/>
        <v>65</v>
      </c>
      <c r="R29" s="6"/>
      <c r="S29" s="6">
        <v>45355</v>
      </c>
      <c r="T29" s="6">
        <v>0.34306077988430828</v>
      </c>
      <c r="U29" s="6"/>
      <c r="V29" s="6">
        <v>45355</v>
      </c>
      <c r="W29" s="6">
        <v>0.80195731831366035</v>
      </c>
    </row>
    <row r="30" spans="1:28" x14ac:dyDescent="0.3">
      <c r="A30" s="9">
        <v>45355</v>
      </c>
      <c r="B30" s="3">
        <f t="shared" si="3"/>
        <v>66</v>
      </c>
      <c r="C30" s="3">
        <f t="shared" si="2"/>
        <v>67</v>
      </c>
      <c r="D30" s="3">
        <f t="shared" si="2"/>
        <v>68</v>
      </c>
      <c r="E30" s="3">
        <f t="shared" si="2"/>
        <v>69</v>
      </c>
      <c r="F30" s="3">
        <f t="shared" si="2"/>
        <v>70</v>
      </c>
      <c r="G30" s="3">
        <f t="shared" si="2"/>
        <v>71</v>
      </c>
      <c r="H30" s="3">
        <f t="shared" si="2"/>
        <v>72</v>
      </c>
      <c r="I30" s="3">
        <f t="shared" si="2"/>
        <v>73</v>
      </c>
      <c r="J30" s="3">
        <f t="shared" si="2"/>
        <v>74</v>
      </c>
      <c r="K30" s="3">
        <f t="shared" si="2"/>
        <v>75</v>
      </c>
      <c r="L30" s="3">
        <f t="shared" si="2"/>
        <v>76</v>
      </c>
      <c r="M30" s="3">
        <f t="shared" si="2"/>
        <v>77</v>
      </c>
      <c r="N30" s="3">
        <f t="shared" si="2"/>
        <v>78</v>
      </c>
      <c r="O30" s="3">
        <f t="shared" si="2"/>
        <v>79</v>
      </c>
      <c r="P30" s="3">
        <f t="shared" si="2"/>
        <v>80</v>
      </c>
      <c r="Q30" s="3">
        <f t="shared" si="2"/>
        <v>81</v>
      </c>
      <c r="S30" s="3">
        <v>45720</v>
      </c>
      <c r="T30" s="3">
        <v>0.43228296653859399</v>
      </c>
      <c r="V30" s="3">
        <v>45720</v>
      </c>
      <c r="W30" s="3">
        <v>0.82559280505821664</v>
      </c>
    </row>
    <row r="31" spans="1:28" x14ac:dyDescent="0.3">
      <c r="A31" s="9">
        <v>45720</v>
      </c>
      <c r="B31" s="3">
        <f t="shared" si="3"/>
        <v>82</v>
      </c>
      <c r="C31" s="3">
        <f t="shared" si="2"/>
        <v>83</v>
      </c>
      <c r="D31" s="3">
        <f t="shared" si="2"/>
        <v>84</v>
      </c>
      <c r="E31" s="3">
        <f t="shared" si="2"/>
        <v>85</v>
      </c>
      <c r="F31" s="3">
        <f t="shared" si="2"/>
        <v>86</v>
      </c>
      <c r="G31" s="3">
        <f t="shared" si="2"/>
        <v>87</v>
      </c>
      <c r="H31" s="3">
        <f t="shared" si="2"/>
        <v>88</v>
      </c>
      <c r="I31" s="3">
        <f t="shared" si="2"/>
        <v>89</v>
      </c>
      <c r="J31" s="3">
        <f t="shared" si="2"/>
        <v>90</v>
      </c>
      <c r="K31" s="3">
        <f t="shared" si="2"/>
        <v>91</v>
      </c>
      <c r="L31" s="3">
        <f t="shared" si="2"/>
        <v>92</v>
      </c>
      <c r="M31" s="3">
        <f t="shared" si="2"/>
        <v>93</v>
      </c>
      <c r="N31" s="3">
        <f t="shared" si="2"/>
        <v>94</v>
      </c>
      <c r="O31" s="3">
        <f t="shared" si="2"/>
        <v>95</v>
      </c>
      <c r="P31" s="3">
        <f t="shared" si="2"/>
        <v>96</v>
      </c>
      <c r="Q31" s="3">
        <f t="shared" si="2"/>
        <v>97</v>
      </c>
      <c r="S31" s="3">
        <v>46085</v>
      </c>
      <c r="T31" s="3">
        <v>0.1755614386541452</v>
      </c>
      <c r="V31" s="3">
        <v>46085</v>
      </c>
      <c r="W31" s="3">
        <v>0.4518058844796653</v>
      </c>
    </row>
    <row r="32" spans="1:28" x14ac:dyDescent="0.3">
      <c r="A32" s="9">
        <v>46085</v>
      </c>
      <c r="B32" s="3">
        <f t="shared" si="3"/>
        <v>98</v>
      </c>
      <c r="C32" s="3">
        <f t="shared" si="2"/>
        <v>99</v>
      </c>
      <c r="D32" s="3">
        <f t="shared" si="2"/>
        <v>100</v>
      </c>
      <c r="E32" s="3">
        <f t="shared" si="2"/>
        <v>101</v>
      </c>
      <c r="F32" s="3">
        <f t="shared" si="2"/>
        <v>102</v>
      </c>
      <c r="G32" s="3">
        <f t="shared" si="2"/>
        <v>103</v>
      </c>
      <c r="H32" s="3">
        <f t="shared" si="2"/>
        <v>104</v>
      </c>
      <c r="I32" s="3">
        <f t="shared" si="2"/>
        <v>105</v>
      </c>
      <c r="J32" s="3">
        <f t="shared" si="2"/>
        <v>106</v>
      </c>
      <c r="K32" s="3">
        <f t="shared" si="2"/>
        <v>107</v>
      </c>
      <c r="L32" s="3">
        <f t="shared" si="2"/>
        <v>108</v>
      </c>
      <c r="M32" s="3">
        <f t="shared" si="2"/>
        <v>109</v>
      </c>
      <c r="N32" s="3">
        <f t="shared" si="2"/>
        <v>110</v>
      </c>
      <c r="O32" s="3">
        <f t="shared" si="2"/>
        <v>111</v>
      </c>
      <c r="P32" s="3">
        <f t="shared" si="2"/>
        <v>112</v>
      </c>
      <c r="Q32" s="3">
        <f t="shared" si="2"/>
        <v>113</v>
      </c>
      <c r="S32" s="6">
        <v>46450</v>
      </c>
      <c r="T32" s="6">
        <v>0.61742129631177334</v>
      </c>
      <c r="U32" s="6"/>
      <c r="V32" s="6">
        <v>46450</v>
      </c>
      <c r="W32" s="6">
        <v>0.60798906477199643</v>
      </c>
      <c r="AB32" t="s">
        <v>11</v>
      </c>
    </row>
    <row r="33" spans="1:23" x14ac:dyDescent="0.3">
      <c r="A33" s="10">
        <v>46450</v>
      </c>
      <c r="B33" s="6">
        <f t="shared" si="3"/>
        <v>114</v>
      </c>
      <c r="C33" s="6">
        <f t="shared" si="2"/>
        <v>115</v>
      </c>
      <c r="D33" s="6">
        <f t="shared" si="2"/>
        <v>116</v>
      </c>
      <c r="E33" s="6">
        <f t="shared" si="2"/>
        <v>117</v>
      </c>
      <c r="F33" s="6">
        <f t="shared" si="2"/>
        <v>118</v>
      </c>
      <c r="G33" s="6">
        <f t="shared" si="2"/>
        <v>119</v>
      </c>
      <c r="H33" s="6">
        <f t="shared" si="2"/>
        <v>120</v>
      </c>
      <c r="I33" s="6">
        <f t="shared" si="2"/>
        <v>121</v>
      </c>
      <c r="J33" s="6">
        <f t="shared" si="2"/>
        <v>122</v>
      </c>
      <c r="K33" s="6">
        <f t="shared" si="2"/>
        <v>123</v>
      </c>
      <c r="L33" s="6">
        <f t="shared" si="2"/>
        <v>124</v>
      </c>
      <c r="M33" s="6">
        <f t="shared" si="2"/>
        <v>125</v>
      </c>
      <c r="N33" s="6">
        <f t="shared" si="2"/>
        <v>126</v>
      </c>
      <c r="O33" s="6">
        <f t="shared" si="2"/>
        <v>127</v>
      </c>
      <c r="P33" s="6">
        <f t="shared" si="2"/>
        <v>128</v>
      </c>
      <c r="Q33" s="6">
        <f t="shared" si="2"/>
        <v>129</v>
      </c>
      <c r="R33" s="6"/>
      <c r="S33" s="3">
        <v>46816</v>
      </c>
      <c r="T33" s="3">
        <v>0.15826323993928426</v>
      </c>
      <c r="V33" s="3">
        <v>46816</v>
      </c>
      <c r="W33" s="3">
        <v>0.89794714230654826</v>
      </c>
    </row>
    <row r="34" spans="1:23" x14ac:dyDescent="0.3">
      <c r="A34" s="9">
        <v>46816</v>
      </c>
      <c r="B34" s="3">
        <f t="shared" si="3"/>
        <v>130</v>
      </c>
      <c r="C34" s="3">
        <f t="shared" si="2"/>
        <v>131</v>
      </c>
      <c r="D34" s="3">
        <f t="shared" si="2"/>
        <v>132</v>
      </c>
      <c r="E34" s="3">
        <f t="shared" si="2"/>
        <v>133</v>
      </c>
      <c r="F34" s="3">
        <f t="shared" si="2"/>
        <v>134</v>
      </c>
      <c r="G34" s="3">
        <f t="shared" si="2"/>
        <v>135</v>
      </c>
      <c r="H34" s="3">
        <f t="shared" si="2"/>
        <v>136</v>
      </c>
      <c r="I34" s="3">
        <f t="shared" si="2"/>
        <v>137</v>
      </c>
      <c r="J34" s="3">
        <f t="shared" si="2"/>
        <v>138</v>
      </c>
      <c r="K34" s="3">
        <f t="shared" si="2"/>
        <v>139</v>
      </c>
      <c r="L34" s="3">
        <f t="shared" si="2"/>
        <v>140</v>
      </c>
      <c r="M34" s="3">
        <f t="shared" si="2"/>
        <v>141</v>
      </c>
      <c r="N34" s="3">
        <f t="shared" si="2"/>
        <v>142</v>
      </c>
      <c r="O34" s="3">
        <f t="shared" si="2"/>
        <v>143</v>
      </c>
      <c r="P34" s="3">
        <f t="shared" si="2"/>
        <v>144</v>
      </c>
      <c r="Q34" s="3">
        <f t="shared" si="2"/>
        <v>145</v>
      </c>
      <c r="S34" s="3">
        <v>47181</v>
      </c>
      <c r="T34" s="3">
        <v>0.32943752715968322</v>
      </c>
      <c r="V34" s="3">
        <v>47181</v>
      </c>
      <c r="W34" s="3">
        <v>0.43140805594248599</v>
      </c>
    </row>
    <row r="35" spans="1:23" x14ac:dyDescent="0.3">
      <c r="A35" s="9">
        <v>47181</v>
      </c>
      <c r="B35" s="3">
        <f t="shared" si="3"/>
        <v>146</v>
      </c>
      <c r="C35" s="3">
        <f t="shared" si="2"/>
        <v>147</v>
      </c>
      <c r="D35" s="3">
        <f t="shared" si="2"/>
        <v>148</v>
      </c>
      <c r="E35" s="3">
        <f t="shared" si="2"/>
        <v>149</v>
      </c>
      <c r="F35" s="3">
        <f>F34+16</f>
        <v>150</v>
      </c>
      <c r="G35" s="3">
        <f t="shared" si="2"/>
        <v>151</v>
      </c>
      <c r="H35" s="3">
        <f t="shared" si="2"/>
        <v>152</v>
      </c>
      <c r="I35" s="3">
        <f t="shared" si="2"/>
        <v>153</v>
      </c>
      <c r="J35" s="3">
        <f t="shared" si="2"/>
        <v>154</v>
      </c>
      <c r="K35" s="3">
        <f t="shared" si="2"/>
        <v>155</v>
      </c>
      <c r="L35" s="3">
        <f t="shared" si="2"/>
        <v>156</v>
      </c>
      <c r="M35" s="3">
        <f t="shared" si="2"/>
        <v>157</v>
      </c>
      <c r="N35" s="3">
        <f t="shared" si="2"/>
        <v>158</v>
      </c>
      <c r="O35" s="3">
        <f t="shared" si="2"/>
        <v>159</v>
      </c>
      <c r="P35" s="3">
        <f t="shared" si="2"/>
        <v>160</v>
      </c>
      <c r="Q35" s="3">
        <f t="shared" si="2"/>
        <v>161</v>
      </c>
      <c r="S35" s="3">
        <v>47546</v>
      </c>
      <c r="T35" s="3">
        <v>0.77975005057087576</v>
      </c>
      <c r="V35" s="3">
        <v>47546</v>
      </c>
      <c r="W35" s="3">
        <v>0.63115516124099935</v>
      </c>
    </row>
    <row r="36" spans="1:23" x14ac:dyDescent="0.3">
      <c r="A36" s="9">
        <v>47546</v>
      </c>
      <c r="B36" s="3">
        <f t="shared" si="3"/>
        <v>162</v>
      </c>
      <c r="C36" s="3">
        <f t="shared" si="2"/>
        <v>163</v>
      </c>
      <c r="D36" s="3">
        <f t="shared" si="2"/>
        <v>164</v>
      </c>
      <c r="E36" s="3">
        <f t="shared" si="2"/>
        <v>165</v>
      </c>
      <c r="F36" s="3">
        <f t="shared" si="2"/>
        <v>166</v>
      </c>
      <c r="G36" s="3">
        <f t="shared" si="2"/>
        <v>167</v>
      </c>
      <c r="H36" s="3">
        <f t="shared" si="2"/>
        <v>168</v>
      </c>
      <c r="I36" s="3">
        <f t="shared" si="2"/>
        <v>169</v>
      </c>
      <c r="J36" s="3">
        <f t="shared" si="2"/>
        <v>170</v>
      </c>
      <c r="K36" s="3">
        <f t="shared" si="2"/>
        <v>171</v>
      </c>
      <c r="L36" s="3">
        <f t="shared" si="2"/>
        <v>172</v>
      </c>
      <c r="M36" s="3">
        <f t="shared" si="2"/>
        <v>173</v>
      </c>
      <c r="N36" s="3">
        <f t="shared" si="2"/>
        <v>174</v>
      </c>
      <c r="O36" s="3">
        <f t="shared" si="2"/>
        <v>175</v>
      </c>
      <c r="P36" s="3">
        <f t="shared" si="2"/>
        <v>176</v>
      </c>
      <c r="Q36" s="3">
        <f t="shared" si="2"/>
        <v>177</v>
      </c>
      <c r="S36" s="3">
        <v>47911</v>
      </c>
      <c r="T36" s="3">
        <v>0.72901298182875596</v>
      </c>
      <c r="V36" s="3">
        <v>47911</v>
      </c>
      <c r="W36" s="3">
        <v>0.87997006848486958</v>
      </c>
    </row>
    <row r="37" spans="1:23" x14ac:dyDescent="0.3">
      <c r="A37" s="9">
        <v>47911</v>
      </c>
      <c r="B37" s="3">
        <f t="shared" si="3"/>
        <v>178</v>
      </c>
      <c r="C37" s="3">
        <f t="shared" si="2"/>
        <v>179</v>
      </c>
      <c r="D37" s="3">
        <f t="shared" si="2"/>
        <v>180</v>
      </c>
      <c r="E37" s="3">
        <f t="shared" si="2"/>
        <v>181</v>
      </c>
      <c r="F37" s="3">
        <f t="shared" si="2"/>
        <v>182</v>
      </c>
      <c r="G37" s="3">
        <f t="shared" si="2"/>
        <v>183</v>
      </c>
      <c r="H37" s="3">
        <f t="shared" si="2"/>
        <v>184</v>
      </c>
      <c r="I37" s="3">
        <f t="shared" si="2"/>
        <v>185</v>
      </c>
      <c r="J37" s="3">
        <f t="shared" si="2"/>
        <v>186</v>
      </c>
      <c r="K37" s="3">
        <f t="shared" si="2"/>
        <v>187</v>
      </c>
      <c r="L37" s="3">
        <f t="shared" si="2"/>
        <v>188</v>
      </c>
      <c r="M37" s="3">
        <f t="shared" si="2"/>
        <v>189</v>
      </c>
      <c r="N37" s="3">
        <f t="shared" si="2"/>
        <v>190</v>
      </c>
      <c r="O37" s="3">
        <f t="shared" si="2"/>
        <v>191</v>
      </c>
      <c r="P37" s="3">
        <f t="shared" si="2"/>
        <v>192</v>
      </c>
      <c r="Q37" s="3">
        <f t="shared" si="2"/>
        <v>193</v>
      </c>
      <c r="S37" s="3">
        <v>48277</v>
      </c>
      <c r="T37" s="3">
        <v>0.63942883530635497</v>
      </c>
      <c r="V37" s="3">
        <v>48277</v>
      </c>
      <c r="W37" s="3">
        <v>0.81901022289130709</v>
      </c>
    </row>
    <row r="38" spans="1:23" x14ac:dyDescent="0.3">
      <c r="A38" s="9">
        <v>48277</v>
      </c>
      <c r="B38" s="3">
        <f t="shared" si="3"/>
        <v>194</v>
      </c>
      <c r="C38" s="3">
        <f t="shared" si="2"/>
        <v>195</v>
      </c>
      <c r="D38" s="3">
        <f t="shared" si="2"/>
        <v>196</v>
      </c>
      <c r="E38" s="3">
        <f t="shared" si="2"/>
        <v>197</v>
      </c>
      <c r="F38" s="3">
        <f t="shared" si="2"/>
        <v>198</v>
      </c>
      <c r="G38" s="3">
        <f t="shared" si="2"/>
        <v>199</v>
      </c>
      <c r="H38" s="3">
        <f t="shared" si="2"/>
        <v>200</v>
      </c>
      <c r="I38" s="3">
        <f t="shared" si="2"/>
        <v>201</v>
      </c>
      <c r="J38" s="3">
        <f t="shared" si="2"/>
        <v>202</v>
      </c>
      <c r="K38" s="3">
        <f t="shared" si="2"/>
        <v>203</v>
      </c>
      <c r="L38" s="3">
        <f t="shared" si="2"/>
        <v>204</v>
      </c>
      <c r="M38" s="3">
        <f t="shared" si="2"/>
        <v>205</v>
      </c>
      <c r="N38" s="3">
        <f t="shared" si="2"/>
        <v>206</v>
      </c>
      <c r="O38" s="3">
        <f t="shared" si="2"/>
        <v>207</v>
      </c>
      <c r="P38" s="3">
        <f t="shared" si="2"/>
        <v>208</v>
      </c>
      <c r="Q38" s="3">
        <f t="shared" si="2"/>
        <v>209</v>
      </c>
      <c r="S38" s="3">
        <v>48642</v>
      </c>
      <c r="T38" s="3">
        <v>0.25209220278698818</v>
      </c>
      <c r="V38" s="3">
        <v>48642</v>
      </c>
      <c r="W38" s="3">
        <v>0.71744752493135822</v>
      </c>
    </row>
    <row r="39" spans="1:23" x14ac:dyDescent="0.3">
      <c r="A39" s="9">
        <v>48642</v>
      </c>
      <c r="B39" s="3">
        <f t="shared" si="3"/>
        <v>210</v>
      </c>
      <c r="C39" s="3">
        <f t="shared" si="2"/>
        <v>211</v>
      </c>
      <c r="D39" s="3">
        <f t="shared" si="2"/>
        <v>212</v>
      </c>
      <c r="E39" s="3">
        <f t="shared" si="2"/>
        <v>213</v>
      </c>
      <c r="F39" s="3">
        <f t="shared" si="2"/>
        <v>214</v>
      </c>
      <c r="G39" s="3">
        <f t="shared" si="2"/>
        <v>215</v>
      </c>
      <c r="H39" s="3">
        <f t="shared" si="2"/>
        <v>216</v>
      </c>
      <c r="I39" s="3">
        <f t="shared" si="2"/>
        <v>217</v>
      </c>
      <c r="J39" s="3">
        <f t="shared" si="2"/>
        <v>218</v>
      </c>
      <c r="K39" s="3">
        <f t="shared" si="2"/>
        <v>219</v>
      </c>
      <c r="L39" s="3">
        <f t="shared" si="2"/>
        <v>220</v>
      </c>
      <c r="M39" s="3">
        <f t="shared" si="2"/>
        <v>221</v>
      </c>
      <c r="N39" s="3">
        <f t="shared" si="2"/>
        <v>222</v>
      </c>
      <c r="O39" s="3">
        <f t="shared" si="2"/>
        <v>223</v>
      </c>
      <c r="P39" s="3">
        <f t="shared" si="2"/>
        <v>224</v>
      </c>
      <c r="Q39" s="3">
        <f t="shared" si="2"/>
        <v>225</v>
      </c>
      <c r="S39" s="3">
        <v>49007</v>
      </c>
      <c r="T39" s="3">
        <v>0.75409063551871247</v>
      </c>
      <c r="V39" s="3">
        <v>49007</v>
      </c>
      <c r="W39" s="3">
        <v>0.56076446738737895</v>
      </c>
    </row>
    <row r="40" spans="1:23" x14ac:dyDescent="0.3">
      <c r="A40" s="9">
        <v>49007</v>
      </c>
      <c r="B40" s="3">
        <f t="shared" si="3"/>
        <v>226</v>
      </c>
      <c r="C40" s="3">
        <f t="shared" si="2"/>
        <v>227</v>
      </c>
      <c r="D40" s="3">
        <f t="shared" si="2"/>
        <v>228</v>
      </c>
      <c r="E40" s="3">
        <f t="shared" si="2"/>
        <v>229</v>
      </c>
      <c r="F40" s="3">
        <f t="shared" si="2"/>
        <v>230</v>
      </c>
      <c r="G40" s="3">
        <f t="shared" si="2"/>
        <v>231</v>
      </c>
      <c r="H40" s="3">
        <f t="shared" si="2"/>
        <v>232</v>
      </c>
      <c r="I40" s="3">
        <f t="shared" si="2"/>
        <v>233</v>
      </c>
      <c r="J40" s="3">
        <f t="shared" si="2"/>
        <v>234</v>
      </c>
      <c r="K40" s="3">
        <f t="shared" si="2"/>
        <v>235</v>
      </c>
      <c r="L40" s="3">
        <f t="shared" si="2"/>
        <v>236</v>
      </c>
      <c r="M40" s="3">
        <f t="shared" si="2"/>
        <v>237</v>
      </c>
      <c r="N40" s="3">
        <f t="shared" si="2"/>
        <v>238</v>
      </c>
      <c r="O40" s="3">
        <f t="shared" si="2"/>
        <v>239</v>
      </c>
      <c r="P40" s="3">
        <f t="shared" si="2"/>
        <v>240</v>
      </c>
      <c r="Q40" s="3">
        <f t="shared" si="2"/>
        <v>241</v>
      </c>
      <c r="S40" s="3">
        <v>49372</v>
      </c>
      <c r="T40" s="3">
        <v>0.38312509356304159</v>
      </c>
      <c r="V40" s="3">
        <v>49372</v>
      </c>
      <c r="W40" s="3">
        <v>0.23149367144436395</v>
      </c>
    </row>
    <row r="41" spans="1:23" x14ac:dyDescent="0.3">
      <c r="A41" s="9">
        <v>49372</v>
      </c>
      <c r="B41" s="3">
        <f t="shared" si="3"/>
        <v>242</v>
      </c>
      <c r="C41" s="3">
        <f t="shared" si="2"/>
        <v>243</v>
      </c>
      <c r="D41" s="3">
        <f t="shared" si="2"/>
        <v>244</v>
      </c>
      <c r="E41" s="3">
        <f t="shared" si="2"/>
        <v>245</v>
      </c>
      <c r="F41" s="3">
        <f t="shared" si="2"/>
        <v>246</v>
      </c>
      <c r="G41" s="3">
        <f t="shared" si="2"/>
        <v>247</v>
      </c>
      <c r="H41" s="3">
        <f t="shared" si="2"/>
        <v>248</v>
      </c>
      <c r="I41" s="3">
        <f t="shared" si="2"/>
        <v>249</v>
      </c>
      <c r="J41" s="3">
        <f t="shared" si="2"/>
        <v>250</v>
      </c>
      <c r="K41" s="3">
        <f t="shared" si="2"/>
        <v>251</v>
      </c>
      <c r="L41" s="3">
        <f t="shared" si="2"/>
        <v>252</v>
      </c>
      <c r="M41" s="3">
        <f t="shared" si="2"/>
        <v>253</v>
      </c>
      <c r="N41" s="3">
        <f t="shared" si="2"/>
        <v>254</v>
      </c>
      <c r="O41" s="3">
        <f t="shared" si="2"/>
        <v>255</v>
      </c>
      <c r="P41" s="3">
        <f t="shared" si="2"/>
        <v>256</v>
      </c>
      <c r="Q41" s="3">
        <f t="shared" si="2"/>
        <v>257</v>
      </c>
      <c r="S41" s="3">
        <v>49738</v>
      </c>
      <c r="T41" s="3">
        <v>0.79347798323888619</v>
      </c>
      <c r="V41" s="3">
        <v>49738</v>
      </c>
      <c r="W41" s="3">
        <v>0.66459564944319793</v>
      </c>
    </row>
    <row r="43" spans="1:23" x14ac:dyDescent="0.3">
      <c r="A43" s="4" t="s">
        <v>0</v>
      </c>
      <c r="B43" s="5">
        <v>44624</v>
      </c>
    </row>
    <row r="44" spans="1:23" x14ac:dyDescent="0.3">
      <c r="A44" s="4" t="s">
        <v>6</v>
      </c>
      <c r="B44" s="5">
        <v>125</v>
      </c>
    </row>
    <row r="45" spans="1:23" x14ac:dyDescent="0.3">
      <c r="S45" s="3" t="s">
        <v>2</v>
      </c>
      <c r="T45" s="3" t="s">
        <v>3</v>
      </c>
      <c r="V45" s="3" t="s">
        <v>2</v>
      </c>
      <c r="W45" s="3" t="s">
        <v>4</v>
      </c>
    </row>
    <row r="46" spans="1:23" x14ac:dyDescent="0.3">
      <c r="B46" s="4">
        <v>50</v>
      </c>
      <c r="C46" s="4">
        <v>60</v>
      </c>
      <c r="D46" s="4">
        <v>70</v>
      </c>
      <c r="E46" s="4">
        <v>80</v>
      </c>
      <c r="F46" s="4">
        <v>90</v>
      </c>
      <c r="G46" s="4">
        <v>100</v>
      </c>
      <c r="H46" s="4">
        <v>110</v>
      </c>
      <c r="I46" s="4">
        <v>120</v>
      </c>
      <c r="J46" s="4">
        <v>130</v>
      </c>
      <c r="K46" s="4">
        <v>140</v>
      </c>
      <c r="L46" s="4">
        <v>150</v>
      </c>
      <c r="M46" s="4">
        <v>160</v>
      </c>
      <c r="N46" s="4">
        <v>170</v>
      </c>
      <c r="O46" s="4">
        <v>180</v>
      </c>
      <c r="P46" s="4">
        <v>190</v>
      </c>
      <c r="Q46" s="4">
        <v>200</v>
      </c>
      <c r="S46" s="3">
        <v>44716</v>
      </c>
      <c r="T46" s="3">
        <v>0.7089893287268495</v>
      </c>
      <c r="V46" s="3">
        <v>44716</v>
      </c>
      <c r="W46" s="3">
        <v>0.32351016124943066</v>
      </c>
    </row>
    <row r="47" spans="1:23" x14ac:dyDescent="0.3">
      <c r="A47" s="4">
        <v>44716</v>
      </c>
      <c r="B47" s="3">
        <v>3</v>
      </c>
      <c r="C47" s="3">
        <v>0.67505725053933696</v>
      </c>
      <c r="D47" s="3">
        <v>0.2866810854803773</v>
      </c>
      <c r="E47" s="3">
        <v>0.76120355676952922</v>
      </c>
      <c r="F47" s="3">
        <v>0.49107242996003064</v>
      </c>
      <c r="G47" s="3">
        <v>0.1687233163416979</v>
      </c>
      <c r="H47" s="3">
        <v>0.46131022117771014</v>
      </c>
      <c r="I47" s="3">
        <v>0.53113391363910345</v>
      </c>
      <c r="J47" s="3">
        <v>0.45420355800577106</v>
      </c>
      <c r="K47" s="3">
        <v>0.28251102645629178</v>
      </c>
      <c r="L47" s="3">
        <v>0.37638399154152524</v>
      </c>
      <c r="M47" s="3">
        <v>0.69615200763892349</v>
      </c>
      <c r="N47" s="3">
        <v>3.7947529748440401E-2</v>
      </c>
      <c r="O47" s="3">
        <v>0.9962179273929942</v>
      </c>
      <c r="P47" s="3">
        <v>0.75575870153618852</v>
      </c>
      <c r="Q47" s="3">
        <v>0.22825382480555112</v>
      </c>
      <c r="S47" s="3">
        <v>44808</v>
      </c>
      <c r="T47" s="3">
        <v>0.61005116867312614</v>
      </c>
      <c r="V47" s="3">
        <v>44808</v>
      </c>
      <c r="W47" s="3">
        <v>0.89268134591081361</v>
      </c>
    </row>
    <row r="48" spans="1:23" x14ac:dyDescent="0.3">
      <c r="A48" s="4">
        <v>44808</v>
      </c>
      <c r="B48" s="3">
        <v>0.73098973526290845</v>
      </c>
      <c r="C48" s="3">
        <v>0.84687704570910904</v>
      </c>
      <c r="D48" s="3">
        <v>7.4636248313663667E-2</v>
      </c>
      <c r="E48" s="3">
        <v>0.60997289028216606</v>
      </c>
      <c r="F48" s="3">
        <v>2.1748283378360211E-2</v>
      </c>
      <c r="G48" s="3">
        <v>0.79284621398206023</v>
      </c>
      <c r="H48" s="3">
        <v>0.65365044626167246</v>
      </c>
      <c r="I48" s="3">
        <v>2.1494027908884217E-2</v>
      </c>
      <c r="J48" s="3">
        <v>0.74058431973689254</v>
      </c>
      <c r="K48" s="3">
        <v>0.73378327983401093</v>
      </c>
      <c r="L48" s="3">
        <v>0.12461288898736522</v>
      </c>
      <c r="M48" s="3">
        <v>0.70346207595521781</v>
      </c>
      <c r="N48" s="3">
        <v>0.64726238874090436</v>
      </c>
      <c r="O48" s="3">
        <v>0.69152625810990542</v>
      </c>
      <c r="P48" s="3">
        <v>0.77247672150067148</v>
      </c>
      <c r="Q48" s="3">
        <v>0.82489932245686914</v>
      </c>
      <c r="S48" s="3">
        <v>44899</v>
      </c>
      <c r="T48" s="3">
        <v>0.60149980689503169</v>
      </c>
      <c r="V48" s="3">
        <v>44899</v>
      </c>
      <c r="W48" s="3">
        <v>0.90808954790632046</v>
      </c>
    </row>
    <row r="49" spans="1:23" x14ac:dyDescent="0.3">
      <c r="A49" s="4">
        <v>44899</v>
      </c>
      <c r="B49" s="3">
        <v>0.16090280753263619</v>
      </c>
      <c r="C49" s="3">
        <v>0.78144554461782934</v>
      </c>
      <c r="D49" s="3">
        <v>0.32346196578786368</v>
      </c>
      <c r="E49" s="3">
        <v>0.584209294331968</v>
      </c>
      <c r="F49" s="3">
        <v>0.19192958311630792</v>
      </c>
      <c r="G49" s="3">
        <v>0.60579693083815689</v>
      </c>
      <c r="H49" s="3">
        <v>0.68383016514316208</v>
      </c>
      <c r="I49" s="3">
        <v>0.27960676697085685</v>
      </c>
      <c r="J49" s="3">
        <v>0.1861830356526305</v>
      </c>
      <c r="K49" s="3">
        <v>0.66978234472544418</v>
      </c>
      <c r="L49" s="3">
        <v>0.17187390810078851</v>
      </c>
      <c r="M49" s="3">
        <v>0.60790955139101388</v>
      </c>
      <c r="N49" s="3">
        <v>4.3642637109265303E-2</v>
      </c>
      <c r="O49" s="3">
        <v>0.70494022691346436</v>
      </c>
      <c r="P49" s="3">
        <v>0.76728802649838679</v>
      </c>
      <c r="Q49" s="3">
        <v>0.56020390465008552</v>
      </c>
      <c r="S49" s="3">
        <v>44989</v>
      </c>
      <c r="T49" s="3">
        <v>0.96719791627739848</v>
      </c>
      <c r="V49" s="3">
        <v>44989</v>
      </c>
      <c r="W49" s="3">
        <v>0.30684569790143257</v>
      </c>
    </row>
    <row r="50" spans="1:23" x14ac:dyDescent="0.3">
      <c r="A50" s="4">
        <v>44989</v>
      </c>
      <c r="B50" s="3">
        <v>0.29101841852939581</v>
      </c>
      <c r="C50" s="3">
        <v>0.78618346367961967</v>
      </c>
      <c r="D50" s="3">
        <v>8.7595213503307345E-2</v>
      </c>
      <c r="E50" s="3">
        <v>0.88037017228273118</v>
      </c>
      <c r="F50" s="3">
        <v>0.3738642887604996</v>
      </c>
      <c r="G50" s="3">
        <v>0.1584261980635191</v>
      </c>
      <c r="H50" s="3">
        <v>0.22738369047031781</v>
      </c>
      <c r="I50" s="3">
        <v>0.15194347712958378</v>
      </c>
      <c r="J50" s="3">
        <v>0.1683732478350326</v>
      </c>
      <c r="K50" s="3">
        <v>0.37486718249002959</v>
      </c>
      <c r="L50" s="3">
        <v>0.32124136074199594</v>
      </c>
      <c r="M50" s="3">
        <v>0.51991572741488024</v>
      </c>
      <c r="N50" s="3">
        <v>0.15552383055839569</v>
      </c>
      <c r="O50" s="3">
        <v>0.75603402934257757</v>
      </c>
      <c r="P50" s="3">
        <v>0.74560815166910066</v>
      </c>
      <c r="Q50" s="3">
        <v>0.96174476355134342</v>
      </c>
      <c r="S50" s="3">
        <v>45355</v>
      </c>
      <c r="T50" s="3">
        <v>0.34306077988430828</v>
      </c>
      <c r="V50" s="3">
        <v>45355</v>
      </c>
      <c r="W50" s="3">
        <v>0.80195731831366035</v>
      </c>
    </row>
    <row r="51" spans="1:23" x14ac:dyDescent="0.3">
      <c r="A51" s="4">
        <v>45355</v>
      </c>
      <c r="B51" s="3">
        <v>0.50284707768105785</v>
      </c>
      <c r="C51" s="3">
        <v>0.44652082747780875</v>
      </c>
      <c r="D51" s="3">
        <v>0.90034754227557856</v>
      </c>
      <c r="E51" s="3">
        <v>0.93549821132897504</v>
      </c>
      <c r="F51" s="3">
        <v>0.62229544255891001</v>
      </c>
      <c r="G51" s="3">
        <v>0.83694099430646607</v>
      </c>
      <c r="H51" s="3">
        <v>0.24388557298030089</v>
      </c>
      <c r="I51" s="3">
        <v>0.47538092741184557</v>
      </c>
      <c r="J51" s="3">
        <v>0.59424974715789225</v>
      </c>
      <c r="K51" s="3">
        <v>0.85309030881884196</v>
      </c>
      <c r="L51" s="3">
        <v>0.6981141152931577</v>
      </c>
      <c r="M51" s="3">
        <v>0.6022359856119639</v>
      </c>
      <c r="N51" s="3">
        <v>8.8756234989093574E-2</v>
      </c>
      <c r="O51" s="3">
        <v>0.1641765219765613</v>
      </c>
      <c r="P51" s="3">
        <v>0.91325546001079139</v>
      </c>
      <c r="Q51" s="3">
        <v>0.24237835085758153</v>
      </c>
      <c r="S51" s="3">
        <v>45720</v>
      </c>
      <c r="T51" s="3">
        <v>0.43228296653859399</v>
      </c>
      <c r="V51" s="3">
        <v>45720</v>
      </c>
      <c r="W51" s="3">
        <v>0.82559280505821664</v>
      </c>
    </row>
    <row r="52" spans="1:23" x14ac:dyDescent="0.3">
      <c r="A52" s="4">
        <v>45720</v>
      </c>
      <c r="B52" s="3">
        <v>0.90624649341312979</v>
      </c>
      <c r="C52" s="3">
        <v>0.76313053613909076</v>
      </c>
      <c r="D52" s="3">
        <v>0.60367523781573285</v>
      </c>
      <c r="E52" s="3">
        <v>0.53165420428779075</v>
      </c>
      <c r="F52" s="3">
        <v>0.67738594902767046</v>
      </c>
      <c r="G52" s="3">
        <v>0.15985195009538267</v>
      </c>
      <c r="H52" s="3">
        <v>0.81742678006175584</v>
      </c>
      <c r="I52" s="3">
        <v>0.41100741570494004</v>
      </c>
      <c r="J52" s="3">
        <v>0.34249143441210417</v>
      </c>
      <c r="K52" s="3">
        <v>0.72424517490996987</v>
      </c>
      <c r="L52" s="3">
        <v>0.54404856093612897</v>
      </c>
      <c r="M52" s="3">
        <v>0.87568428999103809</v>
      </c>
      <c r="N52" s="3">
        <v>8.790915219933948E-2</v>
      </c>
      <c r="O52" s="3">
        <v>0.78432094773737759</v>
      </c>
      <c r="P52" s="3">
        <v>0.73072459938858192</v>
      </c>
      <c r="Q52" s="3">
        <v>0.39159556896829806</v>
      </c>
      <c r="S52" s="3">
        <v>46085</v>
      </c>
      <c r="T52" s="3">
        <v>0.1755614386541452</v>
      </c>
      <c r="V52" s="3">
        <v>46085</v>
      </c>
      <c r="W52" s="3">
        <v>0.4518058844796653</v>
      </c>
    </row>
    <row r="53" spans="1:23" x14ac:dyDescent="0.3">
      <c r="A53" s="4">
        <v>46085</v>
      </c>
      <c r="B53" s="3">
        <v>0.90619715316161809</v>
      </c>
      <c r="C53" s="3">
        <v>0.4321045614221265</v>
      </c>
      <c r="D53" s="3">
        <v>0.8747466579943417</v>
      </c>
      <c r="E53" s="3">
        <v>0.29757432342413248</v>
      </c>
      <c r="F53" s="3">
        <v>0.23685476795478222</v>
      </c>
      <c r="G53" s="3">
        <v>0.71955653807257736</v>
      </c>
      <c r="H53" s="3">
        <v>1.2098609304554198E-2</v>
      </c>
      <c r="I53" s="3">
        <v>0.3945203994499008</v>
      </c>
      <c r="J53" s="3">
        <v>0.71565859928355724</v>
      </c>
      <c r="K53" s="3">
        <v>0.23048859557633583</v>
      </c>
      <c r="L53" s="3">
        <v>0.98939321816127601</v>
      </c>
      <c r="M53" s="3">
        <v>0.47032028970982331</v>
      </c>
      <c r="N53" s="3">
        <v>0.15128879880812041</v>
      </c>
      <c r="O53" s="3">
        <v>0.64281531763516575</v>
      </c>
      <c r="P53" s="3">
        <v>0.28509176199677322</v>
      </c>
      <c r="Q53" s="3">
        <v>0.19490139152657404</v>
      </c>
      <c r="S53" s="3">
        <v>46450</v>
      </c>
      <c r="T53" s="3">
        <v>0.61742129631177334</v>
      </c>
      <c r="V53" s="3">
        <v>46450</v>
      </c>
      <c r="W53" s="3">
        <v>0.60798906477199643</v>
      </c>
    </row>
    <row r="54" spans="1:23" x14ac:dyDescent="0.3">
      <c r="A54" s="4">
        <v>46450</v>
      </c>
      <c r="B54" s="3">
        <v>4.3673808334895647E-2</v>
      </c>
      <c r="C54" s="3">
        <v>0.84305404580772814</v>
      </c>
      <c r="D54" s="3">
        <v>0.51097944349035618</v>
      </c>
      <c r="E54" s="3">
        <v>0.28346096056602021</v>
      </c>
      <c r="F54" s="3">
        <v>0.70156706646368527</v>
      </c>
      <c r="G54" s="3">
        <v>0.27559664672985784</v>
      </c>
      <c r="H54" s="3">
        <v>0.42922646802325626</v>
      </c>
      <c r="I54" s="3">
        <v>0.63426588406711848</v>
      </c>
      <c r="J54" s="3">
        <v>3.3573572745304259E-2</v>
      </c>
      <c r="K54" s="3">
        <v>0.15943534571300588</v>
      </c>
      <c r="L54" s="3">
        <v>0.73897908101071486</v>
      </c>
      <c r="M54" s="3">
        <v>0.56101077731702897</v>
      </c>
      <c r="N54" s="3">
        <v>0.84878053796450637</v>
      </c>
      <c r="O54" s="3">
        <v>0.8532975824031247</v>
      </c>
      <c r="P54" s="3">
        <v>0.16750915189238613</v>
      </c>
      <c r="Q54" s="3">
        <v>0.36051514633941806</v>
      </c>
      <c r="S54" s="3">
        <v>46816</v>
      </c>
      <c r="T54" s="3">
        <v>0.15826323993928426</v>
      </c>
      <c r="V54" s="3">
        <v>46816</v>
      </c>
      <c r="W54" s="3">
        <v>0.89794714230654826</v>
      </c>
    </row>
    <row r="55" spans="1:23" x14ac:dyDescent="0.3">
      <c r="A55" s="4">
        <v>46816</v>
      </c>
      <c r="B55" s="3">
        <v>0.14350057770469482</v>
      </c>
      <c r="C55" s="3">
        <v>0.13073619547799564</v>
      </c>
      <c r="D55" s="3">
        <v>0.80139349321354103</v>
      </c>
      <c r="E55" s="3">
        <v>0.74715318688993337</v>
      </c>
      <c r="F55" s="3">
        <v>6.6489149084369203E-2</v>
      </c>
      <c r="G55" s="3">
        <v>0.79409086889246161</v>
      </c>
      <c r="H55" s="3">
        <v>0.2389870300947472</v>
      </c>
      <c r="I55" s="3">
        <v>0.13505351942633459</v>
      </c>
      <c r="J55" s="3">
        <v>0.19960110174373213</v>
      </c>
      <c r="K55" s="3">
        <v>0.65593273034054544</v>
      </c>
      <c r="L55" s="3">
        <v>0.19439380680275864</v>
      </c>
      <c r="M55" s="3">
        <v>0.2230430609700802</v>
      </c>
      <c r="N55" s="3">
        <v>0.56744843816338142</v>
      </c>
      <c r="O55" s="3">
        <v>0.61138516914640606</v>
      </c>
      <c r="P55" s="3">
        <v>0.75295279546192084</v>
      </c>
      <c r="Q55" s="3">
        <v>0.15334673539908528</v>
      </c>
      <c r="S55" s="3">
        <v>47181</v>
      </c>
      <c r="T55" s="3">
        <v>0.32943752715968322</v>
      </c>
      <c r="V55" s="3">
        <v>47181</v>
      </c>
      <c r="W55" s="3">
        <v>0.43140805594248599</v>
      </c>
    </row>
    <row r="56" spans="1:23" x14ac:dyDescent="0.3">
      <c r="A56" s="4">
        <v>47181</v>
      </c>
      <c r="B56" s="3">
        <v>0.90856009993644904</v>
      </c>
      <c r="C56" s="3">
        <v>0.37141266276963325</v>
      </c>
      <c r="D56" s="3">
        <v>0.12908261840757806</v>
      </c>
      <c r="E56" s="3">
        <v>0.14927532028912138</v>
      </c>
      <c r="F56" s="3">
        <v>0.783326148863697</v>
      </c>
      <c r="G56" s="3">
        <v>0.3125912694574744</v>
      </c>
      <c r="H56" s="3">
        <v>0.98284238172817562</v>
      </c>
      <c r="I56" s="3">
        <v>0.79129880485873316</v>
      </c>
      <c r="J56" s="3">
        <v>0.96493434500960151</v>
      </c>
      <c r="K56" s="3">
        <v>0.59248047021827566</v>
      </c>
      <c r="L56" s="3">
        <v>0.64974543338975133</v>
      </c>
      <c r="M56" s="3">
        <v>0.75501976469303023</v>
      </c>
      <c r="N56" s="3">
        <v>0.35743195382422532</v>
      </c>
      <c r="O56" s="3">
        <v>0.64114262666337929</v>
      </c>
      <c r="P56" s="3">
        <v>0.7192052500817343</v>
      </c>
      <c r="Q56" s="3">
        <v>0.75861972398171373</v>
      </c>
      <c r="S56" s="3">
        <v>47546</v>
      </c>
      <c r="T56" s="3">
        <v>0.77975005057087576</v>
      </c>
      <c r="V56" s="3">
        <v>47546</v>
      </c>
      <c r="W56" s="3">
        <v>0.63115516124099935</v>
      </c>
    </row>
    <row r="57" spans="1:23" x14ac:dyDescent="0.3">
      <c r="A57" s="4">
        <v>47546</v>
      </c>
      <c r="B57" s="3">
        <v>0.4683775041386482</v>
      </c>
      <c r="C57" s="3">
        <v>4.7090763833914306E-2</v>
      </c>
      <c r="D57" s="3">
        <v>8.4440323289366015E-2</v>
      </c>
      <c r="E57" s="3">
        <v>2.8706945520683202E-2</v>
      </c>
      <c r="F57" s="3">
        <v>0.53949691360868057</v>
      </c>
      <c r="G57" s="3">
        <v>0.49323928430974551</v>
      </c>
      <c r="H57" s="3">
        <v>0.32162069460953868</v>
      </c>
      <c r="I57" s="3">
        <v>0.15508498863093212</v>
      </c>
      <c r="J57" s="3">
        <v>0.86406808884784903</v>
      </c>
      <c r="K57" s="3">
        <v>0.80542420884867671</v>
      </c>
      <c r="L57" s="3">
        <v>0.9650328845418209</v>
      </c>
      <c r="M57" s="3">
        <v>0.11709401030906741</v>
      </c>
      <c r="N57" s="3">
        <v>0.17998505345490745</v>
      </c>
      <c r="O57" s="3">
        <v>9.4350002834578617E-2</v>
      </c>
      <c r="P57" s="3">
        <v>5.4692343253395115E-2</v>
      </c>
      <c r="Q57" s="3">
        <v>0.23156059767228854</v>
      </c>
      <c r="S57" s="3">
        <v>47911</v>
      </c>
      <c r="T57" s="3">
        <v>0.72901298182875596</v>
      </c>
      <c r="V57" s="3">
        <v>47911</v>
      </c>
      <c r="W57" s="3">
        <v>0.87997006848486958</v>
      </c>
    </row>
    <row r="58" spans="1:23" x14ac:dyDescent="0.3">
      <c r="A58" s="4">
        <v>47911</v>
      </c>
      <c r="B58" s="3">
        <v>3.2584811668802338E-2</v>
      </c>
      <c r="C58" s="3">
        <v>0.49326208398412175</v>
      </c>
      <c r="D58" s="3">
        <v>0.27432978634857386</v>
      </c>
      <c r="E58" s="3">
        <v>0.8148812790311224</v>
      </c>
      <c r="F58" s="3">
        <v>0.28525000595510175</v>
      </c>
      <c r="G58" s="3">
        <v>0.8457649971110196</v>
      </c>
      <c r="H58" s="3">
        <v>0.9224353571341577</v>
      </c>
      <c r="I58" s="3">
        <v>0.19481636210364262</v>
      </c>
      <c r="J58" s="3">
        <v>0.10694969325835113</v>
      </c>
      <c r="K58" s="3">
        <v>0.79057803247795244</v>
      </c>
      <c r="L58" s="3">
        <v>0.10062802899262113</v>
      </c>
      <c r="M58" s="3">
        <v>0.66788400661685887</v>
      </c>
      <c r="N58" s="3">
        <v>0.27948722943642479</v>
      </c>
      <c r="O58" s="3">
        <v>0.32669100375016402</v>
      </c>
      <c r="P58" s="3">
        <v>0.73251446517257102</v>
      </c>
      <c r="Q58" s="3">
        <v>0.47067811864427622</v>
      </c>
      <c r="S58" s="3">
        <v>48277</v>
      </c>
      <c r="T58" s="3">
        <v>0.63942883530635497</v>
      </c>
      <c r="V58" s="3">
        <v>48277</v>
      </c>
      <c r="W58" s="3">
        <v>0.81901022289130709</v>
      </c>
    </row>
    <row r="59" spans="1:23" x14ac:dyDescent="0.3">
      <c r="A59" s="4">
        <v>48277</v>
      </c>
      <c r="B59" s="3">
        <v>0.67158212585941346</v>
      </c>
      <c r="C59" s="3">
        <v>0.4393069884857429</v>
      </c>
      <c r="D59" s="3">
        <v>0.98331340117396515</v>
      </c>
      <c r="E59" s="3">
        <v>0.79772936573240105</v>
      </c>
      <c r="F59" s="3">
        <v>0.31693815062307396</v>
      </c>
      <c r="G59" s="3">
        <v>0.33402723435253212</v>
      </c>
      <c r="H59" s="3">
        <v>0.1920023815261287</v>
      </c>
      <c r="I59" s="3">
        <v>9.1823426589648816E-2</v>
      </c>
      <c r="J59" s="3">
        <v>0.1837218954140476</v>
      </c>
      <c r="K59" s="3">
        <v>0.61402978231813876</v>
      </c>
      <c r="L59" s="3">
        <v>0.90870322127165548</v>
      </c>
      <c r="M59" s="3">
        <v>0.54741973401147992</v>
      </c>
      <c r="N59" s="3">
        <v>0.10677734970681318</v>
      </c>
      <c r="O59" s="3">
        <v>0.43048251979478902</v>
      </c>
      <c r="P59" s="3">
        <v>6.4674224634026056E-2</v>
      </c>
      <c r="Q59" s="3">
        <v>0.95859753249029866</v>
      </c>
      <c r="S59" s="3">
        <v>48642</v>
      </c>
      <c r="T59" s="3">
        <v>0.25209220278698818</v>
      </c>
      <c r="V59" s="3">
        <v>48642</v>
      </c>
      <c r="W59" s="3">
        <v>0.71744752493135822</v>
      </c>
    </row>
    <row r="60" spans="1:23" x14ac:dyDescent="0.3">
      <c r="A60" s="4">
        <v>48642</v>
      </c>
      <c r="B60" s="3">
        <v>0.91037897101168663</v>
      </c>
      <c r="C60" s="3">
        <v>0.71535031958756157</v>
      </c>
      <c r="D60" s="3">
        <v>0.58241812755772349</v>
      </c>
      <c r="E60" s="3">
        <v>0.83349965089529621</v>
      </c>
      <c r="F60" s="3">
        <v>0.32759933687310272</v>
      </c>
      <c r="G60" s="3">
        <v>0.68027779356190332</v>
      </c>
      <c r="H60" s="3">
        <v>0.70650756230774192</v>
      </c>
      <c r="I60" s="3">
        <v>0.1850102991462711</v>
      </c>
      <c r="J60" s="3">
        <v>0.79379820433200943</v>
      </c>
      <c r="K60" s="3">
        <v>0.82881267354358379</v>
      </c>
      <c r="L60" s="3">
        <v>0.61817122155033566</v>
      </c>
      <c r="M60" s="3">
        <v>0.68525455172883964</v>
      </c>
      <c r="N60" s="3">
        <v>0.55564187743457494</v>
      </c>
      <c r="O60" s="3">
        <v>3.7114945585850267E-2</v>
      </c>
      <c r="P60" s="3">
        <v>0.67510101413971746</v>
      </c>
      <c r="Q60" s="3">
        <v>0.282885217356033</v>
      </c>
      <c r="S60" s="3">
        <v>49007</v>
      </c>
      <c r="T60" s="3">
        <v>0.75409063551871247</v>
      </c>
      <c r="V60" s="3">
        <v>49007</v>
      </c>
      <c r="W60" s="3">
        <v>0.56076446738737895</v>
      </c>
    </row>
    <row r="61" spans="1:23" x14ac:dyDescent="0.3">
      <c r="A61" s="4">
        <v>49007</v>
      </c>
      <c r="B61" s="3">
        <v>0.19263422197307345</v>
      </c>
      <c r="C61" s="3">
        <v>0.60271748111041412</v>
      </c>
      <c r="D61" s="3">
        <v>0.51530764977197119</v>
      </c>
      <c r="E61" s="3">
        <v>0.27566313670698728</v>
      </c>
      <c r="F61" s="3">
        <v>7.8451178265791732E-2</v>
      </c>
      <c r="G61" s="3">
        <v>0.79565584234833198</v>
      </c>
      <c r="H61" s="3">
        <v>0.80201805173430074</v>
      </c>
      <c r="I61" s="3">
        <v>0.50077348930318077</v>
      </c>
      <c r="J61" s="3">
        <v>0.89213680213486435</v>
      </c>
      <c r="K61" s="3">
        <v>0.52436802282991613</v>
      </c>
      <c r="L61" s="3">
        <v>0.39224202805753827</v>
      </c>
      <c r="M61" s="3">
        <v>0.64237604727600184</v>
      </c>
      <c r="N61" s="3">
        <v>0.64561241977566253</v>
      </c>
      <c r="O61" s="3">
        <v>0.23696883094369203</v>
      </c>
      <c r="P61" s="3">
        <v>0.75235554742106048</v>
      </c>
      <c r="Q61" s="3">
        <v>0.60723987103269772</v>
      </c>
      <c r="S61" s="3">
        <v>49372</v>
      </c>
      <c r="T61" s="3">
        <v>0.38312509356304159</v>
      </c>
      <c r="V61" s="3">
        <v>49372</v>
      </c>
      <c r="W61" s="3">
        <v>0.23149367144436395</v>
      </c>
    </row>
    <row r="62" spans="1:23" x14ac:dyDescent="0.3">
      <c r="A62" s="4">
        <v>49372</v>
      </c>
      <c r="B62" s="3">
        <v>0.28417939893387201</v>
      </c>
      <c r="C62" s="3">
        <v>0.97559370725452343</v>
      </c>
      <c r="D62" s="3">
        <v>0.56892036998539186</v>
      </c>
      <c r="E62" s="3">
        <v>0.95903242773320663</v>
      </c>
      <c r="F62" s="3">
        <v>0.15081874539094831</v>
      </c>
      <c r="G62" s="3">
        <v>0.41350651206253275</v>
      </c>
      <c r="H62" s="3">
        <v>0.13406185524224268</v>
      </c>
      <c r="I62" s="3">
        <v>0.84153245621974426</v>
      </c>
      <c r="J62" s="3">
        <v>7.8964554637989126E-2</v>
      </c>
      <c r="K62" s="3">
        <v>0.54308154565985856</v>
      </c>
      <c r="L62" s="3">
        <v>0.41097422682105933</v>
      </c>
      <c r="M62" s="3">
        <v>0.24715356346598216</v>
      </c>
      <c r="N62" s="3">
        <v>0.77832964332861743</v>
      </c>
      <c r="O62" s="3">
        <v>0.98881263139853914</v>
      </c>
      <c r="P62" s="3">
        <v>0.96679795121644874</v>
      </c>
      <c r="Q62" s="3">
        <v>0.40815507907771931</v>
      </c>
      <c r="S62" s="3">
        <v>49738</v>
      </c>
      <c r="T62" s="3">
        <v>0.79347798323888619</v>
      </c>
      <c r="V62" s="3">
        <v>49738</v>
      </c>
      <c r="W62" s="3">
        <v>0.66459564944319793</v>
      </c>
    </row>
    <row r="68" spans="1:1" x14ac:dyDescent="0.3">
      <c r="A68"/>
    </row>
    <row r="69" spans="1:1" x14ac:dyDescent="0.3">
      <c r="A69"/>
    </row>
    <row r="70" spans="1:1" x14ac:dyDescent="0.3">
      <c r="A7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6"/>
  <sheetViews>
    <sheetView showGridLines="0" tabSelected="1" topLeftCell="A4" zoomScale="97" zoomScaleNormal="400" workbookViewId="0">
      <selection activeCell="L11" sqref="L11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75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4" ht="24.6" customHeight="1" thickBot="1" x14ac:dyDescent="0.35"/>
    <row r="2" spans="1:24" ht="31.2" customHeight="1" thickBot="1" x14ac:dyDescent="0.65">
      <c r="D2" s="80" t="s">
        <v>45</v>
      </c>
      <c r="I2" s="80" t="s">
        <v>21</v>
      </c>
      <c r="T2" s="80" t="s">
        <v>44</v>
      </c>
    </row>
    <row r="3" spans="1:24" s="15" customFormat="1" x14ac:dyDescent="0.3">
      <c r="D3" s="79">
        <f ca="1">SQRT(2*PI()/D13)*0.16/D9</f>
        <v>4.0106052394096002E-3</v>
      </c>
      <c r="Q3" s="76"/>
    </row>
    <row r="4" spans="1:24" ht="28.5" customHeight="1" thickBot="1" x14ac:dyDescent="0.35"/>
    <row r="5" spans="1:24" ht="15" thickBot="1" x14ac:dyDescent="0.35">
      <c r="A5" s="81" t="s">
        <v>23</v>
      </c>
      <c r="C5" s="86" t="s">
        <v>27</v>
      </c>
      <c r="D5" s="88"/>
      <c r="F5" s="84" t="s">
        <v>29</v>
      </c>
      <c r="G5" s="85"/>
      <c r="I5" s="84" t="s">
        <v>28</v>
      </c>
      <c r="J5" s="85"/>
      <c r="R5" s="86" t="s">
        <v>48</v>
      </c>
      <c r="S5" s="88"/>
      <c r="U5" s="84" t="s">
        <v>49</v>
      </c>
      <c r="V5" s="85"/>
    </row>
    <row r="6" spans="1:24" ht="15" thickBot="1" x14ac:dyDescent="0.35">
      <c r="A6" s="82" t="s">
        <v>24</v>
      </c>
    </row>
    <row r="7" spans="1:24" ht="15" thickBot="1" x14ac:dyDescent="0.35">
      <c r="A7" s="83" t="s">
        <v>25</v>
      </c>
      <c r="C7" s="17" t="s">
        <v>20</v>
      </c>
      <c r="D7" s="55" t="s">
        <v>12</v>
      </c>
      <c r="E7" s="18"/>
      <c r="F7" s="19" t="s">
        <v>30</v>
      </c>
      <c r="G7" s="20" cm="1">
        <f t="array" aca="1" ref="G7" ca="1">GetBSOptionPrice(D7,D8,D9,D10,D11,D12,D13,D15)</f>
        <v>10.450575415435083</v>
      </c>
      <c r="I7" s="19" t="s">
        <v>30</v>
      </c>
      <c r="J7" s="20" cm="1">
        <f t="array" aca="1" ref="J7" ca="1">GetMCEurOptionPrice(D7,D8,D9,D10,D11,D12,D13,D15)</f>
        <v>10.492951282634255</v>
      </c>
      <c r="K7" s="14"/>
      <c r="R7" s="17" t="s">
        <v>20</v>
      </c>
      <c r="S7" s="55" t="s">
        <v>12</v>
      </c>
      <c r="T7" s="18"/>
      <c r="U7" s="19" t="s">
        <v>30</v>
      </c>
      <c r="V7" s="20" cm="1">
        <f t="array" aca="1" ref="V7" ca="1">GetOptionPrice(S7,S8,S9,S10,S11,S15)</f>
        <v>61.985324987694256</v>
      </c>
      <c r="W7" s="18"/>
    </row>
    <row r="8" spans="1:24" ht="15" thickBot="1" x14ac:dyDescent="0.35">
      <c r="C8" s="17" t="s">
        <v>34</v>
      </c>
      <c r="D8" s="56" t="s">
        <v>39</v>
      </c>
      <c r="E8" s="18"/>
      <c r="F8" s="18"/>
      <c r="I8" s="18"/>
      <c r="K8" s="14"/>
      <c r="R8" s="21" t="s">
        <v>34</v>
      </c>
      <c r="S8" s="56" t="s">
        <v>36</v>
      </c>
      <c r="T8" s="18"/>
      <c r="U8" s="18"/>
      <c r="V8" s="18"/>
      <c r="W8" s="18"/>
    </row>
    <row r="9" spans="1:24" x14ac:dyDescent="0.3">
      <c r="C9" s="21" t="s">
        <v>16</v>
      </c>
      <c r="D9" s="56">
        <v>100</v>
      </c>
      <c r="E9" s="18"/>
      <c r="F9" s="21" t="s">
        <v>8</v>
      </c>
      <c r="G9" s="36" cm="1">
        <f t="array" aca="1" ref="G9:G13" ca="1">GetSensiOptionBS(D7,D8,D9,D10,D11,D12,D13,D15)</f>
        <v>0.63683058600703024</v>
      </c>
      <c r="R9" s="21" t="s">
        <v>14</v>
      </c>
      <c r="S9" s="56">
        <v>100</v>
      </c>
      <c r="T9" s="18"/>
      <c r="U9" s="21" t="s">
        <v>8</v>
      </c>
      <c r="V9" s="36" cm="1">
        <f t="array" aca="1" ref="V9:V13" ca="1">GetSensiOption(S7,S8,S9,S10,S11,S15)</f>
        <v>1</v>
      </c>
      <c r="W9" s="18"/>
      <c r="X9" t="str" cm="1">
        <f t="array" aca="1" ref="X9:X11" ca="1">Underlying</f>
        <v>CAC40</v>
      </c>
    </row>
    <row r="10" spans="1:24" x14ac:dyDescent="0.3">
      <c r="C10" s="22" t="s">
        <v>7</v>
      </c>
      <c r="D10" s="65">
        <v>0.2</v>
      </c>
      <c r="E10" s="18"/>
      <c r="F10" s="22" t="s">
        <v>9</v>
      </c>
      <c r="G10" s="37">
        <f ca="1"/>
        <v>1.8762017345846895E-2</v>
      </c>
      <c r="R10" s="22" t="s">
        <v>15</v>
      </c>
      <c r="S10" s="72">
        <v>44989</v>
      </c>
      <c r="T10" s="18"/>
      <c r="U10" s="22" t="s">
        <v>9</v>
      </c>
      <c r="V10" s="37">
        <f ca="1"/>
        <v>0</v>
      </c>
      <c r="W10" s="18"/>
      <c r="X10" t="str">
        <f ca="1"/>
        <v>SP500</v>
      </c>
    </row>
    <row r="11" spans="1:24" ht="15" thickBot="1" x14ac:dyDescent="0.35">
      <c r="C11" s="22" t="s">
        <v>13</v>
      </c>
      <c r="D11" s="65">
        <v>0.05</v>
      </c>
      <c r="E11" s="18"/>
      <c r="F11" s="22" t="s">
        <v>10</v>
      </c>
      <c r="G11" s="37">
        <f ca="1"/>
        <v>1.090779309905983</v>
      </c>
      <c r="R11" s="24" t="s">
        <v>19</v>
      </c>
      <c r="S11" s="66" t="s">
        <v>1</v>
      </c>
      <c r="T11" s="18"/>
      <c r="U11" s="22" t="s">
        <v>10</v>
      </c>
      <c r="V11" s="37">
        <f ca="1"/>
        <v>-36.767714459864607</v>
      </c>
      <c r="W11" s="18"/>
      <c r="X11" t="str">
        <f ca="1"/>
        <v>FTSE</v>
      </c>
    </row>
    <row r="12" spans="1:24" ht="15" thickBot="1" x14ac:dyDescent="0.35">
      <c r="C12" s="22" t="s">
        <v>14</v>
      </c>
      <c r="D12" s="56">
        <v>100</v>
      </c>
      <c r="E12" s="18"/>
      <c r="F12" s="24" t="s">
        <v>33</v>
      </c>
      <c r="G12" s="37">
        <f ca="1"/>
        <v>37.524034691693792</v>
      </c>
      <c r="R12" s="18"/>
      <c r="S12" s="18"/>
      <c r="T12" s="18"/>
      <c r="U12" s="24" t="s">
        <v>33</v>
      </c>
      <c r="V12" s="37">
        <f ca="1"/>
        <v>0</v>
      </c>
      <c r="W12" s="18"/>
    </row>
    <row r="13" spans="1:24" ht="15" thickBot="1" x14ac:dyDescent="0.35">
      <c r="C13" s="24" t="s">
        <v>15</v>
      </c>
      <c r="D13" s="57">
        <v>1</v>
      </c>
      <c r="E13" s="18"/>
      <c r="F13" s="24" t="s">
        <v>18</v>
      </c>
      <c r="G13" s="38">
        <f ca="1"/>
        <v>0</v>
      </c>
      <c r="R13" s="18"/>
      <c r="S13" s="18"/>
      <c r="T13" s="18"/>
      <c r="U13" s="24" t="s">
        <v>18</v>
      </c>
      <c r="V13" s="38">
        <f ca="1"/>
        <v>0</v>
      </c>
      <c r="W13" s="18"/>
    </row>
    <row r="14" spans="1:24" ht="15" thickBot="1" x14ac:dyDescent="0.35">
      <c r="C14" s="18"/>
      <c r="D14" s="25"/>
      <c r="E14" s="18"/>
      <c r="F14" s="18"/>
      <c r="R14" s="18"/>
      <c r="S14" s="25"/>
      <c r="T14" s="18"/>
      <c r="U14" s="18"/>
      <c r="V14" s="18"/>
      <c r="W14" s="18"/>
    </row>
    <row r="15" spans="1:24" ht="15" thickBot="1" x14ac:dyDescent="0.35">
      <c r="C15" s="26" t="s">
        <v>17</v>
      </c>
      <c r="D15" s="27">
        <v>0</v>
      </c>
      <c r="E15" s="18"/>
      <c r="F15" s="18"/>
      <c r="G15" s="18"/>
      <c r="R15" s="26" t="s">
        <v>17</v>
      </c>
      <c r="S15" s="35">
        <v>0</v>
      </c>
      <c r="T15" s="18"/>
      <c r="U15" s="18"/>
      <c r="V15" s="18"/>
      <c r="W15" s="18"/>
    </row>
    <row r="16" spans="1:24" x14ac:dyDescent="0.3">
      <c r="P16" s="18"/>
      <c r="Q16" s="77"/>
      <c r="R16" s="18"/>
      <c r="S16" s="18"/>
      <c r="T16" s="18"/>
      <c r="U16" s="18"/>
      <c r="V16" s="18"/>
      <c r="W16" s="18"/>
    </row>
    <row r="17" spans="2:27" s="15" customFormat="1" ht="28.2" customHeight="1" x14ac:dyDescent="0.6">
      <c r="E17" s="16" t="s">
        <v>46</v>
      </c>
      <c r="P17" s="39"/>
      <c r="Q17" s="78"/>
      <c r="R17" s="39"/>
      <c r="S17" s="39"/>
      <c r="T17" s="16" t="s">
        <v>47</v>
      </c>
      <c r="U17" s="39"/>
      <c r="V17" s="39"/>
      <c r="W17" s="39"/>
    </row>
    <row r="18" spans="2:27" ht="15" thickBot="1" x14ac:dyDescent="0.35">
      <c r="P18" s="18"/>
      <c r="Q18" s="77"/>
      <c r="R18" s="18"/>
      <c r="S18" s="18"/>
      <c r="T18" s="18"/>
      <c r="U18" s="18"/>
      <c r="V18" s="18"/>
      <c r="W18" s="18"/>
    </row>
    <row r="19" spans="2:27" ht="15" thickBot="1" x14ac:dyDescent="0.35">
      <c r="B19" s="28"/>
      <c r="C19" s="86" t="s">
        <v>27</v>
      </c>
      <c r="D19" s="87"/>
      <c r="E19" s="87"/>
      <c r="F19" s="87"/>
      <c r="G19" s="87"/>
      <c r="H19" s="87"/>
      <c r="I19" s="87"/>
      <c r="J19" s="88"/>
      <c r="L19" s="86" t="s">
        <v>29</v>
      </c>
      <c r="M19" s="88"/>
      <c r="O19" s="86" t="s">
        <v>28</v>
      </c>
      <c r="P19" s="88"/>
      <c r="R19" s="18"/>
      <c r="S19" s="89" t="s">
        <v>48</v>
      </c>
      <c r="T19" s="90"/>
      <c r="U19" s="90"/>
      <c r="V19" s="90"/>
      <c r="W19" s="90"/>
      <c r="X19" s="91"/>
      <c r="Z19" s="84" t="s">
        <v>49</v>
      </c>
      <c r="AA19" s="85"/>
    </row>
    <row r="20" spans="2:27" ht="15" thickBot="1" x14ac:dyDescent="0.35">
      <c r="B20" s="73" t="s">
        <v>32</v>
      </c>
      <c r="C20" s="29" t="s">
        <v>20</v>
      </c>
      <c r="D20" s="30" t="s">
        <v>34</v>
      </c>
      <c r="E20" s="30" t="s">
        <v>16</v>
      </c>
      <c r="F20" s="30" t="s">
        <v>7</v>
      </c>
      <c r="G20" s="30" t="s">
        <v>13</v>
      </c>
      <c r="H20" s="30" t="s">
        <v>14</v>
      </c>
      <c r="I20" s="30" t="s">
        <v>15</v>
      </c>
      <c r="J20" s="31" t="s">
        <v>17</v>
      </c>
      <c r="R20" s="73" t="s">
        <v>32</v>
      </c>
      <c r="S20" s="43" t="s">
        <v>20</v>
      </c>
      <c r="T20" s="43" t="s">
        <v>43</v>
      </c>
      <c r="U20" s="44" t="s">
        <v>14</v>
      </c>
      <c r="V20" s="44" t="s">
        <v>15</v>
      </c>
      <c r="W20" s="45" t="s">
        <v>19</v>
      </c>
      <c r="X20" s="45" t="s">
        <v>17</v>
      </c>
    </row>
    <row r="21" spans="2:27" ht="15" thickBot="1" x14ac:dyDescent="0.35">
      <c r="B21" s="32">
        <v>1</v>
      </c>
      <c r="C21" s="46" t="s">
        <v>12</v>
      </c>
      <c r="D21" s="46" t="s">
        <v>39</v>
      </c>
      <c r="E21" s="46">
        <v>100</v>
      </c>
      <c r="F21" s="47">
        <v>0.2</v>
      </c>
      <c r="G21" s="47">
        <v>0.05</v>
      </c>
      <c r="H21" s="46">
        <v>100</v>
      </c>
      <c r="I21" s="46">
        <v>1</v>
      </c>
      <c r="J21" s="48">
        <v>0</v>
      </c>
      <c r="L21" s="19" t="s">
        <v>31</v>
      </c>
      <c r="M21" s="20" cm="1">
        <f t="array" aca="1" ref="M21" ca="1">GetBSOptionPortfolioPrice(B23,C21:J23)</f>
        <v>-16.126782634522961</v>
      </c>
      <c r="O21" s="19" t="s">
        <v>31</v>
      </c>
      <c r="P21" s="74" cm="1">
        <f t="array" aca="1" ref="P21" ca="1">GetMCEurOptionPortfolioPrice(B25,C21:J25)</f>
        <v>61.915779922669735</v>
      </c>
      <c r="R21" s="40">
        <v>1</v>
      </c>
      <c r="S21" s="55" t="s">
        <v>22</v>
      </c>
      <c r="T21" s="55" t="s">
        <v>36</v>
      </c>
      <c r="U21" s="55">
        <v>100</v>
      </c>
      <c r="V21" s="69">
        <v>44989</v>
      </c>
      <c r="W21" s="58" t="s">
        <v>1</v>
      </c>
      <c r="X21" s="60">
        <v>0</v>
      </c>
      <c r="Z21" s="19" t="s">
        <v>31</v>
      </c>
      <c r="AA21" s="20" cm="1">
        <f t="array" aca="1" ref="AA21" ca="1">GetOptionPortfolioPrice(R25,S21:X25)</f>
        <v>185.95597496308278</v>
      </c>
    </row>
    <row r="22" spans="2:27" ht="15" thickBot="1" x14ac:dyDescent="0.35">
      <c r="B22" s="33">
        <v>2</v>
      </c>
      <c r="C22" s="49" t="s">
        <v>12</v>
      </c>
      <c r="D22" s="49" t="s">
        <v>38</v>
      </c>
      <c r="E22" s="49">
        <v>100</v>
      </c>
      <c r="F22" s="50">
        <v>0.2</v>
      </c>
      <c r="G22" s="50">
        <v>0.05</v>
      </c>
      <c r="H22" s="49">
        <v>100</v>
      </c>
      <c r="I22" s="49">
        <v>2</v>
      </c>
      <c r="J22" s="51">
        <v>0</v>
      </c>
      <c r="R22" s="41">
        <v>2</v>
      </c>
      <c r="S22" s="56" t="s">
        <v>26</v>
      </c>
      <c r="T22" s="56" t="s">
        <v>35</v>
      </c>
      <c r="U22" s="56">
        <v>100</v>
      </c>
      <c r="V22" s="70">
        <v>44989</v>
      </c>
      <c r="W22" s="23" t="s">
        <v>6</v>
      </c>
      <c r="X22" s="61">
        <v>0</v>
      </c>
    </row>
    <row r="23" spans="2:27" x14ac:dyDescent="0.3">
      <c r="B23" s="33">
        <v>3</v>
      </c>
      <c r="C23" s="49" t="s">
        <v>12</v>
      </c>
      <c r="D23" s="49" t="s">
        <v>38</v>
      </c>
      <c r="E23" s="49">
        <v>100</v>
      </c>
      <c r="F23" s="50">
        <v>0.2</v>
      </c>
      <c r="G23" s="50">
        <v>0.05</v>
      </c>
      <c r="H23" s="49">
        <v>100</v>
      </c>
      <c r="I23" s="49">
        <v>1</v>
      </c>
      <c r="J23" s="51">
        <v>0</v>
      </c>
      <c r="L23" s="21" t="s">
        <v>8</v>
      </c>
      <c r="M23" s="36" cm="1">
        <f t="array" aca="1" ref="M23" ca="1">GetDeltaOptionPortfolioBS(B25,C21:J25)</f>
        <v>1.3103089744737009</v>
      </c>
      <c r="R23" s="41">
        <v>3</v>
      </c>
      <c r="S23" s="56" t="s">
        <v>22</v>
      </c>
      <c r="T23" s="56" t="s">
        <v>36</v>
      </c>
      <c r="U23" s="56">
        <v>100</v>
      </c>
      <c r="V23" s="70">
        <v>44989</v>
      </c>
      <c r="W23" s="23" t="s">
        <v>1</v>
      </c>
      <c r="X23" s="61">
        <v>0</v>
      </c>
      <c r="Z23" s="21" t="s">
        <v>8</v>
      </c>
      <c r="AA23" s="36" cm="1">
        <f t="array" aca="1" ref="AA23" ca="1">GetDeltaOptionPortfolio(R25,S21:X25)</f>
        <v>3</v>
      </c>
    </row>
    <row r="24" spans="2:27" x14ac:dyDescent="0.3">
      <c r="B24" s="33">
        <v>4</v>
      </c>
      <c r="C24" s="49" t="s">
        <v>12</v>
      </c>
      <c r="D24" s="49" t="s">
        <v>39</v>
      </c>
      <c r="E24" s="49">
        <v>100</v>
      </c>
      <c r="F24" s="50">
        <v>0.01</v>
      </c>
      <c r="G24" s="50">
        <v>0.97</v>
      </c>
      <c r="H24" s="49">
        <v>100</v>
      </c>
      <c r="I24" s="49">
        <v>3</v>
      </c>
      <c r="J24" s="51">
        <v>0</v>
      </c>
      <c r="L24" s="22" t="s">
        <v>9</v>
      </c>
      <c r="M24" s="37" cm="1">
        <f t="array" aca="1" ref="M24" ca="1">GetGammaOptionPortfolioBS(B25,C21:J25)</f>
        <v>-1.2478546401807622E-2</v>
      </c>
      <c r="R24" s="41">
        <v>4</v>
      </c>
      <c r="S24" s="56" t="s">
        <v>26</v>
      </c>
      <c r="T24" s="56" t="s">
        <v>35</v>
      </c>
      <c r="U24" s="56">
        <v>100</v>
      </c>
      <c r="V24" s="70">
        <v>44989</v>
      </c>
      <c r="W24" s="23" t="s">
        <v>6</v>
      </c>
      <c r="X24" s="61">
        <v>0</v>
      </c>
      <c r="Z24" s="22" t="s">
        <v>9</v>
      </c>
      <c r="AA24" s="37" cm="1">
        <f t="array" aca="1" ref="AA24" ca="1">GetGammaOptionPortfolio(R25,S21:X25)</f>
        <v>0</v>
      </c>
    </row>
    <row r="25" spans="2:27" ht="15" thickBot="1" x14ac:dyDescent="0.35">
      <c r="B25" s="34">
        <v>5</v>
      </c>
      <c r="C25" s="52" t="s">
        <v>12</v>
      </c>
      <c r="D25" s="52" t="s">
        <v>39</v>
      </c>
      <c r="E25" s="52">
        <v>100</v>
      </c>
      <c r="F25" s="53">
        <v>0.01</v>
      </c>
      <c r="G25" s="53">
        <v>0.97</v>
      </c>
      <c r="H25" s="52">
        <v>100</v>
      </c>
      <c r="I25" s="52">
        <v>1</v>
      </c>
      <c r="J25" s="54">
        <v>0</v>
      </c>
      <c r="L25" s="22" t="s">
        <v>10</v>
      </c>
      <c r="M25" s="37" cm="1">
        <f t="array" aca="1" ref="M25" ca="1">GetThetaOptionPortfolioBS(B25,C21:J25)</f>
        <v>-41.908793777797278</v>
      </c>
      <c r="R25" s="42">
        <v>5</v>
      </c>
      <c r="S25" s="57" t="s">
        <v>22</v>
      </c>
      <c r="T25" s="57" t="s">
        <v>36</v>
      </c>
      <c r="U25" s="57">
        <v>100</v>
      </c>
      <c r="V25" s="71">
        <v>44989</v>
      </c>
      <c r="W25" s="59" t="s">
        <v>1</v>
      </c>
      <c r="X25" s="62">
        <v>0</v>
      </c>
      <c r="Z25" s="22" t="s">
        <v>10</v>
      </c>
      <c r="AA25" s="37" cm="1">
        <f t="array" aca="1" ref="AA25" ca="1">GetThetaOptionPortfolio(R25,S21:X25)</f>
        <v>-183.83857229932303</v>
      </c>
    </row>
    <row r="26" spans="2:27" ht="15" thickBot="1" x14ac:dyDescent="0.35">
      <c r="L26" s="24" t="s">
        <v>33</v>
      </c>
      <c r="M26" s="38" cm="1">
        <f t="array" aca="1" ref="M26" ca="1">GetVegaOptionPortfolioBS(B25,C21:J25)</f>
        <v>-49.914185607230493</v>
      </c>
      <c r="Z26" s="24" t="s">
        <v>33</v>
      </c>
      <c r="AA26" s="38" cm="1">
        <f t="array" aca="1" ref="AA26" ca="1">GetVegaOptionPortfolio(R25,S21:X25)</f>
        <v>0</v>
      </c>
    </row>
  </sheetData>
  <mergeCells count="10">
    <mergeCell ref="U5:V5"/>
    <mergeCell ref="Z19:AA19"/>
    <mergeCell ref="C19:J19"/>
    <mergeCell ref="L19:M19"/>
    <mergeCell ref="O19:P19"/>
    <mergeCell ref="S19:X19"/>
    <mergeCell ref="R5:S5"/>
    <mergeCell ref="I5:J5"/>
    <mergeCell ref="C5:D5"/>
    <mergeCell ref="F5:G5"/>
  </mergeCells>
  <dataValidations disablePrompts="1" count="1">
    <dataValidation allowBlank="1" showDropDown="1" showInputMessage="1" showErrorMessage="1" sqref="D15 S15" xr:uid="{8A9BE13E-5E16-477A-A019-24A7ADD4DD1B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urrentRegionCalculate">
                <anchor moveWithCells="1" sizeWithCells="1">
                  <from>
                    <xdr:col>12</xdr:col>
                    <xdr:colOff>281940</xdr:colOff>
                    <xdr:row>10</xdr:row>
                    <xdr:rowOff>121920</xdr:rowOff>
                  </from>
                  <to>
                    <xdr:col>15</xdr:col>
                    <xdr:colOff>342900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5"/>
  <sheetViews>
    <sheetView showGridLines="0" workbookViewId="0">
      <selection activeCell="E13" sqref="E13"/>
    </sheetView>
  </sheetViews>
  <sheetFormatPr baseColWidth="10" defaultRowHeight="14.4" x14ac:dyDescent="0.3"/>
  <sheetData>
    <row r="1" spans="2:6" ht="15" thickBot="1" x14ac:dyDescent="0.35"/>
    <row r="2" spans="2:6" ht="15" thickBot="1" x14ac:dyDescent="0.35">
      <c r="B2" s="68" t="s">
        <v>41</v>
      </c>
      <c r="D2" s="68" t="s">
        <v>40</v>
      </c>
      <c r="F2" s="68" t="s">
        <v>42</v>
      </c>
    </row>
    <row r="3" spans="2:6" x14ac:dyDescent="0.3">
      <c r="B3" s="64" t="s">
        <v>12</v>
      </c>
      <c r="D3" s="64" t="s">
        <v>39</v>
      </c>
      <c r="F3" s="63" t="s">
        <v>1</v>
      </c>
    </row>
    <row r="4" spans="2:6" ht="15" thickBot="1" x14ac:dyDescent="0.35">
      <c r="B4" s="67" t="s">
        <v>37</v>
      </c>
      <c r="D4" s="67" t="s">
        <v>38</v>
      </c>
      <c r="F4" s="64" t="s">
        <v>6</v>
      </c>
    </row>
    <row r="5" spans="2:6" ht="15" thickBot="1" x14ac:dyDescent="0.35">
      <c r="F5" s="67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Inputs</vt:lpstr>
      <vt:lpstr>Option</vt:lpstr>
      <vt:lpstr>Parametres</vt:lpstr>
      <vt:lpstr>optionFlag</vt:lpstr>
      <vt:lpstr>optionPosition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2024-02-26T14:41:36Z</dcterms:modified>
</cp:coreProperties>
</file>